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1T210000" sheetId="65" r:id="rId2"/>
    <sheet name="2023020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 s="1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/>
  <c r="AL199" i="66"/>
  <c r="AM199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 s="1"/>
  <c r="T197" i="66"/>
  <c r="U197" i="66"/>
  <c r="T198" i="66"/>
  <c r="U198" i="66"/>
  <c r="T199" i="66"/>
  <c r="U199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M9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AE5" i="66"/>
  <c r="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S3" i="66"/>
  <c r="AM3" i="66"/>
  <c r="AI3" i="66"/>
  <c r="AE3" i="66"/>
  <c r="AA3" i="66"/>
  <c r="Q3" i="66"/>
  <c r="M3" i="66"/>
  <c r="I3" i="66"/>
  <c r="K3" i="66" s="1"/>
  <c r="AQ2" i="66"/>
  <c r="A4" i="63" a="1"/>
  <c r="A4" i="63" l="1"/>
  <c r="BE9" i="66"/>
  <c r="AY2" i="66"/>
  <c r="AW9" i="66"/>
  <c r="AU3" i="66"/>
  <c r="AS6" i="66" s="1"/>
  <c r="A15" i="66" s="1"/>
  <c r="Y2" i="66"/>
  <c r="AC3" i="66"/>
  <c r="AA6" i="66" s="1"/>
  <c r="A13" i="66" s="1"/>
  <c r="U9" i="66"/>
  <c r="O2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 s="1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 s="1"/>
  <c r="BD262" i="65"/>
  <c r="BE262" i="65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 s="1"/>
  <c r="AV208" i="65"/>
  <c r="AW208" i="65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 s="1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 s="1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 s="1"/>
  <c r="AD304" i="65"/>
  <c r="AE304" i="65"/>
  <c r="AD305" i="65"/>
  <c r="AE305" i="65"/>
  <c r="AD306" i="65"/>
  <c r="AE306" i="65"/>
  <c r="AD307" i="65"/>
  <c r="AE307" i="65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T170" i="65"/>
  <c r="U170" i="65"/>
  <c r="T171" i="65"/>
  <c r="U171" i="65"/>
  <c r="T172" i="65"/>
  <c r="U172" i="65"/>
  <c r="T173" i="65"/>
  <c r="U173" i="65"/>
  <c r="T174" i="65"/>
  <c r="U174" i="65"/>
  <c r="T175" i="65"/>
  <c r="U175" i="65"/>
  <c r="T176" i="65"/>
  <c r="U176" i="65"/>
  <c r="T177" i="65"/>
  <c r="U177" i="65"/>
  <c r="T178" i="65"/>
  <c r="U178" i="65"/>
  <c r="T179" i="65"/>
  <c r="U179" i="65"/>
  <c r="T180" i="65"/>
  <c r="U180" i="65"/>
  <c r="T181" i="65"/>
  <c r="U181" i="65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 s="1"/>
  <c r="L103" i="65"/>
  <c r="M103" i="65"/>
  <c r="L104" i="65"/>
  <c r="M104" i="65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BE7" i="66" l="1"/>
  <c r="BE3" i="66"/>
  <c r="BE5" i="66"/>
  <c r="AY4" i="66"/>
  <c r="AW7" i="66"/>
  <c r="AW5" i="66"/>
  <c r="AW3" i="66"/>
  <c r="Y4" i="66"/>
  <c r="U7" i="66"/>
  <c r="U5" i="66"/>
  <c r="U3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BN4" i="66"/>
  <c r="CF4" i="66"/>
  <c r="CF2" i="66" s="1"/>
  <c r="L4" i="66"/>
  <c r="CX4" i="66"/>
  <c r="A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3" i="66" l="1"/>
  <c r="AD2" i="66"/>
  <c r="C11" i="66"/>
  <c r="L2" i="66"/>
  <c r="C17" i="66"/>
  <c r="C19" i="66"/>
  <c r="BN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21" i="66"/>
  <c r="CX2" i="66"/>
  <c r="D19" i="66"/>
  <c r="CC9" i="66"/>
  <c r="E19" i="66" s="1"/>
  <c r="C15" i="66"/>
  <c r="AV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1" i="66" l="1"/>
  <c r="I9" i="66"/>
  <c r="E11" i="66" s="1"/>
  <c r="D13" i="66"/>
  <c r="AA9" i="66"/>
  <c r="E13" i="66" s="1"/>
  <c r="D15" i="66"/>
  <c r="AS9" i="66"/>
  <c r="E15" i="66" s="1"/>
  <c r="D21" i="66"/>
  <c r="CU9" i="66"/>
  <c r="E2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I3" i="63"/>
  <c r="G3" i="63"/>
  <c r="H2" i="63"/>
  <c r="B3" i="63"/>
  <c r="D3" i="63"/>
  <c r="L2" i="63"/>
  <c r="C2" i="63"/>
  <c r="H3" i="63"/>
  <c r="I2" i="63"/>
  <c r="G2" i="63"/>
  <c r="C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<sst xmlns="http://schemas.openxmlformats.org/spreadsheetml/2006/main" count="1240" uniqueCount="46">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</sst>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278.49344262300514</v>
      </c>
      <c r="H2" s="2"/>
      <c r="I2" s="6" t="s">
        <v>12</v>
      </c>
      <c r="J2" s="2"/>
      <c r="K2" s="7" t="s">
        <v>13</v>
      </c>
      <c r="L2" s="3">
        <f>L4*I6*L9/100*100</f>
        <v>24.79202883</v>
      </c>
      <c r="M2" s="8" t="s">
        <v>14</v>
      </c>
      <c r="N2" s="9"/>
      <c r="O2" s="2">
        <f>ABS(S7-S6)/ABS(T7-T6)*1000</f>
        <v>834.9816393447494</v>
      </c>
      <c r="P2" s="2"/>
      <c r="Q2" s="6" t="s">
        <v>15</v>
      </c>
      <c r="R2" s="2"/>
      <c r="S2" s="7" t="s">
        <v>13</v>
      </c>
      <c r="T2" s="3">
        <f>T4*Q6*T9/100*100</f>
        <v>22.454882114999997</v>
      </c>
      <c r="U2" s="8" t="s">
        <v>14</v>
      </c>
      <c r="X2" s="9"/>
      <c r="Y2" s="2">
        <f>ABS(AC7-AC6)/ABS(AD7-AD6)*1000</f>
        <v>3161.3278688543028</v>
      </c>
      <c r="Z2" s="2"/>
      <c r="AA2" s="6" t="s">
        <v>12</v>
      </c>
      <c r="AB2" s="2"/>
      <c r="AC2" s="7" t="s">
        <v>13</v>
      </c>
      <c r="AD2" s="3">
        <f>AD4*AA6*AD9/100*100</f>
        <v>26.514033000000005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3300.8096774232645</v>
      </c>
      <c r="AR2" s="2"/>
      <c r="AS2" s="6" t="s">
        <v>12</v>
      </c>
      <c r="AT2" s="2"/>
      <c r="AU2" s="7" t="s">
        <v>13</v>
      </c>
      <c r="AV2" s="3">
        <f>AV4*AS6*AV9/100*100</f>
        <v>27.514300464000002</v>
      </c>
      <c r="AW2" s="8" t="s">
        <v>14</v>
      </c>
      <c r="AX2" s="9"/>
      <c r="AY2" s="2">
        <f>ABS(BC7-BC6)/ABS(BD7-BD6)*1000</f>
        <v>1826.1309677440988</v>
      </c>
      <c r="AZ2" s="2"/>
      <c r="BA2" s="6" t="s">
        <v>15</v>
      </c>
      <c r="BB2" s="2"/>
      <c r="BC2" s="7" t="s">
        <v>13</v>
      </c>
      <c r="BD2" s="3">
        <f>BD4*BA6*BD9/100*100</f>
        <v>26.718010215000003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1.73309</v>
      </c>
      <c r="J3" s="2"/>
      <c r="K3" s="10">
        <f>INDEX(L11:L1056,MATCH(I3,K11:K1056,0))</f>
        <v>-5.2032500000000006</v>
      </c>
      <c r="L3" s="31" t="s">
        <v>16</v>
      </c>
      <c r="M3" s="11">
        <f>M9</f>
        <v>24.79202883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0.66589399999999999</v>
      </c>
      <c r="T3" s="31" t="s">
        <v>16</v>
      </c>
      <c r="U3" s="11">
        <f>U9</f>
        <v>22.454882114999997</v>
      </c>
      <c r="X3" s="9"/>
      <c r="Y3" s="2" t="s">
        <v>44</v>
      </c>
      <c r="Z3" s="2"/>
      <c r="AA3" s="2">
        <f>INDEX(AC11:AC856,MATCH(0,AD11:AD856,1))</f>
        <v>1.7379800000000001</v>
      </c>
      <c r="AB3" s="2"/>
      <c r="AC3" s="10">
        <f>INDEX(AD11:AD1056,MATCH(AA3,AC11:AC1056,0))</f>
        <v>-0.54565399999999997</v>
      </c>
      <c r="AD3" s="31" t="s">
        <v>16</v>
      </c>
      <c r="AE3" s="11">
        <f>AE9</f>
        <v>26.514033000000001</v>
      </c>
      <c r="AF3" s="9"/>
      <c r="AG3" s="2" t="s">
        <v>44</v>
      </c>
      <c r="AH3" s="2"/>
      <c r="AI3" s="2">
        <f>INDEX(AK11:AK1056,MATCH(0,AL11:AL1056,-1))</f>
        <v>1.7315700000000001</v>
      </c>
      <c r="AJ3" s="2"/>
      <c r="AK3" s="10">
        <f>INDEX(AL11:AL1056,MATCH(AI3,AK11:AK1056,0))</f>
        <v>1.3583399999999999</v>
      </c>
      <c r="AL3" s="31" t="s">
        <v>16</v>
      </c>
      <c r="AM3" s="11">
        <f>AM9</f>
        <v>26.253204275999998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-1.5377800000000001</v>
      </c>
      <c r="AV3" s="31" t="s">
        <v>16</v>
      </c>
      <c r="AW3" s="11">
        <f>AW9</f>
        <v>27.514300464000002</v>
      </c>
      <c r="AX3" s="9"/>
      <c r="AY3" s="2" t="s">
        <v>44</v>
      </c>
      <c r="AZ3" s="2"/>
      <c r="BA3" s="2">
        <f>INDEX(BC11:BC1056,MATCH(0,BD11:BD1056,-1))</f>
        <v>1.72668</v>
      </c>
      <c r="BB3" s="2"/>
      <c r="BC3" s="10">
        <f>INDEX(BD11:BD1056,MATCH(BA3,BC11:BC1056,0))</f>
        <v>2.8833000000000002</v>
      </c>
      <c r="BD3" s="31" t="s">
        <v>16</v>
      </c>
      <c r="BE3" s="11">
        <f>BE9</f>
        <v>26.718010215000003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0.77937803245418169</v>
      </c>
      <c r="H4" s="2"/>
      <c r="I4" s="2">
        <f>INDEX(K11:K1000,1+MATCH(0,L11:L856,1))</f>
        <v>1.7285200000000001</v>
      </c>
      <c r="J4" s="2"/>
      <c r="K4" s="10">
        <f>INDEX(L11:L1056,MATCH(I4,K11:K1056,0))</f>
        <v>0.66039999999999999</v>
      </c>
      <c r="L4" s="30">
        <f>M3/(I6*L9)</f>
        <v>0.88586269727764866</v>
      </c>
      <c r="M4" s="8" t="s">
        <v>17</v>
      </c>
      <c r="N4" s="9"/>
      <c r="O4" s="2">
        <f>ABS(Q3-Q4)/ABS(S3-S4)*1000</f>
        <v>1.0809967040034782</v>
      </c>
      <c r="P4" s="2"/>
      <c r="Q4" s="2">
        <f>INDEX(S11:S856,1+MATCH(0,T11:T856,-1))</f>
        <v>1.72729</v>
      </c>
      <c r="R4" s="2"/>
      <c r="S4" s="10">
        <f>INDEX(T11:T856,MATCH(Q4,S11:S856,0))</f>
        <v>-4.1259799999999993</v>
      </c>
      <c r="T4" s="30">
        <f>U3/(Q6*T9)</f>
        <v>0.79616358016824229</v>
      </c>
      <c r="U4" s="8" t="s">
        <v>17</v>
      </c>
      <c r="X4" s="9"/>
      <c r="Y4" s="2">
        <f>ABS(AA3-AA4)/ABS(AC3-AC4)*1000</f>
        <v>2.0723194231531599</v>
      </c>
      <c r="Z4" s="2"/>
      <c r="AA4" s="2">
        <f>INDEX(AC11:AC1000,1+MATCH(0,AD11:AD856,1))</f>
        <v>1.7334000000000001</v>
      </c>
      <c r="AB4" s="2"/>
      <c r="AC4" s="10">
        <f>INDEX(AD11:AD1056,MATCH(AA4,AC11:AC1056,0))</f>
        <v>1.6644299999999999</v>
      </c>
      <c r="AD4" s="30">
        <f>AE3/(AA6*AD9)</f>
        <v>0.85648450081362693</v>
      </c>
      <c r="AE4" s="8" t="s">
        <v>17</v>
      </c>
      <c r="AF4" s="9"/>
      <c r="AG4" s="2">
        <f>ABS(AI3-AI4)/ABS(AK3-AK4)*1000</f>
        <v>1.149546028417576</v>
      </c>
      <c r="AH4" s="2"/>
      <c r="AI4" s="2">
        <f>INDEX(AK11:AK856,1+MATCH(0,AL11:AL856,-1))</f>
        <v>1.7373700000000001</v>
      </c>
      <c r="AJ4" s="2"/>
      <c r="AK4" s="10">
        <f>INDEX(AL11:AL856,MATCH(AI4,AK11:AK856,0))</f>
        <v>-3.6871299999999998</v>
      </c>
      <c r="AL4" s="30" t="e">
        <f>AM3/(AI6*AL9)</f>
        <v>#DIV/0!</v>
      </c>
      <c r="AM4" s="8" t="s">
        <v>17</v>
      </c>
      <c r="AP4" s="9"/>
      <c r="AQ4" s="2">
        <f>ABS(AS3-AS4)/ABS(AU3-AU4)*1000</f>
        <v>1.2157465280367707</v>
      </c>
      <c r="AR4" s="2"/>
      <c r="AS4" s="2">
        <f>INDEX(AU11:AU1000,1+MATCH(0,AV11:AV856,1))</f>
        <v>1.7337</v>
      </c>
      <c r="AT4" s="2"/>
      <c r="AU4" s="10">
        <f>INDEX(AV11:AV1056,MATCH(AS4,AU11:AU1056,0))</f>
        <v>2.4844400000000002</v>
      </c>
      <c r="AV4" s="30">
        <f>AW3/(AS6*AV9)</f>
        <v>0.86554720605970958</v>
      </c>
      <c r="AW4" s="8" t="s">
        <v>17</v>
      </c>
      <c r="AX4" s="9"/>
      <c r="AY4" s="2">
        <f>ABS(BA3-BA4)/ABS(BC3-BC4)*1000</f>
        <v>1.3060196287539212</v>
      </c>
      <c r="AZ4" s="2"/>
      <c r="BA4" s="2">
        <f>INDEX(BC11:BC856,1+MATCH(0,BD11:BD856,-1))</f>
        <v>1.7315700000000001</v>
      </c>
      <c r="BB4" s="2"/>
      <c r="BC4" s="10">
        <f>INDEX(BD11:BD856,MATCH(BA4,BC11:BC856,0))</f>
        <v>-0.86090099999999992</v>
      </c>
      <c r="BD4" s="30">
        <f>BE3/(BA6*BD9)</f>
        <v>0.84687833134446855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14.9445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13.589499999999999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16.745000000000001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16.543599999999998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17.2668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16.836500000000001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1.7290347012526328</v>
      </c>
      <c r="J6" s="30"/>
      <c r="K6" s="13">
        <f>INDEX(K11:K1056,MATCH(L6,L11:L1056,0))</f>
        <v>2.42004E-3</v>
      </c>
      <c r="L6" s="10">
        <f>INDEX(L11:L1056,MATCH(0,K11:K1056,-1))</f>
        <v>16.177400000000002</v>
      </c>
      <c r="M6" s="8" t="s">
        <v>22</v>
      </c>
      <c r="N6" s="9"/>
      <c r="O6" s="2"/>
      <c r="P6" s="2"/>
      <c r="Q6" s="34">
        <f>(Q3-Q4)/(S3-S4)*(-S4)+Q4</f>
        <v>1.7228298292192157</v>
      </c>
      <c r="R6" s="34"/>
      <c r="S6" s="13">
        <f>INDEX(S11:S1056,MATCH(T6,T11:T1056,0))</f>
        <v>-4.2114300000000004E-3</v>
      </c>
      <c r="T6" s="10">
        <f>INDEX(T11:T1056,MATCH(0,S11:S1056,1))</f>
        <v>16.375699999999998</v>
      </c>
      <c r="U6" s="8" t="s">
        <v>22</v>
      </c>
      <c r="X6" s="9"/>
      <c r="Y6" s="2"/>
      <c r="Z6" s="2"/>
      <c r="AA6" s="30">
        <f>(AA3-AA4)/(AC3-AC4)*(-AC4)+AA4</f>
        <v>1.7368492306174788</v>
      </c>
      <c r="AB6" s="30"/>
      <c r="AC6" s="13">
        <f>INDEX(AC11:AC1056,MATCH(AD6,AD11:AD1056,0))</f>
        <v>4.2514000000000003E-2</v>
      </c>
      <c r="AD6" s="10">
        <f>INDEX(AD11:AD1056,MATCH(0,AC11:AC1056,-1))</f>
        <v>17.810099999999998</v>
      </c>
      <c r="AE6" s="8" t="s">
        <v>22</v>
      </c>
      <c r="AF6" s="9"/>
      <c r="AG6" s="2"/>
      <c r="AH6" s="2"/>
      <c r="AI6" s="34">
        <f>(AI3-AI4)/(AK3-AK4)*(-AK4)+AI4</f>
        <v>1.7331314743522408</v>
      </c>
      <c r="AJ6" s="34"/>
      <c r="AK6" s="13">
        <f>INDEX(AK11:AK1056,MATCH(AL6,AL11:AL1056,0))</f>
        <v>-4.8767100000000002E-3</v>
      </c>
      <c r="AL6" s="10">
        <f>INDEX(AL11:AL1056,MATCH(0,AK11:AK1056,1))</f>
        <v>17.730699999999999</v>
      </c>
      <c r="AM6" s="8" t="s">
        <v>22</v>
      </c>
      <c r="AP6" s="9"/>
      <c r="AQ6" s="2"/>
      <c r="AR6" s="2"/>
      <c r="AS6" s="30">
        <f>(AS3-AS4)/(AU3-AU4)*(-AU4)+AS4</f>
        <v>1.7367204493041157</v>
      </c>
      <c r="AT6" s="30"/>
      <c r="AU6" s="13">
        <f>INDEX(AU11:AU1056,MATCH(AV6,AV11:AV1056,0))</f>
        <v>1.76727E-2</v>
      </c>
      <c r="AV6" s="10">
        <f>INDEX(AV11:AV1056,MATCH(0,AU11:AU1056,-1))</f>
        <v>18.298300000000001</v>
      </c>
      <c r="AW6" s="8" t="s">
        <v>22</v>
      </c>
      <c r="AX6" s="9"/>
      <c r="AY6" s="2"/>
      <c r="AZ6" s="2"/>
      <c r="BA6" s="34">
        <f>(BA3-BA4)/(BC3-BC4)*(-BC4)+BA4</f>
        <v>1.7304456463955862</v>
      </c>
      <c r="BB6" s="34"/>
      <c r="BC6" s="13">
        <f>INDEX(BC11:BC1056,MATCH(BD6,BD11:BD1056,0))</f>
        <v>-4.9041700000000002E-3</v>
      </c>
      <c r="BD6" s="10">
        <f>INDEX(BD11:BD1056,MATCH(0,BC11:BC1056,1))</f>
        <v>18.234299999999998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-2.6763899999999998E-3</v>
      </c>
      <c r="L7" s="10">
        <f>INDEX(L11:L856,1+MATCH(0,K11:K856,-1))</f>
        <v>16.195699999999999</v>
      </c>
      <c r="M7" s="12">
        <f>INDEX(K11:K1056,MATCH(M9,M11:M1056,0))</f>
        <v>1.65863</v>
      </c>
      <c r="N7" s="9"/>
      <c r="O7" s="2"/>
      <c r="P7" s="2"/>
      <c r="Q7" s="2"/>
      <c r="R7" s="2"/>
      <c r="S7" s="13">
        <f>INDEX(S11:S1056,MATCH(T7,T11:T1056,0))</f>
        <v>8.8195799999999996E-4</v>
      </c>
      <c r="T7" s="10">
        <f>INDEX(T11:T1056,1+MATCH(0,S11:S1056,1))</f>
        <v>16.369600000000002</v>
      </c>
      <c r="U7" s="12">
        <f>INDEX(S11:S1056,MATCH(U9,U11:U1056,0))</f>
        <v>1.6513100000000001</v>
      </c>
      <c r="X7" s="9"/>
      <c r="Y7" s="2"/>
      <c r="Z7" s="2"/>
      <c r="AA7" s="2"/>
      <c r="AB7" s="2"/>
      <c r="AC7" s="13">
        <f>INDEX(AC11:AC856,MATCH(AD7,AD11:AD856,1))</f>
        <v>6.1798100000000002E-2</v>
      </c>
      <c r="AD7" s="10">
        <f>INDEX(AD11:AD856,1+MATCH(0,AC11:AC856,-1))</f>
        <v>17.804000000000002</v>
      </c>
      <c r="AE7" s="12">
        <f>INDEX(AC11:AC1056,MATCH(AE9,AE11:AE1056,0))</f>
        <v>1.5829500000000001</v>
      </c>
      <c r="AF7" s="9"/>
      <c r="AG7" s="2"/>
      <c r="AH7" s="2"/>
      <c r="AI7" s="2"/>
      <c r="AJ7" s="2"/>
      <c r="AK7" s="13">
        <f>INDEX(AK11:AK1056,MATCH(AL7,AL11:AL1056,0))</f>
        <v>-4.8767100000000002E-3</v>
      </c>
      <c r="AL7" s="10">
        <f>INDEX(AL11:AL1056,1+MATCH(0,AK11:AK1056,1))</f>
        <v>17.730699999999999</v>
      </c>
      <c r="AM7" s="12">
        <f>INDEX(AK11:AK1056,MATCH(AM9,AM11:AM1056,0))</f>
        <v>1.5860000000000001</v>
      </c>
      <c r="AP7" s="9"/>
      <c r="AQ7" s="2"/>
      <c r="AR7" s="2"/>
      <c r="AS7" s="2"/>
      <c r="AT7" s="2"/>
      <c r="AU7" s="13">
        <f>INDEX(AU11:AU856,MATCH(AV7,AV11:AV856,1))</f>
        <v>7.4401900000000002E-3</v>
      </c>
      <c r="AV7" s="10">
        <f>INDEX(AV11:AV856,1+MATCH(0,AU11:AU856,-1))</f>
        <v>18.301399999999997</v>
      </c>
      <c r="AW7" s="12">
        <f>INDEX(AU11:AU1056,MATCH(AW9,AW11:AW1056,0))</f>
        <v>1.5924100000000001</v>
      </c>
      <c r="AX7" s="9"/>
      <c r="AY7" s="2"/>
      <c r="AZ7" s="2"/>
      <c r="BA7" s="2"/>
      <c r="BB7" s="2"/>
      <c r="BC7" s="13">
        <f>INDEX(BC11:BC1056,MATCH(BD7,BD11:BD1056,0))</f>
        <v>7.5683599999999999E-4</v>
      </c>
      <c r="BD7" s="10">
        <f>INDEX(BD11:BD1056,1+MATCH(0,BC11:BC1056,1))</f>
        <v>18.231200000000001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9.4270087011672903</v>
      </c>
      <c r="J9" s="2"/>
      <c r="K9" s="2"/>
      <c r="L9" s="3">
        <f>(L6-L7)/(K6-K7)*(-K7)+L7</f>
        <v>16.186089755770215</v>
      </c>
      <c r="M9" s="16">
        <f>MAX(M11:M1056)</f>
        <v>24.79202883</v>
      </c>
      <c r="N9" s="9"/>
      <c r="O9" s="2"/>
      <c r="P9" s="2"/>
      <c r="Q9" s="2"/>
      <c r="R9" s="2"/>
      <c r="S9" s="2"/>
      <c r="T9" s="3">
        <f>(T6-T7)/(S6-S7)*(-S7)+T7</f>
        <v>16.370656260351659</v>
      </c>
      <c r="U9" s="16">
        <f>MAX(U11:U1056)</f>
        <v>22.454882114999997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17.823548146400395</v>
      </c>
      <c r="AE9" s="16">
        <f>MAX(AE11:AE1056)</f>
        <v>26.514033000000001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26.253204275999998</v>
      </c>
      <c r="AP9" s="9"/>
      <c r="AQ9" s="2"/>
      <c r="AR9" s="2"/>
      <c r="AS9" s="15">
        <f>(MAX(AV2,BD2)-MIN(AV2,BD2))/MAX(AV2,BD2)%</f>
        <v>2.8940959267413424</v>
      </c>
      <c r="AT9" s="2"/>
      <c r="AU9" s="2"/>
      <c r="AV9" s="3">
        <f>(AV6-AV7)/(AU6-AU7)*(-AU7)+AV7</f>
        <v>18.30365404998382</v>
      </c>
      <c r="AW9" s="16">
        <f>MAX(AW11:AW1056)</f>
        <v>27.514300464000002</v>
      </c>
      <c r="AX9" s="9"/>
      <c r="AY9" s="2"/>
      <c r="AZ9" s="2"/>
      <c r="BA9" s="2"/>
      <c r="BB9" s="2"/>
      <c r="BC9" s="2"/>
      <c r="BD9" s="3">
        <f>(BD6-BD7)/(BC6-BC7)*(-BC7)+BD7</f>
        <v>18.23161444782076</v>
      </c>
      <c r="BE9" s="16">
        <f>MAX(BE11:BE1056)</f>
        <v>26.718010215000003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1.7290347012526328</v>
      </c>
      <c r="B11" s="19">
        <f>IFERROR(L9,0)</f>
        <v>16.186089755770215</v>
      </c>
      <c r="C11" s="20">
        <f>IFERROR(L4,0)</f>
        <v>0.88586269727764866</v>
      </c>
      <c r="D11" s="21">
        <f>IFERROR(L2,0)</f>
        <v>24.79202883</v>
      </c>
      <c r="E11" s="21">
        <f>IFERROR(I9,0)</f>
        <v>9.4270087011672903</v>
      </c>
      <c r="F11" s="9"/>
      <c r="G11" s="22">
        <v>1.7948900000000001</v>
      </c>
      <c r="H11" s="22">
        <v>48.455500000000001</v>
      </c>
      <c r="I11" s="22">
        <v>9.7930900000000001E-2</v>
      </c>
      <c r="J11" s="22">
        <v>1</v>
      </c>
      <c r="K11" s="22">
        <v>1.79565</v>
      </c>
      <c r="L11">
        <f>-I11/$F$2*1000</f>
        <v>-97.930900000000008</v>
      </c>
      <c r="M11">
        <f>L11*G11</f>
        <v>-175.77519310100001</v>
      </c>
      <c r="N11" s="9"/>
      <c r="O11" s="22">
        <v>-9.49097E-2</v>
      </c>
      <c r="P11" s="22">
        <v>163.797</v>
      </c>
      <c r="Q11" s="22">
        <v>-1.68945E-2</v>
      </c>
      <c r="R11" s="22">
        <v>1</v>
      </c>
      <c r="S11" s="22">
        <v>-9.4848600000000005E-2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1.7948900000000001</v>
      </c>
      <c r="Z11" s="22">
        <v>262.01400000000001</v>
      </c>
      <c r="AA11" s="22">
        <v>8.6883500000000002E-2</v>
      </c>
      <c r="AB11" s="22">
        <v>1</v>
      </c>
      <c r="AC11" s="22">
        <v>1.79413</v>
      </c>
      <c r="AD11">
        <f>-AA11/$F$2*1000</f>
        <v>-86.883499999999998</v>
      </c>
      <c r="AE11">
        <f>AD11*Y11</f>
        <v>-155.946325315</v>
      </c>
      <c r="AF11" s="9"/>
      <c r="AG11" s="22">
        <v>-9.49097E-2</v>
      </c>
      <c r="AH11" s="22">
        <v>337.74900000000002</v>
      </c>
      <c r="AI11" s="22">
        <v>-1.7785599999999999E-2</v>
      </c>
      <c r="AJ11" s="22">
        <v>1</v>
      </c>
      <c r="AK11" s="22">
        <v>-9.4726599999999994E-2</v>
      </c>
      <c r="AL11">
        <f>-AI11/$F$2*1000</f>
        <v>17.785599999999999</v>
      </c>
      <c r="AM11">
        <f>AL11*AG11</f>
        <v>-1.6880259603199999</v>
      </c>
      <c r="AP11" s="9"/>
      <c r="AQ11" s="22">
        <v>1.7948900000000001</v>
      </c>
      <c r="AR11" s="22">
        <v>409.95299999999997</v>
      </c>
      <c r="AS11" s="22">
        <v>8.6364700000000003E-2</v>
      </c>
      <c r="AT11" s="22">
        <v>1</v>
      </c>
      <c r="AU11" s="22">
        <v>1.79413</v>
      </c>
      <c r="AV11">
        <f>-AS11/$F$2*1000</f>
        <v>-86.364699999999999</v>
      </c>
      <c r="AW11">
        <f>AV11*AQ11</f>
        <v>-155.015136383</v>
      </c>
      <c r="AX11" s="9"/>
      <c r="AY11" s="22">
        <v>-9.49097E-2</v>
      </c>
      <c r="AZ11" s="22">
        <v>483.36599999999999</v>
      </c>
      <c r="BA11" s="22">
        <v>-1.83655E-2</v>
      </c>
      <c r="BB11" s="22">
        <v>1</v>
      </c>
      <c r="BC11" s="22">
        <v>-9.5733600000000002E-2</v>
      </c>
      <c r="BD11">
        <f>-BA11/$F$2*1000</f>
        <v>18.365500000000001</v>
      </c>
      <c r="BE11">
        <f>BD11*AY11</f>
        <v>-1.7430640953500001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1.7228298292192157</v>
      </c>
      <c r="B12" s="19">
        <f>IFERROR(T9,0)</f>
        <v>16.370656260351659</v>
      </c>
      <c r="C12" s="20">
        <f>IFERROR(T4,0)</f>
        <v>0.79616358016824229</v>
      </c>
      <c r="D12" s="21">
        <f>IFERROR(T2,0)</f>
        <v>22.454882114999997</v>
      </c>
      <c r="E12" s="21"/>
      <c r="F12" s="9"/>
      <c r="G12" s="22">
        <v>1.78986</v>
      </c>
      <c r="H12" s="22">
        <v>48.556199999999997</v>
      </c>
      <c r="I12" s="22">
        <v>9.2346200000000003E-2</v>
      </c>
      <c r="J12" s="22">
        <v>2</v>
      </c>
      <c r="K12" s="22">
        <v>1.78955</v>
      </c>
      <c r="L12">
        <f t="shared" ref="L12:L75" si="0">-I12/$F$2*1000</f>
        <v>-92.34620000000001</v>
      </c>
      <c r="M12">
        <f t="shared" ref="M12:M75" si="1">L12*G12</f>
        <v>-165.28676953200002</v>
      </c>
      <c r="N12" s="9"/>
      <c r="O12" s="22">
        <v>-8.9874300000000004E-2</v>
      </c>
      <c r="P12" s="22">
        <v>163.898</v>
      </c>
      <c r="Q12" s="22">
        <v>-1.6793800000000001E-2</v>
      </c>
      <c r="R12" s="22">
        <v>2</v>
      </c>
      <c r="S12" s="22">
        <v>-8.9813199999999996E-2</v>
      </c>
      <c r="T12">
        <f t="shared" ref="T12:T75" si="2">-Q12/$F$2*1000</f>
        <v>16.793800000000001</v>
      </c>
      <c r="U12">
        <f t="shared" ref="U12:U75" si="3">T12*O12</f>
        <v>-1.5093310193400002</v>
      </c>
      <c r="V12" s="23"/>
      <c r="W12" s="24"/>
      <c r="X12" s="9"/>
      <c r="Y12" s="22">
        <v>1.78986</v>
      </c>
      <c r="Z12" s="22">
        <v>262.11500000000001</v>
      </c>
      <c r="AA12" s="22">
        <v>7.86438E-2</v>
      </c>
      <c r="AB12" s="22">
        <v>2</v>
      </c>
      <c r="AC12" s="22">
        <v>1.78925</v>
      </c>
      <c r="AD12">
        <f t="shared" ref="AD12:AD75" si="4">-AA12/$F$2*1000</f>
        <v>-78.643799999999999</v>
      </c>
      <c r="AE12">
        <f t="shared" ref="AE12:AE75" si="5">AD12*Y12</f>
        <v>-140.761391868</v>
      </c>
      <c r="AF12" s="9"/>
      <c r="AG12" s="22">
        <v>-8.9874300000000004E-2</v>
      </c>
      <c r="AH12" s="22">
        <v>337.85</v>
      </c>
      <c r="AI12" s="22">
        <v>-1.7773400000000002E-2</v>
      </c>
      <c r="AJ12" s="22">
        <v>2</v>
      </c>
      <c r="AK12" s="22">
        <v>-9.0331999999999996E-2</v>
      </c>
      <c r="AL12">
        <f t="shared" ref="AL12:AL75" si="6">-AI12/$F$2*1000</f>
        <v>17.773400000000002</v>
      </c>
      <c r="AM12">
        <f t="shared" ref="AM12:AM75" si="7">AL12*AG12</f>
        <v>-1.5973718836200004</v>
      </c>
      <c r="AP12" s="9"/>
      <c r="AQ12" s="22">
        <v>1.78986</v>
      </c>
      <c r="AR12" s="22">
        <v>410.053</v>
      </c>
      <c r="AS12" s="22">
        <v>7.7850299999999997E-2</v>
      </c>
      <c r="AT12" s="22">
        <v>2</v>
      </c>
      <c r="AU12" s="22">
        <v>1.78864</v>
      </c>
      <c r="AV12">
        <f t="shared" ref="AV12:AV75" si="8">-AS12/$F$2*1000</f>
        <v>-77.850300000000004</v>
      </c>
      <c r="AW12">
        <f t="shared" ref="AW12:AW75" si="9">AV12*AQ12</f>
        <v>-139.34113795800002</v>
      </c>
      <c r="AX12" s="9"/>
      <c r="AY12" s="22">
        <v>-8.9874300000000004E-2</v>
      </c>
      <c r="AZ12" s="22">
        <v>483.46600000000001</v>
      </c>
      <c r="BA12" s="22">
        <v>-1.8335000000000001E-2</v>
      </c>
      <c r="BB12" s="22">
        <v>2</v>
      </c>
      <c r="BC12" s="22">
        <v>-9.0331999999999996E-2</v>
      </c>
      <c r="BD12">
        <f t="shared" ref="BD12:BD75" si="10">-BA12/$F$2*1000</f>
        <v>18.335000000000001</v>
      </c>
      <c r="BE12">
        <f t="shared" ref="BE12:BE75" si="11">BD12*AY12</f>
        <v>-1.6478452905000001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1.7368492306174788</v>
      </c>
      <c r="B13" s="19">
        <f>IFERROR(AD9,0)</f>
        <v>17.823548146400395</v>
      </c>
      <c r="C13" s="20">
        <f>IFERROR(AD4,0)</f>
        <v>0.85648450081362693</v>
      </c>
      <c r="D13" s="21">
        <f>IFERROR(AD2,0)</f>
        <v>26.514033000000005</v>
      </c>
      <c r="E13" s="21">
        <f>IFERROR(AA9,0)</f>
        <v>0</v>
      </c>
      <c r="F13" s="9"/>
      <c r="G13" s="22">
        <v>1.7848200000000001</v>
      </c>
      <c r="H13" s="22">
        <v>48.6569</v>
      </c>
      <c r="I13" s="22">
        <v>7.4310299999999996E-2</v>
      </c>
      <c r="J13" s="22">
        <v>3</v>
      </c>
      <c r="K13" s="22">
        <v>1.7837499999999999</v>
      </c>
      <c r="L13">
        <f t="shared" si="0"/>
        <v>-74.310299999999998</v>
      </c>
      <c r="M13">
        <f t="shared" si="1"/>
        <v>-132.63050964600001</v>
      </c>
      <c r="N13" s="9"/>
      <c r="O13" s="22">
        <v>-8.4838899999999995E-2</v>
      </c>
      <c r="P13" s="22">
        <v>163.999</v>
      </c>
      <c r="Q13" s="22">
        <v>-1.67297E-2</v>
      </c>
      <c r="R13" s="22">
        <v>3</v>
      </c>
      <c r="S13" s="22">
        <v>-8.4869399999999998E-2</v>
      </c>
      <c r="T13">
        <f t="shared" si="2"/>
        <v>16.729700000000001</v>
      </c>
      <c r="U13">
        <f t="shared" si="3"/>
        <v>-1.41932934533</v>
      </c>
      <c r="V13" s="23"/>
      <c r="W13" s="24"/>
      <c r="X13" s="9"/>
      <c r="Y13" s="22">
        <v>1.7848200000000001</v>
      </c>
      <c r="Z13" s="22">
        <v>262.21600000000001</v>
      </c>
      <c r="AA13" s="22">
        <v>7.0373500000000005E-2</v>
      </c>
      <c r="AB13" s="22">
        <v>3</v>
      </c>
      <c r="AC13" s="22">
        <v>1.7843599999999999</v>
      </c>
      <c r="AD13">
        <f t="shared" si="4"/>
        <v>-70.373500000000007</v>
      </c>
      <c r="AE13">
        <f t="shared" si="5"/>
        <v>-125.60403027000002</v>
      </c>
      <c r="AF13" s="9"/>
      <c r="AG13" s="22">
        <v>-8.4838899999999995E-2</v>
      </c>
      <c r="AH13" s="22">
        <v>337.95100000000002</v>
      </c>
      <c r="AI13" s="22">
        <v>-1.77673E-2</v>
      </c>
      <c r="AJ13" s="22">
        <v>3</v>
      </c>
      <c r="AK13" s="22">
        <v>-8.7219199999999997E-2</v>
      </c>
      <c r="AL13">
        <f t="shared" si="6"/>
        <v>17.767299999999999</v>
      </c>
      <c r="AM13">
        <f t="shared" si="7"/>
        <v>-1.5073581879699998</v>
      </c>
      <c r="AP13" s="9"/>
      <c r="AQ13" s="22">
        <v>1.7848200000000001</v>
      </c>
      <c r="AR13" s="22">
        <v>410.154</v>
      </c>
      <c r="AS13" s="22">
        <v>7.0068400000000003E-2</v>
      </c>
      <c r="AT13" s="22">
        <v>3</v>
      </c>
      <c r="AU13" s="22">
        <v>1.78467</v>
      </c>
      <c r="AV13">
        <f t="shared" si="8"/>
        <v>-70.068399999999997</v>
      </c>
      <c r="AW13">
        <f t="shared" si="9"/>
        <v>-125.05948168800001</v>
      </c>
      <c r="AX13" s="9"/>
      <c r="AY13" s="22">
        <v>-8.4838899999999995E-2</v>
      </c>
      <c r="AZ13" s="22">
        <v>483.56700000000001</v>
      </c>
      <c r="BA13" s="22">
        <v>-1.83228E-2</v>
      </c>
      <c r="BB13" s="22">
        <v>3</v>
      </c>
      <c r="BC13" s="22">
        <v>-8.5632299999999995E-2</v>
      </c>
      <c r="BD13">
        <f t="shared" si="10"/>
        <v>18.322800000000001</v>
      </c>
      <c r="BE13">
        <f t="shared" si="11"/>
        <v>-1.5544861969199999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1.7331314743522408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48.757599999999996</v>
      </c>
      <c r="I14" s="22">
        <v>0.10058599999999999</v>
      </c>
      <c r="J14" s="22">
        <v>4</v>
      </c>
      <c r="K14" s="22">
        <v>1.7761199999999999</v>
      </c>
      <c r="L14">
        <f t="shared" si="0"/>
        <v>-100.586</v>
      </c>
      <c r="M14">
        <f t="shared" si="1"/>
        <v>-179.02195694</v>
      </c>
      <c r="N14" s="9"/>
      <c r="O14" s="22">
        <v>-7.9803499999999999E-2</v>
      </c>
      <c r="P14" s="22">
        <v>164.1</v>
      </c>
      <c r="Q14" s="22">
        <v>-1.66748E-2</v>
      </c>
      <c r="R14" s="22">
        <v>4</v>
      </c>
      <c r="S14" s="22">
        <v>-7.9894999999999994E-2</v>
      </c>
      <c r="T14">
        <f t="shared" si="2"/>
        <v>16.674800000000001</v>
      </c>
      <c r="U14">
        <f t="shared" si="3"/>
        <v>-1.3307074018</v>
      </c>
      <c r="V14" s="23"/>
      <c r="W14" s="24"/>
      <c r="X14" s="9"/>
      <c r="Y14" s="22">
        <v>1.77979</v>
      </c>
      <c r="Z14" s="22">
        <v>262.31599999999997</v>
      </c>
      <c r="AA14" s="22">
        <v>6.2011700000000003E-2</v>
      </c>
      <c r="AB14" s="22">
        <v>4</v>
      </c>
      <c r="AC14" s="22">
        <v>1.7791699999999999</v>
      </c>
      <c r="AD14">
        <f t="shared" si="4"/>
        <v>-62.011700000000005</v>
      </c>
      <c r="AE14">
        <f t="shared" si="5"/>
        <v>-110.36780354300001</v>
      </c>
      <c r="AF14" s="9"/>
      <c r="AG14" s="22">
        <v>-7.9803499999999999E-2</v>
      </c>
      <c r="AH14" s="22">
        <v>338.05099999999999</v>
      </c>
      <c r="AI14" s="22">
        <v>-1.7758199999999998E-2</v>
      </c>
      <c r="AJ14" s="22">
        <v>4</v>
      </c>
      <c r="AK14" s="22">
        <v>-7.9864500000000005E-2</v>
      </c>
      <c r="AL14">
        <f t="shared" si="6"/>
        <v>17.758199999999999</v>
      </c>
      <c r="AM14">
        <f t="shared" si="7"/>
        <v>-1.4171665136999998</v>
      </c>
      <c r="AP14" s="9"/>
      <c r="AQ14" s="22">
        <v>1.77979</v>
      </c>
      <c r="AR14" s="22">
        <v>410.255</v>
      </c>
      <c r="AS14" s="22">
        <v>6.2164299999999999E-2</v>
      </c>
      <c r="AT14" s="22">
        <v>4</v>
      </c>
      <c r="AU14" s="22">
        <v>1.7791699999999999</v>
      </c>
      <c r="AV14">
        <f t="shared" si="8"/>
        <v>-62.164299999999997</v>
      </c>
      <c r="AW14">
        <f t="shared" si="9"/>
        <v>-110.639399497</v>
      </c>
      <c r="AX14" s="9"/>
      <c r="AY14" s="22">
        <v>-7.9803499999999999E-2</v>
      </c>
      <c r="AZ14" s="22">
        <v>483.66800000000001</v>
      </c>
      <c r="BA14" s="22">
        <v>-1.8304399999999998E-2</v>
      </c>
      <c r="BB14" s="22">
        <v>4</v>
      </c>
      <c r="BC14" s="22">
        <v>-7.9894999999999994E-2</v>
      </c>
      <c r="BD14">
        <f t="shared" si="10"/>
        <v>18.304399999999998</v>
      </c>
      <c r="BE14">
        <f t="shared" si="11"/>
        <v>-1.4607551853999998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1.7367204493041157</v>
      </c>
      <c r="B15" s="19">
        <f>IFERROR(AV9,0)</f>
        <v>18.30365404998382</v>
      </c>
      <c r="C15" s="20">
        <f>IFERROR(AV4,0)</f>
        <v>0.86554720605970958</v>
      </c>
      <c r="D15" s="21">
        <f>IFERROR(AV2,0)</f>
        <v>27.514300464000002</v>
      </c>
      <c r="E15" s="21">
        <f>IFERROR(AS9,0)</f>
        <v>2.8940959267413424</v>
      </c>
      <c r="F15" s="9"/>
      <c r="G15" s="22">
        <v>1.77475</v>
      </c>
      <c r="H15" s="22">
        <v>48.8583</v>
      </c>
      <c r="I15" s="22">
        <v>5.9661899999999997E-2</v>
      </c>
      <c r="J15" s="22">
        <v>5</v>
      </c>
      <c r="K15" s="22">
        <v>1.77399</v>
      </c>
      <c r="L15">
        <f t="shared" si="0"/>
        <v>-59.661899999999996</v>
      </c>
      <c r="M15">
        <f t="shared" si="1"/>
        <v>-105.88495702499999</v>
      </c>
      <c r="N15" s="9"/>
      <c r="O15" s="22">
        <v>-7.4768100000000004E-2</v>
      </c>
      <c r="P15" s="22">
        <v>164.2</v>
      </c>
      <c r="Q15" s="22">
        <v>-1.6574100000000001E-2</v>
      </c>
      <c r="R15" s="22">
        <v>5</v>
      </c>
      <c r="S15" s="22">
        <v>-7.4768100000000004E-2</v>
      </c>
      <c r="T15">
        <f t="shared" si="2"/>
        <v>16.574100000000001</v>
      </c>
      <c r="U15">
        <f t="shared" si="3"/>
        <v>-1.2392139662100001</v>
      </c>
      <c r="V15" s="23"/>
      <c r="W15" s="24"/>
      <c r="X15" s="9"/>
      <c r="Y15" s="22">
        <v>1.77475</v>
      </c>
      <c r="Z15" s="22">
        <v>262.41699999999997</v>
      </c>
      <c r="AA15" s="22">
        <v>5.4107700000000002E-2</v>
      </c>
      <c r="AB15" s="22">
        <v>5</v>
      </c>
      <c r="AC15" s="22">
        <v>1.77399</v>
      </c>
      <c r="AD15">
        <f t="shared" si="4"/>
        <v>-54.107700000000001</v>
      </c>
      <c r="AE15">
        <f t="shared" si="5"/>
        <v>-96.027640575000007</v>
      </c>
      <c r="AF15" s="9"/>
      <c r="AG15" s="22">
        <v>-7.4768100000000004E-2</v>
      </c>
      <c r="AH15" s="22">
        <v>338.15199999999999</v>
      </c>
      <c r="AI15" s="22">
        <v>-1.7749000000000001E-2</v>
      </c>
      <c r="AJ15" s="22">
        <v>5</v>
      </c>
      <c r="AK15" s="22">
        <v>-7.4432399999999996E-2</v>
      </c>
      <c r="AL15">
        <f t="shared" si="6"/>
        <v>17.749000000000002</v>
      </c>
      <c r="AM15">
        <f t="shared" si="7"/>
        <v>-1.3270590069000003</v>
      </c>
      <c r="AP15" s="9"/>
      <c r="AQ15" s="22">
        <v>1.77475</v>
      </c>
      <c r="AR15" s="22">
        <v>410.35500000000002</v>
      </c>
      <c r="AS15" s="22">
        <v>5.4412799999999997E-2</v>
      </c>
      <c r="AT15" s="22">
        <v>5</v>
      </c>
      <c r="AU15" s="22">
        <v>1.77399</v>
      </c>
      <c r="AV15">
        <f t="shared" si="8"/>
        <v>-54.412799999999997</v>
      </c>
      <c r="AW15">
        <f t="shared" si="9"/>
        <v>-96.569116800000003</v>
      </c>
      <c r="AX15" s="9"/>
      <c r="AY15" s="22">
        <v>-7.4768100000000004E-2</v>
      </c>
      <c r="AZ15" s="22">
        <v>483.76900000000001</v>
      </c>
      <c r="BA15" s="22">
        <v>-1.82983E-2</v>
      </c>
      <c r="BB15" s="22">
        <v>5</v>
      </c>
      <c r="BC15" s="22">
        <v>-7.5561500000000004E-2</v>
      </c>
      <c r="BD15">
        <f t="shared" si="10"/>
        <v>18.298300000000001</v>
      </c>
      <c r="BE15">
        <f t="shared" si="11"/>
        <v>-1.3681291242300002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1.7304456463955862</v>
      </c>
      <c r="B16" s="19">
        <f>IFERROR(BD9,0)</f>
        <v>18.23161444782076</v>
      </c>
      <c r="C16" s="20">
        <f>IFERROR(BD4,0)</f>
        <v>0.84687833134446855</v>
      </c>
      <c r="D16" s="21">
        <f>IFERROR(BD2,0)</f>
        <v>26.718010215000003</v>
      </c>
      <c r="E16" s="21"/>
      <c r="F16" s="9"/>
      <c r="G16" s="22">
        <v>1.7697099999999999</v>
      </c>
      <c r="H16" s="22">
        <v>48.959000000000003</v>
      </c>
      <c r="I16" s="22">
        <v>5.1269500000000003E-2</v>
      </c>
      <c r="J16" s="22">
        <v>6</v>
      </c>
      <c r="K16" s="22">
        <v>1.77521</v>
      </c>
      <c r="L16">
        <f t="shared" si="0"/>
        <v>-51.269500000000001</v>
      </c>
      <c r="M16">
        <f t="shared" si="1"/>
        <v>-90.732146845000003</v>
      </c>
      <c r="N16" s="9"/>
      <c r="O16" s="22">
        <v>-6.9732699999999995E-2</v>
      </c>
      <c r="P16" s="22">
        <v>164.30099999999999</v>
      </c>
      <c r="Q16" s="22">
        <v>-1.64948E-2</v>
      </c>
      <c r="R16" s="22">
        <v>6</v>
      </c>
      <c r="S16" s="22">
        <v>-6.9824200000000003E-2</v>
      </c>
      <c r="T16">
        <f t="shared" si="2"/>
        <v>16.494800000000001</v>
      </c>
      <c r="U16">
        <f t="shared" si="3"/>
        <v>-1.15022693996</v>
      </c>
      <c r="V16" s="23"/>
      <c r="W16" s="24"/>
      <c r="X16" s="9"/>
      <c r="Y16" s="22">
        <v>1.7697099999999999</v>
      </c>
      <c r="Z16" s="22">
        <v>262.51799999999997</v>
      </c>
      <c r="AA16" s="22">
        <v>4.6167E-2</v>
      </c>
      <c r="AB16" s="22">
        <v>6</v>
      </c>
      <c r="AC16" s="22">
        <v>1.7687999999999999</v>
      </c>
      <c r="AD16">
        <f t="shared" si="4"/>
        <v>-46.167000000000002</v>
      </c>
      <c r="AE16">
        <f t="shared" si="5"/>
        <v>-81.70220157</v>
      </c>
      <c r="AF16" s="9"/>
      <c r="AG16" s="22">
        <v>-6.9732699999999995E-2</v>
      </c>
      <c r="AH16" s="22">
        <v>338.25299999999999</v>
      </c>
      <c r="AI16" s="22">
        <v>-1.77521E-2</v>
      </c>
      <c r="AJ16" s="22">
        <v>6</v>
      </c>
      <c r="AK16" s="22">
        <v>-7.0739700000000003E-2</v>
      </c>
      <c r="AL16">
        <f t="shared" si="6"/>
        <v>17.752099999999999</v>
      </c>
      <c r="AM16">
        <f t="shared" si="7"/>
        <v>-1.2379018636699999</v>
      </c>
      <c r="AP16" s="9"/>
      <c r="AQ16" s="22">
        <v>1.7697099999999999</v>
      </c>
      <c r="AR16" s="22">
        <v>410.45600000000002</v>
      </c>
      <c r="AS16" s="22">
        <v>4.6749899999999997E-2</v>
      </c>
      <c r="AT16" s="22">
        <v>6</v>
      </c>
      <c r="AU16" s="22">
        <v>1.7694099999999999</v>
      </c>
      <c r="AV16">
        <f t="shared" si="8"/>
        <v>-46.749899999999997</v>
      </c>
      <c r="AW16">
        <f t="shared" si="9"/>
        <v>-82.733765528999996</v>
      </c>
      <c r="AX16" s="9"/>
      <c r="AY16" s="22">
        <v>-6.9732699999999995E-2</v>
      </c>
      <c r="AZ16" s="22">
        <v>483.86900000000003</v>
      </c>
      <c r="BA16" s="22">
        <v>-1.82953E-2</v>
      </c>
      <c r="BB16" s="22">
        <v>6</v>
      </c>
      <c r="BC16" s="22">
        <v>-7.0098900000000006E-2</v>
      </c>
      <c r="BD16">
        <f t="shared" si="10"/>
        <v>18.295300000000001</v>
      </c>
      <c r="BE16">
        <f t="shared" si="11"/>
        <v>-1.27578066631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49.059699999999999</v>
      </c>
      <c r="I17" s="22">
        <v>4.3142699999999999E-2</v>
      </c>
      <c r="J17" s="22">
        <v>7</v>
      </c>
      <c r="K17" s="22">
        <v>1.7636099999999999</v>
      </c>
      <c r="L17">
        <f t="shared" si="0"/>
        <v>-43.142699999999998</v>
      </c>
      <c r="M17">
        <f t="shared" si="1"/>
        <v>-76.133059836000001</v>
      </c>
      <c r="N17" s="9"/>
      <c r="O17" s="22">
        <v>-6.4697299999999999E-2</v>
      </c>
      <c r="P17" s="22">
        <v>164.40199999999999</v>
      </c>
      <c r="Q17" s="22">
        <v>-1.6439800000000001E-2</v>
      </c>
      <c r="R17" s="22">
        <v>7</v>
      </c>
      <c r="S17" s="22">
        <v>-6.4727800000000002E-2</v>
      </c>
      <c r="T17">
        <f t="shared" si="2"/>
        <v>16.439800000000002</v>
      </c>
      <c r="U17">
        <f t="shared" si="3"/>
        <v>-1.0636106725400001</v>
      </c>
      <c r="V17" s="23"/>
      <c r="W17" s="24"/>
      <c r="X17" s="9"/>
      <c r="Y17" s="22">
        <v>1.76468</v>
      </c>
      <c r="Z17" s="22">
        <v>262.61799999999999</v>
      </c>
      <c r="AA17" s="22">
        <v>3.8214100000000001E-2</v>
      </c>
      <c r="AB17" s="22">
        <v>7</v>
      </c>
      <c r="AC17" s="22">
        <v>1.7639199999999999</v>
      </c>
      <c r="AD17">
        <f t="shared" si="4"/>
        <v>-38.214100000000002</v>
      </c>
      <c r="AE17">
        <f t="shared" si="5"/>
        <v>-67.435657988000003</v>
      </c>
      <c r="AF17" s="9"/>
      <c r="AG17" s="22">
        <v>-6.4697299999999999E-2</v>
      </c>
      <c r="AH17" s="22">
        <v>338.35399999999998</v>
      </c>
      <c r="AI17" s="22">
        <v>-1.7749000000000001E-2</v>
      </c>
      <c r="AJ17" s="22">
        <v>7</v>
      </c>
      <c r="AK17" s="22">
        <v>-6.4788799999999994E-2</v>
      </c>
      <c r="AL17">
        <f t="shared" si="6"/>
        <v>17.749000000000002</v>
      </c>
      <c r="AM17">
        <f t="shared" si="7"/>
        <v>-1.1483123777000002</v>
      </c>
      <c r="AP17" s="9"/>
      <c r="AQ17" s="22">
        <v>1.76468</v>
      </c>
      <c r="AR17" s="22">
        <v>410.55700000000002</v>
      </c>
      <c r="AS17" s="22">
        <v>3.8769499999999998E-2</v>
      </c>
      <c r="AT17" s="22">
        <v>7</v>
      </c>
      <c r="AU17" s="22">
        <v>1.7642199999999999</v>
      </c>
      <c r="AV17">
        <f t="shared" si="8"/>
        <v>-38.769500000000001</v>
      </c>
      <c r="AW17">
        <f t="shared" si="9"/>
        <v>-68.415761259999996</v>
      </c>
      <c r="AX17" s="9"/>
      <c r="AY17" s="22">
        <v>-6.4697299999999999E-2</v>
      </c>
      <c r="AZ17" s="22">
        <v>483.97</v>
      </c>
      <c r="BA17" s="22">
        <v>-1.82861E-2</v>
      </c>
      <c r="BB17" s="22">
        <v>7</v>
      </c>
      <c r="BC17" s="22">
        <v>-6.5155000000000005E-2</v>
      </c>
      <c r="BD17">
        <f t="shared" si="10"/>
        <v>18.286100000000001</v>
      </c>
      <c r="BE17">
        <f t="shared" si="11"/>
        <v>-1.1830612975300001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49.160400000000003</v>
      </c>
      <c r="I18" s="22">
        <v>3.5610999999999997E-2</v>
      </c>
      <c r="J18" s="22">
        <v>8</v>
      </c>
      <c r="K18" s="22">
        <v>1.7593399999999999</v>
      </c>
      <c r="L18">
        <f t="shared" si="0"/>
        <v>-35.610999999999997</v>
      </c>
      <c r="M18">
        <f t="shared" si="1"/>
        <v>-62.662540039999996</v>
      </c>
      <c r="N18" s="9"/>
      <c r="O18" s="22">
        <v>-5.9661899999999997E-2</v>
      </c>
      <c r="P18" s="22">
        <v>164.50200000000001</v>
      </c>
      <c r="Q18" s="22">
        <v>-1.6384900000000001E-2</v>
      </c>
      <c r="R18" s="22">
        <v>8</v>
      </c>
      <c r="S18" s="22">
        <v>-5.98145E-2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1.7596400000000001</v>
      </c>
      <c r="Z18" s="22">
        <v>262.71899999999999</v>
      </c>
      <c r="AA18" s="22">
        <v>3.0291700000000001E-2</v>
      </c>
      <c r="AB18" s="22">
        <v>8</v>
      </c>
      <c r="AC18" s="22">
        <v>1.7587299999999999</v>
      </c>
      <c r="AD18">
        <f t="shared" si="4"/>
        <v>-30.291700000000002</v>
      </c>
      <c r="AE18">
        <f t="shared" si="5"/>
        <v>-53.302486988000005</v>
      </c>
      <c r="AF18" s="9"/>
      <c r="AG18" s="22">
        <v>-5.9661899999999997E-2</v>
      </c>
      <c r="AH18" s="22">
        <v>338.45400000000001</v>
      </c>
      <c r="AI18" s="22">
        <v>-1.7746000000000001E-2</v>
      </c>
      <c r="AJ18" s="22">
        <v>8</v>
      </c>
      <c r="AK18" s="22">
        <v>-6.0150099999999998E-2</v>
      </c>
      <c r="AL18">
        <f t="shared" si="6"/>
        <v>17.746000000000002</v>
      </c>
      <c r="AM18">
        <f t="shared" si="7"/>
        <v>-1.0587600774000001</v>
      </c>
      <c r="AP18" s="9"/>
      <c r="AQ18" s="22">
        <v>1.7596400000000001</v>
      </c>
      <c r="AR18" s="22">
        <v>410.65699999999998</v>
      </c>
      <c r="AS18" s="22">
        <v>3.1274400000000001E-2</v>
      </c>
      <c r="AT18" s="22">
        <v>8</v>
      </c>
      <c r="AU18" s="22">
        <v>1.7587299999999999</v>
      </c>
      <c r="AV18">
        <f t="shared" si="8"/>
        <v>-31.2744</v>
      </c>
      <c r="AW18">
        <f t="shared" si="9"/>
        <v>-55.031685216</v>
      </c>
      <c r="AX18" s="9"/>
      <c r="AY18" s="22">
        <v>-5.9661899999999997E-2</v>
      </c>
      <c r="AZ18" s="22">
        <v>484.07100000000003</v>
      </c>
      <c r="BA18" s="22">
        <v>-1.82831E-2</v>
      </c>
      <c r="BB18" s="22">
        <v>8</v>
      </c>
      <c r="BC18" s="22">
        <v>-5.9722900000000002E-2</v>
      </c>
      <c r="BD18">
        <f t="shared" si="10"/>
        <v>18.283100000000001</v>
      </c>
      <c r="BE18">
        <f t="shared" si="11"/>
        <v>-1.09080448389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49.261099999999999</v>
      </c>
      <c r="I19" s="22">
        <v>2.86041E-2</v>
      </c>
      <c r="J19" s="22">
        <v>9</v>
      </c>
      <c r="K19" s="22">
        <v>1.7541500000000001</v>
      </c>
      <c r="L19">
        <f t="shared" si="0"/>
        <v>-28.604099999999999</v>
      </c>
      <c r="M19">
        <f t="shared" si="1"/>
        <v>-50.189039901000001</v>
      </c>
      <c r="N19" s="9"/>
      <c r="O19" s="22">
        <v>-5.4626500000000001E-2</v>
      </c>
      <c r="P19" s="22">
        <v>164.60300000000001</v>
      </c>
      <c r="Q19" s="22">
        <v>-1.63208E-2</v>
      </c>
      <c r="R19" s="22">
        <v>9</v>
      </c>
      <c r="S19" s="22">
        <v>-5.4779099999999997E-2</v>
      </c>
      <c r="T19">
        <f t="shared" si="2"/>
        <v>16.320799999999998</v>
      </c>
      <c r="U19">
        <f t="shared" si="3"/>
        <v>-0.8915481811999999</v>
      </c>
      <c r="V19" s="23"/>
      <c r="W19" s="24"/>
      <c r="X19" s="9"/>
      <c r="Y19" s="22">
        <v>1.75461</v>
      </c>
      <c r="Z19" s="22">
        <v>262.82</v>
      </c>
      <c r="AA19" s="22">
        <v>2.2451800000000001E-2</v>
      </c>
      <c r="AB19" s="22">
        <v>9</v>
      </c>
      <c r="AC19" s="22">
        <v>1.7538499999999999</v>
      </c>
      <c r="AD19">
        <f t="shared" si="4"/>
        <v>-22.451800000000002</v>
      </c>
      <c r="AE19">
        <f t="shared" si="5"/>
        <v>-39.394152798000007</v>
      </c>
      <c r="AF19" s="9"/>
      <c r="AG19" s="22">
        <v>-5.4626500000000001E-2</v>
      </c>
      <c r="AH19" s="22">
        <v>338.55500000000001</v>
      </c>
      <c r="AI19" s="22">
        <v>-1.7742899999999999E-2</v>
      </c>
      <c r="AJ19" s="22">
        <v>9</v>
      </c>
      <c r="AK19" s="22">
        <v>-5.4534899999999997E-2</v>
      </c>
      <c r="AL19">
        <f t="shared" si="6"/>
        <v>17.742899999999999</v>
      </c>
      <c r="AM19">
        <f t="shared" si="7"/>
        <v>-0.96923252684999994</v>
      </c>
      <c r="AP19" s="9"/>
      <c r="AQ19" s="22">
        <v>1.75461</v>
      </c>
      <c r="AR19" s="22">
        <v>410.75799999999998</v>
      </c>
      <c r="AS19" s="22">
        <v>2.32483E-2</v>
      </c>
      <c r="AT19" s="22">
        <v>9</v>
      </c>
      <c r="AU19" s="22">
        <v>1.7535400000000001</v>
      </c>
      <c r="AV19">
        <f t="shared" si="8"/>
        <v>-23.2483</v>
      </c>
      <c r="AW19">
        <f t="shared" si="9"/>
        <v>-40.791699663000003</v>
      </c>
      <c r="AX19" s="9"/>
      <c r="AY19" s="22">
        <v>-5.4626500000000001E-2</v>
      </c>
      <c r="AZ19" s="22">
        <v>484.17099999999999</v>
      </c>
      <c r="BA19" s="22">
        <v>-1.8277000000000002E-2</v>
      </c>
      <c r="BB19" s="22">
        <v>9</v>
      </c>
      <c r="BC19" s="22">
        <v>-5.4962200000000003E-2</v>
      </c>
      <c r="BD19">
        <f t="shared" si="10"/>
        <v>18.277000000000001</v>
      </c>
      <c r="BE19">
        <f t="shared" si="11"/>
        <v>-0.99840854050000005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49.361800000000002</v>
      </c>
      <c r="I20" s="22">
        <v>2.16125E-2</v>
      </c>
      <c r="J20" s="22">
        <v>10</v>
      </c>
      <c r="K20" s="22">
        <v>1.7486600000000001</v>
      </c>
      <c r="L20">
        <f t="shared" si="0"/>
        <v>-21.612500000000001</v>
      </c>
      <c r="M20">
        <f t="shared" si="1"/>
        <v>-37.812581625</v>
      </c>
      <c r="N20" s="9"/>
      <c r="O20" s="22">
        <v>-4.9591099999999999E-2</v>
      </c>
      <c r="P20" s="22">
        <v>164.70400000000001</v>
      </c>
      <c r="Q20" s="22">
        <v>-1.6409300000000002E-2</v>
      </c>
      <c r="R20" s="22">
        <v>10</v>
      </c>
      <c r="S20" s="22">
        <v>-4.98047E-2</v>
      </c>
      <c r="T20">
        <f t="shared" si="2"/>
        <v>16.409300000000002</v>
      </c>
      <c r="U20">
        <f t="shared" si="3"/>
        <v>-0.81375523723000009</v>
      </c>
      <c r="V20" s="23"/>
      <c r="W20" s="24"/>
      <c r="X20" s="9"/>
      <c r="Y20" s="22">
        <v>1.7495700000000001</v>
      </c>
      <c r="Z20" s="22">
        <v>262.92</v>
      </c>
      <c r="AA20" s="22">
        <v>1.4654500000000001E-2</v>
      </c>
      <c r="AB20" s="22">
        <v>10</v>
      </c>
      <c r="AC20" s="22">
        <v>1.7486600000000001</v>
      </c>
      <c r="AD20">
        <f t="shared" si="4"/>
        <v>-14.654500000000001</v>
      </c>
      <c r="AE20">
        <f t="shared" si="5"/>
        <v>-25.639073565</v>
      </c>
      <c r="AF20" s="9"/>
      <c r="AG20" s="22">
        <v>-4.9591099999999999E-2</v>
      </c>
      <c r="AH20" s="22">
        <v>338.65600000000001</v>
      </c>
      <c r="AI20" s="22">
        <v>-1.7739899999999999E-2</v>
      </c>
      <c r="AJ20" s="22">
        <v>10</v>
      </c>
      <c r="AK20" s="22">
        <v>-5.03235E-2</v>
      </c>
      <c r="AL20">
        <f t="shared" si="6"/>
        <v>17.739899999999999</v>
      </c>
      <c r="AM20">
        <f t="shared" si="7"/>
        <v>-0.87974115488999993</v>
      </c>
      <c r="AP20" s="9"/>
      <c r="AQ20" s="22">
        <v>1.7495700000000001</v>
      </c>
      <c r="AR20" s="22">
        <v>410.85899999999998</v>
      </c>
      <c r="AS20" s="22">
        <v>1.5933200000000002E-2</v>
      </c>
      <c r="AT20" s="22">
        <v>10</v>
      </c>
      <c r="AU20" s="22">
        <v>1.7486600000000001</v>
      </c>
      <c r="AV20">
        <f t="shared" si="8"/>
        <v>-15.933200000000001</v>
      </c>
      <c r="AW20">
        <f t="shared" si="9"/>
        <v>-27.876248724000003</v>
      </c>
      <c r="AX20" s="9"/>
      <c r="AY20" s="22">
        <v>-4.9591099999999999E-2</v>
      </c>
      <c r="AZ20" s="22">
        <v>484.27199999999999</v>
      </c>
      <c r="BA20" s="22">
        <v>-1.8273899999999999E-2</v>
      </c>
      <c r="BB20" s="22">
        <v>10</v>
      </c>
      <c r="BC20" s="22">
        <v>-4.9987799999999999E-2</v>
      </c>
      <c r="BD20">
        <f t="shared" si="10"/>
        <v>18.273899999999998</v>
      </c>
      <c r="BE20">
        <f t="shared" si="11"/>
        <v>-0.90622280228999985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49.462499999999999</v>
      </c>
      <c r="I21" s="22">
        <v>1.49658E-2</v>
      </c>
      <c r="J21" s="22">
        <v>11</v>
      </c>
      <c r="K21" s="22">
        <v>1.74377</v>
      </c>
      <c r="L21">
        <f t="shared" si="0"/>
        <v>-14.9658</v>
      </c>
      <c r="M21">
        <f t="shared" si="1"/>
        <v>-26.108436731999998</v>
      </c>
      <c r="N21" s="9"/>
      <c r="O21" s="22">
        <v>-4.4555699999999997E-2</v>
      </c>
      <c r="P21" s="22">
        <v>164.80500000000001</v>
      </c>
      <c r="Q21" s="22">
        <v>-1.6354400000000002E-2</v>
      </c>
      <c r="R21" s="22">
        <v>11</v>
      </c>
      <c r="S21" s="22">
        <v>-4.4580099999999998E-2</v>
      </c>
      <c r="T21">
        <f t="shared" si="2"/>
        <v>16.354400000000002</v>
      </c>
      <c r="U21">
        <f t="shared" si="3"/>
        <v>-0.72868174007999997</v>
      </c>
      <c r="V21" s="23"/>
      <c r="W21" s="24"/>
      <c r="X21" s="9"/>
      <c r="Y21" s="22">
        <v>1.74454</v>
      </c>
      <c r="Z21" s="22">
        <v>263.02100000000002</v>
      </c>
      <c r="AA21" s="22">
        <v>7.1899399999999997E-3</v>
      </c>
      <c r="AB21" s="22">
        <v>11</v>
      </c>
      <c r="AC21" s="22">
        <v>1.7434700000000001</v>
      </c>
      <c r="AD21">
        <f t="shared" si="4"/>
        <v>-7.18994</v>
      </c>
      <c r="AE21">
        <f t="shared" si="5"/>
        <v>-12.5431379276</v>
      </c>
      <c r="AF21" s="9"/>
      <c r="AG21" s="22">
        <v>-4.4555699999999997E-2</v>
      </c>
      <c r="AH21" s="22">
        <v>338.75599999999997</v>
      </c>
      <c r="AI21" s="22">
        <v>-1.7746000000000001E-2</v>
      </c>
      <c r="AJ21" s="22">
        <v>11</v>
      </c>
      <c r="AK21" s="22">
        <v>-4.4967699999999999E-2</v>
      </c>
      <c r="AL21">
        <f t="shared" si="6"/>
        <v>17.746000000000002</v>
      </c>
      <c r="AM21">
        <f t="shared" si="7"/>
        <v>-0.79068545220000008</v>
      </c>
      <c r="AP21" s="9"/>
      <c r="AQ21" s="22">
        <v>1.74454</v>
      </c>
      <c r="AR21" s="22">
        <v>410.96</v>
      </c>
      <c r="AS21" s="22">
        <v>8.6425800000000004E-3</v>
      </c>
      <c r="AT21" s="22">
        <v>11</v>
      </c>
      <c r="AU21" s="22">
        <v>1.7440800000000001</v>
      </c>
      <c r="AV21">
        <f t="shared" si="8"/>
        <v>-8.6425800000000006</v>
      </c>
      <c r="AW21">
        <f t="shared" si="9"/>
        <v>-15.077326513200001</v>
      </c>
      <c r="AX21" s="9"/>
      <c r="AY21" s="22">
        <v>-4.4555699999999997E-2</v>
      </c>
      <c r="AZ21" s="22">
        <v>484.37299999999999</v>
      </c>
      <c r="BA21" s="22">
        <v>-1.8264800000000001E-2</v>
      </c>
      <c r="BB21" s="22">
        <v>11</v>
      </c>
      <c r="BC21" s="22">
        <v>-4.4308500000000001E-2</v>
      </c>
      <c r="BD21">
        <f t="shared" si="10"/>
        <v>18.264800000000001</v>
      </c>
      <c r="BE21">
        <f t="shared" si="11"/>
        <v>-0.81380094936000003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49.563299999999998</v>
      </c>
      <c r="I22" s="22">
        <v>1.07971E-2</v>
      </c>
      <c r="J22" s="22">
        <v>12</v>
      </c>
      <c r="K22" s="22">
        <v>1.7385900000000001</v>
      </c>
      <c r="L22">
        <f t="shared" si="0"/>
        <v>-10.7971</v>
      </c>
      <c r="M22">
        <f t="shared" si="1"/>
        <v>-18.781555450000003</v>
      </c>
      <c r="N22" s="9"/>
      <c r="O22" s="22">
        <v>-3.9520300000000001E-2</v>
      </c>
      <c r="P22" s="22">
        <v>164.905</v>
      </c>
      <c r="Q22" s="22">
        <v>-1.6333E-2</v>
      </c>
      <c r="R22" s="22">
        <v>12</v>
      </c>
      <c r="S22" s="22">
        <v>-3.94867E-2</v>
      </c>
      <c r="T22">
        <f t="shared" si="2"/>
        <v>16.333000000000002</v>
      </c>
      <c r="U22">
        <f t="shared" si="3"/>
        <v>-0.64548505990000005</v>
      </c>
      <c r="V22" s="23"/>
      <c r="W22" s="24"/>
      <c r="X22" s="9"/>
      <c r="Y22" s="22">
        <v>1.7395</v>
      </c>
      <c r="Z22" s="22">
        <v>263.12200000000001</v>
      </c>
      <c r="AA22" s="22">
        <v>5.4565400000000002E-4</v>
      </c>
      <c r="AB22" s="22">
        <v>12</v>
      </c>
      <c r="AC22" s="22">
        <v>1.7379800000000001</v>
      </c>
      <c r="AD22">
        <f t="shared" si="4"/>
        <v>-0.54565399999999997</v>
      </c>
      <c r="AE22">
        <f t="shared" si="5"/>
        <v>-0.94916513299999994</v>
      </c>
      <c r="AF22" s="9"/>
      <c r="AG22" s="22">
        <v>-3.9520300000000001E-2</v>
      </c>
      <c r="AH22" s="22">
        <v>338.85700000000003</v>
      </c>
      <c r="AI22" s="22">
        <v>-1.7739899999999999E-2</v>
      </c>
      <c r="AJ22" s="22">
        <v>12</v>
      </c>
      <c r="AK22" s="22">
        <v>-3.9410399999999998E-2</v>
      </c>
      <c r="AL22">
        <f t="shared" si="6"/>
        <v>17.739899999999999</v>
      </c>
      <c r="AM22">
        <f t="shared" si="7"/>
        <v>-0.70108616996999995</v>
      </c>
      <c r="AP22" s="9"/>
      <c r="AQ22" s="22">
        <v>1.7395</v>
      </c>
      <c r="AR22" s="22">
        <v>411.06</v>
      </c>
      <c r="AS22" s="22">
        <v>1.5377800000000001E-3</v>
      </c>
      <c r="AT22" s="22">
        <v>12</v>
      </c>
      <c r="AU22" s="22">
        <v>1.7385900000000001</v>
      </c>
      <c r="AV22">
        <f t="shared" si="8"/>
        <v>-1.5377800000000001</v>
      </c>
      <c r="AW22">
        <f t="shared" si="9"/>
        <v>-2.6749683100000001</v>
      </c>
      <c r="AX22" s="9"/>
      <c r="AY22" s="22">
        <v>-3.9520300000000001E-2</v>
      </c>
      <c r="AZ22" s="22">
        <v>484.47300000000001</v>
      </c>
      <c r="BA22" s="22">
        <v>-1.8261699999999999E-2</v>
      </c>
      <c r="BB22" s="22">
        <v>12</v>
      </c>
      <c r="BC22" s="22">
        <v>-3.9685100000000001E-2</v>
      </c>
      <c r="BD22">
        <f t="shared" si="10"/>
        <v>18.261699999999998</v>
      </c>
      <c r="BE22">
        <f t="shared" si="11"/>
        <v>-0.72170786250999996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49.664000000000001</v>
      </c>
      <c r="I23" s="22">
        <v>5.2032500000000004E-3</v>
      </c>
      <c r="J23" s="22">
        <v>13</v>
      </c>
      <c r="K23" s="22">
        <v>1.73309</v>
      </c>
      <c r="L23">
        <f t="shared" si="0"/>
        <v>-5.2032500000000006</v>
      </c>
      <c r="M23">
        <f t="shared" si="1"/>
        <v>-9.0248810275000011</v>
      </c>
      <c r="N23" s="9"/>
      <c r="O23" s="22">
        <v>-3.4484899999999999E-2</v>
      </c>
      <c r="P23" s="22">
        <v>165.006</v>
      </c>
      <c r="Q23" s="22">
        <v>-1.62506E-2</v>
      </c>
      <c r="R23" s="22">
        <v>13</v>
      </c>
      <c r="S23" s="22">
        <v>-3.4399399999999997E-2</v>
      </c>
      <c r="T23">
        <f t="shared" si="2"/>
        <v>16.250600000000002</v>
      </c>
      <c r="U23">
        <f t="shared" si="3"/>
        <v>-0.56040031594000006</v>
      </c>
      <c r="V23" s="23"/>
      <c r="W23" s="24"/>
      <c r="X23" s="9"/>
      <c r="Y23" s="22">
        <v>1.73447</v>
      </c>
      <c r="Z23" s="22">
        <v>263.22300000000001</v>
      </c>
      <c r="AA23" s="22">
        <v>-1.6644299999999999E-3</v>
      </c>
      <c r="AB23" s="22">
        <v>13</v>
      </c>
      <c r="AC23" s="22">
        <v>1.7334000000000001</v>
      </c>
      <c r="AD23">
        <f t="shared" si="4"/>
        <v>1.6644299999999999</v>
      </c>
      <c r="AE23">
        <f t="shared" si="5"/>
        <v>2.8869039020999998</v>
      </c>
      <c r="AF23" s="9"/>
      <c r="AG23" s="22">
        <v>-3.4484899999999999E-2</v>
      </c>
      <c r="AH23" s="22">
        <v>338.95800000000003</v>
      </c>
      <c r="AI23" s="22">
        <v>-1.7739899999999999E-2</v>
      </c>
      <c r="AJ23" s="22">
        <v>13</v>
      </c>
      <c r="AK23" s="22">
        <v>-3.4799200000000002E-2</v>
      </c>
      <c r="AL23">
        <f t="shared" si="6"/>
        <v>17.739899999999999</v>
      </c>
      <c r="AM23">
        <f t="shared" si="7"/>
        <v>-0.6117586775099999</v>
      </c>
      <c r="AP23" s="9"/>
      <c r="AQ23" s="22">
        <v>1.73447</v>
      </c>
      <c r="AR23" s="22">
        <v>411.161</v>
      </c>
      <c r="AS23" s="22">
        <v>-2.4844400000000001E-3</v>
      </c>
      <c r="AT23" s="22">
        <v>13</v>
      </c>
      <c r="AU23" s="22">
        <v>1.7337</v>
      </c>
      <c r="AV23">
        <f t="shared" si="8"/>
        <v>2.4844400000000002</v>
      </c>
      <c r="AW23">
        <f t="shared" si="9"/>
        <v>4.3091866468000006</v>
      </c>
      <c r="AX23" s="9"/>
      <c r="AY23" s="22">
        <v>-3.4484899999999999E-2</v>
      </c>
      <c r="AZ23" s="22">
        <v>484.57400000000001</v>
      </c>
      <c r="BA23" s="22">
        <v>-1.82556E-2</v>
      </c>
      <c r="BB23" s="22">
        <v>13</v>
      </c>
      <c r="BC23" s="22">
        <v>-3.4258999999999998E-2</v>
      </c>
      <c r="BD23">
        <f t="shared" si="10"/>
        <v>18.255600000000001</v>
      </c>
      <c r="BE23">
        <f t="shared" si="11"/>
        <v>-0.62954254044000002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49.764699999999998</v>
      </c>
      <c r="I24" s="22">
        <v>-6.6040000000000001E-4</v>
      </c>
      <c r="J24" s="22">
        <v>14</v>
      </c>
      <c r="K24" s="22">
        <v>1.7285200000000001</v>
      </c>
      <c r="L24">
        <f t="shared" si="0"/>
        <v>0.66039999999999999</v>
      </c>
      <c r="M24">
        <f t="shared" si="1"/>
        <v>1.142115572</v>
      </c>
      <c r="N24" s="9"/>
      <c r="O24" s="22">
        <v>-2.94495E-2</v>
      </c>
      <c r="P24" s="22">
        <v>165.107</v>
      </c>
      <c r="Q24" s="22">
        <v>-1.6192600000000001E-2</v>
      </c>
      <c r="R24" s="22">
        <v>14</v>
      </c>
      <c r="S24" s="22">
        <v>-2.9440299999999999E-2</v>
      </c>
      <c r="T24">
        <f t="shared" si="2"/>
        <v>16.192600000000002</v>
      </c>
      <c r="U24">
        <f t="shared" si="3"/>
        <v>-0.47686397370000005</v>
      </c>
      <c r="V24" s="23"/>
      <c r="W24" s="24"/>
      <c r="X24" s="9"/>
      <c r="Y24" s="22">
        <v>1.72943</v>
      </c>
      <c r="Z24" s="22">
        <v>263.32299999999998</v>
      </c>
      <c r="AA24" s="22">
        <v>-4.24713E-3</v>
      </c>
      <c r="AB24" s="22">
        <v>14</v>
      </c>
      <c r="AC24" s="22">
        <v>1.72821</v>
      </c>
      <c r="AD24">
        <f t="shared" si="4"/>
        <v>4.2471300000000003</v>
      </c>
      <c r="AE24">
        <f t="shared" si="5"/>
        <v>7.3451140359000009</v>
      </c>
      <c r="AF24" s="9"/>
      <c r="AG24" s="22">
        <v>-2.94495E-2</v>
      </c>
      <c r="AH24" s="22">
        <v>339.05900000000003</v>
      </c>
      <c r="AI24" s="22">
        <v>-1.77368E-2</v>
      </c>
      <c r="AJ24" s="22">
        <v>14</v>
      </c>
      <c r="AK24" s="22">
        <v>-2.97211E-2</v>
      </c>
      <c r="AL24">
        <f t="shared" si="6"/>
        <v>17.736799999999999</v>
      </c>
      <c r="AM24">
        <f t="shared" si="7"/>
        <v>-0.52233989159999994</v>
      </c>
      <c r="AP24" s="9"/>
      <c r="AQ24" s="22">
        <v>1.72943</v>
      </c>
      <c r="AR24" s="22">
        <v>411.262</v>
      </c>
      <c r="AS24" s="22">
        <v>-5.3405800000000002E-3</v>
      </c>
      <c r="AT24" s="22">
        <v>14</v>
      </c>
      <c r="AU24" s="22">
        <v>1.72882</v>
      </c>
      <c r="AV24">
        <f t="shared" si="8"/>
        <v>5.3405800000000001</v>
      </c>
      <c r="AW24">
        <f t="shared" si="9"/>
        <v>9.2361592693999999</v>
      </c>
      <c r="AX24" s="9"/>
      <c r="AY24" s="22">
        <v>-2.94495E-2</v>
      </c>
      <c r="AZ24" s="22">
        <v>484.67500000000001</v>
      </c>
      <c r="BA24" s="22">
        <v>-1.8252600000000001E-2</v>
      </c>
      <c r="BB24" s="22">
        <v>14</v>
      </c>
      <c r="BC24" s="22">
        <v>-2.9428099999999999E-2</v>
      </c>
      <c r="BD24">
        <f t="shared" si="10"/>
        <v>18.252600000000001</v>
      </c>
      <c r="BE24">
        <f t="shared" si="11"/>
        <v>-0.53752994370000007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49.865400000000001</v>
      </c>
      <c r="I25" s="22">
        <v>-3.6776700000000001E-3</v>
      </c>
      <c r="J25" s="22">
        <v>15</v>
      </c>
      <c r="K25" s="22">
        <v>1.72363</v>
      </c>
      <c r="L25">
        <f t="shared" si="0"/>
        <v>3.67767</v>
      </c>
      <c r="M25">
        <f t="shared" si="1"/>
        <v>6.3417741479999998</v>
      </c>
      <c r="N25" s="9"/>
      <c r="O25" s="22">
        <v>-2.4414100000000001E-2</v>
      </c>
      <c r="P25" s="22">
        <v>165.20699999999999</v>
      </c>
      <c r="Q25" s="22">
        <v>-1.6165200000000001E-2</v>
      </c>
      <c r="R25" s="22">
        <v>15</v>
      </c>
      <c r="S25" s="22">
        <v>-2.4380499999999999E-2</v>
      </c>
      <c r="T25">
        <f t="shared" si="2"/>
        <v>16.165200000000002</v>
      </c>
      <c r="U25">
        <f t="shared" si="3"/>
        <v>-0.39465880932000008</v>
      </c>
      <c r="V25" s="23"/>
      <c r="W25" s="24"/>
      <c r="X25" s="9"/>
      <c r="Y25" s="22">
        <v>1.7243999999999999</v>
      </c>
      <c r="Z25" s="22">
        <v>263.42399999999998</v>
      </c>
      <c r="AA25" s="22">
        <v>-6.8878200000000002E-3</v>
      </c>
      <c r="AB25" s="22">
        <v>15</v>
      </c>
      <c r="AC25" s="22">
        <v>1.72302</v>
      </c>
      <c r="AD25">
        <f t="shared" si="4"/>
        <v>6.8878200000000005</v>
      </c>
      <c r="AE25">
        <f t="shared" si="5"/>
        <v>11.877356808</v>
      </c>
      <c r="AF25" s="9"/>
      <c r="AG25" s="22">
        <v>-2.4414100000000001E-2</v>
      </c>
      <c r="AH25" s="22">
        <v>339.15899999999999</v>
      </c>
      <c r="AI25" s="22">
        <v>-1.7733800000000001E-2</v>
      </c>
      <c r="AJ25" s="22">
        <v>15</v>
      </c>
      <c r="AK25" s="22">
        <v>-2.4838300000000001E-2</v>
      </c>
      <c r="AL25">
        <f t="shared" si="6"/>
        <v>17.733800000000002</v>
      </c>
      <c r="AM25">
        <f t="shared" si="7"/>
        <v>-0.43295476658000009</v>
      </c>
      <c r="AP25" s="9"/>
      <c r="AQ25" s="22">
        <v>1.7243999999999999</v>
      </c>
      <c r="AR25" s="22">
        <v>411.36200000000002</v>
      </c>
      <c r="AS25" s="22">
        <v>-7.8063999999999998E-3</v>
      </c>
      <c r="AT25" s="22">
        <v>15</v>
      </c>
      <c r="AU25" s="22">
        <v>1.72394</v>
      </c>
      <c r="AV25">
        <f t="shared" si="8"/>
        <v>7.8064</v>
      </c>
      <c r="AW25">
        <f t="shared" si="9"/>
        <v>13.461356159999999</v>
      </c>
      <c r="AX25" s="9"/>
      <c r="AY25" s="22">
        <v>-2.4414100000000001E-2</v>
      </c>
      <c r="AZ25" s="22">
        <v>484.77600000000001</v>
      </c>
      <c r="BA25" s="22">
        <v>-1.8258699999999999E-2</v>
      </c>
      <c r="BB25" s="22">
        <v>15</v>
      </c>
      <c r="BC25" s="22">
        <v>-2.45819E-2</v>
      </c>
      <c r="BD25">
        <f t="shared" si="10"/>
        <v>18.258699999999997</v>
      </c>
      <c r="BE25">
        <f t="shared" si="11"/>
        <v>-0.44576972766999995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49.966099999999997</v>
      </c>
      <c r="I26" s="22">
        <v>-6.26831E-3</v>
      </c>
      <c r="J26" s="22">
        <v>16</v>
      </c>
      <c r="K26" s="22">
        <v>1.71844</v>
      </c>
      <c r="L26">
        <f t="shared" si="0"/>
        <v>6.2683099999999996</v>
      </c>
      <c r="M26">
        <f t="shared" si="1"/>
        <v>10.777481481599999</v>
      </c>
      <c r="N26" s="9"/>
      <c r="O26" s="22">
        <v>-1.9378699999999999E-2</v>
      </c>
      <c r="P26" s="22">
        <v>165.30799999999999</v>
      </c>
      <c r="Q26" s="22">
        <v>-1.6464199999999998E-2</v>
      </c>
      <c r="R26" s="22">
        <v>16</v>
      </c>
      <c r="S26" s="22">
        <v>-1.93329E-2</v>
      </c>
      <c r="T26">
        <f t="shared" si="2"/>
        <v>16.464199999999998</v>
      </c>
      <c r="U26">
        <f t="shared" si="3"/>
        <v>-0.31905479253999997</v>
      </c>
      <c r="V26" s="23"/>
      <c r="W26" s="24"/>
      <c r="X26" s="9"/>
      <c r="Y26" s="22">
        <v>1.71936</v>
      </c>
      <c r="Z26" s="22">
        <v>263.52499999999998</v>
      </c>
      <c r="AA26" s="22">
        <v>-8.8012699999999999E-3</v>
      </c>
      <c r="AB26" s="22">
        <v>16</v>
      </c>
      <c r="AC26" s="22">
        <v>1.71844</v>
      </c>
      <c r="AD26">
        <f t="shared" si="4"/>
        <v>8.8012700000000006</v>
      </c>
      <c r="AE26">
        <f t="shared" si="5"/>
        <v>15.132551587200002</v>
      </c>
      <c r="AF26" s="9"/>
      <c r="AG26" s="22">
        <v>-1.9378699999999999E-2</v>
      </c>
      <c r="AH26" s="22">
        <v>339.26</v>
      </c>
      <c r="AI26" s="22">
        <v>-1.7733800000000001E-2</v>
      </c>
      <c r="AJ26" s="22">
        <v>16</v>
      </c>
      <c r="AK26" s="22">
        <v>-1.9589200000000001E-2</v>
      </c>
      <c r="AL26">
        <f t="shared" si="6"/>
        <v>17.733800000000002</v>
      </c>
      <c r="AM26">
        <f t="shared" si="7"/>
        <v>-0.34365799006000003</v>
      </c>
      <c r="AP26" s="9"/>
      <c r="AQ26" s="22">
        <v>1.71936</v>
      </c>
      <c r="AR26" s="22">
        <v>411.46300000000002</v>
      </c>
      <c r="AS26" s="22">
        <v>-9.5428500000000003E-3</v>
      </c>
      <c r="AT26" s="22">
        <v>16</v>
      </c>
      <c r="AU26" s="22">
        <v>1.71875</v>
      </c>
      <c r="AV26">
        <f t="shared" si="8"/>
        <v>9.5428499999999996</v>
      </c>
      <c r="AW26">
        <f t="shared" si="9"/>
        <v>16.407594576000001</v>
      </c>
      <c r="AX26" s="9"/>
      <c r="AY26" s="22">
        <v>-1.9378699999999999E-2</v>
      </c>
      <c r="AZ26" s="22">
        <v>484.87599999999998</v>
      </c>
      <c r="BA26" s="22">
        <v>-1.8249499999999998E-2</v>
      </c>
      <c r="BB26" s="22">
        <v>16</v>
      </c>
      <c r="BC26" s="22">
        <v>-1.9543499999999998E-2</v>
      </c>
      <c r="BD26">
        <f t="shared" si="10"/>
        <v>18.249499999999998</v>
      </c>
      <c r="BE26">
        <f t="shared" si="11"/>
        <v>-0.35365158564999993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50.066800000000001</v>
      </c>
      <c r="I27" s="22">
        <v>-8.2946800000000005E-3</v>
      </c>
      <c r="J27" s="22">
        <v>17</v>
      </c>
      <c r="K27" s="22">
        <v>1.71356</v>
      </c>
      <c r="L27">
        <f t="shared" si="0"/>
        <v>8.2946799999999996</v>
      </c>
      <c r="M27">
        <f t="shared" si="1"/>
        <v>14.2197358176</v>
      </c>
      <c r="N27" s="9"/>
      <c r="O27" s="22">
        <v>-1.43433E-2</v>
      </c>
      <c r="P27" s="22">
        <v>165.40899999999999</v>
      </c>
      <c r="Q27" s="22">
        <v>-1.6430699999999999E-2</v>
      </c>
      <c r="R27" s="22">
        <v>17</v>
      </c>
      <c r="S27" s="22">
        <v>-1.43036E-2</v>
      </c>
      <c r="T27">
        <f t="shared" si="2"/>
        <v>16.430699999999998</v>
      </c>
      <c r="U27">
        <f t="shared" si="3"/>
        <v>-0.23567045930999997</v>
      </c>
      <c r="X27" s="9"/>
      <c r="Y27" s="22">
        <v>1.7143200000000001</v>
      </c>
      <c r="Z27" s="22">
        <v>263.625</v>
      </c>
      <c r="AA27" s="22">
        <v>-9.9975600000000008E-3</v>
      </c>
      <c r="AB27" s="22">
        <v>17</v>
      </c>
      <c r="AC27" s="22">
        <v>1.71356</v>
      </c>
      <c r="AD27">
        <f t="shared" si="4"/>
        <v>9.99756</v>
      </c>
      <c r="AE27">
        <f t="shared" si="5"/>
        <v>17.1390170592</v>
      </c>
      <c r="AF27" s="9"/>
      <c r="AG27" s="22">
        <v>-1.43433E-2</v>
      </c>
      <c r="AH27" s="22">
        <v>339.36099999999999</v>
      </c>
      <c r="AI27" s="22">
        <v>-1.7733800000000001E-2</v>
      </c>
      <c r="AJ27" s="22">
        <v>17</v>
      </c>
      <c r="AK27" s="22">
        <v>-1.41724E-2</v>
      </c>
      <c r="AL27">
        <f t="shared" si="6"/>
        <v>17.733800000000002</v>
      </c>
      <c r="AM27">
        <f t="shared" si="7"/>
        <v>-0.25436121354000002</v>
      </c>
      <c r="AP27" s="9"/>
      <c r="AQ27" s="22">
        <v>1.7143200000000001</v>
      </c>
      <c r="AR27" s="22">
        <v>411.56400000000002</v>
      </c>
      <c r="AS27" s="22">
        <v>-1.0876500000000001E-2</v>
      </c>
      <c r="AT27" s="22">
        <v>17</v>
      </c>
      <c r="AU27" s="22">
        <v>1.71326</v>
      </c>
      <c r="AV27">
        <f t="shared" si="8"/>
        <v>10.8765</v>
      </c>
      <c r="AW27">
        <f t="shared" si="9"/>
        <v>18.645801479999999</v>
      </c>
      <c r="AX27" s="9"/>
      <c r="AY27" s="22">
        <v>-1.43433E-2</v>
      </c>
      <c r="AZ27" s="22">
        <v>484.97699999999998</v>
      </c>
      <c r="BA27" s="22">
        <v>-1.8246499999999999E-2</v>
      </c>
      <c r="BB27" s="22">
        <v>17</v>
      </c>
      <c r="BC27" s="22">
        <v>-1.4578199999999999E-2</v>
      </c>
      <c r="BD27">
        <f t="shared" si="10"/>
        <v>18.246499999999997</v>
      </c>
      <c r="BE27">
        <f t="shared" si="11"/>
        <v>-0.26171502344999997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50.167499999999997</v>
      </c>
      <c r="I28" s="22">
        <v>-9.8358200000000003E-3</v>
      </c>
      <c r="J28" s="22">
        <v>18</v>
      </c>
      <c r="K28" s="22">
        <v>1.70868</v>
      </c>
      <c r="L28">
        <f t="shared" si="0"/>
        <v>9.83582</v>
      </c>
      <c r="M28">
        <f t="shared" si="1"/>
        <v>16.812268767799999</v>
      </c>
      <c r="N28" s="9"/>
      <c r="O28" s="22">
        <v>-9.3078599999999994E-3</v>
      </c>
      <c r="P28" s="22">
        <v>165.50899999999999</v>
      </c>
      <c r="Q28" s="22">
        <v>-1.64032E-2</v>
      </c>
      <c r="R28" s="22">
        <v>18</v>
      </c>
      <c r="S28" s="22">
        <v>-9.2590299999999997E-3</v>
      </c>
      <c r="T28">
        <f t="shared" si="2"/>
        <v>16.403199999999998</v>
      </c>
      <c r="U28">
        <f t="shared" si="3"/>
        <v>-0.15267868915199997</v>
      </c>
      <c r="X28" s="9"/>
      <c r="Y28" s="22">
        <v>1.70929</v>
      </c>
      <c r="Z28" s="22">
        <v>263.726</v>
      </c>
      <c r="AA28" s="22">
        <v>-1.09497E-2</v>
      </c>
      <c r="AB28" s="22">
        <v>18</v>
      </c>
      <c r="AC28" s="22">
        <v>1.70868</v>
      </c>
      <c r="AD28">
        <f t="shared" si="4"/>
        <v>10.9497</v>
      </c>
      <c r="AE28">
        <f t="shared" si="5"/>
        <v>18.716212713000001</v>
      </c>
      <c r="AF28" s="9"/>
      <c r="AG28" s="22">
        <v>-9.3078599999999994E-3</v>
      </c>
      <c r="AH28" s="22">
        <v>339.46100000000001</v>
      </c>
      <c r="AI28" s="22">
        <v>-1.7727699999999999E-2</v>
      </c>
      <c r="AJ28" s="22">
        <v>18</v>
      </c>
      <c r="AK28" s="22">
        <v>-9.1766399999999998E-3</v>
      </c>
      <c r="AL28">
        <f t="shared" si="6"/>
        <v>17.727699999999999</v>
      </c>
      <c r="AM28">
        <f t="shared" si="7"/>
        <v>-0.16500694972199997</v>
      </c>
      <c r="AP28" s="9"/>
      <c r="AQ28" s="22">
        <v>1.70929</v>
      </c>
      <c r="AR28" s="22">
        <v>411.66500000000002</v>
      </c>
      <c r="AS28" s="22">
        <v>-1.19049E-2</v>
      </c>
      <c r="AT28" s="22">
        <v>18</v>
      </c>
      <c r="AU28" s="22">
        <v>1.70807</v>
      </c>
      <c r="AV28">
        <f t="shared" si="8"/>
        <v>11.9049</v>
      </c>
      <c r="AW28">
        <f t="shared" si="9"/>
        <v>20.348926520999999</v>
      </c>
      <c r="AX28" s="9"/>
      <c r="AY28" s="22">
        <v>-9.3078599999999994E-3</v>
      </c>
      <c r="AZ28" s="22">
        <v>485.07799999999997</v>
      </c>
      <c r="BA28" s="22">
        <v>-1.82404E-2</v>
      </c>
      <c r="BB28" s="22">
        <v>18</v>
      </c>
      <c r="BC28" s="22">
        <v>-9.5519999999999997E-3</v>
      </c>
      <c r="BD28">
        <f t="shared" si="10"/>
        <v>18.240400000000001</v>
      </c>
      <c r="BE28">
        <f t="shared" si="11"/>
        <v>-0.16977908954400001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50.2682</v>
      </c>
      <c r="I29" s="22">
        <v>-1.10016E-2</v>
      </c>
      <c r="J29" s="22">
        <v>19</v>
      </c>
      <c r="K29" s="22">
        <v>1.7040999999999999</v>
      </c>
      <c r="L29">
        <f t="shared" si="0"/>
        <v>11.0016</v>
      </c>
      <c r="M29">
        <f t="shared" si="1"/>
        <v>18.7494768</v>
      </c>
      <c r="N29" s="9"/>
      <c r="O29" s="22">
        <v>-4.2724599999999996E-3</v>
      </c>
      <c r="P29" s="22">
        <v>165.61</v>
      </c>
      <c r="Q29" s="22">
        <v>-1.63757E-2</v>
      </c>
      <c r="R29" s="22">
        <v>19</v>
      </c>
      <c r="S29" s="22">
        <v>-4.2114300000000004E-3</v>
      </c>
      <c r="T29">
        <f t="shared" si="2"/>
        <v>16.375699999999998</v>
      </c>
      <c r="U29">
        <f t="shared" si="3"/>
        <v>-6.9964523221999989E-2</v>
      </c>
      <c r="X29" s="9"/>
      <c r="Y29" s="22">
        <v>1.70425</v>
      </c>
      <c r="Z29" s="22">
        <v>263.827</v>
      </c>
      <c r="AA29" s="22">
        <v>-1.19232E-2</v>
      </c>
      <c r="AB29" s="22">
        <v>19</v>
      </c>
      <c r="AC29" s="22">
        <v>1.7034899999999999</v>
      </c>
      <c r="AD29">
        <f t="shared" si="4"/>
        <v>11.9232</v>
      </c>
      <c r="AE29">
        <f t="shared" si="5"/>
        <v>20.320113599999999</v>
      </c>
      <c r="AF29" s="9"/>
      <c r="AG29" s="22">
        <v>-4.2724599999999996E-3</v>
      </c>
      <c r="AH29" s="22">
        <v>339.56200000000001</v>
      </c>
      <c r="AI29" s="22">
        <v>-1.7730699999999999E-2</v>
      </c>
      <c r="AJ29" s="22">
        <v>19</v>
      </c>
      <c r="AK29" s="22">
        <v>-4.8767100000000002E-3</v>
      </c>
      <c r="AL29">
        <f t="shared" si="6"/>
        <v>17.730699999999999</v>
      </c>
      <c r="AM29">
        <f t="shared" si="7"/>
        <v>-7.5753706521999989E-2</v>
      </c>
      <c r="AP29" s="9"/>
      <c r="AQ29" s="22">
        <v>1.70425</v>
      </c>
      <c r="AR29" s="22">
        <v>411.76499999999999</v>
      </c>
      <c r="AS29" s="22">
        <v>-1.2677000000000001E-2</v>
      </c>
      <c r="AT29" s="22">
        <v>19</v>
      </c>
      <c r="AU29" s="22">
        <v>1.7034899999999999</v>
      </c>
      <c r="AV29">
        <f t="shared" si="8"/>
        <v>12.677000000000001</v>
      </c>
      <c r="AW29">
        <f t="shared" si="9"/>
        <v>21.604777250000001</v>
      </c>
      <c r="AX29" s="9"/>
      <c r="AY29" s="22">
        <v>-4.2724599999999996E-3</v>
      </c>
      <c r="AZ29" s="22">
        <v>485.178</v>
      </c>
      <c r="BA29" s="22">
        <v>-1.8234299999999998E-2</v>
      </c>
      <c r="BB29" s="22">
        <v>19</v>
      </c>
      <c r="BC29" s="22">
        <v>-4.9041700000000002E-3</v>
      </c>
      <c r="BD29">
        <f t="shared" si="10"/>
        <v>18.234299999999998</v>
      </c>
      <c r="BE29">
        <f t="shared" si="11"/>
        <v>-7.790531737799998E-2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50.368899999999996</v>
      </c>
      <c r="I30" s="22">
        <v>-1.19141E-2</v>
      </c>
      <c r="J30" s="22">
        <v>20</v>
      </c>
      <c r="K30" s="22">
        <v>1.6989099999999999</v>
      </c>
      <c r="L30">
        <f t="shared" si="0"/>
        <v>11.914100000000001</v>
      </c>
      <c r="M30">
        <f t="shared" si="1"/>
        <v>20.244677002000003</v>
      </c>
      <c r="N30" s="9"/>
      <c r="O30" s="22">
        <v>7.6293900000000002E-4</v>
      </c>
      <c r="P30" s="22">
        <v>165.71100000000001</v>
      </c>
      <c r="Q30" s="22">
        <v>-1.6369600000000002E-2</v>
      </c>
      <c r="R30" s="22">
        <v>20</v>
      </c>
      <c r="S30" s="22">
        <v>8.8195799999999996E-4</v>
      </c>
      <c r="T30">
        <f t="shared" si="2"/>
        <v>16.369600000000002</v>
      </c>
      <c r="U30">
        <f t="shared" si="3"/>
        <v>1.2489006254400001E-2</v>
      </c>
      <c r="X30" s="9"/>
      <c r="Y30" s="22">
        <v>1.69922</v>
      </c>
      <c r="Z30" s="22">
        <v>263.928</v>
      </c>
      <c r="AA30" s="22">
        <v>-1.25793E-2</v>
      </c>
      <c r="AB30" s="22">
        <v>20</v>
      </c>
      <c r="AC30" s="22">
        <v>1.69861</v>
      </c>
      <c r="AD30">
        <f t="shared" si="4"/>
        <v>12.5793</v>
      </c>
      <c r="AE30">
        <f t="shared" si="5"/>
        <v>21.374998145999999</v>
      </c>
      <c r="AF30" s="9"/>
      <c r="AG30" s="22">
        <v>7.6293900000000002E-4</v>
      </c>
      <c r="AH30" s="22">
        <v>339.66300000000001</v>
      </c>
      <c r="AI30" s="22">
        <v>-1.7730699999999999E-2</v>
      </c>
      <c r="AJ30" s="22">
        <v>20</v>
      </c>
      <c r="AK30" s="22">
        <v>3.87573E-4</v>
      </c>
      <c r="AL30">
        <f t="shared" si="6"/>
        <v>17.730699999999999</v>
      </c>
      <c r="AM30">
        <f t="shared" si="7"/>
        <v>1.3527442527299999E-2</v>
      </c>
      <c r="AP30" s="9"/>
      <c r="AQ30" s="22">
        <v>1.69922</v>
      </c>
      <c r="AR30" s="22">
        <v>411.86599999999999</v>
      </c>
      <c r="AS30" s="22">
        <v>-1.33118E-2</v>
      </c>
      <c r="AT30" s="22">
        <v>20</v>
      </c>
      <c r="AU30" s="22">
        <v>1.69861</v>
      </c>
      <c r="AV30">
        <f t="shared" si="8"/>
        <v>13.3118</v>
      </c>
      <c r="AW30">
        <f t="shared" si="9"/>
        <v>22.619676796</v>
      </c>
      <c r="AX30" s="9"/>
      <c r="AY30" s="22">
        <v>7.6293900000000002E-4</v>
      </c>
      <c r="AZ30" s="22">
        <v>485.279</v>
      </c>
      <c r="BA30" s="22">
        <v>-1.8231199999999999E-2</v>
      </c>
      <c r="BB30" s="22">
        <v>20</v>
      </c>
      <c r="BC30" s="22">
        <v>7.5683599999999999E-4</v>
      </c>
      <c r="BD30">
        <f t="shared" si="10"/>
        <v>18.231200000000001</v>
      </c>
      <c r="BE30">
        <f t="shared" si="11"/>
        <v>1.3909293496800002E-2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50.4696</v>
      </c>
      <c r="I31" s="22">
        <v>-1.2634299999999999E-2</v>
      </c>
      <c r="J31" s="22">
        <v>21</v>
      </c>
      <c r="K31" s="22">
        <v>1.69373</v>
      </c>
      <c r="L31">
        <f t="shared" si="0"/>
        <v>12.6343</v>
      </c>
      <c r="M31">
        <f t="shared" si="1"/>
        <v>21.404778373999999</v>
      </c>
      <c r="N31" s="9"/>
      <c r="O31" s="22">
        <v>5.7983399999999999E-3</v>
      </c>
      <c r="P31" s="22">
        <v>165.81200000000001</v>
      </c>
      <c r="Q31" s="22">
        <v>-1.6339099999999999E-2</v>
      </c>
      <c r="R31" s="22">
        <v>21</v>
      </c>
      <c r="S31" s="22">
        <v>5.8685300000000003E-3</v>
      </c>
      <c r="T31">
        <f t="shared" si="2"/>
        <v>16.339099999999998</v>
      </c>
      <c r="U31">
        <f t="shared" si="3"/>
        <v>9.4739657093999993E-2</v>
      </c>
      <c r="X31" s="9"/>
      <c r="Y31" s="22">
        <v>1.69418</v>
      </c>
      <c r="Z31" s="22">
        <v>264.02800000000002</v>
      </c>
      <c r="AA31" s="22">
        <v>-1.3168300000000001E-2</v>
      </c>
      <c r="AB31" s="22">
        <v>21</v>
      </c>
      <c r="AC31" s="22">
        <v>1.69312</v>
      </c>
      <c r="AD31">
        <f t="shared" si="4"/>
        <v>13.1683</v>
      </c>
      <c r="AE31">
        <f t="shared" si="5"/>
        <v>22.309470493999999</v>
      </c>
      <c r="AF31" s="9"/>
      <c r="AG31" s="22">
        <v>5.7983399999999999E-3</v>
      </c>
      <c r="AH31" s="22">
        <v>339.76299999999998</v>
      </c>
      <c r="AI31" s="22">
        <v>-1.7733800000000001E-2</v>
      </c>
      <c r="AJ31" s="22">
        <v>21</v>
      </c>
      <c r="AK31" s="22">
        <v>5.7372999999999999E-3</v>
      </c>
      <c r="AL31">
        <f t="shared" si="6"/>
        <v>17.733800000000002</v>
      </c>
      <c r="AM31">
        <f t="shared" si="7"/>
        <v>0.10282660189200001</v>
      </c>
      <c r="AP31" s="9"/>
      <c r="AQ31" s="22">
        <v>1.69418</v>
      </c>
      <c r="AR31" s="22">
        <v>411.96699999999998</v>
      </c>
      <c r="AS31" s="22">
        <v>-1.38275E-2</v>
      </c>
      <c r="AT31" s="22">
        <v>21</v>
      </c>
      <c r="AU31" s="22">
        <v>1.69312</v>
      </c>
      <c r="AV31">
        <f t="shared" si="8"/>
        <v>13.827499999999999</v>
      </c>
      <c r="AW31">
        <f t="shared" si="9"/>
        <v>23.426273949999999</v>
      </c>
      <c r="AX31" s="9"/>
      <c r="AY31" s="22">
        <v>5.7983399999999999E-3</v>
      </c>
      <c r="AZ31" s="22">
        <v>485.38</v>
      </c>
      <c r="BA31" s="22">
        <v>-1.8231199999999999E-2</v>
      </c>
      <c r="BB31" s="22">
        <v>21</v>
      </c>
      <c r="BC31" s="22">
        <v>5.5786100000000003E-3</v>
      </c>
      <c r="BD31">
        <f t="shared" si="10"/>
        <v>18.231200000000001</v>
      </c>
      <c r="BE31">
        <f t="shared" si="11"/>
        <v>0.105710696208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50.570300000000003</v>
      </c>
      <c r="I32" s="22">
        <v>-1.3207999999999999E-2</v>
      </c>
      <c r="J32" s="22">
        <v>22</v>
      </c>
      <c r="K32" s="22">
        <v>1.6882299999999999</v>
      </c>
      <c r="L32">
        <f t="shared" si="0"/>
        <v>13.207999999999998</v>
      </c>
      <c r="M32">
        <f t="shared" si="1"/>
        <v>22.310293199999997</v>
      </c>
      <c r="N32" s="9"/>
      <c r="O32" s="22">
        <v>1.08337E-2</v>
      </c>
      <c r="P32" s="22">
        <v>165.91200000000001</v>
      </c>
      <c r="Q32" s="22">
        <v>-1.6311599999999999E-2</v>
      </c>
      <c r="R32" s="22">
        <v>22</v>
      </c>
      <c r="S32" s="22">
        <v>1.09406E-2</v>
      </c>
      <c r="T32">
        <f t="shared" si="2"/>
        <v>16.311599999999999</v>
      </c>
      <c r="U32">
        <f t="shared" si="3"/>
        <v>0.17671498091999999</v>
      </c>
      <c r="X32" s="9"/>
      <c r="Y32" s="22">
        <v>1.6891499999999999</v>
      </c>
      <c r="Z32" s="22">
        <v>264.12900000000002</v>
      </c>
      <c r="AA32" s="22">
        <v>-1.3583400000000001E-2</v>
      </c>
      <c r="AB32" s="22">
        <v>22</v>
      </c>
      <c r="AC32" s="22">
        <v>1.6882299999999999</v>
      </c>
      <c r="AD32">
        <f t="shared" si="4"/>
        <v>13.583400000000001</v>
      </c>
      <c r="AE32">
        <f t="shared" si="5"/>
        <v>22.94440011</v>
      </c>
      <c r="AF32" s="9"/>
      <c r="AG32" s="22">
        <v>1.08337E-2</v>
      </c>
      <c r="AH32" s="22">
        <v>339.86399999999998</v>
      </c>
      <c r="AI32" s="22">
        <v>-1.77246E-2</v>
      </c>
      <c r="AJ32" s="22">
        <v>22</v>
      </c>
      <c r="AK32" s="22">
        <v>1.091E-2</v>
      </c>
      <c r="AL32">
        <f t="shared" si="6"/>
        <v>17.724599999999999</v>
      </c>
      <c r="AM32">
        <f t="shared" si="7"/>
        <v>0.19202299901999997</v>
      </c>
      <c r="AP32" s="9"/>
      <c r="AQ32" s="22">
        <v>1.6891499999999999</v>
      </c>
      <c r="AR32" s="22">
        <v>412.06700000000001</v>
      </c>
      <c r="AS32" s="22">
        <v>-1.4279200000000001E-2</v>
      </c>
      <c r="AT32" s="22">
        <v>22</v>
      </c>
      <c r="AU32" s="22">
        <v>1.6885399999999999</v>
      </c>
      <c r="AV32">
        <f t="shared" si="8"/>
        <v>14.279200000000001</v>
      </c>
      <c r="AW32">
        <f t="shared" si="9"/>
        <v>24.119710680000001</v>
      </c>
      <c r="AX32" s="9"/>
      <c r="AY32" s="22">
        <v>1.08337E-2</v>
      </c>
      <c r="AZ32" s="22">
        <v>485.48099999999999</v>
      </c>
      <c r="BA32" s="22">
        <v>-1.8234299999999998E-2</v>
      </c>
      <c r="BB32" s="22">
        <v>22</v>
      </c>
      <c r="BC32" s="22">
        <v>1.06354E-2</v>
      </c>
      <c r="BD32">
        <f t="shared" si="10"/>
        <v>18.234299999999998</v>
      </c>
      <c r="BE32">
        <f t="shared" si="11"/>
        <v>0.19754493590999997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50.670999999999999</v>
      </c>
      <c r="I33" s="22">
        <v>-1.3684099999999999E-2</v>
      </c>
      <c r="J33" s="22">
        <v>23</v>
      </c>
      <c r="K33" s="22">
        <v>1.6833499999999999</v>
      </c>
      <c r="L33">
        <f t="shared" si="0"/>
        <v>13.684099999999999</v>
      </c>
      <c r="M33">
        <f t="shared" si="1"/>
        <v>23.045529650999999</v>
      </c>
      <c r="N33" s="9"/>
      <c r="O33" s="22">
        <v>1.5869100000000001E-2</v>
      </c>
      <c r="P33" s="22">
        <v>166.01300000000001</v>
      </c>
      <c r="Q33" s="22">
        <v>-1.6284199999999999E-2</v>
      </c>
      <c r="R33" s="22">
        <v>23</v>
      </c>
      <c r="S33" s="22">
        <v>1.5979E-2</v>
      </c>
      <c r="T33">
        <f t="shared" si="2"/>
        <v>16.284199999999998</v>
      </c>
      <c r="U33">
        <f t="shared" si="3"/>
        <v>0.25841559821999999</v>
      </c>
      <c r="X33" s="9"/>
      <c r="Y33" s="22">
        <v>1.68411</v>
      </c>
      <c r="Z33" s="22">
        <v>264.23</v>
      </c>
      <c r="AA33" s="22">
        <v>-1.39496E-2</v>
      </c>
      <c r="AB33" s="22">
        <v>23</v>
      </c>
      <c r="AC33" s="22">
        <v>1.6830400000000001</v>
      </c>
      <c r="AD33">
        <f t="shared" si="4"/>
        <v>13.9496</v>
      </c>
      <c r="AE33">
        <f t="shared" si="5"/>
        <v>23.492660856000001</v>
      </c>
      <c r="AF33" s="9"/>
      <c r="AG33" s="22">
        <v>1.5869100000000001E-2</v>
      </c>
      <c r="AH33" s="22">
        <v>339.96499999999997</v>
      </c>
      <c r="AI33" s="22">
        <v>-1.77246E-2</v>
      </c>
      <c r="AJ33" s="22">
        <v>23</v>
      </c>
      <c r="AK33" s="22">
        <v>1.5661600000000001E-2</v>
      </c>
      <c r="AL33">
        <f t="shared" si="6"/>
        <v>17.724599999999999</v>
      </c>
      <c r="AM33">
        <f t="shared" si="7"/>
        <v>0.28127344985999997</v>
      </c>
      <c r="AP33" s="9"/>
      <c r="AQ33" s="22">
        <v>1.68411</v>
      </c>
      <c r="AR33" s="22">
        <v>412.16800000000001</v>
      </c>
      <c r="AS33" s="22">
        <v>-1.4654500000000001E-2</v>
      </c>
      <c r="AT33" s="22">
        <v>23</v>
      </c>
      <c r="AU33" s="22">
        <v>1.6833499999999999</v>
      </c>
      <c r="AV33">
        <f t="shared" si="8"/>
        <v>14.654500000000001</v>
      </c>
      <c r="AW33">
        <f t="shared" si="9"/>
        <v>24.679789995</v>
      </c>
      <c r="AX33" s="9"/>
      <c r="AY33" s="22">
        <v>1.5869100000000001E-2</v>
      </c>
      <c r="AZ33" s="22">
        <v>485.58100000000002</v>
      </c>
      <c r="BA33" s="22">
        <v>-1.8231199999999999E-2</v>
      </c>
      <c r="BB33" s="22">
        <v>23</v>
      </c>
      <c r="BC33" s="22">
        <v>1.5957599999999999E-2</v>
      </c>
      <c r="BD33">
        <f t="shared" si="10"/>
        <v>18.231200000000001</v>
      </c>
      <c r="BE33">
        <f t="shared" si="11"/>
        <v>0.28931273592000001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50.771700000000003</v>
      </c>
      <c r="I34" s="22">
        <v>-1.4120499999999999E-2</v>
      </c>
      <c r="J34" s="22">
        <v>24</v>
      </c>
      <c r="K34" s="22">
        <v>1.6781600000000001</v>
      </c>
      <c r="L34">
        <f t="shared" si="0"/>
        <v>14.1205</v>
      </c>
      <c r="M34">
        <f t="shared" si="1"/>
        <v>23.709449139999997</v>
      </c>
      <c r="N34" s="9"/>
      <c r="O34" s="22">
        <v>2.0904499999999999E-2</v>
      </c>
      <c r="P34" s="22">
        <v>166.114</v>
      </c>
      <c r="Q34" s="22">
        <v>-1.6268899999999999E-2</v>
      </c>
      <c r="R34" s="22">
        <v>24</v>
      </c>
      <c r="S34" s="22">
        <v>2.10114E-2</v>
      </c>
      <c r="T34">
        <f t="shared" si="2"/>
        <v>16.268899999999999</v>
      </c>
      <c r="U34">
        <f t="shared" si="3"/>
        <v>0.34009322004999998</v>
      </c>
      <c r="X34" s="9"/>
      <c r="Y34" s="22">
        <v>1.6790799999999999</v>
      </c>
      <c r="Z34" s="22">
        <v>264.33</v>
      </c>
      <c r="AA34" s="22">
        <v>-1.42151E-2</v>
      </c>
      <c r="AB34" s="22">
        <v>24</v>
      </c>
      <c r="AC34" s="22">
        <v>1.6784699999999999</v>
      </c>
      <c r="AD34">
        <f t="shared" si="4"/>
        <v>14.2151</v>
      </c>
      <c r="AE34">
        <f t="shared" si="5"/>
        <v>23.868290107999997</v>
      </c>
      <c r="AF34" s="9"/>
      <c r="AG34" s="22">
        <v>2.0904499999999999E-2</v>
      </c>
      <c r="AH34" s="22">
        <v>340.06599999999997</v>
      </c>
      <c r="AI34" s="22">
        <v>-1.77246E-2</v>
      </c>
      <c r="AJ34" s="22">
        <v>24</v>
      </c>
      <c r="AK34" s="22">
        <v>2.0742799999999999E-2</v>
      </c>
      <c r="AL34">
        <f t="shared" si="6"/>
        <v>17.724599999999999</v>
      </c>
      <c r="AM34">
        <f t="shared" si="7"/>
        <v>0.37052390069999996</v>
      </c>
      <c r="AP34" s="9"/>
      <c r="AQ34" s="22">
        <v>1.6790799999999999</v>
      </c>
      <c r="AR34" s="22">
        <v>412.26900000000001</v>
      </c>
      <c r="AS34" s="22">
        <v>-1.4978E-2</v>
      </c>
      <c r="AT34" s="22">
        <v>24</v>
      </c>
      <c r="AU34" s="22">
        <v>1.6784699999999999</v>
      </c>
      <c r="AV34">
        <f t="shared" si="8"/>
        <v>14.978</v>
      </c>
      <c r="AW34">
        <f t="shared" si="9"/>
        <v>25.149260239999997</v>
      </c>
      <c r="AX34" s="9"/>
      <c r="AY34" s="22">
        <v>2.0904499999999999E-2</v>
      </c>
      <c r="AZ34" s="22">
        <v>485.68200000000002</v>
      </c>
      <c r="BA34" s="22">
        <v>-1.8228100000000001E-2</v>
      </c>
      <c r="BB34" s="22">
        <v>24</v>
      </c>
      <c r="BC34" s="22">
        <v>2.0752E-2</v>
      </c>
      <c r="BD34">
        <f t="shared" si="10"/>
        <v>18.228100000000001</v>
      </c>
      <c r="BE34">
        <f t="shared" si="11"/>
        <v>0.38104931645000001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50.872500000000002</v>
      </c>
      <c r="I35" s="22">
        <v>-1.4471400000000001E-2</v>
      </c>
      <c r="J35" s="22">
        <v>25</v>
      </c>
      <c r="K35" s="22">
        <v>1.6732800000000001</v>
      </c>
      <c r="L35">
        <f t="shared" si="0"/>
        <v>14.471400000000001</v>
      </c>
      <c r="M35">
        <f t="shared" si="1"/>
        <v>24.225702456</v>
      </c>
      <c r="N35" s="9"/>
      <c r="O35" s="22">
        <v>2.5939899999999998E-2</v>
      </c>
      <c r="P35" s="22">
        <v>166.214</v>
      </c>
      <c r="Q35" s="22">
        <v>-1.6259800000000001E-2</v>
      </c>
      <c r="R35" s="22">
        <v>25</v>
      </c>
      <c r="S35" s="22">
        <v>2.6065100000000001E-2</v>
      </c>
      <c r="T35">
        <f t="shared" si="2"/>
        <v>16.259800000000002</v>
      </c>
      <c r="U35">
        <f t="shared" si="3"/>
        <v>0.42177758602000004</v>
      </c>
      <c r="X35" s="9"/>
      <c r="Y35" s="22">
        <v>1.67404</v>
      </c>
      <c r="Z35" s="22">
        <v>264.43099999999998</v>
      </c>
      <c r="AA35" s="22">
        <v>-1.46149E-2</v>
      </c>
      <c r="AB35" s="22">
        <v>25</v>
      </c>
      <c r="AC35" s="22">
        <v>1.6732800000000001</v>
      </c>
      <c r="AD35">
        <f t="shared" si="4"/>
        <v>14.6149</v>
      </c>
      <c r="AE35">
        <f t="shared" si="5"/>
        <v>24.465927195999999</v>
      </c>
      <c r="AF35" s="9"/>
      <c r="AG35" s="22">
        <v>2.5939899999999998E-2</v>
      </c>
      <c r="AH35" s="22">
        <v>340.166</v>
      </c>
      <c r="AI35" s="22">
        <v>-1.7721600000000001E-2</v>
      </c>
      <c r="AJ35" s="22">
        <v>25</v>
      </c>
      <c r="AK35" s="22">
        <v>2.62726E-2</v>
      </c>
      <c r="AL35">
        <f t="shared" si="6"/>
        <v>17.721600000000002</v>
      </c>
      <c r="AM35">
        <f t="shared" si="7"/>
        <v>0.45969653184000003</v>
      </c>
      <c r="AP35" s="9"/>
      <c r="AQ35" s="22">
        <v>1.67404</v>
      </c>
      <c r="AR35" s="22">
        <v>412.36900000000003</v>
      </c>
      <c r="AS35" s="22">
        <v>-1.5261800000000001E-2</v>
      </c>
      <c r="AT35" s="22">
        <v>25</v>
      </c>
      <c r="AU35" s="22">
        <v>1.6729700000000001</v>
      </c>
      <c r="AV35">
        <f t="shared" si="8"/>
        <v>15.261800000000001</v>
      </c>
      <c r="AW35">
        <f t="shared" si="9"/>
        <v>25.548863672</v>
      </c>
      <c r="AX35" s="9"/>
      <c r="AY35" s="22">
        <v>2.5939899999999998E-2</v>
      </c>
      <c r="AZ35" s="22">
        <v>485.78300000000002</v>
      </c>
      <c r="BA35" s="22">
        <v>-1.8218999999999999E-2</v>
      </c>
      <c r="BB35" s="22">
        <v>25</v>
      </c>
      <c r="BC35" s="22">
        <v>2.5805700000000001E-2</v>
      </c>
      <c r="BD35">
        <f t="shared" si="10"/>
        <v>18.218999999999998</v>
      </c>
      <c r="BE35">
        <f t="shared" si="11"/>
        <v>0.47259903809999992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50.973199999999999</v>
      </c>
      <c r="I36" s="22">
        <v>-1.47736E-2</v>
      </c>
      <c r="J36" s="22">
        <v>26</v>
      </c>
      <c r="K36" s="22">
        <v>1.6677900000000001</v>
      </c>
      <c r="L36">
        <f t="shared" si="0"/>
        <v>14.7736</v>
      </c>
      <c r="M36">
        <f t="shared" si="1"/>
        <v>24.657286136000003</v>
      </c>
      <c r="N36" s="9"/>
      <c r="O36" s="22">
        <v>3.0975300000000001E-2</v>
      </c>
      <c r="P36" s="22">
        <v>166.315</v>
      </c>
      <c r="Q36" s="22">
        <v>-1.6256699999999999E-2</v>
      </c>
      <c r="R36" s="22">
        <v>26</v>
      </c>
      <c r="S36" s="22">
        <v>3.1143199999999999E-2</v>
      </c>
      <c r="T36">
        <f t="shared" si="2"/>
        <v>16.256699999999999</v>
      </c>
      <c r="U36">
        <f t="shared" si="3"/>
        <v>0.50355615950999999</v>
      </c>
      <c r="X36" s="9"/>
      <c r="Y36" s="22">
        <v>1.6690100000000001</v>
      </c>
      <c r="Z36" s="22">
        <v>264.53199999999998</v>
      </c>
      <c r="AA36" s="22">
        <v>-1.48682E-2</v>
      </c>
      <c r="AB36" s="22">
        <v>26</v>
      </c>
      <c r="AC36" s="22">
        <v>1.6677900000000001</v>
      </c>
      <c r="AD36">
        <f t="shared" si="4"/>
        <v>14.8682</v>
      </c>
      <c r="AE36">
        <f t="shared" si="5"/>
        <v>24.815174482</v>
      </c>
      <c r="AF36" s="9"/>
      <c r="AG36" s="22">
        <v>3.0975300000000001E-2</v>
      </c>
      <c r="AH36" s="22">
        <v>340.267</v>
      </c>
      <c r="AI36" s="22">
        <v>-1.7721600000000001E-2</v>
      </c>
      <c r="AJ36" s="22">
        <v>26</v>
      </c>
      <c r="AK36" s="22">
        <v>3.13873E-2</v>
      </c>
      <c r="AL36">
        <f t="shared" si="6"/>
        <v>17.721600000000002</v>
      </c>
      <c r="AM36">
        <f t="shared" si="7"/>
        <v>0.54893187648000008</v>
      </c>
      <c r="AP36" s="9"/>
      <c r="AQ36" s="22">
        <v>1.6690100000000001</v>
      </c>
      <c r="AR36" s="22">
        <v>412.47</v>
      </c>
      <c r="AS36" s="22">
        <v>-1.54938E-2</v>
      </c>
      <c r="AT36" s="22">
        <v>26</v>
      </c>
      <c r="AU36" s="22">
        <v>1.6674800000000001</v>
      </c>
      <c r="AV36">
        <f t="shared" si="8"/>
        <v>15.4938</v>
      </c>
      <c r="AW36">
        <f t="shared" si="9"/>
        <v>25.859307138000002</v>
      </c>
      <c r="AX36" s="9"/>
      <c r="AY36" s="22">
        <v>3.0975300000000001E-2</v>
      </c>
      <c r="AZ36" s="22">
        <v>485.88299999999998</v>
      </c>
      <c r="BA36" s="22">
        <v>-1.8212900000000001E-2</v>
      </c>
      <c r="BB36" s="22">
        <v>26</v>
      </c>
      <c r="BC36" s="22">
        <v>3.1338499999999998E-2</v>
      </c>
      <c r="BD36">
        <f t="shared" si="10"/>
        <v>18.212900000000001</v>
      </c>
      <c r="BE36">
        <f t="shared" si="11"/>
        <v>0.56415004137000002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51.073900000000002</v>
      </c>
      <c r="I37" s="22">
        <v>-1.4898700000000001E-2</v>
      </c>
      <c r="J37" s="22">
        <v>27</v>
      </c>
      <c r="K37" s="22">
        <v>1.66351</v>
      </c>
      <c r="L37">
        <f t="shared" si="0"/>
        <v>14.898700000000002</v>
      </c>
      <c r="M37">
        <f t="shared" si="1"/>
        <v>24.790989839000002</v>
      </c>
      <c r="N37" s="9"/>
      <c r="O37" s="22">
        <v>3.60107E-2</v>
      </c>
      <c r="P37" s="22">
        <v>166.416</v>
      </c>
      <c r="Q37" s="22">
        <v>-1.6201799999999999E-2</v>
      </c>
      <c r="R37" s="22">
        <v>27</v>
      </c>
      <c r="S37" s="22">
        <v>3.61572E-2</v>
      </c>
      <c r="T37">
        <f t="shared" si="2"/>
        <v>16.201799999999999</v>
      </c>
      <c r="U37">
        <f t="shared" si="3"/>
        <v>0.58343815925999998</v>
      </c>
      <c r="X37" s="9"/>
      <c r="Y37" s="22">
        <v>1.6639699999999999</v>
      </c>
      <c r="Z37" s="22">
        <v>264.63200000000001</v>
      </c>
      <c r="AA37" s="22">
        <v>-1.50604E-2</v>
      </c>
      <c r="AB37" s="22">
        <v>27</v>
      </c>
      <c r="AC37" s="22">
        <v>1.6632100000000001</v>
      </c>
      <c r="AD37">
        <f t="shared" si="4"/>
        <v>15.0604</v>
      </c>
      <c r="AE37">
        <f t="shared" si="5"/>
        <v>25.060053787999998</v>
      </c>
      <c r="AF37" s="9"/>
      <c r="AG37" s="22">
        <v>3.60107E-2</v>
      </c>
      <c r="AH37" s="22">
        <v>340.36799999999999</v>
      </c>
      <c r="AI37" s="22">
        <v>-1.77246E-2</v>
      </c>
      <c r="AJ37" s="22">
        <v>27</v>
      </c>
      <c r="AK37" s="22">
        <v>3.5293600000000001E-2</v>
      </c>
      <c r="AL37">
        <f t="shared" si="6"/>
        <v>17.724599999999999</v>
      </c>
      <c r="AM37">
        <f t="shared" si="7"/>
        <v>0.63827525322000001</v>
      </c>
      <c r="AP37" s="9"/>
      <c r="AQ37" s="22">
        <v>1.6639699999999999</v>
      </c>
      <c r="AR37" s="22">
        <v>412.57100000000003</v>
      </c>
      <c r="AS37" s="22">
        <v>-1.5725699999999999E-2</v>
      </c>
      <c r="AT37" s="22">
        <v>27</v>
      </c>
      <c r="AU37" s="22">
        <v>1.66351</v>
      </c>
      <c r="AV37">
        <f t="shared" si="8"/>
        <v>15.725699999999998</v>
      </c>
      <c r="AW37">
        <f t="shared" si="9"/>
        <v>26.167093028999997</v>
      </c>
      <c r="AX37" s="9"/>
      <c r="AY37" s="22">
        <v>3.60107E-2</v>
      </c>
      <c r="AZ37" s="22">
        <v>485.98399999999998</v>
      </c>
      <c r="BA37" s="22">
        <v>-1.8225100000000001E-2</v>
      </c>
      <c r="BB37" s="22">
        <v>27</v>
      </c>
      <c r="BC37" s="22">
        <v>3.6077900000000003E-2</v>
      </c>
      <c r="BD37">
        <f t="shared" si="10"/>
        <v>18.225100000000001</v>
      </c>
      <c r="BE37">
        <f t="shared" si="11"/>
        <v>0.65629860857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51.174599999999998</v>
      </c>
      <c r="I38" s="22">
        <v>-1.4944499999999999E-2</v>
      </c>
      <c r="J38" s="22">
        <v>28</v>
      </c>
      <c r="K38" s="22">
        <v>1.65863</v>
      </c>
      <c r="L38">
        <f t="shared" si="0"/>
        <v>14.9445</v>
      </c>
      <c r="M38">
        <f t="shared" si="1"/>
        <v>24.79202883</v>
      </c>
      <c r="N38" s="9"/>
      <c r="O38" s="22">
        <v>4.1046100000000002E-2</v>
      </c>
      <c r="P38" s="22">
        <v>166.517</v>
      </c>
      <c r="Q38" s="22">
        <v>-1.61835E-2</v>
      </c>
      <c r="R38" s="22">
        <v>28</v>
      </c>
      <c r="S38" s="22">
        <v>4.1207899999999999E-2</v>
      </c>
      <c r="T38">
        <f t="shared" si="2"/>
        <v>16.183499999999999</v>
      </c>
      <c r="U38">
        <f t="shared" si="3"/>
        <v>0.66426955934999998</v>
      </c>
      <c r="X38" s="9"/>
      <c r="Y38" s="22">
        <v>1.6589400000000001</v>
      </c>
      <c r="Z38" s="22">
        <v>264.733</v>
      </c>
      <c r="AA38" s="22">
        <v>-1.51398E-2</v>
      </c>
      <c r="AB38" s="22">
        <v>28</v>
      </c>
      <c r="AC38" s="22">
        <v>1.6583300000000001</v>
      </c>
      <c r="AD38">
        <f t="shared" si="4"/>
        <v>15.139799999999999</v>
      </c>
      <c r="AE38">
        <f t="shared" si="5"/>
        <v>25.116019812000001</v>
      </c>
      <c r="AF38" s="9"/>
      <c r="AG38" s="22">
        <v>4.1046100000000002E-2</v>
      </c>
      <c r="AH38" s="22">
        <v>340.46800000000002</v>
      </c>
      <c r="AI38" s="22">
        <v>-1.7730699999999999E-2</v>
      </c>
      <c r="AJ38" s="22">
        <v>28</v>
      </c>
      <c r="AK38" s="22">
        <v>4.0518199999999997E-2</v>
      </c>
      <c r="AL38">
        <f t="shared" si="6"/>
        <v>17.730699999999999</v>
      </c>
      <c r="AM38">
        <f t="shared" si="7"/>
        <v>0.72777608527000004</v>
      </c>
      <c r="AP38" s="9"/>
      <c r="AQ38" s="22">
        <v>1.6589400000000001</v>
      </c>
      <c r="AR38" s="22">
        <v>412.67200000000003</v>
      </c>
      <c r="AS38" s="22">
        <v>-1.5918000000000002E-2</v>
      </c>
      <c r="AT38" s="22">
        <v>28</v>
      </c>
      <c r="AU38" s="22">
        <v>1.65802</v>
      </c>
      <c r="AV38">
        <f t="shared" si="8"/>
        <v>15.918000000000001</v>
      </c>
      <c r="AW38">
        <f t="shared" si="9"/>
        <v>26.407006920000004</v>
      </c>
      <c r="AX38" s="9"/>
      <c r="AY38" s="22">
        <v>4.1046100000000002E-2</v>
      </c>
      <c r="AZ38" s="22">
        <v>486.08499999999998</v>
      </c>
      <c r="BA38" s="22">
        <v>-1.8212900000000001E-2</v>
      </c>
      <c r="BB38" s="22">
        <v>28</v>
      </c>
      <c r="BC38" s="22">
        <v>4.1064499999999997E-2</v>
      </c>
      <c r="BD38">
        <f t="shared" si="10"/>
        <v>18.212900000000001</v>
      </c>
      <c r="BE38">
        <f t="shared" si="11"/>
        <v>0.74756851469000007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51.275300000000001</v>
      </c>
      <c r="I39" s="22">
        <v>-1.49719E-2</v>
      </c>
      <c r="J39" s="22">
        <v>29</v>
      </c>
      <c r="K39" s="22">
        <v>1.6531400000000001</v>
      </c>
      <c r="L39">
        <f t="shared" si="0"/>
        <v>14.9719</v>
      </c>
      <c r="M39">
        <f t="shared" si="1"/>
        <v>24.76202541</v>
      </c>
      <c r="N39" s="9"/>
      <c r="O39" s="22">
        <v>4.6081499999999997E-2</v>
      </c>
      <c r="P39" s="22">
        <v>166.61699999999999</v>
      </c>
      <c r="Q39" s="22">
        <v>-1.6192600000000001E-2</v>
      </c>
      <c r="R39" s="22">
        <v>29</v>
      </c>
      <c r="S39" s="22">
        <v>4.6249400000000003E-2</v>
      </c>
      <c r="T39">
        <f t="shared" si="2"/>
        <v>16.192600000000002</v>
      </c>
      <c r="U39">
        <f t="shared" si="3"/>
        <v>0.74617929690000007</v>
      </c>
      <c r="X39" s="9"/>
      <c r="Y39" s="22">
        <v>1.6538999999999999</v>
      </c>
      <c r="Z39" s="22">
        <v>264.834</v>
      </c>
      <c r="AA39" s="22">
        <v>-1.53717E-2</v>
      </c>
      <c r="AB39" s="22">
        <v>29</v>
      </c>
      <c r="AC39" s="22">
        <v>1.6531400000000001</v>
      </c>
      <c r="AD39">
        <f t="shared" si="4"/>
        <v>15.371700000000001</v>
      </c>
      <c r="AE39">
        <f t="shared" si="5"/>
        <v>25.423254629999999</v>
      </c>
      <c r="AF39" s="9"/>
      <c r="AG39" s="22">
        <v>4.6081499999999997E-2</v>
      </c>
      <c r="AH39" s="22">
        <v>340.56900000000002</v>
      </c>
      <c r="AI39" s="22">
        <v>-1.77246E-2</v>
      </c>
      <c r="AJ39" s="22">
        <v>29</v>
      </c>
      <c r="AK39" s="22">
        <v>4.6151699999999997E-2</v>
      </c>
      <c r="AL39">
        <f t="shared" si="6"/>
        <v>17.724599999999999</v>
      </c>
      <c r="AM39">
        <f t="shared" si="7"/>
        <v>0.81677615489999988</v>
      </c>
      <c r="AP39" s="9"/>
      <c r="AQ39" s="22">
        <v>1.6538999999999999</v>
      </c>
      <c r="AR39" s="22">
        <v>412.77199999999999</v>
      </c>
      <c r="AS39" s="22">
        <v>-1.6076699999999999E-2</v>
      </c>
      <c r="AT39" s="22">
        <v>29</v>
      </c>
      <c r="AU39" s="22">
        <v>1.65283</v>
      </c>
      <c r="AV39">
        <f t="shared" si="8"/>
        <v>16.076699999999999</v>
      </c>
      <c r="AW39">
        <f t="shared" si="9"/>
        <v>26.589254129999997</v>
      </c>
      <c r="AX39" s="9"/>
      <c r="AY39" s="22">
        <v>4.6081499999999997E-2</v>
      </c>
      <c r="AZ39" s="22">
        <v>486.18599999999998</v>
      </c>
      <c r="BA39" s="22">
        <v>-1.82159E-2</v>
      </c>
      <c r="BB39" s="22">
        <v>29</v>
      </c>
      <c r="BC39" s="22">
        <v>4.6350099999999998E-2</v>
      </c>
      <c r="BD39">
        <f t="shared" si="10"/>
        <v>18.215900000000001</v>
      </c>
      <c r="BE39">
        <f t="shared" si="11"/>
        <v>0.83941599585000004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51.375999999999998</v>
      </c>
      <c r="I40" s="22">
        <v>-1.5002400000000001E-2</v>
      </c>
      <c r="J40" s="22">
        <v>30</v>
      </c>
      <c r="K40" s="22">
        <v>1.64795</v>
      </c>
      <c r="L40">
        <f t="shared" si="0"/>
        <v>15.002400000000002</v>
      </c>
      <c r="M40">
        <f t="shared" si="1"/>
        <v>24.736857264000001</v>
      </c>
      <c r="N40" s="9"/>
      <c r="O40" s="22">
        <v>5.11169E-2</v>
      </c>
      <c r="P40" s="22">
        <v>166.71799999999999</v>
      </c>
      <c r="Q40" s="22">
        <v>-1.6165200000000001E-2</v>
      </c>
      <c r="R40" s="22">
        <v>30</v>
      </c>
      <c r="S40" s="22">
        <v>5.0811799999999997E-2</v>
      </c>
      <c r="T40">
        <f t="shared" si="2"/>
        <v>16.165200000000002</v>
      </c>
      <c r="U40">
        <f t="shared" si="3"/>
        <v>0.82631491188000006</v>
      </c>
      <c r="X40" s="9"/>
      <c r="Y40" s="22">
        <v>1.64886</v>
      </c>
      <c r="Z40" s="22">
        <v>264.935</v>
      </c>
      <c r="AA40" s="22">
        <v>-1.55701E-2</v>
      </c>
      <c r="AB40" s="22">
        <v>30</v>
      </c>
      <c r="AC40" s="22">
        <v>1.64764</v>
      </c>
      <c r="AD40">
        <f t="shared" si="4"/>
        <v>15.5701</v>
      </c>
      <c r="AE40">
        <f t="shared" si="5"/>
        <v>25.672915086</v>
      </c>
      <c r="AF40" s="9"/>
      <c r="AG40" s="22">
        <v>5.11169E-2</v>
      </c>
      <c r="AH40" s="22">
        <v>340.67</v>
      </c>
      <c r="AI40" s="22">
        <v>-1.7718500000000002E-2</v>
      </c>
      <c r="AJ40" s="22">
        <v>30</v>
      </c>
      <c r="AK40" s="22">
        <v>5.0872800000000003E-2</v>
      </c>
      <c r="AL40">
        <f t="shared" si="6"/>
        <v>17.718500000000002</v>
      </c>
      <c r="AM40">
        <f t="shared" si="7"/>
        <v>0.9057147926500001</v>
      </c>
      <c r="AP40" s="9"/>
      <c r="AQ40" s="22">
        <v>1.64886</v>
      </c>
      <c r="AR40" s="22">
        <v>412.87299999999999</v>
      </c>
      <c r="AS40" s="22">
        <v>-1.62384E-2</v>
      </c>
      <c r="AT40" s="22">
        <v>30</v>
      </c>
      <c r="AU40" s="22">
        <v>1.64825</v>
      </c>
      <c r="AV40">
        <f t="shared" si="8"/>
        <v>16.238399999999999</v>
      </c>
      <c r="AW40">
        <f t="shared" si="9"/>
        <v>26.774848223999996</v>
      </c>
      <c r="AX40" s="9"/>
      <c r="AY40" s="22">
        <v>5.11169E-2</v>
      </c>
      <c r="AZ40" s="22">
        <v>486.286</v>
      </c>
      <c r="BA40" s="22">
        <v>-1.8206799999999999E-2</v>
      </c>
      <c r="BB40" s="22">
        <v>30</v>
      </c>
      <c r="BC40" s="22">
        <v>5.1187099999999999E-2</v>
      </c>
      <c r="BD40">
        <f t="shared" si="10"/>
        <v>18.206799999999998</v>
      </c>
      <c r="BE40">
        <f t="shared" si="11"/>
        <v>0.93067517491999985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51.476700000000001</v>
      </c>
      <c r="I41" s="22">
        <v>-1.5020800000000001E-2</v>
      </c>
      <c r="J41" s="22">
        <v>31</v>
      </c>
      <c r="K41" s="22">
        <v>1.64307</v>
      </c>
      <c r="L41">
        <f t="shared" si="0"/>
        <v>15.020800000000001</v>
      </c>
      <c r="M41">
        <f t="shared" si="1"/>
        <v>24.691641664000002</v>
      </c>
      <c r="N41" s="9"/>
      <c r="O41" s="22">
        <v>5.6152300000000002E-2</v>
      </c>
      <c r="P41" s="22">
        <v>166.81899999999999</v>
      </c>
      <c r="Q41" s="22">
        <v>-1.6122399999999999E-2</v>
      </c>
      <c r="R41" s="22">
        <v>31</v>
      </c>
      <c r="S41" s="22">
        <v>5.5816699999999997E-2</v>
      </c>
      <c r="T41">
        <f t="shared" si="2"/>
        <v>16.122399999999999</v>
      </c>
      <c r="U41">
        <f t="shared" si="3"/>
        <v>0.90530984151999994</v>
      </c>
      <c r="X41" s="9"/>
      <c r="Y41" s="22">
        <v>1.6438299999999999</v>
      </c>
      <c r="Z41" s="22">
        <v>265.03500000000003</v>
      </c>
      <c r="AA41" s="22">
        <v>-1.57349E-2</v>
      </c>
      <c r="AB41" s="22">
        <v>31</v>
      </c>
      <c r="AC41" s="22">
        <v>1.64398</v>
      </c>
      <c r="AD41">
        <f t="shared" si="4"/>
        <v>15.7349</v>
      </c>
      <c r="AE41">
        <f t="shared" si="5"/>
        <v>25.865500666999999</v>
      </c>
      <c r="AF41" s="9"/>
      <c r="AG41" s="22">
        <v>5.6152300000000002E-2</v>
      </c>
      <c r="AH41" s="22">
        <v>340.77100000000002</v>
      </c>
      <c r="AI41" s="22">
        <v>-1.7715499999999999E-2</v>
      </c>
      <c r="AJ41" s="22">
        <v>31</v>
      </c>
      <c r="AK41" s="22">
        <v>5.5633500000000002E-2</v>
      </c>
      <c r="AL41">
        <f t="shared" si="6"/>
        <v>17.715499999999999</v>
      </c>
      <c r="AM41">
        <f t="shared" si="7"/>
        <v>0.99476607065</v>
      </c>
      <c r="AP41" s="9"/>
      <c r="AQ41" s="22">
        <v>1.6438299999999999</v>
      </c>
      <c r="AR41" s="22">
        <v>412.97399999999999</v>
      </c>
      <c r="AS41" s="22">
        <v>-1.6390999999999999E-2</v>
      </c>
      <c r="AT41" s="22">
        <v>31</v>
      </c>
      <c r="AU41" s="22">
        <v>1.64307</v>
      </c>
      <c r="AV41">
        <f t="shared" si="8"/>
        <v>16.390999999999998</v>
      </c>
      <c r="AW41">
        <f t="shared" si="9"/>
        <v>26.944017529999996</v>
      </c>
      <c r="AX41" s="9"/>
      <c r="AY41" s="22">
        <v>5.6152300000000002E-2</v>
      </c>
      <c r="AZ41" s="22">
        <v>486.387</v>
      </c>
      <c r="BA41" s="22">
        <v>-1.8206799999999999E-2</v>
      </c>
      <c r="BB41" s="22">
        <v>31</v>
      </c>
      <c r="BC41" s="22">
        <v>5.5908199999999998E-2</v>
      </c>
      <c r="BD41">
        <f t="shared" si="10"/>
        <v>18.206799999999998</v>
      </c>
      <c r="BE41">
        <f t="shared" si="11"/>
        <v>1.0223536956399999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51.577399999999997</v>
      </c>
      <c r="I42" s="22">
        <v>-1.5032999999999999E-2</v>
      </c>
      <c r="J42" s="22">
        <v>32</v>
      </c>
      <c r="K42" s="22">
        <v>1.63879</v>
      </c>
      <c r="L42">
        <f t="shared" si="0"/>
        <v>15.032999999999999</v>
      </c>
      <c r="M42">
        <f t="shared" si="1"/>
        <v>24.635930069999997</v>
      </c>
      <c r="N42" s="9"/>
      <c r="O42" s="22">
        <v>6.1187699999999998E-2</v>
      </c>
      <c r="P42" s="22">
        <v>166.91900000000001</v>
      </c>
      <c r="Q42" s="22">
        <v>-1.6110200000000002E-2</v>
      </c>
      <c r="R42" s="22">
        <v>32</v>
      </c>
      <c r="S42" s="22">
        <v>6.0821500000000001E-2</v>
      </c>
      <c r="T42">
        <f t="shared" si="2"/>
        <v>16.110200000000003</v>
      </c>
      <c r="U42">
        <f t="shared" si="3"/>
        <v>0.98574608454000012</v>
      </c>
      <c r="X42" s="9"/>
      <c r="Y42" s="22">
        <v>1.63879</v>
      </c>
      <c r="Z42" s="22">
        <v>265.13600000000002</v>
      </c>
      <c r="AA42" s="22">
        <v>-1.58295E-2</v>
      </c>
      <c r="AB42" s="22">
        <v>32</v>
      </c>
      <c r="AC42" s="22">
        <v>1.63788</v>
      </c>
      <c r="AD42">
        <f t="shared" si="4"/>
        <v>15.829499999999999</v>
      </c>
      <c r="AE42">
        <f t="shared" si="5"/>
        <v>25.941226304999997</v>
      </c>
      <c r="AF42" s="9"/>
      <c r="AG42" s="22">
        <v>6.1187699999999998E-2</v>
      </c>
      <c r="AH42" s="22">
        <v>340.87099999999998</v>
      </c>
      <c r="AI42" s="22">
        <v>-1.7706300000000001E-2</v>
      </c>
      <c r="AJ42" s="22">
        <v>32</v>
      </c>
      <c r="AK42" s="22">
        <v>6.0821500000000001E-2</v>
      </c>
      <c r="AL42">
        <f t="shared" si="6"/>
        <v>17.706300000000002</v>
      </c>
      <c r="AM42">
        <f t="shared" si="7"/>
        <v>1.0834077725100002</v>
      </c>
      <c r="AP42" s="9"/>
      <c r="AQ42" s="22">
        <v>1.63879</v>
      </c>
      <c r="AR42" s="22">
        <v>413.07400000000001</v>
      </c>
      <c r="AS42" s="22">
        <v>-1.6513099999999999E-2</v>
      </c>
      <c r="AT42" s="22">
        <v>32</v>
      </c>
      <c r="AU42" s="22">
        <v>1.63788</v>
      </c>
      <c r="AV42">
        <f t="shared" si="8"/>
        <v>16.513099999999998</v>
      </c>
      <c r="AW42">
        <f t="shared" si="9"/>
        <v>27.061503148999996</v>
      </c>
      <c r="AX42" s="9"/>
      <c r="AY42" s="22">
        <v>6.1187699999999998E-2</v>
      </c>
      <c r="AZ42" s="22">
        <v>486.488</v>
      </c>
      <c r="BA42" s="22">
        <v>-1.8206799999999999E-2</v>
      </c>
      <c r="BB42" s="22">
        <v>32</v>
      </c>
      <c r="BC42" s="22">
        <v>6.0699500000000003E-2</v>
      </c>
      <c r="BD42">
        <f t="shared" si="10"/>
        <v>18.206799999999998</v>
      </c>
      <c r="BE42">
        <f t="shared" si="11"/>
        <v>1.1140322163599998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51.678100000000001</v>
      </c>
      <c r="I43" s="22">
        <v>-1.50238E-2</v>
      </c>
      <c r="J43" s="22">
        <v>33</v>
      </c>
      <c r="K43" s="22">
        <v>1.63269</v>
      </c>
      <c r="L43">
        <f t="shared" si="0"/>
        <v>15.0238</v>
      </c>
      <c r="M43">
        <f t="shared" si="1"/>
        <v>24.545283488000003</v>
      </c>
      <c r="N43" s="9"/>
      <c r="O43" s="22">
        <v>6.6223099999999993E-2</v>
      </c>
      <c r="P43" s="22">
        <v>167.02</v>
      </c>
      <c r="Q43" s="22">
        <v>-1.6082800000000001E-2</v>
      </c>
      <c r="R43" s="22">
        <v>33</v>
      </c>
      <c r="S43" s="22">
        <v>6.5948499999999993E-2</v>
      </c>
      <c r="T43">
        <f t="shared" si="2"/>
        <v>16.082800000000002</v>
      </c>
      <c r="U43">
        <f t="shared" si="3"/>
        <v>1.0650528726800002</v>
      </c>
      <c r="X43" s="9"/>
      <c r="Y43" s="22">
        <v>1.6337600000000001</v>
      </c>
      <c r="Z43" s="22">
        <v>265.23700000000002</v>
      </c>
      <c r="AA43" s="22">
        <v>-1.5942399999999999E-2</v>
      </c>
      <c r="AB43" s="22">
        <v>33</v>
      </c>
      <c r="AC43" s="22">
        <v>1.63361</v>
      </c>
      <c r="AD43">
        <f t="shared" si="4"/>
        <v>15.942399999999999</v>
      </c>
      <c r="AE43">
        <f t="shared" si="5"/>
        <v>26.046055423999999</v>
      </c>
      <c r="AF43" s="9"/>
      <c r="AG43" s="22">
        <v>6.6223099999999993E-2</v>
      </c>
      <c r="AH43" s="22">
        <v>340.97199999999998</v>
      </c>
      <c r="AI43" s="22">
        <v>-1.7721600000000001E-2</v>
      </c>
      <c r="AJ43" s="22">
        <v>33</v>
      </c>
      <c r="AK43" s="22">
        <v>6.5856899999999996E-2</v>
      </c>
      <c r="AL43">
        <f t="shared" si="6"/>
        <v>17.721600000000002</v>
      </c>
      <c r="AM43">
        <f t="shared" si="7"/>
        <v>1.1735792889600001</v>
      </c>
      <c r="AP43" s="9"/>
      <c r="AQ43" s="22">
        <v>1.6337600000000001</v>
      </c>
      <c r="AR43" s="22">
        <v>413.17500000000001</v>
      </c>
      <c r="AS43" s="22">
        <v>-1.6629000000000001E-2</v>
      </c>
      <c r="AT43" s="22">
        <v>33</v>
      </c>
      <c r="AU43" s="22">
        <v>1.633</v>
      </c>
      <c r="AV43">
        <f t="shared" si="8"/>
        <v>16.629000000000001</v>
      </c>
      <c r="AW43">
        <f t="shared" si="9"/>
        <v>27.167795040000005</v>
      </c>
      <c r="AX43" s="9"/>
      <c r="AY43" s="22">
        <v>6.6223099999999993E-2</v>
      </c>
      <c r="AZ43" s="22">
        <v>486.58800000000002</v>
      </c>
      <c r="BA43" s="22">
        <v>-1.82037E-2</v>
      </c>
      <c r="BB43" s="22">
        <v>33</v>
      </c>
      <c r="BC43" s="22">
        <v>6.5643300000000002E-2</v>
      </c>
      <c r="BD43">
        <f t="shared" si="10"/>
        <v>18.203700000000001</v>
      </c>
      <c r="BE43">
        <f t="shared" si="11"/>
        <v>1.20550544547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51.778799999999997</v>
      </c>
      <c r="I44" s="22">
        <v>-1.50238E-2</v>
      </c>
      <c r="J44" s="22">
        <v>34</v>
      </c>
      <c r="K44" s="22">
        <v>1.62781</v>
      </c>
      <c r="L44">
        <f t="shared" si="0"/>
        <v>15.0238</v>
      </c>
      <c r="M44">
        <f t="shared" si="1"/>
        <v>24.469563535999999</v>
      </c>
      <c r="N44" s="9"/>
      <c r="O44" s="22">
        <v>7.1258500000000002E-2</v>
      </c>
      <c r="P44" s="22">
        <v>167.12100000000001</v>
      </c>
      <c r="Q44" s="22">
        <v>-1.6095000000000002E-2</v>
      </c>
      <c r="R44" s="22">
        <v>34</v>
      </c>
      <c r="S44" s="22">
        <v>7.0983900000000003E-2</v>
      </c>
      <c r="T44">
        <f t="shared" si="2"/>
        <v>16.095000000000002</v>
      </c>
      <c r="U44">
        <f t="shared" si="3"/>
        <v>1.1469055575000002</v>
      </c>
      <c r="X44" s="9"/>
      <c r="Y44" s="22">
        <v>1.6287199999999999</v>
      </c>
      <c r="Z44" s="22">
        <v>265.33699999999999</v>
      </c>
      <c r="AA44" s="22">
        <v>-1.6046100000000001E-2</v>
      </c>
      <c r="AB44" s="22">
        <v>34</v>
      </c>
      <c r="AC44" s="22">
        <v>1.62781</v>
      </c>
      <c r="AD44">
        <f t="shared" si="4"/>
        <v>16.046099999999999</v>
      </c>
      <c r="AE44">
        <f t="shared" si="5"/>
        <v>26.134603991999999</v>
      </c>
      <c r="AF44" s="9"/>
      <c r="AG44" s="22">
        <v>7.1258500000000002E-2</v>
      </c>
      <c r="AH44" s="22">
        <v>341.07299999999998</v>
      </c>
      <c r="AI44" s="22">
        <v>-1.7718500000000002E-2</v>
      </c>
      <c r="AJ44" s="22">
        <v>34</v>
      </c>
      <c r="AK44" s="22">
        <v>7.0404099999999997E-2</v>
      </c>
      <c r="AL44">
        <f t="shared" si="6"/>
        <v>17.718500000000002</v>
      </c>
      <c r="AM44">
        <f t="shared" si="7"/>
        <v>1.2625937322500003</v>
      </c>
      <c r="AP44" s="9"/>
      <c r="AQ44" s="22">
        <v>1.6287199999999999</v>
      </c>
      <c r="AR44" s="22">
        <v>413.27600000000001</v>
      </c>
      <c r="AS44" s="22">
        <v>-1.6735799999999999E-2</v>
      </c>
      <c r="AT44" s="22">
        <v>34</v>
      </c>
      <c r="AU44" s="22">
        <v>1.62781</v>
      </c>
      <c r="AV44">
        <f t="shared" si="8"/>
        <v>16.735799999999998</v>
      </c>
      <c r="AW44">
        <f t="shared" si="9"/>
        <v>27.257932175999994</v>
      </c>
      <c r="AX44" s="9"/>
      <c r="AY44" s="22">
        <v>7.1258500000000002E-2</v>
      </c>
      <c r="AZ44" s="22">
        <v>486.68900000000002</v>
      </c>
      <c r="BA44" s="22">
        <v>-1.8197600000000001E-2</v>
      </c>
      <c r="BB44" s="22">
        <v>34</v>
      </c>
      <c r="BC44" s="22">
        <v>7.0526099999999994E-2</v>
      </c>
      <c r="BD44">
        <f t="shared" si="10"/>
        <v>18.197600000000001</v>
      </c>
      <c r="BE44">
        <f t="shared" si="11"/>
        <v>1.2967336796000002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51.8795</v>
      </c>
      <c r="I45" s="22">
        <v>-1.50177E-2</v>
      </c>
      <c r="J45" s="22">
        <v>35</v>
      </c>
      <c r="K45" s="22">
        <v>1.62262</v>
      </c>
      <c r="L45">
        <f t="shared" si="0"/>
        <v>15.0177</v>
      </c>
      <c r="M45">
        <f t="shared" si="1"/>
        <v>24.384089313</v>
      </c>
      <c r="N45" s="9"/>
      <c r="O45" s="22">
        <v>7.6293899999999998E-2</v>
      </c>
      <c r="P45" s="22">
        <v>167.22200000000001</v>
      </c>
      <c r="Q45" s="22">
        <v>-1.6067499999999998E-2</v>
      </c>
      <c r="R45" s="22">
        <v>35</v>
      </c>
      <c r="S45" s="22">
        <v>7.5958300000000006E-2</v>
      </c>
      <c r="T45">
        <f t="shared" si="2"/>
        <v>16.067499999999999</v>
      </c>
      <c r="U45">
        <f t="shared" si="3"/>
        <v>1.2258522382499999</v>
      </c>
      <c r="X45" s="9"/>
      <c r="Y45" s="22">
        <v>1.6236900000000001</v>
      </c>
      <c r="Z45" s="22">
        <v>265.43799999999999</v>
      </c>
      <c r="AA45" s="22">
        <v>-1.6149899999999998E-2</v>
      </c>
      <c r="AB45" s="22">
        <v>35</v>
      </c>
      <c r="AC45" s="22">
        <v>1.6229199999999999</v>
      </c>
      <c r="AD45">
        <f t="shared" si="4"/>
        <v>16.149899999999999</v>
      </c>
      <c r="AE45">
        <f t="shared" si="5"/>
        <v>26.222431131</v>
      </c>
      <c r="AF45" s="9"/>
      <c r="AG45" s="22">
        <v>7.6293899999999998E-2</v>
      </c>
      <c r="AH45" s="22">
        <v>341.173</v>
      </c>
      <c r="AI45" s="22">
        <v>-1.77124E-2</v>
      </c>
      <c r="AJ45" s="22">
        <v>35</v>
      </c>
      <c r="AK45" s="22">
        <v>7.5775099999999998E-2</v>
      </c>
      <c r="AL45">
        <f t="shared" si="6"/>
        <v>17.712399999999999</v>
      </c>
      <c r="AM45">
        <f t="shared" si="7"/>
        <v>1.3513480743599999</v>
      </c>
      <c r="AP45" s="9"/>
      <c r="AQ45" s="22">
        <v>1.6236900000000001</v>
      </c>
      <c r="AR45" s="22">
        <v>413.37700000000001</v>
      </c>
      <c r="AS45" s="22">
        <v>-1.6821300000000001E-2</v>
      </c>
      <c r="AT45" s="22">
        <v>35</v>
      </c>
      <c r="AU45" s="22">
        <v>1.6229199999999999</v>
      </c>
      <c r="AV45">
        <f t="shared" si="8"/>
        <v>16.821300000000001</v>
      </c>
      <c r="AW45">
        <f t="shared" si="9"/>
        <v>27.312576597000003</v>
      </c>
      <c r="AX45" s="9"/>
      <c r="AY45" s="22">
        <v>7.6293899999999998E-2</v>
      </c>
      <c r="AZ45" s="22">
        <v>486.79</v>
      </c>
      <c r="BA45" s="22">
        <v>-1.8206799999999999E-2</v>
      </c>
      <c r="BB45" s="22">
        <v>35</v>
      </c>
      <c r="BC45" s="22">
        <v>7.5897199999999998E-2</v>
      </c>
      <c r="BD45">
        <f t="shared" si="10"/>
        <v>18.206799999999998</v>
      </c>
      <c r="BE45">
        <f t="shared" si="11"/>
        <v>1.3890677785199999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51.980200000000004</v>
      </c>
      <c r="I46" s="22">
        <v>-1.50177E-2</v>
      </c>
      <c r="J46" s="22">
        <v>36</v>
      </c>
      <c r="K46" s="22">
        <v>1.6180399999999999</v>
      </c>
      <c r="L46">
        <f t="shared" si="0"/>
        <v>15.0177</v>
      </c>
      <c r="M46">
        <f t="shared" si="1"/>
        <v>24.308400104999997</v>
      </c>
      <c r="N46" s="9"/>
      <c r="O46" s="22">
        <v>8.1329299999999993E-2</v>
      </c>
      <c r="P46" s="22">
        <v>167.322</v>
      </c>
      <c r="Q46" s="22">
        <v>-1.6030900000000001E-2</v>
      </c>
      <c r="R46" s="22">
        <v>36</v>
      </c>
      <c r="S46" s="22">
        <v>8.0963099999999996E-2</v>
      </c>
      <c r="T46">
        <f t="shared" si="2"/>
        <v>16.030899999999999</v>
      </c>
      <c r="U46">
        <f t="shared" si="3"/>
        <v>1.3037818753699999</v>
      </c>
      <c r="X46" s="9"/>
      <c r="Y46" s="22">
        <v>1.6186499999999999</v>
      </c>
      <c r="Z46" s="22">
        <v>265.53899999999999</v>
      </c>
      <c r="AA46" s="22">
        <v>-1.6247600000000001E-2</v>
      </c>
      <c r="AB46" s="22">
        <v>36</v>
      </c>
      <c r="AC46" s="22">
        <v>1.6186499999999999</v>
      </c>
      <c r="AD46">
        <f t="shared" si="4"/>
        <v>16.247600000000002</v>
      </c>
      <c r="AE46">
        <f t="shared" si="5"/>
        <v>26.299177740000001</v>
      </c>
      <c r="AF46" s="9"/>
      <c r="AG46" s="22">
        <v>8.1329299999999993E-2</v>
      </c>
      <c r="AH46" s="22">
        <v>341.274</v>
      </c>
      <c r="AI46" s="22">
        <v>-1.7715499999999999E-2</v>
      </c>
      <c r="AJ46" s="22">
        <v>36</v>
      </c>
      <c r="AK46" s="22">
        <v>8.1237799999999999E-2</v>
      </c>
      <c r="AL46">
        <f t="shared" si="6"/>
        <v>17.715499999999999</v>
      </c>
      <c r="AM46">
        <f t="shared" si="7"/>
        <v>1.4407892141499998</v>
      </c>
      <c r="AP46" s="9"/>
      <c r="AQ46" s="22">
        <v>1.6186499999999999</v>
      </c>
      <c r="AR46" s="22">
        <v>413.47699999999998</v>
      </c>
      <c r="AS46" s="22">
        <v>-1.6918900000000001E-2</v>
      </c>
      <c r="AT46" s="22">
        <v>36</v>
      </c>
      <c r="AU46" s="22">
        <v>1.61835</v>
      </c>
      <c r="AV46">
        <f t="shared" si="8"/>
        <v>16.918900000000001</v>
      </c>
      <c r="AW46">
        <f t="shared" si="9"/>
        <v>27.385777484999998</v>
      </c>
      <c r="AX46" s="9"/>
      <c r="AY46" s="22">
        <v>8.1329299999999993E-2</v>
      </c>
      <c r="AZ46" s="22">
        <v>486.89</v>
      </c>
      <c r="BA46" s="22">
        <v>-1.82159E-2</v>
      </c>
      <c r="BB46" s="22">
        <v>36</v>
      </c>
      <c r="BC46" s="22">
        <v>8.0841099999999999E-2</v>
      </c>
      <c r="BD46">
        <f t="shared" si="10"/>
        <v>18.215900000000001</v>
      </c>
      <c r="BE46">
        <f t="shared" si="11"/>
        <v>1.48148639587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52.081000000000003</v>
      </c>
      <c r="I47" s="22">
        <v>-1.50116E-2</v>
      </c>
      <c r="J47" s="22">
        <v>37</v>
      </c>
      <c r="K47" s="22">
        <v>1.6131599999999999</v>
      </c>
      <c r="L47">
        <f t="shared" si="0"/>
        <v>15.0116</v>
      </c>
      <c r="M47">
        <f t="shared" si="1"/>
        <v>24.223017991999999</v>
      </c>
      <c r="N47" s="9"/>
      <c r="O47" s="22">
        <v>8.6364700000000003E-2</v>
      </c>
      <c r="P47" s="22">
        <v>167.423</v>
      </c>
      <c r="Q47" s="22">
        <v>-1.6085800000000001E-2</v>
      </c>
      <c r="R47" s="22">
        <v>37</v>
      </c>
      <c r="S47" s="22">
        <v>8.5998500000000005E-2</v>
      </c>
      <c r="T47">
        <f t="shared" si="2"/>
        <v>16.085800000000003</v>
      </c>
      <c r="U47">
        <f t="shared" si="3"/>
        <v>1.3892452912600002</v>
      </c>
      <c r="X47" s="9"/>
      <c r="Y47" s="22">
        <v>1.6136200000000001</v>
      </c>
      <c r="Z47" s="22">
        <v>265.64</v>
      </c>
      <c r="AA47" s="22">
        <v>-1.6333E-2</v>
      </c>
      <c r="AB47" s="22">
        <v>37</v>
      </c>
      <c r="AC47" s="22">
        <v>1.6131599999999999</v>
      </c>
      <c r="AD47">
        <f t="shared" si="4"/>
        <v>16.333000000000002</v>
      </c>
      <c r="AE47">
        <f t="shared" si="5"/>
        <v>26.355255460000006</v>
      </c>
      <c r="AF47" s="9"/>
      <c r="AG47" s="22">
        <v>8.6364700000000003E-2</v>
      </c>
      <c r="AH47" s="22">
        <v>341.375</v>
      </c>
      <c r="AI47" s="22">
        <v>-1.7715499999999999E-2</v>
      </c>
      <c r="AJ47" s="22">
        <v>37</v>
      </c>
      <c r="AK47" s="22">
        <v>8.5693400000000003E-2</v>
      </c>
      <c r="AL47">
        <f t="shared" si="6"/>
        <v>17.715499999999999</v>
      </c>
      <c r="AM47">
        <f t="shared" si="7"/>
        <v>1.52999384285</v>
      </c>
      <c r="AP47" s="9"/>
      <c r="AQ47" s="22">
        <v>1.6136200000000001</v>
      </c>
      <c r="AR47" s="22">
        <v>413.57799999999997</v>
      </c>
      <c r="AS47" s="22">
        <v>-1.6995199999999999E-2</v>
      </c>
      <c r="AT47" s="22">
        <v>37</v>
      </c>
      <c r="AU47" s="22">
        <v>1.6131599999999999</v>
      </c>
      <c r="AV47">
        <f t="shared" si="8"/>
        <v>16.995199999999997</v>
      </c>
      <c r="AW47">
        <f t="shared" si="9"/>
        <v>27.423794623999996</v>
      </c>
      <c r="AX47" s="9"/>
      <c r="AY47" s="22">
        <v>8.6364700000000003E-2</v>
      </c>
      <c r="AZ47" s="22">
        <v>486.99099999999999</v>
      </c>
      <c r="BA47" s="22">
        <v>-1.82007E-2</v>
      </c>
      <c r="BB47" s="22">
        <v>37</v>
      </c>
      <c r="BC47" s="22">
        <v>8.6120600000000005E-2</v>
      </c>
      <c r="BD47">
        <f t="shared" si="10"/>
        <v>18.200700000000001</v>
      </c>
      <c r="BE47">
        <f t="shared" si="11"/>
        <v>1.5718979952900001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52.181699999999999</v>
      </c>
      <c r="I48" s="22">
        <v>-1.5002400000000001E-2</v>
      </c>
      <c r="J48" s="22">
        <v>38</v>
      </c>
      <c r="K48" s="22">
        <v>1.6079699999999999</v>
      </c>
      <c r="L48">
        <f t="shared" si="0"/>
        <v>15.002400000000002</v>
      </c>
      <c r="M48">
        <f t="shared" si="1"/>
        <v>24.132560592000001</v>
      </c>
      <c r="N48" s="9"/>
      <c r="O48" s="22">
        <v>9.1400099999999998E-2</v>
      </c>
      <c r="P48" s="22">
        <v>167.524</v>
      </c>
      <c r="Q48" s="22">
        <v>-1.61041E-2</v>
      </c>
      <c r="R48" s="22">
        <v>38</v>
      </c>
      <c r="S48" s="22">
        <v>9.1064500000000007E-2</v>
      </c>
      <c r="T48">
        <f t="shared" si="2"/>
        <v>16.104099999999999</v>
      </c>
      <c r="U48">
        <f t="shared" si="3"/>
        <v>1.4719163504099999</v>
      </c>
      <c r="X48" s="9"/>
      <c r="Y48" s="22">
        <v>1.6085799999999999</v>
      </c>
      <c r="Z48" s="22">
        <v>265.74</v>
      </c>
      <c r="AA48" s="22">
        <v>-1.6409300000000002E-2</v>
      </c>
      <c r="AB48" s="22">
        <v>38</v>
      </c>
      <c r="AC48" s="22">
        <v>1.6079699999999999</v>
      </c>
      <c r="AD48">
        <f t="shared" si="4"/>
        <v>16.409300000000002</v>
      </c>
      <c r="AE48">
        <f t="shared" si="5"/>
        <v>26.395671794000002</v>
      </c>
      <c r="AF48" s="9"/>
      <c r="AG48" s="22">
        <v>9.1400099999999998E-2</v>
      </c>
      <c r="AH48" s="22">
        <v>341.476</v>
      </c>
      <c r="AI48" s="22">
        <v>-1.7715499999999999E-2</v>
      </c>
      <c r="AJ48" s="22">
        <v>38</v>
      </c>
      <c r="AK48" s="22">
        <v>9.1888399999999995E-2</v>
      </c>
      <c r="AL48">
        <f t="shared" si="6"/>
        <v>17.715499999999999</v>
      </c>
      <c r="AM48">
        <f t="shared" si="7"/>
        <v>1.6191984715499999</v>
      </c>
      <c r="AP48" s="9"/>
      <c r="AQ48" s="22">
        <v>1.6085799999999999</v>
      </c>
      <c r="AR48" s="22">
        <v>413.67899999999997</v>
      </c>
      <c r="AS48" s="22">
        <v>-1.7077599999999998E-2</v>
      </c>
      <c r="AT48" s="22">
        <v>38</v>
      </c>
      <c r="AU48" s="22">
        <v>1.6076699999999999</v>
      </c>
      <c r="AV48">
        <f t="shared" si="8"/>
        <v>17.077599999999997</v>
      </c>
      <c r="AW48">
        <f t="shared" si="9"/>
        <v>27.470685807999992</v>
      </c>
      <c r="AX48" s="9"/>
      <c r="AY48" s="22">
        <v>9.1400099999999998E-2</v>
      </c>
      <c r="AZ48" s="22">
        <v>487.09199999999998</v>
      </c>
      <c r="BA48" s="22">
        <v>-1.8191499999999999E-2</v>
      </c>
      <c r="BB48" s="22">
        <v>38</v>
      </c>
      <c r="BC48" s="22">
        <v>9.0728799999999998E-2</v>
      </c>
      <c r="BD48">
        <f t="shared" si="10"/>
        <v>18.191499999999998</v>
      </c>
      <c r="BE48">
        <f t="shared" si="11"/>
        <v>1.6627049191499998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52.282400000000003</v>
      </c>
      <c r="I49" s="22">
        <v>-1.5020800000000001E-2</v>
      </c>
      <c r="J49" s="22">
        <v>39</v>
      </c>
      <c r="K49" s="22">
        <v>1.6027800000000001</v>
      </c>
      <c r="L49">
        <f t="shared" si="0"/>
        <v>15.020800000000001</v>
      </c>
      <c r="M49">
        <f t="shared" si="1"/>
        <v>24.086603840000002</v>
      </c>
      <c r="N49" s="9"/>
      <c r="O49" s="22">
        <v>9.6435499999999993E-2</v>
      </c>
      <c r="P49" s="22">
        <v>167.624</v>
      </c>
      <c r="Q49" s="22">
        <v>-1.6134599999999999E-2</v>
      </c>
      <c r="R49" s="22">
        <v>39</v>
      </c>
      <c r="S49" s="22">
        <v>9.6099900000000002E-2</v>
      </c>
      <c r="T49">
        <f t="shared" si="2"/>
        <v>16.134599999999999</v>
      </c>
      <c r="U49">
        <f t="shared" si="3"/>
        <v>1.5559482182999997</v>
      </c>
      <c r="X49" s="9"/>
      <c r="Y49" s="22">
        <v>1.60355</v>
      </c>
      <c r="Z49" s="22">
        <v>265.84100000000001</v>
      </c>
      <c r="AA49" s="22">
        <v>-1.6479500000000001E-2</v>
      </c>
      <c r="AB49" s="22">
        <v>39</v>
      </c>
      <c r="AC49" s="22">
        <v>1.6027800000000001</v>
      </c>
      <c r="AD49">
        <f t="shared" si="4"/>
        <v>16.479500000000002</v>
      </c>
      <c r="AE49">
        <f t="shared" si="5"/>
        <v>26.425702225000002</v>
      </c>
      <c r="AF49" s="9"/>
      <c r="AG49" s="22">
        <v>9.6435499999999993E-2</v>
      </c>
      <c r="AH49" s="22">
        <v>341.57600000000002</v>
      </c>
      <c r="AI49" s="22">
        <v>-1.77124E-2</v>
      </c>
      <c r="AJ49" s="22">
        <v>39</v>
      </c>
      <c r="AK49" s="22">
        <v>9.6008300000000005E-2</v>
      </c>
      <c r="AL49">
        <f t="shared" si="6"/>
        <v>17.712399999999999</v>
      </c>
      <c r="AM49">
        <f t="shared" si="7"/>
        <v>1.7081041501999998</v>
      </c>
      <c r="AP49" s="9"/>
      <c r="AQ49" s="22">
        <v>1.60355</v>
      </c>
      <c r="AR49" s="22">
        <v>413.779</v>
      </c>
      <c r="AS49" s="22">
        <v>-1.71387E-2</v>
      </c>
      <c r="AT49" s="22">
        <v>39</v>
      </c>
      <c r="AU49" s="22">
        <v>1.6027800000000001</v>
      </c>
      <c r="AV49">
        <f t="shared" si="8"/>
        <v>17.1387</v>
      </c>
      <c r="AW49">
        <f t="shared" si="9"/>
        <v>27.482762385000001</v>
      </c>
      <c r="AX49" s="9"/>
      <c r="AY49" s="22">
        <v>9.6435499999999993E-2</v>
      </c>
      <c r="AZ49" s="22">
        <v>487.19299999999998</v>
      </c>
      <c r="BA49" s="22">
        <v>-1.8182400000000001E-2</v>
      </c>
      <c r="BB49" s="22">
        <v>39</v>
      </c>
      <c r="BC49" s="22">
        <v>9.6038799999999994E-2</v>
      </c>
      <c r="BD49">
        <f t="shared" si="10"/>
        <v>18.182400000000001</v>
      </c>
      <c r="BE49">
        <f t="shared" si="11"/>
        <v>1.7534288352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52.383099999999999</v>
      </c>
      <c r="I50" s="22">
        <v>-1.50116E-2</v>
      </c>
      <c r="J50" s="22">
        <v>40</v>
      </c>
      <c r="K50" s="22">
        <v>1.5979000000000001</v>
      </c>
      <c r="L50">
        <f t="shared" si="0"/>
        <v>15.0116</v>
      </c>
      <c r="M50">
        <f t="shared" si="1"/>
        <v>23.996192715999999</v>
      </c>
      <c r="N50" s="9"/>
      <c r="O50" s="22">
        <v>0.10147100000000001</v>
      </c>
      <c r="P50" s="22">
        <v>167.72499999999999</v>
      </c>
      <c r="Q50" s="22">
        <v>-1.61285E-2</v>
      </c>
      <c r="R50" s="22">
        <v>40</v>
      </c>
      <c r="S50" s="22">
        <v>0.101135</v>
      </c>
      <c r="T50">
        <f t="shared" si="2"/>
        <v>16.128499999999999</v>
      </c>
      <c r="U50">
        <f t="shared" si="3"/>
        <v>1.6365750235000001</v>
      </c>
      <c r="X50" s="9"/>
      <c r="Y50" s="22">
        <v>1.5985100000000001</v>
      </c>
      <c r="Z50" s="22">
        <v>265.94200000000001</v>
      </c>
      <c r="AA50" s="22">
        <v>-1.6577100000000001E-2</v>
      </c>
      <c r="AB50" s="22">
        <v>40</v>
      </c>
      <c r="AC50" s="22">
        <v>1.5972900000000001</v>
      </c>
      <c r="AD50">
        <f t="shared" si="4"/>
        <v>16.577100000000002</v>
      </c>
      <c r="AE50">
        <f t="shared" si="5"/>
        <v>26.498660121000004</v>
      </c>
      <c r="AF50" s="9"/>
      <c r="AG50" s="22">
        <v>0.10147100000000001</v>
      </c>
      <c r="AH50" s="22">
        <v>341.67700000000002</v>
      </c>
      <c r="AI50" s="22">
        <v>-1.7715499999999999E-2</v>
      </c>
      <c r="AJ50" s="22">
        <v>40</v>
      </c>
      <c r="AK50" s="22">
        <v>0.100739</v>
      </c>
      <c r="AL50">
        <f t="shared" si="6"/>
        <v>17.715499999999999</v>
      </c>
      <c r="AM50">
        <f t="shared" si="7"/>
        <v>1.7976095004999999</v>
      </c>
      <c r="AP50" s="9"/>
      <c r="AQ50" s="22">
        <v>1.5985100000000001</v>
      </c>
      <c r="AR50" s="22">
        <v>413.88</v>
      </c>
      <c r="AS50" s="22">
        <v>-1.7202800000000001E-2</v>
      </c>
      <c r="AT50" s="22">
        <v>40</v>
      </c>
      <c r="AU50" s="22">
        <v>1.5975999999999999</v>
      </c>
      <c r="AV50">
        <f t="shared" si="8"/>
        <v>17.2028</v>
      </c>
      <c r="AW50">
        <f t="shared" si="9"/>
        <v>27.498847828000002</v>
      </c>
      <c r="AX50" s="9"/>
      <c r="AY50" s="22">
        <v>0.10147100000000001</v>
      </c>
      <c r="AZ50" s="22">
        <v>487.29300000000001</v>
      </c>
      <c r="BA50" s="22">
        <v>-1.8194599999999998E-2</v>
      </c>
      <c r="BB50" s="22">
        <v>40</v>
      </c>
      <c r="BC50" s="22">
        <v>0.10131800000000001</v>
      </c>
      <c r="BD50">
        <f t="shared" si="10"/>
        <v>18.194599999999998</v>
      </c>
      <c r="BE50">
        <f t="shared" si="11"/>
        <v>1.8462242565999998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52.483800000000002</v>
      </c>
      <c r="I51" s="22">
        <v>-1.49902E-2</v>
      </c>
      <c r="J51" s="22">
        <v>41</v>
      </c>
      <c r="K51" s="22">
        <v>1.5927100000000001</v>
      </c>
      <c r="L51">
        <f t="shared" si="0"/>
        <v>14.9902</v>
      </c>
      <c r="M51">
        <f t="shared" si="1"/>
        <v>23.886583896000001</v>
      </c>
      <c r="N51" s="9"/>
      <c r="O51" s="22">
        <v>0.106506</v>
      </c>
      <c r="P51" s="22">
        <v>167.82599999999999</v>
      </c>
      <c r="Q51" s="22">
        <v>-1.6095000000000002E-2</v>
      </c>
      <c r="R51" s="22">
        <v>41</v>
      </c>
      <c r="S51" s="22">
        <v>0.106171</v>
      </c>
      <c r="T51">
        <f t="shared" si="2"/>
        <v>16.095000000000002</v>
      </c>
      <c r="U51">
        <f t="shared" si="3"/>
        <v>1.7142140700000004</v>
      </c>
      <c r="X51" s="9"/>
      <c r="Y51" s="22">
        <v>1.59348</v>
      </c>
      <c r="Z51" s="22">
        <v>266.04199999999997</v>
      </c>
      <c r="AA51" s="22">
        <v>-1.6622899999999999E-2</v>
      </c>
      <c r="AB51" s="22">
        <v>41</v>
      </c>
      <c r="AC51" s="22">
        <v>1.5930200000000001</v>
      </c>
      <c r="AD51">
        <f t="shared" si="4"/>
        <v>16.622899999999998</v>
      </c>
      <c r="AE51">
        <f t="shared" si="5"/>
        <v>26.488258691999995</v>
      </c>
      <c r="AF51" s="9"/>
      <c r="AG51" s="22">
        <v>0.106506</v>
      </c>
      <c r="AH51" s="22">
        <v>341.77800000000002</v>
      </c>
      <c r="AI51" s="22">
        <v>-1.7718500000000002E-2</v>
      </c>
      <c r="AJ51" s="22">
        <v>41</v>
      </c>
      <c r="AK51" s="22">
        <v>0.105988</v>
      </c>
      <c r="AL51">
        <f t="shared" si="6"/>
        <v>17.718500000000002</v>
      </c>
      <c r="AM51">
        <f t="shared" si="7"/>
        <v>1.8871265610000003</v>
      </c>
      <c r="AP51" s="9"/>
      <c r="AQ51" s="22">
        <v>1.59348</v>
      </c>
      <c r="AR51" s="22">
        <v>413.98099999999999</v>
      </c>
      <c r="AS51" s="22">
        <v>-1.7266799999999999E-2</v>
      </c>
      <c r="AT51" s="22">
        <v>41</v>
      </c>
      <c r="AU51" s="22">
        <v>1.5924100000000001</v>
      </c>
      <c r="AV51">
        <f t="shared" si="8"/>
        <v>17.2668</v>
      </c>
      <c r="AW51">
        <f t="shared" si="9"/>
        <v>27.514300464000002</v>
      </c>
      <c r="AX51" s="9"/>
      <c r="AY51" s="22">
        <v>0.106506</v>
      </c>
      <c r="AZ51" s="22">
        <v>487.39400000000001</v>
      </c>
      <c r="BA51" s="22">
        <v>-1.8185400000000001E-2</v>
      </c>
      <c r="BB51" s="22">
        <v>41</v>
      </c>
      <c r="BC51" s="22">
        <v>0.105988</v>
      </c>
      <c r="BD51">
        <f t="shared" si="10"/>
        <v>18.185400000000001</v>
      </c>
      <c r="BE51">
        <f t="shared" si="11"/>
        <v>1.9368542124000001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52.584499999999998</v>
      </c>
      <c r="I52" s="22">
        <v>-1.4981100000000001E-2</v>
      </c>
      <c r="J52" s="22">
        <v>42</v>
      </c>
      <c r="K52" s="22">
        <v>1.5872200000000001</v>
      </c>
      <c r="L52">
        <f t="shared" si="0"/>
        <v>14.981100000000001</v>
      </c>
      <c r="M52">
        <f t="shared" si="1"/>
        <v>23.796578484000005</v>
      </c>
      <c r="N52" s="9"/>
      <c r="O52" s="22">
        <v>0.111542</v>
      </c>
      <c r="P52" s="22">
        <v>167.92599999999999</v>
      </c>
      <c r="Q52" s="22">
        <v>-1.6070600000000001E-2</v>
      </c>
      <c r="R52" s="22">
        <v>42</v>
      </c>
      <c r="S52" s="22">
        <v>0.111206</v>
      </c>
      <c r="T52">
        <f t="shared" si="2"/>
        <v>16.070600000000002</v>
      </c>
      <c r="U52">
        <f t="shared" si="3"/>
        <v>1.7925468652000003</v>
      </c>
      <c r="X52" s="9"/>
      <c r="Y52" s="22">
        <v>1.5884400000000001</v>
      </c>
      <c r="Z52" s="22">
        <v>266.14299999999997</v>
      </c>
      <c r="AA52" s="22">
        <v>-1.6677899999999999E-2</v>
      </c>
      <c r="AB52" s="22">
        <v>42</v>
      </c>
      <c r="AC52" s="22">
        <v>1.5872200000000001</v>
      </c>
      <c r="AD52">
        <f t="shared" si="4"/>
        <v>16.677899999999998</v>
      </c>
      <c r="AE52">
        <f t="shared" si="5"/>
        <v>26.491843475999996</v>
      </c>
      <c r="AF52" s="9"/>
      <c r="AG52" s="22">
        <v>0.111542</v>
      </c>
      <c r="AH52" s="22">
        <v>341.87799999999999</v>
      </c>
      <c r="AI52" s="22">
        <v>-1.7703199999999999E-2</v>
      </c>
      <c r="AJ52" s="22">
        <v>42</v>
      </c>
      <c r="AK52" s="22">
        <v>0.111176</v>
      </c>
      <c r="AL52">
        <f t="shared" si="6"/>
        <v>17.703199999999999</v>
      </c>
      <c r="AM52">
        <f t="shared" si="7"/>
        <v>1.9746503343999999</v>
      </c>
      <c r="AP52" s="9"/>
      <c r="AQ52" s="22">
        <v>1.5884400000000001</v>
      </c>
      <c r="AR52" s="22">
        <v>414.08199999999999</v>
      </c>
      <c r="AS52" s="22">
        <v>-1.73157E-2</v>
      </c>
      <c r="AT52" s="22">
        <v>42</v>
      </c>
      <c r="AU52" s="22">
        <v>1.58752</v>
      </c>
      <c r="AV52">
        <f t="shared" si="8"/>
        <v>17.3157</v>
      </c>
      <c r="AW52">
        <f t="shared" si="9"/>
        <v>27.504950508</v>
      </c>
      <c r="AX52" s="9"/>
      <c r="AY52" s="22">
        <v>0.111542</v>
      </c>
      <c r="AZ52" s="22">
        <v>487.495</v>
      </c>
      <c r="BA52" s="22">
        <v>-1.8197600000000001E-2</v>
      </c>
      <c r="BB52" s="22">
        <v>42</v>
      </c>
      <c r="BC52" s="22">
        <v>0.110504</v>
      </c>
      <c r="BD52">
        <f t="shared" si="10"/>
        <v>18.197600000000001</v>
      </c>
      <c r="BE52">
        <f t="shared" si="11"/>
        <v>2.0297966992000003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52.685200000000002</v>
      </c>
      <c r="I53" s="22">
        <v>-1.49841E-2</v>
      </c>
      <c r="J53" s="22">
        <v>43</v>
      </c>
      <c r="K53" s="22">
        <v>1.5823400000000001</v>
      </c>
      <c r="L53">
        <f t="shared" si="0"/>
        <v>14.9841</v>
      </c>
      <c r="M53">
        <f t="shared" si="1"/>
        <v>23.725823939999998</v>
      </c>
      <c r="N53" s="9"/>
      <c r="O53" s="22">
        <v>0.116577</v>
      </c>
      <c r="P53" s="22">
        <v>168.02699999999999</v>
      </c>
      <c r="Q53" s="22">
        <v>-1.6024799999999999E-2</v>
      </c>
      <c r="R53" s="22">
        <v>43</v>
      </c>
      <c r="S53" s="22">
        <v>0.116272</v>
      </c>
      <c r="T53">
        <f t="shared" si="2"/>
        <v>16.024799999999999</v>
      </c>
      <c r="U53">
        <f t="shared" si="3"/>
        <v>1.8681231095999999</v>
      </c>
      <c r="X53" s="9"/>
      <c r="Y53" s="22">
        <v>1.5833999999999999</v>
      </c>
      <c r="Z53" s="22">
        <v>266.24400000000003</v>
      </c>
      <c r="AA53" s="22">
        <v>-1.6744999999999999E-2</v>
      </c>
      <c r="AB53" s="22">
        <v>43</v>
      </c>
      <c r="AC53" s="22">
        <v>1.5829500000000001</v>
      </c>
      <c r="AD53">
        <f t="shared" si="4"/>
        <v>16.745000000000001</v>
      </c>
      <c r="AE53">
        <f t="shared" si="5"/>
        <v>26.514033000000001</v>
      </c>
      <c r="AF53" s="9"/>
      <c r="AG53" s="22">
        <v>0.116577</v>
      </c>
      <c r="AH53" s="22">
        <v>341.97899999999998</v>
      </c>
      <c r="AI53" s="22">
        <v>-1.7703199999999999E-2</v>
      </c>
      <c r="AJ53" s="22">
        <v>43</v>
      </c>
      <c r="AK53" s="22">
        <v>0.116425</v>
      </c>
      <c r="AL53">
        <f t="shared" si="6"/>
        <v>17.703199999999999</v>
      </c>
      <c r="AM53">
        <f t="shared" si="7"/>
        <v>2.0637859463999999</v>
      </c>
      <c r="AP53" s="9"/>
      <c r="AQ53" s="22">
        <v>1.5833999999999999</v>
      </c>
      <c r="AR53" s="22">
        <v>414.18200000000002</v>
      </c>
      <c r="AS53" s="22">
        <v>-1.73706E-2</v>
      </c>
      <c r="AT53" s="22">
        <v>43</v>
      </c>
      <c r="AU53" s="22">
        <v>1.5823400000000001</v>
      </c>
      <c r="AV53">
        <f t="shared" si="8"/>
        <v>17.3706</v>
      </c>
      <c r="AW53">
        <f t="shared" si="9"/>
        <v>27.504608039999997</v>
      </c>
      <c r="AX53" s="9"/>
      <c r="AY53" s="22">
        <v>0.116577</v>
      </c>
      <c r="AZ53" s="22">
        <v>487.59500000000003</v>
      </c>
      <c r="BA53" s="22">
        <v>-1.8185400000000001E-2</v>
      </c>
      <c r="BB53" s="22">
        <v>43</v>
      </c>
      <c r="BC53" s="22">
        <v>0.115997</v>
      </c>
      <c r="BD53">
        <f t="shared" si="10"/>
        <v>18.185400000000001</v>
      </c>
      <c r="BE53">
        <f t="shared" si="11"/>
        <v>2.1199993758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52.785899999999998</v>
      </c>
      <c r="I54" s="22">
        <v>-1.4978E-2</v>
      </c>
      <c r="J54" s="22">
        <v>44</v>
      </c>
      <c r="K54" s="22">
        <v>1.5771500000000001</v>
      </c>
      <c r="L54">
        <f t="shared" si="0"/>
        <v>14.978</v>
      </c>
      <c r="M54">
        <f t="shared" si="1"/>
        <v>23.64082586</v>
      </c>
      <c r="N54" s="9"/>
      <c r="O54" s="22">
        <v>0.121613</v>
      </c>
      <c r="P54" s="22">
        <v>168.12799999999999</v>
      </c>
      <c r="Q54" s="22">
        <v>-1.60339E-2</v>
      </c>
      <c r="R54" s="22">
        <v>44</v>
      </c>
      <c r="S54" s="22">
        <v>0.121338</v>
      </c>
      <c r="T54">
        <f t="shared" si="2"/>
        <v>16.033899999999999</v>
      </c>
      <c r="U54">
        <f t="shared" si="3"/>
        <v>1.9499306806999999</v>
      </c>
      <c r="X54" s="9"/>
      <c r="Y54" s="22">
        <v>1.5783700000000001</v>
      </c>
      <c r="Z54" s="22">
        <v>266.34500000000003</v>
      </c>
      <c r="AA54" s="22">
        <v>-1.6790800000000002E-2</v>
      </c>
      <c r="AB54" s="22">
        <v>44</v>
      </c>
      <c r="AC54" s="22">
        <v>1.5777600000000001</v>
      </c>
      <c r="AD54">
        <f t="shared" si="4"/>
        <v>16.790800000000001</v>
      </c>
      <c r="AE54">
        <f t="shared" si="5"/>
        <v>26.502094996000004</v>
      </c>
      <c r="AF54" s="9"/>
      <c r="AG54" s="22">
        <v>0.121613</v>
      </c>
      <c r="AH54" s="22">
        <v>342.08</v>
      </c>
      <c r="AI54" s="22">
        <v>-1.7703199999999999E-2</v>
      </c>
      <c r="AJ54" s="22">
        <v>44</v>
      </c>
      <c r="AK54" s="22">
        <v>0.121124</v>
      </c>
      <c r="AL54">
        <f t="shared" si="6"/>
        <v>17.703199999999999</v>
      </c>
      <c r="AM54">
        <f t="shared" si="7"/>
        <v>2.1529392615999998</v>
      </c>
      <c r="AP54" s="9"/>
      <c r="AQ54" s="22">
        <v>1.5783700000000001</v>
      </c>
      <c r="AR54" s="22">
        <v>414.28300000000002</v>
      </c>
      <c r="AS54" s="22">
        <v>-1.7407200000000001E-2</v>
      </c>
      <c r="AT54" s="22">
        <v>44</v>
      </c>
      <c r="AU54" s="22">
        <v>1.5777600000000001</v>
      </c>
      <c r="AV54">
        <f t="shared" si="8"/>
        <v>17.4072</v>
      </c>
      <c r="AW54">
        <f t="shared" si="9"/>
        <v>27.475002264</v>
      </c>
      <c r="AX54" s="9"/>
      <c r="AY54" s="22">
        <v>0.121613</v>
      </c>
      <c r="AZ54" s="22">
        <v>487.69600000000003</v>
      </c>
      <c r="BA54" s="22">
        <v>-1.82007E-2</v>
      </c>
      <c r="BB54" s="22">
        <v>44</v>
      </c>
      <c r="BC54" s="22">
        <v>0.12139900000000001</v>
      </c>
      <c r="BD54">
        <f t="shared" si="10"/>
        <v>18.200700000000001</v>
      </c>
      <c r="BE54">
        <f t="shared" si="11"/>
        <v>2.2134417290999999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52.886600000000001</v>
      </c>
      <c r="I55" s="22">
        <v>-1.4981100000000001E-2</v>
      </c>
      <c r="J55" s="22">
        <v>45</v>
      </c>
      <c r="K55" s="22">
        <v>1.57196</v>
      </c>
      <c r="L55">
        <f t="shared" si="0"/>
        <v>14.981100000000001</v>
      </c>
      <c r="M55">
        <f t="shared" si="1"/>
        <v>23.570214063000002</v>
      </c>
      <c r="N55" s="9"/>
      <c r="O55" s="22">
        <v>0.12664800000000001</v>
      </c>
      <c r="P55" s="22">
        <v>168.22900000000001</v>
      </c>
      <c r="Q55" s="22">
        <v>-1.6003400000000001E-2</v>
      </c>
      <c r="R55" s="22">
        <v>45</v>
      </c>
      <c r="S55" s="22">
        <v>0.126221</v>
      </c>
      <c r="T55">
        <f t="shared" si="2"/>
        <v>16.003399999999999</v>
      </c>
      <c r="U55">
        <f t="shared" si="3"/>
        <v>2.0267986032</v>
      </c>
      <c r="X55" s="9"/>
      <c r="Y55" s="22">
        <v>1.5733299999999999</v>
      </c>
      <c r="Z55" s="22">
        <v>266.44499999999999</v>
      </c>
      <c r="AA55" s="22">
        <v>-1.6845700000000002E-2</v>
      </c>
      <c r="AB55" s="22">
        <v>45</v>
      </c>
      <c r="AC55" s="22">
        <v>1.57318</v>
      </c>
      <c r="AD55">
        <f t="shared" si="4"/>
        <v>16.845700000000001</v>
      </c>
      <c r="AE55">
        <f t="shared" si="5"/>
        <v>26.503845180999999</v>
      </c>
      <c r="AF55" s="9"/>
      <c r="AG55" s="22">
        <v>0.12664800000000001</v>
      </c>
      <c r="AH55" s="22">
        <v>342.18</v>
      </c>
      <c r="AI55" s="22">
        <v>-1.7703199999999999E-2</v>
      </c>
      <c r="AJ55" s="22">
        <v>45</v>
      </c>
      <c r="AK55" s="22">
        <v>0.12603800000000001</v>
      </c>
      <c r="AL55">
        <f t="shared" si="6"/>
        <v>17.703199999999999</v>
      </c>
      <c r="AM55">
        <f t="shared" si="7"/>
        <v>2.2420748736</v>
      </c>
      <c r="AP55" s="9"/>
      <c r="AQ55" s="22">
        <v>1.5733299999999999</v>
      </c>
      <c r="AR55" s="22">
        <v>414.38400000000001</v>
      </c>
      <c r="AS55" s="22">
        <v>-1.7459100000000002E-2</v>
      </c>
      <c r="AT55" s="22">
        <v>45</v>
      </c>
      <c r="AU55" s="22">
        <v>1.57257</v>
      </c>
      <c r="AV55">
        <f t="shared" si="8"/>
        <v>17.459100000000003</v>
      </c>
      <c r="AW55">
        <f t="shared" si="9"/>
        <v>27.468925803000001</v>
      </c>
      <c r="AX55" s="9"/>
      <c r="AY55" s="22">
        <v>0.12664800000000001</v>
      </c>
      <c r="AZ55" s="22">
        <v>487.79700000000003</v>
      </c>
      <c r="BA55" s="22">
        <v>-1.8191499999999999E-2</v>
      </c>
      <c r="BB55" s="22">
        <v>45</v>
      </c>
      <c r="BC55" s="22">
        <v>0.125885</v>
      </c>
      <c r="BD55">
        <f t="shared" si="10"/>
        <v>18.191499999999998</v>
      </c>
      <c r="BE55">
        <f t="shared" si="11"/>
        <v>2.3039170919999998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52.987299999999998</v>
      </c>
      <c r="I56" s="22">
        <v>-1.49719E-2</v>
      </c>
      <c r="J56" s="22">
        <v>46</v>
      </c>
      <c r="K56" s="22">
        <v>1.56738</v>
      </c>
      <c r="L56">
        <f t="shared" si="0"/>
        <v>14.9719</v>
      </c>
      <c r="M56">
        <f t="shared" si="1"/>
        <v>23.480430770000002</v>
      </c>
      <c r="N56" s="9"/>
      <c r="O56" s="22">
        <v>0.13168299999999999</v>
      </c>
      <c r="P56" s="22">
        <v>168.32900000000001</v>
      </c>
      <c r="Q56" s="22">
        <v>-1.6036999999999999E-2</v>
      </c>
      <c r="R56" s="22">
        <v>46</v>
      </c>
      <c r="S56" s="22">
        <v>0.131409</v>
      </c>
      <c r="T56">
        <f t="shared" si="2"/>
        <v>16.036999999999999</v>
      </c>
      <c r="U56">
        <f t="shared" si="3"/>
        <v>2.1118002709999999</v>
      </c>
      <c r="X56" s="9"/>
      <c r="Y56" s="22">
        <v>1.5683</v>
      </c>
      <c r="Z56" s="22">
        <v>266.54599999999999</v>
      </c>
      <c r="AA56" s="22">
        <v>-1.6873200000000001E-2</v>
      </c>
      <c r="AB56" s="22">
        <v>46</v>
      </c>
      <c r="AC56" s="22">
        <v>1.56738</v>
      </c>
      <c r="AD56">
        <f t="shared" si="4"/>
        <v>16.873200000000001</v>
      </c>
      <c r="AE56">
        <f t="shared" si="5"/>
        <v>26.46223956</v>
      </c>
      <c r="AF56" s="9"/>
      <c r="AG56" s="22">
        <v>0.13168299999999999</v>
      </c>
      <c r="AH56" s="22">
        <v>342.28100000000001</v>
      </c>
      <c r="AI56" s="22">
        <v>-1.76971E-2</v>
      </c>
      <c r="AJ56" s="22">
        <v>46</v>
      </c>
      <c r="AK56" s="22">
        <v>0.13150000000000001</v>
      </c>
      <c r="AL56">
        <f t="shared" si="6"/>
        <v>17.697099999999999</v>
      </c>
      <c r="AM56">
        <f t="shared" si="7"/>
        <v>2.3304072192999996</v>
      </c>
      <c r="AP56" s="9"/>
      <c r="AQ56" s="22">
        <v>1.5683</v>
      </c>
      <c r="AR56" s="22">
        <v>414.48399999999998</v>
      </c>
      <c r="AS56" s="22">
        <v>-1.7495699999999999E-2</v>
      </c>
      <c r="AT56" s="22">
        <v>46</v>
      </c>
      <c r="AU56" s="22">
        <v>1.56738</v>
      </c>
      <c r="AV56">
        <f t="shared" si="8"/>
        <v>17.495699999999999</v>
      </c>
      <c r="AW56">
        <f t="shared" si="9"/>
        <v>27.438506310000001</v>
      </c>
      <c r="AX56" s="9"/>
      <c r="AY56" s="22">
        <v>0.13168299999999999</v>
      </c>
      <c r="AZ56" s="22">
        <v>487.89800000000002</v>
      </c>
      <c r="BA56" s="22">
        <v>-1.8179299999999999E-2</v>
      </c>
      <c r="BB56" s="22">
        <v>46</v>
      </c>
      <c r="BC56" s="22">
        <v>0.130554</v>
      </c>
      <c r="BD56">
        <f t="shared" si="10"/>
        <v>18.179299999999998</v>
      </c>
      <c r="BE56">
        <f t="shared" si="11"/>
        <v>2.3939047618999996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53.088000000000001</v>
      </c>
      <c r="I57" s="22">
        <v>-1.49689E-2</v>
      </c>
      <c r="J57" s="22">
        <v>47</v>
      </c>
      <c r="K57" s="22">
        <v>1.5625</v>
      </c>
      <c r="L57">
        <f t="shared" si="0"/>
        <v>14.9689</v>
      </c>
      <c r="M57">
        <f t="shared" si="1"/>
        <v>23.400282614000002</v>
      </c>
      <c r="N57" s="9"/>
      <c r="O57" s="22">
        <v>0.13671900000000001</v>
      </c>
      <c r="P57" s="22">
        <v>168.43</v>
      </c>
      <c r="Q57" s="22">
        <v>-1.6067499999999998E-2</v>
      </c>
      <c r="R57" s="22">
        <v>47</v>
      </c>
      <c r="S57" s="22">
        <v>0.136383</v>
      </c>
      <c r="T57">
        <f t="shared" si="2"/>
        <v>16.067499999999999</v>
      </c>
      <c r="U57">
        <f t="shared" si="3"/>
        <v>2.1967325325</v>
      </c>
      <c r="X57" s="9"/>
      <c r="Y57" s="22">
        <v>1.5632600000000001</v>
      </c>
      <c r="Z57" s="22">
        <v>266.64699999999999</v>
      </c>
      <c r="AA57" s="22">
        <v>-1.6922E-2</v>
      </c>
      <c r="AB57" s="22">
        <v>47</v>
      </c>
      <c r="AC57" s="22">
        <v>1.56219</v>
      </c>
      <c r="AD57">
        <f t="shared" si="4"/>
        <v>16.922000000000001</v>
      </c>
      <c r="AE57">
        <f t="shared" si="5"/>
        <v>26.453485720000003</v>
      </c>
      <c r="AF57" s="9"/>
      <c r="AG57" s="22">
        <v>0.13671900000000001</v>
      </c>
      <c r="AH57" s="22">
        <v>342.38200000000001</v>
      </c>
      <c r="AI57" s="22">
        <v>-1.76971E-2</v>
      </c>
      <c r="AJ57" s="22">
        <v>47</v>
      </c>
      <c r="AK57" s="22">
        <v>0.13653599999999999</v>
      </c>
      <c r="AL57">
        <f t="shared" si="6"/>
        <v>17.697099999999999</v>
      </c>
      <c r="AM57">
        <f t="shared" si="7"/>
        <v>2.4195298149000002</v>
      </c>
      <c r="AP57" s="9"/>
      <c r="AQ57" s="22">
        <v>1.5632600000000001</v>
      </c>
      <c r="AR57" s="22">
        <v>414.58499999999998</v>
      </c>
      <c r="AS57" s="22">
        <v>-1.75201E-2</v>
      </c>
      <c r="AT57" s="22">
        <v>47</v>
      </c>
      <c r="AU57" s="22">
        <v>1.56281</v>
      </c>
      <c r="AV57">
        <f t="shared" si="8"/>
        <v>17.520099999999999</v>
      </c>
      <c r="AW57">
        <f t="shared" si="9"/>
        <v>27.388471526</v>
      </c>
      <c r="AX57" s="9"/>
      <c r="AY57" s="22">
        <v>0.13671900000000001</v>
      </c>
      <c r="AZ57" s="22">
        <v>487.99799999999999</v>
      </c>
      <c r="BA57" s="22">
        <v>-1.8179299999999999E-2</v>
      </c>
      <c r="BB57" s="22">
        <v>47</v>
      </c>
      <c r="BC57" s="22">
        <v>0.13626099999999999</v>
      </c>
      <c r="BD57">
        <f t="shared" si="10"/>
        <v>18.179299999999998</v>
      </c>
      <c r="BE57">
        <f t="shared" si="11"/>
        <v>2.4854557166999998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53.188699999999997</v>
      </c>
      <c r="I58" s="22">
        <v>-1.49658E-2</v>
      </c>
      <c r="J58" s="22">
        <v>48</v>
      </c>
      <c r="K58" s="22">
        <v>1.55701</v>
      </c>
      <c r="L58">
        <f t="shared" si="0"/>
        <v>14.9658</v>
      </c>
      <c r="M58">
        <f t="shared" si="1"/>
        <v>23.320158534000001</v>
      </c>
      <c r="N58" s="9"/>
      <c r="O58" s="22">
        <v>0.14175399999999999</v>
      </c>
      <c r="P58" s="22">
        <v>168.53100000000001</v>
      </c>
      <c r="Q58" s="22">
        <v>-1.6146899999999999E-2</v>
      </c>
      <c r="R58" s="22">
        <v>48</v>
      </c>
      <c r="S58" s="22">
        <v>0.14141799999999999</v>
      </c>
      <c r="T58">
        <f t="shared" si="2"/>
        <v>16.146899999999999</v>
      </c>
      <c r="U58">
        <f t="shared" si="3"/>
        <v>2.2888876625999997</v>
      </c>
      <c r="X58" s="9"/>
      <c r="Y58" s="22">
        <v>1.55823</v>
      </c>
      <c r="Z58" s="22">
        <v>266.74700000000001</v>
      </c>
      <c r="AA58" s="22">
        <v>-1.6979999999999999E-2</v>
      </c>
      <c r="AB58" s="22">
        <v>48</v>
      </c>
      <c r="AC58" s="22">
        <v>1.55792</v>
      </c>
      <c r="AD58">
        <f t="shared" si="4"/>
        <v>16.979999999999997</v>
      </c>
      <c r="AE58">
        <f t="shared" si="5"/>
        <v>26.458745399999994</v>
      </c>
      <c r="AF58" s="9"/>
      <c r="AG58" s="22">
        <v>0.14175399999999999</v>
      </c>
      <c r="AH58" s="22">
        <v>342.483</v>
      </c>
      <c r="AI58" s="22">
        <v>-1.7703199999999999E-2</v>
      </c>
      <c r="AJ58" s="22">
        <v>48</v>
      </c>
      <c r="AK58" s="22">
        <v>0.141541</v>
      </c>
      <c r="AL58">
        <f t="shared" si="6"/>
        <v>17.703199999999999</v>
      </c>
      <c r="AM58">
        <f t="shared" si="7"/>
        <v>2.5094994127999999</v>
      </c>
      <c r="AP58" s="9"/>
      <c r="AQ58" s="22">
        <v>1.55823</v>
      </c>
      <c r="AR58" s="22">
        <v>414.68599999999998</v>
      </c>
      <c r="AS58" s="22">
        <v>-1.7562899999999999E-2</v>
      </c>
      <c r="AT58" s="22">
        <v>48</v>
      </c>
      <c r="AU58" s="22">
        <v>1.55792</v>
      </c>
      <c r="AV58">
        <f t="shared" si="8"/>
        <v>17.562899999999999</v>
      </c>
      <c r="AW58">
        <f t="shared" si="9"/>
        <v>27.367037666999998</v>
      </c>
      <c r="AX58" s="9"/>
      <c r="AY58" s="22">
        <v>0.14175399999999999</v>
      </c>
      <c r="AZ58" s="22">
        <v>488.09899999999999</v>
      </c>
      <c r="BA58" s="22">
        <v>-1.8179299999999999E-2</v>
      </c>
      <c r="BB58" s="22">
        <v>48</v>
      </c>
      <c r="BC58" s="22">
        <v>0.141205</v>
      </c>
      <c r="BD58">
        <f t="shared" si="10"/>
        <v>18.179299999999998</v>
      </c>
      <c r="BE58">
        <f t="shared" si="11"/>
        <v>2.5769884921999995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53.289400000000001</v>
      </c>
      <c r="I59" s="22">
        <v>-1.49719E-2</v>
      </c>
      <c r="J59" s="22">
        <v>49</v>
      </c>
      <c r="K59" s="22">
        <v>1.55243</v>
      </c>
      <c r="L59">
        <f t="shared" si="0"/>
        <v>14.9719</v>
      </c>
      <c r="M59">
        <f t="shared" si="1"/>
        <v>23.254205361</v>
      </c>
      <c r="N59" s="9"/>
      <c r="O59" s="22">
        <v>0.14679</v>
      </c>
      <c r="P59" s="22">
        <v>168.631</v>
      </c>
      <c r="Q59" s="22">
        <v>-1.6119399999999999E-2</v>
      </c>
      <c r="R59" s="22">
        <v>49</v>
      </c>
      <c r="S59" s="22">
        <v>0.14651500000000001</v>
      </c>
      <c r="T59">
        <f t="shared" si="2"/>
        <v>16.119399999999999</v>
      </c>
      <c r="U59">
        <f t="shared" si="3"/>
        <v>2.3661667259999999</v>
      </c>
      <c r="X59" s="9"/>
      <c r="Y59" s="22">
        <v>1.5531900000000001</v>
      </c>
      <c r="Z59" s="22">
        <v>266.84800000000001</v>
      </c>
      <c r="AA59" s="22">
        <v>-1.7010500000000001E-2</v>
      </c>
      <c r="AB59" s="22">
        <v>49</v>
      </c>
      <c r="AC59" s="22">
        <v>1.5527299999999999</v>
      </c>
      <c r="AD59">
        <f t="shared" si="4"/>
        <v>17.0105</v>
      </c>
      <c r="AE59">
        <f t="shared" si="5"/>
        <v>26.420538495000002</v>
      </c>
      <c r="AF59" s="9"/>
      <c r="AG59" s="22">
        <v>0.14679</v>
      </c>
      <c r="AH59" s="22">
        <v>342.58300000000003</v>
      </c>
      <c r="AI59" s="22">
        <v>-1.77094E-2</v>
      </c>
      <c r="AJ59" s="22">
        <v>49</v>
      </c>
      <c r="AK59" s="22">
        <v>0.14682000000000001</v>
      </c>
      <c r="AL59">
        <f t="shared" si="6"/>
        <v>17.709399999999999</v>
      </c>
      <c r="AM59">
        <f t="shared" si="7"/>
        <v>2.5995628259999997</v>
      </c>
      <c r="AP59" s="9"/>
      <c r="AQ59" s="22">
        <v>1.5531900000000001</v>
      </c>
      <c r="AR59" s="22">
        <v>414.786</v>
      </c>
      <c r="AS59" s="22">
        <v>-1.7593399999999999E-2</v>
      </c>
      <c r="AT59" s="22">
        <v>49</v>
      </c>
      <c r="AU59" s="22">
        <v>1.5527299999999999</v>
      </c>
      <c r="AV59">
        <f t="shared" si="8"/>
        <v>17.593399999999999</v>
      </c>
      <c r="AW59">
        <f t="shared" si="9"/>
        <v>27.325892946</v>
      </c>
      <c r="AX59" s="9"/>
      <c r="AY59" s="22">
        <v>0.14679</v>
      </c>
      <c r="AZ59" s="22">
        <v>488.2</v>
      </c>
      <c r="BA59" s="22">
        <v>-1.8185400000000001E-2</v>
      </c>
      <c r="BB59" s="22">
        <v>49</v>
      </c>
      <c r="BC59" s="22">
        <v>0.14624000000000001</v>
      </c>
      <c r="BD59">
        <f t="shared" si="10"/>
        <v>18.185400000000001</v>
      </c>
      <c r="BE59">
        <f t="shared" si="11"/>
        <v>2.6694348660000005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53.3902</v>
      </c>
      <c r="I60" s="22">
        <v>-1.4996300000000001E-2</v>
      </c>
      <c r="J60" s="22">
        <v>50</v>
      </c>
      <c r="K60" s="22">
        <v>1.5478499999999999</v>
      </c>
      <c r="L60">
        <f t="shared" si="0"/>
        <v>14.9963</v>
      </c>
      <c r="M60">
        <f t="shared" si="1"/>
        <v>23.216671808000001</v>
      </c>
      <c r="N60" s="9"/>
      <c r="O60" s="22">
        <v>0.15182499999999999</v>
      </c>
      <c r="P60" s="22">
        <v>168.732</v>
      </c>
      <c r="Q60" s="22">
        <v>-1.6098000000000001E-2</v>
      </c>
      <c r="R60" s="22">
        <v>50</v>
      </c>
      <c r="S60" s="22">
        <v>0.151398</v>
      </c>
      <c r="T60">
        <f t="shared" si="2"/>
        <v>16.098000000000003</v>
      </c>
      <c r="U60">
        <f t="shared" si="3"/>
        <v>2.4440788500000004</v>
      </c>
      <c r="X60" s="9"/>
      <c r="Y60" s="22">
        <v>1.54816</v>
      </c>
      <c r="Z60" s="22">
        <v>266.94900000000001</v>
      </c>
      <c r="AA60" s="22">
        <v>-1.7047099999999999E-2</v>
      </c>
      <c r="AB60" s="22">
        <v>50</v>
      </c>
      <c r="AC60" s="22">
        <v>1.5478499999999999</v>
      </c>
      <c r="AD60">
        <f t="shared" si="4"/>
        <v>17.0471</v>
      </c>
      <c r="AE60">
        <f t="shared" si="5"/>
        <v>26.391638336</v>
      </c>
      <c r="AF60" s="9"/>
      <c r="AG60" s="22">
        <v>0.15182499999999999</v>
      </c>
      <c r="AH60" s="22">
        <v>342.68400000000003</v>
      </c>
      <c r="AI60" s="22">
        <v>-1.77094E-2</v>
      </c>
      <c r="AJ60" s="22">
        <v>50</v>
      </c>
      <c r="AK60" s="22">
        <v>0.15118400000000001</v>
      </c>
      <c r="AL60">
        <f t="shared" si="6"/>
        <v>17.709399999999999</v>
      </c>
      <c r="AM60">
        <f t="shared" si="7"/>
        <v>2.6887296549999995</v>
      </c>
      <c r="AP60" s="9"/>
      <c r="AQ60" s="22">
        <v>1.54816</v>
      </c>
      <c r="AR60" s="22">
        <v>414.887</v>
      </c>
      <c r="AS60" s="22">
        <v>-1.76147E-2</v>
      </c>
      <c r="AT60" s="22">
        <v>50</v>
      </c>
      <c r="AU60" s="22">
        <v>1.5478499999999999</v>
      </c>
      <c r="AV60">
        <f t="shared" si="8"/>
        <v>17.614699999999999</v>
      </c>
      <c r="AW60">
        <f t="shared" si="9"/>
        <v>27.270373952</v>
      </c>
      <c r="AX60" s="9"/>
      <c r="AY60" s="22">
        <v>0.15182499999999999</v>
      </c>
      <c r="AZ60" s="22">
        <v>488.3</v>
      </c>
      <c r="BA60" s="22">
        <v>-1.8185400000000001E-2</v>
      </c>
      <c r="BB60" s="22">
        <v>50</v>
      </c>
      <c r="BC60" s="22">
        <v>0.151367</v>
      </c>
      <c r="BD60">
        <f t="shared" si="10"/>
        <v>18.185400000000001</v>
      </c>
      <c r="BE60">
        <f t="shared" si="11"/>
        <v>2.7609983549999999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53.490900000000003</v>
      </c>
      <c r="I61" s="22">
        <v>-1.50055E-2</v>
      </c>
      <c r="J61" s="22">
        <v>51</v>
      </c>
      <c r="K61" s="22">
        <v>1.54236</v>
      </c>
      <c r="L61">
        <f t="shared" si="0"/>
        <v>15.0055</v>
      </c>
      <c r="M61">
        <f t="shared" si="1"/>
        <v>23.15528716</v>
      </c>
      <c r="N61" s="9"/>
      <c r="O61" s="22">
        <v>0.15686</v>
      </c>
      <c r="P61" s="22">
        <v>168.833</v>
      </c>
      <c r="Q61" s="22">
        <v>-1.6095000000000002E-2</v>
      </c>
      <c r="R61" s="22">
        <v>51</v>
      </c>
      <c r="S61" s="22">
        <v>0.15649399999999999</v>
      </c>
      <c r="T61">
        <f t="shared" si="2"/>
        <v>16.095000000000002</v>
      </c>
      <c r="U61">
        <f t="shared" si="3"/>
        <v>2.5246617000000002</v>
      </c>
      <c r="X61" s="9"/>
      <c r="Y61" s="22">
        <v>1.54312</v>
      </c>
      <c r="Z61" s="22">
        <v>267.04899999999998</v>
      </c>
      <c r="AA61" s="22">
        <v>-1.7059299999999999E-2</v>
      </c>
      <c r="AB61" s="22">
        <v>51</v>
      </c>
      <c r="AC61" s="22">
        <v>1.54175</v>
      </c>
      <c r="AD61">
        <f t="shared" si="4"/>
        <v>17.0593</v>
      </c>
      <c r="AE61">
        <f t="shared" si="5"/>
        <v>26.324547016</v>
      </c>
      <c r="AF61" s="9"/>
      <c r="AG61" s="22">
        <v>0.15686</v>
      </c>
      <c r="AH61" s="22">
        <v>342.78500000000003</v>
      </c>
      <c r="AI61" s="22">
        <v>-1.77094E-2</v>
      </c>
      <c r="AJ61" s="22">
        <v>51</v>
      </c>
      <c r="AK61" s="22">
        <v>0.156281</v>
      </c>
      <c r="AL61">
        <f t="shared" si="6"/>
        <v>17.709399999999999</v>
      </c>
      <c r="AM61">
        <f t="shared" si="7"/>
        <v>2.7778964839999998</v>
      </c>
      <c r="AP61" s="9"/>
      <c r="AQ61" s="22">
        <v>1.54312</v>
      </c>
      <c r="AR61" s="22">
        <v>414.988</v>
      </c>
      <c r="AS61" s="22">
        <v>-1.7645299999999999E-2</v>
      </c>
      <c r="AT61" s="22">
        <v>51</v>
      </c>
      <c r="AU61" s="22">
        <v>1.54297</v>
      </c>
      <c r="AV61">
        <f t="shared" si="8"/>
        <v>17.645299999999999</v>
      </c>
      <c r="AW61">
        <f t="shared" si="9"/>
        <v>27.228815336</v>
      </c>
      <c r="AX61" s="9"/>
      <c r="AY61" s="22">
        <v>0.15686</v>
      </c>
      <c r="AZ61" s="22">
        <v>488.40100000000001</v>
      </c>
      <c r="BA61" s="22">
        <v>-1.8170200000000001E-2</v>
      </c>
      <c r="BB61" s="22">
        <v>51</v>
      </c>
      <c r="BC61" s="22">
        <v>0.15649399999999999</v>
      </c>
      <c r="BD61">
        <f t="shared" si="10"/>
        <v>18.170200000000001</v>
      </c>
      <c r="BE61">
        <f t="shared" si="11"/>
        <v>2.8501775720000002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53.5916</v>
      </c>
      <c r="I62" s="22">
        <v>-1.50055E-2</v>
      </c>
      <c r="J62" s="22">
        <v>52</v>
      </c>
      <c r="K62" s="22">
        <v>1.53687</v>
      </c>
      <c r="L62">
        <f t="shared" si="0"/>
        <v>15.0055</v>
      </c>
      <c r="M62">
        <f t="shared" si="1"/>
        <v>23.079809494999999</v>
      </c>
      <c r="N62" s="9"/>
      <c r="O62" s="22">
        <v>0.16189600000000001</v>
      </c>
      <c r="P62" s="22">
        <v>168.934</v>
      </c>
      <c r="Q62" s="22">
        <v>-1.6052199999999999E-2</v>
      </c>
      <c r="R62" s="22">
        <v>52</v>
      </c>
      <c r="S62" s="22">
        <v>0.161499</v>
      </c>
      <c r="T62">
        <f t="shared" si="2"/>
        <v>16.052199999999999</v>
      </c>
      <c r="U62">
        <f t="shared" si="3"/>
        <v>2.5987869712</v>
      </c>
      <c r="X62" s="9"/>
      <c r="Y62" s="22">
        <v>1.53809</v>
      </c>
      <c r="Z62" s="22">
        <v>267.14999999999998</v>
      </c>
      <c r="AA62" s="22">
        <v>-1.7092900000000001E-2</v>
      </c>
      <c r="AB62" s="22">
        <v>52</v>
      </c>
      <c r="AC62" s="22">
        <v>1.53748</v>
      </c>
      <c r="AD62">
        <f t="shared" si="4"/>
        <v>17.0929</v>
      </c>
      <c r="AE62">
        <f t="shared" si="5"/>
        <v>26.290418560999999</v>
      </c>
      <c r="AF62" s="9"/>
      <c r="AG62" s="22">
        <v>0.16189600000000001</v>
      </c>
      <c r="AH62" s="22">
        <v>342.88499999999999</v>
      </c>
      <c r="AI62" s="22">
        <v>-1.7690999999999998E-2</v>
      </c>
      <c r="AJ62" s="22">
        <v>52</v>
      </c>
      <c r="AK62" s="22">
        <v>0.16134599999999999</v>
      </c>
      <c r="AL62">
        <f t="shared" si="6"/>
        <v>17.690999999999999</v>
      </c>
      <c r="AM62">
        <f t="shared" si="7"/>
        <v>2.8641021360000001</v>
      </c>
      <c r="AP62" s="9"/>
      <c r="AQ62" s="22">
        <v>1.53809</v>
      </c>
      <c r="AR62" s="22">
        <v>415.089</v>
      </c>
      <c r="AS62" s="22">
        <v>-1.7663600000000002E-2</v>
      </c>
      <c r="AT62" s="22">
        <v>52</v>
      </c>
      <c r="AU62" s="22">
        <v>1.5371699999999999</v>
      </c>
      <c r="AV62">
        <f t="shared" si="8"/>
        <v>17.663600000000002</v>
      </c>
      <c r="AW62">
        <f t="shared" si="9"/>
        <v>27.168206524000002</v>
      </c>
      <c r="AX62" s="9"/>
      <c r="AY62" s="22">
        <v>0.16189600000000001</v>
      </c>
      <c r="AZ62" s="22">
        <v>488.50200000000001</v>
      </c>
      <c r="BA62" s="22">
        <v>-1.81732E-2</v>
      </c>
      <c r="BB62" s="22">
        <v>52</v>
      </c>
      <c r="BC62" s="22">
        <v>0.161499</v>
      </c>
      <c r="BD62">
        <f t="shared" si="10"/>
        <v>18.173200000000001</v>
      </c>
      <c r="BE62">
        <f t="shared" si="11"/>
        <v>2.9421683872000006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53.692300000000003</v>
      </c>
      <c r="I63" s="22">
        <v>-1.50238E-2</v>
      </c>
      <c r="J63" s="22">
        <v>53</v>
      </c>
      <c r="K63" s="22">
        <v>1.5322899999999999</v>
      </c>
      <c r="L63">
        <f t="shared" si="0"/>
        <v>15.0238</v>
      </c>
      <c r="M63">
        <f t="shared" si="1"/>
        <v>23.03223659</v>
      </c>
      <c r="N63" s="9"/>
      <c r="O63" s="22">
        <v>0.166931</v>
      </c>
      <c r="P63" s="22">
        <v>169.03399999999999</v>
      </c>
      <c r="Q63" s="22">
        <v>-1.6036999999999999E-2</v>
      </c>
      <c r="R63" s="22">
        <v>53</v>
      </c>
      <c r="S63" s="22">
        <v>0.16650400000000001</v>
      </c>
      <c r="T63">
        <f t="shared" si="2"/>
        <v>16.036999999999999</v>
      </c>
      <c r="U63">
        <f t="shared" si="3"/>
        <v>2.6770724469999996</v>
      </c>
      <c r="X63" s="9"/>
      <c r="Y63" s="22">
        <v>1.53305</v>
      </c>
      <c r="Z63" s="22">
        <v>267.25099999999998</v>
      </c>
      <c r="AA63" s="22">
        <v>-1.71234E-2</v>
      </c>
      <c r="AB63" s="22">
        <v>53</v>
      </c>
      <c r="AC63" s="22">
        <v>1.5322899999999999</v>
      </c>
      <c r="AD63">
        <f t="shared" si="4"/>
        <v>17.1234</v>
      </c>
      <c r="AE63">
        <f t="shared" si="5"/>
        <v>26.25102837</v>
      </c>
      <c r="AF63" s="9"/>
      <c r="AG63" s="22">
        <v>0.166931</v>
      </c>
      <c r="AH63" s="22">
        <v>342.98599999999999</v>
      </c>
      <c r="AI63" s="22">
        <v>-1.7687999999999999E-2</v>
      </c>
      <c r="AJ63" s="22">
        <v>53</v>
      </c>
      <c r="AK63" s="22">
        <v>0.166626</v>
      </c>
      <c r="AL63">
        <f t="shared" si="6"/>
        <v>17.687999999999999</v>
      </c>
      <c r="AM63">
        <f t="shared" si="7"/>
        <v>2.9526755279999999</v>
      </c>
      <c r="AP63" s="9"/>
      <c r="AQ63" s="22">
        <v>1.53305</v>
      </c>
      <c r="AR63" s="22">
        <v>415.18900000000002</v>
      </c>
      <c r="AS63" s="22">
        <v>-1.76849E-2</v>
      </c>
      <c r="AT63" s="22">
        <v>53</v>
      </c>
      <c r="AU63" s="22">
        <v>1.5325899999999999</v>
      </c>
      <c r="AV63">
        <f t="shared" si="8"/>
        <v>17.684899999999999</v>
      </c>
      <c r="AW63">
        <f t="shared" si="9"/>
        <v>27.111835944999999</v>
      </c>
      <c r="AX63" s="9"/>
      <c r="AY63" s="22">
        <v>0.166931</v>
      </c>
      <c r="AZ63" s="22">
        <v>488.60300000000001</v>
      </c>
      <c r="BA63" s="22">
        <v>-1.8170200000000001E-2</v>
      </c>
      <c r="BB63" s="22">
        <v>53</v>
      </c>
      <c r="BC63" s="22">
        <v>0.16647300000000001</v>
      </c>
      <c r="BD63">
        <f t="shared" si="10"/>
        <v>18.170200000000001</v>
      </c>
      <c r="BE63">
        <f t="shared" si="11"/>
        <v>3.0331696562000001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53.792999999999999</v>
      </c>
      <c r="I64" s="22">
        <v>-1.50116E-2</v>
      </c>
      <c r="J64" s="22">
        <v>54</v>
      </c>
      <c r="K64" s="22">
        <v>1.5270999999999999</v>
      </c>
      <c r="L64">
        <f t="shared" si="0"/>
        <v>15.0116</v>
      </c>
      <c r="M64">
        <f t="shared" si="1"/>
        <v>22.938025031999999</v>
      </c>
      <c r="N64" s="9"/>
      <c r="O64" s="22">
        <v>0.17196700000000001</v>
      </c>
      <c r="P64" s="22">
        <v>169.13499999999999</v>
      </c>
      <c r="Q64" s="22">
        <v>-1.6015600000000001E-2</v>
      </c>
      <c r="R64" s="22">
        <v>54</v>
      </c>
      <c r="S64" s="22">
        <v>0.17150899999999999</v>
      </c>
      <c r="T64">
        <f t="shared" si="2"/>
        <v>16.015600000000003</v>
      </c>
      <c r="U64">
        <f t="shared" si="3"/>
        <v>2.7541546852000005</v>
      </c>
      <c r="X64" s="9"/>
      <c r="Y64" s="22">
        <v>1.5280199999999999</v>
      </c>
      <c r="Z64" s="22">
        <v>267.35199999999998</v>
      </c>
      <c r="AA64" s="22">
        <v>-1.7144800000000002E-2</v>
      </c>
      <c r="AB64" s="22">
        <v>54</v>
      </c>
      <c r="AC64" s="22">
        <v>1.5277099999999999</v>
      </c>
      <c r="AD64">
        <f t="shared" si="4"/>
        <v>17.1448</v>
      </c>
      <c r="AE64">
        <f t="shared" si="5"/>
        <v>26.197597295999998</v>
      </c>
      <c r="AF64" s="9"/>
      <c r="AG64" s="22">
        <v>0.17196700000000001</v>
      </c>
      <c r="AH64" s="22">
        <v>343.08699999999999</v>
      </c>
      <c r="AI64" s="22">
        <v>-1.7700199999999999E-2</v>
      </c>
      <c r="AJ64" s="22">
        <v>54</v>
      </c>
      <c r="AK64" s="22">
        <v>0.17135600000000001</v>
      </c>
      <c r="AL64">
        <f t="shared" si="6"/>
        <v>17.700199999999999</v>
      </c>
      <c r="AM64">
        <f t="shared" si="7"/>
        <v>3.0438502933999998</v>
      </c>
      <c r="AP64" s="9"/>
      <c r="AQ64" s="22">
        <v>1.5280199999999999</v>
      </c>
      <c r="AR64" s="22">
        <v>415.29</v>
      </c>
      <c r="AS64" s="22">
        <v>-1.77094E-2</v>
      </c>
      <c r="AT64" s="22">
        <v>54</v>
      </c>
      <c r="AU64" s="22">
        <v>1.5277099999999999</v>
      </c>
      <c r="AV64">
        <f t="shared" si="8"/>
        <v>17.709399999999999</v>
      </c>
      <c r="AW64">
        <f t="shared" si="9"/>
        <v>27.060317387999998</v>
      </c>
      <c r="AX64" s="9"/>
      <c r="AY64" s="22">
        <v>0.17196700000000001</v>
      </c>
      <c r="AZ64" s="22">
        <v>488.70299999999997</v>
      </c>
      <c r="BA64" s="22">
        <v>-1.81732E-2</v>
      </c>
      <c r="BB64" s="22">
        <v>54</v>
      </c>
      <c r="BC64" s="22">
        <v>0.17178299999999999</v>
      </c>
      <c r="BD64">
        <f t="shared" si="10"/>
        <v>18.173200000000001</v>
      </c>
      <c r="BE64">
        <f t="shared" si="11"/>
        <v>3.1251906844000006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53.893700000000003</v>
      </c>
      <c r="I65" s="22">
        <v>-1.5014599999999999E-2</v>
      </c>
      <c r="J65" s="22">
        <v>55</v>
      </c>
      <c r="K65" s="22">
        <v>1.5216099999999999</v>
      </c>
      <c r="L65">
        <f t="shared" si="0"/>
        <v>15.0146</v>
      </c>
      <c r="M65">
        <f t="shared" si="1"/>
        <v>22.866935508000001</v>
      </c>
      <c r="N65" s="9"/>
      <c r="O65" s="22">
        <v>0.17700199999999999</v>
      </c>
      <c r="P65" s="22">
        <v>169.23599999999999</v>
      </c>
      <c r="Q65" s="22">
        <v>-1.60065E-2</v>
      </c>
      <c r="R65" s="22">
        <v>55</v>
      </c>
      <c r="S65" s="22">
        <v>0.17666599999999999</v>
      </c>
      <c r="T65">
        <f t="shared" si="2"/>
        <v>16.006499999999999</v>
      </c>
      <c r="U65">
        <f t="shared" si="3"/>
        <v>2.8331825129999997</v>
      </c>
      <c r="X65" s="9"/>
      <c r="Y65" s="22">
        <v>1.52298</v>
      </c>
      <c r="Z65" s="22">
        <v>267.452</v>
      </c>
      <c r="AA65" s="22">
        <v>-1.71661E-2</v>
      </c>
      <c r="AB65" s="22">
        <v>55</v>
      </c>
      <c r="AC65" s="22">
        <v>1.5222199999999999</v>
      </c>
      <c r="AD65">
        <f t="shared" si="4"/>
        <v>17.1661</v>
      </c>
      <c r="AE65">
        <f t="shared" si="5"/>
        <v>26.143626978</v>
      </c>
      <c r="AF65" s="9"/>
      <c r="AG65" s="22">
        <v>0.17700199999999999</v>
      </c>
      <c r="AH65" s="22">
        <v>343.18799999999999</v>
      </c>
      <c r="AI65" s="22">
        <v>-1.76849E-2</v>
      </c>
      <c r="AJ65" s="22">
        <v>55</v>
      </c>
      <c r="AK65" s="22">
        <v>0.176422</v>
      </c>
      <c r="AL65">
        <f t="shared" si="6"/>
        <v>17.684899999999999</v>
      </c>
      <c r="AM65">
        <f t="shared" si="7"/>
        <v>3.1302626697999996</v>
      </c>
      <c r="AP65" s="9"/>
      <c r="AQ65" s="22">
        <v>1.52298</v>
      </c>
      <c r="AR65" s="22">
        <v>415.39100000000002</v>
      </c>
      <c r="AS65" s="22">
        <v>-1.7721600000000001E-2</v>
      </c>
      <c r="AT65" s="22">
        <v>55</v>
      </c>
      <c r="AU65" s="22">
        <v>1.5219100000000001</v>
      </c>
      <c r="AV65">
        <f t="shared" si="8"/>
        <v>17.721600000000002</v>
      </c>
      <c r="AW65">
        <f t="shared" si="9"/>
        <v>26.989642368000002</v>
      </c>
      <c r="AX65" s="9"/>
      <c r="AY65" s="22">
        <v>0.17700199999999999</v>
      </c>
      <c r="AZ65" s="22">
        <v>488.80399999999997</v>
      </c>
      <c r="BA65" s="22">
        <v>-1.8167099999999999E-2</v>
      </c>
      <c r="BB65" s="22">
        <v>55</v>
      </c>
      <c r="BC65" s="22">
        <v>0.176422</v>
      </c>
      <c r="BD65">
        <f t="shared" si="10"/>
        <v>18.167099999999998</v>
      </c>
      <c r="BE65">
        <f t="shared" si="11"/>
        <v>3.2156130341999996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53.994399999999999</v>
      </c>
      <c r="I66" s="22">
        <v>-1.50116E-2</v>
      </c>
      <c r="J66" s="22">
        <v>56</v>
      </c>
      <c r="K66" s="22">
        <v>1.5170300000000001</v>
      </c>
      <c r="L66">
        <f t="shared" si="0"/>
        <v>15.0116</v>
      </c>
      <c r="M66">
        <f t="shared" si="1"/>
        <v>22.786708103999999</v>
      </c>
      <c r="N66" s="9"/>
      <c r="O66" s="22">
        <v>0.182037</v>
      </c>
      <c r="P66" s="22">
        <v>169.33600000000001</v>
      </c>
      <c r="Q66" s="22">
        <v>-1.5988200000000001E-2</v>
      </c>
      <c r="R66" s="22">
        <v>56</v>
      </c>
      <c r="S66" s="22">
        <v>0.181702</v>
      </c>
      <c r="T66">
        <f t="shared" si="2"/>
        <v>15.988200000000001</v>
      </c>
      <c r="U66">
        <f t="shared" si="3"/>
        <v>2.9104439634000001</v>
      </c>
      <c r="X66" s="9"/>
      <c r="Y66" s="22">
        <v>1.5179400000000001</v>
      </c>
      <c r="Z66" s="22">
        <v>267.553</v>
      </c>
      <c r="AA66" s="22">
        <v>-1.7187500000000001E-2</v>
      </c>
      <c r="AB66" s="22">
        <v>56</v>
      </c>
      <c r="AC66" s="22">
        <v>1.5170300000000001</v>
      </c>
      <c r="AD66">
        <f t="shared" si="4"/>
        <v>17.1875</v>
      </c>
      <c r="AE66">
        <f t="shared" si="5"/>
        <v>26.089593750000002</v>
      </c>
      <c r="AF66" s="9"/>
      <c r="AG66" s="22">
        <v>0.182037</v>
      </c>
      <c r="AH66" s="22">
        <v>343.28800000000001</v>
      </c>
      <c r="AI66" s="22">
        <v>-1.7678800000000001E-2</v>
      </c>
      <c r="AJ66" s="22">
        <v>56</v>
      </c>
      <c r="AK66" s="22">
        <v>0.181732</v>
      </c>
      <c r="AL66">
        <f t="shared" si="6"/>
        <v>17.678800000000003</v>
      </c>
      <c r="AM66">
        <f t="shared" si="7"/>
        <v>3.2181957156000007</v>
      </c>
      <c r="AP66" s="9"/>
      <c r="AQ66" s="22">
        <v>1.5179400000000001</v>
      </c>
      <c r="AR66" s="22">
        <v>415.49099999999999</v>
      </c>
      <c r="AS66" s="22">
        <v>-1.7730699999999999E-2</v>
      </c>
      <c r="AT66" s="22">
        <v>56</v>
      </c>
      <c r="AU66" s="22">
        <v>1.5167200000000001</v>
      </c>
      <c r="AV66">
        <f t="shared" si="8"/>
        <v>17.730699999999999</v>
      </c>
      <c r="AW66">
        <f t="shared" si="9"/>
        <v>26.914138758</v>
      </c>
      <c r="AX66" s="9"/>
      <c r="AY66" s="22">
        <v>0.182037</v>
      </c>
      <c r="AZ66" s="22">
        <v>488.90499999999997</v>
      </c>
      <c r="BA66" s="22">
        <v>-1.8164099999999999E-2</v>
      </c>
      <c r="BB66" s="22">
        <v>56</v>
      </c>
      <c r="BC66" s="22">
        <v>0.18157999999999999</v>
      </c>
      <c r="BD66">
        <f t="shared" si="10"/>
        <v>18.164099999999998</v>
      </c>
      <c r="BE66">
        <f t="shared" si="11"/>
        <v>3.3065382716999996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54.095100000000002</v>
      </c>
      <c r="I67" s="22">
        <v>-1.50177E-2</v>
      </c>
      <c r="J67" s="22">
        <v>57</v>
      </c>
      <c r="K67" s="22">
        <v>1.5124500000000001</v>
      </c>
      <c r="L67">
        <f t="shared" si="0"/>
        <v>15.0177</v>
      </c>
      <c r="M67">
        <f t="shared" si="1"/>
        <v>22.720428506999998</v>
      </c>
      <c r="N67" s="9"/>
      <c r="O67" s="22">
        <v>0.18707299999999999</v>
      </c>
      <c r="P67" s="22">
        <v>169.43700000000001</v>
      </c>
      <c r="Q67" s="22">
        <v>-1.5979E-2</v>
      </c>
      <c r="R67" s="22">
        <v>57</v>
      </c>
      <c r="S67" s="22">
        <v>0.18667600000000001</v>
      </c>
      <c r="T67">
        <f t="shared" si="2"/>
        <v>15.979000000000001</v>
      </c>
      <c r="U67">
        <f t="shared" si="3"/>
        <v>2.989239467</v>
      </c>
      <c r="X67" s="9"/>
      <c r="Y67" s="22">
        <v>1.51291</v>
      </c>
      <c r="Z67" s="22">
        <v>267.654</v>
      </c>
      <c r="AA67" s="22">
        <v>-1.71936E-2</v>
      </c>
      <c r="AB67" s="22">
        <v>57</v>
      </c>
      <c r="AC67" s="22">
        <v>1.5121500000000001</v>
      </c>
      <c r="AD67">
        <f t="shared" si="4"/>
        <v>17.1936</v>
      </c>
      <c r="AE67">
        <f t="shared" si="5"/>
        <v>26.012369375999999</v>
      </c>
      <c r="AF67" s="9"/>
      <c r="AG67" s="22">
        <v>0.18707299999999999</v>
      </c>
      <c r="AH67" s="22">
        <v>343.38900000000001</v>
      </c>
      <c r="AI67" s="22">
        <v>-1.7690999999999998E-2</v>
      </c>
      <c r="AJ67" s="22">
        <v>57</v>
      </c>
      <c r="AK67" s="22">
        <v>0.18646199999999999</v>
      </c>
      <c r="AL67">
        <f t="shared" si="6"/>
        <v>17.690999999999999</v>
      </c>
      <c r="AM67">
        <f t="shared" si="7"/>
        <v>3.3095084429999995</v>
      </c>
      <c r="AP67" s="9"/>
      <c r="AQ67" s="22">
        <v>1.51291</v>
      </c>
      <c r="AR67" s="22">
        <v>415.59199999999998</v>
      </c>
      <c r="AS67" s="22">
        <v>-1.7746000000000001E-2</v>
      </c>
      <c r="AT67" s="22">
        <v>57</v>
      </c>
      <c r="AU67" s="22">
        <v>1.5121500000000001</v>
      </c>
      <c r="AV67">
        <f t="shared" si="8"/>
        <v>17.746000000000002</v>
      </c>
      <c r="AW67">
        <f t="shared" si="9"/>
        <v>26.848100860000002</v>
      </c>
      <c r="AX67" s="9"/>
      <c r="AY67" s="22">
        <v>0.18707299999999999</v>
      </c>
      <c r="AZ67" s="22">
        <v>489.005</v>
      </c>
      <c r="BA67" s="22">
        <v>-1.8161E-2</v>
      </c>
      <c r="BB67" s="22">
        <v>57</v>
      </c>
      <c r="BC67" s="22">
        <v>0.18673699999999999</v>
      </c>
      <c r="BD67">
        <f t="shared" si="10"/>
        <v>18.161000000000001</v>
      </c>
      <c r="BE67">
        <f t="shared" si="11"/>
        <v>3.3974327529999999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54.195799999999998</v>
      </c>
      <c r="I68" s="22">
        <v>-1.50177E-2</v>
      </c>
      <c r="J68" s="22">
        <v>58</v>
      </c>
      <c r="K68" s="22">
        <v>1.50665</v>
      </c>
      <c r="L68">
        <f t="shared" si="0"/>
        <v>15.0177</v>
      </c>
      <c r="M68">
        <f t="shared" si="1"/>
        <v>22.644739299000001</v>
      </c>
      <c r="N68" s="9"/>
      <c r="O68" s="22">
        <v>0.192108</v>
      </c>
      <c r="P68" s="22">
        <v>169.53800000000001</v>
      </c>
      <c r="Q68" s="22">
        <v>-1.5960700000000001E-2</v>
      </c>
      <c r="R68" s="22">
        <v>58</v>
      </c>
      <c r="S68" s="22">
        <v>0.19168099999999999</v>
      </c>
      <c r="T68">
        <f t="shared" si="2"/>
        <v>15.960700000000001</v>
      </c>
      <c r="U68">
        <f t="shared" si="3"/>
        <v>3.0661781556000003</v>
      </c>
      <c r="X68" s="9"/>
      <c r="Y68" s="22">
        <v>1.50787</v>
      </c>
      <c r="Z68" s="22">
        <v>267.75400000000002</v>
      </c>
      <c r="AA68" s="22">
        <v>-1.7215000000000001E-2</v>
      </c>
      <c r="AB68" s="22">
        <v>58</v>
      </c>
      <c r="AC68" s="22">
        <v>1.50726</v>
      </c>
      <c r="AD68">
        <f t="shared" si="4"/>
        <v>17.215</v>
      </c>
      <c r="AE68">
        <f t="shared" si="5"/>
        <v>25.957982050000002</v>
      </c>
      <c r="AF68" s="9"/>
      <c r="AG68" s="22">
        <v>0.192108</v>
      </c>
      <c r="AH68" s="22">
        <v>343.49</v>
      </c>
      <c r="AI68" s="22">
        <v>-1.76849E-2</v>
      </c>
      <c r="AJ68" s="22">
        <v>58</v>
      </c>
      <c r="AK68" s="22">
        <v>0.19168099999999999</v>
      </c>
      <c r="AL68">
        <f t="shared" si="6"/>
        <v>17.684899999999999</v>
      </c>
      <c r="AM68">
        <f t="shared" si="7"/>
        <v>3.3974107692</v>
      </c>
      <c r="AP68" s="9"/>
      <c r="AQ68" s="22">
        <v>1.50787</v>
      </c>
      <c r="AR68" s="22">
        <v>415.69299999999998</v>
      </c>
      <c r="AS68" s="22">
        <v>-1.77673E-2</v>
      </c>
      <c r="AT68" s="22">
        <v>58</v>
      </c>
      <c r="AU68" s="22">
        <v>1.5075700000000001</v>
      </c>
      <c r="AV68">
        <f t="shared" si="8"/>
        <v>17.767299999999999</v>
      </c>
      <c r="AW68">
        <f t="shared" si="9"/>
        <v>26.790778651</v>
      </c>
      <c r="AX68" s="9"/>
      <c r="AY68" s="22">
        <v>0.192108</v>
      </c>
      <c r="AZ68" s="22">
        <v>489.10599999999999</v>
      </c>
      <c r="BA68" s="22">
        <v>-1.8158000000000001E-2</v>
      </c>
      <c r="BB68" s="22">
        <v>58</v>
      </c>
      <c r="BC68" s="22">
        <v>0.191498</v>
      </c>
      <c r="BD68">
        <f t="shared" si="10"/>
        <v>18.158000000000001</v>
      </c>
      <c r="BE68">
        <f t="shared" si="11"/>
        <v>3.4882970640000002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54.296500000000002</v>
      </c>
      <c r="I69" s="22">
        <v>-1.5014599999999999E-2</v>
      </c>
      <c r="J69" s="22">
        <v>59</v>
      </c>
      <c r="K69" s="22">
        <v>1.50238</v>
      </c>
      <c r="L69">
        <f t="shared" si="0"/>
        <v>15.0146</v>
      </c>
      <c r="M69">
        <f t="shared" si="1"/>
        <v>22.564541463999998</v>
      </c>
      <c r="N69" s="9"/>
      <c r="O69" s="22">
        <v>0.19714400000000001</v>
      </c>
      <c r="P69" s="22">
        <v>169.63800000000001</v>
      </c>
      <c r="Q69" s="22">
        <v>-1.5930199999999999E-2</v>
      </c>
      <c r="R69" s="22">
        <v>59</v>
      </c>
      <c r="S69" s="22">
        <v>0.19680800000000001</v>
      </c>
      <c r="T69">
        <f t="shared" si="2"/>
        <v>15.930199999999999</v>
      </c>
      <c r="U69">
        <f t="shared" si="3"/>
        <v>3.1405433488000001</v>
      </c>
      <c r="X69" s="9"/>
      <c r="Y69" s="22">
        <v>1.50284</v>
      </c>
      <c r="Z69" s="22">
        <v>267.85500000000002</v>
      </c>
      <c r="AA69" s="22">
        <v>-1.7227200000000002E-2</v>
      </c>
      <c r="AB69" s="22">
        <v>59</v>
      </c>
      <c r="AC69" s="22">
        <v>1.5020800000000001</v>
      </c>
      <c r="AD69">
        <f t="shared" si="4"/>
        <v>17.2272</v>
      </c>
      <c r="AE69">
        <f t="shared" si="5"/>
        <v>25.889725247999998</v>
      </c>
      <c r="AF69" s="9"/>
      <c r="AG69" s="22">
        <v>0.19714400000000001</v>
      </c>
      <c r="AH69" s="22">
        <v>343.59</v>
      </c>
      <c r="AI69" s="22">
        <v>-1.7666600000000001E-2</v>
      </c>
      <c r="AJ69" s="22">
        <v>59</v>
      </c>
      <c r="AK69" s="22">
        <v>0.19714400000000001</v>
      </c>
      <c r="AL69">
        <f t="shared" si="6"/>
        <v>17.666600000000003</v>
      </c>
      <c r="AM69">
        <f t="shared" si="7"/>
        <v>3.4828641904000008</v>
      </c>
      <c r="AP69" s="9"/>
      <c r="AQ69" s="22">
        <v>1.50284</v>
      </c>
      <c r="AR69" s="22">
        <v>415.79399999999998</v>
      </c>
      <c r="AS69" s="22">
        <v>-1.7800900000000001E-2</v>
      </c>
      <c r="AT69" s="22">
        <v>59</v>
      </c>
      <c r="AU69" s="22">
        <v>1.5026900000000001</v>
      </c>
      <c r="AV69">
        <f t="shared" si="8"/>
        <v>17.800900000000002</v>
      </c>
      <c r="AW69">
        <f t="shared" si="9"/>
        <v>26.751904556000003</v>
      </c>
      <c r="AX69" s="9"/>
      <c r="AY69" s="22">
        <v>0.19714400000000001</v>
      </c>
      <c r="AZ69" s="22">
        <v>489.20699999999999</v>
      </c>
      <c r="BA69" s="22">
        <v>-1.8161E-2</v>
      </c>
      <c r="BB69" s="22">
        <v>59</v>
      </c>
      <c r="BC69" s="22">
        <v>0.19628899999999999</v>
      </c>
      <c r="BD69">
        <f t="shared" si="10"/>
        <v>18.161000000000001</v>
      </c>
      <c r="BE69">
        <f t="shared" si="11"/>
        <v>3.5803321840000004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54.397199999999998</v>
      </c>
      <c r="I70" s="22">
        <v>-1.5020800000000001E-2</v>
      </c>
      <c r="J70" s="22">
        <v>60</v>
      </c>
      <c r="K70" s="22">
        <v>1.49658</v>
      </c>
      <c r="L70">
        <f t="shared" si="0"/>
        <v>15.020800000000001</v>
      </c>
      <c r="M70">
        <f t="shared" si="1"/>
        <v>22.498154240000002</v>
      </c>
      <c r="N70" s="9"/>
      <c r="O70" s="22">
        <v>0.202179</v>
      </c>
      <c r="P70" s="22">
        <v>169.739</v>
      </c>
      <c r="Q70" s="22">
        <v>-1.5921000000000001E-2</v>
      </c>
      <c r="R70" s="22">
        <v>60</v>
      </c>
      <c r="S70" s="22">
        <v>0.20175199999999999</v>
      </c>
      <c r="T70">
        <f t="shared" si="2"/>
        <v>15.921000000000001</v>
      </c>
      <c r="U70">
        <f t="shared" si="3"/>
        <v>3.2188918590000002</v>
      </c>
      <c r="X70" s="9"/>
      <c r="Y70" s="22">
        <v>1.4978</v>
      </c>
      <c r="Z70" s="22">
        <v>267.95600000000002</v>
      </c>
      <c r="AA70" s="22">
        <v>-1.72363E-2</v>
      </c>
      <c r="AB70" s="22">
        <v>60</v>
      </c>
      <c r="AC70" s="22">
        <v>1.4975000000000001</v>
      </c>
      <c r="AD70">
        <f t="shared" si="4"/>
        <v>17.2363</v>
      </c>
      <c r="AE70">
        <f t="shared" si="5"/>
        <v>25.816530140000001</v>
      </c>
      <c r="AF70" s="9"/>
      <c r="AG70" s="22">
        <v>0.202179</v>
      </c>
      <c r="AH70" s="22">
        <v>343.69099999999997</v>
      </c>
      <c r="AI70" s="22">
        <v>-1.7687999999999999E-2</v>
      </c>
      <c r="AJ70" s="22">
        <v>60</v>
      </c>
      <c r="AK70" s="22">
        <v>0.20214799999999999</v>
      </c>
      <c r="AL70">
        <f t="shared" si="6"/>
        <v>17.687999999999999</v>
      </c>
      <c r="AM70">
        <f t="shared" si="7"/>
        <v>3.5761421519999996</v>
      </c>
      <c r="AP70" s="9"/>
      <c r="AQ70" s="22">
        <v>1.4978</v>
      </c>
      <c r="AR70" s="22">
        <v>415.89400000000001</v>
      </c>
      <c r="AS70" s="22">
        <v>-1.7804E-2</v>
      </c>
      <c r="AT70" s="22">
        <v>60</v>
      </c>
      <c r="AU70" s="22">
        <v>1.49719</v>
      </c>
      <c r="AV70">
        <f t="shared" si="8"/>
        <v>17.804000000000002</v>
      </c>
      <c r="AW70">
        <f t="shared" si="9"/>
        <v>26.666831200000004</v>
      </c>
      <c r="AX70" s="9"/>
      <c r="AY70" s="22">
        <v>0.202179</v>
      </c>
      <c r="AZ70" s="22">
        <v>489.30700000000002</v>
      </c>
      <c r="BA70" s="22">
        <v>-1.8161E-2</v>
      </c>
      <c r="BB70" s="22">
        <v>60</v>
      </c>
      <c r="BC70" s="22">
        <v>0.20172100000000001</v>
      </c>
      <c r="BD70">
        <f t="shared" si="10"/>
        <v>18.161000000000001</v>
      </c>
      <c r="BE70">
        <f t="shared" si="11"/>
        <v>3.6717728190000001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54.497900000000001</v>
      </c>
      <c r="I71" s="22">
        <v>-1.5026899999999999E-2</v>
      </c>
      <c r="J71" s="22">
        <v>61</v>
      </c>
      <c r="K71" s="22">
        <v>1.4917</v>
      </c>
      <c r="L71">
        <f t="shared" si="0"/>
        <v>15.026899999999999</v>
      </c>
      <c r="M71">
        <f t="shared" si="1"/>
        <v>22.431705512999997</v>
      </c>
      <c r="N71" s="9"/>
      <c r="O71" s="22">
        <v>0.20721400000000001</v>
      </c>
      <c r="P71" s="22">
        <v>169.84</v>
      </c>
      <c r="Q71" s="22">
        <v>-1.59241E-2</v>
      </c>
      <c r="R71" s="22">
        <v>61</v>
      </c>
      <c r="S71" s="22">
        <v>0.206787</v>
      </c>
      <c r="T71">
        <f t="shared" si="2"/>
        <v>15.924099999999999</v>
      </c>
      <c r="U71">
        <f t="shared" si="3"/>
        <v>3.2996964574000001</v>
      </c>
      <c r="X71" s="9"/>
      <c r="Y71" s="22">
        <v>1.4927699999999999</v>
      </c>
      <c r="Z71" s="22">
        <v>268.05700000000002</v>
      </c>
      <c r="AA71" s="22">
        <v>-1.72607E-2</v>
      </c>
      <c r="AB71" s="22">
        <v>61</v>
      </c>
      <c r="AC71" s="22">
        <v>1.49261</v>
      </c>
      <c r="AD71">
        <f t="shared" si="4"/>
        <v>17.2607</v>
      </c>
      <c r="AE71">
        <f t="shared" si="5"/>
        <v>25.766255138999998</v>
      </c>
      <c r="AF71" s="9"/>
      <c r="AG71" s="22">
        <v>0.20721400000000001</v>
      </c>
      <c r="AH71" s="22">
        <v>343.79199999999997</v>
      </c>
      <c r="AI71" s="22">
        <v>-1.7690999999999998E-2</v>
      </c>
      <c r="AJ71" s="22">
        <v>61</v>
      </c>
      <c r="AK71" s="22">
        <v>0.20696999999999999</v>
      </c>
      <c r="AL71">
        <f t="shared" si="6"/>
        <v>17.690999999999999</v>
      </c>
      <c r="AM71">
        <f t="shared" si="7"/>
        <v>3.6658228739999998</v>
      </c>
      <c r="AP71" s="9"/>
      <c r="AQ71" s="22">
        <v>1.4927699999999999</v>
      </c>
      <c r="AR71" s="22">
        <v>415.995</v>
      </c>
      <c r="AS71" s="22">
        <v>-1.7791700000000001E-2</v>
      </c>
      <c r="AT71" s="22">
        <v>61</v>
      </c>
      <c r="AU71" s="22">
        <v>1.49231</v>
      </c>
      <c r="AV71">
        <f t="shared" si="8"/>
        <v>17.791700000000002</v>
      </c>
      <c r="AW71">
        <f t="shared" si="9"/>
        <v>26.558916009000001</v>
      </c>
      <c r="AX71" s="9"/>
      <c r="AY71" s="22">
        <v>0.20721400000000001</v>
      </c>
      <c r="AZ71" s="22">
        <v>489.40800000000002</v>
      </c>
      <c r="BA71" s="22">
        <v>-1.8167099999999999E-2</v>
      </c>
      <c r="BB71" s="22">
        <v>61</v>
      </c>
      <c r="BC71" s="22">
        <v>0.206757</v>
      </c>
      <c r="BD71">
        <f t="shared" si="10"/>
        <v>18.167099999999998</v>
      </c>
      <c r="BE71">
        <f t="shared" si="11"/>
        <v>3.7644774593999997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54.598700000000001</v>
      </c>
      <c r="I72" s="22">
        <v>-1.5026899999999999E-2</v>
      </c>
      <c r="J72" s="22">
        <v>62</v>
      </c>
      <c r="K72" s="22">
        <v>1.48682</v>
      </c>
      <c r="L72">
        <f t="shared" si="0"/>
        <v>15.026899999999999</v>
      </c>
      <c r="M72">
        <f t="shared" si="1"/>
        <v>22.355969936999998</v>
      </c>
      <c r="N72" s="9"/>
      <c r="O72" s="22">
        <v>0.21224999999999999</v>
      </c>
      <c r="P72" s="22">
        <v>169.941</v>
      </c>
      <c r="Q72" s="22">
        <v>-1.59241E-2</v>
      </c>
      <c r="R72" s="22">
        <v>62</v>
      </c>
      <c r="S72" s="22">
        <v>0.21188399999999999</v>
      </c>
      <c r="T72">
        <f t="shared" si="2"/>
        <v>15.924099999999999</v>
      </c>
      <c r="U72">
        <f t="shared" si="3"/>
        <v>3.3798902249999996</v>
      </c>
      <c r="X72" s="9"/>
      <c r="Y72" s="22">
        <v>1.48773</v>
      </c>
      <c r="Z72" s="22">
        <v>268.15699999999998</v>
      </c>
      <c r="AA72" s="22">
        <v>-1.7266799999999999E-2</v>
      </c>
      <c r="AB72" s="22">
        <v>62</v>
      </c>
      <c r="AC72" s="22">
        <v>1.48682</v>
      </c>
      <c r="AD72">
        <f t="shared" si="4"/>
        <v>17.2668</v>
      </c>
      <c r="AE72">
        <f t="shared" si="5"/>
        <v>25.688336364000001</v>
      </c>
      <c r="AF72" s="9"/>
      <c r="AG72" s="22">
        <v>0.21224999999999999</v>
      </c>
      <c r="AH72" s="22">
        <v>343.89299999999997</v>
      </c>
      <c r="AI72" s="22">
        <v>-1.76849E-2</v>
      </c>
      <c r="AJ72" s="22">
        <v>62</v>
      </c>
      <c r="AK72" s="22">
        <v>0.212006</v>
      </c>
      <c r="AL72">
        <f t="shared" si="6"/>
        <v>17.684899999999999</v>
      </c>
      <c r="AM72">
        <f t="shared" si="7"/>
        <v>3.7536200249999996</v>
      </c>
      <c r="AP72" s="9"/>
      <c r="AQ72" s="22">
        <v>1.48773</v>
      </c>
      <c r="AR72" s="22">
        <v>416.096</v>
      </c>
      <c r="AS72" s="22">
        <v>-1.7797899999999998E-2</v>
      </c>
      <c r="AT72" s="22">
        <v>62</v>
      </c>
      <c r="AU72" s="22">
        <v>1.48712</v>
      </c>
      <c r="AV72">
        <f t="shared" si="8"/>
        <v>17.797899999999998</v>
      </c>
      <c r="AW72">
        <f t="shared" si="9"/>
        <v>26.478469766999996</v>
      </c>
      <c r="AX72" s="9"/>
      <c r="AY72" s="22">
        <v>0.21224999999999999</v>
      </c>
      <c r="AZ72" s="22">
        <v>489.50900000000001</v>
      </c>
      <c r="BA72" s="22">
        <v>-1.8164099999999999E-2</v>
      </c>
      <c r="BB72" s="22">
        <v>62</v>
      </c>
      <c r="BC72" s="22">
        <v>0.21188399999999999</v>
      </c>
      <c r="BD72">
        <f t="shared" si="10"/>
        <v>18.164099999999998</v>
      </c>
      <c r="BE72">
        <f t="shared" si="11"/>
        <v>3.8553302249999994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54.699399999999997</v>
      </c>
      <c r="I73" s="22">
        <v>-1.50238E-2</v>
      </c>
      <c r="J73" s="22">
        <v>63</v>
      </c>
      <c r="K73" s="22">
        <v>1.48193</v>
      </c>
      <c r="L73">
        <f t="shared" si="0"/>
        <v>15.0238</v>
      </c>
      <c r="M73">
        <f t="shared" si="1"/>
        <v>22.275788259999999</v>
      </c>
      <c r="N73" s="9"/>
      <c r="O73" s="22">
        <v>0.21728500000000001</v>
      </c>
      <c r="P73" s="22">
        <v>170.041</v>
      </c>
      <c r="Q73" s="22">
        <v>-1.5914899999999999E-2</v>
      </c>
      <c r="R73" s="22">
        <v>63</v>
      </c>
      <c r="S73" s="22">
        <v>0.21682699999999999</v>
      </c>
      <c r="T73">
        <f t="shared" si="2"/>
        <v>15.914899999999999</v>
      </c>
      <c r="U73">
        <f t="shared" si="3"/>
        <v>3.4580690464999999</v>
      </c>
      <c r="X73" s="9"/>
      <c r="Y73" s="22">
        <v>1.4826999999999999</v>
      </c>
      <c r="Z73" s="22">
        <v>268.25799999999998</v>
      </c>
      <c r="AA73" s="22">
        <v>-1.7266799999999999E-2</v>
      </c>
      <c r="AB73" s="22">
        <v>63</v>
      </c>
      <c r="AC73" s="22">
        <v>1.48193</v>
      </c>
      <c r="AD73">
        <f t="shared" si="4"/>
        <v>17.2668</v>
      </c>
      <c r="AE73">
        <f t="shared" si="5"/>
        <v>25.601484359999997</v>
      </c>
      <c r="AF73" s="9"/>
      <c r="AG73" s="22">
        <v>0.21728500000000001</v>
      </c>
      <c r="AH73" s="22">
        <v>343.99299999999999</v>
      </c>
      <c r="AI73" s="22">
        <v>-1.7687999999999999E-2</v>
      </c>
      <c r="AJ73" s="22">
        <v>63</v>
      </c>
      <c r="AK73" s="22">
        <v>0.21698000000000001</v>
      </c>
      <c r="AL73">
        <f t="shared" si="6"/>
        <v>17.687999999999999</v>
      </c>
      <c r="AM73">
        <f t="shared" si="7"/>
        <v>3.84333708</v>
      </c>
      <c r="AP73" s="9"/>
      <c r="AQ73" s="22">
        <v>1.4826999999999999</v>
      </c>
      <c r="AR73" s="22">
        <v>416.19600000000003</v>
      </c>
      <c r="AS73" s="22">
        <v>-1.7813099999999998E-2</v>
      </c>
      <c r="AT73" s="22">
        <v>63</v>
      </c>
      <c r="AU73" s="22">
        <v>1.48224</v>
      </c>
      <c r="AV73">
        <f t="shared" si="8"/>
        <v>17.813099999999999</v>
      </c>
      <c r="AW73">
        <f t="shared" si="9"/>
        <v>26.411483369999996</v>
      </c>
      <c r="AX73" s="9"/>
      <c r="AY73" s="22">
        <v>0.21728500000000001</v>
      </c>
      <c r="AZ73" s="22">
        <v>489.61</v>
      </c>
      <c r="BA73" s="22">
        <v>-1.8151899999999999E-2</v>
      </c>
      <c r="BB73" s="22">
        <v>63</v>
      </c>
      <c r="BC73" s="22">
        <v>0.216888</v>
      </c>
      <c r="BD73">
        <f t="shared" si="10"/>
        <v>18.151899999999998</v>
      </c>
      <c r="BE73">
        <f t="shared" si="11"/>
        <v>3.9441355914999998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54.8001</v>
      </c>
      <c r="I74" s="22">
        <v>-1.50513E-2</v>
      </c>
      <c r="J74" s="22">
        <v>64</v>
      </c>
      <c r="K74" s="22">
        <v>1.47675</v>
      </c>
      <c r="L74">
        <f t="shared" si="0"/>
        <v>15.051299999999999</v>
      </c>
      <c r="M74">
        <f t="shared" si="1"/>
        <v>22.240703957999997</v>
      </c>
      <c r="N74" s="9"/>
      <c r="O74" s="22">
        <v>0.22232099999999999</v>
      </c>
      <c r="P74" s="22">
        <v>170.142</v>
      </c>
      <c r="Q74" s="22">
        <v>-1.5893600000000001E-2</v>
      </c>
      <c r="R74" s="22">
        <v>64</v>
      </c>
      <c r="S74" s="22">
        <v>0.22195400000000001</v>
      </c>
      <c r="T74">
        <f t="shared" si="2"/>
        <v>15.893600000000001</v>
      </c>
      <c r="U74">
        <f t="shared" si="3"/>
        <v>3.5334810455999999</v>
      </c>
      <c r="X74" s="9"/>
      <c r="Y74" s="22">
        <v>1.47766</v>
      </c>
      <c r="Z74" s="22">
        <v>268.35899999999998</v>
      </c>
      <c r="AA74" s="22">
        <v>-1.7282100000000002E-2</v>
      </c>
      <c r="AB74" s="22">
        <v>64</v>
      </c>
      <c r="AC74" s="22">
        <v>1.47705</v>
      </c>
      <c r="AD74">
        <f t="shared" si="4"/>
        <v>17.282100000000003</v>
      </c>
      <c r="AE74">
        <f t="shared" si="5"/>
        <v>25.537067886000006</v>
      </c>
      <c r="AF74" s="9"/>
      <c r="AG74" s="22">
        <v>0.22232099999999999</v>
      </c>
      <c r="AH74" s="22">
        <v>344.09399999999999</v>
      </c>
      <c r="AI74" s="22">
        <v>-1.76697E-2</v>
      </c>
      <c r="AJ74" s="22">
        <v>64</v>
      </c>
      <c r="AK74" s="22">
        <v>0.22204599999999999</v>
      </c>
      <c r="AL74">
        <f t="shared" si="6"/>
        <v>17.669699999999999</v>
      </c>
      <c r="AM74">
        <f t="shared" si="7"/>
        <v>3.9283453736999996</v>
      </c>
      <c r="AP74" s="9"/>
      <c r="AQ74" s="22">
        <v>1.47766</v>
      </c>
      <c r="AR74" s="22">
        <v>416.29700000000003</v>
      </c>
      <c r="AS74" s="22">
        <v>-1.7822299999999999E-2</v>
      </c>
      <c r="AT74" s="22">
        <v>64</v>
      </c>
      <c r="AU74" s="22">
        <v>1.47675</v>
      </c>
      <c r="AV74">
        <f t="shared" si="8"/>
        <v>17.822299999999998</v>
      </c>
      <c r="AW74">
        <f t="shared" si="9"/>
        <v>26.335299817999996</v>
      </c>
      <c r="AX74" s="9"/>
      <c r="AY74" s="22">
        <v>0.22232099999999999</v>
      </c>
      <c r="AZ74" s="22">
        <v>489.71</v>
      </c>
      <c r="BA74" s="22">
        <v>-1.8158000000000001E-2</v>
      </c>
      <c r="BB74" s="22">
        <v>64</v>
      </c>
      <c r="BC74" s="22">
        <v>0.222076</v>
      </c>
      <c r="BD74">
        <f t="shared" si="10"/>
        <v>18.158000000000001</v>
      </c>
      <c r="BE74">
        <f t="shared" si="11"/>
        <v>4.0369047179999997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54.900799999999997</v>
      </c>
      <c r="I75" s="22">
        <v>-1.5032999999999999E-2</v>
      </c>
      <c r="J75" s="22">
        <v>65</v>
      </c>
      <c r="K75" s="22">
        <v>1.4712499999999999</v>
      </c>
      <c r="L75">
        <f t="shared" si="0"/>
        <v>15.032999999999999</v>
      </c>
      <c r="M75">
        <f t="shared" si="1"/>
        <v>22.138046790000001</v>
      </c>
      <c r="N75" s="9"/>
      <c r="O75" s="22">
        <v>0.227356</v>
      </c>
      <c r="P75" s="22">
        <v>170.24299999999999</v>
      </c>
      <c r="Q75" s="22">
        <v>-1.5890499999999998E-2</v>
      </c>
      <c r="R75" s="22">
        <v>65</v>
      </c>
      <c r="S75" s="22">
        <v>0.22692899999999999</v>
      </c>
      <c r="T75">
        <f t="shared" si="2"/>
        <v>15.890499999999998</v>
      </c>
      <c r="U75">
        <f t="shared" si="3"/>
        <v>3.6128005179999994</v>
      </c>
      <c r="X75" s="9"/>
      <c r="Y75" s="22">
        <v>1.4726300000000001</v>
      </c>
      <c r="Z75" s="22">
        <v>268.459</v>
      </c>
      <c r="AA75" s="22">
        <v>-1.7285200000000001E-2</v>
      </c>
      <c r="AB75" s="22">
        <v>65</v>
      </c>
      <c r="AC75" s="22">
        <v>1.47217</v>
      </c>
      <c r="AD75">
        <f t="shared" si="4"/>
        <v>17.2852</v>
      </c>
      <c r="AE75">
        <f t="shared" si="5"/>
        <v>25.454704076000002</v>
      </c>
      <c r="AF75" s="9"/>
      <c r="AG75" s="22">
        <v>0.227356</v>
      </c>
      <c r="AH75" s="22">
        <v>344.19499999999999</v>
      </c>
      <c r="AI75" s="22">
        <v>-1.76819E-2</v>
      </c>
      <c r="AJ75" s="22">
        <v>65</v>
      </c>
      <c r="AK75" s="22">
        <v>0.226379</v>
      </c>
      <c r="AL75">
        <f t="shared" si="6"/>
        <v>17.681899999999999</v>
      </c>
      <c r="AM75">
        <f t="shared" si="7"/>
        <v>4.0200860563999994</v>
      </c>
      <c r="AP75" s="9"/>
      <c r="AQ75" s="22">
        <v>1.4726300000000001</v>
      </c>
      <c r="AR75" s="22">
        <v>416.39800000000002</v>
      </c>
      <c r="AS75" s="22">
        <v>-1.7828400000000001E-2</v>
      </c>
      <c r="AT75" s="22">
        <v>65</v>
      </c>
      <c r="AU75" s="22">
        <v>1.47217</v>
      </c>
      <c r="AV75">
        <f t="shared" si="8"/>
        <v>17.828400000000002</v>
      </c>
      <c r="AW75">
        <f t="shared" si="9"/>
        <v>26.254636692000005</v>
      </c>
      <c r="AX75" s="9"/>
      <c r="AY75" s="22">
        <v>0.227356</v>
      </c>
      <c r="AZ75" s="22">
        <v>489.81099999999998</v>
      </c>
      <c r="BA75" s="22">
        <v>-1.8158000000000001E-2</v>
      </c>
      <c r="BB75" s="22">
        <v>65</v>
      </c>
      <c r="BC75" s="22">
        <v>0.22665399999999999</v>
      </c>
      <c r="BD75">
        <f t="shared" si="10"/>
        <v>18.158000000000001</v>
      </c>
      <c r="BE75">
        <f t="shared" si="11"/>
        <v>4.1283302480000001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55.0015</v>
      </c>
      <c r="I76" s="22">
        <v>-1.5042099999999999E-2</v>
      </c>
      <c r="J76" s="22">
        <v>66</v>
      </c>
      <c r="K76" s="22">
        <v>1.4660599999999999</v>
      </c>
      <c r="L76">
        <f t="shared" ref="L76:L139" si="12">-I76/$F$2*1000</f>
        <v>15.0421</v>
      </c>
      <c r="M76">
        <f t="shared" ref="M76:M139" si="13">L76*G76</f>
        <v>22.075635539</v>
      </c>
      <c r="N76" s="9"/>
      <c r="O76" s="22">
        <v>0.23239099999999999</v>
      </c>
      <c r="P76" s="22">
        <v>170.34299999999999</v>
      </c>
      <c r="Q76" s="22">
        <v>-1.5902699999999999E-2</v>
      </c>
      <c r="R76" s="22">
        <v>66</v>
      </c>
      <c r="S76" s="22">
        <v>0.23199500000000001</v>
      </c>
      <c r="T76">
        <f t="shared" ref="T76:T139" si="14">-Q76/$F$2*1000</f>
        <v>15.902699999999999</v>
      </c>
      <c r="U76">
        <f t="shared" ref="U76:U139" si="15">T76*O76</f>
        <v>3.6956443556999998</v>
      </c>
      <c r="X76" s="9"/>
      <c r="Y76" s="22">
        <v>1.46759</v>
      </c>
      <c r="Z76" s="22">
        <v>268.56</v>
      </c>
      <c r="AA76" s="22">
        <v>-1.73004E-2</v>
      </c>
      <c r="AB76" s="22">
        <v>66</v>
      </c>
      <c r="AC76" s="22">
        <v>1.4666699999999999</v>
      </c>
      <c r="AD76">
        <f t="shared" ref="AD76:AD139" si="16">-AA76/$F$2*1000</f>
        <v>17.3004</v>
      </c>
      <c r="AE76">
        <f t="shared" ref="AE76:AE139" si="17">AD76*Y76</f>
        <v>25.389894035999998</v>
      </c>
      <c r="AF76" s="9"/>
      <c r="AG76" s="22">
        <v>0.23239099999999999</v>
      </c>
      <c r="AH76" s="22">
        <v>344.29500000000002</v>
      </c>
      <c r="AI76" s="22">
        <v>-1.76727E-2</v>
      </c>
      <c r="AJ76" s="22">
        <v>66</v>
      </c>
      <c r="AK76" s="22">
        <v>0.23202500000000001</v>
      </c>
      <c r="AL76">
        <f t="shared" ref="AL76:AL139" si="18">-AI76/$F$2*1000</f>
        <v>17.672699999999999</v>
      </c>
      <c r="AM76">
        <f t="shared" ref="AM76:AM139" si="19">AL76*AG76</f>
        <v>4.1069764256999992</v>
      </c>
      <c r="AP76" s="9"/>
      <c r="AQ76" s="22">
        <v>1.46759</v>
      </c>
      <c r="AR76" s="22">
        <v>416.49900000000002</v>
      </c>
      <c r="AS76" s="22">
        <v>-1.7843600000000001E-2</v>
      </c>
      <c r="AT76" s="22">
        <v>66</v>
      </c>
      <c r="AU76" s="22">
        <v>1.4666699999999999</v>
      </c>
      <c r="AV76">
        <f t="shared" ref="AV76:AV139" si="20">-AS76/$F$2*1000</f>
        <v>17.843600000000002</v>
      </c>
      <c r="AW76">
        <f t="shared" ref="AW76:AW139" si="21">AV76*AQ76</f>
        <v>26.187088924000001</v>
      </c>
      <c r="AX76" s="9"/>
      <c r="AY76" s="22">
        <v>0.23239099999999999</v>
      </c>
      <c r="AZ76" s="22">
        <v>489.91199999999998</v>
      </c>
      <c r="BA76" s="22">
        <v>-1.8161E-2</v>
      </c>
      <c r="BB76" s="22">
        <v>66</v>
      </c>
      <c r="BC76" s="22">
        <v>0.231903</v>
      </c>
      <c r="BD76">
        <f t="shared" ref="BD76:BD139" si="22">-BA76/$F$2*1000</f>
        <v>18.161000000000001</v>
      </c>
      <c r="BE76">
        <f t="shared" ref="BE76:BE139" si="23">BD76*AY76</f>
        <v>4.2204529510000004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55.102200000000003</v>
      </c>
      <c r="I77" s="22">
        <v>-1.50452E-2</v>
      </c>
      <c r="J77" s="22">
        <v>67</v>
      </c>
      <c r="K77" s="22">
        <v>1.4617899999999999</v>
      </c>
      <c r="L77">
        <f t="shared" si="12"/>
        <v>15.045199999999999</v>
      </c>
      <c r="M77">
        <f t="shared" si="13"/>
        <v>22.004357259999999</v>
      </c>
      <c r="N77" s="9"/>
      <c r="O77" s="22">
        <v>0.237427</v>
      </c>
      <c r="P77" s="22">
        <v>170.44399999999999</v>
      </c>
      <c r="Q77" s="22">
        <v>-1.5859999999999999E-2</v>
      </c>
      <c r="R77" s="22">
        <v>67</v>
      </c>
      <c r="S77" s="22">
        <v>0.23696900000000001</v>
      </c>
      <c r="T77">
        <f t="shared" si="14"/>
        <v>15.86</v>
      </c>
      <c r="U77">
        <f t="shared" si="15"/>
        <v>3.7655922199999998</v>
      </c>
      <c r="X77" s="9"/>
      <c r="Y77" s="22">
        <v>1.46255</v>
      </c>
      <c r="Z77" s="22">
        <v>268.661</v>
      </c>
      <c r="AA77" s="22">
        <v>-1.7297400000000001E-2</v>
      </c>
      <c r="AB77" s="22">
        <v>67</v>
      </c>
      <c r="AC77" s="22">
        <v>1.4621</v>
      </c>
      <c r="AD77">
        <f t="shared" si="16"/>
        <v>17.2974</v>
      </c>
      <c r="AE77">
        <f t="shared" si="17"/>
        <v>25.298312370000001</v>
      </c>
      <c r="AF77" s="9"/>
      <c r="AG77" s="22">
        <v>0.237427</v>
      </c>
      <c r="AH77" s="22">
        <v>344.39600000000002</v>
      </c>
      <c r="AI77" s="22">
        <v>-1.7675799999999998E-2</v>
      </c>
      <c r="AJ77" s="22">
        <v>67</v>
      </c>
      <c r="AK77" s="22">
        <v>0.23577899999999999</v>
      </c>
      <c r="AL77">
        <f t="shared" si="18"/>
        <v>17.675799999999999</v>
      </c>
      <c r="AM77">
        <f t="shared" si="19"/>
        <v>4.1967121665999993</v>
      </c>
      <c r="AP77" s="9"/>
      <c r="AQ77" s="22">
        <v>1.46255</v>
      </c>
      <c r="AR77" s="22">
        <v>416.59899999999999</v>
      </c>
      <c r="AS77" s="22">
        <v>-1.7831400000000001E-2</v>
      </c>
      <c r="AT77" s="22">
        <v>67</v>
      </c>
      <c r="AU77" s="22">
        <v>1.46149</v>
      </c>
      <c r="AV77">
        <f t="shared" si="20"/>
        <v>17.831400000000002</v>
      </c>
      <c r="AW77">
        <f t="shared" si="21"/>
        <v>26.079314070000002</v>
      </c>
      <c r="AX77" s="9"/>
      <c r="AY77" s="22">
        <v>0.237427</v>
      </c>
      <c r="AZ77" s="22">
        <v>490.012</v>
      </c>
      <c r="BA77" s="22">
        <v>-1.8154900000000002E-2</v>
      </c>
      <c r="BB77" s="22">
        <v>67</v>
      </c>
      <c r="BC77" s="22">
        <v>0.23635900000000001</v>
      </c>
      <c r="BD77">
        <f t="shared" si="22"/>
        <v>18.154900000000001</v>
      </c>
      <c r="BE77">
        <f t="shared" si="23"/>
        <v>4.3104634423000006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55.2029</v>
      </c>
      <c r="I78" s="22">
        <v>-1.5042099999999999E-2</v>
      </c>
      <c r="J78" s="22">
        <v>68</v>
      </c>
      <c r="K78" s="22">
        <v>1.4565999999999999</v>
      </c>
      <c r="L78">
        <f t="shared" si="12"/>
        <v>15.0421</v>
      </c>
      <c r="M78">
        <f t="shared" si="13"/>
        <v>21.924161591999997</v>
      </c>
      <c r="N78" s="9"/>
      <c r="O78" s="22">
        <v>0.24246200000000001</v>
      </c>
      <c r="P78" s="22">
        <v>170.54499999999999</v>
      </c>
      <c r="Q78" s="22">
        <v>-1.58417E-2</v>
      </c>
      <c r="R78" s="22">
        <v>68</v>
      </c>
      <c r="S78" s="22">
        <v>0.24215700000000001</v>
      </c>
      <c r="T78">
        <f t="shared" si="14"/>
        <v>15.841699999999999</v>
      </c>
      <c r="U78">
        <f t="shared" si="15"/>
        <v>3.8410102654</v>
      </c>
      <c r="X78" s="9"/>
      <c r="Y78" s="22">
        <v>1.4575199999999999</v>
      </c>
      <c r="Z78" s="22">
        <v>268.762</v>
      </c>
      <c r="AA78" s="22">
        <v>-1.7309600000000001E-2</v>
      </c>
      <c r="AB78" s="22">
        <v>68</v>
      </c>
      <c r="AC78" s="22">
        <v>1.4569099999999999</v>
      </c>
      <c r="AD78">
        <f t="shared" si="16"/>
        <v>17.3096</v>
      </c>
      <c r="AE78">
        <f t="shared" si="17"/>
        <v>25.229088191999999</v>
      </c>
      <c r="AF78" s="9"/>
      <c r="AG78" s="22">
        <v>0.24246200000000001</v>
      </c>
      <c r="AH78" s="22">
        <v>344.49700000000001</v>
      </c>
      <c r="AI78" s="22">
        <v>-1.76697E-2</v>
      </c>
      <c r="AJ78" s="22">
        <v>68</v>
      </c>
      <c r="AK78" s="22">
        <v>0.24194299999999999</v>
      </c>
      <c r="AL78">
        <f t="shared" si="18"/>
        <v>17.669699999999999</v>
      </c>
      <c r="AM78">
        <f t="shared" si="19"/>
        <v>4.2842308013999997</v>
      </c>
      <c r="AP78" s="9"/>
      <c r="AQ78" s="22">
        <v>1.4575199999999999</v>
      </c>
      <c r="AR78" s="22">
        <v>416.7</v>
      </c>
      <c r="AS78" s="22">
        <v>-1.78345E-2</v>
      </c>
      <c r="AT78" s="22">
        <v>68</v>
      </c>
      <c r="AU78" s="22">
        <v>1.4575199999999999</v>
      </c>
      <c r="AV78">
        <f t="shared" si="20"/>
        <v>17.834499999999998</v>
      </c>
      <c r="AW78">
        <f t="shared" si="21"/>
        <v>25.994140439999995</v>
      </c>
      <c r="AX78" s="9"/>
      <c r="AY78" s="22">
        <v>0.24246200000000001</v>
      </c>
      <c r="AZ78" s="22">
        <v>490.113</v>
      </c>
      <c r="BA78" s="22">
        <v>-1.8151899999999999E-2</v>
      </c>
      <c r="BB78" s="22">
        <v>68</v>
      </c>
      <c r="BC78" s="22">
        <v>0.242676</v>
      </c>
      <c r="BD78">
        <f t="shared" si="22"/>
        <v>18.151899999999998</v>
      </c>
      <c r="BE78">
        <f t="shared" si="23"/>
        <v>4.4011459777999997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55.303600000000003</v>
      </c>
      <c r="I79" s="22">
        <v>-1.5042099999999999E-2</v>
      </c>
      <c r="J79" s="22">
        <v>69</v>
      </c>
      <c r="K79" s="22">
        <v>1.4514199999999999</v>
      </c>
      <c r="L79">
        <f t="shared" si="12"/>
        <v>15.0421</v>
      </c>
      <c r="M79">
        <f t="shared" si="13"/>
        <v>21.848349408000001</v>
      </c>
      <c r="N79" s="9"/>
      <c r="O79" s="22">
        <v>0.247498</v>
      </c>
      <c r="P79" s="22">
        <v>170.64599999999999</v>
      </c>
      <c r="Q79" s="22">
        <v>-1.58447E-2</v>
      </c>
      <c r="R79" s="22">
        <v>69</v>
      </c>
      <c r="S79" s="22">
        <v>0.24713099999999999</v>
      </c>
      <c r="T79">
        <f t="shared" si="14"/>
        <v>15.8447</v>
      </c>
      <c r="U79">
        <f t="shared" si="15"/>
        <v>3.9215315605999996</v>
      </c>
      <c r="X79" s="9"/>
      <c r="Y79" s="22">
        <v>1.45248</v>
      </c>
      <c r="Z79" s="22">
        <v>268.86200000000002</v>
      </c>
      <c r="AA79" s="22">
        <v>-1.7306499999999999E-2</v>
      </c>
      <c r="AB79" s="22">
        <v>69</v>
      </c>
      <c r="AC79" s="22">
        <v>1.4517199999999999</v>
      </c>
      <c r="AD79">
        <f t="shared" si="16"/>
        <v>17.3065</v>
      </c>
      <c r="AE79">
        <f t="shared" si="17"/>
        <v>25.137345119999999</v>
      </c>
      <c r="AF79" s="9"/>
      <c r="AG79" s="22">
        <v>0.247498</v>
      </c>
      <c r="AH79" s="22">
        <v>344.59699999999998</v>
      </c>
      <c r="AI79" s="22">
        <v>-1.7675799999999998E-2</v>
      </c>
      <c r="AJ79" s="22">
        <v>69</v>
      </c>
      <c r="AK79" s="22">
        <v>0.24762000000000001</v>
      </c>
      <c r="AL79">
        <f t="shared" si="18"/>
        <v>17.675799999999999</v>
      </c>
      <c r="AM79">
        <f t="shared" si="19"/>
        <v>4.3747251483999996</v>
      </c>
      <c r="AP79" s="9"/>
      <c r="AQ79" s="22">
        <v>1.45248</v>
      </c>
      <c r="AR79" s="22">
        <v>416.80099999999999</v>
      </c>
      <c r="AS79" s="22">
        <v>-1.78497E-2</v>
      </c>
      <c r="AT79" s="22">
        <v>69</v>
      </c>
      <c r="AU79" s="22">
        <v>1.4517199999999999</v>
      </c>
      <c r="AV79">
        <f t="shared" si="20"/>
        <v>17.849699999999999</v>
      </c>
      <c r="AW79">
        <f t="shared" si="21"/>
        <v>25.926332255999998</v>
      </c>
      <c r="AX79" s="9"/>
      <c r="AY79" s="22">
        <v>0.247498</v>
      </c>
      <c r="AZ79" s="22">
        <v>490.214</v>
      </c>
      <c r="BA79" s="22">
        <v>-1.81488E-2</v>
      </c>
      <c r="BB79" s="22">
        <v>69</v>
      </c>
      <c r="BC79" s="22">
        <v>0.247284</v>
      </c>
      <c r="BD79">
        <f t="shared" si="22"/>
        <v>18.148800000000001</v>
      </c>
      <c r="BE79">
        <f t="shared" si="23"/>
        <v>4.4917917024000005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55.404299999999999</v>
      </c>
      <c r="I80" s="22">
        <v>-1.50452E-2</v>
      </c>
      <c r="J80" s="22">
        <v>70</v>
      </c>
      <c r="K80" s="22">
        <v>1.4468399999999999</v>
      </c>
      <c r="L80">
        <f t="shared" si="12"/>
        <v>15.045199999999999</v>
      </c>
      <c r="M80">
        <f t="shared" si="13"/>
        <v>21.77717474</v>
      </c>
      <c r="N80" s="9"/>
      <c r="O80" s="22">
        <v>0.25253300000000001</v>
      </c>
      <c r="P80" s="22">
        <v>170.74600000000001</v>
      </c>
      <c r="Q80" s="22">
        <v>-1.5847799999999999E-2</v>
      </c>
      <c r="R80" s="22">
        <v>70</v>
      </c>
      <c r="S80" s="22">
        <v>0.25201400000000002</v>
      </c>
      <c r="T80">
        <f t="shared" si="14"/>
        <v>15.847799999999999</v>
      </c>
      <c r="U80">
        <f t="shared" si="15"/>
        <v>4.0020924773999997</v>
      </c>
      <c r="X80" s="9"/>
      <c r="Y80" s="22">
        <v>1.4474499999999999</v>
      </c>
      <c r="Z80" s="22">
        <v>268.96300000000002</v>
      </c>
      <c r="AA80" s="22">
        <v>-1.7324800000000001E-2</v>
      </c>
      <c r="AB80" s="22">
        <v>70</v>
      </c>
      <c r="AC80" s="22">
        <v>1.4471400000000001</v>
      </c>
      <c r="AD80">
        <f t="shared" si="16"/>
        <v>17.3248</v>
      </c>
      <c r="AE80">
        <f t="shared" si="17"/>
        <v>25.076781759999999</v>
      </c>
      <c r="AF80" s="9"/>
      <c r="AG80" s="22">
        <v>0.25253300000000001</v>
      </c>
      <c r="AH80" s="22">
        <v>344.69799999999998</v>
      </c>
      <c r="AI80" s="22">
        <v>-1.76727E-2</v>
      </c>
      <c r="AJ80" s="22">
        <v>70</v>
      </c>
      <c r="AK80" s="22">
        <v>0.25228899999999999</v>
      </c>
      <c r="AL80">
        <f t="shared" si="18"/>
        <v>17.672699999999999</v>
      </c>
      <c r="AM80">
        <f t="shared" si="19"/>
        <v>4.4629399490999999</v>
      </c>
      <c r="AP80" s="9"/>
      <c r="AQ80" s="22">
        <v>1.4474499999999999</v>
      </c>
      <c r="AR80" s="22">
        <v>416.90100000000001</v>
      </c>
      <c r="AS80" s="22">
        <v>-1.78467E-2</v>
      </c>
      <c r="AT80" s="22">
        <v>70</v>
      </c>
      <c r="AU80" s="22">
        <v>1.4468399999999999</v>
      </c>
      <c r="AV80">
        <f t="shared" si="20"/>
        <v>17.846699999999998</v>
      </c>
      <c r="AW80">
        <f t="shared" si="21"/>
        <v>25.832205914999996</v>
      </c>
      <c r="AX80" s="9"/>
      <c r="AY80" s="22">
        <v>0.25253300000000001</v>
      </c>
      <c r="AZ80" s="22">
        <v>490.315</v>
      </c>
      <c r="BA80" s="22">
        <v>-1.8151899999999999E-2</v>
      </c>
      <c r="BB80" s="22">
        <v>70</v>
      </c>
      <c r="BC80" s="22">
        <v>0.25204500000000002</v>
      </c>
      <c r="BD80">
        <f t="shared" si="22"/>
        <v>18.151899999999998</v>
      </c>
      <c r="BE80">
        <f t="shared" si="23"/>
        <v>4.5839537626999993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55.505000000000003</v>
      </c>
      <c r="I81" s="22">
        <v>-1.5042099999999999E-2</v>
      </c>
      <c r="J81" s="22">
        <v>71</v>
      </c>
      <c r="K81" s="22">
        <v>1.4413499999999999</v>
      </c>
      <c r="L81">
        <f t="shared" si="12"/>
        <v>15.0421</v>
      </c>
      <c r="M81">
        <f t="shared" si="13"/>
        <v>21.696875460999998</v>
      </c>
      <c r="N81" s="9"/>
      <c r="O81" s="22">
        <v>0.25756800000000002</v>
      </c>
      <c r="P81" s="22">
        <v>170.84700000000001</v>
      </c>
      <c r="Q81" s="22">
        <v>-1.58295E-2</v>
      </c>
      <c r="R81" s="22">
        <v>71</v>
      </c>
      <c r="S81" s="22">
        <v>0.25723299999999999</v>
      </c>
      <c r="T81">
        <f t="shared" si="14"/>
        <v>15.829499999999999</v>
      </c>
      <c r="U81">
        <f t="shared" si="15"/>
        <v>4.0771726560000001</v>
      </c>
      <c r="X81" s="9"/>
      <c r="Y81" s="22">
        <v>1.44241</v>
      </c>
      <c r="Z81" s="22">
        <v>269.06400000000002</v>
      </c>
      <c r="AA81" s="22">
        <v>-1.73157E-2</v>
      </c>
      <c r="AB81" s="22">
        <v>71</v>
      </c>
      <c r="AC81" s="22">
        <v>1.4419599999999999</v>
      </c>
      <c r="AD81">
        <f t="shared" si="16"/>
        <v>17.3157</v>
      </c>
      <c r="AE81">
        <f t="shared" si="17"/>
        <v>24.976338837</v>
      </c>
      <c r="AF81" s="9"/>
      <c r="AG81" s="22">
        <v>0.25756800000000002</v>
      </c>
      <c r="AH81" s="22">
        <v>344.79899999999998</v>
      </c>
      <c r="AI81" s="22">
        <v>-1.76727E-2</v>
      </c>
      <c r="AJ81" s="22">
        <v>71</v>
      </c>
      <c r="AK81" s="22">
        <v>0.257019</v>
      </c>
      <c r="AL81">
        <f t="shared" si="18"/>
        <v>17.672699999999999</v>
      </c>
      <c r="AM81">
        <f t="shared" si="19"/>
        <v>4.5519219935999997</v>
      </c>
      <c r="AP81" s="9"/>
      <c r="AQ81" s="22">
        <v>1.44241</v>
      </c>
      <c r="AR81" s="22">
        <v>417.00200000000001</v>
      </c>
      <c r="AS81" s="22">
        <v>-1.7852799999999999E-2</v>
      </c>
      <c r="AT81" s="22">
        <v>71</v>
      </c>
      <c r="AU81" s="22">
        <v>1.4422600000000001</v>
      </c>
      <c r="AV81">
        <f t="shared" si="20"/>
        <v>17.852799999999998</v>
      </c>
      <c r="AW81">
        <f t="shared" si="21"/>
        <v>25.751057247999999</v>
      </c>
      <c r="AX81" s="9"/>
      <c r="AY81" s="22">
        <v>0.25756800000000002</v>
      </c>
      <c r="AZ81" s="22">
        <v>490.41500000000002</v>
      </c>
      <c r="BA81" s="22">
        <v>-1.8154900000000002E-2</v>
      </c>
      <c r="BB81" s="22">
        <v>71</v>
      </c>
      <c r="BC81" s="22">
        <v>0.25689699999999999</v>
      </c>
      <c r="BD81">
        <f t="shared" si="22"/>
        <v>18.154900000000001</v>
      </c>
      <c r="BE81">
        <f t="shared" si="23"/>
        <v>4.6761212832000005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55.605699999999999</v>
      </c>
      <c r="I82" s="22">
        <v>-1.50543E-2</v>
      </c>
      <c r="J82" s="22">
        <v>72</v>
      </c>
      <c r="K82" s="22">
        <v>1.4367700000000001</v>
      </c>
      <c r="L82">
        <f t="shared" si="12"/>
        <v>15.0543</v>
      </c>
      <c r="M82">
        <f t="shared" si="13"/>
        <v>21.638749734000001</v>
      </c>
      <c r="N82" s="9"/>
      <c r="O82" s="22">
        <v>0.262604</v>
      </c>
      <c r="P82" s="22">
        <v>170.94800000000001</v>
      </c>
      <c r="Q82" s="22">
        <v>-1.58142E-2</v>
      </c>
      <c r="R82" s="22">
        <v>72</v>
      </c>
      <c r="S82" s="22">
        <v>0.26208500000000001</v>
      </c>
      <c r="T82">
        <f t="shared" si="14"/>
        <v>15.8142</v>
      </c>
      <c r="U82">
        <f t="shared" si="15"/>
        <v>4.1528721767999999</v>
      </c>
      <c r="X82" s="9"/>
      <c r="Y82" s="22">
        <v>1.4373800000000001</v>
      </c>
      <c r="Z82" s="22">
        <v>269.16399999999999</v>
      </c>
      <c r="AA82" s="22">
        <v>-1.73309E-2</v>
      </c>
      <c r="AB82" s="22">
        <v>72</v>
      </c>
      <c r="AC82" s="22">
        <v>1.4367700000000001</v>
      </c>
      <c r="AD82">
        <f t="shared" si="16"/>
        <v>17.3309</v>
      </c>
      <c r="AE82">
        <f t="shared" si="17"/>
        <v>24.911089042</v>
      </c>
      <c r="AF82" s="9"/>
      <c r="AG82" s="22">
        <v>0.262604</v>
      </c>
      <c r="AH82" s="22">
        <v>344.9</v>
      </c>
      <c r="AI82" s="22">
        <v>-1.76697E-2</v>
      </c>
      <c r="AJ82" s="22">
        <v>72</v>
      </c>
      <c r="AK82" s="22">
        <v>0.262573</v>
      </c>
      <c r="AL82">
        <f t="shared" si="18"/>
        <v>17.669699999999999</v>
      </c>
      <c r="AM82">
        <f t="shared" si="19"/>
        <v>4.6401338987999994</v>
      </c>
      <c r="AP82" s="9"/>
      <c r="AQ82" s="22">
        <v>1.4373800000000001</v>
      </c>
      <c r="AR82" s="22">
        <v>417.10300000000001</v>
      </c>
      <c r="AS82" s="22">
        <v>-1.78467E-2</v>
      </c>
      <c r="AT82" s="22">
        <v>72</v>
      </c>
      <c r="AU82" s="22">
        <v>1.4367700000000001</v>
      </c>
      <c r="AV82">
        <f t="shared" si="20"/>
        <v>17.846699999999998</v>
      </c>
      <c r="AW82">
        <f t="shared" si="21"/>
        <v>25.652489645999999</v>
      </c>
      <c r="AX82" s="9"/>
      <c r="AY82" s="22">
        <v>0.262604</v>
      </c>
      <c r="AZ82" s="22">
        <v>490.51600000000002</v>
      </c>
      <c r="BA82" s="22">
        <v>-1.81488E-2</v>
      </c>
      <c r="BB82" s="22">
        <v>72</v>
      </c>
      <c r="BC82" s="22">
        <v>0.26211499999999999</v>
      </c>
      <c r="BD82">
        <f t="shared" si="22"/>
        <v>18.148800000000001</v>
      </c>
      <c r="BE82">
        <f t="shared" si="23"/>
        <v>4.7659474752000008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55.706400000000002</v>
      </c>
      <c r="I83" s="22">
        <v>-1.5042099999999999E-2</v>
      </c>
      <c r="J83" s="22">
        <v>73</v>
      </c>
      <c r="K83" s="22">
        <v>1.43127</v>
      </c>
      <c r="L83">
        <f t="shared" si="12"/>
        <v>15.0421</v>
      </c>
      <c r="M83">
        <f t="shared" si="13"/>
        <v>21.545401513999998</v>
      </c>
      <c r="N83" s="9"/>
      <c r="O83" s="22">
        <v>0.26763900000000002</v>
      </c>
      <c r="P83" s="22">
        <v>171.048</v>
      </c>
      <c r="Q83" s="22">
        <v>-1.5805099999999999E-2</v>
      </c>
      <c r="R83" s="22">
        <v>73</v>
      </c>
      <c r="S83" s="22">
        <v>0.26721200000000001</v>
      </c>
      <c r="T83">
        <f t="shared" si="14"/>
        <v>15.805099999999999</v>
      </c>
      <c r="U83">
        <f t="shared" si="15"/>
        <v>4.2300611588999999</v>
      </c>
      <c r="X83" s="9"/>
      <c r="Y83" s="22">
        <v>1.4323399999999999</v>
      </c>
      <c r="Z83" s="22">
        <v>269.26499999999999</v>
      </c>
      <c r="AA83" s="22">
        <v>-1.7337000000000002E-2</v>
      </c>
      <c r="AB83" s="22">
        <v>73</v>
      </c>
      <c r="AC83" s="22">
        <v>1.4321900000000001</v>
      </c>
      <c r="AD83">
        <f t="shared" si="16"/>
        <v>17.337000000000003</v>
      </c>
      <c r="AE83">
        <f t="shared" si="17"/>
        <v>24.832478580000004</v>
      </c>
      <c r="AF83" s="9"/>
      <c r="AG83" s="22">
        <v>0.26763900000000002</v>
      </c>
      <c r="AH83" s="22">
        <v>345</v>
      </c>
      <c r="AI83" s="22">
        <v>-1.7666600000000001E-2</v>
      </c>
      <c r="AJ83" s="22">
        <v>73</v>
      </c>
      <c r="AK83" s="22">
        <v>0.267181</v>
      </c>
      <c r="AL83">
        <f t="shared" si="18"/>
        <v>17.666600000000003</v>
      </c>
      <c r="AM83">
        <f t="shared" si="19"/>
        <v>4.7282711574000009</v>
      </c>
      <c r="AP83" s="9"/>
      <c r="AQ83" s="22">
        <v>1.4323399999999999</v>
      </c>
      <c r="AR83" s="22">
        <v>417.20299999999997</v>
      </c>
      <c r="AS83" s="22">
        <v>-1.7852799999999999E-2</v>
      </c>
      <c r="AT83" s="22">
        <v>73</v>
      </c>
      <c r="AU83" s="22">
        <v>1.43188</v>
      </c>
      <c r="AV83">
        <f t="shared" si="20"/>
        <v>17.852799999999998</v>
      </c>
      <c r="AW83">
        <f t="shared" si="21"/>
        <v>25.571279551999996</v>
      </c>
      <c r="AX83" s="9"/>
      <c r="AY83" s="22">
        <v>0.26763900000000002</v>
      </c>
      <c r="AZ83" s="22">
        <v>490.61700000000002</v>
      </c>
      <c r="BA83" s="22">
        <v>-1.8151899999999999E-2</v>
      </c>
      <c r="BB83" s="22">
        <v>73</v>
      </c>
      <c r="BC83" s="22">
        <v>0.26699800000000001</v>
      </c>
      <c r="BD83">
        <f t="shared" si="22"/>
        <v>18.151899999999998</v>
      </c>
      <c r="BE83">
        <f t="shared" si="23"/>
        <v>4.8581563641000001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55.807099999999998</v>
      </c>
      <c r="I84" s="22">
        <v>-1.5042099999999999E-2</v>
      </c>
      <c r="J84" s="22">
        <v>74</v>
      </c>
      <c r="K84" s="22">
        <v>1.42639</v>
      </c>
      <c r="L84">
        <f t="shared" si="12"/>
        <v>15.0421</v>
      </c>
      <c r="M84">
        <f t="shared" si="13"/>
        <v>21.469739751000002</v>
      </c>
      <c r="N84" s="9"/>
      <c r="O84" s="22">
        <v>0.272675</v>
      </c>
      <c r="P84" s="22">
        <v>171.149</v>
      </c>
      <c r="Q84" s="22">
        <v>-1.5799000000000001E-2</v>
      </c>
      <c r="R84" s="22">
        <v>74</v>
      </c>
      <c r="S84" s="22">
        <v>0.27227800000000002</v>
      </c>
      <c r="T84">
        <f t="shared" si="14"/>
        <v>15.799000000000001</v>
      </c>
      <c r="U84">
        <f t="shared" si="15"/>
        <v>4.3079923250000007</v>
      </c>
      <c r="X84" s="9"/>
      <c r="Y84" s="22">
        <v>1.4273100000000001</v>
      </c>
      <c r="Z84" s="22">
        <v>269.36599999999999</v>
      </c>
      <c r="AA84" s="22">
        <v>-1.7349199999999999E-2</v>
      </c>
      <c r="AB84" s="22">
        <v>74</v>
      </c>
      <c r="AC84" s="22">
        <v>1.42639</v>
      </c>
      <c r="AD84">
        <f t="shared" si="16"/>
        <v>17.3492</v>
      </c>
      <c r="AE84">
        <f t="shared" si="17"/>
        <v>24.762686651999999</v>
      </c>
      <c r="AF84" s="9"/>
      <c r="AG84" s="22">
        <v>0.272675</v>
      </c>
      <c r="AH84" s="22">
        <v>345.101</v>
      </c>
      <c r="AI84" s="22">
        <v>-1.7666600000000001E-2</v>
      </c>
      <c r="AJ84" s="22">
        <v>74</v>
      </c>
      <c r="AK84" s="22">
        <v>0.27221699999999999</v>
      </c>
      <c r="AL84">
        <f t="shared" si="18"/>
        <v>17.666600000000003</v>
      </c>
      <c r="AM84">
        <f t="shared" si="19"/>
        <v>4.8172401550000004</v>
      </c>
      <c r="AP84" s="9"/>
      <c r="AQ84" s="22">
        <v>1.4273100000000001</v>
      </c>
      <c r="AR84" s="22">
        <v>417.30399999999997</v>
      </c>
      <c r="AS84" s="22">
        <v>-1.78589E-2</v>
      </c>
      <c r="AT84" s="22">
        <v>74</v>
      </c>
      <c r="AU84" s="22">
        <v>1.427</v>
      </c>
      <c r="AV84">
        <f t="shared" si="20"/>
        <v>17.858900000000002</v>
      </c>
      <c r="AW84">
        <f t="shared" si="21"/>
        <v>25.490186559000005</v>
      </c>
      <c r="AX84" s="9"/>
      <c r="AY84" s="22">
        <v>0.272675</v>
      </c>
      <c r="AZ84" s="22">
        <v>490.71699999999998</v>
      </c>
      <c r="BA84" s="22">
        <v>-1.8154900000000002E-2</v>
      </c>
      <c r="BB84" s="22">
        <v>74</v>
      </c>
      <c r="BC84" s="22">
        <v>0.27212500000000001</v>
      </c>
      <c r="BD84">
        <f t="shared" si="22"/>
        <v>18.154900000000001</v>
      </c>
      <c r="BE84">
        <f t="shared" si="23"/>
        <v>4.9503873575000004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55.907899999999998</v>
      </c>
      <c r="I85" s="22">
        <v>-1.5069600000000001E-2</v>
      </c>
      <c r="J85" s="22">
        <v>75</v>
      </c>
      <c r="K85" s="22">
        <v>1.4215100000000001</v>
      </c>
      <c r="L85">
        <f t="shared" si="12"/>
        <v>15.069600000000001</v>
      </c>
      <c r="M85">
        <f t="shared" si="13"/>
        <v>21.433039992000001</v>
      </c>
      <c r="N85" s="9"/>
      <c r="O85" s="22">
        <v>0.27771000000000001</v>
      </c>
      <c r="P85" s="22">
        <v>171.25</v>
      </c>
      <c r="Q85" s="22">
        <v>-1.58142E-2</v>
      </c>
      <c r="R85" s="22">
        <v>75</v>
      </c>
      <c r="S85" s="22">
        <v>0.277283</v>
      </c>
      <c r="T85">
        <f t="shared" si="14"/>
        <v>15.8142</v>
      </c>
      <c r="U85">
        <f t="shared" si="15"/>
        <v>4.3917614819999997</v>
      </c>
      <c r="X85" s="9"/>
      <c r="Y85" s="22">
        <v>1.4222699999999999</v>
      </c>
      <c r="Z85" s="22">
        <v>269.46600000000001</v>
      </c>
      <c r="AA85" s="22">
        <v>-1.7349199999999999E-2</v>
      </c>
      <c r="AB85" s="22">
        <v>75</v>
      </c>
      <c r="AC85" s="22">
        <v>1.4221200000000001</v>
      </c>
      <c r="AD85">
        <f t="shared" si="16"/>
        <v>17.3492</v>
      </c>
      <c r="AE85">
        <f t="shared" si="17"/>
        <v>24.675246683999998</v>
      </c>
      <c r="AF85" s="9"/>
      <c r="AG85" s="22">
        <v>0.27771000000000001</v>
      </c>
      <c r="AH85" s="22">
        <v>345.202</v>
      </c>
      <c r="AI85" s="22">
        <v>-1.7666600000000001E-2</v>
      </c>
      <c r="AJ85" s="22">
        <v>75</v>
      </c>
      <c r="AK85" s="22">
        <v>0.276947</v>
      </c>
      <c r="AL85">
        <f t="shared" si="18"/>
        <v>17.666600000000003</v>
      </c>
      <c r="AM85">
        <f t="shared" si="19"/>
        <v>4.9061914860000009</v>
      </c>
      <c r="AP85" s="9"/>
      <c r="AQ85" s="22">
        <v>1.4222699999999999</v>
      </c>
      <c r="AR85" s="22">
        <v>417.40499999999997</v>
      </c>
      <c r="AS85" s="22">
        <v>-1.7864999999999999E-2</v>
      </c>
      <c r="AT85" s="22">
        <v>75</v>
      </c>
      <c r="AU85" s="22">
        <v>1.42181</v>
      </c>
      <c r="AV85">
        <f t="shared" si="20"/>
        <v>17.864999999999998</v>
      </c>
      <c r="AW85">
        <f t="shared" si="21"/>
        <v>25.408853549999996</v>
      </c>
      <c r="AX85" s="9"/>
      <c r="AY85" s="22">
        <v>0.27771000000000001</v>
      </c>
      <c r="AZ85" s="22">
        <v>490.81799999999998</v>
      </c>
      <c r="BA85" s="22">
        <v>-1.81458E-2</v>
      </c>
      <c r="BB85" s="22">
        <v>75</v>
      </c>
      <c r="BC85" s="22">
        <v>0.277283</v>
      </c>
      <c r="BD85">
        <f t="shared" si="22"/>
        <v>18.145800000000001</v>
      </c>
      <c r="BE85">
        <f t="shared" si="23"/>
        <v>5.039270118000001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56.008600000000001</v>
      </c>
      <c r="I86" s="22">
        <v>-1.5081799999999999E-2</v>
      </c>
      <c r="J86" s="22">
        <v>76</v>
      </c>
      <c r="K86" s="22">
        <v>1.4166300000000001</v>
      </c>
      <c r="L86">
        <f t="shared" si="12"/>
        <v>15.081799999999999</v>
      </c>
      <c r="M86">
        <f t="shared" si="13"/>
        <v>21.374530232000001</v>
      </c>
      <c r="N86" s="9"/>
      <c r="O86" s="22">
        <v>0.28274500000000002</v>
      </c>
      <c r="P86" s="22">
        <v>171.351</v>
      </c>
      <c r="Q86" s="22">
        <v>-1.5838600000000001E-2</v>
      </c>
      <c r="R86" s="22">
        <v>76</v>
      </c>
      <c r="S86" s="22">
        <v>0.28231800000000001</v>
      </c>
      <c r="T86">
        <f t="shared" si="14"/>
        <v>15.838600000000001</v>
      </c>
      <c r="U86">
        <f t="shared" si="15"/>
        <v>4.4782849570000005</v>
      </c>
      <c r="X86" s="9"/>
      <c r="Y86" s="22">
        <v>1.4172400000000001</v>
      </c>
      <c r="Z86" s="22">
        <v>269.56700000000001</v>
      </c>
      <c r="AA86" s="22">
        <v>-1.7337000000000002E-2</v>
      </c>
      <c r="AB86" s="22">
        <v>76</v>
      </c>
      <c r="AC86" s="22">
        <v>1.41693</v>
      </c>
      <c r="AD86">
        <f t="shared" si="16"/>
        <v>17.337000000000003</v>
      </c>
      <c r="AE86">
        <f t="shared" si="17"/>
        <v>24.570689880000007</v>
      </c>
      <c r="AF86" s="9"/>
      <c r="AG86" s="22">
        <v>0.28274500000000002</v>
      </c>
      <c r="AH86" s="22">
        <v>345.30200000000002</v>
      </c>
      <c r="AI86" s="22">
        <v>-1.76697E-2</v>
      </c>
      <c r="AJ86" s="22">
        <v>76</v>
      </c>
      <c r="AK86" s="22">
        <v>0.28222700000000001</v>
      </c>
      <c r="AL86">
        <f t="shared" si="18"/>
        <v>17.669699999999999</v>
      </c>
      <c r="AM86">
        <f t="shared" si="19"/>
        <v>4.9960193264999999</v>
      </c>
      <c r="AP86" s="9"/>
      <c r="AQ86" s="22">
        <v>1.4172400000000001</v>
      </c>
      <c r="AR86" s="22">
        <v>417.50599999999997</v>
      </c>
      <c r="AS86" s="22">
        <v>-1.7867999999999998E-2</v>
      </c>
      <c r="AT86" s="22">
        <v>76</v>
      </c>
      <c r="AU86" s="22">
        <v>1.4166300000000001</v>
      </c>
      <c r="AV86">
        <f t="shared" si="20"/>
        <v>17.867999999999999</v>
      </c>
      <c r="AW86">
        <f t="shared" si="21"/>
        <v>25.323244320000001</v>
      </c>
      <c r="AX86" s="9"/>
      <c r="AY86" s="22">
        <v>0.28274500000000002</v>
      </c>
      <c r="AZ86" s="22">
        <v>490.91899999999998</v>
      </c>
      <c r="BA86" s="22">
        <v>-1.8142700000000001E-2</v>
      </c>
      <c r="BB86" s="22">
        <v>76</v>
      </c>
      <c r="BC86" s="22">
        <v>0.28222700000000001</v>
      </c>
      <c r="BD86">
        <f t="shared" si="22"/>
        <v>18.142700000000001</v>
      </c>
      <c r="BE86">
        <f t="shared" si="23"/>
        <v>5.1297577115000008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56.109299999999998</v>
      </c>
      <c r="I87" s="22">
        <v>-1.5090900000000001E-2</v>
      </c>
      <c r="J87" s="22">
        <v>77</v>
      </c>
      <c r="K87" s="22">
        <v>1.41113</v>
      </c>
      <c r="L87">
        <f t="shared" si="12"/>
        <v>15.090900000000001</v>
      </c>
      <c r="M87">
        <f t="shared" si="13"/>
        <v>21.311368980000001</v>
      </c>
      <c r="N87" s="9"/>
      <c r="O87" s="22">
        <v>0.28778100000000001</v>
      </c>
      <c r="P87" s="22">
        <v>171.45099999999999</v>
      </c>
      <c r="Q87" s="22">
        <v>-1.5826400000000001E-2</v>
      </c>
      <c r="R87" s="22">
        <v>77</v>
      </c>
      <c r="S87" s="22">
        <v>0.28741499999999998</v>
      </c>
      <c r="T87">
        <f t="shared" si="14"/>
        <v>15.826400000000001</v>
      </c>
      <c r="U87">
        <f t="shared" si="15"/>
        <v>4.5545372184000001</v>
      </c>
      <c r="X87" s="9"/>
      <c r="Y87" s="22">
        <v>1.4121999999999999</v>
      </c>
      <c r="Z87" s="22">
        <v>269.66800000000001</v>
      </c>
      <c r="AA87" s="22">
        <v>-1.73431E-2</v>
      </c>
      <c r="AB87" s="22">
        <v>77</v>
      </c>
      <c r="AC87" s="22">
        <v>1.41144</v>
      </c>
      <c r="AD87">
        <f t="shared" si="16"/>
        <v>17.3431</v>
      </c>
      <c r="AE87">
        <f t="shared" si="17"/>
        <v>24.491925819999999</v>
      </c>
      <c r="AF87" s="9"/>
      <c r="AG87" s="22">
        <v>0.28778100000000001</v>
      </c>
      <c r="AH87" s="22">
        <v>345.40300000000002</v>
      </c>
      <c r="AI87" s="22">
        <v>-1.76697E-2</v>
      </c>
      <c r="AJ87" s="22">
        <v>77</v>
      </c>
      <c r="AK87" s="22">
        <v>0.28778100000000001</v>
      </c>
      <c r="AL87">
        <f t="shared" si="18"/>
        <v>17.669699999999999</v>
      </c>
      <c r="AM87">
        <f t="shared" si="19"/>
        <v>5.0850039356999996</v>
      </c>
      <c r="AP87" s="9"/>
      <c r="AQ87" s="22">
        <v>1.4121999999999999</v>
      </c>
      <c r="AR87" s="22">
        <v>417.60599999999999</v>
      </c>
      <c r="AS87" s="22">
        <v>-1.7867999999999998E-2</v>
      </c>
      <c r="AT87" s="22">
        <v>77</v>
      </c>
      <c r="AU87" s="22">
        <v>1.41174</v>
      </c>
      <c r="AV87">
        <f t="shared" si="20"/>
        <v>17.867999999999999</v>
      </c>
      <c r="AW87">
        <f t="shared" si="21"/>
        <v>25.233189599999996</v>
      </c>
      <c r="AX87" s="9"/>
      <c r="AY87" s="22">
        <v>0.28778100000000001</v>
      </c>
      <c r="AZ87" s="22">
        <v>491.02</v>
      </c>
      <c r="BA87" s="22">
        <v>-1.8136599999999999E-2</v>
      </c>
      <c r="BB87" s="22">
        <v>77</v>
      </c>
      <c r="BC87" s="22">
        <v>0.28787200000000002</v>
      </c>
      <c r="BD87">
        <f t="shared" si="22"/>
        <v>18.136599999999998</v>
      </c>
      <c r="BE87">
        <f t="shared" si="23"/>
        <v>5.2193688845999997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56.21</v>
      </c>
      <c r="I88" s="22">
        <v>-1.5048199999999999E-2</v>
      </c>
      <c r="J88" s="22">
        <v>78</v>
      </c>
      <c r="K88" s="22">
        <v>1.40656</v>
      </c>
      <c r="L88">
        <f t="shared" si="12"/>
        <v>15.0482</v>
      </c>
      <c r="M88">
        <f t="shared" si="13"/>
        <v>21.175375593999998</v>
      </c>
      <c r="N88" s="9"/>
      <c r="O88" s="22">
        <v>0.29281600000000002</v>
      </c>
      <c r="P88" s="22">
        <v>171.55199999999999</v>
      </c>
      <c r="Q88" s="22">
        <v>-1.58417E-2</v>
      </c>
      <c r="R88" s="22">
        <v>78</v>
      </c>
      <c r="S88" s="22">
        <v>0.29241899999999998</v>
      </c>
      <c r="T88">
        <f t="shared" si="14"/>
        <v>15.841699999999999</v>
      </c>
      <c r="U88">
        <f t="shared" si="15"/>
        <v>4.6387032271999997</v>
      </c>
      <c r="X88" s="9"/>
      <c r="Y88" s="22">
        <v>1.40717</v>
      </c>
      <c r="Z88" s="22">
        <v>269.76900000000001</v>
      </c>
      <c r="AA88" s="22">
        <v>-1.7346199999999999E-2</v>
      </c>
      <c r="AB88" s="22">
        <v>78</v>
      </c>
      <c r="AC88" s="22">
        <v>1.40686</v>
      </c>
      <c r="AD88">
        <f t="shared" si="16"/>
        <v>17.3462</v>
      </c>
      <c r="AE88">
        <f t="shared" si="17"/>
        <v>24.409052253999999</v>
      </c>
      <c r="AF88" s="9"/>
      <c r="AG88" s="22">
        <v>0.29281600000000002</v>
      </c>
      <c r="AH88" s="22">
        <v>345.50400000000002</v>
      </c>
      <c r="AI88" s="22">
        <v>-1.76697E-2</v>
      </c>
      <c r="AJ88" s="22">
        <v>78</v>
      </c>
      <c r="AK88" s="22">
        <v>0.29220600000000002</v>
      </c>
      <c r="AL88">
        <f t="shared" si="18"/>
        <v>17.669699999999999</v>
      </c>
      <c r="AM88">
        <f t="shared" si="19"/>
        <v>5.1739708752000002</v>
      </c>
      <c r="AP88" s="9"/>
      <c r="AQ88" s="22">
        <v>1.40717</v>
      </c>
      <c r="AR88" s="22">
        <v>417.70699999999999</v>
      </c>
      <c r="AS88" s="22">
        <v>-1.7867999999999998E-2</v>
      </c>
      <c r="AT88" s="22">
        <v>78</v>
      </c>
      <c r="AU88" s="22">
        <v>1.40656</v>
      </c>
      <c r="AV88">
        <f t="shared" si="20"/>
        <v>17.867999999999999</v>
      </c>
      <c r="AW88">
        <f t="shared" si="21"/>
        <v>25.143313559999999</v>
      </c>
      <c r="AX88" s="9"/>
      <c r="AY88" s="22">
        <v>0.29281600000000002</v>
      </c>
      <c r="AZ88" s="22">
        <v>491.12</v>
      </c>
      <c r="BA88" s="22">
        <v>-1.8142700000000001E-2</v>
      </c>
      <c r="BB88" s="22">
        <v>78</v>
      </c>
      <c r="BC88" s="22">
        <v>0.29254200000000002</v>
      </c>
      <c r="BD88">
        <f t="shared" si="22"/>
        <v>18.142700000000001</v>
      </c>
      <c r="BE88">
        <f t="shared" si="23"/>
        <v>5.312472843200001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56.310699999999997</v>
      </c>
      <c r="I89" s="22">
        <v>-1.50513E-2</v>
      </c>
      <c r="J89" s="22">
        <v>79</v>
      </c>
      <c r="K89" s="22">
        <v>1.40106</v>
      </c>
      <c r="L89">
        <f t="shared" si="12"/>
        <v>15.051299999999999</v>
      </c>
      <c r="M89">
        <f t="shared" si="13"/>
        <v>21.103879269</v>
      </c>
      <c r="N89" s="9"/>
      <c r="O89" s="22">
        <v>0.29785200000000001</v>
      </c>
      <c r="P89" s="22">
        <v>171.65299999999999</v>
      </c>
      <c r="Q89" s="22">
        <v>-1.5850800000000002E-2</v>
      </c>
      <c r="R89" s="22">
        <v>79</v>
      </c>
      <c r="S89" s="22">
        <v>0.29742400000000002</v>
      </c>
      <c r="T89">
        <f t="shared" si="14"/>
        <v>15.850800000000001</v>
      </c>
      <c r="U89">
        <f t="shared" si="15"/>
        <v>4.7211924816000002</v>
      </c>
      <c r="X89" s="9"/>
      <c r="Y89" s="22">
        <v>1.4021300000000001</v>
      </c>
      <c r="Z89" s="22">
        <v>269.86900000000003</v>
      </c>
      <c r="AA89" s="22">
        <v>-1.7337000000000002E-2</v>
      </c>
      <c r="AB89" s="22">
        <v>79</v>
      </c>
      <c r="AC89" s="22">
        <v>1.40076</v>
      </c>
      <c r="AD89">
        <f t="shared" si="16"/>
        <v>17.337000000000003</v>
      </c>
      <c r="AE89">
        <f t="shared" si="17"/>
        <v>24.308727810000008</v>
      </c>
      <c r="AF89" s="9"/>
      <c r="AG89" s="22">
        <v>0.29785200000000001</v>
      </c>
      <c r="AH89" s="22">
        <v>345.60500000000002</v>
      </c>
      <c r="AI89" s="22">
        <v>-1.7645299999999999E-2</v>
      </c>
      <c r="AJ89" s="22">
        <v>79</v>
      </c>
      <c r="AK89" s="22">
        <v>0.29696699999999998</v>
      </c>
      <c r="AL89">
        <f t="shared" si="18"/>
        <v>17.645299999999999</v>
      </c>
      <c r="AM89">
        <f t="shared" si="19"/>
        <v>5.2556878955999995</v>
      </c>
      <c r="AP89" s="9"/>
      <c r="AQ89" s="22">
        <v>1.4021300000000001</v>
      </c>
      <c r="AR89" s="22">
        <v>417.80799999999999</v>
      </c>
      <c r="AS89" s="22">
        <v>-1.78741E-2</v>
      </c>
      <c r="AT89" s="22">
        <v>79</v>
      </c>
      <c r="AU89" s="22">
        <v>1.40106</v>
      </c>
      <c r="AV89">
        <f t="shared" si="20"/>
        <v>17.874100000000002</v>
      </c>
      <c r="AW89">
        <f t="shared" si="21"/>
        <v>25.061811833000004</v>
      </c>
      <c r="AX89" s="9"/>
      <c r="AY89" s="22">
        <v>0.29785200000000001</v>
      </c>
      <c r="AZ89" s="22">
        <v>491.221</v>
      </c>
      <c r="BA89" s="22">
        <v>-1.81335E-2</v>
      </c>
      <c r="BB89" s="22">
        <v>79</v>
      </c>
      <c r="BC89" s="22">
        <v>0.29715000000000003</v>
      </c>
      <c r="BD89">
        <f t="shared" si="22"/>
        <v>18.133500000000002</v>
      </c>
      <c r="BE89">
        <f t="shared" si="23"/>
        <v>5.4010992420000008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56.4114</v>
      </c>
      <c r="I90" s="22">
        <v>-1.50543E-2</v>
      </c>
      <c r="J90" s="22">
        <v>80</v>
      </c>
      <c r="K90" s="22">
        <v>1.3964799999999999</v>
      </c>
      <c r="L90">
        <f t="shared" si="12"/>
        <v>15.0543</v>
      </c>
      <c r="M90">
        <f t="shared" si="13"/>
        <v>21.032211987</v>
      </c>
      <c r="N90" s="9"/>
      <c r="O90" s="22">
        <v>0.30288700000000002</v>
      </c>
      <c r="P90" s="22">
        <v>171.75299999999999</v>
      </c>
      <c r="Q90" s="22">
        <v>-1.5847799999999999E-2</v>
      </c>
      <c r="R90" s="22">
        <v>80</v>
      </c>
      <c r="S90" s="22">
        <v>0.302429</v>
      </c>
      <c r="T90">
        <f t="shared" si="14"/>
        <v>15.847799999999999</v>
      </c>
      <c r="U90">
        <f t="shared" si="15"/>
        <v>4.8000925986</v>
      </c>
      <c r="X90" s="9"/>
      <c r="Y90" s="22">
        <v>1.3970899999999999</v>
      </c>
      <c r="Z90" s="22">
        <v>269.97000000000003</v>
      </c>
      <c r="AA90" s="22">
        <v>-1.7346199999999999E-2</v>
      </c>
      <c r="AB90" s="22">
        <v>80</v>
      </c>
      <c r="AC90" s="22">
        <v>1.39618</v>
      </c>
      <c r="AD90">
        <f t="shared" si="16"/>
        <v>17.3462</v>
      </c>
      <c r="AE90">
        <f t="shared" si="17"/>
        <v>24.234202558</v>
      </c>
      <c r="AF90" s="9"/>
      <c r="AG90" s="22">
        <v>0.30288700000000002</v>
      </c>
      <c r="AH90" s="22">
        <v>345.70499999999998</v>
      </c>
      <c r="AI90" s="22">
        <v>-1.7654400000000001E-2</v>
      </c>
      <c r="AJ90" s="22">
        <v>80</v>
      </c>
      <c r="AK90" s="22">
        <v>0.30246000000000001</v>
      </c>
      <c r="AL90">
        <f t="shared" si="18"/>
        <v>17.654399999999999</v>
      </c>
      <c r="AM90">
        <f t="shared" si="19"/>
        <v>5.3472882528000003</v>
      </c>
      <c r="AP90" s="9"/>
      <c r="AQ90" s="22">
        <v>1.3970899999999999</v>
      </c>
      <c r="AR90" s="22">
        <v>417.90800000000002</v>
      </c>
      <c r="AS90" s="22">
        <v>-1.7877199999999999E-2</v>
      </c>
      <c r="AT90" s="22">
        <v>80</v>
      </c>
      <c r="AU90" s="22">
        <v>1.39679</v>
      </c>
      <c r="AV90">
        <f t="shared" si="20"/>
        <v>17.877199999999998</v>
      </c>
      <c r="AW90">
        <f t="shared" si="21"/>
        <v>24.976057347999998</v>
      </c>
      <c r="AX90" s="9"/>
      <c r="AY90" s="22">
        <v>0.30288700000000002</v>
      </c>
      <c r="AZ90" s="22">
        <v>491.322</v>
      </c>
      <c r="BA90" s="22">
        <v>-1.8136599999999999E-2</v>
      </c>
      <c r="BB90" s="22">
        <v>80</v>
      </c>
      <c r="BC90" s="22">
        <v>0.302124</v>
      </c>
      <c r="BD90">
        <f t="shared" si="22"/>
        <v>18.136599999999998</v>
      </c>
      <c r="BE90">
        <f t="shared" si="23"/>
        <v>5.4933403641999998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56.512099999999997</v>
      </c>
      <c r="I91" s="22">
        <v>-1.50604E-2</v>
      </c>
      <c r="J91" s="22">
        <v>81</v>
      </c>
      <c r="K91" s="22">
        <v>1.3915999999999999</v>
      </c>
      <c r="L91">
        <f t="shared" si="12"/>
        <v>15.0604</v>
      </c>
      <c r="M91">
        <f t="shared" si="13"/>
        <v>20.964980424</v>
      </c>
      <c r="N91" s="9"/>
      <c r="O91" s="22">
        <v>0.30792199999999997</v>
      </c>
      <c r="P91" s="22">
        <v>171.85400000000001</v>
      </c>
      <c r="Q91" s="22">
        <v>-1.5899699999999999E-2</v>
      </c>
      <c r="R91" s="22">
        <v>81</v>
      </c>
      <c r="S91" s="22">
        <v>0.30746499999999999</v>
      </c>
      <c r="T91">
        <f t="shared" si="14"/>
        <v>15.899699999999999</v>
      </c>
      <c r="U91">
        <f t="shared" si="15"/>
        <v>4.8958674233999995</v>
      </c>
      <c r="X91" s="9"/>
      <c r="Y91" s="22">
        <v>1.3920600000000001</v>
      </c>
      <c r="Z91" s="22">
        <v>270.07100000000003</v>
      </c>
      <c r="AA91" s="22">
        <v>-1.73431E-2</v>
      </c>
      <c r="AB91" s="22">
        <v>81</v>
      </c>
      <c r="AC91" s="22">
        <v>1.3913</v>
      </c>
      <c r="AD91">
        <f t="shared" si="16"/>
        <v>17.3431</v>
      </c>
      <c r="AE91">
        <f t="shared" si="17"/>
        <v>24.142635786</v>
      </c>
      <c r="AF91" s="9"/>
      <c r="AG91" s="22">
        <v>0.30792199999999997</v>
      </c>
      <c r="AH91" s="22">
        <v>345.80599999999998</v>
      </c>
      <c r="AI91" s="22">
        <v>-1.7651400000000001E-2</v>
      </c>
      <c r="AJ91" s="22">
        <v>81</v>
      </c>
      <c r="AK91" s="22">
        <v>0.30749500000000002</v>
      </c>
      <c r="AL91">
        <f t="shared" si="18"/>
        <v>17.651400000000002</v>
      </c>
      <c r="AM91">
        <f t="shared" si="19"/>
        <v>5.4352543907999999</v>
      </c>
      <c r="AP91" s="9"/>
      <c r="AQ91" s="22">
        <v>1.3920600000000001</v>
      </c>
      <c r="AR91" s="22">
        <v>418.00900000000001</v>
      </c>
      <c r="AS91" s="22">
        <v>-1.7871100000000001E-2</v>
      </c>
      <c r="AT91" s="22">
        <v>81</v>
      </c>
      <c r="AU91" s="22">
        <v>1.3913</v>
      </c>
      <c r="AV91">
        <f t="shared" si="20"/>
        <v>17.871100000000002</v>
      </c>
      <c r="AW91">
        <f t="shared" si="21"/>
        <v>24.877643466000006</v>
      </c>
      <c r="AX91" s="9"/>
      <c r="AY91" s="22">
        <v>0.30792199999999997</v>
      </c>
      <c r="AZ91" s="22">
        <v>491.42200000000003</v>
      </c>
      <c r="BA91" s="22">
        <v>-1.8142700000000001E-2</v>
      </c>
      <c r="BB91" s="22">
        <v>81</v>
      </c>
      <c r="BC91" s="22">
        <v>0.307556</v>
      </c>
      <c r="BD91">
        <f t="shared" si="22"/>
        <v>18.142700000000001</v>
      </c>
      <c r="BE91">
        <f t="shared" si="23"/>
        <v>5.5865364694000004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56.6128</v>
      </c>
      <c r="I92" s="22">
        <v>-1.50513E-2</v>
      </c>
      <c r="J92" s="22">
        <v>82</v>
      </c>
      <c r="K92" s="22">
        <v>1.3864099999999999</v>
      </c>
      <c r="L92">
        <f t="shared" si="12"/>
        <v>15.051299999999999</v>
      </c>
      <c r="M92">
        <f t="shared" si="13"/>
        <v>20.876454125999999</v>
      </c>
      <c r="N92" s="9"/>
      <c r="O92" s="22">
        <v>0.31295800000000001</v>
      </c>
      <c r="P92" s="22">
        <v>171.95500000000001</v>
      </c>
      <c r="Q92" s="22">
        <v>-1.5982099999999999E-2</v>
      </c>
      <c r="R92" s="22">
        <v>82</v>
      </c>
      <c r="S92" s="22">
        <v>0.31259199999999998</v>
      </c>
      <c r="T92">
        <f t="shared" si="14"/>
        <v>15.982099999999999</v>
      </c>
      <c r="U92">
        <f t="shared" si="15"/>
        <v>5.0017260517999995</v>
      </c>
      <c r="X92" s="9"/>
      <c r="Y92" s="22">
        <v>1.3870199999999999</v>
      </c>
      <c r="Z92" s="22">
        <v>270.17099999999999</v>
      </c>
      <c r="AA92" s="22">
        <v>-1.73584E-2</v>
      </c>
      <c r="AB92" s="22">
        <v>82</v>
      </c>
      <c r="AC92" s="22">
        <v>1.38672</v>
      </c>
      <c r="AD92">
        <f t="shared" si="16"/>
        <v>17.3584</v>
      </c>
      <c r="AE92">
        <f t="shared" si="17"/>
        <v>24.076447967999997</v>
      </c>
      <c r="AF92" s="9"/>
      <c r="AG92" s="22">
        <v>0.31295800000000001</v>
      </c>
      <c r="AH92" s="22">
        <v>345.90699999999998</v>
      </c>
      <c r="AI92" s="22">
        <v>-1.76422E-2</v>
      </c>
      <c r="AJ92" s="22">
        <v>82</v>
      </c>
      <c r="AK92" s="22">
        <v>0.31237799999999999</v>
      </c>
      <c r="AL92">
        <f t="shared" si="18"/>
        <v>17.642199999999999</v>
      </c>
      <c r="AM92">
        <f t="shared" si="19"/>
        <v>5.5212676276000003</v>
      </c>
      <c r="AP92" s="9"/>
      <c r="AQ92" s="22">
        <v>1.3870199999999999</v>
      </c>
      <c r="AR92" s="22">
        <v>418.11</v>
      </c>
      <c r="AS92" s="22">
        <v>-1.78741E-2</v>
      </c>
      <c r="AT92" s="22">
        <v>82</v>
      </c>
      <c r="AU92" s="22">
        <v>1.38672</v>
      </c>
      <c r="AV92">
        <f t="shared" si="20"/>
        <v>17.874100000000002</v>
      </c>
      <c r="AW92">
        <f t="shared" si="21"/>
        <v>24.791734182000003</v>
      </c>
      <c r="AX92" s="9"/>
      <c r="AY92" s="22">
        <v>0.31295800000000001</v>
      </c>
      <c r="AZ92" s="22">
        <v>491.52300000000002</v>
      </c>
      <c r="BA92" s="22">
        <v>-1.81335E-2</v>
      </c>
      <c r="BB92" s="22">
        <v>82</v>
      </c>
      <c r="BC92" s="22">
        <v>0.31201200000000001</v>
      </c>
      <c r="BD92">
        <f t="shared" si="22"/>
        <v>18.133500000000002</v>
      </c>
      <c r="BE92">
        <f t="shared" si="23"/>
        <v>5.6750238930000005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56.713500000000003</v>
      </c>
      <c r="I93" s="22">
        <v>-1.50513E-2</v>
      </c>
      <c r="J93" s="22">
        <v>83</v>
      </c>
      <c r="K93" s="22">
        <v>1.38123</v>
      </c>
      <c r="L93">
        <f t="shared" si="12"/>
        <v>15.051299999999999</v>
      </c>
      <c r="M93">
        <f t="shared" si="13"/>
        <v>20.800746087</v>
      </c>
      <c r="N93" s="9"/>
      <c r="O93" s="22">
        <v>0.31799300000000003</v>
      </c>
      <c r="P93" s="22">
        <v>172.05500000000001</v>
      </c>
      <c r="Q93" s="22">
        <v>-1.59668E-2</v>
      </c>
      <c r="R93" s="22">
        <v>83</v>
      </c>
      <c r="S93" s="22">
        <v>0.31753500000000001</v>
      </c>
      <c r="T93">
        <f t="shared" si="14"/>
        <v>15.966799999999999</v>
      </c>
      <c r="U93">
        <f t="shared" si="15"/>
        <v>5.0773306323999998</v>
      </c>
      <c r="X93" s="9"/>
      <c r="Y93" s="22">
        <v>1.3819900000000001</v>
      </c>
      <c r="Z93" s="22">
        <v>270.27199999999999</v>
      </c>
      <c r="AA93" s="22">
        <v>-1.7355300000000001E-2</v>
      </c>
      <c r="AB93" s="22">
        <v>83</v>
      </c>
      <c r="AC93" s="22">
        <v>1.38123</v>
      </c>
      <c r="AD93">
        <f t="shared" si="16"/>
        <v>17.3553</v>
      </c>
      <c r="AE93">
        <f t="shared" si="17"/>
        <v>23.984851046999999</v>
      </c>
      <c r="AF93" s="9"/>
      <c r="AG93" s="22">
        <v>0.31799300000000003</v>
      </c>
      <c r="AH93" s="22">
        <v>346.00700000000001</v>
      </c>
      <c r="AI93" s="22">
        <v>-1.7651400000000001E-2</v>
      </c>
      <c r="AJ93" s="22">
        <v>83</v>
      </c>
      <c r="AK93" s="22">
        <v>0.31750499999999998</v>
      </c>
      <c r="AL93">
        <f t="shared" si="18"/>
        <v>17.651400000000002</v>
      </c>
      <c r="AM93">
        <f t="shared" si="19"/>
        <v>5.6130216402000013</v>
      </c>
      <c r="AP93" s="9"/>
      <c r="AQ93" s="22">
        <v>1.3819900000000001</v>
      </c>
      <c r="AR93" s="22">
        <v>418.21100000000001</v>
      </c>
      <c r="AS93" s="22">
        <v>-1.7877199999999999E-2</v>
      </c>
      <c r="AT93" s="22">
        <v>83</v>
      </c>
      <c r="AU93" s="22">
        <v>1.3809199999999999</v>
      </c>
      <c r="AV93">
        <f t="shared" si="20"/>
        <v>17.877199999999998</v>
      </c>
      <c r="AW93">
        <f t="shared" si="21"/>
        <v>24.706111627999999</v>
      </c>
      <c r="AX93" s="9"/>
      <c r="AY93" s="22">
        <v>0.31799300000000003</v>
      </c>
      <c r="AZ93" s="22">
        <v>491.62400000000002</v>
      </c>
      <c r="BA93" s="22">
        <v>-1.81335E-2</v>
      </c>
      <c r="BB93" s="22">
        <v>83</v>
      </c>
      <c r="BC93" s="22">
        <v>0.317413</v>
      </c>
      <c r="BD93">
        <f t="shared" si="22"/>
        <v>18.133500000000002</v>
      </c>
      <c r="BE93">
        <f t="shared" si="23"/>
        <v>5.7663260655000013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56.8142</v>
      </c>
      <c r="I94" s="22">
        <v>-1.5048199999999999E-2</v>
      </c>
      <c r="J94" s="22">
        <v>84</v>
      </c>
      <c r="K94" s="22">
        <v>1.3760399999999999</v>
      </c>
      <c r="L94">
        <f t="shared" si="12"/>
        <v>15.0482</v>
      </c>
      <c r="M94">
        <f t="shared" si="13"/>
        <v>20.720618989999998</v>
      </c>
      <c r="N94" s="9"/>
      <c r="O94" s="22">
        <v>0.32302900000000001</v>
      </c>
      <c r="P94" s="22">
        <v>172.15600000000001</v>
      </c>
      <c r="Q94" s="22">
        <v>-1.5957599999999999E-2</v>
      </c>
      <c r="R94" s="22">
        <v>84</v>
      </c>
      <c r="S94" s="22">
        <v>0.32251000000000002</v>
      </c>
      <c r="T94">
        <f t="shared" si="14"/>
        <v>15.957599999999999</v>
      </c>
      <c r="U94">
        <f t="shared" si="15"/>
        <v>5.1547675703999998</v>
      </c>
      <c r="X94" s="9"/>
      <c r="Y94" s="22">
        <v>1.3769499999999999</v>
      </c>
      <c r="Z94" s="22">
        <v>270.37299999999999</v>
      </c>
      <c r="AA94" s="22">
        <v>-1.73584E-2</v>
      </c>
      <c r="AB94" s="22">
        <v>84</v>
      </c>
      <c r="AC94" s="22">
        <v>1.3760399999999999</v>
      </c>
      <c r="AD94">
        <f t="shared" si="16"/>
        <v>17.3584</v>
      </c>
      <c r="AE94">
        <f t="shared" si="17"/>
        <v>23.901648879999996</v>
      </c>
      <c r="AF94" s="9"/>
      <c r="AG94" s="22">
        <v>0.32302900000000001</v>
      </c>
      <c r="AH94" s="22">
        <v>346.108</v>
      </c>
      <c r="AI94" s="22">
        <v>-1.7648299999999999E-2</v>
      </c>
      <c r="AJ94" s="22">
        <v>84</v>
      </c>
      <c r="AK94" s="22">
        <v>0.32223499999999999</v>
      </c>
      <c r="AL94">
        <f t="shared" si="18"/>
        <v>17.648299999999999</v>
      </c>
      <c r="AM94">
        <f t="shared" si="19"/>
        <v>5.7009127007</v>
      </c>
      <c r="AP94" s="9"/>
      <c r="AQ94" s="22">
        <v>1.3769499999999999</v>
      </c>
      <c r="AR94" s="22">
        <v>418.31099999999998</v>
      </c>
      <c r="AS94" s="22">
        <v>-1.7877199999999999E-2</v>
      </c>
      <c r="AT94" s="22">
        <v>84</v>
      </c>
      <c r="AU94" s="22">
        <v>1.3763399999999999</v>
      </c>
      <c r="AV94">
        <f t="shared" si="20"/>
        <v>17.877199999999998</v>
      </c>
      <c r="AW94">
        <f t="shared" si="21"/>
        <v>24.616010539999994</v>
      </c>
      <c r="AX94" s="9"/>
      <c r="AY94" s="22">
        <v>0.32302900000000001</v>
      </c>
      <c r="AZ94" s="22">
        <v>491.72399999999999</v>
      </c>
      <c r="BA94" s="22">
        <v>-1.8127399999999998E-2</v>
      </c>
      <c r="BB94" s="22">
        <v>84</v>
      </c>
      <c r="BC94" s="22">
        <v>0.32244899999999999</v>
      </c>
      <c r="BD94">
        <f t="shared" si="22"/>
        <v>18.127399999999998</v>
      </c>
      <c r="BE94">
        <f t="shared" si="23"/>
        <v>5.8556758945999992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56.914900000000003</v>
      </c>
      <c r="I95" s="22">
        <v>-1.5042099999999999E-2</v>
      </c>
      <c r="J95" s="22">
        <v>85</v>
      </c>
      <c r="K95" s="22">
        <v>1.3711500000000001</v>
      </c>
      <c r="L95">
        <f t="shared" si="12"/>
        <v>15.0421</v>
      </c>
      <c r="M95">
        <f t="shared" si="13"/>
        <v>20.636557832000001</v>
      </c>
      <c r="N95" s="9"/>
      <c r="O95" s="22">
        <v>0.32806400000000002</v>
      </c>
      <c r="P95" s="22">
        <v>172.25700000000001</v>
      </c>
      <c r="Q95" s="22">
        <v>-1.5905800000000001E-2</v>
      </c>
      <c r="R95" s="22">
        <v>85</v>
      </c>
      <c r="S95" s="22">
        <v>0.327515</v>
      </c>
      <c r="T95">
        <f t="shared" si="14"/>
        <v>15.905800000000001</v>
      </c>
      <c r="U95">
        <f t="shared" si="15"/>
        <v>5.2181203712000004</v>
      </c>
      <c r="X95" s="9"/>
      <c r="Y95" s="22">
        <v>1.37192</v>
      </c>
      <c r="Z95" s="22">
        <v>270.47399999999999</v>
      </c>
      <c r="AA95" s="22">
        <v>-1.7364500000000001E-2</v>
      </c>
      <c r="AB95" s="22">
        <v>85</v>
      </c>
      <c r="AC95" s="22">
        <v>1.3711500000000001</v>
      </c>
      <c r="AD95">
        <f t="shared" si="16"/>
        <v>17.364500000000003</v>
      </c>
      <c r="AE95">
        <f t="shared" si="17"/>
        <v>23.822704840000004</v>
      </c>
      <c r="AF95" s="9"/>
      <c r="AG95" s="22">
        <v>0.32806400000000002</v>
      </c>
      <c r="AH95" s="22">
        <v>346.209</v>
      </c>
      <c r="AI95" s="22">
        <v>-1.7648299999999999E-2</v>
      </c>
      <c r="AJ95" s="22">
        <v>85</v>
      </c>
      <c r="AK95" s="22">
        <v>0.32733200000000001</v>
      </c>
      <c r="AL95">
        <f t="shared" si="18"/>
        <v>17.648299999999999</v>
      </c>
      <c r="AM95">
        <f t="shared" si="19"/>
        <v>5.7897718912</v>
      </c>
      <c r="AP95" s="9"/>
      <c r="AQ95" s="22">
        <v>1.37192</v>
      </c>
      <c r="AR95" s="22">
        <v>418.41199999999998</v>
      </c>
      <c r="AS95" s="22">
        <v>-1.7877199999999999E-2</v>
      </c>
      <c r="AT95" s="22">
        <v>85</v>
      </c>
      <c r="AU95" s="22">
        <v>1.3714599999999999</v>
      </c>
      <c r="AV95">
        <f t="shared" si="20"/>
        <v>17.877199999999998</v>
      </c>
      <c r="AW95">
        <f t="shared" si="21"/>
        <v>24.526088223999999</v>
      </c>
      <c r="AX95" s="9"/>
      <c r="AY95" s="22">
        <v>0.32806400000000002</v>
      </c>
      <c r="AZ95" s="22">
        <v>491.82499999999999</v>
      </c>
      <c r="BA95" s="22">
        <v>-1.8124399999999999E-2</v>
      </c>
      <c r="BB95" s="22">
        <v>85</v>
      </c>
      <c r="BC95" s="22">
        <v>0.32736199999999999</v>
      </c>
      <c r="BD95">
        <f t="shared" si="22"/>
        <v>18.124399999999998</v>
      </c>
      <c r="BE95">
        <f t="shared" si="23"/>
        <v>5.9459631615999999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57.015599999999999</v>
      </c>
      <c r="I96" s="22">
        <v>-1.50177E-2</v>
      </c>
      <c r="J96" s="22">
        <v>86</v>
      </c>
      <c r="K96" s="22">
        <v>1.3662700000000001</v>
      </c>
      <c r="L96">
        <f t="shared" si="12"/>
        <v>15.0177</v>
      </c>
      <c r="M96">
        <f t="shared" si="13"/>
        <v>20.527393776</v>
      </c>
      <c r="N96" s="9"/>
      <c r="O96" s="22">
        <v>0.33309899999999998</v>
      </c>
      <c r="P96" s="22">
        <v>172.358</v>
      </c>
      <c r="Q96" s="22">
        <v>-1.5893600000000001E-2</v>
      </c>
      <c r="R96" s="22">
        <v>86</v>
      </c>
      <c r="S96" s="22">
        <v>0.33267200000000002</v>
      </c>
      <c r="T96">
        <f t="shared" si="14"/>
        <v>15.893600000000001</v>
      </c>
      <c r="U96">
        <f t="shared" si="15"/>
        <v>5.2941422663999997</v>
      </c>
      <c r="X96" s="9"/>
      <c r="Y96" s="22">
        <v>1.3668800000000001</v>
      </c>
      <c r="Z96" s="22">
        <v>270.57400000000001</v>
      </c>
      <c r="AA96" s="22">
        <v>-1.7361499999999998E-2</v>
      </c>
      <c r="AB96" s="22">
        <v>86</v>
      </c>
      <c r="AC96" s="22">
        <v>1.3662700000000001</v>
      </c>
      <c r="AD96">
        <f t="shared" si="16"/>
        <v>17.361499999999999</v>
      </c>
      <c r="AE96">
        <f t="shared" si="17"/>
        <v>23.731087120000002</v>
      </c>
      <c r="AF96" s="9"/>
      <c r="AG96" s="22">
        <v>0.33309899999999998</v>
      </c>
      <c r="AH96" s="22">
        <v>346.31</v>
      </c>
      <c r="AI96" s="22">
        <v>-1.7645299999999999E-2</v>
      </c>
      <c r="AJ96" s="22">
        <v>86</v>
      </c>
      <c r="AK96" s="22">
        <v>0.33261099999999999</v>
      </c>
      <c r="AL96">
        <f t="shared" si="18"/>
        <v>17.645299999999999</v>
      </c>
      <c r="AM96">
        <f t="shared" si="19"/>
        <v>5.8776317846999993</v>
      </c>
      <c r="AP96" s="9"/>
      <c r="AQ96" s="22">
        <v>1.3668800000000001</v>
      </c>
      <c r="AR96" s="22">
        <v>418.51299999999998</v>
      </c>
      <c r="AS96" s="22">
        <v>-1.78894E-2</v>
      </c>
      <c r="AT96" s="22">
        <v>86</v>
      </c>
      <c r="AU96" s="22">
        <v>1.3662700000000001</v>
      </c>
      <c r="AV96">
        <f t="shared" si="20"/>
        <v>17.889399999999998</v>
      </c>
      <c r="AW96">
        <f t="shared" si="21"/>
        <v>24.452663072</v>
      </c>
      <c r="AX96" s="9"/>
      <c r="AY96" s="22">
        <v>0.33309899999999998</v>
      </c>
      <c r="AZ96" s="22">
        <v>491.92599999999999</v>
      </c>
      <c r="BA96" s="22">
        <v>-1.8127399999999998E-2</v>
      </c>
      <c r="BB96" s="22">
        <v>86</v>
      </c>
      <c r="BC96" s="22">
        <v>0.33258100000000002</v>
      </c>
      <c r="BD96">
        <f t="shared" si="22"/>
        <v>18.127399999999998</v>
      </c>
      <c r="BE96">
        <f t="shared" si="23"/>
        <v>6.0382188125999985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57.116399999999999</v>
      </c>
      <c r="I97" s="22">
        <v>-1.5026899999999999E-2</v>
      </c>
      <c r="J97" s="22">
        <v>87</v>
      </c>
      <c r="K97" s="22">
        <v>1.3607800000000001</v>
      </c>
      <c r="L97">
        <f t="shared" si="12"/>
        <v>15.026899999999999</v>
      </c>
      <c r="M97">
        <f t="shared" si="13"/>
        <v>20.464383765000001</v>
      </c>
      <c r="N97" s="9"/>
      <c r="O97" s="22">
        <v>0.33813500000000002</v>
      </c>
      <c r="P97" s="22">
        <v>172.458</v>
      </c>
      <c r="Q97" s="22">
        <v>-1.5893600000000001E-2</v>
      </c>
      <c r="R97" s="22">
        <v>87</v>
      </c>
      <c r="S97" s="22">
        <v>0.33773799999999998</v>
      </c>
      <c r="T97">
        <f t="shared" si="14"/>
        <v>15.893600000000001</v>
      </c>
      <c r="U97">
        <f t="shared" si="15"/>
        <v>5.3741824360000008</v>
      </c>
      <c r="X97" s="9"/>
      <c r="Y97" s="22">
        <v>1.36185</v>
      </c>
      <c r="Z97" s="22">
        <v>270.67500000000001</v>
      </c>
      <c r="AA97" s="22">
        <v>-1.73706E-2</v>
      </c>
      <c r="AB97" s="22">
        <v>87</v>
      </c>
      <c r="AC97" s="22">
        <v>1.3613900000000001</v>
      </c>
      <c r="AD97">
        <f t="shared" si="16"/>
        <v>17.3706</v>
      </c>
      <c r="AE97">
        <f t="shared" si="17"/>
        <v>23.656151609999998</v>
      </c>
      <c r="AF97" s="9"/>
      <c r="AG97" s="22">
        <v>0.33813500000000002</v>
      </c>
      <c r="AH97" s="22">
        <v>346.41</v>
      </c>
      <c r="AI97" s="22">
        <v>-1.7639200000000001E-2</v>
      </c>
      <c r="AJ97" s="22">
        <v>87</v>
      </c>
      <c r="AK97" s="22">
        <v>0.337646</v>
      </c>
      <c r="AL97">
        <f t="shared" si="18"/>
        <v>17.639200000000002</v>
      </c>
      <c r="AM97">
        <f t="shared" si="19"/>
        <v>5.9644308920000011</v>
      </c>
      <c r="AP97" s="9"/>
      <c r="AQ97" s="22">
        <v>1.36185</v>
      </c>
      <c r="AR97" s="22">
        <v>418.613</v>
      </c>
      <c r="AS97" s="22">
        <v>-1.78894E-2</v>
      </c>
      <c r="AT97" s="22">
        <v>87</v>
      </c>
      <c r="AU97" s="22">
        <v>1.3610800000000001</v>
      </c>
      <c r="AV97">
        <f t="shared" si="20"/>
        <v>17.889399999999998</v>
      </c>
      <c r="AW97">
        <f t="shared" si="21"/>
        <v>24.362679389999997</v>
      </c>
      <c r="AX97" s="9"/>
      <c r="AY97" s="22">
        <v>0.33813500000000002</v>
      </c>
      <c r="AZ97" s="22">
        <v>492.02699999999999</v>
      </c>
      <c r="BA97" s="22">
        <v>-1.81213E-2</v>
      </c>
      <c r="BB97" s="22">
        <v>87</v>
      </c>
      <c r="BC97" s="22">
        <v>0.33743299999999998</v>
      </c>
      <c r="BD97">
        <f t="shared" si="22"/>
        <v>18.121300000000002</v>
      </c>
      <c r="BE97">
        <f t="shared" si="23"/>
        <v>6.1274457755000009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57.217100000000002</v>
      </c>
      <c r="I98" s="22">
        <v>-1.4981100000000001E-2</v>
      </c>
      <c r="J98" s="22">
        <v>88</v>
      </c>
      <c r="K98" s="22">
        <v>1.3562000000000001</v>
      </c>
      <c r="L98">
        <f t="shared" si="12"/>
        <v>14.981100000000001</v>
      </c>
      <c r="M98">
        <f t="shared" si="13"/>
        <v>20.326506291000005</v>
      </c>
      <c r="N98" s="9"/>
      <c r="O98" s="22">
        <v>0.34316999999999998</v>
      </c>
      <c r="P98" s="22">
        <v>172.559</v>
      </c>
      <c r="Q98" s="22">
        <v>-1.5875199999999999E-2</v>
      </c>
      <c r="R98" s="22">
        <v>88</v>
      </c>
      <c r="S98" s="22">
        <v>0.342804</v>
      </c>
      <c r="T98">
        <f t="shared" si="14"/>
        <v>15.8752</v>
      </c>
      <c r="U98">
        <f t="shared" si="15"/>
        <v>5.4478923839999993</v>
      </c>
      <c r="X98" s="9"/>
      <c r="Y98" s="22">
        <v>1.3568100000000001</v>
      </c>
      <c r="Z98" s="22">
        <v>270.77600000000001</v>
      </c>
      <c r="AA98" s="22">
        <v>-1.73706E-2</v>
      </c>
      <c r="AB98" s="22">
        <v>88</v>
      </c>
      <c r="AC98" s="22">
        <v>1.3562000000000001</v>
      </c>
      <c r="AD98">
        <f t="shared" si="16"/>
        <v>17.3706</v>
      </c>
      <c r="AE98">
        <f t="shared" si="17"/>
        <v>23.568603786000001</v>
      </c>
      <c r="AF98" s="9"/>
      <c r="AG98" s="22">
        <v>0.34316999999999998</v>
      </c>
      <c r="AH98" s="22">
        <v>346.51100000000002</v>
      </c>
      <c r="AI98" s="22">
        <v>-1.76422E-2</v>
      </c>
      <c r="AJ98" s="22">
        <v>88</v>
      </c>
      <c r="AK98" s="22">
        <v>0.34234599999999998</v>
      </c>
      <c r="AL98">
        <f t="shared" si="18"/>
        <v>17.642199999999999</v>
      </c>
      <c r="AM98">
        <f t="shared" si="19"/>
        <v>6.0542737739999994</v>
      </c>
      <c r="AP98" s="9"/>
      <c r="AQ98" s="22">
        <v>1.3568100000000001</v>
      </c>
      <c r="AR98" s="22">
        <v>418.714</v>
      </c>
      <c r="AS98" s="22">
        <v>-1.78894E-2</v>
      </c>
      <c r="AT98" s="22">
        <v>88</v>
      </c>
      <c r="AU98" s="22">
        <v>1.3559000000000001</v>
      </c>
      <c r="AV98">
        <f t="shared" si="20"/>
        <v>17.889399999999998</v>
      </c>
      <c r="AW98">
        <f t="shared" si="21"/>
        <v>24.272516813999999</v>
      </c>
      <c r="AX98" s="9"/>
      <c r="AY98" s="22">
        <v>0.34316999999999998</v>
      </c>
      <c r="AZ98" s="22">
        <v>492.12700000000001</v>
      </c>
      <c r="BA98" s="22">
        <v>-1.8115200000000001E-2</v>
      </c>
      <c r="BB98" s="22">
        <v>88</v>
      </c>
      <c r="BC98" s="22">
        <v>0.34268199999999999</v>
      </c>
      <c r="BD98">
        <f t="shared" si="22"/>
        <v>18.115200000000002</v>
      </c>
      <c r="BE98">
        <f t="shared" si="23"/>
        <v>6.2165931839999997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57.317799999999998</v>
      </c>
      <c r="I99" s="22">
        <v>-1.50116E-2</v>
      </c>
      <c r="J99" s="22">
        <v>89</v>
      </c>
      <c r="K99" s="22">
        <v>1.3507100000000001</v>
      </c>
      <c r="L99">
        <f t="shared" si="12"/>
        <v>15.0116</v>
      </c>
      <c r="M99">
        <f t="shared" si="13"/>
        <v>20.292380647999998</v>
      </c>
      <c r="N99" s="9"/>
      <c r="O99" s="22">
        <v>0.34820600000000002</v>
      </c>
      <c r="P99" s="22">
        <v>172.66</v>
      </c>
      <c r="Q99" s="22">
        <v>-1.58417E-2</v>
      </c>
      <c r="R99" s="22">
        <v>89</v>
      </c>
      <c r="S99" s="22">
        <v>0.34777799999999998</v>
      </c>
      <c r="T99">
        <f t="shared" si="14"/>
        <v>15.841699999999999</v>
      </c>
      <c r="U99">
        <f t="shared" si="15"/>
        <v>5.5161749901999997</v>
      </c>
      <c r="X99" s="9"/>
      <c r="Y99" s="22">
        <v>1.35178</v>
      </c>
      <c r="Z99" s="22">
        <v>270.87599999999998</v>
      </c>
      <c r="AA99" s="22">
        <v>-1.73676E-2</v>
      </c>
      <c r="AB99" s="22">
        <v>89</v>
      </c>
      <c r="AC99" s="22">
        <v>1.35162</v>
      </c>
      <c r="AD99">
        <f t="shared" si="16"/>
        <v>17.367599999999999</v>
      </c>
      <c r="AE99">
        <f t="shared" si="17"/>
        <v>23.477174328</v>
      </c>
      <c r="AF99" s="9"/>
      <c r="AG99" s="22">
        <v>0.34820600000000002</v>
      </c>
      <c r="AH99" s="22">
        <v>346.61200000000002</v>
      </c>
      <c r="AI99" s="22">
        <v>-1.7639200000000001E-2</v>
      </c>
      <c r="AJ99" s="22">
        <v>89</v>
      </c>
      <c r="AK99" s="22">
        <v>0.34747299999999998</v>
      </c>
      <c r="AL99">
        <f t="shared" si="18"/>
        <v>17.639200000000002</v>
      </c>
      <c r="AM99">
        <f t="shared" si="19"/>
        <v>6.1420752752000007</v>
      </c>
      <c r="AP99" s="9"/>
      <c r="AQ99" s="22">
        <v>1.35178</v>
      </c>
      <c r="AR99" s="22">
        <v>418.815</v>
      </c>
      <c r="AS99" s="22">
        <v>-1.7883300000000001E-2</v>
      </c>
      <c r="AT99" s="22">
        <v>89</v>
      </c>
      <c r="AU99" s="22">
        <v>1.35101</v>
      </c>
      <c r="AV99">
        <f t="shared" si="20"/>
        <v>17.883300000000002</v>
      </c>
      <c r="AW99">
        <f t="shared" si="21"/>
        <v>24.174287274000001</v>
      </c>
      <c r="AX99" s="9"/>
      <c r="AY99" s="22">
        <v>0.34820600000000002</v>
      </c>
      <c r="AZ99" s="22">
        <v>492.22800000000001</v>
      </c>
      <c r="BA99" s="22">
        <v>-1.8112199999999998E-2</v>
      </c>
      <c r="BB99" s="22">
        <v>89</v>
      </c>
      <c r="BC99" s="22">
        <v>0.34759499999999999</v>
      </c>
      <c r="BD99">
        <f t="shared" si="22"/>
        <v>18.112199999999998</v>
      </c>
      <c r="BE99">
        <f t="shared" si="23"/>
        <v>6.3067767131999997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57.418500000000002</v>
      </c>
      <c r="I100" s="22">
        <v>-1.5020800000000001E-2</v>
      </c>
      <c r="J100" s="22">
        <v>90</v>
      </c>
      <c r="K100" s="22">
        <v>1.34552</v>
      </c>
      <c r="L100">
        <f t="shared" si="12"/>
        <v>15.020800000000001</v>
      </c>
      <c r="M100">
        <f t="shared" si="13"/>
        <v>20.229112192000002</v>
      </c>
      <c r="N100" s="9"/>
      <c r="O100" s="22">
        <v>0.35324100000000003</v>
      </c>
      <c r="P100" s="22">
        <v>172.76</v>
      </c>
      <c r="Q100" s="22">
        <v>-1.5826400000000001E-2</v>
      </c>
      <c r="R100" s="22">
        <v>90</v>
      </c>
      <c r="S100" s="22">
        <v>0.35272199999999998</v>
      </c>
      <c r="T100">
        <f t="shared" si="14"/>
        <v>15.826400000000001</v>
      </c>
      <c r="U100">
        <f t="shared" si="15"/>
        <v>5.5905333624000013</v>
      </c>
      <c r="X100" s="9"/>
      <c r="Y100" s="22">
        <v>1.34674</v>
      </c>
      <c r="Z100" s="22">
        <v>270.97699999999998</v>
      </c>
      <c r="AA100" s="22">
        <v>-1.7385899999999999E-2</v>
      </c>
      <c r="AB100" s="22">
        <v>90</v>
      </c>
      <c r="AC100" s="22">
        <v>1.3464400000000001</v>
      </c>
      <c r="AD100">
        <f t="shared" si="16"/>
        <v>17.385899999999999</v>
      </c>
      <c r="AE100">
        <f t="shared" si="17"/>
        <v>23.414286965999999</v>
      </c>
      <c r="AF100" s="9"/>
      <c r="AG100" s="22">
        <v>0.35324100000000003</v>
      </c>
      <c r="AH100" s="22">
        <v>346.71199999999999</v>
      </c>
      <c r="AI100" s="22">
        <v>-1.7648299999999999E-2</v>
      </c>
      <c r="AJ100" s="22">
        <v>90</v>
      </c>
      <c r="AK100" s="22">
        <v>0.352661</v>
      </c>
      <c r="AL100">
        <f t="shared" si="18"/>
        <v>17.648299999999999</v>
      </c>
      <c r="AM100">
        <f t="shared" si="19"/>
        <v>6.2341031403000002</v>
      </c>
      <c r="AP100" s="9"/>
      <c r="AQ100" s="22">
        <v>1.34674</v>
      </c>
      <c r="AR100" s="22">
        <v>418.916</v>
      </c>
      <c r="AS100" s="22">
        <v>-1.78864E-2</v>
      </c>
      <c r="AT100" s="22">
        <v>90</v>
      </c>
      <c r="AU100" s="22">
        <v>1.3458300000000001</v>
      </c>
      <c r="AV100">
        <f t="shared" si="20"/>
        <v>17.886400000000002</v>
      </c>
      <c r="AW100">
        <f t="shared" si="21"/>
        <v>24.088330336000002</v>
      </c>
      <c r="AX100" s="9"/>
      <c r="AY100" s="22">
        <v>0.35324100000000003</v>
      </c>
      <c r="AZ100" s="22">
        <v>492.32900000000001</v>
      </c>
      <c r="BA100" s="22">
        <v>-1.81183E-2</v>
      </c>
      <c r="BB100" s="22">
        <v>90</v>
      </c>
      <c r="BC100" s="22">
        <v>0.35272199999999998</v>
      </c>
      <c r="BD100">
        <f t="shared" si="22"/>
        <v>18.118300000000001</v>
      </c>
      <c r="BE100">
        <f t="shared" si="23"/>
        <v>6.4001264103000013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57.519199999999998</v>
      </c>
      <c r="I101" s="22">
        <v>-1.5008499999999999E-2</v>
      </c>
      <c r="J101" s="22">
        <v>91</v>
      </c>
      <c r="K101" s="22">
        <v>1.3406400000000001</v>
      </c>
      <c r="L101">
        <f t="shared" si="12"/>
        <v>15.0085</v>
      </c>
      <c r="M101">
        <f t="shared" si="13"/>
        <v>20.137054535000001</v>
      </c>
      <c r="N101" s="9"/>
      <c r="O101" s="22">
        <v>0.35827599999999998</v>
      </c>
      <c r="P101" s="22">
        <v>172.86099999999999</v>
      </c>
      <c r="Q101" s="22">
        <v>-1.58295E-2</v>
      </c>
      <c r="R101" s="22">
        <v>91</v>
      </c>
      <c r="S101" s="22">
        <v>0.35778799999999999</v>
      </c>
      <c r="T101">
        <f t="shared" si="14"/>
        <v>15.829499999999999</v>
      </c>
      <c r="U101">
        <f t="shared" si="15"/>
        <v>5.6713299419999998</v>
      </c>
      <c r="X101" s="9"/>
      <c r="Y101" s="22">
        <v>1.34171</v>
      </c>
      <c r="Z101" s="22">
        <v>271.07799999999997</v>
      </c>
      <c r="AA101" s="22">
        <v>-1.7376699999999998E-2</v>
      </c>
      <c r="AB101" s="22">
        <v>91</v>
      </c>
      <c r="AC101" s="22">
        <v>1.34094</v>
      </c>
      <c r="AD101">
        <f t="shared" si="16"/>
        <v>17.3767</v>
      </c>
      <c r="AE101">
        <f t="shared" si="17"/>
        <v>23.314492157</v>
      </c>
      <c r="AF101" s="9"/>
      <c r="AG101" s="22">
        <v>0.35827599999999998</v>
      </c>
      <c r="AH101" s="22">
        <v>346.81299999999999</v>
      </c>
      <c r="AI101" s="22">
        <v>-1.7648299999999999E-2</v>
      </c>
      <c r="AJ101" s="22">
        <v>91</v>
      </c>
      <c r="AK101" s="22">
        <v>0.35815399999999997</v>
      </c>
      <c r="AL101">
        <f t="shared" si="18"/>
        <v>17.648299999999999</v>
      </c>
      <c r="AM101">
        <f t="shared" si="19"/>
        <v>6.3229623307999994</v>
      </c>
      <c r="AP101" s="9"/>
      <c r="AQ101" s="22">
        <v>1.34171</v>
      </c>
      <c r="AR101" s="22">
        <v>419.01600000000002</v>
      </c>
      <c r="AS101" s="22">
        <v>-1.78864E-2</v>
      </c>
      <c r="AT101" s="22">
        <v>91</v>
      </c>
      <c r="AU101" s="22">
        <v>1.34094</v>
      </c>
      <c r="AV101">
        <f t="shared" si="20"/>
        <v>17.886400000000002</v>
      </c>
      <c r="AW101">
        <f t="shared" si="21"/>
        <v>23.998361744</v>
      </c>
      <c r="AX101" s="9"/>
      <c r="AY101" s="22">
        <v>0.35827599999999998</v>
      </c>
      <c r="AZ101" s="22">
        <v>492.42899999999997</v>
      </c>
      <c r="BA101" s="22">
        <v>-1.8112199999999998E-2</v>
      </c>
      <c r="BB101" s="22">
        <v>91</v>
      </c>
      <c r="BC101" s="22">
        <v>0.35775800000000002</v>
      </c>
      <c r="BD101">
        <f t="shared" si="22"/>
        <v>18.112199999999998</v>
      </c>
      <c r="BE101">
        <f t="shared" si="23"/>
        <v>6.489166567199999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57.619900000000001</v>
      </c>
      <c r="I102" s="22">
        <v>-1.5020800000000001E-2</v>
      </c>
      <c r="J102" s="22">
        <v>92</v>
      </c>
      <c r="K102" s="22">
        <v>1.33575</v>
      </c>
      <c r="L102">
        <f t="shared" si="12"/>
        <v>15.020800000000001</v>
      </c>
      <c r="M102">
        <f t="shared" si="13"/>
        <v>20.077852736000001</v>
      </c>
      <c r="N102" s="9"/>
      <c r="O102" s="22">
        <v>0.36331200000000002</v>
      </c>
      <c r="P102" s="22">
        <v>172.96199999999999</v>
      </c>
      <c r="Q102" s="22">
        <v>-1.5838600000000001E-2</v>
      </c>
      <c r="R102" s="22">
        <v>92</v>
      </c>
      <c r="S102" s="22">
        <v>0.36285400000000001</v>
      </c>
      <c r="T102">
        <f t="shared" si="14"/>
        <v>15.838600000000001</v>
      </c>
      <c r="U102">
        <f t="shared" si="15"/>
        <v>5.7543534432000012</v>
      </c>
      <c r="X102" s="9"/>
      <c r="Y102" s="22">
        <v>1.33667</v>
      </c>
      <c r="Z102" s="22">
        <v>271.17899999999997</v>
      </c>
      <c r="AA102" s="22">
        <v>-1.7376699999999998E-2</v>
      </c>
      <c r="AB102" s="22">
        <v>92</v>
      </c>
      <c r="AC102" s="22">
        <v>1.33575</v>
      </c>
      <c r="AD102">
        <f t="shared" si="16"/>
        <v>17.3767</v>
      </c>
      <c r="AE102">
        <f t="shared" si="17"/>
        <v>23.226913588999999</v>
      </c>
      <c r="AF102" s="9"/>
      <c r="AG102" s="22">
        <v>0.36331200000000002</v>
      </c>
      <c r="AH102" s="22">
        <v>346.91399999999999</v>
      </c>
      <c r="AI102" s="22">
        <v>-1.7645299999999999E-2</v>
      </c>
      <c r="AJ102" s="22">
        <v>92</v>
      </c>
      <c r="AK102" s="22">
        <v>0.36260999999999999</v>
      </c>
      <c r="AL102">
        <f t="shared" si="18"/>
        <v>17.645299999999999</v>
      </c>
      <c r="AM102">
        <f t="shared" si="19"/>
        <v>6.4107492335999998</v>
      </c>
      <c r="AP102" s="9"/>
      <c r="AQ102" s="22">
        <v>1.33667</v>
      </c>
      <c r="AR102" s="22">
        <v>419.11700000000002</v>
      </c>
      <c r="AS102" s="22">
        <v>-1.7895500000000002E-2</v>
      </c>
      <c r="AT102" s="22">
        <v>92</v>
      </c>
      <c r="AU102" s="22">
        <v>1.33545</v>
      </c>
      <c r="AV102">
        <f t="shared" si="20"/>
        <v>17.895500000000002</v>
      </c>
      <c r="AW102">
        <f t="shared" si="21"/>
        <v>23.920377985000002</v>
      </c>
      <c r="AX102" s="9"/>
      <c r="AY102" s="22">
        <v>0.36331200000000002</v>
      </c>
      <c r="AZ102" s="22">
        <v>492.53</v>
      </c>
      <c r="BA102" s="22">
        <v>-1.8112199999999998E-2</v>
      </c>
      <c r="BB102" s="22">
        <v>92</v>
      </c>
      <c r="BC102" s="22">
        <v>0.36260999999999999</v>
      </c>
      <c r="BD102">
        <f t="shared" si="22"/>
        <v>18.112199999999998</v>
      </c>
      <c r="BE102">
        <f t="shared" si="23"/>
        <v>6.5803796063999993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57.720599999999997</v>
      </c>
      <c r="I103" s="22">
        <v>-1.5020800000000001E-2</v>
      </c>
      <c r="J103" s="22">
        <v>93</v>
      </c>
      <c r="K103" s="22">
        <v>1.33087</v>
      </c>
      <c r="L103">
        <f t="shared" si="12"/>
        <v>15.020800000000001</v>
      </c>
      <c r="M103">
        <f t="shared" si="13"/>
        <v>20.002147904000005</v>
      </c>
      <c r="N103" s="9"/>
      <c r="O103" s="22">
        <v>0.36834699999999998</v>
      </c>
      <c r="P103" s="22">
        <v>173.06299999999999</v>
      </c>
      <c r="Q103" s="22">
        <v>-1.5869100000000001E-2</v>
      </c>
      <c r="R103" s="22">
        <v>93</v>
      </c>
      <c r="S103" s="22">
        <v>0.36782799999999999</v>
      </c>
      <c r="T103">
        <f t="shared" si="14"/>
        <v>15.869100000000001</v>
      </c>
      <c r="U103">
        <f t="shared" si="15"/>
        <v>5.8453353777000006</v>
      </c>
      <c r="X103" s="9"/>
      <c r="Y103" s="22">
        <v>1.3316300000000001</v>
      </c>
      <c r="Z103" s="22">
        <v>271.279</v>
      </c>
      <c r="AA103" s="22">
        <v>-1.7379800000000001E-2</v>
      </c>
      <c r="AB103" s="22">
        <v>93</v>
      </c>
      <c r="AC103" s="22">
        <v>1.33148</v>
      </c>
      <c r="AD103">
        <f t="shared" si="16"/>
        <v>17.379799999999999</v>
      </c>
      <c r="AE103">
        <f t="shared" si="17"/>
        <v>23.143463074</v>
      </c>
      <c r="AF103" s="9"/>
      <c r="AG103" s="22">
        <v>0.36834699999999998</v>
      </c>
      <c r="AH103" s="22">
        <v>347.01400000000001</v>
      </c>
      <c r="AI103" s="22">
        <v>-1.7645299999999999E-2</v>
      </c>
      <c r="AJ103" s="22">
        <v>93</v>
      </c>
      <c r="AK103" s="22">
        <v>0.36801099999999998</v>
      </c>
      <c r="AL103">
        <f t="shared" si="18"/>
        <v>17.645299999999999</v>
      </c>
      <c r="AM103">
        <f t="shared" si="19"/>
        <v>6.4995933190999988</v>
      </c>
      <c r="AP103" s="9"/>
      <c r="AQ103" s="22">
        <v>1.3316300000000001</v>
      </c>
      <c r="AR103" s="22">
        <v>419.21800000000002</v>
      </c>
      <c r="AS103" s="22">
        <v>-1.7895500000000002E-2</v>
      </c>
      <c r="AT103" s="22">
        <v>93</v>
      </c>
      <c r="AU103" s="22">
        <v>1.33057</v>
      </c>
      <c r="AV103">
        <f t="shared" si="20"/>
        <v>17.895500000000002</v>
      </c>
      <c r="AW103">
        <f t="shared" si="21"/>
        <v>23.830184665000004</v>
      </c>
      <c r="AX103" s="9"/>
      <c r="AY103" s="22">
        <v>0.36834699999999998</v>
      </c>
      <c r="AZ103" s="22">
        <v>492.63099999999997</v>
      </c>
      <c r="BA103" s="22">
        <v>-1.8103000000000001E-2</v>
      </c>
      <c r="BB103" s="22">
        <v>93</v>
      </c>
      <c r="BC103" s="22">
        <v>0.36785899999999999</v>
      </c>
      <c r="BD103">
        <f t="shared" si="22"/>
        <v>18.103000000000002</v>
      </c>
      <c r="BE103">
        <f t="shared" si="23"/>
        <v>6.6681857410000003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57.821300000000001</v>
      </c>
      <c r="I104" s="22">
        <v>-1.50177E-2</v>
      </c>
      <c r="J104" s="22">
        <v>94</v>
      </c>
      <c r="K104" s="22">
        <v>1.32538</v>
      </c>
      <c r="L104">
        <f t="shared" si="12"/>
        <v>15.0177</v>
      </c>
      <c r="M104">
        <f t="shared" si="13"/>
        <v>19.922480820000001</v>
      </c>
      <c r="N104" s="9"/>
      <c r="O104" s="22">
        <v>0.37338300000000002</v>
      </c>
      <c r="P104" s="22">
        <v>173.16300000000001</v>
      </c>
      <c r="Q104" s="22">
        <v>-1.5850800000000002E-2</v>
      </c>
      <c r="R104" s="22">
        <v>94</v>
      </c>
      <c r="S104" s="22">
        <v>0.37286399999999997</v>
      </c>
      <c r="T104">
        <f t="shared" si="14"/>
        <v>15.850800000000001</v>
      </c>
      <c r="U104">
        <f t="shared" si="15"/>
        <v>5.9184192564000009</v>
      </c>
      <c r="X104" s="9"/>
      <c r="Y104" s="22">
        <v>1.3266</v>
      </c>
      <c r="Z104" s="22">
        <v>271.38</v>
      </c>
      <c r="AA104" s="22">
        <v>-1.73828E-2</v>
      </c>
      <c r="AB104" s="22">
        <v>94</v>
      </c>
      <c r="AC104" s="22">
        <v>1.32629</v>
      </c>
      <c r="AD104">
        <f t="shared" si="16"/>
        <v>17.3828</v>
      </c>
      <c r="AE104">
        <f t="shared" si="17"/>
        <v>23.060022480000001</v>
      </c>
      <c r="AF104" s="9"/>
      <c r="AG104" s="22">
        <v>0.37338300000000002</v>
      </c>
      <c r="AH104" s="22">
        <v>347.11500000000001</v>
      </c>
      <c r="AI104" s="22">
        <v>-1.7639200000000001E-2</v>
      </c>
      <c r="AJ104" s="22">
        <v>94</v>
      </c>
      <c r="AK104" s="22">
        <v>0.37243700000000002</v>
      </c>
      <c r="AL104">
        <f t="shared" si="18"/>
        <v>17.639200000000002</v>
      </c>
      <c r="AM104">
        <f t="shared" si="19"/>
        <v>6.5861774136000015</v>
      </c>
      <c r="AP104" s="9"/>
      <c r="AQ104" s="22">
        <v>1.3266</v>
      </c>
      <c r="AR104" s="22">
        <v>419.31799999999998</v>
      </c>
      <c r="AS104" s="22">
        <v>-1.78864E-2</v>
      </c>
      <c r="AT104" s="22">
        <v>94</v>
      </c>
      <c r="AU104" s="22">
        <v>1.32599</v>
      </c>
      <c r="AV104">
        <f t="shared" si="20"/>
        <v>17.886400000000002</v>
      </c>
      <c r="AW104">
        <f t="shared" si="21"/>
        <v>23.728098240000001</v>
      </c>
      <c r="AX104" s="9"/>
      <c r="AY104" s="22">
        <v>0.37338300000000002</v>
      </c>
      <c r="AZ104" s="22">
        <v>492.73200000000003</v>
      </c>
      <c r="BA104" s="22">
        <v>-1.81061E-2</v>
      </c>
      <c r="BB104" s="22">
        <v>94</v>
      </c>
      <c r="BC104" s="22">
        <v>0.372498</v>
      </c>
      <c r="BD104">
        <f t="shared" si="22"/>
        <v>18.106100000000001</v>
      </c>
      <c r="BE104">
        <f t="shared" si="23"/>
        <v>6.760509936300001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57.921999999999997</v>
      </c>
      <c r="I105" s="22">
        <v>-1.50055E-2</v>
      </c>
      <c r="J105" s="22">
        <v>95</v>
      </c>
      <c r="K105" s="22">
        <v>1.3205</v>
      </c>
      <c r="L105">
        <f t="shared" si="12"/>
        <v>15.0055</v>
      </c>
      <c r="M105">
        <f t="shared" si="13"/>
        <v>19.830668580000001</v>
      </c>
      <c r="N105" s="9"/>
      <c r="O105" s="22">
        <v>0.37841799999999998</v>
      </c>
      <c r="P105" s="22">
        <v>173.26400000000001</v>
      </c>
      <c r="Q105" s="22">
        <v>-1.5817299999999999E-2</v>
      </c>
      <c r="R105" s="22">
        <v>95</v>
      </c>
      <c r="S105" s="22">
        <v>0.378021</v>
      </c>
      <c r="T105">
        <f t="shared" si="14"/>
        <v>15.817299999999999</v>
      </c>
      <c r="U105">
        <f t="shared" si="15"/>
        <v>5.9855510313999991</v>
      </c>
      <c r="X105" s="9"/>
      <c r="Y105" s="22">
        <v>1.3215600000000001</v>
      </c>
      <c r="Z105" s="22">
        <v>271.48099999999999</v>
      </c>
      <c r="AA105" s="22">
        <v>-1.73981E-2</v>
      </c>
      <c r="AB105" s="22">
        <v>95</v>
      </c>
      <c r="AC105" s="22">
        <v>1.31989</v>
      </c>
      <c r="AD105">
        <f t="shared" si="16"/>
        <v>17.398099999999999</v>
      </c>
      <c r="AE105">
        <f t="shared" si="17"/>
        <v>22.992633036000001</v>
      </c>
      <c r="AF105" s="9"/>
      <c r="AG105" s="22">
        <v>0.37841799999999998</v>
      </c>
      <c r="AH105" s="22">
        <v>347.21600000000001</v>
      </c>
      <c r="AI105" s="22">
        <v>-1.7639200000000001E-2</v>
      </c>
      <c r="AJ105" s="22">
        <v>95</v>
      </c>
      <c r="AK105" s="22">
        <v>0.37817400000000001</v>
      </c>
      <c r="AL105">
        <f t="shared" si="18"/>
        <v>17.639200000000002</v>
      </c>
      <c r="AM105">
        <f t="shared" si="19"/>
        <v>6.6749907856000004</v>
      </c>
      <c r="AP105" s="9"/>
      <c r="AQ105" s="22">
        <v>1.3215600000000001</v>
      </c>
      <c r="AR105" s="22">
        <v>419.41899999999998</v>
      </c>
      <c r="AS105" s="22">
        <v>-1.7898600000000001E-2</v>
      </c>
      <c r="AT105" s="22">
        <v>95</v>
      </c>
      <c r="AU105" s="22">
        <v>1.32111</v>
      </c>
      <c r="AV105">
        <f t="shared" si="20"/>
        <v>17.898600000000002</v>
      </c>
      <c r="AW105">
        <f t="shared" si="21"/>
        <v>23.654073816000004</v>
      </c>
      <c r="AX105" s="9"/>
      <c r="AY105" s="22">
        <v>0.37841799999999998</v>
      </c>
      <c r="AZ105" s="22">
        <v>492.83199999999999</v>
      </c>
      <c r="BA105" s="22">
        <v>-1.81061E-2</v>
      </c>
      <c r="BB105" s="22">
        <v>95</v>
      </c>
      <c r="BC105" s="22">
        <v>0.377716</v>
      </c>
      <c r="BD105">
        <f t="shared" si="22"/>
        <v>18.106100000000001</v>
      </c>
      <c r="BE105">
        <f t="shared" si="23"/>
        <v>6.8516741498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58.0227</v>
      </c>
      <c r="I106" s="22">
        <v>-1.5020800000000001E-2</v>
      </c>
      <c r="J106" s="22">
        <v>96</v>
      </c>
      <c r="K106" s="22">
        <v>1.31592</v>
      </c>
      <c r="L106">
        <f t="shared" si="12"/>
        <v>15.020800000000001</v>
      </c>
      <c r="M106">
        <f t="shared" si="13"/>
        <v>19.775333824000001</v>
      </c>
      <c r="N106" s="9"/>
      <c r="O106" s="22">
        <v>0.38345299999999999</v>
      </c>
      <c r="P106" s="22">
        <v>173.36500000000001</v>
      </c>
      <c r="Q106" s="22">
        <v>-1.5802E-2</v>
      </c>
      <c r="R106" s="22">
        <v>96</v>
      </c>
      <c r="S106" s="22">
        <v>0.38302599999999998</v>
      </c>
      <c r="T106">
        <f t="shared" si="14"/>
        <v>15.802</v>
      </c>
      <c r="U106">
        <f t="shared" si="15"/>
        <v>6.0593243059999997</v>
      </c>
      <c r="X106" s="9"/>
      <c r="Y106" s="22">
        <v>1.31653</v>
      </c>
      <c r="Z106" s="22">
        <v>271.58100000000002</v>
      </c>
      <c r="AA106" s="22">
        <v>-1.7385899999999999E-2</v>
      </c>
      <c r="AB106" s="22">
        <v>96</v>
      </c>
      <c r="AC106" s="22">
        <v>1.31653</v>
      </c>
      <c r="AD106">
        <f t="shared" si="16"/>
        <v>17.385899999999999</v>
      </c>
      <c r="AE106">
        <f t="shared" si="17"/>
        <v>22.889058927000001</v>
      </c>
      <c r="AF106" s="9"/>
      <c r="AG106" s="22">
        <v>0.38345299999999999</v>
      </c>
      <c r="AH106" s="22">
        <v>347.31700000000001</v>
      </c>
      <c r="AI106" s="22">
        <v>-1.763E-2</v>
      </c>
      <c r="AJ106" s="22">
        <v>96</v>
      </c>
      <c r="AK106" s="22">
        <v>0.383911</v>
      </c>
      <c r="AL106">
        <f t="shared" si="18"/>
        <v>17.63</v>
      </c>
      <c r="AM106">
        <f t="shared" si="19"/>
        <v>6.7602763899999996</v>
      </c>
      <c r="AP106" s="9"/>
      <c r="AQ106" s="22">
        <v>1.31653</v>
      </c>
      <c r="AR106" s="22">
        <v>419.52</v>
      </c>
      <c r="AS106" s="22">
        <v>-1.7898600000000001E-2</v>
      </c>
      <c r="AT106" s="22">
        <v>96</v>
      </c>
      <c r="AU106" s="22">
        <v>1.3162199999999999</v>
      </c>
      <c r="AV106">
        <f t="shared" si="20"/>
        <v>17.898600000000002</v>
      </c>
      <c r="AW106">
        <f t="shared" si="21"/>
        <v>23.564043858000002</v>
      </c>
      <c r="AX106" s="9"/>
      <c r="AY106" s="22">
        <v>0.38345299999999999</v>
      </c>
      <c r="AZ106" s="22">
        <v>492.93299999999999</v>
      </c>
      <c r="BA106" s="22">
        <v>-1.8103000000000001E-2</v>
      </c>
      <c r="BB106" s="22">
        <v>96</v>
      </c>
      <c r="BC106" s="22">
        <v>0.38241599999999998</v>
      </c>
      <c r="BD106">
        <f t="shared" si="22"/>
        <v>18.103000000000002</v>
      </c>
      <c r="BE106">
        <f t="shared" si="23"/>
        <v>6.9416496590000003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58.123399999999997</v>
      </c>
      <c r="I107" s="22">
        <v>-1.50452E-2</v>
      </c>
      <c r="J107" s="22">
        <v>97</v>
      </c>
      <c r="K107" s="22">
        <v>1.31073</v>
      </c>
      <c r="L107">
        <f t="shared" si="12"/>
        <v>15.045199999999999</v>
      </c>
      <c r="M107">
        <f t="shared" si="13"/>
        <v>19.731629347999998</v>
      </c>
      <c r="N107" s="9"/>
      <c r="O107" s="22">
        <v>0.38848899999999997</v>
      </c>
      <c r="P107" s="22">
        <v>173.465</v>
      </c>
      <c r="Q107" s="22">
        <v>-1.5792799999999999E-2</v>
      </c>
      <c r="R107" s="22">
        <v>97</v>
      </c>
      <c r="S107" s="22">
        <v>0.38800000000000001</v>
      </c>
      <c r="T107">
        <f t="shared" si="14"/>
        <v>15.7928</v>
      </c>
      <c r="U107">
        <f t="shared" si="15"/>
        <v>6.135329079199999</v>
      </c>
      <c r="X107" s="9"/>
      <c r="Y107" s="22">
        <v>1.31149</v>
      </c>
      <c r="Z107" s="22">
        <v>271.68200000000002</v>
      </c>
      <c r="AA107" s="22">
        <v>-1.73981E-2</v>
      </c>
      <c r="AB107" s="22">
        <v>97</v>
      </c>
      <c r="AC107" s="22">
        <v>1.3104199999999999</v>
      </c>
      <c r="AD107">
        <f t="shared" si="16"/>
        <v>17.398099999999999</v>
      </c>
      <c r="AE107">
        <f t="shared" si="17"/>
        <v>22.817434168999998</v>
      </c>
      <c r="AF107" s="9"/>
      <c r="AG107" s="22">
        <v>0.38848899999999997</v>
      </c>
      <c r="AH107" s="22">
        <v>347.41699999999997</v>
      </c>
      <c r="AI107" s="22">
        <v>-1.763E-2</v>
      </c>
      <c r="AJ107" s="22">
        <v>97</v>
      </c>
      <c r="AK107" s="22">
        <v>0.38809199999999999</v>
      </c>
      <c r="AL107">
        <f t="shared" si="18"/>
        <v>17.63</v>
      </c>
      <c r="AM107">
        <f t="shared" si="19"/>
        <v>6.8490610699999994</v>
      </c>
      <c r="AP107" s="9"/>
      <c r="AQ107" s="22">
        <v>1.31149</v>
      </c>
      <c r="AR107" s="22">
        <v>419.62</v>
      </c>
      <c r="AS107" s="22">
        <v>-1.7898600000000001E-2</v>
      </c>
      <c r="AT107" s="22">
        <v>97</v>
      </c>
      <c r="AU107" s="22">
        <v>1.3104199999999999</v>
      </c>
      <c r="AV107">
        <f t="shared" si="20"/>
        <v>17.898600000000002</v>
      </c>
      <c r="AW107">
        <f t="shared" si="21"/>
        <v>23.473834914000005</v>
      </c>
      <c r="AX107" s="9"/>
      <c r="AY107" s="22">
        <v>0.38848899999999997</v>
      </c>
      <c r="AZ107" s="22">
        <v>493.03399999999999</v>
      </c>
      <c r="BA107" s="22">
        <v>-1.8103000000000001E-2</v>
      </c>
      <c r="BB107" s="22">
        <v>97</v>
      </c>
      <c r="BC107" s="22">
        <v>0.38815300000000003</v>
      </c>
      <c r="BD107">
        <f t="shared" si="22"/>
        <v>18.103000000000002</v>
      </c>
      <c r="BE107">
        <f t="shared" si="23"/>
        <v>7.0328163669999997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58.2241</v>
      </c>
      <c r="I108" s="22">
        <v>-1.50726E-2</v>
      </c>
      <c r="J108" s="22">
        <v>98</v>
      </c>
      <c r="K108" s="22">
        <v>1.3055399999999999</v>
      </c>
      <c r="L108">
        <f t="shared" si="12"/>
        <v>15.0726</v>
      </c>
      <c r="M108">
        <f t="shared" si="13"/>
        <v>19.691748995999998</v>
      </c>
      <c r="N108" s="9"/>
      <c r="O108" s="22">
        <v>0.39352399999999998</v>
      </c>
      <c r="P108" s="22">
        <v>173.566</v>
      </c>
      <c r="Q108" s="22">
        <v>-1.5753199999999998E-2</v>
      </c>
      <c r="R108" s="22">
        <v>98</v>
      </c>
      <c r="S108" s="22">
        <v>0.39309699999999997</v>
      </c>
      <c r="T108">
        <f t="shared" si="14"/>
        <v>15.753199999999998</v>
      </c>
      <c r="U108">
        <f t="shared" si="15"/>
        <v>6.199262276799999</v>
      </c>
      <c r="X108" s="9"/>
      <c r="Y108" s="22">
        <v>1.30646</v>
      </c>
      <c r="Z108" s="22">
        <v>271.78300000000002</v>
      </c>
      <c r="AA108" s="22">
        <v>-1.7395000000000001E-2</v>
      </c>
      <c r="AB108" s="22">
        <v>98</v>
      </c>
      <c r="AC108" s="22">
        <v>1.30463</v>
      </c>
      <c r="AD108">
        <f t="shared" si="16"/>
        <v>17.395</v>
      </c>
      <c r="AE108">
        <f t="shared" si="17"/>
        <v>22.725871699999999</v>
      </c>
      <c r="AF108" s="9"/>
      <c r="AG108" s="22">
        <v>0.39352399999999998</v>
      </c>
      <c r="AH108" s="22">
        <v>347.51799999999997</v>
      </c>
      <c r="AI108" s="22">
        <v>-1.763E-2</v>
      </c>
      <c r="AJ108" s="22">
        <v>98</v>
      </c>
      <c r="AK108" s="22">
        <v>0.39318799999999998</v>
      </c>
      <c r="AL108">
        <f t="shared" si="18"/>
        <v>17.63</v>
      </c>
      <c r="AM108">
        <f t="shared" si="19"/>
        <v>6.9378281199999989</v>
      </c>
      <c r="AP108" s="9"/>
      <c r="AQ108" s="22">
        <v>1.30646</v>
      </c>
      <c r="AR108" s="22">
        <v>419.721</v>
      </c>
      <c r="AS108" s="22">
        <v>-1.7898600000000001E-2</v>
      </c>
      <c r="AT108" s="22">
        <v>98</v>
      </c>
      <c r="AU108" s="22">
        <v>1.3055399999999999</v>
      </c>
      <c r="AV108">
        <f t="shared" si="20"/>
        <v>17.898600000000002</v>
      </c>
      <c r="AW108">
        <f t="shared" si="21"/>
        <v>23.383804956000002</v>
      </c>
      <c r="AX108" s="9"/>
      <c r="AY108" s="22">
        <v>0.39352399999999998</v>
      </c>
      <c r="AZ108" s="22">
        <v>493.13400000000001</v>
      </c>
      <c r="BA108" s="22">
        <v>-1.8096899999999999E-2</v>
      </c>
      <c r="BB108" s="22">
        <v>98</v>
      </c>
      <c r="BC108" s="22">
        <v>0.39288299999999998</v>
      </c>
      <c r="BD108">
        <f t="shared" si="22"/>
        <v>18.096899999999998</v>
      </c>
      <c r="BE108">
        <f t="shared" si="23"/>
        <v>7.1215644755999987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58.324800000000003</v>
      </c>
      <c r="I109" s="22">
        <v>-1.50391E-2</v>
      </c>
      <c r="J109" s="22">
        <v>99</v>
      </c>
      <c r="K109" s="22">
        <v>1.3009599999999999</v>
      </c>
      <c r="L109">
        <f t="shared" si="12"/>
        <v>15.039099999999999</v>
      </c>
      <c r="M109">
        <f t="shared" si="13"/>
        <v>19.572185521999998</v>
      </c>
      <c r="N109" s="9"/>
      <c r="O109" s="22">
        <v>0.39856000000000003</v>
      </c>
      <c r="P109" s="22">
        <v>173.667</v>
      </c>
      <c r="Q109" s="22">
        <v>-1.5725699999999999E-2</v>
      </c>
      <c r="R109" s="22">
        <v>99</v>
      </c>
      <c r="S109" s="22">
        <v>0.39807100000000001</v>
      </c>
      <c r="T109">
        <f t="shared" si="14"/>
        <v>15.725699999999998</v>
      </c>
      <c r="U109">
        <f t="shared" si="15"/>
        <v>6.2676349919999996</v>
      </c>
      <c r="X109" s="9"/>
      <c r="Y109" s="22">
        <v>1.30142</v>
      </c>
      <c r="Z109" s="22">
        <v>271.88299999999998</v>
      </c>
      <c r="AA109" s="22">
        <v>-1.7395000000000001E-2</v>
      </c>
      <c r="AB109" s="22">
        <v>99</v>
      </c>
      <c r="AC109" s="22">
        <v>1.3003499999999999</v>
      </c>
      <c r="AD109">
        <f t="shared" si="16"/>
        <v>17.395</v>
      </c>
      <c r="AE109">
        <f t="shared" si="17"/>
        <v>22.638200900000001</v>
      </c>
      <c r="AF109" s="9"/>
      <c r="AG109" s="22">
        <v>0.39856000000000003</v>
      </c>
      <c r="AH109" s="22">
        <v>347.61900000000003</v>
      </c>
      <c r="AI109" s="22">
        <v>-1.763E-2</v>
      </c>
      <c r="AJ109" s="22">
        <v>99</v>
      </c>
      <c r="AK109" s="22">
        <v>0.39782699999999999</v>
      </c>
      <c r="AL109">
        <f t="shared" si="18"/>
        <v>17.63</v>
      </c>
      <c r="AM109">
        <f t="shared" si="19"/>
        <v>7.0266127999999997</v>
      </c>
      <c r="AP109" s="9"/>
      <c r="AQ109" s="22">
        <v>1.30142</v>
      </c>
      <c r="AR109" s="22">
        <v>419.822</v>
      </c>
      <c r="AS109" s="22">
        <v>-1.7898600000000001E-2</v>
      </c>
      <c r="AT109" s="22">
        <v>99</v>
      </c>
      <c r="AU109" s="22">
        <v>1.3009599999999999</v>
      </c>
      <c r="AV109">
        <f t="shared" si="20"/>
        <v>17.898600000000002</v>
      </c>
      <c r="AW109">
        <f t="shared" si="21"/>
        <v>23.293596012000002</v>
      </c>
      <c r="AX109" s="9"/>
      <c r="AY109" s="22">
        <v>0.39856000000000003</v>
      </c>
      <c r="AZ109" s="22">
        <v>493.23500000000001</v>
      </c>
      <c r="BA109" s="22">
        <v>-1.8103000000000001E-2</v>
      </c>
      <c r="BB109" s="22">
        <v>99</v>
      </c>
      <c r="BC109" s="22">
        <v>0.39810200000000001</v>
      </c>
      <c r="BD109">
        <f t="shared" si="22"/>
        <v>18.103000000000002</v>
      </c>
      <c r="BE109">
        <f t="shared" si="23"/>
        <v>7.2151316800000007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58.425600000000003</v>
      </c>
      <c r="I110" s="22">
        <v>-1.50452E-2</v>
      </c>
      <c r="J110" s="22">
        <v>100</v>
      </c>
      <c r="K110" s="22">
        <v>1.2957799999999999</v>
      </c>
      <c r="L110">
        <f t="shared" si="12"/>
        <v>15.045199999999999</v>
      </c>
      <c r="M110">
        <f t="shared" si="13"/>
        <v>19.504446827999999</v>
      </c>
      <c r="N110" s="9"/>
      <c r="O110" s="22">
        <v>0.40359499999999998</v>
      </c>
      <c r="P110" s="22">
        <v>173.768</v>
      </c>
      <c r="Q110" s="22">
        <v>-1.5713499999999998E-2</v>
      </c>
      <c r="R110" s="22">
        <v>100</v>
      </c>
      <c r="S110" s="22">
        <v>0.403229</v>
      </c>
      <c r="T110">
        <f t="shared" si="14"/>
        <v>15.713499999999998</v>
      </c>
      <c r="U110">
        <f t="shared" si="15"/>
        <v>6.3418900324999985</v>
      </c>
      <c r="X110" s="9"/>
      <c r="Y110" s="22">
        <v>1.2963899999999999</v>
      </c>
      <c r="Z110" s="22">
        <v>271.98399999999998</v>
      </c>
      <c r="AA110" s="22">
        <v>-1.7407200000000001E-2</v>
      </c>
      <c r="AB110" s="22">
        <v>100</v>
      </c>
      <c r="AC110" s="22">
        <v>1.2951699999999999</v>
      </c>
      <c r="AD110">
        <f t="shared" si="16"/>
        <v>17.4072</v>
      </c>
      <c r="AE110">
        <f t="shared" si="17"/>
        <v>22.566520007999998</v>
      </c>
      <c r="AF110" s="9"/>
      <c r="AG110" s="22">
        <v>0.40359499999999998</v>
      </c>
      <c r="AH110" s="22">
        <v>347.71899999999999</v>
      </c>
      <c r="AI110" s="22">
        <v>-1.7620799999999999E-2</v>
      </c>
      <c r="AJ110" s="22">
        <v>100</v>
      </c>
      <c r="AK110" s="22">
        <v>0.403198</v>
      </c>
      <c r="AL110">
        <f t="shared" si="18"/>
        <v>17.620799999999999</v>
      </c>
      <c r="AM110">
        <f t="shared" si="19"/>
        <v>7.111666775999999</v>
      </c>
      <c r="AP110" s="9"/>
      <c r="AQ110" s="22">
        <v>1.2963899999999999</v>
      </c>
      <c r="AR110" s="22">
        <v>419.923</v>
      </c>
      <c r="AS110" s="22">
        <v>-1.7904699999999999E-2</v>
      </c>
      <c r="AT110" s="22">
        <v>100</v>
      </c>
      <c r="AU110" s="22">
        <v>1.2957799999999999</v>
      </c>
      <c r="AV110">
        <f t="shared" si="20"/>
        <v>17.904699999999998</v>
      </c>
      <c r="AW110">
        <f t="shared" si="21"/>
        <v>23.211474032999998</v>
      </c>
      <c r="AX110" s="9"/>
      <c r="AY110" s="22">
        <v>0.40359499999999998</v>
      </c>
      <c r="AZ110" s="22">
        <v>493.33600000000001</v>
      </c>
      <c r="BA110" s="22">
        <v>-1.80939E-2</v>
      </c>
      <c r="BB110" s="22">
        <v>100</v>
      </c>
      <c r="BC110" s="22">
        <v>0.40301500000000001</v>
      </c>
      <c r="BD110">
        <f t="shared" si="22"/>
        <v>18.093899999999998</v>
      </c>
      <c r="BE110">
        <f t="shared" si="23"/>
        <v>7.3026075704999984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58.526299999999999</v>
      </c>
      <c r="I111" s="22">
        <v>-1.50452E-2</v>
      </c>
      <c r="J111" s="22">
        <v>101</v>
      </c>
      <c r="K111" s="22">
        <v>1.2908900000000001</v>
      </c>
      <c r="L111">
        <f t="shared" si="12"/>
        <v>15.045199999999999</v>
      </c>
      <c r="M111">
        <f t="shared" si="13"/>
        <v>19.428619019999999</v>
      </c>
      <c r="N111" s="9"/>
      <c r="O111" s="22">
        <v>0.40862999999999999</v>
      </c>
      <c r="P111" s="22">
        <v>173.86799999999999</v>
      </c>
      <c r="Q111" s="22">
        <v>-1.5713499999999998E-2</v>
      </c>
      <c r="R111" s="22">
        <v>101</v>
      </c>
      <c r="S111" s="22">
        <v>0.40817300000000001</v>
      </c>
      <c r="T111">
        <f t="shared" si="14"/>
        <v>15.713499999999998</v>
      </c>
      <c r="U111">
        <f t="shared" si="15"/>
        <v>6.4210075049999995</v>
      </c>
      <c r="X111" s="9"/>
      <c r="Y111" s="22">
        <v>1.29135</v>
      </c>
      <c r="Z111" s="22">
        <v>272.08499999999998</v>
      </c>
      <c r="AA111" s="22">
        <v>-1.74133E-2</v>
      </c>
      <c r="AB111" s="22">
        <v>101</v>
      </c>
      <c r="AC111" s="22">
        <v>1.2899799999999999</v>
      </c>
      <c r="AD111">
        <f t="shared" si="16"/>
        <v>17.4133</v>
      </c>
      <c r="AE111">
        <f t="shared" si="17"/>
        <v>22.486664954999998</v>
      </c>
      <c r="AF111" s="9"/>
      <c r="AG111" s="22">
        <v>0.40862999999999999</v>
      </c>
      <c r="AH111" s="22">
        <v>347.82</v>
      </c>
      <c r="AI111" s="22">
        <v>-1.76147E-2</v>
      </c>
      <c r="AJ111" s="22">
        <v>101</v>
      </c>
      <c r="AK111" s="22">
        <v>0.40832499999999999</v>
      </c>
      <c r="AL111">
        <f t="shared" si="18"/>
        <v>17.614699999999999</v>
      </c>
      <c r="AM111">
        <f t="shared" si="19"/>
        <v>7.1978948609999991</v>
      </c>
      <c r="AP111" s="9"/>
      <c r="AQ111" s="22">
        <v>1.29135</v>
      </c>
      <c r="AR111" s="22">
        <v>420.02300000000002</v>
      </c>
      <c r="AS111" s="22">
        <v>-1.7907699999999999E-2</v>
      </c>
      <c r="AT111" s="22">
        <v>101</v>
      </c>
      <c r="AU111" s="22">
        <v>1.2905899999999999</v>
      </c>
      <c r="AV111">
        <f t="shared" si="20"/>
        <v>17.907699999999998</v>
      </c>
      <c r="AW111">
        <f t="shared" si="21"/>
        <v>23.125108394999998</v>
      </c>
      <c r="AX111" s="9"/>
      <c r="AY111" s="22">
        <v>0.40862999999999999</v>
      </c>
      <c r="AZ111" s="22">
        <v>493.43700000000001</v>
      </c>
      <c r="BA111" s="22">
        <v>-1.8096899999999999E-2</v>
      </c>
      <c r="BB111" s="22">
        <v>101</v>
      </c>
      <c r="BC111" s="22">
        <v>0.40838600000000003</v>
      </c>
      <c r="BD111">
        <f t="shared" si="22"/>
        <v>18.096899999999998</v>
      </c>
      <c r="BE111">
        <f t="shared" si="23"/>
        <v>7.3949362469999986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58.627000000000002</v>
      </c>
      <c r="I112" s="22">
        <v>-1.5048199999999999E-2</v>
      </c>
      <c r="J112" s="22">
        <v>102</v>
      </c>
      <c r="K112" s="22">
        <v>1.2860100000000001</v>
      </c>
      <c r="L112">
        <f t="shared" si="12"/>
        <v>15.0482</v>
      </c>
      <c r="M112">
        <f t="shared" si="13"/>
        <v>19.356800623999998</v>
      </c>
      <c r="N112" s="9"/>
      <c r="O112" s="22">
        <v>0.41366599999999998</v>
      </c>
      <c r="P112" s="22">
        <v>173.96899999999999</v>
      </c>
      <c r="Q112" s="22">
        <v>-1.5689100000000001E-2</v>
      </c>
      <c r="R112" s="22">
        <v>102</v>
      </c>
      <c r="S112" s="22">
        <v>0.41323900000000002</v>
      </c>
      <c r="T112">
        <f t="shared" si="14"/>
        <v>15.689100000000002</v>
      </c>
      <c r="U112">
        <f t="shared" si="15"/>
        <v>6.4900472406</v>
      </c>
      <c r="X112" s="9"/>
      <c r="Y112" s="22">
        <v>1.2863199999999999</v>
      </c>
      <c r="Z112" s="22">
        <v>272.18599999999998</v>
      </c>
      <c r="AA112" s="22">
        <v>-1.7404200000000002E-2</v>
      </c>
      <c r="AB112" s="22">
        <v>102</v>
      </c>
      <c r="AC112" s="22">
        <v>1.2857099999999999</v>
      </c>
      <c r="AD112">
        <f t="shared" si="16"/>
        <v>17.404200000000003</v>
      </c>
      <c r="AE112">
        <f t="shared" si="17"/>
        <v>22.387370544000003</v>
      </c>
      <c r="AF112" s="9"/>
      <c r="AG112" s="22">
        <v>0.41366599999999998</v>
      </c>
      <c r="AH112" s="22">
        <v>347.92099999999999</v>
      </c>
      <c r="AI112" s="22">
        <v>-1.7617799999999999E-2</v>
      </c>
      <c r="AJ112" s="22">
        <v>102</v>
      </c>
      <c r="AK112" s="22">
        <v>0.41284199999999999</v>
      </c>
      <c r="AL112">
        <f t="shared" si="18"/>
        <v>17.617799999999999</v>
      </c>
      <c r="AM112">
        <f t="shared" si="19"/>
        <v>7.2878848547999988</v>
      </c>
      <c r="AP112" s="9"/>
      <c r="AQ112" s="22">
        <v>1.2863199999999999</v>
      </c>
      <c r="AR112" s="22">
        <v>420.12400000000002</v>
      </c>
      <c r="AS112" s="22">
        <v>-1.79016E-2</v>
      </c>
      <c r="AT112" s="22">
        <v>102</v>
      </c>
      <c r="AU112" s="22">
        <v>1.2850999999999999</v>
      </c>
      <c r="AV112">
        <f t="shared" si="20"/>
        <v>17.901599999999998</v>
      </c>
      <c r="AW112">
        <f t="shared" si="21"/>
        <v>23.027186111999995</v>
      </c>
      <c r="AX112" s="9"/>
      <c r="AY112" s="22">
        <v>0.41366599999999998</v>
      </c>
      <c r="AZ112" s="22">
        <v>493.53699999999998</v>
      </c>
      <c r="BA112" s="22">
        <v>-1.80939E-2</v>
      </c>
      <c r="BB112" s="22">
        <v>102</v>
      </c>
      <c r="BC112" s="22">
        <v>0.41299400000000003</v>
      </c>
      <c r="BD112">
        <f t="shared" si="22"/>
        <v>18.093899999999998</v>
      </c>
      <c r="BE112">
        <f t="shared" si="23"/>
        <v>7.484831237399999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58.727699999999999</v>
      </c>
      <c r="I113" s="22">
        <v>-1.5008499999999999E-2</v>
      </c>
      <c r="J113" s="22">
        <v>103</v>
      </c>
      <c r="K113" s="22">
        <v>1.2802100000000001</v>
      </c>
      <c r="L113">
        <f t="shared" si="12"/>
        <v>15.0085</v>
      </c>
      <c r="M113">
        <f t="shared" si="13"/>
        <v>19.230090879999999</v>
      </c>
      <c r="N113" s="9"/>
      <c r="O113" s="22">
        <v>0.41870099999999999</v>
      </c>
      <c r="P113" s="22">
        <v>174.07</v>
      </c>
      <c r="Q113" s="22">
        <v>-1.5676900000000001E-2</v>
      </c>
      <c r="R113" s="22">
        <v>103</v>
      </c>
      <c r="S113" s="22">
        <v>0.418213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272.286</v>
      </c>
      <c r="AA113" s="22">
        <v>-1.7419400000000002E-2</v>
      </c>
      <c r="AB113" s="22">
        <v>103</v>
      </c>
      <c r="AC113" s="22">
        <v>1.2808200000000001</v>
      </c>
      <c r="AD113">
        <f t="shared" si="16"/>
        <v>17.419400000000003</v>
      </c>
      <c r="AE113">
        <f t="shared" si="17"/>
        <v>22.319128832000004</v>
      </c>
      <c r="AF113" s="9"/>
      <c r="AG113" s="22">
        <v>0.41870099999999999</v>
      </c>
      <c r="AH113" s="22">
        <v>348.02199999999999</v>
      </c>
      <c r="AI113" s="22">
        <v>-1.7617799999999999E-2</v>
      </c>
      <c r="AJ113" s="22">
        <v>103</v>
      </c>
      <c r="AK113" s="22">
        <v>0.41796899999999998</v>
      </c>
      <c r="AL113">
        <f t="shared" si="18"/>
        <v>17.617799999999999</v>
      </c>
      <c r="AM113">
        <f t="shared" si="19"/>
        <v>7.3765904777999998</v>
      </c>
      <c r="AP113" s="9"/>
      <c r="AQ113" s="22">
        <v>1.28128</v>
      </c>
      <c r="AR113" s="22">
        <v>420.22500000000002</v>
      </c>
      <c r="AS113" s="22">
        <v>-1.7910800000000001E-2</v>
      </c>
      <c r="AT113" s="22">
        <v>103</v>
      </c>
      <c r="AU113" s="22">
        <v>1.2802100000000001</v>
      </c>
      <c r="AV113">
        <f t="shared" si="20"/>
        <v>17.910800000000002</v>
      </c>
      <c r="AW113">
        <f t="shared" si="21"/>
        <v>22.948749824000004</v>
      </c>
      <c r="AX113" s="9"/>
      <c r="AY113" s="22">
        <v>0.41870099999999999</v>
      </c>
      <c r="AZ113" s="22">
        <v>493.63799999999998</v>
      </c>
      <c r="BA113" s="22">
        <v>-1.8096899999999999E-2</v>
      </c>
      <c r="BB113" s="22">
        <v>103</v>
      </c>
      <c r="BC113" s="22">
        <v>0.41812100000000002</v>
      </c>
      <c r="BD113">
        <f t="shared" si="22"/>
        <v>18.096899999999998</v>
      </c>
      <c r="BE113">
        <f t="shared" si="23"/>
        <v>7.5771901268999988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58.828400000000002</v>
      </c>
      <c r="I114" s="22">
        <v>-1.5029900000000001E-2</v>
      </c>
      <c r="J114" s="22">
        <v>104</v>
      </c>
      <c r="K114" s="22">
        <v>1.2753300000000001</v>
      </c>
      <c r="L114">
        <f t="shared" si="12"/>
        <v>15.029900000000001</v>
      </c>
      <c r="M114">
        <f t="shared" si="13"/>
        <v>19.181909875000002</v>
      </c>
      <c r="N114" s="9"/>
      <c r="O114" s="22">
        <v>0.42373699999999997</v>
      </c>
      <c r="P114" s="22">
        <v>174.17</v>
      </c>
      <c r="Q114" s="22">
        <v>-1.5689100000000001E-2</v>
      </c>
      <c r="R114" s="22">
        <v>104</v>
      </c>
      <c r="S114" s="22">
        <v>0.42318699999999998</v>
      </c>
      <c r="T114">
        <f t="shared" si="14"/>
        <v>15.689100000000002</v>
      </c>
      <c r="U114">
        <f t="shared" si="15"/>
        <v>6.6480521667000003</v>
      </c>
      <c r="X114" s="9"/>
      <c r="Y114" s="22">
        <v>1.2762500000000001</v>
      </c>
      <c r="Z114" s="22">
        <v>272.387</v>
      </c>
      <c r="AA114" s="22">
        <v>-1.74133E-2</v>
      </c>
      <c r="AB114" s="22">
        <v>104</v>
      </c>
      <c r="AC114" s="22">
        <v>1.27563</v>
      </c>
      <c r="AD114">
        <f t="shared" si="16"/>
        <v>17.4133</v>
      </c>
      <c r="AE114">
        <f t="shared" si="17"/>
        <v>22.223724125</v>
      </c>
      <c r="AF114" s="9"/>
      <c r="AG114" s="22">
        <v>0.42373699999999997</v>
      </c>
      <c r="AH114" s="22">
        <v>348.12200000000001</v>
      </c>
      <c r="AI114" s="22">
        <v>-1.76147E-2</v>
      </c>
      <c r="AJ114" s="22">
        <v>104</v>
      </c>
      <c r="AK114" s="22">
        <v>0.42242400000000002</v>
      </c>
      <c r="AL114">
        <f t="shared" si="18"/>
        <v>17.614699999999999</v>
      </c>
      <c r="AM114">
        <f t="shared" si="19"/>
        <v>7.4640001338999991</v>
      </c>
      <c r="AP114" s="9"/>
      <c r="AQ114" s="22">
        <v>1.2762500000000001</v>
      </c>
      <c r="AR114" s="22">
        <v>420.32499999999999</v>
      </c>
      <c r="AS114" s="22">
        <v>-1.7910800000000001E-2</v>
      </c>
      <c r="AT114" s="22">
        <v>104</v>
      </c>
      <c r="AU114" s="22">
        <v>1.27563</v>
      </c>
      <c r="AV114">
        <f t="shared" si="20"/>
        <v>17.910800000000002</v>
      </c>
      <c r="AW114">
        <f t="shared" si="21"/>
        <v>22.858658500000004</v>
      </c>
      <c r="AX114" s="9"/>
      <c r="AY114" s="22">
        <v>0.42373699999999997</v>
      </c>
      <c r="AZ114" s="22">
        <v>493.73899999999998</v>
      </c>
      <c r="BA114" s="22">
        <v>-1.8100000000000002E-2</v>
      </c>
      <c r="BB114" s="22">
        <v>104</v>
      </c>
      <c r="BC114" s="22">
        <v>0.42355300000000001</v>
      </c>
      <c r="BD114">
        <f t="shared" si="22"/>
        <v>18.100000000000001</v>
      </c>
      <c r="BE114">
        <f t="shared" si="23"/>
        <v>7.6696397000000003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58.929099999999998</v>
      </c>
      <c r="I115" s="22">
        <v>-1.5036000000000001E-2</v>
      </c>
      <c r="J115" s="22">
        <v>105</v>
      </c>
      <c r="K115" s="22">
        <v>1.2704500000000001</v>
      </c>
      <c r="L115">
        <f t="shared" si="12"/>
        <v>15.036000000000001</v>
      </c>
      <c r="M115">
        <f t="shared" si="13"/>
        <v>19.11391356</v>
      </c>
      <c r="N115" s="9"/>
      <c r="O115" s="22">
        <v>0.42877199999999999</v>
      </c>
      <c r="P115" s="22">
        <v>174.27099999999999</v>
      </c>
      <c r="Q115" s="22">
        <v>-1.5676900000000001E-2</v>
      </c>
      <c r="R115" s="22">
        <v>105</v>
      </c>
      <c r="S115" s="22">
        <v>0.42834499999999998</v>
      </c>
      <c r="T115">
        <f t="shared" si="14"/>
        <v>15.6769</v>
      </c>
      <c r="U115">
        <f t="shared" si="15"/>
        <v>6.7218157667999998</v>
      </c>
      <c r="X115" s="9"/>
      <c r="Y115" s="22">
        <v>1.27121</v>
      </c>
      <c r="Z115" s="22">
        <v>272.488</v>
      </c>
      <c r="AA115" s="22">
        <v>-1.7404200000000002E-2</v>
      </c>
      <c r="AB115" s="22">
        <v>105</v>
      </c>
      <c r="AC115" s="22">
        <v>1.2704500000000001</v>
      </c>
      <c r="AD115">
        <f t="shared" si="16"/>
        <v>17.404200000000003</v>
      </c>
      <c r="AE115">
        <f t="shared" si="17"/>
        <v>22.124393082000005</v>
      </c>
      <c r="AF115" s="9"/>
      <c r="AG115" s="22">
        <v>0.42877199999999999</v>
      </c>
      <c r="AH115" s="22">
        <v>348.22300000000001</v>
      </c>
      <c r="AI115" s="22">
        <v>-1.7617799999999999E-2</v>
      </c>
      <c r="AJ115" s="22">
        <v>105</v>
      </c>
      <c r="AK115" s="22">
        <v>0.428284</v>
      </c>
      <c r="AL115">
        <f t="shared" si="18"/>
        <v>17.617799999999999</v>
      </c>
      <c r="AM115">
        <f t="shared" si="19"/>
        <v>7.5540193415999992</v>
      </c>
      <c r="AP115" s="9"/>
      <c r="AQ115" s="22">
        <v>1.27121</v>
      </c>
      <c r="AR115" s="22">
        <v>420.42599999999999</v>
      </c>
      <c r="AS115" s="22">
        <v>-1.7913800000000001E-2</v>
      </c>
      <c r="AT115" s="22">
        <v>105</v>
      </c>
      <c r="AU115" s="22">
        <v>1.2710600000000001</v>
      </c>
      <c r="AV115">
        <f t="shared" si="20"/>
        <v>17.913800000000002</v>
      </c>
      <c r="AW115">
        <f t="shared" si="21"/>
        <v>22.772201698</v>
      </c>
      <c r="AX115" s="9"/>
      <c r="AY115" s="22">
        <v>0.42877199999999999</v>
      </c>
      <c r="AZ115" s="22">
        <v>493.839</v>
      </c>
      <c r="BA115" s="22">
        <v>-1.8090800000000001E-2</v>
      </c>
      <c r="BB115" s="22">
        <v>105</v>
      </c>
      <c r="BC115" s="22">
        <v>0.428284</v>
      </c>
      <c r="BD115">
        <f t="shared" si="22"/>
        <v>18.090800000000002</v>
      </c>
      <c r="BE115">
        <f t="shared" si="23"/>
        <v>7.7568284976000008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59.029800000000002</v>
      </c>
      <c r="I116" s="22">
        <v>-1.50726E-2</v>
      </c>
      <c r="J116" s="22">
        <v>106</v>
      </c>
      <c r="K116" s="22">
        <v>1.26495</v>
      </c>
      <c r="L116">
        <f t="shared" si="12"/>
        <v>15.0726</v>
      </c>
      <c r="M116">
        <f t="shared" si="13"/>
        <v>19.084473941999999</v>
      </c>
      <c r="N116" s="9"/>
      <c r="O116" s="22">
        <v>0.433807</v>
      </c>
      <c r="P116" s="22">
        <v>174.37200000000001</v>
      </c>
      <c r="Q116" s="22">
        <v>-1.5710399999999999E-2</v>
      </c>
      <c r="R116" s="22">
        <v>106</v>
      </c>
      <c r="S116" s="22">
        <v>0.43335000000000001</v>
      </c>
      <c r="T116">
        <f t="shared" si="14"/>
        <v>15.7104</v>
      </c>
      <c r="U116">
        <f t="shared" si="15"/>
        <v>6.8152814927999996</v>
      </c>
      <c r="X116" s="9"/>
      <c r="Y116" s="22">
        <v>1.26617</v>
      </c>
      <c r="Z116" s="22">
        <v>272.58800000000002</v>
      </c>
      <c r="AA116" s="22">
        <v>-1.74103E-2</v>
      </c>
      <c r="AB116" s="22">
        <v>106</v>
      </c>
      <c r="AC116" s="22">
        <v>1.26556</v>
      </c>
      <c r="AD116">
        <f t="shared" si="16"/>
        <v>17.410299999999999</v>
      </c>
      <c r="AE116">
        <f t="shared" si="17"/>
        <v>22.044399550999998</v>
      </c>
      <c r="AF116" s="9"/>
      <c r="AG116" s="22">
        <v>0.433807</v>
      </c>
      <c r="AH116" s="22">
        <v>348.32400000000001</v>
      </c>
      <c r="AI116" s="22">
        <v>-1.7605599999999999E-2</v>
      </c>
      <c r="AJ116" s="22">
        <v>106</v>
      </c>
      <c r="AK116" s="22">
        <v>0.43310500000000002</v>
      </c>
      <c r="AL116">
        <f t="shared" si="18"/>
        <v>17.605599999999999</v>
      </c>
      <c r="AM116">
        <f t="shared" si="19"/>
        <v>7.6374325191999999</v>
      </c>
      <c r="AP116" s="9"/>
      <c r="AQ116" s="22">
        <v>1.26617</v>
      </c>
      <c r="AR116" s="22">
        <v>420.52699999999999</v>
      </c>
      <c r="AS116" s="22">
        <v>-1.7907699999999999E-2</v>
      </c>
      <c r="AT116" s="22">
        <v>106</v>
      </c>
      <c r="AU116" s="22">
        <v>1.26556</v>
      </c>
      <c r="AV116">
        <f t="shared" si="20"/>
        <v>17.907699999999998</v>
      </c>
      <c r="AW116">
        <f t="shared" si="21"/>
        <v>22.674192508999997</v>
      </c>
      <c r="AX116" s="9"/>
      <c r="AY116" s="22">
        <v>0.433807</v>
      </c>
      <c r="AZ116" s="22">
        <v>493.94</v>
      </c>
      <c r="BA116" s="22">
        <v>-1.8090800000000001E-2</v>
      </c>
      <c r="BB116" s="22">
        <v>106</v>
      </c>
      <c r="BC116" s="22">
        <v>0.43337999999999999</v>
      </c>
      <c r="BD116">
        <f t="shared" si="22"/>
        <v>18.090800000000002</v>
      </c>
      <c r="BE116">
        <f t="shared" si="23"/>
        <v>7.8479156756000004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59.130499999999998</v>
      </c>
      <c r="I117" s="22">
        <v>-1.50543E-2</v>
      </c>
      <c r="J117" s="22">
        <v>107</v>
      </c>
      <c r="K117" s="22">
        <v>1.2597700000000001</v>
      </c>
      <c r="L117">
        <f t="shared" si="12"/>
        <v>15.0543</v>
      </c>
      <c r="M117">
        <f t="shared" si="13"/>
        <v>18.985579901999998</v>
      </c>
      <c r="N117" s="9"/>
      <c r="O117" s="22">
        <v>0.43884299999999998</v>
      </c>
      <c r="P117" s="22">
        <v>174.47200000000001</v>
      </c>
      <c r="Q117" s="22">
        <v>-1.5685999999999999E-2</v>
      </c>
      <c r="R117" s="22">
        <v>107</v>
      </c>
      <c r="S117" s="22">
        <v>0.43838500000000002</v>
      </c>
      <c r="T117">
        <f t="shared" si="14"/>
        <v>15.685999999999998</v>
      </c>
      <c r="U117">
        <f t="shared" si="15"/>
        <v>6.8836912979999987</v>
      </c>
      <c r="X117" s="9"/>
      <c r="Y117" s="22">
        <v>1.2611399999999999</v>
      </c>
      <c r="Z117" s="22">
        <v>272.68900000000002</v>
      </c>
      <c r="AA117" s="22">
        <v>-1.7416399999999999E-2</v>
      </c>
      <c r="AB117" s="22">
        <v>107</v>
      </c>
      <c r="AC117" s="22">
        <v>1.2603800000000001</v>
      </c>
      <c r="AD117">
        <f t="shared" si="16"/>
        <v>17.416399999999999</v>
      </c>
      <c r="AE117">
        <f t="shared" si="17"/>
        <v>21.964518695999999</v>
      </c>
      <c r="AF117" s="9"/>
      <c r="AG117" s="22">
        <v>0.43884299999999998</v>
      </c>
      <c r="AH117" s="22">
        <v>348.42399999999998</v>
      </c>
      <c r="AI117" s="22">
        <v>-1.7608599999999999E-2</v>
      </c>
      <c r="AJ117" s="22">
        <v>107</v>
      </c>
      <c r="AK117" s="22">
        <v>0.43823200000000001</v>
      </c>
      <c r="AL117">
        <f t="shared" si="18"/>
        <v>17.608599999999999</v>
      </c>
      <c r="AM117">
        <f t="shared" si="19"/>
        <v>7.7274108497999991</v>
      </c>
      <c r="AP117" s="9"/>
      <c r="AQ117" s="22">
        <v>1.2611399999999999</v>
      </c>
      <c r="AR117" s="22">
        <v>420.62799999999999</v>
      </c>
      <c r="AS117" s="22">
        <v>-1.7923000000000001E-2</v>
      </c>
      <c r="AT117" s="22">
        <v>107</v>
      </c>
      <c r="AU117" s="22">
        <v>1.2603800000000001</v>
      </c>
      <c r="AV117">
        <f t="shared" si="20"/>
        <v>17.923000000000002</v>
      </c>
      <c r="AW117">
        <f t="shared" si="21"/>
        <v>22.603412220000003</v>
      </c>
      <c r="AX117" s="9"/>
      <c r="AY117" s="22">
        <v>0.43884299999999998</v>
      </c>
      <c r="AZ117" s="22">
        <v>494.041</v>
      </c>
      <c r="BA117" s="22">
        <v>-1.8084699999999999E-2</v>
      </c>
      <c r="BB117" s="22">
        <v>107</v>
      </c>
      <c r="BC117" s="22">
        <v>0.43841599999999997</v>
      </c>
      <c r="BD117">
        <f t="shared" si="22"/>
        <v>18.084699999999998</v>
      </c>
      <c r="BE117">
        <f t="shared" si="23"/>
        <v>7.9363440020999985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59.231200000000001</v>
      </c>
      <c r="I118" s="22">
        <v>-1.5048199999999999E-2</v>
      </c>
      <c r="J118" s="22">
        <v>108</v>
      </c>
      <c r="K118" s="22">
        <v>1.25519</v>
      </c>
      <c r="L118">
        <f t="shared" si="12"/>
        <v>15.0482</v>
      </c>
      <c r="M118">
        <f t="shared" si="13"/>
        <v>18.902044019999998</v>
      </c>
      <c r="N118" s="9"/>
      <c r="O118" s="22">
        <v>0.44387799999999999</v>
      </c>
      <c r="P118" s="22">
        <v>174.57300000000001</v>
      </c>
      <c r="Q118" s="22">
        <v>-1.5658600000000002E-2</v>
      </c>
      <c r="R118" s="22">
        <v>108</v>
      </c>
      <c r="S118" s="22">
        <v>0.44341999999999998</v>
      </c>
      <c r="T118">
        <f t="shared" si="14"/>
        <v>15.658600000000002</v>
      </c>
      <c r="U118">
        <f t="shared" si="15"/>
        <v>6.9505080508000008</v>
      </c>
      <c r="X118" s="9"/>
      <c r="Y118" s="22">
        <v>1.2561</v>
      </c>
      <c r="Z118" s="22">
        <v>272.79000000000002</v>
      </c>
      <c r="AA118" s="22">
        <v>-1.74255E-2</v>
      </c>
      <c r="AB118" s="22">
        <v>108</v>
      </c>
      <c r="AC118" s="22">
        <v>1.25519</v>
      </c>
      <c r="AD118">
        <f t="shared" si="16"/>
        <v>17.4255</v>
      </c>
      <c r="AE118">
        <f t="shared" si="17"/>
        <v>21.888170549999998</v>
      </c>
      <c r="AF118" s="9"/>
      <c r="AG118" s="22">
        <v>0.44387799999999999</v>
      </c>
      <c r="AH118" s="22">
        <v>348.52499999999998</v>
      </c>
      <c r="AI118" s="22">
        <v>-1.76147E-2</v>
      </c>
      <c r="AJ118" s="22">
        <v>108</v>
      </c>
      <c r="AK118" s="22">
        <v>0.443604</v>
      </c>
      <c r="AL118">
        <f t="shared" si="18"/>
        <v>17.614699999999999</v>
      </c>
      <c r="AM118">
        <f t="shared" si="19"/>
        <v>7.8187778065999991</v>
      </c>
      <c r="AP118" s="9"/>
      <c r="AQ118" s="22">
        <v>1.2561</v>
      </c>
      <c r="AR118" s="22">
        <v>420.72800000000001</v>
      </c>
      <c r="AS118" s="22">
        <v>-1.7923000000000001E-2</v>
      </c>
      <c r="AT118" s="22">
        <v>108</v>
      </c>
      <c r="AU118" s="22">
        <v>1.25549</v>
      </c>
      <c r="AV118">
        <f t="shared" si="20"/>
        <v>17.923000000000002</v>
      </c>
      <c r="AW118">
        <f t="shared" si="21"/>
        <v>22.513080300000002</v>
      </c>
      <c r="AX118" s="9"/>
      <c r="AY118" s="22">
        <v>0.44387799999999999</v>
      </c>
      <c r="AZ118" s="22">
        <v>494.14100000000002</v>
      </c>
      <c r="BA118" s="22">
        <v>-1.80786E-2</v>
      </c>
      <c r="BB118" s="22">
        <v>108</v>
      </c>
      <c r="BC118" s="22">
        <v>0.44332899999999997</v>
      </c>
      <c r="BD118">
        <f t="shared" si="22"/>
        <v>18.078600000000002</v>
      </c>
      <c r="BE118">
        <f t="shared" si="23"/>
        <v>8.0246928108000013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59.331899999999997</v>
      </c>
      <c r="I119" s="22">
        <v>-1.50726E-2</v>
      </c>
      <c r="J119" s="22">
        <v>109</v>
      </c>
      <c r="K119" s="22">
        <v>1.25061</v>
      </c>
      <c r="L119">
        <f t="shared" si="12"/>
        <v>15.0726</v>
      </c>
      <c r="M119">
        <f t="shared" si="13"/>
        <v>18.856877681999997</v>
      </c>
      <c r="N119" s="9"/>
      <c r="O119" s="22">
        <v>0.44891399999999998</v>
      </c>
      <c r="P119" s="22">
        <v>174.67400000000001</v>
      </c>
      <c r="Q119" s="22">
        <v>-1.56647E-2</v>
      </c>
      <c r="R119" s="22">
        <v>109</v>
      </c>
      <c r="S119" s="22">
        <v>0.44845600000000002</v>
      </c>
      <c r="T119">
        <f t="shared" si="14"/>
        <v>15.6647</v>
      </c>
      <c r="U119">
        <f t="shared" si="15"/>
        <v>7.0321031357999999</v>
      </c>
      <c r="X119" s="9"/>
      <c r="Y119" s="22">
        <v>1.2510699999999999</v>
      </c>
      <c r="Z119" s="22">
        <v>272.89100000000002</v>
      </c>
      <c r="AA119" s="22">
        <v>-1.74255E-2</v>
      </c>
      <c r="AB119" s="22">
        <v>109</v>
      </c>
      <c r="AC119" s="22">
        <v>1.25061</v>
      </c>
      <c r="AD119">
        <f t="shared" si="16"/>
        <v>17.4255</v>
      </c>
      <c r="AE119">
        <f t="shared" si="17"/>
        <v>21.800520284999998</v>
      </c>
      <c r="AF119" s="9"/>
      <c r="AG119" s="22">
        <v>0.44891399999999998</v>
      </c>
      <c r="AH119" s="22">
        <v>348.62599999999998</v>
      </c>
      <c r="AI119" s="22">
        <v>-1.7605599999999999E-2</v>
      </c>
      <c r="AJ119" s="22">
        <v>109</v>
      </c>
      <c r="AK119" s="22">
        <v>0.44842500000000002</v>
      </c>
      <c r="AL119">
        <f t="shared" si="18"/>
        <v>17.605599999999999</v>
      </c>
      <c r="AM119">
        <f t="shared" si="19"/>
        <v>7.9034003183999992</v>
      </c>
      <c r="AP119" s="9"/>
      <c r="AQ119" s="22">
        <v>1.2510699999999999</v>
      </c>
      <c r="AR119" s="22">
        <v>420.82900000000001</v>
      </c>
      <c r="AS119" s="22">
        <v>-1.7919899999999999E-2</v>
      </c>
      <c r="AT119" s="22">
        <v>109</v>
      </c>
      <c r="AU119" s="22">
        <v>1.25061</v>
      </c>
      <c r="AV119">
        <f t="shared" si="20"/>
        <v>17.919899999999998</v>
      </c>
      <c r="AW119">
        <f t="shared" si="21"/>
        <v>22.419049292999997</v>
      </c>
      <c r="AX119" s="9"/>
      <c r="AY119" s="22">
        <v>0.44891399999999998</v>
      </c>
      <c r="AZ119" s="22">
        <v>494.24200000000002</v>
      </c>
      <c r="BA119" s="22">
        <v>-1.8081699999999999E-2</v>
      </c>
      <c r="BB119" s="22">
        <v>109</v>
      </c>
      <c r="BC119" s="22">
        <v>0.44808999999999999</v>
      </c>
      <c r="BD119">
        <f t="shared" si="22"/>
        <v>18.081699999999998</v>
      </c>
      <c r="BE119">
        <f t="shared" si="23"/>
        <v>8.1171282737999988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59.432600000000001</v>
      </c>
      <c r="I120" s="22">
        <v>-1.50879E-2</v>
      </c>
      <c r="J120" s="22">
        <v>110</v>
      </c>
      <c r="K120" s="22">
        <v>1.24573</v>
      </c>
      <c r="L120">
        <f t="shared" si="12"/>
        <v>15.087899999999999</v>
      </c>
      <c r="M120">
        <f t="shared" si="13"/>
        <v>18.799976037</v>
      </c>
      <c r="N120" s="9"/>
      <c r="O120" s="22">
        <v>0.45394899999999999</v>
      </c>
      <c r="P120" s="22">
        <v>174.77500000000001</v>
      </c>
      <c r="Q120" s="22">
        <v>-1.5646400000000001E-2</v>
      </c>
      <c r="R120" s="22">
        <v>110</v>
      </c>
      <c r="S120" s="22">
        <v>0.45349099999999998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272.99099999999999</v>
      </c>
      <c r="AA120" s="22">
        <v>-1.74225E-2</v>
      </c>
      <c r="AB120" s="22">
        <v>110</v>
      </c>
      <c r="AC120" s="22">
        <v>1.24481</v>
      </c>
      <c r="AD120">
        <f t="shared" si="16"/>
        <v>17.422499999999999</v>
      </c>
      <c r="AE120">
        <f t="shared" si="17"/>
        <v>21.708957674999997</v>
      </c>
      <c r="AF120" s="9"/>
      <c r="AG120" s="22">
        <v>0.45394899999999999</v>
      </c>
      <c r="AH120" s="22">
        <v>348.72699999999998</v>
      </c>
      <c r="AI120" s="22">
        <v>-1.7605599999999999E-2</v>
      </c>
      <c r="AJ120" s="22">
        <v>110</v>
      </c>
      <c r="AK120" s="22">
        <v>0.45324700000000001</v>
      </c>
      <c r="AL120">
        <f t="shared" si="18"/>
        <v>17.605599999999999</v>
      </c>
      <c r="AM120">
        <f t="shared" si="19"/>
        <v>7.992044514399999</v>
      </c>
      <c r="AP120" s="9"/>
      <c r="AQ120" s="22">
        <v>1.24603</v>
      </c>
      <c r="AR120" s="22">
        <v>420.93</v>
      </c>
      <c r="AS120" s="22">
        <v>-1.7919899999999999E-2</v>
      </c>
      <c r="AT120" s="22">
        <v>110</v>
      </c>
      <c r="AU120" s="22">
        <v>1.24481</v>
      </c>
      <c r="AV120">
        <f t="shared" si="20"/>
        <v>17.919899999999998</v>
      </c>
      <c r="AW120">
        <f t="shared" si="21"/>
        <v>22.328732996999996</v>
      </c>
      <c r="AX120" s="9"/>
      <c r="AY120" s="22">
        <v>0.45394899999999999</v>
      </c>
      <c r="AZ120" s="22">
        <v>494.34300000000002</v>
      </c>
      <c r="BA120" s="22">
        <v>-1.8072499999999998E-2</v>
      </c>
      <c r="BB120" s="22">
        <v>110</v>
      </c>
      <c r="BC120" s="22">
        <v>0.45349099999999998</v>
      </c>
      <c r="BD120">
        <f t="shared" si="22"/>
        <v>18.072499999999998</v>
      </c>
      <c r="BE120">
        <f t="shared" si="23"/>
        <v>8.2039933024999989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59.533299999999997</v>
      </c>
      <c r="I121" s="22">
        <v>-1.51001E-2</v>
      </c>
      <c r="J121" s="22">
        <v>111</v>
      </c>
      <c r="K121" s="22">
        <v>1.2396199999999999</v>
      </c>
      <c r="L121">
        <f t="shared" si="12"/>
        <v>15.100099999999999</v>
      </c>
      <c r="M121">
        <f t="shared" si="13"/>
        <v>18.739224100000001</v>
      </c>
      <c r="N121" s="9"/>
      <c r="O121" s="22">
        <v>0.458984</v>
      </c>
      <c r="P121" s="22">
        <v>174.875</v>
      </c>
      <c r="Q121" s="22">
        <v>-1.5649400000000001E-2</v>
      </c>
      <c r="R121" s="22">
        <v>111</v>
      </c>
      <c r="S121" s="22">
        <v>0.45852700000000002</v>
      </c>
      <c r="T121">
        <f t="shared" si="14"/>
        <v>15.6494</v>
      </c>
      <c r="U121">
        <f t="shared" si="15"/>
        <v>7.1828242095999997</v>
      </c>
      <c r="X121" s="9"/>
      <c r="Y121" s="22">
        <v>1.2410000000000001</v>
      </c>
      <c r="Z121" s="22">
        <v>273.09199999999998</v>
      </c>
      <c r="AA121" s="22">
        <v>-1.7428599999999999E-2</v>
      </c>
      <c r="AB121" s="22">
        <v>111</v>
      </c>
      <c r="AC121" s="22">
        <v>1.2402299999999999</v>
      </c>
      <c r="AD121">
        <f t="shared" si="16"/>
        <v>17.428599999999999</v>
      </c>
      <c r="AE121">
        <f t="shared" si="17"/>
        <v>21.6288926</v>
      </c>
      <c r="AF121" s="9"/>
      <c r="AG121" s="22">
        <v>0.458984</v>
      </c>
      <c r="AH121" s="22">
        <v>348.827</v>
      </c>
      <c r="AI121" s="22">
        <v>-1.7605599999999999E-2</v>
      </c>
      <c r="AJ121" s="22">
        <v>111</v>
      </c>
      <c r="AK121" s="22">
        <v>0.45840500000000001</v>
      </c>
      <c r="AL121">
        <f t="shared" si="18"/>
        <v>17.605599999999999</v>
      </c>
      <c r="AM121">
        <f t="shared" si="19"/>
        <v>8.0806887104000005</v>
      </c>
      <c r="AP121" s="9"/>
      <c r="AQ121" s="22">
        <v>1.2410000000000001</v>
      </c>
      <c r="AR121" s="22">
        <v>421.03</v>
      </c>
      <c r="AS121" s="22">
        <v>-1.79291E-2</v>
      </c>
      <c r="AT121" s="22">
        <v>111</v>
      </c>
      <c r="AU121" s="22">
        <v>1.24115</v>
      </c>
      <c r="AV121">
        <f t="shared" si="20"/>
        <v>17.929099999999998</v>
      </c>
      <c r="AW121">
        <f t="shared" si="21"/>
        <v>22.2500131</v>
      </c>
      <c r="AX121" s="9"/>
      <c r="AY121" s="22">
        <v>0.458984</v>
      </c>
      <c r="AZ121" s="22">
        <v>494.44400000000002</v>
      </c>
      <c r="BA121" s="22">
        <v>-1.8075600000000001E-2</v>
      </c>
      <c r="BB121" s="22">
        <v>111</v>
      </c>
      <c r="BC121" s="22">
        <v>0.458374</v>
      </c>
      <c r="BD121">
        <f t="shared" si="22"/>
        <v>18.075600000000001</v>
      </c>
      <c r="BE121">
        <f t="shared" si="23"/>
        <v>8.2964111904000006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59.634099999999997</v>
      </c>
      <c r="I122" s="22">
        <v>-1.51062E-2</v>
      </c>
      <c r="J122" s="22">
        <v>112</v>
      </c>
      <c r="K122" s="22">
        <v>1.2353499999999999</v>
      </c>
      <c r="L122">
        <f t="shared" si="12"/>
        <v>15.106199999999999</v>
      </c>
      <c r="M122">
        <f t="shared" si="13"/>
        <v>18.670658952</v>
      </c>
      <c r="N122" s="9"/>
      <c r="O122" s="22">
        <v>0.46401999999999999</v>
      </c>
      <c r="P122" s="22">
        <v>174.976</v>
      </c>
      <c r="Q122" s="22">
        <v>-1.5609700000000001E-2</v>
      </c>
      <c r="R122" s="22">
        <v>112</v>
      </c>
      <c r="S122" s="22">
        <v>0.46353100000000003</v>
      </c>
      <c r="T122">
        <f t="shared" si="14"/>
        <v>15.6097</v>
      </c>
      <c r="U122">
        <f t="shared" si="15"/>
        <v>7.2432129940000003</v>
      </c>
      <c r="X122" s="9"/>
      <c r="Y122" s="22">
        <v>1.2359599999999999</v>
      </c>
      <c r="Z122" s="22">
        <v>273.19299999999998</v>
      </c>
      <c r="AA122" s="22">
        <v>-1.7434700000000001E-2</v>
      </c>
      <c r="AB122" s="22">
        <v>112</v>
      </c>
      <c r="AC122" s="22">
        <v>1.2347399999999999</v>
      </c>
      <c r="AD122">
        <f t="shared" si="16"/>
        <v>17.434699999999999</v>
      </c>
      <c r="AE122">
        <f t="shared" si="17"/>
        <v>21.548591811999998</v>
      </c>
      <c r="AF122" s="9"/>
      <c r="AG122" s="22">
        <v>0.46401999999999999</v>
      </c>
      <c r="AH122" s="22">
        <v>348.928</v>
      </c>
      <c r="AI122" s="22">
        <v>-1.7599500000000001E-2</v>
      </c>
      <c r="AJ122" s="22">
        <v>112</v>
      </c>
      <c r="AK122" s="22">
        <v>0.462677</v>
      </c>
      <c r="AL122">
        <f t="shared" si="18"/>
        <v>17.599499999999999</v>
      </c>
      <c r="AM122">
        <f t="shared" si="19"/>
        <v>8.1665199899999994</v>
      </c>
      <c r="AP122" s="9"/>
      <c r="AQ122" s="22">
        <v>1.2359599999999999</v>
      </c>
      <c r="AR122" s="22">
        <v>421.13099999999997</v>
      </c>
      <c r="AS122" s="22">
        <v>-1.79291E-2</v>
      </c>
      <c r="AT122" s="22">
        <v>112</v>
      </c>
      <c r="AU122" s="22">
        <v>1.23444</v>
      </c>
      <c r="AV122">
        <f t="shared" si="20"/>
        <v>17.929099999999998</v>
      </c>
      <c r="AW122">
        <f t="shared" si="21"/>
        <v>22.159650435999996</v>
      </c>
      <c r="AX122" s="9"/>
      <c r="AY122" s="22">
        <v>0.46401999999999999</v>
      </c>
      <c r="AZ122" s="22">
        <v>494.54399999999998</v>
      </c>
      <c r="BA122" s="22">
        <v>-1.8072499999999998E-2</v>
      </c>
      <c r="BB122" s="22">
        <v>112</v>
      </c>
      <c r="BC122" s="22">
        <v>0.46353100000000003</v>
      </c>
      <c r="BD122">
        <f t="shared" si="22"/>
        <v>18.072499999999998</v>
      </c>
      <c r="BE122">
        <f t="shared" si="23"/>
        <v>8.3860014499999984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59.7348</v>
      </c>
      <c r="I123" s="22">
        <v>-1.5109300000000001E-2</v>
      </c>
      <c r="J123" s="22">
        <v>113</v>
      </c>
      <c r="K123" s="22">
        <v>1.23047</v>
      </c>
      <c r="L123">
        <f t="shared" si="12"/>
        <v>15.109300000000001</v>
      </c>
      <c r="M123">
        <f t="shared" si="13"/>
        <v>18.598490649000002</v>
      </c>
      <c r="N123" s="9"/>
      <c r="O123" s="22">
        <v>0.469055</v>
      </c>
      <c r="P123" s="22">
        <v>175.077</v>
      </c>
      <c r="Q123" s="22">
        <v>-1.5606699999999999E-2</v>
      </c>
      <c r="R123" s="22">
        <v>113</v>
      </c>
      <c r="S123" s="22">
        <v>0.46853600000000001</v>
      </c>
      <c r="T123">
        <f t="shared" si="14"/>
        <v>15.6067</v>
      </c>
      <c r="U123">
        <f t="shared" si="15"/>
        <v>7.3204006684999996</v>
      </c>
      <c r="X123" s="9"/>
      <c r="Y123" s="22">
        <v>1.2309300000000001</v>
      </c>
      <c r="Z123" s="22">
        <v>273.29300000000001</v>
      </c>
      <c r="AA123" s="22">
        <v>-1.74103E-2</v>
      </c>
      <c r="AB123" s="22">
        <v>113</v>
      </c>
      <c r="AC123" s="22">
        <v>1.22986</v>
      </c>
      <c r="AD123">
        <f t="shared" si="16"/>
        <v>17.410299999999999</v>
      </c>
      <c r="AE123">
        <f t="shared" si="17"/>
        <v>21.430860579000001</v>
      </c>
      <c r="AF123" s="9"/>
      <c r="AG123" s="22">
        <v>0.469055</v>
      </c>
      <c r="AH123" s="22">
        <v>349.029</v>
      </c>
      <c r="AI123" s="22">
        <v>-1.7608599999999999E-2</v>
      </c>
      <c r="AJ123" s="22">
        <v>113</v>
      </c>
      <c r="AK123" s="22">
        <v>0.468719</v>
      </c>
      <c r="AL123">
        <f t="shared" si="18"/>
        <v>17.608599999999999</v>
      </c>
      <c r="AM123">
        <f t="shared" si="19"/>
        <v>8.2594018729999998</v>
      </c>
      <c r="AP123" s="9"/>
      <c r="AQ123" s="22">
        <v>1.2309300000000001</v>
      </c>
      <c r="AR123" s="22">
        <v>421.23200000000003</v>
      </c>
      <c r="AS123" s="22">
        <v>-1.7926000000000001E-2</v>
      </c>
      <c r="AT123" s="22">
        <v>113</v>
      </c>
      <c r="AU123" s="22">
        <v>1.2295499999999999</v>
      </c>
      <c r="AV123">
        <f t="shared" si="20"/>
        <v>17.926000000000002</v>
      </c>
      <c r="AW123">
        <f t="shared" si="21"/>
        <v>22.065651180000003</v>
      </c>
      <c r="AX123" s="9"/>
      <c r="AY123" s="22">
        <v>0.469055</v>
      </c>
      <c r="AZ123" s="22">
        <v>494.64499999999998</v>
      </c>
      <c r="BA123" s="22">
        <v>-1.8075600000000001E-2</v>
      </c>
      <c r="BB123" s="22">
        <v>113</v>
      </c>
      <c r="BC123" s="22">
        <v>0.46847499999999997</v>
      </c>
      <c r="BD123">
        <f t="shared" si="22"/>
        <v>18.075600000000001</v>
      </c>
      <c r="BE123">
        <f t="shared" si="23"/>
        <v>8.4784505580000005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59.835500000000003</v>
      </c>
      <c r="I124" s="22">
        <v>-1.5115399999999999E-2</v>
      </c>
      <c r="J124" s="22">
        <v>114</v>
      </c>
      <c r="K124" s="22">
        <v>1.22498</v>
      </c>
      <c r="L124">
        <f t="shared" si="12"/>
        <v>15.115399999999999</v>
      </c>
      <c r="M124">
        <f t="shared" si="13"/>
        <v>18.529817705999999</v>
      </c>
      <c r="N124" s="9"/>
      <c r="O124" s="22">
        <v>0.47409099999999998</v>
      </c>
      <c r="P124" s="22">
        <v>175.17699999999999</v>
      </c>
      <c r="Q124" s="22">
        <v>-1.5606699999999999E-2</v>
      </c>
      <c r="R124" s="22">
        <v>114</v>
      </c>
      <c r="S124" s="22">
        <v>0.47372399999999998</v>
      </c>
      <c r="T124">
        <f t="shared" si="14"/>
        <v>15.6067</v>
      </c>
      <c r="U124">
        <f t="shared" si="15"/>
        <v>7.3989960096999994</v>
      </c>
      <c r="X124" s="9"/>
      <c r="Y124" s="22">
        <v>1.2258899999999999</v>
      </c>
      <c r="Z124" s="22">
        <v>273.39400000000001</v>
      </c>
      <c r="AA124" s="22">
        <v>-1.7419400000000002E-2</v>
      </c>
      <c r="AB124" s="22">
        <v>114</v>
      </c>
      <c r="AC124" s="22">
        <v>1.2262</v>
      </c>
      <c r="AD124">
        <f t="shared" si="16"/>
        <v>17.419400000000003</v>
      </c>
      <c r="AE124">
        <f t="shared" si="17"/>
        <v>21.354268266000002</v>
      </c>
      <c r="AF124" s="9"/>
      <c r="AG124" s="22">
        <v>0.47409099999999998</v>
      </c>
      <c r="AH124" s="22">
        <v>349.12900000000002</v>
      </c>
      <c r="AI124" s="22">
        <v>-1.7605599999999999E-2</v>
      </c>
      <c r="AJ124" s="22">
        <v>114</v>
      </c>
      <c r="AK124" s="22">
        <v>0.473389</v>
      </c>
      <c r="AL124">
        <f t="shared" si="18"/>
        <v>17.605599999999999</v>
      </c>
      <c r="AM124">
        <f t="shared" si="19"/>
        <v>8.3466565095999989</v>
      </c>
      <c r="AP124" s="9"/>
      <c r="AQ124" s="22">
        <v>1.2258899999999999</v>
      </c>
      <c r="AR124" s="22">
        <v>421.33300000000003</v>
      </c>
      <c r="AS124" s="22">
        <v>-1.7932099999999999E-2</v>
      </c>
      <c r="AT124" s="22">
        <v>114</v>
      </c>
      <c r="AU124" s="22">
        <v>1.2246699999999999</v>
      </c>
      <c r="AV124">
        <f t="shared" si="20"/>
        <v>17.932099999999998</v>
      </c>
      <c r="AW124">
        <f t="shared" si="21"/>
        <v>21.982782068999995</v>
      </c>
      <c r="AX124" s="9"/>
      <c r="AY124" s="22">
        <v>0.47409099999999998</v>
      </c>
      <c r="AZ124" s="22">
        <v>494.74599999999998</v>
      </c>
      <c r="BA124" s="22">
        <v>-1.8075600000000001E-2</v>
      </c>
      <c r="BB124" s="22">
        <v>114</v>
      </c>
      <c r="BC124" s="22">
        <v>0.47381600000000001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59.936199999999999</v>
      </c>
      <c r="I125" s="22">
        <v>-1.51215E-2</v>
      </c>
      <c r="J125" s="22">
        <v>115</v>
      </c>
      <c r="K125" s="22">
        <v>1.2200899999999999</v>
      </c>
      <c r="L125">
        <f t="shared" si="12"/>
        <v>15.121499999999999</v>
      </c>
      <c r="M125">
        <f t="shared" si="13"/>
        <v>18.461234489999999</v>
      </c>
      <c r="N125" s="9"/>
      <c r="O125" s="22">
        <v>0.479126</v>
      </c>
      <c r="P125" s="22">
        <v>175.27799999999999</v>
      </c>
      <c r="Q125" s="22">
        <v>-1.55975E-2</v>
      </c>
      <c r="R125" s="22">
        <v>115</v>
      </c>
      <c r="S125" s="22">
        <v>0.47857699999999997</v>
      </c>
      <c r="T125">
        <f t="shared" si="14"/>
        <v>15.5975</v>
      </c>
      <c r="U125">
        <f t="shared" si="15"/>
        <v>7.4731677850000002</v>
      </c>
      <c r="X125" s="9"/>
      <c r="Y125" s="22">
        <v>1.2208600000000001</v>
      </c>
      <c r="Z125" s="22">
        <v>273.495</v>
      </c>
      <c r="AA125" s="22">
        <v>-1.74133E-2</v>
      </c>
      <c r="AB125" s="22">
        <v>115</v>
      </c>
      <c r="AC125" s="22">
        <v>1.2188699999999999</v>
      </c>
      <c r="AD125">
        <f t="shared" si="16"/>
        <v>17.4133</v>
      </c>
      <c r="AE125">
        <f t="shared" si="17"/>
        <v>21.259201438000002</v>
      </c>
      <c r="AF125" s="9"/>
      <c r="AG125" s="22">
        <v>0.479126</v>
      </c>
      <c r="AH125" s="22">
        <v>349.23</v>
      </c>
      <c r="AI125" s="22">
        <v>-1.7596400000000002E-2</v>
      </c>
      <c r="AJ125" s="22">
        <v>115</v>
      </c>
      <c r="AK125" s="22">
        <v>0.47839399999999999</v>
      </c>
      <c r="AL125">
        <f t="shared" si="18"/>
        <v>17.596400000000003</v>
      </c>
      <c r="AM125">
        <f t="shared" si="19"/>
        <v>8.4308927464000014</v>
      </c>
      <c r="AP125" s="9"/>
      <c r="AQ125" s="22">
        <v>1.2208600000000001</v>
      </c>
      <c r="AR125" s="22">
        <v>421.43299999999999</v>
      </c>
      <c r="AS125" s="22">
        <v>-1.79291E-2</v>
      </c>
      <c r="AT125" s="22">
        <v>115</v>
      </c>
      <c r="AU125" s="22">
        <v>1.2197899999999999</v>
      </c>
      <c r="AV125">
        <f t="shared" si="20"/>
        <v>17.929099999999998</v>
      </c>
      <c r="AW125">
        <f t="shared" si="21"/>
        <v>21.888921025999998</v>
      </c>
      <c r="AX125" s="9"/>
      <c r="AY125" s="22">
        <v>0.479126</v>
      </c>
      <c r="AZ125" s="22">
        <v>494.846</v>
      </c>
      <c r="BA125" s="22">
        <v>-1.80664E-2</v>
      </c>
      <c r="BB125" s="22">
        <v>115</v>
      </c>
      <c r="BC125" s="22">
        <v>0.47866799999999998</v>
      </c>
      <c r="BD125">
        <f t="shared" si="22"/>
        <v>18.066400000000002</v>
      </c>
      <c r="BE125">
        <f t="shared" si="23"/>
        <v>8.6560819664000004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60.036900000000003</v>
      </c>
      <c r="I126" s="22">
        <v>-1.51337E-2</v>
      </c>
      <c r="J126" s="22">
        <v>116</v>
      </c>
      <c r="K126" s="22">
        <v>1.2152099999999999</v>
      </c>
      <c r="L126">
        <f t="shared" si="12"/>
        <v>15.133699999999999</v>
      </c>
      <c r="M126">
        <f t="shared" si="13"/>
        <v>18.399855133999999</v>
      </c>
      <c r="N126" s="9"/>
      <c r="O126" s="22">
        <v>0.48416100000000001</v>
      </c>
      <c r="P126" s="22">
        <v>175.37899999999999</v>
      </c>
      <c r="Q126" s="22">
        <v>-1.55914E-2</v>
      </c>
      <c r="R126" s="22">
        <v>116</v>
      </c>
      <c r="S126" s="22">
        <v>0.48367300000000002</v>
      </c>
      <c r="T126">
        <f t="shared" si="14"/>
        <v>15.5914</v>
      </c>
      <c r="U126">
        <f t="shared" si="15"/>
        <v>7.5487478154000005</v>
      </c>
      <c r="X126" s="9"/>
      <c r="Y126" s="22">
        <v>1.2158199999999999</v>
      </c>
      <c r="Z126" s="22">
        <v>273.596</v>
      </c>
      <c r="AA126" s="22">
        <v>-1.74225E-2</v>
      </c>
      <c r="AB126" s="22">
        <v>116</v>
      </c>
      <c r="AC126" s="22">
        <v>1.2149000000000001</v>
      </c>
      <c r="AD126">
        <f t="shared" si="16"/>
        <v>17.422499999999999</v>
      </c>
      <c r="AE126">
        <f t="shared" si="17"/>
        <v>21.182623949999996</v>
      </c>
      <c r="AF126" s="9"/>
      <c r="AG126" s="22">
        <v>0.48416100000000001</v>
      </c>
      <c r="AH126" s="22">
        <v>349.33100000000002</v>
      </c>
      <c r="AI126" s="22">
        <v>-1.7599500000000001E-2</v>
      </c>
      <c r="AJ126" s="22">
        <v>116</v>
      </c>
      <c r="AK126" s="22">
        <v>0.48367300000000002</v>
      </c>
      <c r="AL126">
        <f t="shared" si="18"/>
        <v>17.599499999999999</v>
      </c>
      <c r="AM126">
        <f t="shared" si="19"/>
        <v>8.520991519499999</v>
      </c>
      <c r="AP126" s="9"/>
      <c r="AQ126" s="22">
        <v>1.2158199999999999</v>
      </c>
      <c r="AR126" s="22">
        <v>421.53399999999999</v>
      </c>
      <c r="AS126" s="22">
        <v>-1.7932099999999999E-2</v>
      </c>
      <c r="AT126" s="22">
        <v>116</v>
      </c>
      <c r="AU126" s="22">
        <v>1.2149000000000001</v>
      </c>
      <c r="AV126">
        <f t="shared" si="20"/>
        <v>17.932099999999998</v>
      </c>
      <c r="AW126">
        <f t="shared" si="21"/>
        <v>21.802205821999998</v>
      </c>
      <c r="AX126" s="9"/>
      <c r="AY126" s="22">
        <v>0.48416100000000001</v>
      </c>
      <c r="AZ126" s="22">
        <v>494.947</v>
      </c>
      <c r="BA126" s="22">
        <v>-1.80634E-2</v>
      </c>
      <c r="BB126" s="22">
        <v>116</v>
      </c>
      <c r="BC126" s="22">
        <v>0.484039</v>
      </c>
      <c r="BD126">
        <f t="shared" si="22"/>
        <v>18.063400000000001</v>
      </c>
      <c r="BE126">
        <f t="shared" si="23"/>
        <v>8.7455938074000006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60.137599999999999</v>
      </c>
      <c r="I127" s="22">
        <v>-1.5136699999999999E-2</v>
      </c>
      <c r="J127" s="22">
        <v>117</v>
      </c>
      <c r="K127" s="22">
        <v>1.2097199999999999</v>
      </c>
      <c r="L127">
        <f t="shared" si="12"/>
        <v>15.136699999999999</v>
      </c>
      <c r="M127">
        <f t="shared" si="13"/>
        <v>18.327213625999999</v>
      </c>
      <c r="N127" s="9"/>
      <c r="O127" s="22">
        <v>0.48919699999999999</v>
      </c>
      <c r="P127" s="22">
        <v>175.48</v>
      </c>
      <c r="Q127" s="22">
        <v>-1.5573099999999999E-2</v>
      </c>
      <c r="R127" s="22">
        <v>117</v>
      </c>
      <c r="S127" s="22">
        <v>0.48880000000000001</v>
      </c>
      <c r="T127">
        <f t="shared" si="14"/>
        <v>15.5731</v>
      </c>
      <c r="U127">
        <f t="shared" si="15"/>
        <v>7.6183138007000002</v>
      </c>
      <c r="X127" s="9"/>
      <c r="Y127" s="22">
        <v>1.21078</v>
      </c>
      <c r="Z127" s="22">
        <v>273.69600000000003</v>
      </c>
      <c r="AA127" s="22">
        <v>-1.74225E-2</v>
      </c>
      <c r="AB127" s="22">
        <v>117</v>
      </c>
      <c r="AC127" s="22">
        <v>1.2103299999999999</v>
      </c>
      <c r="AD127">
        <f t="shared" si="16"/>
        <v>17.422499999999999</v>
      </c>
      <c r="AE127">
        <f t="shared" si="17"/>
        <v>21.094814549999999</v>
      </c>
      <c r="AF127" s="9"/>
      <c r="AG127" s="22">
        <v>0.48919699999999999</v>
      </c>
      <c r="AH127" s="22">
        <v>349.43099999999998</v>
      </c>
      <c r="AI127" s="22">
        <v>-1.7599500000000001E-2</v>
      </c>
      <c r="AJ127" s="22">
        <v>117</v>
      </c>
      <c r="AK127" s="22">
        <v>0.48916599999999999</v>
      </c>
      <c r="AL127">
        <f t="shared" si="18"/>
        <v>17.599499999999999</v>
      </c>
      <c r="AM127">
        <f t="shared" si="19"/>
        <v>8.6096226014999999</v>
      </c>
      <c r="AP127" s="9"/>
      <c r="AQ127" s="22">
        <v>1.21078</v>
      </c>
      <c r="AR127" s="22">
        <v>421.63499999999999</v>
      </c>
      <c r="AS127" s="22">
        <v>-1.7935199999999998E-2</v>
      </c>
      <c r="AT127" s="22">
        <v>117</v>
      </c>
      <c r="AU127" s="22">
        <v>1.2100200000000001</v>
      </c>
      <c r="AV127">
        <f t="shared" si="20"/>
        <v>17.935199999999998</v>
      </c>
      <c r="AW127">
        <f t="shared" si="21"/>
        <v>21.715581455999999</v>
      </c>
      <c r="AX127" s="9"/>
      <c r="AY127" s="22">
        <v>0.48919699999999999</v>
      </c>
      <c r="AZ127" s="22">
        <v>495.048</v>
      </c>
      <c r="BA127" s="22">
        <v>-1.80664E-2</v>
      </c>
      <c r="BB127" s="22">
        <v>117</v>
      </c>
      <c r="BC127" s="22">
        <v>0.48846400000000001</v>
      </c>
      <c r="BD127">
        <f t="shared" si="22"/>
        <v>18.066400000000002</v>
      </c>
      <c r="BE127">
        <f t="shared" si="23"/>
        <v>8.8380286808000008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60.238300000000002</v>
      </c>
      <c r="I128" s="22">
        <v>-1.51398E-2</v>
      </c>
      <c r="J128" s="22">
        <v>118</v>
      </c>
      <c r="K128" s="22">
        <v>1.2054400000000001</v>
      </c>
      <c r="L128">
        <f t="shared" si="12"/>
        <v>15.139799999999999</v>
      </c>
      <c r="M128">
        <f t="shared" si="13"/>
        <v>18.254813850000001</v>
      </c>
      <c r="N128" s="9"/>
      <c r="O128" s="22">
        <v>0.494232</v>
      </c>
      <c r="P128" s="22">
        <v>175.58</v>
      </c>
      <c r="Q128" s="22">
        <v>-1.55701E-2</v>
      </c>
      <c r="R128" s="22">
        <v>118</v>
      </c>
      <c r="S128" s="22">
        <v>0.49371300000000001</v>
      </c>
      <c r="T128">
        <f t="shared" si="14"/>
        <v>15.5701</v>
      </c>
      <c r="U128">
        <f t="shared" si="15"/>
        <v>7.6952416632</v>
      </c>
      <c r="X128" s="9"/>
      <c r="Y128" s="22">
        <v>1.2057500000000001</v>
      </c>
      <c r="Z128" s="22">
        <v>273.79700000000003</v>
      </c>
      <c r="AA128" s="22">
        <v>-1.74133E-2</v>
      </c>
      <c r="AB128" s="22">
        <v>118</v>
      </c>
      <c r="AC128" s="22">
        <v>1.2048300000000001</v>
      </c>
      <c r="AD128">
        <f t="shared" si="16"/>
        <v>17.4133</v>
      </c>
      <c r="AE128">
        <f t="shared" si="17"/>
        <v>20.996086475000002</v>
      </c>
      <c r="AF128" s="9"/>
      <c r="AG128" s="22">
        <v>0.494232</v>
      </c>
      <c r="AH128" s="22">
        <v>349.53199999999998</v>
      </c>
      <c r="AI128" s="22">
        <v>-1.7608599999999999E-2</v>
      </c>
      <c r="AJ128" s="22">
        <v>118</v>
      </c>
      <c r="AK128" s="22">
        <v>0.49346899999999999</v>
      </c>
      <c r="AL128">
        <f t="shared" si="18"/>
        <v>17.608599999999999</v>
      </c>
      <c r="AM128">
        <f t="shared" si="19"/>
        <v>8.7027335951999998</v>
      </c>
      <c r="AP128" s="9"/>
      <c r="AQ128" s="22">
        <v>1.2057500000000001</v>
      </c>
      <c r="AR128" s="22">
        <v>421.73500000000001</v>
      </c>
      <c r="AS128" s="22">
        <v>-1.7935199999999998E-2</v>
      </c>
      <c r="AT128" s="22">
        <v>118</v>
      </c>
      <c r="AU128" s="22">
        <v>1.2045300000000001</v>
      </c>
      <c r="AV128">
        <f t="shared" si="20"/>
        <v>17.935199999999998</v>
      </c>
      <c r="AW128">
        <f t="shared" si="21"/>
        <v>21.625367399999998</v>
      </c>
      <c r="AX128" s="9"/>
      <c r="AY128" s="22">
        <v>0.494232</v>
      </c>
      <c r="AZ128" s="22">
        <v>495.149</v>
      </c>
      <c r="BA128" s="22">
        <v>-1.8060300000000001E-2</v>
      </c>
      <c r="BB128" s="22">
        <v>118</v>
      </c>
      <c r="BC128" s="22">
        <v>0.49340800000000001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60.338999999999999</v>
      </c>
      <c r="I129" s="22">
        <v>-1.51428E-2</v>
      </c>
      <c r="J129" s="22">
        <v>119</v>
      </c>
      <c r="K129" s="22">
        <v>1.1999500000000001</v>
      </c>
      <c r="L129">
        <f t="shared" si="12"/>
        <v>15.142799999999999</v>
      </c>
      <c r="M129">
        <f t="shared" si="13"/>
        <v>18.182111387999999</v>
      </c>
      <c r="N129" s="9"/>
      <c r="O129" s="22">
        <v>0.49926799999999999</v>
      </c>
      <c r="P129" s="22">
        <v>175.68100000000001</v>
      </c>
      <c r="Q129" s="22">
        <v>-1.5564E-2</v>
      </c>
      <c r="R129" s="22">
        <v>119</v>
      </c>
      <c r="S129" s="22">
        <v>0.49877899999999997</v>
      </c>
      <c r="T129">
        <f t="shared" si="14"/>
        <v>15.564</v>
      </c>
      <c r="U129">
        <f t="shared" si="15"/>
        <v>7.7706071520000002</v>
      </c>
      <c r="X129" s="9"/>
      <c r="Y129" s="22">
        <v>1.2007099999999999</v>
      </c>
      <c r="Z129" s="22">
        <v>273.89800000000002</v>
      </c>
      <c r="AA129" s="22">
        <v>-1.7419400000000002E-2</v>
      </c>
      <c r="AB129" s="22">
        <v>119</v>
      </c>
      <c r="AC129" s="22">
        <v>1.1993400000000001</v>
      </c>
      <c r="AD129">
        <f t="shared" si="16"/>
        <v>17.419400000000003</v>
      </c>
      <c r="AE129">
        <f t="shared" si="17"/>
        <v>20.915647774000004</v>
      </c>
      <c r="AF129" s="9"/>
      <c r="AG129" s="22">
        <v>0.49926799999999999</v>
      </c>
      <c r="AH129" s="22">
        <v>349.63299999999998</v>
      </c>
      <c r="AI129" s="22">
        <v>-1.7599500000000001E-2</v>
      </c>
      <c r="AJ129" s="22">
        <v>119</v>
      </c>
      <c r="AK129" s="22">
        <v>0.49890099999999998</v>
      </c>
      <c r="AL129">
        <f t="shared" si="18"/>
        <v>17.599499999999999</v>
      </c>
      <c r="AM129">
        <f t="shared" si="19"/>
        <v>8.7868671659999986</v>
      </c>
      <c r="AP129" s="9"/>
      <c r="AQ129" s="22">
        <v>1.2007099999999999</v>
      </c>
      <c r="AR129" s="22">
        <v>421.83600000000001</v>
      </c>
      <c r="AS129" s="22">
        <v>-1.7938200000000001E-2</v>
      </c>
      <c r="AT129" s="22">
        <v>119</v>
      </c>
      <c r="AU129" s="22">
        <v>1.2002600000000001</v>
      </c>
      <c r="AV129">
        <f t="shared" si="20"/>
        <v>17.938200000000002</v>
      </c>
      <c r="AW129">
        <f t="shared" si="21"/>
        <v>21.538576122000002</v>
      </c>
      <c r="AX129" s="9"/>
      <c r="AY129" s="22">
        <v>0.49926799999999999</v>
      </c>
      <c r="AZ129" s="22">
        <v>495.24900000000002</v>
      </c>
      <c r="BA129" s="22">
        <v>-1.80634E-2</v>
      </c>
      <c r="BB129" s="22">
        <v>119</v>
      </c>
      <c r="BC129" s="22">
        <v>0.498108</v>
      </c>
      <c r="BD129">
        <f t="shared" si="22"/>
        <v>18.063400000000001</v>
      </c>
      <c r="BE129">
        <f t="shared" si="23"/>
        <v>9.0184775911999999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60.439700000000002</v>
      </c>
      <c r="I130" s="22">
        <v>-1.51398E-2</v>
      </c>
      <c r="J130" s="22">
        <v>120</v>
      </c>
      <c r="K130" s="22">
        <v>1.1938500000000001</v>
      </c>
      <c r="L130">
        <f t="shared" si="12"/>
        <v>15.139799999999999</v>
      </c>
      <c r="M130">
        <f t="shared" si="13"/>
        <v>18.102356063999999</v>
      </c>
      <c r="N130" s="9"/>
      <c r="O130" s="22">
        <v>0.50430299999999995</v>
      </c>
      <c r="P130" s="22">
        <v>175.78200000000001</v>
      </c>
      <c r="Q130" s="22">
        <v>-1.5539600000000001E-2</v>
      </c>
      <c r="R130" s="22">
        <v>120</v>
      </c>
      <c r="S130" s="22">
        <v>0.50381500000000001</v>
      </c>
      <c r="T130">
        <f t="shared" si="14"/>
        <v>15.5396</v>
      </c>
      <c r="U130">
        <f t="shared" si="15"/>
        <v>7.836666898799999</v>
      </c>
      <c r="X130" s="9"/>
      <c r="Y130" s="22">
        <v>1.1956800000000001</v>
      </c>
      <c r="Z130" s="22">
        <v>273.99799999999999</v>
      </c>
      <c r="AA130" s="22">
        <v>-1.74225E-2</v>
      </c>
      <c r="AB130" s="22">
        <v>120</v>
      </c>
      <c r="AC130" s="22">
        <v>1.1950700000000001</v>
      </c>
      <c r="AD130">
        <f t="shared" si="16"/>
        <v>17.422499999999999</v>
      </c>
      <c r="AE130">
        <f t="shared" si="17"/>
        <v>20.8317348</v>
      </c>
      <c r="AF130" s="9"/>
      <c r="AG130" s="22">
        <v>0.50430299999999995</v>
      </c>
      <c r="AH130" s="22">
        <v>349.73399999999998</v>
      </c>
      <c r="AI130" s="22">
        <v>-1.7605599999999999E-2</v>
      </c>
      <c r="AJ130" s="22">
        <v>120</v>
      </c>
      <c r="AK130" s="22">
        <v>0.50387599999999999</v>
      </c>
      <c r="AL130">
        <f t="shared" si="18"/>
        <v>17.605599999999999</v>
      </c>
      <c r="AM130">
        <f t="shared" si="19"/>
        <v>8.8785568967999993</v>
      </c>
      <c r="AP130" s="9"/>
      <c r="AQ130" s="22">
        <v>1.1956800000000001</v>
      </c>
      <c r="AR130" s="22">
        <v>421.93700000000001</v>
      </c>
      <c r="AS130" s="22">
        <v>-1.79413E-2</v>
      </c>
      <c r="AT130" s="22">
        <v>120</v>
      </c>
      <c r="AU130" s="22">
        <v>1.1944600000000001</v>
      </c>
      <c r="AV130">
        <f t="shared" si="20"/>
        <v>17.941300000000002</v>
      </c>
      <c r="AW130">
        <f t="shared" si="21"/>
        <v>21.452053584000005</v>
      </c>
      <c r="AX130" s="9"/>
      <c r="AY130" s="22">
        <v>0.50430299999999995</v>
      </c>
      <c r="AZ130" s="22">
        <v>495.35</v>
      </c>
      <c r="BA130" s="22">
        <v>-1.80511E-2</v>
      </c>
      <c r="BB130" s="22">
        <v>120</v>
      </c>
      <c r="BC130" s="22">
        <v>0.50366200000000005</v>
      </c>
      <c r="BD130">
        <f t="shared" si="22"/>
        <v>18.051100000000002</v>
      </c>
      <c r="BE130">
        <f t="shared" si="23"/>
        <v>9.1032238833000001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60.540399999999998</v>
      </c>
      <c r="I131" s="22">
        <v>-1.51428E-2</v>
      </c>
      <c r="J131" s="22">
        <v>121</v>
      </c>
      <c r="K131" s="22">
        <v>1.18927</v>
      </c>
      <c r="L131">
        <f t="shared" si="12"/>
        <v>15.142799999999999</v>
      </c>
      <c r="M131">
        <f t="shared" si="13"/>
        <v>18.029623391999998</v>
      </c>
      <c r="N131" s="9"/>
      <c r="O131" s="22">
        <v>0.50933799999999996</v>
      </c>
      <c r="P131" s="22">
        <v>175.88200000000001</v>
      </c>
      <c r="Q131" s="22">
        <v>-1.5527300000000001E-2</v>
      </c>
      <c r="R131" s="22">
        <v>121</v>
      </c>
      <c r="S131" s="22">
        <v>0.50882000000000005</v>
      </c>
      <c r="T131">
        <f t="shared" si="14"/>
        <v>15.5273</v>
      </c>
      <c r="U131">
        <f t="shared" si="15"/>
        <v>7.9086439273999991</v>
      </c>
      <c r="X131" s="9"/>
      <c r="Y131" s="22">
        <v>1.1906399999999999</v>
      </c>
      <c r="Z131" s="22">
        <v>274.09899999999999</v>
      </c>
      <c r="AA131" s="22">
        <v>-1.74255E-2</v>
      </c>
      <c r="AB131" s="22">
        <v>121</v>
      </c>
      <c r="AC131" s="22">
        <v>1.18927</v>
      </c>
      <c r="AD131">
        <f t="shared" si="16"/>
        <v>17.4255</v>
      </c>
      <c r="AE131">
        <f t="shared" si="17"/>
        <v>20.747497319999997</v>
      </c>
      <c r="AF131" s="9"/>
      <c r="AG131" s="22">
        <v>0.50933799999999996</v>
      </c>
      <c r="AH131" s="22">
        <v>349.834</v>
      </c>
      <c r="AI131" s="22">
        <v>-1.75873E-2</v>
      </c>
      <c r="AJ131" s="22">
        <v>121</v>
      </c>
      <c r="AK131" s="22">
        <v>0.50875899999999996</v>
      </c>
      <c r="AL131">
        <f t="shared" si="18"/>
        <v>17.587299999999999</v>
      </c>
      <c r="AM131">
        <f t="shared" si="19"/>
        <v>8.9578802073999988</v>
      </c>
      <c r="AP131" s="9"/>
      <c r="AQ131" s="22">
        <v>1.1906399999999999</v>
      </c>
      <c r="AR131" s="22">
        <v>422.03699999999998</v>
      </c>
      <c r="AS131" s="22">
        <v>-1.79413E-2</v>
      </c>
      <c r="AT131" s="22">
        <v>121</v>
      </c>
      <c r="AU131" s="22">
        <v>1.1895800000000001</v>
      </c>
      <c r="AV131">
        <f t="shared" si="20"/>
        <v>17.941300000000002</v>
      </c>
      <c r="AW131">
        <f t="shared" si="21"/>
        <v>21.361629432000001</v>
      </c>
      <c r="AX131" s="9"/>
      <c r="AY131" s="22">
        <v>0.50933799999999996</v>
      </c>
      <c r="AZ131" s="22">
        <v>495.45100000000002</v>
      </c>
      <c r="BA131" s="22">
        <v>-1.8057299999999998E-2</v>
      </c>
      <c r="BB131" s="22">
        <v>121</v>
      </c>
      <c r="BC131" s="22">
        <v>0.50866699999999998</v>
      </c>
      <c r="BD131">
        <f t="shared" si="22"/>
        <v>18.057299999999998</v>
      </c>
      <c r="BE131">
        <f t="shared" si="23"/>
        <v>9.1972690673999988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60.641100000000002</v>
      </c>
      <c r="I132" s="22">
        <v>-1.51398E-2</v>
      </c>
      <c r="J132" s="22">
        <v>122</v>
      </c>
      <c r="K132" s="22">
        <v>1.18469</v>
      </c>
      <c r="L132">
        <f t="shared" si="12"/>
        <v>15.139799999999999</v>
      </c>
      <c r="M132">
        <f t="shared" si="13"/>
        <v>17.949898277999999</v>
      </c>
      <c r="N132" s="9"/>
      <c r="O132" s="22">
        <v>0.514374</v>
      </c>
      <c r="P132" s="22">
        <v>175.983</v>
      </c>
      <c r="Q132" s="22">
        <v>-1.55029E-2</v>
      </c>
      <c r="R132" s="22">
        <v>122</v>
      </c>
      <c r="S132" s="22">
        <v>0.51388500000000004</v>
      </c>
      <c r="T132">
        <f t="shared" si="14"/>
        <v>15.5029</v>
      </c>
      <c r="U132">
        <f t="shared" si="15"/>
        <v>7.9742886846000003</v>
      </c>
      <c r="X132" s="9"/>
      <c r="Y132" s="22">
        <v>1.1856100000000001</v>
      </c>
      <c r="Z132" s="22">
        <v>274.2</v>
      </c>
      <c r="AA132" s="22">
        <v>-1.7434700000000001E-2</v>
      </c>
      <c r="AB132" s="22">
        <v>122</v>
      </c>
      <c r="AC132" s="22">
        <v>1.1853</v>
      </c>
      <c r="AD132">
        <f t="shared" si="16"/>
        <v>17.434699999999999</v>
      </c>
      <c r="AE132">
        <f t="shared" si="17"/>
        <v>20.670754667000001</v>
      </c>
      <c r="AF132" s="9"/>
      <c r="AG132" s="22">
        <v>0.514374</v>
      </c>
      <c r="AH132" s="22">
        <v>349.935</v>
      </c>
      <c r="AI132" s="22">
        <v>-1.75873E-2</v>
      </c>
      <c r="AJ132" s="22">
        <v>122</v>
      </c>
      <c r="AK132" s="22">
        <v>0.51382399999999995</v>
      </c>
      <c r="AL132">
        <f t="shared" si="18"/>
        <v>17.587299999999999</v>
      </c>
      <c r="AM132">
        <f t="shared" si="19"/>
        <v>9.0464498502000001</v>
      </c>
      <c r="AP132" s="9"/>
      <c r="AQ132" s="22">
        <v>1.1856100000000001</v>
      </c>
      <c r="AR132" s="22">
        <v>422.13799999999998</v>
      </c>
      <c r="AS132" s="22">
        <v>-1.7947399999999999E-2</v>
      </c>
      <c r="AT132" s="22">
        <v>122</v>
      </c>
      <c r="AU132" s="22">
        <v>1.18347</v>
      </c>
      <c r="AV132">
        <f t="shared" si="20"/>
        <v>17.947399999999998</v>
      </c>
      <c r="AW132">
        <f t="shared" si="21"/>
        <v>21.278616914000001</v>
      </c>
      <c r="AX132" s="9"/>
      <c r="AY132" s="22">
        <v>0.514374</v>
      </c>
      <c r="AZ132" s="22">
        <v>495.55099999999999</v>
      </c>
      <c r="BA132" s="22">
        <v>-1.80511E-2</v>
      </c>
      <c r="BB132" s="22">
        <v>122</v>
      </c>
      <c r="BC132" s="22">
        <v>0.51361100000000004</v>
      </c>
      <c r="BD132">
        <f t="shared" si="22"/>
        <v>18.051100000000002</v>
      </c>
      <c r="BE132">
        <f t="shared" si="23"/>
        <v>9.2850165114000003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60.741799999999998</v>
      </c>
      <c r="I133" s="22">
        <v>-1.5155E-2</v>
      </c>
      <c r="J133" s="22">
        <v>123</v>
      </c>
      <c r="K133" s="22">
        <v>1.18011</v>
      </c>
      <c r="L133">
        <f t="shared" si="12"/>
        <v>15.154999999999999</v>
      </c>
      <c r="M133">
        <f t="shared" si="13"/>
        <v>17.891538349999998</v>
      </c>
      <c r="N133" s="9"/>
      <c r="O133" s="22">
        <v>0.51940900000000001</v>
      </c>
      <c r="P133" s="22">
        <v>176.084</v>
      </c>
      <c r="Q133" s="22">
        <v>-1.55029E-2</v>
      </c>
      <c r="R133" s="22">
        <v>123</v>
      </c>
      <c r="S133" s="22">
        <v>0.51888999999999996</v>
      </c>
      <c r="T133">
        <f t="shared" si="14"/>
        <v>15.5029</v>
      </c>
      <c r="U133">
        <f t="shared" si="15"/>
        <v>8.0523457861000001</v>
      </c>
      <c r="X133" s="9"/>
      <c r="Y133" s="22">
        <v>1.1805699999999999</v>
      </c>
      <c r="Z133" s="22">
        <v>274.3</v>
      </c>
      <c r="AA133" s="22">
        <v>-1.7428599999999999E-2</v>
      </c>
      <c r="AB133" s="22">
        <v>123</v>
      </c>
      <c r="AC133" s="22">
        <v>1.17981</v>
      </c>
      <c r="AD133">
        <f t="shared" si="16"/>
        <v>17.428599999999999</v>
      </c>
      <c r="AE133">
        <f t="shared" si="17"/>
        <v>20.575682301999997</v>
      </c>
      <c r="AF133" s="9"/>
      <c r="AG133" s="22">
        <v>0.51940900000000001</v>
      </c>
      <c r="AH133" s="22">
        <v>350.036</v>
      </c>
      <c r="AI133" s="22">
        <v>-1.75903E-2</v>
      </c>
      <c r="AJ133" s="22">
        <v>123</v>
      </c>
      <c r="AK133" s="22">
        <v>0.51910400000000001</v>
      </c>
      <c r="AL133">
        <f t="shared" si="18"/>
        <v>17.590299999999999</v>
      </c>
      <c r="AM133">
        <f t="shared" si="19"/>
        <v>9.1365601326999997</v>
      </c>
      <c r="AP133" s="9"/>
      <c r="AQ133" s="22">
        <v>1.1805699999999999</v>
      </c>
      <c r="AR133" s="22">
        <v>422.23899999999998</v>
      </c>
      <c r="AS133" s="22">
        <v>-1.79413E-2</v>
      </c>
      <c r="AT133" s="22">
        <v>123</v>
      </c>
      <c r="AU133" s="22">
        <v>1.1795</v>
      </c>
      <c r="AV133">
        <f t="shared" si="20"/>
        <v>17.941300000000002</v>
      </c>
      <c r="AW133">
        <f t="shared" si="21"/>
        <v>21.180960541000001</v>
      </c>
      <c r="AX133" s="9"/>
      <c r="AY133" s="22">
        <v>0.51940900000000001</v>
      </c>
      <c r="AZ133" s="22">
        <v>495.65199999999999</v>
      </c>
      <c r="BA133" s="22">
        <v>-1.80511E-2</v>
      </c>
      <c r="BB133" s="22">
        <v>123</v>
      </c>
      <c r="BC133" s="22">
        <v>0.51867700000000005</v>
      </c>
      <c r="BD133">
        <f t="shared" si="22"/>
        <v>18.051100000000002</v>
      </c>
      <c r="BE133">
        <f t="shared" si="23"/>
        <v>9.3759037999000014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60.842500000000001</v>
      </c>
      <c r="I134" s="22">
        <v>-1.51611E-2</v>
      </c>
      <c r="J134" s="22">
        <v>124</v>
      </c>
      <c r="K134" s="22">
        <v>1.17493</v>
      </c>
      <c r="L134">
        <f t="shared" si="12"/>
        <v>15.161100000000001</v>
      </c>
      <c r="M134">
        <f t="shared" si="13"/>
        <v>17.822479494000003</v>
      </c>
      <c r="N134" s="9"/>
      <c r="O134" s="22">
        <v>0.52444500000000005</v>
      </c>
      <c r="P134" s="22">
        <v>176.185</v>
      </c>
      <c r="Q134" s="22">
        <v>-1.55029E-2</v>
      </c>
      <c r="R134" s="22">
        <v>124</v>
      </c>
      <c r="S134" s="22">
        <v>0.523926</v>
      </c>
      <c r="T134">
        <f t="shared" si="14"/>
        <v>15.5029</v>
      </c>
      <c r="U134">
        <f t="shared" si="15"/>
        <v>8.1304183905000009</v>
      </c>
      <c r="X134" s="9"/>
      <c r="Y134" s="22">
        <v>1.17554</v>
      </c>
      <c r="Z134" s="22">
        <v>274.40100000000001</v>
      </c>
      <c r="AA134" s="22">
        <v>-1.7428599999999999E-2</v>
      </c>
      <c r="AB134" s="22">
        <v>124</v>
      </c>
      <c r="AC134" s="22">
        <v>1.17432</v>
      </c>
      <c r="AD134">
        <f t="shared" si="16"/>
        <v>17.428599999999999</v>
      </c>
      <c r="AE134">
        <f t="shared" si="17"/>
        <v>20.488016443999999</v>
      </c>
      <c r="AF134" s="9"/>
      <c r="AG134" s="22">
        <v>0.52444500000000005</v>
      </c>
      <c r="AH134" s="22">
        <v>350.13600000000002</v>
      </c>
      <c r="AI134" s="22">
        <v>-1.7584200000000001E-2</v>
      </c>
      <c r="AJ134" s="22">
        <v>124</v>
      </c>
      <c r="AK134" s="22">
        <v>0.52352900000000002</v>
      </c>
      <c r="AL134">
        <f t="shared" si="18"/>
        <v>17.584200000000003</v>
      </c>
      <c r="AM134">
        <f t="shared" si="19"/>
        <v>9.2219457690000031</v>
      </c>
      <c r="AP134" s="9"/>
      <c r="AQ134" s="22">
        <v>1.17554</v>
      </c>
      <c r="AR134" s="22">
        <v>422.34</v>
      </c>
      <c r="AS134" s="22">
        <v>-1.7950399999999998E-2</v>
      </c>
      <c r="AT134" s="22">
        <v>124</v>
      </c>
      <c r="AU134" s="22">
        <v>1.17462</v>
      </c>
      <c r="AV134">
        <f t="shared" si="20"/>
        <v>17.950399999999998</v>
      </c>
      <c r="AW134">
        <f t="shared" si="21"/>
        <v>21.101413215999997</v>
      </c>
      <c r="AX134" s="9"/>
      <c r="AY134" s="22">
        <v>0.52444500000000005</v>
      </c>
      <c r="AZ134" s="22">
        <v>495.75299999999999</v>
      </c>
      <c r="BA134" s="22">
        <v>-1.80511E-2</v>
      </c>
      <c r="BB134" s="22">
        <v>124</v>
      </c>
      <c r="BC134" s="22">
        <v>0.52407800000000004</v>
      </c>
      <c r="BD134">
        <f t="shared" si="22"/>
        <v>18.051100000000002</v>
      </c>
      <c r="BE134">
        <f t="shared" si="23"/>
        <v>9.4668091395000022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60.943300000000001</v>
      </c>
      <c r="I135" s="22">
        <v>-1.5173300000000001E-2</v>
      </c>
      <c r="J135" s="22">
        <v>125</v>
      </c>
      <c r="K135" s="22">
        <v>1.16974</v>
      </c>
      <c r="L135">
        <f t="shared" si="12"/>
        <v>15.173300000000001</v>
      </c>
      <c r="M135">
        <f t="shared" si="13"/>
        <v>17.760347650000003</v>
      </c>
      <c r="N135" s="9"/>
      <c r="O135" s="22">
        <v>0.52947999999999995</v>
      </c>
      <c r="P135" s="22">
        <v>176.285</v>
      </c>
      <c r="Q135" s="22">
        <v>-1.54877E-2</v>
      </c>
      <c r="R135" s="22">
        <v>125</v>
      </c>
      <c r="S135" s="22">
        <v>0.52896100000000001</v>
      </c>
      <c r="T135">
        <f t="shared" si="14"/>
        <v>15.4877</v>
      </c>
      <c r="U135">
        <f t="shared" si="15"/>
        <v>8.2004273959999985</v>
      </c>
      <c r="X135" s="9"/>
      <c r="Y135" s="22">
        <v>1.1705000000000001</v>
      </c>
      <c r="Z135" s="22">
        <v>274.50200000000001</v>
      </c>
      <c r="AA135" s="22">
        <v>-1.7434700000000001E-2</v>
      </c>
      <c r="AB135" s="22">
        <v>125</v>
      </c>
      <c r="AC135" s="22">
        <v>1.16943</v>
      </c>
      <c r="AD135">
        <f t="shared" si="16"/>
        <v>17.434699999999999</v>
      </c>
      <c r="AE135">
        <f t="shared" si="17"/>
        <v>20.407316350000002</v>
      </c>
      <c r="AF135" s="9"/>
      <c r="AG135" s="22">
        <v>0.52947999999999995</v>
      </c>
      <c r="AH135" s="22">
        <v>350.23700000000002</v>
      </c>
      <c r="AI135" s="22">
        <v>-1.7581200000000002E-2</v>
      </c>
      <c r="AJ135" s="22">
        <v>125</v>
      </c>
      <c r="AK135" s="22">
        <v>0.52926600000000001</v>
      </c>
      <c r="AL135">
        <f t="shared" si="18"/>
        <v>17.581200000000003</v>
      </c>
      <c r="AM135">
        <f t="shared" si="19"/>
        <v>9.3088937759999997</v>
      </c>
      <c r="AP135" s="9"/>
      <c r="AQ135" s="22">
        <v>1.1705000000000001</v>
      </c>
      <c r="AR135" s="22">
        <v>422.44</v>
      </c>
      <c r="AS135" s="22">
        <v>-1.7953500000000001E-2</v>
      </c>
      <c r="AT135" s="22">
        <v>125</v>
      </c>
      <c r="AU135" s="22">
        <v>1.16974</v>
      </c>
      <c r="AV135">
        <f t="shared" si="20"/>
        <v>17.953500000000002</v>
      </c>
      <c r="AW135">
        <f t="shared" si="21"/>
        <v>21.014571750000005</v>
      </c>
      <c r="AX135" s="9"/>
      <c r="AY135" s="22">
        <v>0.52947999999999995</v>
      </c>
      <c r="AZ135" s="22">
        <v>495.85300000000001</v>
      </c>
      <c r="BA135" s="22">
        <v>-1.8048100000000001E-2</v>
      </c>
      <c r="BB135" s="22">
        <v>125</v>
      </c>
      <c r="BC135" s="22">
        <v>0.52883899999999995</v>
      </c>
      <c r="BD135">
        <f t="shared" si="22"/>
        <v>18.048100000000002</v>
      </c>
      <c r="BE135">
        <f t="shared" si="23"/>
        <v>9.5561079880000008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61.043999999999997</v>
      </c>
      <c r="I136" s="22">
        <v>-1.5191700000000001E-2</v>
      </c>
      <c r="J136" s="22">
        <v>126</v>
      </c>
      <c r="K136" s="22">
        <v>1.16425</v>
      </c>
      <c r="L136">
        <f t="shared" si="12"/>
        <v>15.191700000000001</v>
      </c>
      <c r="M136">
        <f t="shared" si="13"/>
        <v>17.705470599000002</v>
      </c>
      <c r="N136" s="9"/>
      <c r="O136" s="22">
        <v>0.53451499999999996</v>
      </c>
      <c r="P136" s="22">
        <v>176.386</v>
      </c>
      <c r="Q136" s="22">
        <v>-1.54938E-2</v>
      </c>
      <c r="R136" s="22">
        <v>126</v>
      </c>
      <c r="S136" s="22">
        <v>0.53390499999999996</v>
      </c>
      <c r="T136">
        <f t="shared" si="14"/>
        <v>15.4938</v>
      </c>
      <c r="U136">
        <f t="shared" si="15"/>
        <v>8.2816685069999991</v>
      </c>
      <c r="X136" s="9"/>
      <c r="Y136" s="22">
        <v>1.16547</v>
      </c>
      <c r="Z136" s="22">
        <v>274.60300000000001</v>
      </c>
      <c r="AA136" s="22">
        <v>-1.74377E-2</v>
      </c>
      <c r="AB136" s="22">
        <v>126</v>
      </c>
      <c r="AC136" s="22">
        <v>1.16455</v>
      </c>
      <c r="AD136">
        <f t="shared" si="16"/>
        <v>17.4377</v>
      </c>
      <c r="AE136">
        <f t="shared" si="17"/>
        <v>20.323116218999999</v>
      </c>
      <c r="AF136" s="9"/>
      <c r="AG136" s="22">
        <v>0.53451499999999996</v>
      </c>
      <c r="AH136" s="22">
        <v>350.33800000000002</v>
      </c>
      <c r="AI136" s="22">
        <v>-1.75873E-2</v>
      </c>
      <c r="AJ136" s="22">
        <v>126</v>
      </c>
      <c r="AK136" s="22">
        <v>0.53393599999999997</v>
      </c>
      <c r="AL136">
        <f t="shared" si="18"/>
        <v>17.587299999999999</v>
      </c>
      <c r="AM136">
        <f t="shared" si="19"/>
        <v>9.4006756594999992</v>
      </c>
      <c r="AP136" s="9"/>
      <c r="AQ136" s="22">
        <v>1.16547</v>
      </c>
      <c r="AR136" s="22">
        <v>422.541</v>
      </c>
      <c r="AS136" s="22">
        <v>-1.7947399999999999E-2</v>
      </c>
      <c r="AT136" s="22">
        <v>126</v>
      </c>
      <c r="AU136" s="22">
        <v>1.16425</v>
      </c>
      <c r="AV136">
        <f t="shared" si="20"/>
        <v>17.947399999999998</v>
      </c>
      <c r="AW136">
        <f t="shared" si="21"/>
        <v>20.917156277999997</v>
      </c>
      <c r="AX136" s="9"/>
      <c r="AY136" s="22">
        <v>0.53451499999999996</v>
      </c>
      <c r="AZ136" s="22">
        <v>495.95400000000001</v>
      </c>
      <c r="BA136" s="22">
        <v>-1.8054199999999999E-2</v>
      </c>
      <c r="BB136" s="22">
        <v>126</v>
      </c>
      <c r="BC136" s="22">
        <v>0.53417999999999999</v>
      </c>
      <c r="BD136">
        <f t="shared" si="22"/>
        <v>18.054199999999998</v>
      </c>
      <c r="BE136">
        <f t="shared" si="23"/>
        <v>9.6502407129999987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61.1447</v>
      </c>
      <c r="I137" s="22">
        <v>-1.5191700000000001E-2</v>
      </c>
      <c r="J137" s="22">
        <v>127</v>
      </c>
      <c r="K137" s="22">
        <v>1.15967</v>
      </c>
      <c r="L137">
        <f t="shared" si="12"/>
        <v>15.191700000000001</v>
      </c>
      <c r="M137">
        <f t="shared" si="13"/>
        <v>17.628904431000002</v>
      </c>
      <c r="N137" s="9"/>
      <c r="O137" s="22">
        <v>0.539551</v>
      </c>
      <c r="P137" s="22">
        <v>176.48699999999999</v>
      </c>
      <c r="Q137" s="22">
        <v>-1.5484599999999999E-2</v>
      </c>
      <c r="R137" s="22">
        <v>127</v>
      </c>
      <c r="S137" s="22">
        <v>0.53903199999999996</v>
      </c>
      <c r="T137">
        <f t="shared" si="14"/>
        <v>15.484599999999999</v>
      </c>
      <c r="U137">
        <f t="shared" si="15"/>
        <v>8.3547314145999998</v>
      </c>
      <c r="X137" s="9"/>
      <c r="Y137" s="22">
        <v>1.1604300000000001</v>
      </c>
      <c r="Z137" s="22">
        <v>274.70299999999997</v>
      </c>
      <c r="AA137" s="22">
        <v>-1.745E-2</v>
      </c>
      <c r="AB137" s="22">
        <v>127</v>
      </c>
      <c r="AC137" s="22">
        <v>1.15967</v>
      </c>
      <c r="AD137">
        <f t="shared" si="16"/>
        <v>17.45</v>
      </c>
      <c r="AE137">
        <f t="shared" si="17"/>
        <v>20.249503499999999</v>
      </c>
      <c r="AF137" s="9"/>
      <c r="AG137" s="22">
        <v>0.539551</v>
      </c>
      <c r="AH137" s="22">
        <v>350.43900000000002</v>
      </c>
      <c r="AI137" s="22">
        <v>-1.75873E-2</v>
      </c>
      <c r="AJ137" s="22">
        <v>127</v>
      </c>
      <c r="AK137" s="22">
        <v>0.53875700000000004</v>
      </c>
      <c r="AL137">
        <f t="shared" si="18"/>
        <v>17.587299999999999</v>
      </c>
      <c r="AM137">
        <f t="shared" si="19"/>
        <v>9.4892453022999987</v>
      </c>
      <c r="AP137" s="9"/>
      <c r="AQ137" s="22">
        <v>1.1604300000000001</v>
      </c>
      <c r="AR137" s="22">
        <v>422.642</v>
      </c>
      <c r="AS137" s="22">
        <v>-1.7947399999999999E-2</v>
      </c>
      <c r="AT137" s="22">
        <v>127</v>
      </c>
      <c r="AU137" s="22">
        <v>1.15967</v>
      </c>
      <c r="AV137">
        <f t="shared" si="20"/>
        <v>17.947399999999998</v>
      </c>
      <c r="AW137">
        <f t="shared" si="21"/>
        <v>20.826701382</v>
      </c>
      <c r="AX137" s="9"/>
      <c r="AY137" s="22">
        <v>0.539551</v>
      </c>
      <c r="AZ137" s="22">
        <v>496.05500000000001</v>
      </c>
      <c r="BA137" s="22">
        <v>-1.8044999999999999E-2</v>
      </c>
      <c r="BB137" s="22">
        <v>127</v>
      </c>
      <c r="BC137" s="22">
        <v>0.53881800000000002</v>
      </c>
      <c r="BD137">
        <f t="shared" si="22"/>
        <v>18.044999999999998</v>
      </c>
      <c r="BE137">
        <f t="shared" si="23"/>
        <v>9.7361977949999989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61.245399999999997</v>
      </c>
      <c r="I138" s="22">
        <v>-1.5197799999999999E-2</v>
      </c>
      <c r="J138" s="22">
        <v>128</v>
      </c>
      <c r="K138" s="22">
        <v>1.1541699999999999</v>
      </c>
      <c r="L138">
        <f t="shared" si="12"/>
        <v>15.197799999999999</v>
      </c>
      <c r="M138">
        <f t="shared" si="13"/>
        <v>17.559538119999999</v>
      </c>
      <c r="N138" s="9"/>
      <c r="O138" s="22">
        <v>0.54458600000000001</v>
      </c>
      <c r="P138" s="22">
        <v>176.58699999999999</v>
      </c>
      <c r="Q138" s="22">
        <v>-1.54755E-2</v>
      </c>
      <c r="R138" s="22">
        <v>128</v>
      </c>
      <c r="S138" s="22">
        <v>0.54400599999999999</v>
      </c>
      <c r="T138">
        <f t="shared" si="14"/>
        <v>15.4755</v>
      </c>
      <c r="U138">
        <f t="shared" si="15"/>
        <v>8.4277406429999999</v>
      </c>
      <c r="X138" s="9"/>
      <c r="Y138" s="22">
        <v>1.1554</v>
      </c>
      <c r="Z138" s="22">
        <v>274.80399999999997</v>
      </c>
      <c r="AA138" s="22">
        <v>-1.7456099999999999E-2</v>
      </c>
      <c r="AB138" s="22">
        <v>128</v>
      </c>
      <c r="AC138" s="22">
        <v>1.15479</v>
      </c>
      <c r="AD138">
        <f t="shared" si="16"/>
        <v>17.456099999999999</v>
      </c>
      <c r="AE138">
        <f t="shared" si="17"/>
        <v>20.168777939999998</v>
      </c>
      <c r="AF138" s="9"/>
      <c r="AG138" s="22">
        <v>0.54458600000000001</v>
      </c>
      <c r="AH138" s="22">
        <v>350.53899999999999</v>
      </c>
      <c r="AI138" s="22">
        <v>-1.7578099999999999E-2</v>
      </c>
      <c r="AJ138" s="22">
        <v>128</v>
      </c>
      <c r="AK138" s="22">
        <v>0.54412799999999995</v>
      </c>
      <c r="AL138">
        <f t="shared" si="18"/>
        <v>17.578099999999999</v>
      </c>
      <c r="AM138">
        <f t="shared" si="19"/>
        <v>9.5727871665999995</v>
      </c>
      <c r="AP138" s="9"/>
      <c r="AQ138" s="22">
        <v>1.1554</v>
      </c>
      <c r="AR138" s="22">
        <v>422.74200000000002</v>
      </c>
      <c r="AS138" s="22">
        <v>-1.7953500000000001E-2</v>
      </c>
      <c r="AT138" s="22">
        <v>128</v>
      </c>
      <c r="AU138" s="22">
        <v>1.15448</v>
      </c>
      <c r="AV138">
        <f t="shared" si="20"/>
        <v>17.953500000000002</v>
      </c>
      <c r="AW138">
        <f t="shared" si="21"/>
        <v>20.743473900000001</v>
      </c>
      <c r="AX138" s="9"/>
      <c r="AY138" s="22">
        <v>0.54458600000000001</v>
      </c>
      <c r="AZ138" s="22">
        <v>496.15600000000001</v>
      </c>
      <c r="BA138" s="22">
        <v>-1.8044999999999999E-2</v>
      </c>
      <c r="BB138" s="22">
        <v>128</v>
      </c>
      <c r="BC138" s="22">
        <v>0.54385399999999995</v>
      </c>
      <c r="BD138">
        <f t="shared" si="22"/>
        <v>18.044999999999998</v>
      </c>
      <c r="BE138">
        <f t="shared" si="23"/>
        <v>9.827054369999999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61.3461</v>
      </c>
      <c r="I139" s="22">
        <v>-1.52222E-2</v>
      </c>
      <c r="J139" s="22">
        <v>129</v>
      </c>
      <c r="K139" s="22">
        <v>1.1496</v>
      </c>
      <c r="L139">
        <f t="shared" si="12"/>
        <v>15.222200000000001</v>
      </c>
      <c r="M139">
        <f t="shared" si="13"/>
        <v>17.511009992000002</v>
      </c>
      <c r="N139" s="9"/>
      <c r="O139" s="22">
        <v>0.54962200000000005</v>
      </c>
      <c r="P139" s="22">
        <v>176.68799999999999</v>
      </c>
      <c r="Q139" s="22">
        <v>-1.5463299999999999E-2</v>
      </c>
      <c r="R139" s="22">
        <v>129</v>
      </c>
      <c r="S139" s="22">
        <v>0.54910300000000001</v>
      </c>
      <c r="T139">
        <f t="shared" si="14"/>
        <v>15.463299999999998</v>
      </c>
      <c r="U139">
        <f t="shared" si="15"/>
        <v>8.4989698726</v>
      </c>
      <c r="X139" s="9"/>
      <c r="Y139" s="22">
        <v>1.15036</v>
      </c>
      <c r="Z139" s="22">
        <v>274.90499999999997</v>
      </c>
      <c r="AA139" s="22">
        <v>-1.74377E-2</v>
      </c>
      <c r="AB139" s="22">
        <v>129</v>
      </c>
      <c r="AC139" s="22">
        <v>1.14899</v>
      </c>
      <c r="AD139">
        <f t="shared" si="16"/>
        <v>17.4377</v>
      </c>
      <c r="AE139">
        <f t="shared" si="17"/>
        <v>20.059632572000002</v>
      </c>
      <c r="AF139" s="9"/>
      <c r="AG139" s="22">
        <v>0.54962200000000005</v>
      </c>
      <c r="AH139" s="22">
        <v>350.64</v>
      </c>
      <c r="AI139" s="22">
        <v>-1.75751E-2</v>
      </c>
      <c r="AJ139" s="22">
        <v>129</v>
      </c>
      <c r="AK139" s="22">
        <v>0.54861499999999996</v>
      </c>
      <c r="AL139">
        <f t="shared" si="18"/>
        <v>17.575099999999999</v>
      </c>
      <c r="AM139">
        <f t="shared" si="19"/>
        <v>9.6596616122000007</v>
      </c>
      <c r="AP139" s="9"/>
      <c r="AQ139" s="22">
        <v>1.15036</v>
      </c>
      <c r="AR139" s="22">
        <v>422.84300000000002</v>
      </c>
      <c r="AS139" s="22">
        <v>-1.79565E-2</v>
      </c>
      <c r="AT139" s="22">
        <v>129</v>
      </c>
      <c r="AU139" s="22">
        <v>1.14899</v>
      </c>
      <c r="AV139">
        <f t="shared" si="20"/>
        <v>17.956500000000002</v>
      </c>
      <c r="AW139">
        <f t="shared" si="21"/>
        <v>20.656439340000002</v>
      </c>
      <c r="AX139" s="9"/>
      <c r="AY139" s="22">
        <v>0.54962200000000005</v>
      </c>
      <c r="AZ139" s="22">
        <v>496.25599999999997</v>
      </c>
      <c r="BA139" s="22">
        <v>-1.8041999999999999E-2</v>
      </c>
      <c r="BB139" s="22">
        <v>129</v>
      </c>
      <c r="BC139" s="22">
        <v>0.54928600000000005</v>
      </c>
      <c r="BD139">
        <f t="shared" si="22"/>
        <v>18.041999999999998</v>
      </c>
      <c r="BE139">
        <f t="shared" si="23"/>
        <v>9.916280124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61.446800000000003</v>
      </c>
      <c r="I140" s="22">
        <v>-1.52161E-2</v>
      </c>
      <c r="J140" s="22">
        <v>130</v>
      </c>
      <c r="K140" s="22">
        <v>1.1444099999999999</v>
      </c>
      <c r="L140">
        <f t="shared" ref="L140:L203" si="24">-I140/$F$2*1000</f>
        <v>15.216099999999999</v>
      </c>
      <c r="M140">
        <f t="shared" ref="M140:M203" si="25">L140*G140</f>
        <v>17.427303651999999</v>
      </c>
      <c r="N140" s="9"/>
      <c r="O140" s="22">
        <v>0.55465699999999996</v>
      </c>
      <c r="P140" s="22">
        <v>176.78899999999999</v>
      </c>
      <c r="Q140" s="22">
        <v>-1.5450999999999999E-2</v>
      </c>
      <c r="R140" s="22">
        <v>130</v>
      </c>
      <c r="S140" s="22">
        <v>0.554199</v>
      </c>
      <c r="T140">
        <f t="shared" ref="T140:T203" si="26">-Q140/$F$2*1000</f>
        <v>15.450999999999999</v>
      </c>
      <c r="U140">
        <f t="shared" ref="U140:U203" si="27">T140*O140</f>
        <v>8.5700053069999989</v>
      </c>
      <c r="X140" s="9"/>
      <c r="Y140" s="22">
        <v>1.1453199999999999</v>
      </c>
      <c r="Z140" s="22">
        <v>275.005</v>
      </c>
      <c r="AA140" s="22">
        <v>-1.7440799999999999E-2</v>
      </c>
      <c r="AB140" s="22">
        <v>130</v>
      </c>
      <c r="AC140" s="22">
        <v>1.1447099999999999</v>
      </c>
      <c r="AD140">
        <f t="shared" ref="AD140:AD203" si="28">-AA140/$F$2*1000</f>
        <v>17.440799999999999</v>
      </c>
      <c r="AE140">
        <f t="shared" ref="AE140:AE203" si="29">AD140*Y140</f>
        <v>19.975297055999999</v>
      </c>
      <c r="AF140" s="9"/>
      <c r="AG140" s="22">
        <v>0.55465699999999996</v>
      </c>
      <c r="AH140" s="22">
        <v>350.74099999999999</v>
      </c>
      <c r="AI140" s="22">
        <v>-1.7572000000000001E-2</v>
      </c>
      <c r="AJ140" s="22">
        <v>130</v>
      </c>
      <c r="AK140" s="22">
        <v>0.55456499999999997</v>
      </c>
      <c r="AL140">
        <f t="shared" ref="AL140:AL203" si="30">-AI140/$F$2*1000</f>
        <v>17.571999999999999</v>
      </c>
      <c r="AM140">
        <f t="shared" ref="AM140:AM203" si="31">AL140*AG140</f>
        <v>9.7464328039999995</v>
      </c>
      <c r="AP140" s="9"/>
      <c r="AQ140" s="22">
        <v>1.1453199999999999</v>
      </c>
      <c r="AR140" s="22">
        <v>422.94400000000002</v>
      </c>
      <c r="AS140" s="22">
        <v>-1.7959599999999999E-2</v>
      </c>
      <c r="AT140" s="22">
        <v>130</v>
      </c>
      <c r="AU140" s="22">
        <v>1.1444099999999999</v>
      </c>
      <c r="AV140">
        <f t="shared" ref="AV140:AV203" si="32">-AS140/$F$2*1000</f>
        <v>17.959599999999998</v>
      </c>
      <c r="AW140">
        <f t="shared" ref="AW140:AW203" si="33">AV140*AQ140</f>
        <v>20.569489071999996</v>
      </c>
      <c r="AX140" s="9"/>
      <c r="AY140" s="22">
        <v>0.55465699999999996</v>
      </c>
      <c r="AZ140" s="22">
        <v>496.35700000000003</v>
      </c>
      <c r="BA140" s="22">
        <v>-1.80389E-2</v>
      </c>
      <c r="BB140" s="22">
        <v>130</v>
      </c>
      <c r="BC140" s="22">
        <v>0.55383300000000002</v>
      </c>
      <c r="BD140">
        <f t="shared" ref="BD140:BD203" si="34">-BA140/$F$2*1000</f>
        <v>18.038900000000002</v>
      </c>
      <c r="BE140">
        <f t="shared" ref="BE140:BE203" si="35">BD140*AY140</f>
        <v>10.005402157300001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61.547499999999999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176.88900000000001</v>
      </c>
      <c r="Q141" s="22">
        <v>-1.5438800000000001E-2</v>
      </c>
      <c r="R141" s="22">
        <v>131</v>
      </c>
      <c r="S141" s="22">
        <v>0.55917399999999995</v>
      </c>
      <c r="T141">
        <f t="shared" si="26"/>
        <v>15.438800000000001</v>
      </c>
      <c r="U141">
        <f t="shared" si="27"/>
        <v>8.6409728496000007</v>
      </c>
      <c r="X141" s="9"/>
      <c r="Y141" s="22">
        <v>1.14029</v>
      </c>
      <c r="Z141" s="22">
        <v>275.10599999999999</v>
      </c>
      <c r="AA141" s="22">
        <v>-1.7443799999999999E-2</v>
      </c>
      <c r="AB141" s="22">
        <v>131</v>
      </c>
      <c r="AC141" s="22">
        <v>1.1395299999999999</v>
      </c>
      <c r="AD141">
        <f t="shared" si="28"/>
        <v>17.4438</v>
      </c>
      <c r="AE141">
        <f t="shared" si="29"/>
        <v>19.890990702</v>
      </c>
      <c r="AF141" s="9"/>
      <c r="AG141" s="22">
        <v>0.55969199999999997</v>
      </c>
      <c r="AH141" s="22">
        <v>350.84100000000001</v>
      </c>
      <c r="AI141" s="22">
        <v>-1.7572000000000001E-2</v>
      </c>
      <c r="AJ141" s="22">
        <v>131</v>
      </c>
      <c r="AK141" s="22">
        <v>0.55923500000000004</v>
      </c>
      <c r="AL141">
        <f t="shared" si="30"/>
        <v>17.571999999999999</v>
      </c>
      <c r="AM141">
        <f t="shared" si="31"/>
        <v>9.8349078239999983</v>
      </c>
      <c r="AP141" s="9"/>
      <c r="AQ141" s="22">
        <v>1.14029</v>
      </c>
      <c r="AR141" s="22">
        <v>423.04500000000002</v>
      </c>
      <c r="AS141" s="22">
        <v>-1.7962599999999999E-2</v>
      </c>
      <c r="AT141" s="22">
        <v>131</v>
      </c>
      <c r="AU141" s="22">
        <v>1.1392199999999999</v>
      </c>
      <c r="AV141">
        <f t="shared" si="32"/>
        <v>17.962599999999998</v>
      </c>
      <c r="AW141">
        <f t="shared" si="33"/>
        <v>20.482573153999997</v>
      </c>
      <c r="AX141" s="9"/>
      <c r="AY141" s="22">
        <v>0.55969199999999997</v>
      </c>
      <c r="AZ141" s="22">
        <v>496.45800000000003</v>
      </c>
      <c r="BA141" s="22">
        <v>-1.8032800000000002E-2</v>
      </c>
      <c r="BB141" s="22">
        <v>131</v>
      </c>
      <c r="BC141" s="22">
        <v>0.55898999999999999</v>
      </c>
      <c r="BD141">
        <f t="shared" si="34"/>
        <v>18.032800000000002</v>
      </c>
      <c r="BE141">
        <f t="shared" si="35"/>
        <v>10.092813897600001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61.648200000000003</v>
      </c>
      <c r="I142" s="22">
        <v>-1.52161E-2</v>
      </c>
      <c r="J142" s="22">
        <v>132</v>
      </c>
      <c r="K142" s="22">
        <v>1.1343399999999999</v>
      </c>
      <c r="L142">
        <f t="shared" si="24"/>
        <v>15.216099999999999</v>
      </c>
      <c r="M142">
        <f t="shared" si="25"/>
        <v>17.274077524999999</v>
      </c>
      <c r="N142" s="9"/>
      <c r="O142" s="22">
        <v>0.56472800000000001</v>
      </c>
      <c r="P142" s="22">
        <v>176.99</v>
      </c>
      <c r="Q142" s="22">
        <v>-1.54114E-2</v>
      </c>
      <c r="R142" s="22">
        <v>132</v>
      </c>
      <c r="S142" s="22">
        <v>0.56414799999999998</v>
      </c>
      <c r="T142">
        <f t="shared" si="26"/>
        <v>15.4114</v>
      </c>
      <c r="U142">
        <f t="shared" si="27"/>
        <v>8.7032490992000007</v>
      </c>
      <c r="X142" s="9"/>
      <c r="Y142" s="22">
        <v>1.1352500000000001</v>
      </c>
      <c r="Z142" s="22">
        <v>275.20699999999999</v>
      </c>
      <c r="AA142" s="22">
        <v>-1.7443799999999999E-2</v>
      </c>
      <c r="AB142" s="22">
        <v>132</v>
      </c>
      <c r="AC142" s="22">
        <v>1.1346400000000001</v>
      </c>
      <c r="AD142">
        <f t="shared" si="28"/>
        <v>17.4438</v>
      </c>
      <c r="AE142">
        <f t="shared" si="29"/>
        <v>19.803073950000002</v>
      </c>
      <c r="AF142" s="9"/>
      <c r="AG142" s="22">
        <v>0.56472800000000001</v>
      </c>
      <c r="AH142" s="22">
        <v>350.94200000000001</v>
      </c>
      <c r="AI142" s="22">
        <v>-1.7569000000000001E-2</v>
      </c>
      <c r="AJ142" s="22">
        <v>132</v>
      </c>
      <c r="AK142" s="22">
        <v>0.56411699999999998</v>
      </c>
      <c r="AL142">
        <f t="shared" si="30"/>
        <v>17.569000000000003</v>
      </c>
      <c r="AM142">
        <f t="shared" si="31"/>
        <v>9.9217062320000018</v>
      </c>
      <c r="AP142" s="9"/>
      <c r="AQ142" s="22">
        <v>1.1352500000000001</v>
      </c>
      <c r="AR142" s="22">
        <v>423.14499999999998</v>
      </c>
      <c r="AS142" s="22">
        <v>-1.7962599999999999E-2</v>
      </c>
      <c r="AT142" s="22">
        <v>132</v>
      </c>
      <c r="AU142" s="22">
        <v>1.1346400000000001</v>
      </c>
      <c r="AV142">
        <f t="shared" si="32"/>
        <v>17.962599999999998</v>
      </c>
      <c r="AW142">
        <f t="shared" si="33"/>
        <v>20.392041649999999</v>
      </c>
      <c r="AX142" s="9"/>
      <c r="AY142" s="22">
        <v>0.56472800000000001</v>
      </c>
      <c r="AZ142" s="22">
        <v>496.55799999999999</v>
      </c>
      <c r="BA142" s="22">
        <v>-1.8029799999999999E-2</v>
      </c>
      <c r="BB142" s="22">
        <v>132</v>
      </c>
      <c r="BC142" s="22">
        <v>0.563751</v>
      </c>
      <c r="BD142">
        <f t="shared" si="34"/>
        <v>18.029799999999998</v>
      </c>
      <c r="BE142">
        <f t="shared" si="35"/>
        <v>10.181932894399999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61.748899999999999</v>
      </c>
      <c r="I143" s="22">
        <v>-1.5213000000000001E-2</v>
      </c>
      <c r="J143" s="22">
        <v>133</v>
      </c>
      <c r="K143" s="22">
        <v>1.1294599999999999</v>
      </c>
      <c r="L143">
        <f t="shared" si="24"/>
        <v>15.213000000000001</v>
      </c>
      <c r="M143">
        <f t="shared" si="25"/>
        <v>17.194036860000001</v>
      </c>
      <c r="N143" s="9"/>
      <c r="O143" s="22">
        <v>0.56976300000000002</v>
      </c>
      <c r="P143" s="22">
        <v>177.09100000000001</v>
      </c>
      <c r="Q143" s="22">
        <v>-1.5444899999999999E-2</v>
      </c>
      <c r="R143" s="22">
        <v>133</v>
      </c>
      <c r="S143" s="22">
        <v>0.56927499999999998</v>
      </c>
      <c r="T143">
        <f t="shared" si="26"/>
        <v>15.444899999999999</v>
      </c>
      <c r="U143">
        <f t="shared" si="27"/>
        <v>8.7999325587000001</v>
      </c>
      <c r="X143" s="9"/>
      <c r="Y143" s="22">
        <v>1.13022</v>
      </c>
      <c r="Z143" s="22">
        <v>275.30799999999999</v>
      </c>
      <c r="AA143" s="22">
        <v>-1.7446900000000001E-2</v>
      </c>
      <c r="AB143" s="22">
        <v>133</v>
      </c>
      <c r="AC143" s="22">
        <v>1.1288499999999999</v>
      </c>
      <c r="AD143">
        <f t="shared" si="28"/>
        <v>17.446900000000003</v>
      </c>
      <c r="AE143">
        <f t="shared" si="29"/>
        <v>19.718835318000004</v>
      </c>
      <c r="AF143" s="9"/>
      <c r="AG143" s="22">
        <v>0.56976300000000002</v>
      </c>
      <c r="AH143" s="22">
        <v>351.04300000000001</v>
      </c>
      <c r="AI143" s="22">
        <v>-1.7569000000000001E-2</v>
      </c>
      <c r="AJ143" s="22">
        <v>133</v>
      </c>
      <c r="AK143" s="22">
        <v>0.56930499999999995</v>
      </c>
      <c r="AL143">
        <f t="shared" si="30"/>
        <v>17.569000000000003</v>
      </c>
      <c r="AM143">
        <f t="shared" si="31"/>
        <v>10.010166147000001</v>
      </c>
      <c r="AP143" s="9"/>
      <c r="AQ143" s="22">
        <v>1.13022</v>
      </c>
      <c r="AR143" s="22">
        <v>423.24599999999998</v>
      </c>
      <c r="AS143" s="22">
        <v>-1.79718E-2</v>
      </c>
      <c r="AT143" s="22">
        <v>133</v>
      </c>
      <c r="AU143" s="22">
        <v>1.1291500000000001</v>
      </c>
      <c r="AV143">
        <f t="shared" si="32"/>
        <v>17.971799999999998</v>
      </c>
      <c r="AW143">
        <f t="shared" si="33"/>
        <v>20.312087795999997</v>
      </c>
      <c r="AX143" s="9"/>
      <c r="AY143" s="22">
        <v>0.56976300000000002</v>
      </c>
      <c r="AZ143" s="22">
        <v>496.65899999999999</v>
      </c>
      <c r="BA143" s="22">
        <v>-1.8035900000000001E-2</v>
      </c>
      <c r="BB143" s="22">
        <v>133</v>
      </c>
      <c r="BC143" s="22">
        <v>0.56896999999999998</v>
      </c>
      <c r="BD143">
        <f t="shared" si="34"/>
        <v>18.035900000000002</v>
      </c>
      <c r="BE143">
        <f t="shared" si="35"/>
        <v>10.276188491700001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61.849600000000002</v>
      </c>
      <c r="I144" s="22">
        <v>-1.5219099999999999E-2</v>
      </c>
      <c r="J144" s="22">
        <v>134</v>
      </c>
      <c r="K144" s="22">
        <v>1.1239600000000001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177.19200000000001</v>
      </c>
      <c r="Q144" s="22">
        <v>-1.5417500000000001E-2</v>
      </c>
      <c r="R144" s="22">
        <v>134</v>
      </c>
      <c r="S144" s="22">
        <v>0.57421900000000003</v>
      </c>
      <c r="T144">
        <f t="shared" si="26"/>
        <v>15.4175</v>
      </c>
      <c r="U144">
        <f t="shared" si="27"/>
        <v>8.8619635824999996</v>
      </c>
      <c r="X144" s="9"/>
      <c r="Y144" s="22">
        <v>1.1251800000000001</v>
      </c>
      <c r="Z144" s="22">
        <v>275.40800000000002</v>
      </c>
      <c r="AA144" s="22">
        <v>-1.7434700000000001E-2</v>
      </c>
      <c r="AB144" s="22">
        <v>134</v>
      </c>
      <c r="AC144" s="22">
        <v>1.1242700000000001</v>
      </c>
      <c r="AD144">
        <f t="shared" si="28"/>
        <v>17.434699999999999</v>
      </c>
      <c r="AE144">
        <f t="shared" si="29"/>
        <v>19.617175746000001</v>
      </c>
      <c r="AF144" s="9"/>
      <c r="AG144" s="22">
        <v>0.57479899999999995</v>
      </c>
      <c r="AH144" s="22">
        <v>351.14299999999997</v>
      </c>
      <c r="AI144" s="22">
        <v>-1.7569000000000001E-2</v>
      </c>
      <c r="AJ144" s="22">
        <v>134</v>
      </c>
      <c r="AK144" s="22">
        <v>0.57424900000000001</v>
      </c>
      <c r="AL144">
        <f t="shared" si="30"/>
        <v>17.569000000000003</v>
      </c>
      <c r="AM144">
        <f t="shared" si="31"/>
        <v>10.098643631</v>
      </c>
      <c r="AP144" s="9"/>
      <c r="AQ144" s="22">
        <v>1.1251800000000001</v>
      </c>
      <c r="AR144" s="22">
        <v>423.34699999999998</v>
      </c>
      <c r="AS144" s="22">
        <v>-1.7965700000000001E-2</v>
      </c>
      <c r="AT144" s="22">
        <v>134</v>
      </c>
      <c r="AU144" s="22">
        <v>1.1245700000000001</v>
      </c>
      <c r="AV144">
        <f t="shared" si="32"/>
        <v>17.965700000000002</v>
      </c>
      <c r="AW144">
        <f t="shared" si="33"/>
        <v>20.214646326000004</v>
      </c>
      <c r="AX144" s="9"/>
      <c r="AY144" s="22">
        <v>0.57479899999999995</v>
      </c>
      <c r="AZ144" s="22">
        <v>496.76</v>
      </c>
      <c r="BA144" s="22">
        <v>-1.80267E-2</v>
      </c>
      <c r="BB144" s="22">
        <v>134</v>
      </c>
      <c r="BC144" s="22">
        <v>0.57415799999999995</v>
      </c>
      <c r="BD144">
        <f t="shared" si="34"/>
        <v>18.026699999999998</v>
      </c>
      <c r="BE144">
        <f t="shared" si="35"/>
        <v>10.361729133299997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61.950299999999999</v>
      </c>
      <c r="I145" s="22">
        <v>-1.5225199999999999E-2</v>
      </c>
      <c r="J145" s="22">
        <v>135</v>
      </c>
      <c r="K145" s="22">
        <v>1.11938</v>
      </c>
      <c r="L145">
        <f t="shared" si="24"/>
        <v>15.225199999999999</v>
      </c>
      <c r="M145">
        <f t="shared" si="25"/>
        <v>17.054507779999998</v>
      </c>
      <c r="N145" s="9"/>
      <c r="O145" s="22">
        <v>0.57983399999999996</v>
      </c>
      <c r="P145" s="22">
        <v>177.292</v>
      </c>
      <c r="Q145" s="22">
        <v>-1.5389999999999999E-2</v>
      </c>
      <c r="R145" s="22">
        <v>135</v>
      </c>
      <c r="S145" s="22">
        <v>0.57931500000000002</v>
      </c>
      <c r="T145">
        <f t="shared" si="26"/>
        <v>15.389999999999999</v>
      </c>
      <c r="U145">
        <f t="shared" si="27"/>
        <v>8.9236452599999989</v>
      </c>
      <c r="X145" s="9"/>
      <c r="Y145" s="22">
        <v>1.12015</v>
      </c>
      <c r="Z145" s="22">
        <v>275.50900000000001</v>
      </c>
      <c r="AA145" s="22">
        <v>-1.7443799999999999E-2</v>
      </c>
      <c r="AB145" s="22">
        <v>135</v>
      </c>
      <c r="AC145" s="22">
        <v>1.11877</v>
      </c>
      <c r="AD145">
        <f t="shared" si="28"/>
        <v>17.4438</v>
      </c>
      <c r="AE145">
        <f t="shared" si="29"/>
        <v>19.53967257</v>
      </c>
      <c r="AF145" s="9"/>
      <c r="AG145" s="22">
        <v>0.57983399999999996</v>
      </c>
      <c r="AH145" s="22">
        <v>351.24400000000003</v>
      </c>
      <c r="AI145" s="22">
        <v>-1.75598E-2</v>
      </c>
      <c r="AJ145" s="22">
        <v>135</v>
      </c>
      <c r="AK145" s="22">
        <v>0.57928500000000005</v>
      </c>
      <c r="AL145">
        <f t="shared" si="30"/>
        <v>17.559799999999999</v>
      </c>
      <c r="AM145">
        <f t="shared" si="31"/>
        <v>10.181769073199998</v>
      </c>
      <c r="AP145" s="9"/>
      <c r="AQ145" s="22">
        <v>1.12015</v>
      </c>
      <c r="AR145" s="22">
        <v>423.447</v>
      </c>
      <c r="AS145" s="22">
        <v>-1.79688E-2</v>
      </c>
      <c r="AT145" s="22">
        <v>135</v>
      </c>
      <c r="AU145" s="22">
        <v>1.11938</v>
      </c>
      <c r="AV145">
        <f t="shared" si="32"/>
        <v>17.968800000000002</v>
      </c>
      <c r="AW145">
        <f t="shared" si="33"/>
        <v>20.127751320000002</v>
      </c>
      <c r="AX145" s="9"/>
      <c r="AY145" s="22">
        <v>0.57983399999999996</v>
      </c>
      <c r="AZ145" s="22">
        <v>496.86099999999999</v>
      </c>
      <c r="BA145" s="22">
        <v>-1.80237E-2</v>
      </c>
      <c r="BB145" s="22">
        <v>135</v>
      </c>
      <c r="BC145" s="22">
        <v>0.57980299999999996</v>
      </c>
      <c r="BD145">
        <f t="shared" si="34"/>
        <v>18.023700000000002</v>
      </c>
      <c r="BE145">
        <f t="shared" si="35"/>
        <v>10.4507540658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62.051000000000002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177.393</v>
      </c>
      <c r="Q146" s="22">
        <v>-1.5380899999999999E-2</v>
      </c>
      <c r="R146" s="22">
        <v>136</v>
      </c>
      <c r="S146" s="22">
        <v>0.58435099999999995</v>
      </c>
      <c r="T146">
        <f t="shared" si="26"/>
        <v>15.380899999999999</v>
      </c>
      <c r="U146">
        <f t="shared" si="27"/>
        <v>8.9958116020999981</v>
      </c>
      <c r="X146" s="9"/>
      <c r="Y146" s="22">
        <v>1.11511</v>
      </c>
      <c r="Z146" s="22">
        <v>275.61</v>
      </c>
      <c r="AA146" s="22">
        <v>-1.7462200000000001E-2</v>
      </c>
      <c r="AB146" s="22">
        <v>136</v>
      </c>
      <c r="AC146" s="22">
        <v>1.1145</v>
      </c>
      <c r="AD146">
        <f t="shared" si="28"/>
        <v>17.462199999999999</v>
      </c>
      <c r="AE146">
        <f t="shared" si="29"/>
        <v>19.472273842</v>
      </c>
      <c r="AF146" s="9"/>
      <c r="AG146" s="22">
        <v>0.58486899999999997</v>
      </c>
      <c r="AH146" s="22">
        <v>351.34500000000003</v>
      </c>
      <c r="AI146" s="22">
        <v>-1.7562899999999999E-2</v>
      </c>
      <c r="AJ146" s="22">
        <v>136</v>
      </c>
      <c r="AK146" s="22">
        <v>0.58404500000000004</v>
      </c>
      <c r="AL146">
        <f t="shared" si="30"/>
        <v>17.562899999999999</v>
      </c>
      <c r="AM146">
        <f t="shared" si="31"/>
        <v>10.271995760099999</v>
      </c>
      <c r="AP146" s="9"/>
      <c r="AQ146" s="22">
        <v>1.11511</v>
      </c>
      <c r="AR146" s="22">
        <v>423.548</v>
      </c>
      <c r="AS146" s="22">
        <v>-1.7984E-2</v>
      </c>
      <c r="AT146" s="22">
        <v>136</v>
      </c>
      <c r="AU146" s="22">
        <v>1.1142000000000001</v>
      </c>
      <c r="AV146">
        <f t="shared" si="32"/>
        <v>17.984000000000002</v>
      </c>
      <c r="AW146">
        <f t="shared" si="33"/>
        <v>20.054138240000004</v>
      </c>
      <c r="AX146" s="9"/>
      <c r="AY146" s="22">
        <v>0.58486899999999997</v>
      </c>
      <c r="AZ146" s="22">
        <v>496.96100000000001</v>
      </c>
      <c r="BA146" s="22">
        <v>-1.80237E-2</v>
      </c>
      <c r="BB146" s="22">
        <v>136</v>
      </c>
      <c r="BC146" s="22">
        <v>0.584198</v>
      </c>
      <c r="BD146">
        <f t="shared" si="34"/>
        <v>18.023700000000002</v>
      </c>
      <c r="BE146">
        <f t="shared" si="35"/>
        <v>10.541503395300001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62.151800000000001</v>
      </c>
      <c r="I147" s="22">
        <v>-1.52374E-2</v>
      </c>
      <c r="J147" s="22">
        <v>137</v>
      </c>
      <c r="K147" s="22">
        <v>1.10931</v>
      </c>
      <c r="L147">
        <f t="shared" si="24"/>
        <v>15.237399999999999</v>
      </c>
      <c r="M147">
        <f t="shared" si="25"/>
        <v>16.914732991999998</v>
      </c>
      <c r="N147" s="9"/>
      <c r="O147" s="22">
        <v>0.58990500000000001</v>
      </c>
      <c r="P147" s="22">
        <v>177.494</v>
      </c>
      <c r="Q147" s="22">
        <v>-1.5374799999999999E-2</v>
      </c>
      <c r="R147" s="22">
        <v>137</v>
      </c>
      <c r="S147" s="22">
        <v>0.58944700000000005</v>
      </c>
      <c r="T147">
        <f t="shared" si="26"/>
        <v>15.374799999999999</v>
      </c>
      <c r="U147">
        <f t="shared" si="27"/>
        <v>9.0696713940000002</v>
      </c>
      <c r="X147" s="9"/>
      <c r="Y147" s="22">
        <v>1.11008</v>
      </c>
      <c r="Z147" s="22">
        <v>275.70999999999998</v>
      </c>
      <c r="AA147" s="22">
        <v>-1.7456099999999999E-2</v>
      </c>
      <c r="AB147" s="22">
        <v>137</v>
      </c>
      <c r="AC147" s="22">
        <v>1.1090100000000001</v>
      </c>
      <c r="AD147">
        <f t="shared" si="28"/>
        <v>17.456099999999999</v>
      </c>
      <c r="AE147">
        <f t="shared" si="29"/>
        <v>19.377667488</v>
      </c>
      <c r="AF147" s="9"/>
      <c r="AG147" s="22">
        <v>0.58990500000000001</v>
      </c>
      <c r="AH147" s="22">
        <v>351.44600000000003</v>
      </c>
      <c r="AI147" s="22">
        <v>-1.7565899999999999E-2</v>
      </c>
      <c r="AJ147" s="22">
        <v>137</v>
      </c>
      <c r="AK147" s="22">
        <v>0.58947799999999995</v>
      </c>
      <c r="AL147">
        <f t="shared" si="30"/>
        <v>17.565899999999999</v>
      </c>
      <c r="AM147">
        <f t="shared" si="31"/>
        <v>10.3622122395</v>
      </c>
      <c r="AP147" s="9"/>
      <c r="AQ147" s="22">
        <v>1.11008</v>
      </c>
      <c r="AR147" s="22">
        <v>423.649</v>
      </c>
      <c r="AS147" s="22">
        <v>-1.7977900000000002E-2</v>
      </c>
      <c r="AT147" s="22">
        <v>137</v>
      </c>
      <c r="AU147" s="22">
        <v>1.10992</v>
      </c>
      <c r="AV147">
        <f t="shared" si="32"/>
        <v>17.977900000000002</v>
      </c>
      <c r="AW147">
        <f t="shared" si="33"/>
        <v>19.956907232000002</v>
      </c>
      <c r="AX147" s="9"/>
      <c r="AY147" s="22">
        <v>0.58990500000000001</v>
      </c>
      <c r="AZ147" s="22">
        <v>497.06200000000001</v>
      </c>
      <c r="BA147" s="22">
        <v>-1.8029799999999999E-2</v>
      </c>
      <c r="BB147" s="22">
        <v>137</v>
      </c>
      <c r="BC147" s="22">
        <v>0.58987400000000001</v>
      </c>
      <c r="BD147">
        <f t="shared" si="34"/>
        <v>18.029799999999998</v>
      </c>
      <c r="BE147">
        <f t="shared" si="35"/>
        <v>10.635869168999999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62.252499999999998</v>
      </c>
      <c r="I148" s="22">
        <v>-1.52496E-2</v>
      </c>
      <c r="J148" s="22">
        <v>138</v>
      </c>
      <c r="K148" s="22">
        <v>1.1041300000000001</v>
      </c>
      <c r="L148">
        <f t="shared" si="24"/>
        <v>15.249600000000001</v>
      </c>
      <c r="M148">
        <f t="shared" si="25"/>
        <v>16.851417984000001</v>
      </c>
      <c r="N148" s="9"/>
      <c r="O148" s="22">
        <v>0.59494000000000002</v>
      </c>
      <c r="P148" s="22">
        <v>177.59399999999999</v>
      </c>
      <c r="Q148" s="22">
        <v>-1.53656E-2</v>
      </c>
      <c r="R148" s="22">
        <v>138</v>
      </c>
      <c r="S148" s="22">
        <v>0.594391</v>
      </c>
      <c r="T148">
        <f t="shared" si="26"/>
        <v>15.365600000000001</v>
      </c>
      <c r="U148">
        <f t="shared" si="27"/>
        <v>9.141610064</v>
      </c>
      <c r="X148" s="9"/>
      <c r="Y148" s="22">
        <v>1.10504</v>
      </c>
      <c r="Z148" s="22">
        <v>275.81099999999998</v>
      </c>
      <c r="AA148" s="22">
        <v>-1.7462200000000001E-2</v>
      </c>
      <c r="AB148" s="22">
        <v>138</v>
      </c>
      <c r="AC148" s="22">
        <v>1.10443</v>
      </c>
      <c r="AD148">
        <f t="shared" si="28"/>
        <v>17.462199999999999</v>
      </c>
      <c r="AE148">
        <f t="shared" si="29"/>
        <v>19.296429488000001</v>
      </c>
      <c r="AF148" s="9"/>
      <c r="AG148" s="22">
        <v>0.59494000000000002</v>
      </c>
      <c r="AH148" s="22">
        <v>351.54599999999999</v>
      </c>
      <c r="AI148" s="22">
        <v>-1.7556800000000001E-2</v>
      </c>
      <c r="AJ148" s="22">
        <v>138</v>
      </c>
      <c r="AK148" s="22">
        <v>0.59436</v>
      </c>
      <c r="AL148">
        <f t="shared" si="30"/>
        <v>17.556800000000003</v>
      </c>
      <c r="AM148">
        <f t="shared" si="31"/>
        <v>10.445242592000001</v>
      </c>
      <c r="AP148" s="9"/>
      <c r="AQ148" s="22">
        <v>1.10504</v>
      </c>
      <c r="AR148" s="22">
        <v>423.74900000000002</v>
      </c>
      <c r="AS148" s="22">
        <v>-1.7974899999999999E-2</v>
      </c>
      <c r="AT148" s="22">
        <v>138</v>
      </c>
      <c r="AU148" s="22">
        <v>1.1041300000000001</v>
      </c>
      <c r="AV148">
        <f t="shared" si="32"/>
        <v>17.974899999999998</v>
      </c>
      <c r="AW148">
        <f t="shared" si="33"/>
        <v>19.862983495999998</v>
      </c>
      <c r="AX148" s="9"/>
      <c r="AY148" s="22">
        <v>0.59494000000000002</v>
      </c>
      <c r="AZ148" s="22">
        <v>497.16300000000001</v>
      </c>
      <c r="BA148" s="22">
        <v>-1.80237E-2</v>
      </c>
      <c r="BB148" s="22">
        <v>138</v>
      </c>
      <c r="BC148" s="22">
        <v>0.59402500000000003</v>
      </c>
      <c r="BD148">
        <f t="shared" si="34"/>
        <v>18.023700000000002</v>
      </c>
      <c r="BE148">
        <f t="shared" si="35"/>
        <v>10.723020078000001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62.353200000000001</v>
      </c>
      <c r="I149" s="22">
        <v>-1.5258799999999999E-2</v>
      </c>
      <c r="J149" s="22">
        <v>139</v>
      </c>
      <c r="K149" s="22">
        <v>1.09955</v>
      </c>
      <c r="L149">
        <f t="shared" si="24"/>
        <v>15.258799999999999</v>
      </c>
      <c r="M149">
        <f t="shared" si="25"/>
        <v>16.784832587999997</v>
      </c>
      <c r="N149" s="9"/>
      <c r="O149" s="22">
        <v>0.59997599999999995</v>
      </c>
      <c r="P149" s="22">
        <v>177.69499999999999</v>
      </c>
      <c r="Q149" s="22">
        <v>-1.5362499999999999E-2</v>
      </c>
      <c r="R149" s="22">
        <v>139</v>
      </c>
      <c r="S149" s="22">
        <v>0.59936500000000004</v>
      </c>
      <c r="T149">
        <f t="shared" si="26"/>
        <v>15.362499999999999</v>
      </c>
      <c r="U149">
        <f t="shared" si="27"/>
        <v>9.2171312999999984</v>
      </c>
      <c r="X149" s="9"/>
      <c r="Y149" s="22">
        <v>1.1000099999999999</v>
      </c>
      <c r="Z149" s="22">
        <v>275.91199999999998</v>
      </c>
      <c r="AA149" s="22">
        <v>-1.7462200000000001E-2</v>
      </c>
      <c r="AB149" s="22">
        <v>139</v>
      </c>
      <c r="AC149" s="22">
        <v>1.09924</v>
      </c>
      <c r="AD149">
        <f t="shared" si="28"/>
        <v>17.462199999999999</v>
      </c>
      <c r="AE149">
        <f t="shared" si="29"/>
        <v>19.208594622</v>
      </c>
      <c r="AF149" s="9"/>
      <c r="AG149" s="22">
        <v>0.59997599999999995</v>
      </c>
      <c r="AH149" s="22">
        <v>351.64699999999999</v>
      </c>
      <c r="AI149" s="22">
        <v>-1.75598E-2</v>
      </c>
      <c r="AJ149" s="22">
        <v>139</v>
      </c>
      <c r="AK149" s="22">
        <v>0.59973100000000001</v>
      </c>
      <c r="AL149">
        <f t="shared" si="30"/>
        <v>17.559799999999999</v>
      </c>
      <c r="AM149">
        <f t="shared" si="31"/>
        <v>10.535458564799999</v>
      </c>
      <c r="AP149" s="9"/>
      <c r="AQ149" s="22">
        <v>1.1000099999999999</v>
      </c>
      <c r="AR149" s="22">
        <v>423.85</v>
      </c>
      <c r="AS149" s="22">
        <v>-1.79688E-2</v>
      </c>
      <c r="AT149" s="22">
        <v>139</v>
      </c>
      <c r="AU149" s="22">
        <v>1.09894</v>
      </c>
      <c r="AV149">
        <f t="shared" si="32"/>
        <v>17.968800000000002</v>
      </c>
      <c r="AW149">
        <f t="shared" si="33"/>
        <v>19.765859687999999</v>
      </c>
      <c r="AX149" s="9"/>
      <c r="AY149" s="22">
        <v>0.59997599999999995</v>
      </c>
      <c r="AZ149" s="22">
        <v>497.26299999999998</v>
      </c>
      <c r="BA149" s="22">
        <v>-1.8020600000000001E-2</v>
      </c>
      <c r="BB149" s="22">
        <v>139</v>
      </c>
      <c r="BC149" s="22">
        <v>0.59942600000000001</v>
      </c>
      <c r="BD149">
        <f t="shared" si="34"/>
        <v>18.020600000000002</v>
      </c>
      <c r="BE149">
        <f t="shared" si="35"/>
        <v>10.8119275056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62.453899999999997</v>
      </c>
      <c r="I150" s="22">
        <v>-1.5246600000000001E-2</v>
      </c>
      <c r="J150" s="22">
        <v>140</v>
      </c>
      <c r="K150" s="22">
        <v>1.09406</v>
      </c>
      <c r="L150">
        <f t="shared" si="24"/>
        <v>15.246600000000001</v>
      </c>
      <c r="M150">
        <f t="shared" si="25"/>
        <v>16.694569602000001</v>
      </c>
      <c r="N150" s="9"/>
      <c r="O150" s="22">
        <v>0.60501099999999997</v>
      </c>
      <c r="P150" s="22">
        <v>177.79599999999999</v>
      </c>
      <c r="Q150" s="22">
        <v>-1.5344200000000001E-2</v>
      </c>
      <c r="R150" s="22">
        <v>140</v>
      </c>
      <c r="S150" s="22">
        <v>0.60452300000000003</v>
      </c>
      <c r="T150">
        <f t="shared" si="26"/>
        <v>15.344200000000001</v>
      </c>
      <c r="U150">
        <f t="shared" si="27"/>
        <v>9.2834097862</v>
      </c>
      <c r="X150" s="9"/>
      <c r="Y150" s="22">
        <v>1.09497</v>
      </c>
      <c r="Z150" s="22">
        <v>276.012</v>
      </c>
      <c r="AA150" s="22">
        <v>-1.7483499999999999E-2</v>
      </c>
      <c r="AB150" s="22">
        <v>140</v>
      </c>
      <c r="AC150" s="22">
        <v>1.09436</v>
      </c>
      <c r="AD150">
        <f t="shared" si="28"/>
        <v>17.483499999999999</v>
      </c>
      <c r="AE150">
        <f t="shared" si="29"/>
        <v>19.143907994999999</v>
      </c>
      <c r="AF150" s="9"/>
      <c r="AG150" s="22">
        <v>0.60501099999999997</v>
      </c>
      <c r="AH150" s="22">
        <v>351.74799999999999</v>
      </c>
      <c r="AI150" s="22">
        <v>-1.7556800000000001E-2</v>
      </c>
      <c r="AJ150" s="22">
        <v>140</v>
      </c>
      <c r="AK150" s="22">
        <v>0.60433999999999999</v>
      </c>
      <c r="AL150">
        <f t="shared" si="30"/>
        <v>17.556800000000003</v>
      </c>
      <c r="AM150">
        <f t="shared" si="31"/>
        <v>10.622057124800001</v>
      </c>
      <c r="AP150" s="9"/>
      <c r="AQ150" s="22">
        <v>1.09497</v>
      </c>
      <c r="AR150" s="22">
        <v>423.95100000000002</v>
      </c>
      <c r="AS150" s="22">
        <v>-1.79718E-2</v>
      </c>
      <c r="AT150" s="22">
        <v>140</v>
      </c>
      <c r="AU150" s="22">
        <v>1.09344</v>
      </c>
      <c r="AV150">
        <f t="shared" si="32"/>
        <v>17.971799999999998</v>
      </c>
      <c r="AW150">
        <f t="shared" si="33"/>
        <v>19.678581845999997</v>
      </c>
      <c r="AX150" s="9"/>
      <c r="AY150" s="22">
        <v>0.60501099999999997</v>
      </c>
      <c r="AZ150" s="22">
        <v>497.36399999999998</v>
      </c>
      <c r="BA150" s="22">
        <v>-1.8020600000000001E-2</v>
      </c>
      <c r="BB150" s="22">
        <v>140</v>
      </c>
      <c r="BC150" s="22">
        <v>0.60464499999999999</v>
      </c>
      <c r="BD150">
        <f t="shared" si="34"/>
        <v>18.020600000000002</v>
      </c>
      <c r="BE150">
        <f t="shared" si="35"/>
        <v>10.902661226600001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62.554600000000001</v>
      </c>
      <c r="I151" s="22">
        <v>-1.5246600000000001E-2</v>
      </c>
      <c r="J151" s="22">
        <v>141</v>
      </c>
      <c r="K151" s="22">
        <v>1.08948</v>
      </c>
      <c r="L151">
        <f t="shared" si="24"/>
        <v>15.246600000000001</v>
      </c>
      <c r="M151">
        <f t="shared" si="25"/>
        <v>16.617879204000001</v>
      </c>
      <c r="N151" s="9"/>
      <c r="O151" s="22">
        <v>0.61004599999999998</v>
      </c>
      <c r="P151" s="22">
        <v>177.89699999999999</v>
      </c>
      <c r="Q151" s="22">
        <v>-1.5347299999999999E-2</v>
      </c>
      <c r="R151" s="22">
        <v>141</v>
      </c>
      <c r="S151" s="22">
        <v>0.60952799999999996</v>
      </c>
      <c r="T151">
        <f t="shared" si="26"/>
        <v>15.347299999999999</v>
      </c>
      <c r="U151">
        <f t="shared" si="27"/>
        <v>9.362558975799999</v>
      </c>
      <c r="X151" s="9"/>
      <c r="Y151" s="22">
        <v>1.0899399999999999</v>
      </c>
      <c r="Z151" s="22">
        <v>276.113</v>
      </c>
      <c r="AA151" s="22">
        <v>-1.7468299999999999E-2</v>
      </c>
      <c r="AB151" s="22">
        <v>141</v>
      </c>
      <c r="AC151" s="22">
        <v>1.08917</v>
      </c>
      <c r="AD151">
        <f t="shared" si="28"/>
        <v>17.468299999999999</v>
      </c>
      <c r="AE151">
        <f t="shared" si="29"/>
        <v>19.039398901999999</v>
      </c>
      <c r="AF151" s="9"/>
      <c r="AG151" s="22">
        <v>0.61004599999999998</v>
      </c>
      <c r="AH151" s="22">
        <v>351.84800000000001</v>
      </c>
      <c r="AI151" s="22">
        <v>-1.7553699999999998E-2</v>
      </c>
      <c r="AJ151" s="22">
        <v>141</v>
      </c>
      <c r="AK151" s="22">
        <v>0.60882599999999998</v>
      </c>
      <c r="AL151">
        <f t="shared" si="30"/>
        <v>17.553699999999999</v>
      </c>
      <c r="AM151">
        <f t="shared" si="31"/>
        <v>10.708564470199999</v>
      </c>
      <c r="AP151" s="9"/>
      <c r="AQ151" s="22">
        <v>1.0899399999999999</v>
      </c>
      <c r="AR151" s="22">
        <v>424.05200000000002</v>
      </c>
      <c r="AS151" s="22">
        <v>-1.7981E-2</v>
      </c>
      <c r="AT151" s="22">
        <v>141</v>
      </c>
      <c r="AU151" s="22">
        <v>1.08887</v>
      </c>
      <c r="AV151">
        <f t="shared" si="32"/>
        <v>17.981000000000002</v>
      </c>
      <c r="AW151">
        <f t="shared" si="33"/>
        <v>19.59821114</v>
      </c>
      <c r="AX151" s="9"/>
      <c r="AY151" s="22">
        <v>0.61004599999999998</v>
      </c>
      <c r="AZ151" s="22">
        <v>497.46499999999997</v>
      </c>
      <c r="BA151" s="22">
        <v>-1.8017600000000002E-2</v>
      </c>
      <c r="BB151" s="22">
        <v>141</v>
      </c>
      <c r="BC151" s="22">
        <v>0.60949699999999996</v>
      </c>
      <c r="BD151">
        <f t="shared" si="34"/>
        <v>18.017600000000002</v>
      </c>
      <c r="BE151">
        <f t="shared" si="35"/>
        <v>10.9915648096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62.655299999999997</v>
      </c>
      <c r="I152" s="22">
        <v>-1.52435E-2</v>
      </c>
      <c r="J152" s="22">
        <v>142</v>
      </c>
      <c r="K152" s="22">
        <v>1.08368</v>
      </c>
      <c r="L152">
        <f t="shared" si="24"/>
        <v>15.243500000000001</v>
      </c>
      <c r="M152">
        <f t="shared" si="25"/>
        <v>16.53767315</v>
      </c>
      <c r="N152" s="9"/>
      <c r="O152" s="22">
        <v>0.61508200000000002</v>
      </c>
      <c r="P152" s="22">
        <v>177.99700000000001</v>
      </c>
      <c r="Q152" s="22">
        <v>-1.5368700000000001E-2</v>
      </c>
      <c r="R152" s="22">
        <v>142</v>
      </c>
      <c r="S152" s="22">
        <v>0.61450199999999999</v>
      </c>
      <c r="T152">
        <f t="shared" si="26"/>
        <v>15.3687</v>
      </c>
      <c r="U152">
        <f t="shared" si="27"/>
        <v>9.4530107334000011</v>
      </c>
      <c r="X152" s="9"/>
      <c r="Y152" s="22">
        <v>1.0849</v>
      </c>
      <c r="Z152" s="22">
        <v>276.214</v>
      </c>
      <c r="AA152" s="22">
        <v>-1.7483499999999999E-2</v>
      </c>
      <c r="AB152" s="22">
        <v>142</v>
      </c>
      <c r="AC152" s="22">
        <v>1.08368</v>
      </c>
      <c r="AD152">
        <f t="shared" si="28"/>
        <v>17.483499999999999</v>
      </c>
      <c r="AE152">
        <f t="shared" si="29"/>
        <v>18.967849149999999</v>
      </c>
      <c r="AF152" s="9"/>
      <c r="AG152" s="22">
        <v>0.61508200000000002</v>
      </c>
      <c r="AH152" s="22">
        <v>351.94900000000001</v>
      </c>
      <c r="AI152" s="22">
        <v>-1.7553699999999998E-2</v>
      </c>
      <c r="AJ152" s="22">
        <v>142</v>
      </c>
      <c r="AK152" s="22">
        <v>0.61404400000000003</v>
      </c>
      <c r="AL152">
        <f t="shared" si="30"/>
        <v>17.553699999999999</v>
      </c>
      <c r="AM152">
        <f t="shared" si="31"/>
        <v>10.796964903399999</v>
      </c>
      <c r="AP152" s="9"/>
      <c r="AQ152" s="22">
        <v>1.0849</v>
      </c>
      <c r="AR152" s="22">
        <v>424.15199999999999</v>
      </c>
      <c r="AS152" s="22">
        <v>-1.7981E-2</v>
      </c>
      <c r="AT152" s="22">
        <v>142</v>
      </c>
      <c r="AU152" s="22">
        <v>1.0839799999999999</v>
      </c>
      <c r="AV152">
        <f t="shared" si="32"/>
        <v>17.981000000000002</v>
      </c>
      <c r="AW152">
        <f t="shared" si="33"/>
        <v>19.5075869</v>
      </c>
      <c r="AX152" s="9"/>
      <c r="AY152" s="22">
        <v>0.61508200000000002</v>
      </c>
      <c r="AZ152" s="22">
        <v>497.56599999999997</v>
      </c>
      <c r="BA152" s="22">
        <v>-1.8020600000000001E-2</v>
      </c>
      <c r="BB152" s="22">
        <v>142</v>
      </c>
      <c r="BC152" s="22">
        <v>0.61425799999999997</v>
      </c>
      <c r="BD152">
        <f t="shared" si="34"/>
        <v>18.020600000000002</v>
      </c>
      <c r="BE152">
        <f t="shared" si="35"/>
        <v>11.084146689200001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62.756</v>
      </c>
      <c r="I153" s="22">
        <v>-1.52435E-2</v>
      </c>
      <c r="J153" s="22">
        <v>143</v>
      </c>
      <c r="K153" s="22">
        <v>1.0790999999999999</v>
      </c>
      <c r="L153">
        <f t="shared" si="24"/>
        <v>15.243500000000001</v>
      </c>
      <c r="M153">
        <f t="shared" si="25"/>
        <v>16.460845910000003</v>
      </c>
      <c r="N153" s="9"/>
      <c r="O153" s="22">
        <v>0.62011700000000003</v>
      </c>
      <c r="P153" s="22">
        <v>178.09800000000001</v>
      </c>
      <c r="Q153" s="22">
        <v>-1.53656E-2</v>
      </c>
      <c r="R153" s="22">
        <v>143</v>
      </c>
      <c r="S153" s="22">
        <v>0.61959799999999998</v>
      </c>
      <c r="T153">
        <f t="shared" si="26"/>
        <v>15.365600000000001</v>
      </c>
      <c r="U153">
        <f t="shared" si="27"/>
        <v>9.5284697752000014</v>
      </c>
      <c r="X153" s="9"/>
      <c r="Y153" s="22">
        <v>1.07986</v>
      </c>
      <c r="Z153" s="22">
        <v>276.315</v>
      </c>
      <c r="AA153" s="22">
        <v>-1.7474400000000001E-2</v>
      </c>
      <c r="AB153" s="22">
        <v>143</v>
      </c>
      <c r="AC153" s="22">
        <v>1.07941</v>
      </c>
      <c r="AD153">
        <f t="shared" si="28"/>
        <v>17.474400000000003</v>
      </c>
      <c r="AE153">
        <f t="shared" si="29"/>
        <v>18.869905584000005</v>
      </c>
      <c r="AF153" s="9"/>
      <c r="AG153" s="22">
        <v>0.62011700000000003</v>
      </c>
      <c r="AH153" s="22">
        <v>352.05</v>
      </c>
      <c r="AI153" s="22">
        <v>-1.7556800000000001E-2</v>
      </c>
      <c r="AJ153" s="22">
        <v>143</v>
      </c>
      <c r="AK153" s="22">
        <v>0.61981200000000003</v>
      </c>
      <c r="AL153">
        <f t="shared" si="30"/>
        <v>17.556800000000003</v>
      </c>
      <c r="AM153">
        <f t="shared" si="31"/>
        <v>10.887270145600002</v>
      </c>
      <c r="AP153" s="9"/>
      <c r="AQ153" s="22">
        <v>1.07986</v>
      </c>
      <c r="AR153" s="22">
        <v>424.25299999999999</v>
      </c>
      <c r="AS153" s="22">
        <v>-1.7981E-2</v>
      </c>
      <c r="AT153" s="22">
        <v>143</v>
      </c>
      <c r="AU153" s="22">
        <v>1.07941</v>
      </c>
      <c r="AV153">
        <f t="shared" si="32"/>
        <v>17.981000000000002</v>
      </c>
      <c r="AW153">
        <f t="shared" si="33"/>
        <v>19.416962660000003</v>
      </c>
      <c r="AX153" s="9"/>
      <c r="AY153" s="22">
        <v>0.62011700000000003</v>
      </c>
      <c r="AZ153" s="22">
        <v>497.666</v>
      </c>
      <c r="BA153" s="22">
        <v>-1.80115E-2</v>
      </c>
      <c r="BB153" s="22">
        <v>143</v>
      </c>
      <c r="BC153" s="22">
        <v>0.61944600000000005</v>
      </c>
      <c r="BD153">
        <f t="shared" si="34"/>
        <v>18.011499999999998</v>
      </c>
      <c r="BE153">
        <f t="shared" si="35"/>
        <v>11.169237345499999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62.856699999999996</v>
      </c>
      <c r="I154" s="22">
        <v>-1.52344E-2</v>
      </c>
      <c r="J154" s="22">
        <v>144</v>
      </c>
      <c r="K154" s="22">
        <v>1.0739099999999999</v>
      </c>
      <c r="L154">
        <f t="shared" si="24"/>
        <v>15.234400000000001</v>
      </c>
      <c r="M154">
        <f t="shared" si="25"/>
        <v>16.374390152</v>
      </c>
      <c r="N154" s="9"/>
      <c r="O154" s="22">
        <v>0.62515299999999996</v>
      </c>
      <c r="P154" s="22">
        <v>178.19900000000001</v>
      </c>
      <c r="Q154" s="22">
        <v>-1.5362499999999999E-2</v>
      </c>
      <c r="R154" s="22">
        <v>144</v>
      </c>
      <c r="S154" s="22">
        <v>0.62463400000000002</v>
      </c>
      <c r="T154">
        <f t="shared" si="26"/>
        <v>15.362499999999999</v>
      </c>
      <c r="U154">
        <f t="shared" si="27"/>
        <v>9.603912962499999</v>
      </c>
      <c r="X154" s="9"/>
      <c r="Y154" s="22">
        <v>1.07483</v>
      </c>
      <c r="Z154" s="22">
        <v>276.41500000000002</v>
      </c>
      <c r="AA154" s="22">
        <v>-1.7468299999999999E-2</v>
      </c>
      <c r="AB154" s="22">
        <v>144</v>
      </c>
      <c r="AC154" s="22">
        <v>1.0745199999999999</v>
      </c>
      <c r="AD154">
        <f t="shared" si="28"/>
        <v>17.468299999999999</v>
      </c>
      <c r="AE154">
        <f t="shared" si="29"/>
        <v>18.775452888999997</v>
      </c>
      <c r="AF154" s="9"/>
      <c r="AG154" s="22">
        <v>0.62515299999999996</v>
      </c>
      <c r="AH154" s="22">
        <v>352.15100000000001</v>
      </c>
      <c r="AI154" s="22">
        <v>-1.75476E-2</v>
      </c>
      <c r="AJ154" s="22">
        <v>144</v>
      </c>
      <c r="AK154" s="22">
        <v>0.62423700000000004</v>
      </c>
      <c r="AL154">
        <f t="shared" si="30"/>
        <v>17.547599999999999</v>
      </c>
      <c r="AM154">
        <f t="shared" si="31"/>
        <v>10.969934782799999</v>
      </c>
      <c r="AP154" s="9"/>
      <c r="AQ154" s="22">
        <v>1.07483</v>
      </c>
      <c r="AR154" s="22">
        <v>424.35399999999998</v>
      </c>
      <c r="AS154" s="22">
        <v>-1.7987099999999999E-2</v>
      </c>
      <c r="AT154" s="22">
        <v>144</v>
      </c>
      <c r="AU154" s="22">
        <v>1.0739099999999999</v>
      </c>
      <c r="AV154">
        <f t="shared" si="32"/>
        <v>17.987099999999998</v>
      </c>
      <c r="AW154">
        <f t="shared" si="33"/>
        <v>19.333074692999997</v>
      </c>
      <c r="AX154" s="9"/>
      <c r="AY154" s="22">
        <v>0.62515299999999996</v>
      </c>
      <c r="AZ154" s="22">
        <v>497.767</v>
      </c>
      <c r="BA154" s="22">
        <v>-1.8017600000000002E-2</v>
      </c>
      <c r="BB154" s="22">
        <v>144</v>
      </c>
      <c r="BC154" s="22">
        <v>0.62426800000000005</v>
      </c>
      <c r="BD154">
        <f t="shared" si="34"/>
        <v>18.017600000000002</v>
      </c>
      <c r="BE154">
        <f t="shared" si="35"/>
        <v>11.263756692799999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62.9574</v>
      </c>
      <c r="I155" s="22">
        <v>-1.52435E-2</v>
      </c>
      <c r="J155" s="22">
        <v>145</v>
      </c>
      <c r="K155" s="22">
        <v>1.0690299999999999</v>
      </c>
      <c r="L155">
        <f t="shared" si="24"/>
        <v>15.243500000000001</v>
      </c>
      <c r="M155">
        <f t="shared" si="25"/>
        <v>16.307343865</v>
      </c>
      <c r="N155" s="9"/>
      <c r="O155" s="22">
        <v>0.63018799999999997</v>
      </c>
      <c r="P155" s="22">
        <v>178.29900000000001</v>
      </c>
      <c r="Q155" s="22">
        <v>-1.5344200000000001E-2</v>
      </c>
      <c r="R155" s="22">
        <v>145</v>
      </c>
      <c r="S155" s="22">
        <v>0.62963899999999995</v>
      </c>
      <c r="T155">
        <f t="shared" si="26"/>
        <v>15.344200000000001</v>
      </c>
      <c r="U155">
        <f t="shared" si="27"/>
        <v>9.6697307095999996</v>
      </c>
      <c r="X155" s="9"/>
      <c r="Y155" s="22">
        <v>1.06979</v>
      </c>
      <c r="Z155" s="22">
        <v>276.51600000000002</v>
      </c>
      <c r="AA155" s="22">
        <v>-1.74927E-2</v>
      </c>
      <c r="AB155" s="22">
        <v>145</v>
      </c>
      <c r="AC155" s="22">
        <v>1.06934</v>
      </c>
      <c r="AD155">
        <f t="shared" si="28"/>
        <v>17.492699999999999</v>
      </c>
      <c r="AE155">
        <f t="shared" si="29"/>
        <v>18.713515532999999</v>
      </c>
      <c r="AF155" s="9"/>
      <c r="AG155" s="22">
        <v>0.63018799999999997</v>
      </c>
      <c r="AH155" s="22">
        <v>352.25099999999998</v>
      </c>
      <c r="AI155" s="22">
        <v>-1.75476E-2</v>
      </c>
      <c r="AJ155" s="22">
        <v>145</v>
      </c>
      <c r="AK155" s="22">
        <v>0.62970000000000004</v>
      </c>
      <c r="AL155">
        <f t="shared" si="30"/>
        <v>17.547599999999999</v>
      </c>
      <c r="AM155">
        <f t="shared" si="31"/>
        <v>11.058286948799999</v>
      </c>
      <c r="AP155" s="9"/>
      <c r="AQ155" s="22">
        <v>1.06979</v>
      </c>
      <c r="AR155" s="22">
        <v>424.45400000000001</v>
      </c>
      <c r="AS155" s="22">
        <v>-1.7987099999999999E-2</v>
      </c>
      <c r="AT155" s="22">
        <v>145</v>
      </c>
      <c r="AU155" s="22">
        <v>1.06873</v>
      </c>
      <c r="AV155">
        <f t="shared" si="32"/>
        <v>17.987099999999998</v>
      </c>
      <c r="AW155">
        <f t="shared" si="33"/>
        <v>19.242419709</v>
      </c>
      <c r="AX155" s="9"/>
      <c r="AY155" s="22">
        <v>0.63018799999999997</v>
      </c>
      <c r="AZ155" s="22">
        <v>497.86799999999999</v>
      </c>
      <c r="BA155" s="22">
        <v>-1.80115E-2</v>
      </c>
      <c r="BB155" s="22">
        <v>145</v>
      </c>
      <c r="BC155" s="22">
        <v>0.62982199999999999</v>
      </c>
      <c r="BD155">
        <f t="shared" si="34"/>
        <v>18.011499999999998</v>
      </c>
      <c r="BE155">
        <f t="shared" si="35"/>
        <v>11.350631161999999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63.058100000000003</v>
      </c>
      <c r="I156" s="22">
        <v>-1.52374E-2</v>
      </c>
      <c r="J156" s="22">
        <v>146</v>
      </c>
      <c r="K156" s="22">
        <v>1.0632299999999999</v>
      </c>
      <c r="L156">
        <f t="shared" si="24"/>
        <v>15.237399999999999</v>
      </c>
      <c r="M156">
        <f t="shared" si="25"/>
        <v>16.224174023999996</v>
      </c>
      <c r="N156" s="9"/>
      <c r="O156" s="22">
        <v>0.63522299999999998</v>
      </c>
      <c r="P156" s="22">
        <v>178.4</v>
      </c>
      <c r="Q156" s="22">
        <v>-1.5362499999999999E-2</v>
      </c>
      <c r="R156" s="22">
        <v>146</v>
      </c>
      <c r="S156" s="22">
        <v>0.63476600000000005</v>
      </c>
      <c r="T156">
        <f t="shared" si="26"/>
        <v>15.362499999999999</v>
      </c>
      <c r="U156">
        <f t="shared" si="27"/>
        <v>9.7586133374999999</v>
      </c>
      <c r="X156" s="9"/>
      <c r="Y156" s="22">
        <v>1.0647599999999999</v>
      </c>
      <c r="Z156" s="22">
        <v>276.61700000000002</v>
      </c>
      <c r="AA156" s="22">
        <v>-1.7486600000000001E-2</v>
      </c>
      <c r="AB156" s="22">
        <v>146</v>
      </c>
      <c r="AC156" s="22">
        <v>1.0635399999999999</v>
      </c>
      <c r="AD156">
        <f t="shared" si="28"/>
        <v>17.486600000000003</v>
      </c>
      <c r="AE156">
        <f t="shared" si="29"/>
        <v>18.619032216000001</v>
      </c>
      <c r="AF156" s="9"/>
      <c r="AG156" s="22">
        <v>0.63522299999999998</v>
      </c>
      <c r="AH156" s="22">
        <v>352.35199999999998</v>
      </c>
      <c r="AI156" s="22">
        <v>-1.7550699999999999E-2</v>
      </c>
      <c r="AJ156" s="22">
        <v>146</v>
      </c>
      <c r="AK156" s="22">
        <v>0.63464399999999999</v>
      </c>
      <c r="AL156">
        <f t="shared" si="30"/>
        <v>17.550699999999999</v>
      </c>
      <c r="AM156">
        <f t="shared" si="31"/>
        <v>11.1486083061</v>
      </c>
      <c r="AP156" s="9"/>
      <c r="AQ156" s="22">
        <v>1.0647599999999999</v>
      </c>
      <c r="AR156" s="22">
        <v>424.55500000000001</v>
      </c>
      <c r="AS156" s="22">
        <v>-1.7993200000000001E-2</v>
      </c>
      <c r="AT156" s="22">
        <v>146</v>
      </c>
      <c r="AU156" s="22">
        <v>1.0638399999999999</v>
      </c>
      <c r="AV156">
        <f t="shared" si="32"/>
        <v>17.993200000000002</v>
      </c>
      <c r="AW156">
        <f t="shared" si="33"/>
        <v>19.158439632</v>
      </c>
      <c r="AX156" s="9"/>
      <c r="AY156" s="22">
        <v>0.63522299999999998</v>
      </c>
      <c r="AZ156" s="22">
        <v>497.96800000000002</v>
      </c>
      <c r="BA156" s="22">
        <v>-1.80115E-2</v>
      </c>
      <c r="BB156" s="22">
        <v>146</v>
      </c>
      <c r="BC156" s="22">
        <v>0.63443000000000005</v>
      </c>
      <c r="BD156">
        <f t="shared" si="34"/>
        <v>18.011499999999998</v>
      </c>
      <c r="BE156">
        <f t="shared" si="35"/>
        <v>11.441319064499998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63.158799999999999</v>
      </c>
      <c r="I157" s="22">
        <v>-1.52222E-2</v>
      </c>
      <c r="J157" s="22">
        <v>147</v>
      </c>
      <c r="K157" s="22">
        <v>1.0586500000000001</v>
      </c>
      <c r="L157">
        <f t="shared" si="24"/>
        <v>15.222200000000001</v>
      </c>
      <c r="M157">
        <f t="shared" si="25"/>
        <v>16.131269784000001</v>
      </c>
      <c r="N157" s="9"/>
      <c r="O157" s="22">
        <v>0.64025900000000002</v>
      </c>
      <c r="P157" s="22">
        <v>178.501</v>
      </c>
      <c r="Q157" s="22">
        <v>-1.5341199999999999E-2</v>
      </c>
      <c r="R157" s="22">
        <v>147</v>
      </c>
      <c r="S157" s="22">
        <v>0.639679</v>
      </c>
      <c r="T157">
        <f t="shared" si="26"/>
        <v>15.341199999999999</v>
      </c>
      <c r="U157">
        <f t="shared" si="27"/>
        <v>9.8223413708000002</v>
      </c>
      <c r="X157" s="9"/>
      <c r="Y157" s="22">
        <v>1.05972</v>
      </c>
      <c r="Z157" s="22">
        <v>276.71699999999998</v>
      </c>
      <c r="AA157" s="22">
        <v>-1.7486600000000001E-2</v>
      </c>
      <c r="AB157" s="22">
        <v>147</v>
      </c>
      <c r="AC157" s="22">
        <v>1.0583499999999999</v>
      </c>
      <c r="AD157">
        <f t="shared" si="28"/>
        <v>17.486600000000003</v>
      </c>
      <c r="AE157">
        <f t="shared" si="29"/>
        <v>18.530899752000003</v>
      </c>
      <c r="AF157" s="9"/>
      <c r="AG157" s="22">
        <v>0.64025900000000002</v>
      </c>
      <c r="AH157" s="22">
        <v>352.45299999999997</v>
      </c>
      <c r="AI157" s="22">
        <v>-1.7541500000000002E-2</v>
      </c>
      <c r="AJ157" s="22">
        <v>147</v>
      </c>
      <c r="AK157" s="22">
        <v>0.63949599999999995</v>
      </c>
      <c r="AL157">
        <f t="shared" si="30"/>
        <v>17.541500000000003</v>
      </c>
      <c r="AM157">
        <f t="shared" si="31"/>
        <v>11.231103248500002</v>
      </c>
      <c r="AP157" s="9"/>
      <c r="AQ157" s="22">
        <v>1.05972</v>
      </c>
      <c r="AR157" s="22">
        <v>424.65600000000001</v>
      </c>
      <c r="AS157" s="22">
        <v>-1.7990099999999998E-2</v>
      </c>
      <c r="AT157" s="22">
        <v>147</v>
      </c>
      <c r="AU157" s="22">
        <v>1.0586500000000001</v>
      </c>
      <c r="AV157">
        <f t="shared" si="32"/>
        <v>17.990099999999998</v>
      </c>
      <c r="AW157">
        <f t="shared" si="33"/>
        <v>19.064468771999998</v>
      </c>
      <c r="AX157" s="9"/>
      <c r="AY157" s="22">
        <v>0.64025900000000002</v>
      </c>
      <c r="AZ157" s="22">
        <v>498.06900000000002</v>
      </c>
      <c r="BA157" s="22">
        <v>-1.8002299999999999E-2</v>
      </c>
      <c r="BB157" s="22">
        <v>147</v>
      </c>
      <c r="BC157" s="22">
        <v>0.63958700000000002</v>
      </c>
      <c r="BD157">
        <f t="shared" si="34"/>
        <v>18.002299999999998</v>
      </c>
      <c r="BE157">
        <f t="shared" si="35"/>
        <v>11.526134595699999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63.259500000000003</v>
      </c>
      <c r="I158" s="22">
        <v>-1.52374E-2</v>
      </c>
      <c r="J158" s="22">
        <v>148</v>
      </c>
      <c r="K158" s="22">
        <v>1.0540799999999999</v>
      </c>
      <c r="L158">
        <f t="shared" si="24"/>
        <v>15.237399999999999</v>
      </c>
      <c r="M158">
        <f t="shared" si="25"/>
        <v>16.070733405999999</v>
      </c>
      <c r="N158" s="9"/>
      <c r="O158" s="22">
        <v>0.64529400000000003</v>
      </c>
      <c r="P158" s="22">
        <v>178.602</v>
      </c>
      <c r="Q158" s="22">
        <v>-1.5341199999999999E-2</v>
      </c>
      <c r="R158" s="22">
        <v>148</v>
      </c>
      <c r="S158" s="22">
        <v>0.64480599999999999</v>
      </c>
      <c r="T158">
        <f t="shared" si="26"/>
        <v>15.341199999999999</v>
      </c>
      <c r="U158">
        <f t="shared" si="27"/>
        <v>9.8995843128000001</v>
      </c>
      <c r="X158" s="9"/>
      <c r="Y158" s="22">
        <v>1.0546899999999999</v>
      </c>
      <c r="Z158" s="22">
        <v>276.81799999999998</v>
      </c>
      <c r="AA158" s="22">
        <v>-1.7483499999999999E-2</v>
      </c>
      <c r="AB158" s="22">
        <v>148</v>
      </c>
      <c r="AC158" s="22">
        <v>1.0531600000000001</v>
      </c>
      <c r="AD158">
        <f t="shared" si="28"/>
        <v>17.483499999999999</v>
      </c>
      <c r="AE158">
        <f t="shared" si="29"/>
        <v>18.439672614999999</v>
      </c>
      <c r="AF158" s="9"/>
      <c r="AG158" s="22">
        <v>0.64529400000000003</v>
      </c>
      <c r="AH158" s="22">
        <v>352.553</v>
      </c>
      <c r="AI158" s="22">
        <v>-1.7541500000000002E-2</v>
      </c>
      <c r="AJ158" s="22">
        <v>148</v>
      </c>
      <c r="AK158" s="22">
        <v>0.64471400000000001</v>
      </c>
      <c r="AL158">
        <f t="shared" si="30"/>
        <v>17.541500000000003</v>
      </c>
      <c r="AM158">
        <f t="shared" si="31"/>
        <v>11.319424701000003</v>
      </c>
      <c r="AP158" s="9"/>
      <c r="AQ158" s="22">
        <v>1.0546899999999999</v>
      </c>
      <c r="AR158" s="22">
        <v>424.75700000000001</v>
      </c>
      <c r="AS158" s="22">
        <v>-1.7993200000000001E-2</v>
      </c>
      <c r="AT158" s="22">
        <v>148</v>
      </c>
      <c r="AU158" s="22">
        <v>1.0537700000000001</v>
      </c>
      <c r="AV158">
        <f t="shared" si="32"/>
        <v>17.993200000000002</v>
      </c>
      <c r="AW158">
        <f t="shared" si="33"/>
        <v>18.977248108000001</v>
      </c>
      <c r="AX158" s="9"/>
      <c r="AY158" s="22">
        <v>0.64529400000000003</v>
      </c>
      <c r="AZ158" s="22">
        <v>498.17</v>
      </c>
      <c r="BA158" s="22">
        <v>-1.8002299999999999E-2</v>
      </c>
      <c r="BB158" s="22">
        <v>148</v>
      </c>
      <c r="BC158" s="22">
        <v>0.64450099999999999</v>
      </c>
      <c r="BD158">
        <f t="shared" si="34"/>
        <v>18.002299999999998</v>
      </c>
      <c r="BE158">
        <f t="shared" si="35"/>
        <v>11.6167761762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63.360199999999999</v>
      </c>
      <c r="I159" s="22">
        <v>-1.52313E-2</v>
      </c>
      <c r="J159" s="22">
        <v>149</v>
      </c>
      <c r="K159" s="22">
        <v>1.0491900000000001</v>
      </c>
      <c r="L159">
        <f t="shared" si="24"/>
        <v>15.231299999999999</v>
      </c>
      <c r="M159">
        <f t="shared" si="25"/>
        <v>15.987534044999999</v>
      </c>
      <c r="N159" s="9"/>
      <c r="O159" s="22">
        <v>0.65032999999999996</v>
      </c>
      <c r="P159" s="22">
        <v>178.702</v>
      </c>
      <c r="Q159" s="22">
        <v>-1.5362499999999999E-2</v>
      </c>
      <c r="R159" s="22">
        <v>149</v>
      </c>
      <c r="S159" s="22">
        <v>0.64981100000000003</v>
      </c>
      <c r="T159">
        <f t="shared" si="26"/>
        <v>15.362499999999999</v>
      </c>
      <c r="U159">
        <f t="shared" si="27"/>
        <v>9.9906946249999979</v>
      </c>
      <c r="X159" s="9"/>
      <c r="Y159" s="22">
        <v>1.04965</v>
      </c>
      <c r="Z159" s="22">
        <v>276.91899999999998</v>
      </c>
      <c r="AA159" s="22">
        <v>-1.7483499999999999E-2</v>
      </c>
      <c r="AB159" s="22">
        <v>149</v>
      </c>
      <c r="AC159" s="22">
        <v>1.0488900000000001</v>
      </c>
      <c r="AD159">
        <f t="shared" si="28"/>
        <v>17.483499999999999</v>
      </c>
      <c r="AE159">
        <f t="shared" si="29"/>
        <v>18.351555774999998</v>
      </c>
      <c r="AF159" s="9"/>
      <c r="AG159" s="22">
        <v>0.65032999999999996</v>
      </c>
      <c r="AH159" s="22">
        <v>352.654</v>
      </c>
      <c r="AI159" s="22">
        <v>-1.75446E-2</v>
      </c>
      <c r="AJ159" s="22">
        <v>149</v>
      </c>
      <c r="AK159" s="22">
        <v>0.64975000000000005</v>
      </c>
      <c r="AL159">
        <f t="shared" si="30"/>
        <v>17.544599999999999</v>
      </c>
      <c r="AM159">
        <f t="shared" si="31"/>
        <v>11.409779717999999</v>
      </c>
      <c r="AP159" s="9"/>
      <c r="AQ159" s="22">
        <v>1.04965</v>
      </c>
      <c r="AR159" s="22">
        <v>424.85700000000003</v>
      </c>
      <c r="AS159" s="22">
        <v>-1.8002299999999999E-2</v>
      </c>
      <c r="AT159" s="22">
        <v>149</v>
      </c>
      <c r="AU159" s="22">
        <v>1.0485800000000001</v>
      </c>
      <c r="AV159">
        <f t="shared" si="32"/>
        <v>18.002299999999998</v>
      </c>
      <c r="AW159">
        <f t="shared" si="33"/>
        <v>18.896114194999999</v>
      </c>
      <c r="AX159" s="9"/>
      <c r="AY159" s="22">
        <v>0.65032999999999996</v>
      </c>
      <c r="AZ159" s="22">
        <v>498.27</v>
      </c>
      <c r="BA159" s="22">
        <v>-1.7999299999999999E-2</v>
      </c>
      <c r="BB159" s="22">
        <v>149</v>
      </c>
      <c r="BC159" s="22">
        <v>0.64971900000000005</v>
      </c>
      <c r="BD159">
        <f t="shared" si="34"/>
        <v>17.999299999999998</v>
      </c>
      <c r="BE159">
        <f t="shared" si="35"/>
        <v>11.705484768999998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63.460999999999999</v>
      </c>
      <c r="I160" s="22">
        <v>-1.52374E-2</v>
      </c>
      <c r="J160" s="22">
        <v>150</v>
      </c>
      <c r="K160" s="22">
        <v>1.0440100000000001</v>
      </c>
      <c r="L160">
        <f t="shared" si="24"/>
        <v>15.237399999999999</v>
      </c>
      <c r="M160">
        <f t="shared" si="25"/>
        <v>15.917292788000001</v>
      </c>
      <c r="N160" s="9"/>
      <c r="O160" s="22">
        <v>0.65536499999999998</v>
      </c>
      <c r="P160" s="22">
        <v>178.803</v>
      </c>
      <c r="Q160" s="22">
        <v>-1.53381E-2</v>
      </c>
      <c r="R160" s="22">
        <v>150</v>
      </c>
      <c r="S160" s="22">
        <v>0.65481599999999995</v>
      </c>
      <c r="T160">
        <f t="shared" si="26"/>
        <v>15.338100000000001</v>
      </c>
      <c r="U160">
        <f t="shared" si="27"/>
        <v>10.052053906499999</v>
      </c>
      <c r="X160" s="9"/>
      <c r="Y160" s="22">
        <v>1.0446200000000001</v>
      </c>
      <c r="Z160" s="22">
        <v>277.02</v>
      </c>
      <c r="AA160" s="22">
        <v>-1.7489600000000001E-2</v>
      </c>
      <c r="AB160" s="22">
        <v>150</v>
      </c>
      <c r="AC160" s="22">
        <v>1.0437000000000001</v>
      </c>
      <c r="AD160">
        <f t="shared" si="28"/>
        <v>17.489599999999999</v>
      </c>
      <c r="AE160">
        <f t="shared" si="29"/>
        <v>18.269985952000003</v>
      </c>
      <c r="AF160" s="9"/>
      <c r="AG160" s="22">
        <v>0.65536499999999998</v>
      </c>
      <c r="AH160" s="22">
        <v>352.755</v>
      </c>
      <c r="AI160" s="22">
        <v>-1.7541500000000002E-2</v>
      </c>
      <c r="AJ160" s="22">
        <v>150</v>
      </c>
      <c r="AK160" s="22">
        <v>0.65490700000000002</v>
      </c>
      <c r="AL160">
        <f t="shared" si="30"/>
        <v>17.541500000000003</v>
      </c>
      <c r="AM160">
        <f t="shared" si="31"/>
        <v>11.496085147500001</v>
      </c>
      <c r="AP160" s="9"/>
      <c r="AQ160" s="22">
        <v>1.0446200000000001</v>
      </c>
      <c r="AR160" s="22">
        <v>424.95800000000003</v>
      </c>
      <c r="AS160" s="22">
        <v>-1.7999299999999999E-2</v>
      </c>
      <c r="AT160" s="22">
        <v>150</v>
      </c>
      <c r="AU160" s="22">
        <v>1.0437000000000001</v>
      </c>
      <c r="AV160">
        <f t="shared" si="32"/>
        <v>17.999299999999998</v>
      </c>
      <c r="AW160">
        <f t="shared" si="33"/>
        <v>18.802428765999998</v>
      </c>
      <c r="AX160" s="9"/>
      <c r="AY160" s="22">
        <v>0.65536499999999998</v>
      </c>
      <c r="AZ160" s="22">
        <v>498.37099999999998</v>
      </c>
      <c r="BA160" s="22">
        <v>-1.79962E-2</v>
      </c>
      <c r="BB160" s="22">
        <v>150</v>
      </c>
      <c r="BC160" s="22">
        <v>0.65475499999999998</v>
      </c>
      <c r="BD160">
        <f t="shared" si="34"/>
        <v>17.996200000000002</v>
      </c>
      <c r="BE160">
        <f t="shared" si="35"/>
        <v>11.794079613000001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63.561700000000002</v>
      </c>
      <c r="I161" s="22">
        <v>-1.52344E-2</v>
      </c>
      <c r="J161" s="22">
        <v>151</v>
      </c>
      <c r="K161" s="22">
        <v>1.0388200000000001</v>
      </c>
      <c r="L161">
        <f t="shared" si="24"/>
        <v>15.234400000000001</v>
      </c>
      <c r="M161">
        <f t="shared" si="25"/>
        <v>15.837377552</v>
      </c>
      <c r="N161" s="9"/>
      <c r="O161" s="22">
        <v>0.66039999999999999</v>
      </c>
      <c r="P161" s="22">
        <v>178.904</v>
      </c>
      <c r="Q161" s="22">
        <v>-1.53198E-2</v>
      </c>
      <c r="R161" s="22">
        <v>151</v>
      </c>
      <c r="S161" s="22">
        <v>0.65991200000000005</v>
      </c>
      <c r="T161">
        <f t="shared" si="26"/>
        <v>15.319799999999999</v>
      </c>
      <c r="U161">
        <f t="shared" si="27"/>
        <v>10.117195919999999</v>
      </c>
      <c r="X161" s="9"/>
      <c r="Y161" s="22">
        <v>1.0395799999999999</v>
      </c>
      <c r="Z161" s="22">
        <v>277.12</v>
      </c>
      <c r="AA161" s="22">
        <v>-1.7486600000000001E-2</v>
      </c>
      <c r="AB161" s="22">
        <v>151</v>
      </c>
      <c r="AC161" s="22">
        <v>1.0382100000000001</v>
      </c>
      <c r="AD161">
        <f t="shared" si="28"/>
        <v>17.486600000000003</v>
      </c>
      <c r="AE161">
        <f t="shared" si="29"/>
        <v>18.178719628000003</v>
      </c>
      <c r="AF161" s="9"/>
      <c r="AG161" s="22">
        <v>0.66039999999999999</v>
      </c>
      <c r="AH161" s="22">
        <v>352.85599999999999</v>
      </c>
      <c r="AI161" s="22">
        <v>-1.75354E-2</v>
      </c>
      <c r="AJ161" s="22">
        <v>151</v>
      </c>
      <c r="AK161" s="22">
        <v>0.65957600000000005</v>
      </c>
      <c r="AL161">
        <f t="shared" si="30"/>
        <v>17.535399999999999</v>
      </c>
      <c r="AM161">
        <f t="shared" si="31"/>
        <v>11.580378159999999</v>
      </c>
      <c r="AP161" s="9"/>
      <c r="AQ161" s="22">
        <v>1.0395799999999999</v>
      </c>
      <c r="AR161" s="22">
        <v>425.05900000000003</v>
      </c>
      <c r="AS161" s="22">
        <v>-1.79962E-2</v>
      </c>
      <c r="AT161" s="22">
        <v>151</v>
      </c>
      <c r="AU161" s="22">
        <v>1.03851</v>
      </c>
      <c r="AV161">
        <f t="shared" si="32"/>
        <v>17.996200000000002</v>
      </c>
      <c r="AW161">
        <f t="shared" si="33"/>
        <v>18.708489596</v>
      </c>
      <c r="AX161" s="9"/>
      <c r="AY161" s="22">
        <v>0.66039999999999999</v>
      </c>
      <c r="AZ161" s="22">
        <v>498.47199999999998</v>
      </c>
      <c r="BA161" s="22">
        <v>-1.7993200000000001E-2</v>
      </c>
      <c r="BB161" s="22">
        <v>151</v>
      </c>
      <c r="BC161" s="22">
        <v>0.65966800000000003</v>
      </c>
      <c r="BD161">
        <f t="shared" si="34"/>
        <v>17.993200000000002</v>
      </c>
      <c r="BE161">
        <f t="shared" si="35"/>
        <v>11.88270928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63.662399999999998</v>
      </c>
      <c r="I162" s="22">
        <v>-1.52313E-2</v>
      </c>
      <c r="J162" s="22">
        <v>152</v>
      </c>
      <c r="K162" s="22">
        <v>1.0339400000000001</v>
      </c>
      <c r="L162">
        <f t="shared" si="24"/>
        <v>15.231299999999999</v>
      </c>
      <c r="M162">
        <f t="shared" si="25"/>
        <v>15.757541415</v>
      </c>
      <c r="N162" s="9"/>
      <c r="O162" s="22">
        <v>0.66543600000000003</v>
      </c>
      <c r="P162" s="22">
        <v>179.00399999999999</v>
      </c>
      <c r="Q162" s="22">
        <v>-1.53259E-2</v>
      </c>
      <c r="R162" s="22">
        <v>152</v>
      </c>
      <c r="S162" s="22">
        <v>0.66488599999999998</v>
      </c>
      <c r="T162">
        <f t="shared" si="26"/>
        <v>15.325900000000001</v>
      </c>
      <c r="U162">
        <f t="shared" si="27"/>
        <v>10.1984055924</v>
      </c>
      <c r="X162" s="9"/>
      <c r="Y162" s="22">
        <v>1.0345500000000001</v>
      </c>
      <c r="Z162" s="22">
        <v>277.221</v>
      </c>
      <c r="AA162" s="22">
        <v>-1.7486600000000001E-2</v>
      </c>
      <c r="AB162" s="22">
        <v>152</v>
      </c>
      <c r="AC162" s="22">
        <v>1.03363</v>
      </c>
      <c r="AD162">
        <f t="shared" si="28"/>
        <v>17.486600000000003</v>
      </c>
      <c r="AE162">
        <f t="shared" si="29"/>
        <v>18.090762030000004</v>
      </c>
      <c r="AF162" s="9"/>
      <c r="AG162" s="22">
        <v>0.66543600000000003</v>
      </c>
      <c r="AH162" s="22">
        <v>352.95600000000002</v>
      </c>
      <c r="AI162" s="22">
        <v>-1.7532300000000001E-2</v>
      </c>
      <c r="AJ162" s="22">
        <v>152</v>
      </c>
      <c r="AK162" s="22">
        <v>0.66436799999999996</v>
      </c>
      <c r="AL162">
        <f t="shared" si="30"/>
        <v>17.532299999999999</v>
      </c>
      <c r="AM162">
        <f t="shared" si="31"/>
        <v>11.6666235828</v>
      </c>
      <c r="AP162" s="9"/>
      <c r="AQ162" s="22">
        <v>1.0345500000000001</v>
      </c>
      <c r="AR162" s="22">
        <v>425.15899999999999</v>
      </c>
      <c r="AS162" s="22">
        <v>-1.8002299999999999E-2</v>
      </c>
      <c r="AT162" s="22">
        <v>152</v>
      </c>
      <c r="AU162" s="22">
        <v>1.0339400000000001</v>
      </c>
      <c r="AV162">
        <f t="shared" si="32"/>
        <v>18.002299999999998</v>
      </c>
      <c r="AW162">
        <f t="shared" si="33"/>
        <v>18.624279465000001</v>
      </c>
      <c r="AX162" s="9"/>
      <c r="AY162" s="22">
        <v>0.66543600000000003</v>
      </c>
      <c r="AZ162" s="22">
        <v>498.57299999999998</v>
      </c>
      <c r="BA162" s="22">
        <v>-1.7990099999999998E-2</v>
      </c>
      <c r="BB162" s="22">
        <v>152</v>
      </c>
      <c r="BC162" s="22">
        <v>0.66522199999999998</v>
      </c>
      <c r="BD162">
        <f t="shared" si="34"/>
        <v>17.990099999999998</v>
      </c>
      <c r="BE162">
        <f t="shared" si="35"/>
        <v>11.9712601836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63.763100000000001</v>
      </c>
      <c r="I163" s="22">
        <v>-1.52435E-2</v>
      </c>
      <c r="J163" s="22">
        <v>153</v>
      </c>
      <c r="K163" s="22">
        <v>1.02844</v>
      </c>
      <c r="L163">
        <f t="shared" si="24"/>
        <v>15.243500000000001</v>
      </c>
      <c r="M163">
        <f t="shared" si="25"/>
        <v>15.693335684999999</v>
      </c>
      <c r="N163" s="9"/>
      <c r="O163" s="22">
        <v>0.67047100000000004</v>
      </c>
      <c r="P163" s="22">
        <v>179.10499999999999</v>
      </c>
      <c r="Q163" s="22">
        <v>-1.53229E-2</v>
      </c>
      <c r="R163" s="22">
        <v>153</v>
      </c>
      <c r="S163" s="22">
        <v>0.66992200000000002</v>
      </c>
      <c r="T163">
        <f t="shared" si="26"/>
        <v>15.322900000000001</v>
      </c>
      <c r="U163">
        <f t="shared" si="27"/>
        <v>10.273560085900002</v>
      </c>
      <c r="X163" s="9"/>
      <c r="Y163" s="22">
        <v>1.0295099999999999</v>
      </c>
      <c r="Z163" s="22">
        <v>277.322</v>
      </c>
      <c r="AA163" s="22">
        <v>-1.7486600000000001E-2</v>
      </c>
      <c r="AB163" s="22">
        <v>153</v>
      </c>
      <c r="AC163" s="22">
        <v>1.0287500000000001</v>
      </c>
      <c r="AD163">
        <f t="shared" si="28"/>
        <v>17.486600000000003</v>
      </c>
      <c r="AE163">
        <f t="shared" si="29"/>
        <v>18.002629566000003</v>
      </c>
      <c r="AF163" s="9"/>
      <c r="AG163" s="22">
        <v>0.67047100000000004</v>
      </c>
      <c r="AH163" s="22">
        <v>353.05700000000002</v>
      </c>
      <c r="AI163" s="22">
        <v>-1.75354E-2</v>
      </c>
      <c r="AJ163" s="22">
        <v>153</v>
      </c>
      <c r="AK163" s="22">
        <v>0.66970799999999997</v>
      </c>
      <c r="AL163">
        <f t="shared" si="30"/>
        <v>17.535399999999999</v>
      </c>
      <c r="AM163">
        <f t="shared" si="31"/>
        <v>11.756977173400001</v>
      </c>
      <c r="AP163" s="9"/>
      <c r="AQ163" s="22">
        <v>1.0295099999999999</v>
      </c>
      <c r="AR163" s="22">
        <v>425.26</v>
      </c>
      <c r="AS163" s="22">
        <v>-1.8008400000000001E-2</v>
      </c>
      <c r="AT163" s="22">
        <v>153</v>
      </c>
      <c r="AU163" s="22">
        <v>1.02844</v>
      </c>
      <c r="AV163">
        <f t="shared" si="32"/>
        <v>18.008400000000002</v>
      </c>
      <c r="AW163">
        <f t="shared" si="33"/>
        <v>18.539827884000001</v>
      </c>
      <c r="AX163" s="9"/>
      <c r="AY163" s="22">
        <v>0.67047100000000004</v>
      </c>
      <c r="AZ163" s="22">
        <v>498.673</v>
      </c>
      <c r="BA163" s="22">
        <v>-1.7993200000000001E-2</v>
      </c>
      <c r="BB163" s="22">
        <v>153</v>
      </c>
      <c r="BC163" s="22">
        <v>0.66958600000000001</v>
      </c>
      <c r="BD163">
        <f t="shared" si="34"/>
        <v>17.993200000000002</v>
      </c>
      <c r="BE163">
        <f t="shared" si="35"/>
        <v>12.063918797200001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63.863799999999998</v>
      </c>
      <c r="I164" s="22">
        <v>-1.5255700000000001E-2</v>
      </c>
      <c r="J164" s="22">
        <v>154</v>
      </c>
      <c r="K164" s="22">
        <v>1.02356</v>
      </c>
      <c r="L164">
        <f t="shared" si="24"/>
        <v>15.255700000000001</v>
      </c>
      <c r="M164">
        <f t="shared" si="25"/>
        <v>15.629159536000001</v>
      </c>
      <c r="N164" s="9"/>
      <c r="O164" s="22">
        <v>0.67550699999999997</v>
      </c>
      <c r="P164" s="22">
        <v>179.20599999999999</v>
      </c>
      <c r="Q164" s="22">
        <v>-1.5332E-2</v>
      </c>
      <c r="R164" s="22">
        <v>154</v>
      </c>
      <c r="S164" s="22">
        <v>0.67492700000000005</v>
      </c>
      <c r="T164">
        <f t="shared" si="26"/>
        <v>15.332000000000001</v>
      </c>
      <c r="U164">
        <f t="shared" si="27"/>
        <v>10.356873324</v>
      </c>
      <c r="X164" s="9"/>
      <c r="Y164" s="22">
        <v>1.0244800000000001</v>
      </c>
      <c r="Z164" s="22">
        <v>277.42200000000003</v>
      </c>
      <c r="AA164" s="22">
        <v>-1.7468299999999999E-2</v>
      </c>
      <c r="AB164" s="22">
        <v>154</v>
      </c>
      <c r="AC164" s="22">
        <v>1.02295</v>
      </c>
      <c r="AD164">
        <f t="shared" si="28"/>
        <v>17.468299999999999</v>
      </c>
      <c r="AE164">
        <f t="shared" si="29"/>
        <v>17.895923984</v>
      </c>
      <c r="AF164" s="9"/>
      <c r="AG164" s="22">
        <v>0.67550699999999997</v>
      </c>
      <c r="AH164" s="22">
        <v>353.15800000000002</v>
      </c>
      <c r="AI164" s="22">
        <v>-1.75354E-2</v>
      </c>
      <c r="AJ164" s="22">
        <v>154</v>
      </c>
      <c r="AK164" s="22">
        <v>0.67520100000000005</v>
      </c>
      <c r="AL164">
        <f t="shared" si="30"/>
        <v>17.535399999999999</v>
      </c>
      <c r="AM164">
        <f t="shared" si="31"/>
        <v>11.845285447799998</v>
      </c>
      <c r="AP164" s="9"/>
      <c r="AQ164" s="22">
        <v>1.0244800000000001</v>
      </c>
      <c r="AR164" s="22">
        <v>425.36099999999999</v>
      </c>
      <c r="AS164" s="22">
        <v>-1.8008400000000001E-2</v>
      </c>
      <c r="AT164" s="22">
        <v>154</v>
      </c>
      <c r="AU164" s="22">
        <v>1.02295</v>
      </c>
      <c r="AV164">
        <f t="shared" si="32"/>
        <v>18.008400000000002</v>
      </c>
      <c r="AW164">
        <f t="shared" si="33"/>
        <v>18.449245632000004</v>
      </c>
      <c r="AX164" s="9"/>
      <c r="AY164" s="22">
        <v>0.67550699999999997</v>
      </c>
      <c r="AZ164" s="22">
        <v>498.774</v>
      </c>
      <c r="BA164" s="22">
        <v>-1.7987099999999999E-2</v>
      </c>
      <c r="BB164" s="22">
        <v>154</v>
      </c>
      <c r="BC164" s="22">
        <v>0.67446899999999999</v>
      </c>
      <c r="BD164">
        <f t="shared" si="34"/>
        <v>17.987099999999998</v>
      </c>
      <c r="BE164">
        <f t="shared" si="35"/>
        <v>12.150411959699998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63.964500000000001</v>
      </c>
      <c r="I165" s="22">
        <v>-1.5255700000000001E-2</v>
      </c>
      <c r="J165" s="22">
        <v>155</v>
      </c>
      <c r="K165" s="22">
        <v>1.01868</v>
      </c>
      <c r="L165">
        <f t="shared" si="24"/>
        <v>15.255700000000001</v>
      </c>
      <c r="M165">
        <f t="shared" si="25"/>
        <v>15.552270807999999</v>
      </c>
      <c r="N165" s="9"/>
      <c r="O165" s="22">
        <v>0.68054199999999998</v>
      </c>
      <c r="P165" s="22">
        <v>179.30600000000001</v>
      </c>
      <c r="Q165" s="22">
        <v>-1.53107E-2</v>
      </c>
      <c r="R165" s="22">
        <v>155</v>
      </c>
      <c r="S165" s="22">
        <v>0.68002300000000004</v>
      </c>
      <c r="T165">
        <f t="shared" si="26"/>
        <v>15.310700000000001</v>
      </c>
      <c r="U165">
        <f t="shared" si="27"/>
        <v>10.4195743994</v>
      </c>
      <c r="X165" s="9"/>
      <c r="Y165" s="22">
        <v>1.0194399999999999</v>
      </c>
      <c r="Z165" s="22">
        <v>277.52300000000002</v>
      </c>
      <c r="AA165" s="22">
        <v>-1.7471299999999999E-2</v>
      </c>
      <c r="AB165" s="22">
        <v>155</v>
      </c>
      <c r="AC165" s="22">
        <v>1.01837</v>
      </c>
      <c r="AD165">
        <f t="shared" si="28"/>
        <v>17.471299999999999</v>
      </c>
      <c r="AE165">
        <f t="shared" si="29"/>
        <v>17.810942071999996</v>
      </c>
      <c r="AF165" s="9"/>
      <c r="AG165" s="22">
        <v>0.68054199999999998</v>
      </c>
      <c r="AH165" s="22">
        <v>353.25799999999998</v>
      </c>
      <c r="AI165" s="22">
        <v>-1.7526199999999999E-2</v>
      </c>
      <c r="AJ165" s="22">
        <v>155</v>
      </c>
      <c r="AK165" s="22">
        <v>0.68038900000000002</v>
      </c>
      <c r="AL165">
        <f t="shared" si="30"/>
        <v>17.526199999999999</v>
      </c>
      <c r="AM165">
        <f t="shared" si="31"/>
        <v>11.927315200399999</v>
      </c>
      <c r="AP165" s="9"/>
      <c r="AQ165" s="22">
        <v>1.0194399999999999</v>
      </c>
      <c r="AR165" s="22">
        <v>425.46199999999999</v>
      </c>
      <c r="AS165" s="22">
        <v>-1.8005400000000001E-2</v>
      </c>
      <c r="AT165" s="22">
        <v>155</v>
      </c>
      <c r="AU165" s="22">
        <v>1.01807</v>
      </c>
      <c r="AV165">
        <f t="shared" si="32"/>
        <v>18.005400000000002</v>
      </c>
      <c r="AW165">
        <f t="shared" si="33"/>
        <v>18.355424975999998</v>
      </c>
      <c r="AX165" s="9"/>
      <c r="AY165" s="22">
        <v>0.68054199999999998</v>
      </c>
      <c r="AZ165" s="22">
        <v>498.875</v>
      </c>
      <c r="BA165" s="22">
        <v>-1.79718E-2</v>
      </c>
      <c r="BB165" s="22">
        <v>155</v>
      </c>
      <c r="BC165" s="22">
        <v>0.679871</v>
      </c>
      <c r="BD165">
        <f t="shared" si="34"/>
        <v>17.971799999999998</v>
      </c>
      <c r="BE165">
        <f t="shared" si="35"/>
        <v>12.230564715599998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64.065200000000004</v>
      </c>
      <c r="I166" s="22">
        <v>-1.52496E-2</v>
      </c>
      <c r="J166" s="22">
        <v>156</v>
      </c>
      <c r="K166" s="22">
        <v>1.01379</v>
      </c>
      <c r="L166">
        <f t="shared" si="24"/>
        <v>15.249600000000001</v>
      </c>
      <c r="M166">
        <f t="shared" si="25"/>
        <v>15.46919424</v>
      </c>
      <c r="N166" s="9"/>
      <c r="O166" s="22">
        <v>0.68557699999999999</v>
      </c>
      <c r="P166" s="22">
        <v>179.40700000000001</v>
      </c>
      <c r="Q166" s="22">
        <v>-1.5292399999999999E-2</v>
      </c>
      <c r="R166" s="22">
        <v>156</v>
      </c>
      <c r="S166" s="22">
        <v>0.68502799999999997</v>
      </c>
      <c r="T166">
        <f t="shared" si="26"/>
        <v>15.292399999999999</v>
      </c>
      <c r="U166">
        <f t="shared" si="27"/>
        <v>10.4841177148</v>
      </c>
      <c r="X166" s="9"/>
      <c r="Y166" s="22">
        <v>1.0144</v>
      </c>
      <c r="Z166" s="22">
        <v>277.62400000000002</v>
      </c>
      <c r="AA166" s="22">
        <v>-1.74805E-2</v>
      </c>
      <c r="AB166" s="22">
        <v>156</v>
      </c>
      <c r="AC166" s="22">
        <v>1.01349</v>
      </c>
      <c r="AD166">
        <f t="shared" si="28"/>
        <v>17.480499999999999</v>
      </c>
      <c r="AE166">
        <f t="shared" si="29"/>
        <v>17.732219199999999</v>
      </c>
      <c r="AF166" s="9"/>
      <c r="AG166" s="22">
        <v>0.68557699999999999</v>
      </c>
      <c r="AH166" s="22">
        <v>353.35899999999998</v>
      </c>
      <c r="AI166" s="22">
        <v>-1.7526199999999999E-2</v>
      </c>
      <c r="AJ166" s="22">
        <v>156</v>
      </c>
      <c r="AK166" s="22">
        <v>0.68493700000000002</v>
      </c>
      <c r="AL166">
        <f t="shared" si="30"/>
        <v>17.526199999999999</v>
      </c>
      <c r="AM166">
        <f t="shared" si="31"/>
        <v>12.015559617399999</v>
      </c>
      <c r="AP166" s="9"/>
      <c r="AQ166" s="22">
        <v>1.0144</v>
      </c>
      <c r="AR166" s="22">
        <v>425.56200000000001</v>
      </c>
      <c r="AS166" s="22">
        <v>-1.80115E-2</v>
      </c>
      <c r="AT166" s="22">
        <v>156</v>
      </c>
      <c r="AU166" s="22">
        <v>1.01349</v>
      </c>
      <c r="AV166">
        <f t="shared" si="32"/>
        <v>18.011499999999998</v>
      </c>
      <c r="AW166">
        <f t="shared" si="33"/>
        <v>18.270865599999997</v>
      </c>
      <c r="AX166" s="9"/>
      <c r="AY166" s="22">
        <v>0.68557699999999999</v>
      </c>
      <c r="AZ166" s="22">
        <v>498.97500000000002</v>
      </c>
      <c r="BA166" s="22">
        <v>-1.7981E-2</v>
      </c>
      <c r="BB166" s="22">
        <v>156</v>
      </c>
      <c r="BC166" s="22">
        <v>0.68502799999999997</v>
      </c>
      <c r="BD166">
        <f t="shared" si="34"/>
        <v>17.981000000000002</v>
      </c>
      <c r="BE166">
        <f t="shared" si="35"/>
        <v>12.327360037000002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64.165899999999993</v>
      </c>
      <c r="I167" s="22">
        <v>-1.5255700000000001E-2</v>
      </c>
      <c r="J167" s="22">
        <v>157</v>
      </c>
      <c r="K167" s="22">
        <v>1.00861</v>
      </c>
      <c r="L167">
        <f t="shared" si="24"/>
        <v>15.255700000000001</v>
      </c>
      <c r="M167">
        <f t="shared" si="25"/>
        <v>15.398645909000003</v>
      </c>
      <c r="N167" s="9"/>
      <c r="O167" s="22">
        <v>0.69061300000000003</v>
      </c>
      <c r="P167" s="22">
        <v>179.50800000000001</v>
      </c>
      <c r="Q167" s="22">
        <v>-1.5273999999999999E-2</v>
      </c>
      <c r="R167" s="22">
        <v>157</v>
      </c>
      <c r="S167" s="22">
        <v>0.690002</v>
      </c>
      <c r="T167">
        <f t="shared" si="26"/>
        <v>15.273999999999999</v>
      </c>
      <c r="U167">
        <f t="shared" si="27"/>
        <v>10.548422962</v>
      </c>
      <c r="X167" s="9"/>
      <c r="Y167" s="22">
        <v>1.0093700000000001</v>
      </c>
      <c r="Z167" s="22">
        <v>277.72500000000002</v>
      </c>
      <c r="AA167" s="22">
        <v>-1.74805E-2</v>
      </c>
      <c r="AB167" s="22">
        <v>157</v>
      </c>
      <c r="AC167" s="22">
        <v>1.0083</v>
      </c>
      <c r="AD167">
        <f t="shared" si="28"/>
        <v>17.480499999999999</v>
      </c>
      <c r="AE167">
        <f t="shared" si="29"/>
        <v>17.644292285000002</v>
      </c>
      <c r="AF167" s="9"/>
      <c r="AG167" s="22">
        <v>0.69061300000000003</v>
      </c>
      <c r="AH167" s="22">
        <v>353.46</v>
      </c>
      <c r="AI167" s="22">
        <v>-1.7526199999999999E-2</v>
      </c>
      <c r="AJ167" s="22">
        <v>157</v>
      </c>
      <c r="AK167" s="22">
        <v>0.69030800000000003</v>
      </c>
      <c r="AL167">
        <f t="shared" si="30"/>
        <v>17.526199999999999</v>
      </c>
      <c r="AM167">
        <f t="shared" si="31"/>
        <v>12.1038215606</v>
      </c>
      <c r="AP167" s="9"/>
      <c r="AQ167" s="22">
        <v>1.0093700000000001</v>
      </c>
      <c r="AR167" s="22">
        <v>425.66300000000001</v>
      </c>
      <c r="AS167" s="22">
        <v>-1.8008400000000001E-2</v>
      </c>
      <c r="AT167" s="22">
        <v>157</v>
      </c>
      <c r="AU167" s="22">
        <v>1.00861</v>
      </c>
      <c r="AV167">
        <f t="shared" si="32"/>
        <v>18.008400000000002</v>
      </c>
      <c r="AW167">
        <f t="shared" si="33"/>
        <v>18.177138708000005</v>
      </c>
      <c r="AX167" s="9"/>
      <c r="AY167" s="22">
        <v>0.69061300000000003</v>
      </c>
      <c r="AZ167" s="22">
        <v>499.07600000000002</v>
      </c>
      <c r="BA167" s="22">
        <v>-1.7984E-2</v>
      </c>
      <c r="BB167" s="22">
        <v>157</v>
      </c>
      <c r="BC167" s="22">
        <v>0.68984999999999996</v>
      </c>
      <c r="BD167">
        <f t="shared" si="34"/>
        <v>17.984000000000002</v>
      </c>
      <c r="BE167">
        <f t="shared" si="35"/>
        <v>12.419984192000001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64.266599999999997</v>
      </c>
      <c r="I168" s="22">
        <v>-1.5261800000000001E-2</v>
      </c>
      <c r="J168" s="22">
        <v>158</v>
      </c>
      <c r="K168" s="22">
        <v>1.0031099999999999</v>
      </c>
      <c r="L168">
        <f t="shared" si="24"/>
        <v>15.261800000000001</v>
      </c>
      <c r="M168">
        <f t="shared" si="25"/>
        <v>15.327883593999999</v>
      </c>
      <c r="N168" s="9"/>
      <c r="O168" s="22">
        <v>0.69564800000000004</v>
      </c>
      <c r="P168" s="22">
        <v>179.60900000000001</v>
      </c>
      <c r="Q168" s="22">
        <v>-1.5271E-2</v>
      </c>
      <c r="R168" s="22">
        <v>158</v>
      </c>
      <c r="S168" s="22">
        <v>0.69509900000000002</v>
      </c>
      <c r="T168">
        <f t="shared" si="26"/>
        <v>15.270999999999999</v>
      </c>
      <c r="U168">
        <f t="shared" si="27"/>
        <v>10.623240608</v>
      </c>
      <c r="X168" s="9"/>
      <c r="Y168" s="22">
        <v>1.0043299999999999</v>
      </c>
      <c r="Z168" s="22">
        <v>277.82499999999999</v>
      </c>
      <c r="AA168" s="22">
        <v>-1.7477400000000001E-2</v>
      </c>
      <c r="AB168" s="22">
        <v>158</v>
      </c>
      <c r="AC168" s="22">
        <v>1.00342</v>
      </c>
      <c r="AD168">
        <f t="shared" si="28"/>
        <v>17.477399999999999</v>
      </c>
      <c r="AE168">
        <f t="shared" si="29"/>
        <v>17.553077141999999</v>
      </c>
      <c r="AF168" s="9"/>
      <c r="AG168" s="22">
        <v>0.69564800000000004</v>
      </c>
      <c r="AH168" s="22">
        <v>353.56</v>
      </c>
      <c r="AI168" s="22">
        <v>-1.7529300000000001E-2</v>
      </c>
      <c r="AJ168" s="22">
        <v>158</v>
      </c>
      <c r="AK168" s="22">
        <v>0.69506800000000002</v>
      </c>
      <c r="AL168">
        <f t="shared" si="30"/>
        <v>17.529300000000003</v>
      </c>
      <c r="AM168">
        <f t="shared" si="31"/>
        <v>12.194222486400003</v>
      </c>
      <c r="AP168" s="9"/>
      <c r="AQ168" s="22">
        <v>1.0043299999999999</v>
      </c>
      <c r="AR168" s="22">
        <v>425.76400000000001</v>
      </c>
      <c r="AS168" s="22">
        <v>-1.8008400000000001E-2</v>
      </c>
      <c r="AT168" s="22">
        <v>158</v>
      </c>
      <c r="AU168" s="22">
        <v>1.00342</v>
      </c>
      <c r="AV168">
        <f t="shared" si="32"/>
        <v>18.008400000000002</v>
      </c>
      <c r="AW168">
        <f t="shared" si="33"/>
        <v>18.086376372</v>
      </c>
      <c r="AX168" s="9"/>
      <c r="AY168" s="22">
        <v>0.69564800000000004</v>
      </c>
      <c r="AZ168" s="22">
        <v>499.17700000000002</v>
      </c>
      <c r="BA168" s="22">
        <v>-1.7981E-2</v>
      </c>
      <c r="BB168" s="22">
        <v>158</v>
      </c>
      <c r="BC168" s="22">
        <v>0.69522099999999998</v>
      </c>
      <c r="BD168">
        <f t="shared" si="34"/>
        <v>17.981000000000002</v>
      </c>
      <c r="BE168">
        <f t="shared" si="35"/>
        <v>12.508446688000001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64.3673</v>
      </c>
      <c r="I169" s="22">
        <v>-1.52649E-2</v>
      </c>
      <c r="J169" s="22">
        <v>159</v>
      </c>
      <c r="K169" s="22">
        <v>0.99914599999999998</v>
      </c>
      <c r="L169">
        <f t="shared" si="24"/>
        <v>15.264899999999999</v>
      </c>
      <c r="M169">
        <f t="shared" si="25"/>
        <v>15.2541840402</v>
      </c>
      <c r="N169" s="9"/>
      <c r="O169" s="22">
        <v>0.70068399999999997</v>
      </c>
      <c r="P169" s="22">
        <v>179.709</v>
      </c>
      <c r="Q169" s="22">
        <v>-1.5271E-2</v>
      </c>
      <c r="R169" s="22">
        <v>159</v>
      </c>
      <c r="S169" s="22">
        <v>0.70019500000000001</v>
      </c>
      <c r="T169">
        <f t="shared" si="26"/>
        <v>15.270999999999999</v>
      </c>
      <c r="U169">
        <f t="shared" si="27"/>
        <v>10.700145363999999</v>
      </c>
      <c r="X169" s="9"/>
      <c r="Y169" s="22">
        <v>0.99929800000000002</v>
      </c>
      <c r="Z169" s="22">
        <v>277.92599999999999</v>
      </c>
      <c r="AA169" s="22">
        <v>-1.7477400000000001E-2</v>
      </c>
      <c r="AB169" s="22">
        <v>159</v>
      </c>
      <c r="AC169" s="22">
        <v>0.99853499999999995</v>
      </c>
      <c r="AD169">
        <f t="shared" si="28"/>
        <v>17.477399999999999</v>
      </c>
      <c r="AE169">
        <f t="shared" si="29"/>
        <v>17.465130865199999</v>
      </c>
      <c r="AF169" s="9"/>
      <c r="AG169" s="22">
        <v>0.70068399999999997</v>
      </c>
      <c r="AH169" s="22">
        <v>353.661</v>
      </c>
      <c r="AI169" s="22">
        <v>-1.7523199999999999E-2</v>
      </c>
      <c r="AJ169" s="22">
        <v>159</v>
      </c>
      <c r="AK169" s="22">
        <v>0.70022600000000002</v>
      </c>
      <c r="AL169">
        <f t="shared" si="30"/>
        <v>17.523199999999999</v>
      </c>
      <c r="AM169">
        <f t="shared" si="31"/>
        <v>12.278225868799998</v>
      </c>
      <c r="AP169" s="9"/>
      <c r="AQ169" s="22">
        <v>0.99929800000000002</v>
      </c>
      <c r="AR169" s="22">
        <v>425.86399999999998</v>
      </c>
      <c r="AS169" s="22">
        <v>-1.8014499999999999E-2</v>
      </c>
      <c r="AT169" s="22">
        <v>159</v>
      </c>
      <c r="AU169" s="22">
        <v>0.99822999999999995</v>
      </c>
      <c r="AV169">
        <f t="shared" si="32"/>
        <v>18.014499999999998</v>
      </c>
      <c r="AW169">
        <f t="shared" si="33"/>
        <v>18.001853820999997</v>
      </c>
      <c r="AX169" s="9"/>
      <c r="AY169" s="22">
        <v>0.70068399999999997</v>
      </c>
      <c r="AZ169" s="22">
        <v>499.27800000000002</v>
      </c>
      <c r="BA169" s="22">
        <v>-1.79718E-2</v>
      </c>
      <c r="BB169" s="22">
        <v>159</v>
      </c>
      <c r="BC169" s="22">
        <v>0.70022600000000002</v>
      </c>
      <c r="BD169">
        <f t="shared" si="34"/>
        <v>17.971799999999998</v>
      </c>
      <c r="BE169">
        <f t="shared" si="35"/>
        <v>12.592552711199998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64.468000000000004</v>
      </c>
      <c r="I170" s="22">
        <v>-1.5261800000000001E-2</v>
      </c>
      <c r="J170" s="22">
        <v>160</v>
      </c>
      <c r="K170" s="22">
        <v>0.99334699999999998</v>
      </c>
      <c r="L170">
        <f t="shared" si="24"/>
        <v>15.261800000000001</v>
      </c>
      <c r="M170">
        <f t="shared" si="25"/>
        <v>15.174243053400001</v>
      </c>
      <c r="N170" s="9"/>
      <c r="O170" s="22">
        <v>0.70571899999999999</v>
      </c>
      <c r="P170" s="22">
        <v>179.81</v>
      </c>
      <c r="Q170" s="22">
        <v>-1.52985E-2</v>
      </c>
      <c r="R170" s="22">
        <v>160</v>
      </c>
      <c r="S170" s="22">
        <v>0.70526100000000003</v>
      </c>
      <c r="T170">
        <f t="shared" si="26"/>
        <v>15.298499999999999</v>
      </c>
      <c r="U170">
        <f t="shared" si="27"/>
        <v>10.796442121499998</v>
      </c>
      <c r="X170" s="9"/>
      <c r="Y170" s="22">
        <v>0.99426300000000001</v>
      </c>
      <c r="Z170" s="22">
        <v>278.02699999999999</v>
      </c>
      <c r="AA170" s="22">
        <v>-1.7486600000000001E-2</v>
      </c>
      <c r="AB170" s="22">
        <v>160</v>
      </c>
      <c r="AC170" s="22">
        <v>0.99273699999999998</v>
      </c>
      <c r="AD170">
        <f t="shared" si="28"/>
        <v>17.486600000000003</v>
      </c>
      <c r="AE170">
        <f t="shared" si="29"/>
        <v>17.386279375800004</v>
      </c>
      <c r="AF170" s="9"/>
      <c r="AG170" s="22">
        <v>0.70571899999999999</v>
      </c>
      <c r="AH170" s="22">
        <v>353.762</v>
      </c>
      <c r="AI170" s="22">
        <v>-1.7517100000000001E-2</v>
      </c>
      <c r="AJ170" s="22">
        <v>160</v>
      </c>
      <c r="AK170" s="22">
        <v>0.70507799999999998</v>
      </c>
      <c r="AL170">
        <f t="shared" si="30"/>
        <v>17.517099999999999</v>
      </c>
      <c r="AM170">
        <f t="shared" si="31"/>
        <v>12.362150294899999</v>
      </c>
      <c r="AP170" s="9"/>
      <c r="AQ170" s="22">
        <v>0.99426300000000001</v>
      </c>
      <c r="AR170" s="22">
        <v>425.96499999999997</v>
      </c>
      <c r="AS170" s="22">
        <v>-1.8014499999999999E-2</v>
      </c>
      <c r="AT170" s="22">
        <v>160</v>
      </c>
      <c r="AU170" s="22">
        <v>0.99365199999999998</v>
      </c>
      <c r="AV170">
        <f t="shared" si="32"/>
        <v>18.014499999999998</v>
      </c>
      <c r="AW170">
        <f t="shared" si="33"/>
        <v>17.911150813499997</v>
      </c>
      <c r="AX170" s="9"/>
      <c r="AY170" s="22">
        <v>0.70571899999999999</v>
      </c>
      <c r="AZ170" s="22">
        <v>499.37799999999999</v>
      </c>
      <c r="BA170" s="22">
        <v>-1.79718E-2</v>
      </c>
      <c r="BB170" s="22">
        <v>160</v>
      </c>
      <c r="BC170" s="22">
        <v>0.70480299999999996</v>
      </c>
      <c r="BD170">
        <f t="shared" si="34"/>
        <v>17.971799999999998</v>
      </c>
      <c r="BE170">
        <f t="shared" si="35"/>
        <v>12.683040724199998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64.568700000000007</v>
      </c>
      <c r="I171" s="22">
        <v>-1.5258799999999999E-2</v>
      </c>
      <c r="J171" s="22">
        <v>161</v>
      </c>
      <c r="K171" s="22">
        <v>0.98877000000000004</v>
      </c>
      <c r="L171">
        <f t="shared" si="24"/>
        <v>15.258799999999999</v>
      </c>
      <c r="M171">
        <f t="shared" si="25"/>
        <v>15.094416947599999</v>
      </c>
      <c r="N171" s="9"/>
      <c r="O171" s="22">
        <v>0.710754</v>
      </c>
      <c r="P171" s="22">
        <v>179.911</v>
      </c>
      <c r="Q171" s="22">
        <v>-1.5286299999999999E-2</v>
      </c>
      <c r="R171" s="22">
        <v>161</v>
      </c>
      <c r="S171" s="22">
        <v>0.71023599999999998</v>
      </c>
      <c r="T171">
        <f t="shared" si="26"/>
        <v>15.286299999999999</v>
      </c>
      <c r="U171">
        <f t="shared" si="27"/>
        <v>10.8647988702</v>
      </c>
      <c r="X171" s="9"/>
      <c r="Y171" s="22">
        <v>0.98922699999999997</v>
      </c>
      <c r="Z171" s="22">
        <v>278.12700000000001</v>
      </c>
      <c r="AA171" s="22">
        <v>-1.7489600000000001E-2</v>
      </c>
      <c r="AB171" s="22">
        <v>161</v>
      </c>
      <c r="AC171" s="22">
        <v>0.98846400000000001</v>
      </c>
      <c r="AD171">
        <f t="shared" si="28"/>
        <v>17.489599999999999</v>
      </c>
      <c r="AE171">
        <f t="shared" si="29"/>
        <v>17.301184539199998</v>
      </c>
      <c r="AF171" s="9"/>
      <c r="AG171" s="22">
        <v>0.710754</v>
      </c>
      <c r="AH171" s="22">
        <v>353.863</v>
      </c>
      <c r="AI171" s="22">
        <v>-1.7510999999999999E-2</v>
      </c>
      <c r="AJ171" s="22">
        <v>161</v>
      </c>
      <c r="AK171" s="22">
        <v>0.70986899999999997</v>
      </c>
      <c r="AL171">
        <f t="shared" si="30"/>
        <v>17.510999999999999</v>
      </c>
      <c r="AM171">
        <f t="shared" si="31"/>
        <v>12.446013294</v>
      </c>
      <c r="AP171" s="9"/>
      <c r="AQ171" s="22">
        <v>0.98922699999999997</v>
      </c>
      <c r="AR171" s="22">
        <v>426.06599999999997</v>
      </c>
      <c r="AS171" s="22">
        <v>-1.8014499999999999E-2</v>
      </c>
      <c r="AT171" s="22">
        <v>161</v>
      </c>
      <c r="AU171" s="22">
        <v>0.98815900000000001</v>
      </c>
      <c r="AV171">
        <f t="shared" si="32"/>
        <v>18.014499999999998</v>
      </c>
      <c r="AW171">
        <f t="shared" si="33"/>
        <v>17.820429791499997</v>
      </c>
      <c r="AX171" s="9"/>
      <c r="AY171" s="22">
        <v>0.710754</v>
      </c>
      <c r="AZ171" s="22">
        <v>499.47899999999998</v>
      </c>
      <c r="BA171" s="22">
        <v>-1.7974899999999999E-2</v>
      </c>
      <c r="BB171" s="22">
        <v>161</v>
      </c>
      <c r="BC171" s="22">
        <v>0.710144</v>
      </c>
      <c r="BD171">
        <f t="shared" si="34"/>
        <v>17.974899999999998</v>
      </c>
      <c r="BE171">
        <f t="shared" si="35"/>
        <v>12.775732074599999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64.669499999999999</v>
      </c>
      <c r="I172" s="22">
        <v>-1.5271E-2</v>
      </c>
      <c r="J172" s="22">
        <v>162</v>
      </c>
      <c r="K172" s="22">
        <v>0.98327600000000004</v>
      </c>
      <c r="L172">
        <f t="shared" si="24"/>
        <v>15.270999999999999</v>
      </c>
      <c r="M172">
        <f t="shared" si="25"/>
        <v>15.029596031999999</v>
      </c>
      <c r="N172" s="9"/>
      <c r="O172" s="22">
        <v>0.71579000000000004</v>
      </c>
      <c r="P172" s="22">
        <v>180.011</v>
      </c>
      <c r="Q172" s="22">
        <v>-1.5267899999999999E-2</v>
      </c>
      <c r="R172" s="22">
        <v>162</v>
      </c>
      <c r="S172" s="22">
        <v>0.71523999999999999</v>
      </c>
      <c r="T172">
        <f t="shared" si="26"/>
        <v>15.267899999999999</v>
      </c>
      <c r="U172">
        <f t="shared" si="27"/>
        <v>10.928610141</v>
      </c>
      <c r="X172" s="9"/>
      <c r="Y172" s="22">
        <v>0.98419199999999996</v>
      </c>
      <c r="Z172" s="22">
        <v>278.22800000000001</v>
      </c>
      <c r="AA172" s="22">
        <v>-1.7486600000000001E-2</v>
      </c>
      <c r="AB172" s="22">
        <v>162</v>
      </c>
      <c r="AC172" s="22">
        <v>0.98327600000000004</v>
      </c>
      <c r="AD172">
        <f t="shared" si="28"/>
        <v>17.486600000000003</v>
      </c>
      <c r="AE172">
        <f t="shared" si="29"/>
        <v>17.210171827200003</v>
      </c>
      <c r="AF172" s="9"/>
      <c r="AG172" s="22">
        <v>0.71579000000000004</v>
      </c>
      <c r="AH172" s="22">
        <v>353.96300000000002</v>
      </c>
      <c r="AI172" s="22">
        <v>-1.7523199999999999E-2</v>
      </c>
      <c r="AJ172" s="22">
        <v>162</v>
      </c>
      <c r="AK172" s="22">
        <v>0.71487400000000001</v>
      </c>
      <c r="AL172">
        <f t="shared" si="30"/>
        <v>17.523199999999999</v>
      </c>
      <c r="AM172">
        <f t="shared" si="31"/>
        <v>12.542931328</v>
      </c>
      <c r="AP172" s="9"/>
      <c r="AQ172" s="22">
        <v>0.98419199999999996</v>
      </c>
      <c r="AR172" s="22">
        <v>426.166</v>
      </c>
      <c r="AS172" s="22">
        <v>-1.8017600000000002E-2</v>
      </c>
      <c r="AT172" s="22">
        <v>162</v>
      </c>
      <c r="AU172" s="22">
        <v>0.98327600000000004</v>
      </c>
      <c r="AV172">
        <f t="shared" si="32"/>
        <v>18.017600000000002</v>
      </c>
      <c r="AW172">
        <f t="shared" si="33"/>
        <v>17.732777779199999</v>
      </c>
      <c r="AX172" s="9"/>
      <c r="AY172" s="22">
        <v>0.71579000000000004</v>
      </c>
      <c r="AZ172" s="22">
        <v>499.58</v>
      </c>
      <c r="BA172" s="22">
        <v>-1.7965700000000001E-2</v>
      </c>
      <c r="BB172" s="22">
        <v>162</v>
      </c>
      <c r="BC172" s="22">
        <v>0.71514900000000003</v>
      </c>
      <c r="BD172">
        <f t="shared" si="34"/>
        <v>17.965700000000002</v>
      </c>
      <c r="BE172">
        <f t="shared" si="35"/>
        <v>12.859668403000002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64.770200000000003</v>
      </c>
      <c r="I173" s="22">
        <v>-1.52771E-2</v>
      </c>
      <c r="J173" s="22">
        <v>163</v>
      </c>
      <c r="K173" s="22">
        <v>0.97808799999999996</v>
      </c>
      <c r="L173">
        <f t="shared" si="24"/>
        <v>15.277100000000001</v>
      </c>
      <c r="M173">
        <f t="shared" si="25"/>
        <v>14.958664127600001</v>
      </c>
      <c r="N173" s="9"/>
      <c r="O173" s="22">
        <v>0.72082500000000005</v>
      </c>
      <c r="P173" s="22">
        <v>180.11199999999999</v>
      </c>
      <c r="Q173" s="22">
        <v>-1.52649E-2</v>
      </c>
      <c r="R173" s="22">
        <v>163</v>
      </c>
      <c r="S173" s="22">
        <v>0.72024500000000002</v>
      </c>
      <c r="T173">
        <f t="shared" si="26"/>
        <v>15.264899999999999</v>
      </c>
      <c r="U173">
        <f t="shared" si="27"/>
        <v>11.0033215425</v>
      </c>
      <c r="X173" s="9"/>
      <c r="Y173" s="22">
        <v>0.97915600000000003</v>
      </c>
      <c r="Z173" s="22">
        <v>278.32900000000001</v>
      </c>
      <c r="AA173" s="22">
        <v>-1.74927E-2</v>
      </c>
      <c r="AB173" s="22">
        <v>163</v>
      </c>
      <c r="AC173" s="22">
        <v>0.97961399999999998</v>
      </c>
      <c r="AD173">
        <f t="shared" si="28"/>
        <v>17.492699999999999</v>
      </c>
      <c r="AE173">
        <f t="shared" si="29"/>
        <v>17.128082161199998</v>
      </c>
      <c r="AF173" s="9"/>
      <c r="AG173" s="22">
        <v>0.72082500000000005</v>
      </c>
      <c r="AH173" s="22">
        <v>354.06400000000002</v>
      </c>
      <c r="AI173" s="22">
        <v>-1.7517100000000001E-2</v>
      </c>
      <c r="AJ173" s="22">
        <v>163</v>
      </c>
      <c r="AK173" s="22">
        <v>0.72027600000000003</v>
      </c>
      <c r="AL173">
        <f t="shared" si="30"/>
        <v>17.517099999999999</v>
      </c>
      <c r="AM173">
        <f t="shared" si="31"/>
        <v>12.626763607500001</v>
      </c>
      <c r="AP173" s="9"/>
      <c r="AQ173" s="22">
        <v>0.97915600000000003</v>
      </c>
      <c r="AR173" s="22">
        <v>426.267</v>
      </c>
      <c r="AS173" s="22">
        <v>-1.8020600000000001E-2</v>
      </c>
      <c r="AT173" s="22">
        <v>163</v>
      </c>
      <c r="AU173" s="22">
        <v>0.97839399999999999</v>
      </c>
      <c r="AV173">
        <f t="shared" si="32"/>
        <v>18.020600000000002</v>
      </c>
      <c r="AW173">
        <f t="shared" si="33"/>
        <v>17.644978613600003</v>
      </c>
      <c r="AX173" s="9"/>
      <c r="AY173" s="22">
        <v>0.72082500000000005</v>
      </c>
      <c r="AZ173" s="22">
        <v>499.68</v>
      </c>
      <c r="BA173" s="22">
        <v>-1.79688E-2</v>
      </c>
      <c r="BB173" s="22">
        <v>163</v>
      </c>
      <c r="BC173" s="22">
        <v>0.72018400000000005</v>
      </c>
      <c r="BD173">
        <f t="shared" si="34"/>
        <v>17.968800000000002</v>
      </c>
      <c r="BE173">
        <f t="shared" si="35"/>
        <v>12.952360260000003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64.870900000000006</v>
      </c>
      <c r="I174" s="22">
        <v>-1.52985E-2</v>
      </c>
      <c r="J174" s="22">
        <v>164</v>
      </c>
      <c r="K174" s="22">
        <v>0.97289999999999999</v>
      </c>
      <c r="L174">
        <f t="shared" si="24"/>
        <v>15.298499999999999</v>
      </c>
      <c r="M174">
        <f t="shared" si="25"/>
        <v>14.902590118499999</v>
      </c>
      <c r="N174" s="9"/>
      <c r="O174" s="22">
        <v>0.72586099999999998</v>
      </c>
      <c r="P174" s="22">
        <v>180.21299999999999</v>
      </c>
      <c r="Q174" s="22">
        <v>-1.5252699999999999E-2</v>
      </c>
      <c r="R174" s="22">
        <v>164</v>
      </c>
      <c r="S174" s="22">
        <v>0.72534200000000004</v>
      </c>
      <c r="T174">
        <f t="shared" si="26"/>
        <v>15.252699999999999</v>
      </c>
      <c r="U174">
        <f t="shared" si="27"/>
        <v>11.071340074699998</v>
      </c>
      <c r="X174" s="9"/>
      <c r="Y174" s="22">
        <v>0.97412100000000001</v>
      </c>
      <c r="Z174" s="22">
        <v>278.42899999999997</v>
      </c>
      <c r="AA174" s="22">
        <v>-1.74927E-2</v>
      </c>
      <c r="AB174" s="22">
        <v>164</v>
      </c>
      <c r="AC174" s="22">
        <v>0.97351100000000002</v>
      </c>
      <c r="AD174">
        <f t="shared" si="28"/>
        <v>17.492699999999999</v>
      </c>
      <c r="AE174">
        <f t="shared" si="29"/>
        <v>17.040006416699999</v>
      </c>
      <c r="AF174" s="9"/>
      <c r="AG174" s="22">
        <v>0.72586099999999998</v>
      </c>
      <c r="AH174" s="22">
        <v>354.16500000000002</v>
      </c>
      <c r="AI174" s="22">
        <v>-1.7513999999999998E-2</v>
      </c>
      <c r="AJ174" s="22">
        <v>164</v>
      </c>
      <c r="AK174" s="22">
        <v>0.72503700000000004</v>
      </c>
      <c r="AL174">
        <f t="shared" si="30"/>
        <v>17.513999999999999</v>
      </c>
      <c r="AM174">
        <f t="shared" si="31"/>
        <v>12.712729553999999</v>
      </c>
      <c r="AP174" s="9"/>
      <c r="AQ174" s="22">
        <v>0.97412100000000001</v>
      </c>
      <c r="AR174" s="22">
        <v>426.36799999999999</v>
      </c>
      <c r="AS174" s="22">
        <v>-1.80267E-2</v>
      </c>
      <c r="AT174" s="22">
        <v>164</v>
      </c>
      <c r="AU174" s="22">
        <v>0.97320600000000002</v>
      </c>
      <c r="AV174">
        <f t="shared" si="32"/>
        <v>18.026699999999998</v>
      </c>
      <c r="AW174">
        <f t="shared" si="33"/>
        <v>17.5601870307</v>
      </c>
      <c r="AX174" s="9"/>
      <c r="AY174" s="22">
        <v>0.72586099999999998</v>
      </c>
      <c r="AZ174" s="22">
        <v>499.78100000000001</v>
      </c>
      <c r="BA174" s="22">
        <v>-1.7965700000000001E-2</v>
      </c>
      <c r="BB174" s="22">
        <v>164</v>
      </c>
      <c r="BC174" s="22">
        <v>0.725464</v>
      </c>
      <c r="BD174">
        <f t="shared" si="34"/>
        <v>17.965700000000002</v>
      </c>
      <c r="BE174">
        <f t="shared" si="35"/>
        <v>13.040600967700001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64.971599999999995</v>
      </c>
      <c r="I175" s="22">
        <v>-1.5295400000000001E-2</v>
      </c>
      <c r="J175" s="22">
        <v>165</v>
      </c>
      <c r="K175" s="22">
        <v>0.96832300000000004</v>
      </c>
      <c r="L175">
        <f t="shared" si="24"/>
        <v>15.295400000000001</v>
      </c>
      <c r="M175">
        <f t="shared" si="25"/>
        <v>14.822558004400001</v>
      </c>
      <c r="N175" s="9"/>
      <c r="O175" s="22">
        <v>0.73089599999999999</v>
      </c>
      <c r="P175" s="22">
        <v>180.31399999999999</v>
      </c>
      <c r="Q175" s="22">
        <v>-1.52496E-2</v>
      </c>
      <c r="R175" s="22">
        <v>165</v>
      </c>
      <c r="S175" s="22">
        <v>0.73034699999999997</v>
      </c>
      <c r="T175">
        <f t="shared" si="26"/>
        <v>15.249600000000001</v>
      </c>
      <c r="U175">
        <f t="shared" si="27"/>
        <v>11.145871641600001</v>
      </c>
      <c r="X175" s="9"/>
      <c r="Y175" s="22">
        <v>0.969086</v>
      </c>
      <c r="Z175" s="22">
        <v>278.52999999999997</v>
      </c>
      <c r="AA175" s="22">
        <v>-1.74927E-2</v>
      </c>
      <c r="AB175" s="22">
        <v>165</v>
      </c>
      <c r="AC175" s="22">
        <v>0.96832300000000004</v>
      </c>
      <c r="AD175">
        <f t="shared" si="28"/>
        <v>17.492699999999999</v>
      </c>
      <c r="AE175">
        <f t="shared" si="29"/>
        <v>16.9519306722</v>
      </c>
      <c r="AF175" s="9"/>
      <c r="AG175" s="22">
        <v>0.73089599999999999</v>
      </c>
      <c r="AH175" s="22">
        <v>354.26499999999999</v>
      </c>
      <c r="AI175" s="22">
        <v>-1.7510999999999999E-2</v>
      </c>
      <c r="AJ175" s="22">
        <v>165</v>
      </c>
      <c r="AK175" s="22">
        <v>0.73019400000000001</v>
      </c>
      <c r="AL175">
        <f t="shared" si="30"/>
        <v>17.510999999999999</v>
      </c>
      <c r="AM175">
        <f t="shared" si="31"/>
        <v>12.798719856</v>
      </c>
      <c r="AP175" s="9"/>
      <c r="AQ175" s="22">
        <v>0.969086</v>
      </c>
      <c r="AR175" s="22">
        <v>426.46899999999999</v>
      </c>
      <c r="AS175" s="22">
        <v>-1.80237E-2</v>
      </c>
      <c r="AT175" s="22">
        <v>165</v>
      </c>
      <c r="AU175" s="22">
        <v>0.96771200000000002</v>
      </c>
      <c r="AV175">
        <f t="shared" si="32"/>
        <v>18.023700000000002</v>
      </c>
      <c r="AW175">
        <f t="shared" si="33"/>
        <v>17.466515338200001</v>
      </c>
      <c r="AX175" s="9"/>
      <c r="AY175" s="22">
        <v>0.73089599999999999</v>
      </c>
      <c r="AZ175" s="22">
        <v>499.88200000000001</v>
      </c>
      <c r="BA175" s="22">
        <v>-1.7962599999999999E-2</v>
      </c>
      <c r="BB175" s="22">
        <v>165</v>
      </c>
      <c r="BC175" s="22">
        <v>0.73028599999999999</v>
      </c>
      <c r="BD175">
        <f t="shared" si="34"/>
        <v>17.962599999999998</v>
      </c>
      <c r="BE175">
        <f t="shared" si="35"/>
        <v>13.128792489599999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65.072299999999998</v>
      </c>
      <c r="I176" s="22">
        <v>-1.5295400000000001E-2</v>
      </c>
      <c r="J176" s="22">
        <v>166</v>
      </c>
      <c r="K176" s="22">
        <v>0.96343999999999996</v>
      </c>
      <c r="L176">
        <f t="shared" si="24"/>
        <v>15.295400000000001</v>
      </c>
      <c r="M176">
        <f t="shared" si="25"/>
        <v>14.745530370000001</v>
      </c>
      <c r="N176" s="9"/>
      <c r="O176" s="22">
        <v>0.735931</v>
      </c>
      <c r="P176" s="22">
        <v>180.41399999999999</v>
      </c>
      <c r="Q176" s="22">
        <v>-1.52435E-2</v>
      </c>
      <c r="R176" s="22">
        <v>166</v>
      </c>
      <c r="S176" s="22">
        <v>0.73544299999999996</v>
      </c>
      <c r="T176">
        <f t="shared" si="26"/>
        <v>15.243500000000001</v>
      </c>
      <c r="U176">
        <f t="shared" si="27"/>
        <v>11.2181641985</v>
      </c>
      <c r="X176" s="9"/>
      <c r="Y176" s="22">
        <v>0.96404999999999996</v>
      </c>
      <c r="Z176" s="22">
        <v>278.63099999999997</v>
      </c>
      <c r="AA176" s="22">
        <v>-1.7501800000000001E-2</v>
      </c>
      <c r="AB176" s="22">
        <v>166</v>
      </c>
      <c r="AC176" s="22">
        <v>0.96374499999999996</v>
      </c>
      <c r="AD176">
        <f t="shared" si="28"/>
        <v>17.501800000000003</v>
      </c>
      <c r="AE176">
        <f t="shared" si="29"/>
        <v>16.872610290000001</v>
      </c>
      <c r="AF176" s="9"/>
      <c r="AG176" s="22">
        <v>0.735931</v>
      </c>
      <c r="AH176" s="22">
        <v>354.36599999999999</v>
      </c>
      <c r="AI176" s="22">
        <v>-1.7510999999999999E-2</v>
      </c>
      <c r="AJ176" s="22">
        <v>166</v>
      </c>
      <c r="AK176" s="22">
        <v>0.73538199999999998</v>
      </c>
      <c r="AL176">
        <f t="shared" si="30"/>
        <v>17.510999999999999</v>
      </c>
      <c r="AM176">
        <f t="shared" si="31"/>
        <v>12.886887740999999</v>
      </c>
      <c r="AP176" s="9"/>
      <c r="AQ176" s="22">
        <v>0.96404999999999996</v>
      </c>
      <c r="AR176" s="22">
        <v>426.56900000000002</v>
      </c>
      <c r="AS176" s="22">
        <v>-1.8029799999999999E-2</v>
      </c>
      <c r="AT176" s="22">
        <v>166</v>
      </c>
      <c r="AU176" s="22">
        <v>0.96343999999999996</v>
      </c>
      <c r="AV176">
        <f t="shared" si="32"/>
        <v>18.029799999999998</v>
      </c>
      <c r="AW176">
        <f t="shared" si="33"/>
        <v>17.381628689999996</v>
      </c>
      <c r="AX176" s="9"/>
      <c r="AY176" s="22">
        <v>0.735931</v>
      </c>
      <c r="AZ176" s="22">
        <v>499.983</v>
      </c>
      <c r="BA176" s="22">
        <v>-1.7959599999999999E-2</v>
      </c>
      <c r="BB176" s="22">
        <v>166</v>
      </c>
      <c r="BC176" s="22">
        <v>0.73519900000000005</v>
      </c>
      <c r="BD176">
        <f t="shared" si="34"/>
        <v>17.959599999999998</v>
      </c>
      <c r="BE176">
        <f t="shared" si="35"/>
        <v>13.217026387599999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65.173000000000002</v>
      </c>
      <c r="I177" s="22">
        <v>-1.52985E-2</v>
      </c>
      <c r="J177" s="22">
        <v>167</v>
      </c>
      <c r="K177" s="22">
        <v>0.95764199999999999</v>
      </c>
      <c r="L177">
        <f t="shared" si="24"/>
        <v>15.298499999999999</v>
      </c>
      <c r="M177">
        <f t="shared" si="25"/>
        <v>14.671490977499998</v>
      </c>
      <c r="N177" s="9"/>
      <c r="O177" s="22">
        <v>0.74096700000000004</v>
      </c>
      <c r="P177" s="22">
        <v>180.51499999999999</v>
      </c>
      <c r="Q177" s="22">
        <v>-1.5255700000000001E-2</v>
      </c>
      <c r="R177" s="22">
        <v>167</v>
      </c>
      <c r="S177" s="22">
        <v>0.74041699999999999</v>
      </c>
      <c r="T177">
        <f t="shared" si="26"/>
        <v>15.255700000000001</v>
      </c>
      <c r="U177">
        <f t="shared" si="27"/>
        <v>11.303970261900002</v>
      </c>
      <c r="X177" s="9"/>
      <c r="Y177" s="22">
        <v>0.95901499999999995</v>
      </c>
      <c r="Z177" s="22">
        <v>278.73200000000003</v>
      </c>
      <c r="AA177" s="22">
        <v>-1.7498799999999998E-2</v>
      </c>
      <c r="AB177" s="22">
        <v>167</v>
      </c>
      <c r="AC177" s="22">
        <v>0.95855699999999999</v>
      </c>
      <c r="AD177">
        <f t="shared" si="28"/>
        <v>17.498799999999999</v>
      </c>
      <c r="AE177">
        <f t="shared" si="29"/>
        <v>16.781611681999998</v>
      </c>
      <c r="AF177" s="9"/>
      <c r="AG177" s="22">
        <v>0.74096700000000004</v>
      </c>
      <c r="AH177" s="22">
        <v>354.46699999999998</v>
      </c>
      <c r="AI177" s="22">
        <v>-1.7517100000000001E-2</v>
      </c>
      <c r="AJ177" s="22">
        <v>167</v>
      </c>
      <c r="AK177" s="22">
        <v>0.73992899999999995</v>
      </c>
      <c r="AL177">
        <f t="shared" si="30"/>
        <v>17.517099999999999</v>
      </c>
      <c r="AM177">
        <f t="shared" si="31"/>
        <v>12.979593035700001</v>
      </c>
      <c r="AP177" s="9"/>
      <c r="AQ177" s="22">
        <v>0.95901499999999995</v>
      </c>
      <c r="AR177" s="22">
        <v>426.67</v>
      </c>
      <c r="AS177" s="22">
        <v>-1.80267E-2</v>
      </c>
      <c r="AT177" s="22">
        <v>167</v>
      </c>
      <c r="AU177" s="22">
        <v>0.95825199999999999</v>
      </c>
      <c r="AV177">
        <f t="shared" si="32"/>
        <v>18.026699999999998</v>
      </c>
      <c r="AW177">
        <f t="shared" si="33"/>
        <v>17.287875700499999</v>
      </c>
      <c r="AX177" s="9"/>
      <c r="AY177" s="22">
        <v>0.74096700000000004</v>
      </c>
      <c r="AZ177" s="22">
        <v>500.08300000000003</v>
      </c>
      <c r="BA177" s="22">
        <v>-1.7953500000000001E-2</v>
      </c>
      <c r="BB177" s="22">
        <v>167</v>
      </c>
      <c r="BC177" s="22">
        <v>0.740143</v>
      </c>
      <c r="BD177">
        <f t="shared" si="34"/>
        <v>17.953500000000002</v>
      </c>
      <c r="BE177">
        <f t="shared" si="35"/>
        <v>13.302951034500001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65.273700000000005</v>
      </c>
      <c r="I178" s="22">
        <v>-1.53046E-2</v>
      </c>
      <c r="J178" s="22">
        <v>168</v>
      </c>
      <c r="K178" s="22">
        <v>0.95336900000000002</v>
      </c>
      <c r="L178">
        <f t="shared" si="24"/>
        <v>15.304600000000001</v>
      </c>
      <c r="M178">
        <f t="shared" si="25"/>
        <v>14.600267003400001</v>
      </c>
      <c r="N178" s="9"/>
      <c r="O178" s="22">
        <v>0.74600200000000005</v>
      </c>
      <c r="P178" s="22">
        <v>180.61600000000001</v>
      </c>
      <c r="Q178" s="22">
        <v>-1.5225199999999999E-2</v>
      </c>
      <c r="R178" s="22">
        <v>168</v>
      </c>
      <c r="S178" s="22">
        <v>0.74551400000000001</v>
      </c>
      <c r="T178">
        <f t="shared" si="26"/>
        <v>15.225199999999999</v>
      </c>
      <c r="U178">
        <f t="shared" si="27"/>
        <v>11.358029650400001</v>
      </c>
      <c r="X178" s="9"/>
      <c r="Y178" s="22">
        <v>0.95397900000000002</v>
      </c>
      <c r="Z178" s="22">
        <v>278.83199999999999</v>
      </c>
      <c r="AA178" s="22">
        <v>-1.7498799999999998E-2</v>
      </c>
      <c r="AB178" s="22">
        <v>168</v>
      </c>
      <c r="AC178" s="22">
        <v>0.95275900000000002</v>
      </c>
      <c r="AD178">
        <f t="shared" si="28"/>
        <v>17.498799999999999</v>
      </c>
      <c r="AE178">
        <f t="shared" si="29"/>
        <v>16.693487725200001</v>
      </c>
      <c r="AF178" s="9"/>
      <c r="AG178" s="22">
        <v>0.74600200000000005</v>
      </c>
      <c r="AH178" s="22">
        <v>354.56799999999998</v>
      </c>
      <c r="AI178" s="22">
        <v>-1.75201E-2</v>
      </c>
      <c r="AJ178" s="22">
        <v>168</v>
      </c>
      <c r="AK178" s="22">
        <v>0.74508700000000005</v>
      </c>
      <c r="AL178">
        <f t="shared" si="30"/>
        <v>17.520099999999999</v>
      </c>
      <c r="AM178">
        <f t="shared" si="31"/>
        <v>13.0700296402</v>
      </c>
      <c r="AP178" s="9"/>
      <c r="AQ178" s="22">
        <v>0.95397900000000002</v>
      </c>
      <c r="AR178" s="22">
        <v>426.77100000000002</v>
      </c>
      <c r="AS178" s="22">
        <v>-1.8032800000000002E-2</v>
      </c>
      <c r="AT178" s="22">
        <v>168</v>
      </c>
      <c r="AU178" s="22">
        <v>0.95367400000000002</v>
      </c>
      <c r="AV178">
        <f t="shared" si="32"/>
        <v>18.032800000000002</v>
      </c>
      <c r="AW178">
        <f t="shared" si="33"/>
        <v>17.202912511200001</v>
      </c>
      <c r="AX178" s="9"/>
      <c r="AY178" s="22">
        <v>0.74600200000000005</v>
      </c>
      <c r="AZ178" s="22">
        <v>500.18400000000003</v>
      </c>
      <c r="BA178" s="22">
        <v>-1.79565E-2</v>
      </c>
      <c r="BB178" s="22">
        <v>168</v>
      </c>
      <c r="BC178" s="22">
        <v>0.74520900000000001</v>
      </c>
      <c r="BD178">
        <f t="shared" si="34"/>
        <v>17.956500000000002</v>
      </c>
      <c r="BE178">
        <f t="shared" si="35"/>
        <v>13.395584913000002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65.374399999999994</v>
      </c>
      <c r="I179" s="22">
        <v>-1.5301500000000001E-2</v>
      </c>
      <c r="J179" s="22">
        <v>169</v>
      </c>
      <c r="K179" s="22">
        <v>0.94818100000000005</v>
      </c>
      <c r="L179">
        <f t="shared" si="24"/>
        <v>15.301500000000001</v>
      </c>
      <c r="M179">
        <f t="shared" si="25"/>
        <v>14.520266616000001</v>
      </c>
      <c r="N179" s="9"/>
      <c r="O179" s="22">
        <v>0.75103799999999998</v>
      </c>
      <c r="P179" s="22">
        <v>180.71600000000001</v>
      </c>
      <c r="Q179" s="22">
        <v>-1.5203899999999999E-2</v>
      </c>
      <c r="R179" s="22">
        <v>169</v>
      </c>
      <c r="S179" s="22">
        <v>0.75042699999999996</v>
      </c>
      <c r="T179">
        <f t="shared" si="26"/>
        <v>15.203899999999999</v>
      </c>
      <c r="U179">
        <f t="shared" si="27"/>
        <v>11.418706648199999</v>
      </c>
      <c r="X179" s="9"/>
      <c r="Y179" s="22">
        <v>0.94894400000000001</v>
      </c>
      <c r="Z179" s="22">
        <v>278.93299999999999</v>
      </c>
      <c r="AA179" s="22">
        <v>-1.75049E-2</v>
      </c>
      <c r="AB179" s="22">
        <v>169</v>
      </c>
      <c r="AC179" s="22">
        <v>0.94787600000000005</v>
      </c>
      <c r="AD179">
        <f t="shared" si="28"/>
        <v>17.504899999999999</v>
      </c>
      <c r="AE179">
        <f t="shared" si="29"/>
        <v>16.611169825600001</v>
      </c>
      <c r="AF179" s="9"/>
      <c r="AG179" s="22">
        <v>0.75103799999999998</v>
      </c>
      <c r="AH179" s="22">
        <v>354.66800000000001</v>
      </c>
      <c r="AI179" s="22">
        <v>-1.7513999999999998E-2</v>
      </c>
      <c r="AJ179" s="22">
        <v>169</v>
      </c>
      <c r="AK179" s="22">
        <v>0.75039699999999998</v>
      </c>
      <c r="AL179">
        <f t="shared" si="30"/>
        <v>17.513999999999999</v>
      </c>
      <c r="AM179">
        <f t="shared" si="31"/>
        <v>13.153679532</v>
      </c>
      <c r="AP179" s="9"/>
      <c r="AQ179" s="22">
        <v>0.94894400000000001</v>
      </c>
      <c r="AR179" s="22">
        <v>426.87099999999998</v>
      </c>
      <c r="AS179" s="22">
        <v>-1.8032800000000002E-2</v>
      </c>
      <c r="AT179" s="22">
        <v>169</v>
      </c>
      <c r="AU179" s="22">
        <v>0.94757100000000005</v>
      </c>
      <c r="AV179">
        <f t="shared" si="32"/>
        <v>18.032800000000002</v>
      </c>
      <c r="AW179">
        <f t="shared" si="33"/>
        <v>17.112117363200003</v>
      </c>
      <c r="AX179" s="9"/>
      <c r="AY179" s="22">
        <v>0.75103799999999998</v>
      </c>
      <c r="AZ179" s="22">
        <v>500.28500000000003</v>
      </c>
      <c r="BA179" s="22">
        <v>-1.7950399999999998E-2</v>
      </c>
      <c r="BB179" s="22">
        <v>169</v>
      </c>
      <c r="BC179" s="22">
        <v>0.75039699999999998</v>
      </c>
      <c r="BD179">
        <f t="shared" si="34"/>
        <v>17.950399999999998</v>
      </c>
      <c r="BE179">
        <f t="shared" si="35"/>
        <v>13.481432515199998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65.475099999999998</v>
      </c>
      <c r="I180" s="22">
        <v>-1.53046E-2</v>
      </c>
      <c r="J180" s="22">
        <v>170</v>
      </c>
      <c r="K180" s="22">
        <v>0.94329799999999997</v>
      </c>
      <c r="L180">
        <f t="shared" si="24"/>
        <v>15.304600000000001</v>
      </c>
      <c r="M180">
        <f t="shared" si="25"/>
        <v>14.446149681400001</v>
      </c>
      <c r="N180" s="9"/>
      <c r="O180" s="22">
        <v>0.756073</v>
      </c>
      <c r="P180" s="22">
        <v>180.81700000000001</v>
      </c>
      <c r="Q180" s="22">
        <v>-1.52008E-2</v>
      </c>
      <c r="R180" s="22">
        <v>170</v>
      </c>
      <c r="S180" s="22">
        <v>0.75561500000000004</v>
      </c>
      <c r="T180">
        <f t="shared" si="26"/>
        <v>15.200800000000001</v>
      </c>
      <c r="U180">
        <f t="shared" si="27"/>
        <v>11.492914458400001</v>
      </c>
      <c r="X180" s="9"/>
      <c r="Y180" s="22">
        <v>0.943909</v>
      </c>
      <c r="Z180" s="22">
        <v>279.03399999999999</v>
      </c>
      <c r="AA180" s="22">
        <v>-1.7501800000000001E-2</v>
      </c>
      <c r="AB180" s="22">
        <v>170</v>
      </c>
      <c r="AC180" s="22">
        <v>0.94238299999999997</v>
      </c>
      <c r="AD180">
        <f t="shared" si="28"/>
        <v>17.501800000000003</v>
      </c>
      <c r="AE180">
        <f t="shared" si="29"/>
        <v>16.520106536200004</v>
      </c>
      <c r="AF180" s="9"/>
      <c r="AG180" s="22">
        <v>0.756073</v>
      </c>
      <c r="AH180" s="22">
        <v>354.76900000000001</v>
      </c>
      <c r="AI180" s="22">
        <v>-1.75079E-2</v>
      </c>
      <c r="AJ180" s="22">
        <v>170</v>
      </c>
      <c r="AK180" s="22">
        <v>0.75561500000000004</v>
      </c>
      <c r="AL180">
        <f t="shared" si="30"/>
        <v>17.507899999999999</v>
      </c>
      <c r="AM180">
        <f t="shared" si="31"/>
        <v>13.2372504767</v>
      </c>
      <c r="AP180" s="9"/>
      <c r="AQ180" s="22">
        <v>0.943909</v>
      </c>
      <c r="AR180" s="22">
        <v>426.97199999999998</v>
      </c>
      <c r="AS180" s="22">
        <v>-1.8032800000000002E-2</v>
      </c>
      <c r="AT180" s="22">
        <v>170</v>
      </c>
      <c r="AU180" s="22">
        <v>0.94268799999999997</v>
      </c>
      <c r="AV180">
        <f t="shared" si="32"/>
        <v>18.032800000000002</v>
      </c>
      <c r="AW180">
        <f t="shared" si="33"/>
        <v>17.021322215200001</v>
      </c>
      <c r="AX180" s="9"/>
      <c r="AY180" s="22">
        <v>0.756073</v>
      </c>
      <c r="AZ180" s="22">
        <v>500.38499999999999</v>
      </c>
      <c r="BA180" s="22">
        <v>-1.79565E-2</v>
      </c>
      <c r="BB180" s="22">
        <v>170</v>
      </c>
      <c r="BC180" s="22">
        <v>0.75500500000000004</v>
      </c>
      <c r="BD180">
        <f t="shared" si="34"/>
        <v>17.956500000000002</v>
      </c>
      <c r="BE180">
        <f t="shared" si="35"/>
        <v>13.576424824500002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65.575800000000001</v>
      </c>
      <c r="I181" s="22">
        <v>-1.52985E-2</v>
      </c>
      <c r="J181" s="22">
        <v>171</v>
      </c>
      <c r="K181" s="22">
        <v>0.937805</v>
      </c>
      <c r="L181">
        <f t="shared" si="24"/>
        <v>15.298499999999999</v>
      </c>
      <c r="M181">
        <f t="shared" si="25"/>
        <v>14.363348590499998</v>
      </c>
      <c r="N181" s="9"/>
      <c r="O181" s="22">
        <v>0.76110800000000001</v>
      </c>
      <c r="P181" s="22">
        <v>180.91800000000001</v>
      </c>
      <c r="Q181" s="22">
        <v>-1.51947E-2</v>
      </c>
      <c r="R181" s="22">
        <v>171</v>
      </c>
      <c r="S181" s="22">
        <v>0.76049800000000001</v>
      </c>
      <c r="T181">
        <f t="shared" si="26"/>
        <v>15.194700000000001</v>
      </c>
      <c r="U181">
        <f t="shared" si="27"/>
        <v>11.564807727600002</v>
      </c>
      <c r="X181" s="9"/>
      <c r="Y181" s="22">
        <v>0.93887299999999996</v>
      </c>
      <c r="Z181" s="22">
        <v>279.13400000000001</v>
      </c>
      <c r="AA181" s="22">
        <v>-1.7517100000000001E-2</v>
      </c>
      <c r="AB181" s="22">
        <v>171</v>
      </c>
      <c r="AC181" s="22">
        <v>0.937805</v>
      </c>
      <c r="AD181">
        <f t="shared" si="28"/>
        <v>17.517099999999999</v>
      </c>
      <c r="AE181">
        <f t="shared" si="29"/>
        <v>16.446332228299998</v>
      </c>
      <c r="AF181" s="9"/>
      <c r="AG181" s="22">
        <v>0.76110800000000001</v>
      </c>
      <c r="AH181" s="22">
        <v>354.87</v>
      </c>
      <c r="AI181" s="22">
        <v>-1.75079E-2</v>
      </c>
      <c r="AJ181" s="22">
        <v>171</v>
      </c>
      <c r="AK181" s="22">
        <v>0.76019300000000001</v>
      </c>
      <c r="AL181">
        <f t="shared" si="30"/>
        <v>17.507899999999999</v>
      </c>
      <c r="AM181">
        <f t="shared" si="31"/>
        <v>13.325402753199999</v>
      </c>
      <c r="AP181" s="9"/>
      <c r="AQ181" s="22">
        <v>0.93887299999999996</v>
      </c>
      <c r="AR181" s="22">
        <v>427.07299999999998</v>
      </c>
      <c r="AS181" s="22">
        <v>-1.8029799999999999E-2</v>
      </c>
      <c r="AT181" s="22">
        <v>171</v>
      </c>
      <c r="AU181" s="22">
        <v>0.937805</v>
      </c>
      <c r="AV181">
        <f t="shared" si="32"/>
        <v>18.029799999999998</v>
      </c>
      <c r="AW181">
        <f t="shared" si="33"/>
        <v>16.927692415399996</v>
      </c>
      <c r="AX181" s="9"/>
      <c r="AY181" s="22">
        <v>0.76110800000000001</v>
      </c>
      <c r="AZ181" s="22">
        <v>500.48599999999999</v>
      </c>
      <c r="BA181" s="22">
        <v>-1.79565E-2</v>
      </c>
      <c r="BB181" s="22">
        <v>171</v>
      </c>
      <c r="BC181" s="22">
        <v>0.75958300000000001</v>
      </c>
      <c r="BD181">
        <f t="shared" si="34"/>
        <v>17.956500000000002</v>
      </c>
      <c r="BE181">
        <f t="shared" si="35"/>
        <v>13.666835802000001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65.676500000000004</v>
      </c>
      <c r="I182" s="22">
        <v>-1.53137E-2</v>
      </c>
      <c r="J182" s="22">
        <v>172</v>
      </c>
      <c r="K182" s="22">
        <v>0.93322799999999995</v>
      </c>
      <c r="L182">
        <f t="shared" si="24"/>
        <v>15.313699999999999</v>
      </c>
      <c r="M182">
        <f t="shared" si="25"/>
        <v>14.300514980599997</v>
      </c>
      <c r="N182" s="9"/>
      <c r="O182" s="22">
        <v>0.76614400000000005</v>
      </c>
      <c r="P182" s="22">
        <v>181.018</v>
      </c>
      <c r="Q182" s="22">
        <v>-1.5179399999999999E-2</v>
      </c>
      <c r="R182" s="22">
        <v>172</v>
      </c>
      <c r="S182" s="22">
        <v>0.76477099999999998</v>
      </c>
      <c r="T182">
        <f t="shared" si="26"/>
        <v>15.179399999999999</v>
      </c>
      <c r="U182">
        <f t="shared" si="27"/>
        <v>11.629606233600001</v>
      </c>
      <c r="X182" s="9"/>
      <c r="Y182" s="22">
        <v>0.93383799999999995</v>
      </c>
      <c r="Z182" s="22">
        <v>279.23500000000001</v>
      </c>
      <c r="AA182" s="22">
        <v>-1.75079E-2</v>
      </c>
      <c r="AB182" s="22">
        <v>172</v>
      </c>
      <c r="AC182" s="22">
        <v>0.93231200000000003</v>
      </c>
      <c r="AD182">
        <f t="shared" si="28"/>
        <v>17.507899999999999</v>
      </c>
      <c r="AE182">
        <f t="shared" si="29"/>
        <v>16.349542320199998</v>
      </c>
      <c r="AF182" s="9"/>
      <c r="AG182" s="22">
        <v>0.76614400000000005</v>
      </c>
      <c r="AH182" s="22">
        <v>354.97</v>
      </c>
      <c r="AI182" s="22">
        <v>-1.7501800000000001E-2</v>
      </c>
      <c r="AJ182" s="22">
        <v>172</v>
      </c>
      <c r="AK182" s="22">
        <v>0.76538099999999998</v>
      </c>
      <c r="AL182">
        <f t="shared" si="30"/>
        <v>17.501800000000003</v>
      </c>
      <c r="AM182">
        <f t="shared" si="31"/>
        <v>13.408899059200003</v>
      </c>
      <c r="AP182" s="9"/>
      <c r="AQ182" s="22">
        <v>0.93383799999999995</v>
      </c>
      <c r="AR182" s="22">
        <v>427.17399999999998</v>
      </c>
      <c r="AS182" s="22">
        <v>-1.8035900000000001E-2</v>
      </c>
      <c r="AT182" s="22">
        <v>172</v>
      </c>
      <c r="AU182" s="22">
        <v>0.93353299999999995</v>
      </c>
      <c r="AV182">
        <f t="shared" si="32"/>
        <v>18.035900000000002</v>
      </c>
      <c r="AW182">
        <f t="shared" si="33"/>
        <v>16.842608784199999</v>
      </c>
      <c r="AX182" s="9"/>
      <c r="AY182" s="22">
        <v>0.76614400000000005</v>
      </c>
      <c r="AZ182" s="22">
        <v>500.58699999999999</v>
      </c>
      <c r="BA182" s="22">
        <v>-1.7953500000000001E-2</v>
      </c>
      <c r="BB182" s="22">
        <v>172</v>
      </c>
      <c r="BC182" s="22">
        <v>0.76538099999999998</v>
      </c>
      <c r="BD182">
        <f t="shared" si="34"/>
        <v>17.953500000000002</v>
      </c>
      <c r="BE182">
        <f t="shared" si="35"/>
        <v>13.754966304000002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65.777199999999993</v>
      </c>
      <c r="I183" s="22">
        <v>-1.5307599999999999E-2</v>
      </c>
      <c r="J183" s="22">
        <v>173</v>
      </c>
      <c r="K183" s="22">
        <v>0.92803999999999998</v>
      </c>
      <c r="L183">
        <f t="shared" si="24"/>
        <v>15.307599999999999</v>
      </c>
      <c r="M183">
        <f t="shared" si="25"/>
        <v>14.217729495199999</v>
      </c>
      <c r="N183" s="9"/>
      <c r="O183" s="22">
        <v>0.77117899999999995</v>
      </c>
      <c r="P183" s="22">
        <v>181.119</v>
      </c>
      <c r="Q183" s="22">
        <v>-1.51672E-2</v>
      </c>
      <c r="R183" s="22">
        <v>173</v>
      </c>
      <c r="S183" s="22">
        <v>0.77117899999999995</v>
      </c>
      <c r="T183">
        <f t="shared" si="26"/>
        <v>15.167200000000001</v>
      </c>
      <c r="U183">
        <f t="shared" si="27"/>
        <v>11.6966261288</v>
      </c>
      <c r="X183" s="9"/>
      <c r="Y183" s="22">
        <v>0.92880200000000002</v>
      </c>
      <c r="Z183" s="22">
        <v>279.33600000000001</v>
      </c>
      <c r="AA183" s="22">
        <v>-1.7510999999999999E-2</v>
      </c>
      <c r="AB183" s="22">
        <v>173</v>
      </c>
      <c r="AC183" s="22">
        <v>0.92773399999999995</v>
      </c>
      <c r="AD183">
        <f t="shared" si="28"/>
        <v>17.510999999999999</v>
      </c>
      <c r="AE183">
        <f t="shared" si="29"/>
        <v>16.264251821999999</v>
      </c>
      <c r="AF183" s="9"/>
      <c r="AG183" s="22">
        <v>0.77117899999999995</v>
      </c>
      <c r="AH183" s="22">
        <v>355.07100000000003</v>
      </c>
      <c r="AI183" s="22">
        <v>-1.7501800000000001E-2</v>
      </c>
      <c r="AJ183" s="22">
        <v>173</v>
      </c>
      <c r="AK183" s="22">
        <v>0.76995800000000003</v>
      </c>
      <c r="AL183">
        <f t="shared" si="30"/>
        <v>17.501800000000003</v>
      </c>
      <c r="AM183">
        <f t="shared" si="31"/>
        <v>13.497020622200001</v>
      </c>
      <c r="AP183" s="9"/>
      <c r="AQ183" s="22">
        <v>0.92880200000000002</v>
      </c>
      <c r="AR183" s="22">
        <v>427.274</v>
      </c>
      <c r="AS183" s="22">
        <v>-1.80389E-2</v>
      </c>
      <c r="AT183" s="22">
        <v>173</v>
      </c>
      <c r="AU183" s="22">
        <v>0.92803999999999998</v>
      </c>
      <c r="AV183">
        <f t="shared" si="32"/>
        <v>18.038900000000002</v>
      </c>
      <c r="AW183">
        <f t="shared" si="33"/>
        <v>16.754566397800001</v>
      </c>
      <c r="AX183" s="9"/>
      <c r="AY183" s="22">
        <v>0.77117899999999995</v>
      </c>
      <c r="AZ183" s="22">
        <v>500.68700000000001</v>
      </c>
      <c r="BA183" s="22">
        <v>-1.79565E-2</v>
      </c>
      <c r="BB183" s="22">
        <v>173</v>
      </c>
      <c r="BC183" s="22">
        <v>0.76995800000000003</v>
      </c>
      <c r="BD183">
        <f t="shared" si="34"/>
        <v>17.956500000000002</v>
      </c>
      <c r="BE183">
        <f t="shared" si="35"/>
        <v>13.847675713500001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65.877899999999997</v>
      </c>
      <c r="I184" s="22">
        <v>-1.52893E-2</v>
      </c>
      <c r="J184" s="22">
        <v>174</v>
      </c>
      <c r="K184" s="22">
        <v>0.92285200000000001</v>
      </c>
      <c r="L184">
        <f t="shared" si="24"/>
        <v>15.289300000000001</v>
      </c>
      <c r="M184">
        <f t="shared" si="25"/>
        <v>14.123750793100001</v>
      </c>
      <c r="N184" s="9"/>
      <c r="O184" s="22">
        <v>0.77621499999999999</v>
      </c>
      <c r="P184" s="22">
        <v>181.22</v>
      </c>
      <c r="Q184" s="22">
        <v>-1.5158100000000001E-2</v>
      </c>
      <c r="R184" s="22">
        <v>174</v>
      </c>
      <c r="S184" s="22">
        <v>0.77575700000000003</v>
      </c>
      <c r="T184">
        <f t="shared" si="26"/>
        <v>15.158100000000001</v>
      </c>
      <c r="U184">
        <f t="shared" si="27"/>
        <v>11.7659445915</v>
      </c>
      <c r="X184" s="9"/>
      <c r="Y184" s="22">
        <v>0.923767</v>
      </c>
      <c r="Z184" s="22">
        <v>279.43700000000001</v>
      </c>
      <c r="AA184" s="22">
        <v>-1.7513999999999998E-2</v>
      </c>
      <c r="AB184" s="22">
        <v>174</v>
      </c>
      <c r="AC184" s="22">
        <v>0.92315700000000001</v>
      </c>
      <c r="AD184">
        <f t="shared" si="28"/>
        <v>17.513999999999999</v>
      </c>
      <c r="AE184">
        <f t="shared" si="29"/>
        <v>16.178855238000001</v>
      </c>
      <c r="AF184" s="9"/>
      <c r="AG184" s="22">
        <v>0.77621499999999999</v>
      </c>
      <c r="AH184" s="22">
        <v>355.17200000000003</v>
      </c>
      <c r="AI184" s="22">
        <v>-1.75079E-2</v>
      </c>
      <c r="AJ184" s="22">
        <v>174</v>
      </c>
      <c r="AK184" s="22">
        <v>0.774841</v>
      </c>
      <c r="AL184">
        <f t="shared" si="30"/>
        <v>17.507899999999999</v>
      </c>
      <c r="AM184">
        <f t="shared" si="31"/>
        <v>13.589894598499999</v>
      </c>
      <c r="AP184" s="9"/>
      <c r="AQ184" s="22">
        <v>0.923767</v>
      </c>
      <c r="AR184" s="22">
        <v>427.375</v>
      </c>
      <c r="AS184" s="22">
        <v>-1.8048100000000001E-2</v>
      </c>
      <c r="AT184" s="22">
        <v>174</v>
      </c>
      <c r="AU184" s="22">
        <v>0.92254599999999998</v>
      </c>
      <c r="AV184">
        <f t="shared" si="32"/>
        <v>18.048100000000002</v>
      </c>
      <c r="AW184">
        <f t="shared" si="33"/>
        <v>16.672239192700001</v>
      </c>
      <c r="AX184" s="9"/>
      <c r="AY184" s="22">
        <v>0.77621499999999999</v>
      </c>
      <c r="AZ184" s="22">
        <v>500.78800000000001</v>
      </c>
      <c r="BA184" s="22">
        <v>-1.7947399999999999E-2</v>
      </c>
      <c r="BB184" s="22">
        <v>174</v>
      </c>
      <c r="BC184" s="22">
        <v>0.77575700000000003</v>
      </c>
      <c r="BD184">
        <f t="shared" si="34"/>
        <v>17.947399999999998</v>
      </c>
      <c r="BE184">
        <f t="shared" si="35"/>
        <v>13.931041090999999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65.978700000000003</v>
      </c>
      <c r="I185" s="22">
        <v>-1.52771E-2</v>
      </c>
      <c r="J185" s="22">
        <v>175</v>
      </c>
      <c r="K185" s="22">
        <v>0.91888400000000003</v>
      </c>
      <c r="L185">
        <f t="shared" si="24"/>
        <v>15.277100000000001</v>
      </c>
      <c r="M185">
        <f t="shared" si="25"/>
        <v>14.035560637200001</v>
      </c>
      <c r="N185" s="9"/>
      <c r="O185" s="22">
        <v>0.78125</v>
      </c>
      <c r="P185" s="22">
        <v>181.321</v>
      </c>
      <c r="Q185" s="22">
        <v>-1.5155E-2</v>
      </c>
      <c r="R185" s="22">
        <v>175</v>
      </c>
      <c r="S185" s="22">
        <v>0.78064</v>
      </c>
      <c r="T185">
        <f t="shared" si="26"/>
        <v>15.154999999999999</v>
      </c>
      <c r="U185">
        <f t="shared" si="27"/>
        <v>11.83984375</v>
      </c>
      <c r="X185" s="9"/>
      <c r="Y185" s="22">
        <v>0.91873199999999999</v>
      </c>
      <c r="Z185" s="22">
        <v>279.53699999999998</v>
      </c>
      <c r="AA185" s="22">
        <v>-1.7532300000000001E-2</v>
      </c>
      <c r="AB185" s="22">
        <v>175</v>
      </c>
      <c r="AC185" s="22">
        <v>0.91735800000000001</v>
      </c>
      <c r="AD185">
        <f t="shared" si="28"/>
        <v>17.532299999999999</v>
      </c>
      <c r="AE185">
        <f t="shared" si="29"/>
        <v>16.107485043600001</v>
      </c>
      <c r="AF185" s="9"/>
      <c r="AG185" s="22">
        <v>0.78125</v>
      </c>
      <c r="AH185" s="22">
        <v>355.27300000000002</v>
      </c>
      <c r="AI185" s="22">
        <v>-1.75049E-2</v>
      </c>
      <c r="AJ185" s="22">
        <v>175</v>
      </c>
      <c r="AK185" s="22">
        <v>0.78033399999999997</v>
      </c>
      <c r="AL185">
        <f t="shared" si="30"/>
        <v>17.504899999999999</v>
      </c>
      <c r="AM185">
        <f t="shared" si="31"/>
        <v>13.675703125</v>
      </c>
      <c r="AP185" s="9"/>
      <c r="AQ185" s="22">
        <v>0.91873199999999999</v>
      </c>
      <c r="AR185" s="22">
        <v>427.476</v>
      </c>
      <c r="AS185" s="22">
        <v>-1.8044999999999999E-2</v>
      </c>
      <c r="AT185" s="22">
        <v>175</v>
      </c>
      <c r="AU185" s="22">
        <v>0.91735800000000001</v>
      </c>
      <c r="AV185">
        <f t="shared" si="32"/>
        <v>18.044999999999998</v>
      </c>
      <c r="AW185">
        <f t="shared" si="33"/>
        <v>16.578518939999999</v>
      </c>
      <c r="AX185" s="9"/>
      <c r="AY185" s="22">
        <v>0.78125</v>
      </c>
      <c r="AZ185" s="22">
        <v>500.88900000000001</v>
      </c>
      <c r="BA185" s="22">
        <v>-1.7947399999999999E-2</v>
      </c>
      <c r="BB185" s="22">
        <v>175</v>
      </c>
      <c r="BC185" s="22">
        <v>0.78002899999999997</v>
      </c>
      <c r="BD185">
        <f t="shared" si="34"/>
        <v>17.947399999999998</v>
      </c>
      <c r="BE185">
        <f t="shared" si="35"/>
        <v>14.021406249999998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66.079400000000007</v>
      </c>
      <c r="I186" s="22">
        <v>-1.5286299999999999E-2</v>
      </c>
      <c r="J186" s="22">
        <v>176</v>
      </c>
      <c r="K186" s="22">
        <v>0.91339099999999995</v>
      </c>
      <c r="L186">
        <f t="shared" si="24"/>
        <v>15.286299999999999</v>
      </c>
      <c r="M186">
        <f t="shared" si="25"/>
        <v>13.967031164799998</v>
      </c>
      <c r="N186" s="9"/>
      <c r="O186" s="22">
        <v>0.78628500000000001</v>
      </c>
      <c r="P186" s="22">
        <v>181.42099999999999</v>
      </c>
      <c r="Q186" s="22">
        <v>-1.51428E-2</v>
      </c>
      <c r="R186" s="22">
        <v>176</v>
      </c>
      <c r="S186" s="22">
        <v>0.78521700000000005</v>
      </c>
      <c r="T186">
        <f t="shared" si="26"/>
        <v>15.142799999999999</v>
      </c>
      <c r="U186">
        <f t="shared" si="27"/>
        <v>11.906556498</v>
      </c>
      <c r="X186" s="9"/>
      <c r="Y186" s="22">
        <v>0.91369599999999995</v>
      </c>
      <c r="Z186" s="22">
        <v>279.63799999999998</v>
      </c>
      <c r="AA186" s="22">
        <v>-1.7510999999999999E-2</v>
      </c>
      <c r="AB186" s="22">
        <v>176</v>
      </c>
      <c r="AC186" s="22">
        <v>0.91278099999999995</v>
      </c>
      <c r="AD186">
        <f t="shared" si="28"/>
        <v>17.510999999999999</v>
      </c>
      <c r="AE186">
        <f t="shared" si="29"/>
        <v>15.999730655999999</v>
      </c>
      <c r="AF186" s="9"/>
      <c r="AG186" s="22">
        <v>0.78628500000000001</v>
      </c>
      <c r="AH186" s="22">
        <v>355.37299999999999</v>
      </c>
      <c r="AI186" s="22">
        <v>-1.74927E-2</v>
      </c>
      <c r="AJ186" s="22">
        <v>176</v>
      </c>
      <c r="AK186" s="22">
        <v>0.78582799999999997</v>
      </c>
      <c r="AL186">
        <f t="shared" si="30"/>
        <v>17.492699999999999</v>
      </c>
      <c r="AM186">
        <f t="shared" si="31"/>
        <v>13.754247619499999</v>
      </c>
      <c r="AP186" s="9"/>
      <c r="AQ186" s="22">
        <v>0.91369599999999995</v>
      </c>
      <c r="AR186" s="22">
        <v>427.57600000000002</v>
      </c>
      <c r="AS186" s="22">
        <v>-1.8044999999999999E-2</v>
      </c>
      <c r="AT186" s="22">
        <v>176</v>
      </c>
      <c r="AU186" s="22">
        <v>0.91308599999999995</v>
      </c>
      <c r="AV186">
        <f t="shared" si="32"/>
        <v>18.044999999999998</v>
      </c>
      <c r="AW186">
        <f t="shared" si="33"/>
        <v>16.487644319999998</v>
      </c>
      <c r="AX186" s="9"/>
      <c r="AY186" s="22">
        <v>0.78628500000000001</v>
      </c>
      <c r="AZ186" s="22">
        <v>500.99</v>
      </c>
      <c r="BA186" s="22">
        <v>-1.7950399999999998E-2</v>
      </c>
      <c r="BB186" s="22">
        <v>176</v>
      </c>
      <c r="BC186" s="22">
        <v>0.78460700000000005</v>
      </c>
      <c r="BD186">
        <f t="shared" si="34"/>
        <v>17.950399999999998</v>
      </c>
      <c r="BE186">
        <f t="shared" si="35"/>
        <v>14.114130263999998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66.180099999999996</v>
      </c>
      <c r="I187" s="22">
        <v>-1.5267899999999999E-2</v>
      </c>
      <c r="J187" s="22">
        <v>177</v>
      </c>
      <c r="K187" s="22">
        <v>0.90789799999999998</v>
      </c>
      <c r="L187">
        <f t="shared" si="24"/>
        <v>15.267899999999999</v>
      </c>
      <c r="M187">
        <f t="shared" si="25"/>
        <v>13.873345281900001</v>
      </c>
      <c r="N187" s="9"/>
      <c r="O187" s="22">
        <v>0.79132100000000005</v>
      </c>
      <c r="P187" s="22">
        <v>181.52199999999999</v>
      </c>
      <c r="Q187" s="22">
        <v>-1.5109300000000001E-2</v>
      </c>
      <c r="R187" s="22">
        <v>177</v>
      </c>
      <c r="S187" s="22">
        <v>0.79071000000000002</v>
      </c>
      <c r="T187">
        <f t="shared" si="26"/>
        <v>15.109300000000001</v>
      </c>
      <c r="U187">
        <f t="shared" si="27"/>
        <v>11.956306385300001</v>
      </c>
      <c r="X187" s="9"/>
      <c r="Y187" s="22">
        <v>0.90866100000000005</v>
      </c>
      <c r="Z187" s="22">
        <v>279.73899999999998</v>
      </c>
      <c r="AA187" s="22">
        <v>-1.7526199999999999E-2</v>
      </c>
      <c r="AB187" s="22">
        <v>177</v>
      </c>
      <c r="AC187" s="22">
        <v>0.90911900000000001</v>
      </c>
      <c r="AD187">
        <f t="shared" si="28"/>
        <v>17.526199999999999</v>
      </c>
      <c r="AE187">
        <f t="shared" si="29"/>
        <v>15.925374418200001</v>
      </c>
      <c r="AF187" s="9"/>
      <c r="AG187" s="22">
        <v>0.79132100000000005</v>
      </c>
      <c r="AH187" s="22">
        <v>355.47399999999999</v>
      </c>
      <c r="AI187" s="22">
        <v>-1.7495699999999999E-2</v>
      </c>
      <c r="AJ187" s="22">
        <v>177</v>
      </c>
      <c r="AK187" s="22">
        <v>0.79010000000000002</v>
      </c>
      <c r="AL187">
        <f t="shared" si="30"/>
        <v>17.495699999999999</v>
      </c>
      <c r="AM187">
        <f t="shared" si="31"/>
        <v>13.8447148197</v>
      </c>
      <c r="AP187" s="9"/>
      <c r="AQ187" s="22">
        <v>0.90866100000000005</v>
      </c>
      <c r="AR187" s="22">
        <v>427.67700000000002</v>
      </c>
      <c r="AS187" s="22">
        <v>-1.8041999999999999E-2</v>
      </c>
      <c r="AT187" s="22">
        <v>177</v>
      </c>
      <c r="AU187" s="22">
        <v>0.90789799999999998</v>
      </c>
      <c r="AV187">
        <f t="shared" si="32"/>
        <v>18.041999999999998</v>
      </c>
      <c r="AW187">
        <f t="shared" si="33"/>
        <v>16.394061762</v>
      </c>
      <c r="AX187" s="9"/>
      <c r="AY187" s="22">
        <v>0.79132100000000005</v>
      </c>
      <c r="AZ187" s="22">
        <v>501.09</v>
      </c>
      <c r="BA187" s="22">
        <v>-1.7938200000000001E-2</v>
      </c>
      <c r="BB187" s="22">
        <v>177</v>
      </c>
      <c r="BC187" s="22">
        <v>0.79071000000000002</v>
      </c>
      <c r="BD187">
        <f t="shared" si="34"/>
        <v>17.938200000000002</v>
      </c>
      <c r="BE187">
        <f t="shared" si="35"/>
        <v>14.194874362200002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66.280799999999999</v>
      </c>
      <c r="I188" s="22">
        <v>-1.5280200000000001E-2</v>
      </c>
      <c r="J188" s="22">
        <v>178</v>
      </c>
      <c r="K188" s="22">
        <v>0.90301500000000001</v>
      </c>
      <c r="L188">
        <f t="shared" si="24"/>
        <v>15.280200000000001</v>
      </c>
      <c r="M188">
        <f t="shared" si="25"/>
        <v>13.807570725000001</v>
      </c>
      <c r="N188" s="9"/>
      <c r="O188" s="22">
        <v>0.79635599999999995</v>
      </c>
      <c r="P188" s="22">
        <v>181.62299999999999</v>
      </c>
      <c r="Q188" s="22">
        <v>-1.51001E-2</v>
      </c>
      <c r="R188" s="22">
        <v>178</v>
      </c>
      <c r="S188" s="22">
        <v>0.79528799999999999</v>
      </c>
      <c r="T188">
        <f t="shared" si="26"/>
        <v>15.100099999999999</v>
      </c>
      <c r="U188">
        <f t="shared" si="27"/>
        <v>12.025055235599998</v>
      </c>
      <c r="X188" s="9"/>
      <c r="Y188" s="22">
        <v>0.90362500000000001</v>
      </c>
      <c r="Z188" s="22">
        <v>279.839</v>
      </c>
      <c r="AA188" s="22">
        <v>-1.7538499999999999E-2</v>
      </c>
      <c r="AB188" s="22">
        <v>178</v>
      </c>
      <c r="AC188" s="22">
        <v>0.90240500000000001</v>
      </c>
      <c r="AD188">
        <f t="shared" si="28"/>
        <v>17.538499999999999</v>
      </c>
      <c r="AE188">
        <f t="shared" si="29"/>
        <v>15.848227062499999</v>
      </c>
      <c r="AF188" s="9"/>
      <c r="AG188" s="22">
        <v>0.79635599999999995</v>
      </c>
      <c r="AH188" s="22">
        <v>355.57499999999999</v>
      </c>
      <c r="AI188" s="22">
        <v>-1.74927E-2</v>
      </c>
      <c r="AJ188" s="22">
        <v>178</v>
      </c>
      <c r="AK188" s="22">
        <v>0.79589799999999999</v>
      </c>
      <c r="AL188">
        <f t="shared" si="30"/>
        <v>17.492699999999999</v>
      </c>
      <c r="AM188">
        <f t="shared" si="31"/>
        <v>13.930416601199999</v>
      </c>
      <c r="AP188" s="9"/>
      <c r="AQ188" s="22">
        <v>0.90362500000000001</v>
      </c>
      <c r="AR188" s="22">
        <v>427.77800000000002</v>
      </c>
      <c r="AS188" s="22">
        <v>-1.8048100000000001E-2</v>
      </c>
      <c r="AT188" s="22">
        <v>178</v>
      </c>
      <c r="AU188" s="22">
        <v>0.90271000000000001</v>
      </c>
      <c r="AV188">
        <f t="shared" si="32"/>
        <v>18.048100000000002</v>
      </c>
      <c r="AW188">
        <f t="shared" si="33"/>
        <v>16.308714362500002</v>
      </c>
      <c r="AX188" s="9"/>
      <c r="AY188" s="22">
        <v>0.79635599999999995</v>
      </c>
      <c r="AZ188" s="22">
        <v>501.19099999999997</v>
      </c>
      <c r="BA188" s="22">
        <v>-1.79413E-2</v>
      </c>
      <c r="BB188" s="22">
        <v>178</v>
      </c>
      <c r="BC188" s="22">
        <v>0.79559299999999999</v>
      </c>
      <c r="BD188">
        <f t="shared" si="34"/>
        <v>17.941300000000002</v>
      </c>
      <c r="BE188">
        <f t="shared" si="35"/>
        <v>14.2876619028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66.381500000000003</v>
      </c>
      <c r="I189" s="22">
        <v>-1.5280200000000001E-2</v>
      </c>
      <c r="J189" s="22">
        <v>179</v>
      </c>
      <c r="K189" s="22">
        <v>0.89782700000000004</v>
      </c>
      <c r="L189">
        <f t="shared" si="24"/>
        <v>15.280200000000001</v>
      </c>
      <c r="M189">
        <f t="shared" si="25"/>
        <v>13.730634918</v>
      </c>
      <c r="N189" s="9"/>
      <c r="O189" s="22">
        <v>0.80139199999999999</v>
      </c>
      <c r="P189" s="22">
        <v>181.72300000000001</v>
      </c>
      <c r="Q189" s="22">
        <v>-1.51001E-2</v>
      </c>
      <c r="R189" s="22">
        <v>179</v>
      </c>
      <c r="S189" s="22">
        <v>0.80078099999999997</v>
      </c>
      <c r="T189">
        <f t="shared" si="26"/>
        <v>15.100099999999999</v>
      </c>
      <c r="U189">
        <f t="shared" si="27"/>
        <v>12.101099339199999</v>
      </c>
      <c r="X189" s="9"/>
      <c r="Y189" s="22">
        <v>0.89859</v>
      </c>
      <c r="Z189" s="22">
        <v>279.94</v>
      </c>
      <c r="AA189" s="22">
        <v>-1.7538499999999999E-2</v>
      </c>
      <c r="AB189" s="22">
        <v>179</v>
      </c>
      <c r="AC189" s="22">
        <v>0.89813200000000004</v>
      </c>
      <c r="AD189">
        <f t="shared" si="28"/>
        <v>17.538499999999999</v>
      </c>
      <c r="AE189">
        <f t="shared" si="29"/>
        <v>15.759920715</v>
      </c>
      <c r="AF189" s="9"/>
      <c r="AG189" s="22">
        <v>0.80139199999999999</v>
      </c>
      <c r="AH189" s="22">
        <v>355.67500000000001</v>
      </c>
      <c r="AI189" s="22">
        <v>-1.7495699999999999E-2</v>
      </c>
      <c r="AJ189" s="22">
        <v>179</v>
      </c>
      <c r="AK189" s="22">
        <v>0.79986599999999997</v>
      </c>
      <c r="AL189">
        <f t="shared" si="30"/>
        <v>17.495699999999999</v>
      </c>
      <c r="AM189">
        <f t="shared" si="31"/>
        <v>14.020914014399999</v>
      </c>
      <c r="AP189" s="9"/>
      <c r="AQ189" s="22">
        <v>0.89859</v>
      </c>
      <c r="AR189" s="22">
        <v>427.87900000000002</v>
      </c>
      <c r="AS189" s="22">
        <v>-1.80511E-2</v>
      </c>
      <c r="AT189" s="22">
        <v>179</v>
      </c>
      <c r="AU189" s="22">
        <v>0.89752200000000004</v>
      </c>
      <c r="AV189">
        <f t="shared" si="32"/>
        <v>18.051100000000002</v>
      </c>
      <c r="AW189">
        <f t="shared" si="33"/>
        <v>16.220537949000001</v>
      </c>
      <c r="AX189" s="9"/>
      <c r="AY189" s="22">
        <v>0.80139199999999999</v>
      </c>
      <c r="AZ189" s="22">
        <v>501.29199999999997</v>
      </c>
      <c r="BA189" s="22">
        <v>-1.7935199999999998E-2</v>
      </c>
      <c r="BB189" s="22">
        <v>179</v>
      </c>
      <c r="BC189" s="22">
        <v>0.80078099999999997</v>
      </c>
      <c r="BD189">
        <f t="shared" si="34"/>
        <v>17.935199999999998</v>
      </c>
      <c r="BE189">
        <f t="shared" si="35"/>
        <v>14.373125798399998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66.482200000000006</v>
      </c>
      <c r="I190" s="22">
        <v>-1.5307599999999999E-2</v>
      </c>
      <c r="J190" s="22">
        <v>180</v>
      </c>
      <c r="K190" s="22">
        <v>0.89294399999999996</v>
      </c>
      <c r="L190">
        <f t="shared" si="24"/>
        <v>15.307599999999999</v>
      </c>
      <c r="M190">
        <f t="shared" si="25"/>
        <v>13.678182517999998</v>
      </c>
      <c r="N190" s="9"/>
      <c r="O190" s="22">
        <v>0.806427</v>
      </c>
      <c r="P190" s="22">
        <v>181.82400000000001</v>
      </c>
      <c r="Q190" s="22">
        <v>-1.50604E-2</v>
      </c>
      <c r="R190" s="22">
        <v>180</v>
      </c>
      <c r="S190" s="22">
        <v>0.80596900000000005</v>
      </c>
      <c r="T190">
        <f t="shared" si="26"/>
        <v>15.0604</v>
      </c>
      <c r="U190">
        <f t="shared" si="27"/>
        <v>12.1451131908</v>
      </c>
      <c r="X190" s="9"/>
      <c r="Y190" s="22">
        <v>0.89355499999999999</v>
      </c>
      <c r="Z190" s="22">
        <v>280.041</v>
      </c>
      <c r="AA190" s="22">
        <v>-1.7526199999999999E-2</v>
      </c>
      <c r="AB190" s="22">
        <v>180</v>
      </c>
      <c r="AC190" s="22">
        <v>0.89294399999999996</v>
      </c>
      <c r="AD190">
        <f t="shared" si="28"/>
        <v>17.526199999999999</v>
      </c>
      <c r="AE190">
        <f t="shared" si="29"/>
        <v>15.660623640999999</v>
      </c>
      <c r="AF190" s="9"/>
      <c r="AG190" s="22">
        <v>0.806427</v>
      </c>
      <c r="AH190" s="22">
        <v>355.77600000000001</v>
      </c>
      <c r="AI190" s="22">
        <v>-1.7495699999999999E-2</v>
      </c>
      <c r="AJ190" s="22">
        <v>180</v>
      </c>
      <c r="AK190" s="22">
        <v>0.80596900000000005</v>
      </c>
      <c r="AL190">
        <f t="shared" si="30"/>
        <v>17.495699999999999</v>
      </c>
      <c r="AM190">
        <f t="shared" si="31"/>
        <v>14.109004863899999</v>
      </c>
      <c r="AP190" s="9"/>
      <c r="AQ190" s="22">
        <v>0.89355499999999999</v>
      </c>
      <c r="AR190" s="22">
        <v>427.97899999999998</v>
      </c>
      <c r="AS190" s="22">
        <v>-1.8048100000000001E-2</v>
      </c>
      <c r="AT190" s="22">
        <v>180</v>
      </c>
      <c r="AU190" s="22">
        <v>0.89263899999999996</v>
      </c>
      <c r="AV190">
        <f t="shared" si="32"/>
        <v>18.048100000000002</v>
      </c>
      <c r="AW190">
        <f t="shared" si="33"/>
        <v>16.126969995500001</v>
      </c>
      <c r="AX190" s="9"/>
      <c r="AY190" s="22">
        <v>0.806427</v>
      </c>
      <c r="AZ190" s="22">
        <v>501.392</v>
      </c>
      <c r="BA190" s="22">
        <v>-1.7935199999999998E-2</v>
      </c>
      <c r="BB190" s="22">
        <v>180</v>
      </c>
      <c r="BC190" s="22">
        <v>0.80596900000000005</v>
      </c>
      <c r="BD190">
        <f t="shared" si="34"/>
        <v>17.935199999999998</v>
      </c>
      <c r="BE190">
        <f t="shared" si="35"/>
        <v>14.463429530399999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66.582899999999995</v>
      </c>
      <c r="I191" s="22">
        <v>-1.5295400000000001E-2</v>
      </c>
      <c r="J191" s="22">
        <v>181</v>
      </c>
      <c r="K191" s="22">
        <v>0.88745099999999999</v>
      </c>
      <c r="L191">
        <f t="shared" si="24"/>
        <v>15.295400000000001</v>
      </c>
      <c r="M191">
        <f t="shared" si="25"/>
        <v>13.5902535126</v>
      </c>
      <c r="N191" s="9"/>
      <c r="O191" s="22">
        <v>0.81146200000000002</v>
      </c>
      <c r="P191" s="22">
        <v>181.92500000000001</v>
      </c>
      <c r="Q191" s="22">
        <v>-1.5063500000000001E-2</v>
      </c>
      <c r="R191" s="22">
        <v>181</v>
      </c>
      <c r="S191" s="22">
        <v>0.81115700000000002</v>
      </c>
      <c r="T191">
        <f t="shared" si="26"/>
        <v>15.063500000000001</v>
      </c>
      <c r="U191">
        <f t="shared" si="27"/>
        <v>12.223457837000002</v>
      </c>
      <c r="X191" s="9"/>
      <c r="Y191" s="22">
        <v>0.88851899999999995</v>
      </c>
      <c r="Z191" s="22">
        <v>280.142</v>
      </c>
      <c r="AA191" s="22">
        <v>-1.7529300000000001E-2</v>
      </c>
      <c r="AB191" s="22">
        <v>181</v>
      </c>
      <c r="AC191" s="22">
        <v>0.88775599999999999</v>
      </c>
      <c r="AD191">
        <f t="shared" si="28"/>
        <v>17.529300000000003</v>
      </c>
      <c r="AE191">
        <f t="shared" si="29"/>
        <v>15.575116106700001</v>
      </c>
      <c r="AF191" s="9"/>
      <c r="AG191" s="22">
        <v>0.81146200000000002</v>
      </c>
      <c r="AH191" s="22">
        <v>355.87700000000001</v>
      </c>
      <c r="AI191" s="22">
        <v>-1.74927E-2</v>
      </c>
      <c r="AJ191" s="22">
        <v>181</v>
      </c>
      <c r="AK191" s="22">
        <v>0.81085200000000002</v>
      </c>
      <c r="AL191">
        <f t="shared" si="30"/>
        <v>17.492699999999999</v>
      </c>
      <c r="AM191">
        <f t="shared" si="31"/>
        <v>14.1946613274</v>
      </c>
      <c r="AP191" s="9"/>
      <c r="AQ191" s="22">
        <v>0.88851899999999995</v>
      </c>
      <c r="AR191" s="22">
        <v>428.08</v>
      </c>
      <c r="AS191" s="22">
        <v>-1.8054199999999999E-2</v>
      </c>
      <c r="AT191" s="22">
        <v>181</v>
      </c>
      <c r="AU191" s="22">
        <v>0.88806200000000002</v>
      </c>
      <c r="AV191">
        <f t="shared" si="32"/>
        <v>18.054199999999998</v>
      </c>
      <c r="AW191">
        <f t="shared" si="33"/>
        <v>16.041499729799998</v>
      </c>
      <c r="AX191" s="9"/>
      <c r="AY191" s="22">
        <v>0.81146200000000002</v>
      </c>
      <c r="AZ191" s="22">
        <v>501.49299999999999</v>
      </c>
      <c r="BA191" s="22">
        <v>-1.79291E-2</v>
      </c>
      <c r="BB191" s="22">
        <v>181</v>
      </c>
      <c r="BC191" s="22">
        <v>0.81085200000000002</v>
      </c>
      <c r="BD191">
        <f t="shared" si="34"/>
        <v>17.929099999999998</v>
      </c>
      <c r="BE191">
        <f t="shared" si="35"/>
        <v>14.548783344199999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66.683599999999998</v>
      </c>
      <c r="I192" s="22">
        <v>-1.5292399999999999E-2</v>
      </c>
      <c r="J192" s="22">
        <v>182</v>
      </c>
      <c r="K192" s="22">
        <v>0.88256800000000002</v>
      </c>
      <c r="L192">
        <f t="shared" si="24"/>
        <v>15.292399999999999</v>
      </c>
      <c r="M192">
        <f t="shared" si="25"/>
        <v>13.5105907216</v>
      </c>
      <c r="N192" s="9"/>
      <c r="O192" s="22">
        <v>0.81649799999999995</v>
      </c>
      <c r="P192" s="22">
        <v>182.02600000000001</v>
      </c>
      <c r="Q192" s="22">
        <v>-1.5063500000000001E-2</v>
      </c>
      <c r="R192" s="22">
        <v>182</v>
      </c>
      <c r="S192" s="22">
        <v>0.81573499999999999</v>
      </c>
      <c r="T192">
        <f t="shared" si="26"/>
        <v>15.063500000000001</v>
      </c>
      <c r="U192">
        <f t="shared" si="27"/>
        <v>12.299317623</v>
      </c>
      <c r="X192" s="9"/>
      <c r="Y192" s="22">
        <v>0.88348400000000005</v>
      </c>
      <c r="Z192" s="22">
        <v>280.24200000000002</v>
      </c>
      <c r="AA192" s="22">
        <v>-1.7532300000000001E-2</v>
      </c>
      <c r="AB192" s="22">
        <v>182</v>
      </c>
      <c r="AC192" s="22">
        <v>0.88226300000000002</v>
      </c>
      <c r="AD192">
        <f t="shared" si="28"/>
        <v>17.532299999999999</v>
      </c>
      <c r="AE192">
        <f t="shared" si="29"/>
        <v>15.4895065332</v>
      </c>
      <c r="AF192" s="9"/>
      <c r="AG192" s="22">
        <v>0.81649799999999995</v>
      </c>
      <c r="AH192" s="22">
        <v>355.97699999999998</v>
      </c>
      <c r="AI192" s="22">
        <v>-1.74927E-2</v>
      </c>
      <c r="AJ192" s="22">
        <v>182</v>
      </c>
      <c r="AK192" s="22">
        <v>0.81573499999999999</v>
      </c>
      <c r="AL192">
        <f t="shared" si="30"/>
        <v>17.492699999999999</v>
      </c>
      <c r="AM192">
        <f t="shared" si="31"/>
        <v>14.282754564599998</v>
      </c>
      <c r="AP192" s="9"/>
      <c r="AQ192" s="22">
        <v>0.88348400000000005</v>
      </c>
      <c r="AR192" s="22">
        <v>428.18099999999998</v>
      </c>
      <c r="AS192" s="22">
        <v>-1.80511E-2</v>
      </c>
      <c r="AT192" s="22">
        <v>182</v>
      </c>
      <c r="AU192" s="22">
        <v>0.88256800000000002</v>
      </c>
      <c r="AV192">
        <f t="shared" si="32"/>
        <v>18.051100000000002</v>
      </c>
      <c r="AW192">
        <f t="shared" si="33"/>
        <v>15.947858032400003</v>
      </c>
      <c r="AX192" s="9"/>
      <c r="AY192" s="22">
        <v>0.81649799999999995</v>
      </c>
      <c r="AZ192" s="22">
        <v>501.59399999999999</v>
      </c>
      <c r="BA192" s="22">
        <v>-1.7926000000000001E-2</v>
      </c>
      <c r="BB192" s="22">
        <v>182</v>
      </c>
      <c r="BC192" s="22">
        <v>0.81542999999999999</v>
      </c>
      <c r="BD192">
        <f t="shared" si="34"/>
        <v>17.926000000000002</v>
      </c>
      <c r="BE192">
        <f t="shared" si="35"/>
        <v>14.636543148000001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66.784300000000002</v>
      </c>
      <c r="I193" s="22">
        <v>-1.5273999999999999E-2</v>
      </c>
      <c r="J193" s="22">
        <v>183</v>
      </c>
      <c r="K193" s="22">
        <v>0.87768599999999997</v>
      </c>
      <c r="L193">
        <f t="shared" si="24"/>
        <v>15.273999999999999</v>
      </c>
      <c r="M193">
        <f t="shared" si="25"/>
        <v>13.417414751999999</v>
      </c>
      <c r="N193" s="9"/>
      <c r="O193" s="22">
        <v>0.82153299999999996</v>
      </c>
      <c r="P193" s="22">
        <v>182.126</v>
      </c>
      <c r="Q193" s="22">
        <v>-1.5063500000000001E-2</v>
      </c>
      <c r="R193" s="22">
        <v>183</v>
      </c>
      <c r="S193" s="22">
        <v>0.82061799999999996</v>
      </c>
      <c r="T193">
        <f t="shared" si="26"/>
        <v>15.063500000000001</v>
      </c>
      <c r="U193">
        <f t="shared" si="27"/>
        <v>12.3751623455</v>
      </c>
      <c r="X193" s="9"/>
      <c r="Y193" s="22">
        <v>0.87844800000000001</v>
      </c>
      <c r="Z193" s="22">
        <v>280.34300000000002</v>
      </c>
      <c r="AA193" s="22">
        <v>-1.7538499999999999E-2</v>
      </c>
      <c r="AB193" s="22">
        <v>183</v>
      </c>
      <c r="AC193" s="22">
        <v>0.87768599999999997</v>
      </c>
      <c r="AD193">
        <f t="shared" si="28"/>
        <v>17.538499999999999</v>
      </c>
      <c r="AE193">
        <f t="shared" si="29"/>
        <v>15.406660248</v>
      </c>
      <c r="AF193" s="9"/>
      <c r="AG193" s="22">
        <v>0.82153299999999996</v>
      </c>
      <c r="AH193" s="22">
        <v>356.07799999999997</v>
      </c>
      <c r="AI193" s="22">
        <v>-1.7486600000000001E-2</v>
      </c>
      <c r="AJ193" s="22">
        <v>183</v>
      </c>
      <c r="AK193" s="22">
        <v>0.82061799999999996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428.28100000000001</v>
      </c>
      <c r="AS193" s="22">
        <v>-1.8048100000000001E-2</v>
      </c>
      <c r="AT193" s="22">
        <v>183</v>
      </c>
      <c r="AU193" s="22">
        <v>0.87799099999999997</v>
      </c>
      <c r="AV193">
        <f t="shared" si="32"/>
        <v>18.048100000000002</v>
      </c>
      <c r="AW193">
        <f t="shared" si="33"/>
        <v>15.854317348800002</v>
      </c>
      <c r="AX193" s="9"/>
      <c r="AY193" s="22">
        <v>0.82153299999999996</v>
      </c>
      <c r="AZ193" s="22">
        <v>501.69499999999999</v>
      </c>
      <c r="BA193" s="22">
        <v>-1.7919899999999999E-2</v>
      </c>
      <c r="BB193" s="22">
        <v>183</v>
      </c>
      <c r="BC193" s="22">
        <v>0.82031299999999996</v>
      </c>
      <c r="BD193">
        <f t="shared" si="34"/>
        <v>17.919899999999998</v>
      </c>
      <c r="BE193">
        <f t="shared" si="35"/>
        <v>14.721789206699999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66.885000000000005</v>
      </c>
      <c r="I194" s="22">
        <v>-1.5286299999999999E-2</v>
      </c>
      <c r="J194" s="22">
        <v>184</v>
      </c>
      <c r="K194" s="22">
        <v>0.872803</v>
      </c>
      <c r="L194">
        <f t="shared" si="24"/>
        <v>15.286299999999999</v>
      </c>
      <c r="M194">
        <f t="shared" si="25"/>
        <v>13.351253141899999</v>
      </c>
      <c r="N194" s="9"/>
      <c r="O194" s="22">
        <v>0.826569</v>
      </c>
      <c r="P194" s="22">
        <v>182.227</v>
      </c>
      <c r="Q194" s="22">
        <v>-1.5048199999999999E-2</v>
      </c>
      <c r="R194" s="22">
        <v>184</v>
      </c>
      <c r="S194" s="22">
        <v>0.82580600000000004</v>
      </c>
      <c r="T194">
        <f t="shared" si="26"/>
        <v>15.0482</v>
      </c>
      <c r="U194">
        <f t="shared" si="27"/>
        <v>12.438375625799999</v>
      </c>
      <c r="X194" s="9"/>
      <c r="Y194" s="22">
        <v>0.87341299999999999</v>
      </c>
      <c r="Z194" s="22">
        <v>280.44400000000002</v>
      </c>
      <c r="AA194" s="22">
        <v>-1.7538499999999999E-2</v>
      </c>
      <c r="AB194" s="22">
        <v>184</v>
      </c>
      <c r="AC194" s="22">
        <v>0.872803</v>
      </c>
      <c r="AD194">
        <f t="shared" si="28"/>
        <v>17.538499999999999</v>
      </c>
      <c r="AE194">
        <f t="shared" si="29"/>
        <v>15.318353900499998</v>
      </c>
      <c r="AF194" s="9"/>
      <c r="AG194" s="22">
        <v>0.826569</v>
      </c>
      <c r="AH194" s="22">
        <v>356.17899999999997</v>
      </c>
      <c r="AI194" s="22">
        <v>-1.7486600000000001E-2</v>
      </c>
      <c r="AJ194" s="22">
        <v>184</v>
      </c>
      <c r="AK194" s="22">
        <v>0.82580600000000004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428.38200000000001</v>
      </c>
      <c r="AS194" s="22">
        <v>-1.80511E-2</v>
      </c>
      <c r="AT194" s="22">
        <v>184</v>
      </c>
      <c r="AU194" s="22">
        <v>0.87158199999999997</v>
      </c>
      <c r="AV194">
        <f t="shared" si="32"/>
        <v>18.051100000000002</v>
      </c>
      <c r="AW194">
        <f t="shared" si="33"/>
        <v>15.766065404300001</v>
      </c>
      <c r="AX194" s="9"/>
      <c r="AY194" s="22">
        <v>0.826569</v>
      </c>
      <c r="AZ194" s="22">
        <v>501.79500000000002</v>
      </c>
      <c r="BA194" s="22">
        <v>-1.7919899999999999E-2</v>
      </c>
      <c r="BB194" s="22">
        <v>184</v>
      </c>
      <c r="BC194" s="22">
        <v>0.82580600000000004</v>
      </c>
      <c r="BD194">
        <f t="shared" si="34"/>
        <v>17.919899999999998</v>
      </c>
      <c r="BE194">
        <f t="shared" si="35"/>
        <v>14.812033823099998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66.985699999999994</v>
      </c>
      <c r="I195" s="22">
        <v>-1.52893E-2</v>
      </c>
      <c r="J195" s="22">
        <v>185</v>
      </c>
      <c r="K195" s="22">
        <v>0.86761500000000003</v>
      </c>
      <c r="L195">
        <f t="shared" si="24"/>
        <v>15.289300000000001</v>
      </c>
      <c r="M195">
        <f t="shared" si="25"/>
        <v>13.276891755400001</v>
      </c>
      <c r="N195" s="9"/>
      <c r="O195" s="22">
        <v>0.83160400000000001</v>
      </c>
      <c r="P195" s="22">
        <v>182.328</v>
      </c>
      <c r="Q195" s="22">
        <v>-1.5042099999999999E-2</v>
      </c>
      <c r="R195" s="22">
        <v>185</v>
      </c>
      <c r="S195" s="22">
        <v>0.83160400000000001</v>
      </c>
      <c r="T195">
        <f t="shared" si="26"/>
        <v>15.0421</v>
      </c>
      <c r="U195">
        <f t="shared" si="27"/>
        <v>12.509070528400001</v>
      </c>
      <c r="X195" s="9"/>
      <c r="Y195" s="22">
        <v>0.86837799999999998</v>
      </c>
      <c r="Z195" s="22">
        <v>280.54399999999998</v>
      </c>
      <c r="AA195" s="22">
        <v>-1.75476E-2</v>
      </c>
      <c r="AB195" s="22">
        <v>185</v>
      </c>
      <c r="AC195" s="22">
        <v>0.867004</v>
      </c>
      <c r="AD195">
        <f t="shared" si="28"/>
        <v>17.547599999999999</v>
      </c>
      <c r="AE195">
        <f t="shared" si="29"/>
        <v>15.237949792799999</v>
      </c>
      <c r="AF195" s="9"/>
      <c r="AG195" s="22">
        <v>0.83160400000000001</v>
      </c>
      <c r="AH195" s="22">
        <v>356.28</v>
      </c>
      <c r="AI195" s="22">
        <v>-1.7483499999999999E-2</v>
      </c>
      <c r="AJ195" s="22">
        <v>185</v>
      </c>
      <c r="AK195" s="22">
        <v>0.83099400000000001</v>
      </c>
      <c r="AL195">
        <f t="shared" si="30"/>
        <v>17.483499999999999</v>
      </c>
      <c r="AM195">
        <f t="shared" si="31"/>
        <v>14.539348534</v>
      </c>
      <c r="AP195" s="9"/>
      <c r="AQ195" s="22">
        <v>0.86837799999999998</v>
      </c>
      <c r="AR195" s="22">
        <v>428.483</v>
      </c>
      <c r="AS195" s="22">
        <v>-1.80511E-2</v>
      </c>
      <c r="AT195" s="22">
        <v>185</v>
      </c>
      <c r="AU195" s="22">
        <v>0.867004</v>
      </c>
      <c r="AV195">
        <f t="shared" si="32"/>
        <v>18.051100000000002</v>
      </c>
      <c r="AW195">
        <f t="shared" si="33"/>
        <v>15.675178115800001</v>
      </c>
      <c r="AX195" s="9"/>
      <c r="AY195" s="22">
        <v>0.83160400000000001</v>
      </c>
      <c r="AZ195" s="22">
        <v>501.89600000000002</v>
      </c>
      <c r="BA195" s="22">
        <v>-1.7923000000000001E-2</v>
      </c>
      <c r="BB195" s="22">
        <v>185</v>
      </c>
      <c r="BC195" s="22">
        <v>0.83160400000000001</v>
      </c>
      <c r="BD195">
        <f t="shared" si="34"/>
        <v>17.923000000000002</v>
      </c>
      <c r="BE195">
        <f t="shared" si="35"/>
        <v>14.904838492000001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67.086399999999998</v>
      </c>
      <c r="I196" s="22">
        <v>-1.5301500000000001E-2</v>
      </c>
      <c r="J196" s="22">
        <v>186</v>
      </c>
      <c r="K196" s="22">
        <v>0.86242700000000005</v>
      </c>
      <c r="L196">
        <f t="shared" si="24"/>
        <v>15.301500000000001</v>
      </c>
      <c r="M196">
        <f t="shared" si="25"/>
        <v>13.210427613000002</v>
      </c>
      <c r="N196" s="9"/>
      <c r="O196" s="22">
        <v>0.83663900000000002</v>
      </c>
      <c r="P196" s="22">
        <v>182.428</v>
      </c>
      <c r="Q196" s="22">
        <v>-1.50391E-2</v>
      </c>
      <c r="R196" s="22">
        <v>186</v>
      </c>
      <c r="S196" s="22">
        <v>0.83618199999999998</v>
      </c>
      <c r="T196">
        <f t="shared" si="26"/>
        <v>15.039099999999999</v>
      </c>
      <c r="U196">
        <f t="shared" si="27"/>
        <v>12.582297584899999</v>
      </c>
      <c r="X196" s="9"/>
      <c r="Y196" s="22">
        <v>0.86334200000000005</v>
      </c>
      <c r="Z196" s="22">
        <v>280.64499999999998</v>
      </c>
      <c r="AA196" s="22">
        <v>-1.7529300000000001E-2</v>
      </c>
      <c r="AB196" s="22">
        <v>186</v>
      </c>
      <c r="AC196" s="22">
        <v>0.86242700000000005</v>
      </c>
      <c r="AD196">
        <f t="shared" si="28"/>
        <v>17.529300000000003</v>
      </c>
      <c r="AE196">
        <f t="shared" si="29"/>
        <v>15.133780920600003</v>
      </c>
      <c r="AF196" s="9"/>
      <c r="AG196" s="22">
        <v>0.83663900000000002</v>
      </c>
      <c r="AH196" s="22">
        <v>356.38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428.58300000000003</v>
      </c>
      <c r="AS196" s="22">
        <v>-1.8060300000000001E-2</v>
      </c>
      <c r="AT196" s="22">
        <v>186</v>
      </c>
      <c r="AU196" s="22">
        <v>0.86242700000000005</v>
      </c>
      <c r="AV196">
        <f t="shared" si="32"/>
        <v>18.060300000000002</v>
      </c>
      <c r="AW196">
        <f t="shared" si="33"/>
        <v>15.592215522600002</v>
      </c>
      <c r="AX196" s="9"/>
      <c r="AY196" s="22">
        <v>0.83663900000000002</v>
      </c>
      <c r="AZ196" s="22">
        <v>501.99700000000001</v>
      </c>
      <c r="BA196" s="22">
        <v>-1.7913800000000001E-2</v>
      </c>
      <c r="BB196" s="22">
        <v>186</v>
      </c>
      <c r="BC196" s="22">
        <v>0.83618199999999998</v>
      </c>
      <c r="BD196">
        <f t="shared" si="34"/>
        <v>17.913800000000002</v>
      </c>
      <c r="BE196">
        <f t="shared" si="35"/>
        <v>14.987383718200002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67.187200000000004</v>
      </c>
      <c r="I197" s="22">
        <v>-1.5286299999999999E-2</v>
      </c>
      <c r="J197" s="22">
        <v>187</v>
      </c>
      <c r="K197" s="22">
        <v>0.85754399999999997</v>
      </c>
      <c r="L197">
        <f t="shared" si="24"/>
        <v>15.286299999999999</v>
      </c>
      <c r="M197">
        <f t="shared" si="25"/>
        <v>13.1203382941</v>
      </c>
      <c r="N197" s="9"/>
      <c r="O197" s="22">
        <v>0.84167499999999995</v>
      </c>
      <c r="P197" s="22">
        <v>182.529</v>
      </c>
      <c r="Q197" s="22">
        <v>-1.51031E-2</v>
      </c>
      <c r="R197" s="22">
        <v>187</v>
      </c>
      <c r="S197" s="22">
        <v>0.84075900000000003</v>
      </c>
      <c r="T197">
        <f t="shared" si="26"/>
        <v>15.1031</v>
      </c>
      <c r="U197">
        <f t="shared" si="27"/>
        <v>12.7119016925</v>
      </c>
      <c r="X197" s="9"/>
      <c r="Y197" s="22">
        <v>0.85830700000000004</v>
      </c>
      <c r="Z197" s="22">
        <v>280.74599999999998</v>
      </c>
      <c r="AA197" s="22">
        <v>-1.7538499999999999E-2</v>
      </c>
      <c r="AB197" s="22">
        <v>187</v>
      </c>
      <c r="AC197" s="22">
        <v>0.85754399999999997</v>
      </c>
      <c r="AD197">
        <f t="shared" si="28"/>
        <v>17.538499999999999</v>
      </c>
      <c r="AE197">
        <f t="shared" si="29"/>
        <v>15.053417319499999</v>
      </c>
      <c r="AF197" s="9"/>
      <c r="AG197" s="22">
        <v>0.84167499999999995</v>
      </c>
      <c r="AH197" s="22">
        <v>356.48099999999999</v>
      </c>
      <c r="AI197" s="22">
        <v>-1.7483499999999999E-2</v>
      </c>
      <c r="AJ197" s="22">
        <v>187</v>
      </c>
      <c r="AK197" s="22">
        <v>0.84136999999999995</v>
      </c>
      <c r="AL197">
        <f t="shared" si="30"/>
        <v>17.483499999999999</v>
      </c>
      <c r="AM197">
        <f t="shared" si="31"/>
        <v>14.715424862499999</v>
      </c>
      <c r="AP197" s="9"/>
      <c r="AQ197" s="22">
        <v>0.85830700000000004</v>
      </c>
      <c r="AR197" s="22">
        <v>428.68400000000003</v>
      </c>
      <c r="AS197" s="22">
        <v>-1.8060300000000001E-2</v>
      </c>
      <c r="AT197" s="22">
        <v>187</v>
      </c>
      <c r="AU197" s="22">
        <v>0.85723899999999997</v>
      </c>
      <c r="AV197">
        <f t="shared" si="32"/>
        <v>18.060300000000002</v>
      </c>
      <c r="AW197">
        <f t="shared" si="33"/>
        <v>15.501281912100001</v>
      </c>
      <c r="AX197" s="9"/>
      <c r="AY197" s="22">
        <v>0.84167499999999995</v>
      </c>
      <c r="AZ197" s="22">
        <v>502.09699999999998</v>
      </c>
      <c r="BA197" s="22">
        <v>-1.7919899999999999E-2</v>
      </c>
      <c r="BB197" s="22">
        <v>187</v>
      </c>
      <c r="BC197" s="22">
        <v>0.84136999999999995</v>
      </c>
      <c r="BD197">
        <f t="shared" si="34"/>
        <v>17.919899999999998</v>
      </c>
      <c r="BE197">
        <f t="shared" si="35"/>
        <v>15.082731832499999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67.287899999999993</v>
      </c>
      <c r="I198" s="22">
        <v>-1.53259E-2</v>
      </c>
      <c r="J198" s="22">
        <v>188</v>
      </c>
      <c r="K198" s="22">
        <v>0.852051</v>
      </c>
      <c r="L198">
        <f t="shared" si="24"/>
        <v>15.325900000000001</v>
      </c>
      <c r="M198">
        <f t="shared" si="25"/>
        <v>13.077146018900001</v>
      </c>
      <c r="N198" s="9"/>
      <c r="O198" s="22">
        <v>0.84670999999999996</v>
      </c>
      <c r="P198" s="22">
        <v>182.63</v>
      </c>
      <c r="Q198" s="22">
        <v>-1.5118400000000001E-2</v>
      </c>
      <c r="R198" s="22">
        <v>188</v>
      </c>
      <c r="S198" s="22">
        <v>0.846252</v>
      </c>
      <c r="T198">
        <f t="shared" si="26"/>
        <v>15.118400000000001</v>
      </c>
      <c r="U198">
        <f t="shared" si="27"/>
        <v>12.800900464</v>
      </c>
      <c r="X198" s="9"/>
      <c r="Y198" s="22">
        <v>0.853271</v>
      </c>
      <c r="Z198" s="22">
        <v>280.846</v>
      </c>
      <c r="AA198" s="22">
        <v>-1.75354E-2</v>
      </c>
      <c r="AB198" s="22">
        <v>188</v>
      </c>
      <c r="AC198" s="22">
        <v>0.852356</v>
      </c>
      <c r="AD198">
        <f t="shared" si="28"/>
        <v>17.535399999999999</v>
      </c>
      <c r="AE198">
        <f t="shared" si="29"/>
        <v>14.9624482934</v>
      </c>
      <c r="AF198" s="9"/>
      <c r="AG198" s="22">
        <v>0.84670999999999996</v>
      </c>
      <c r="AH198" s="22">
        <v>356.58199999999999</v>
      </c>
      <c r="AI198" s="22">
        <v>-1.74805E-2</v>
      </c>
      <c r="AJ198" s="22">
        <v>188</v>
      </c>
      <c r="AK198" s="22">
        <v>0.845947</v>
      </c>
      <c r="AL198">
        <f t="shared" si="30"/>
        <v>17.480499999999999</v>
      </c>
      <c r="AM198">
        <f t="shared" si="31"/>
        <v>14.800914154999999</v>
      </c>
      <c r="AP198" s="9"/>
      <c r="AQ198" s="22">
        <v>0.853271</v>
      </c>
      <c r="AR198" s="22">
        <v>428.78500000000003</v>
      </c>
      <c r="AS198" s="22">
        <v>-1.8060300000000001E-2</v>
      </c>
      <c r="AT198" s="22">
        <v>188</v>
      </c>
      <c r="AU198" s="22">
        <v>0.852356</v>
      </c>
      <c r="AV198">
        <f t="shared" si="32"/>
        <v>18.060300000000002</v>
      </c>
      <c r="AW198">
        <f t="shared" si="33"/>
        <v>15.410330241300001</v>
      </c>
      <c r="AX198" s="9"/>
      <c r="AY198" s="22">
        <v>0.84670999999999996</v>
      </c>
      <c r="AZ198" s="22">
        <v>502.19799999999998</v>
      </c>
      <c r="BA198" s="22">
        <v>-1.7916899999999999E-2</v>
      </c>
      <c r="BB198" s="22">
        <v>188</v>
      </c>
      <c r="BC198" s="22">
        <v>0.845642</v>
      </c>
      <c r="BD198">
        <f t="shared" si="34"/>
        <v>17.916899999999998</v>
      </c>
      <c r="BE198">
        <f t="shared" si="35"/>
        <v>15.170418398999997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67.388599999999997</v>
      </c>
      <c r="I199" s="22">
        <v>-1.53259E-2</v>
      </c>
      <c r="J199" s="22">
        <v>189</v>
      </c>
      <c r="K199" s="22">
        <v>0.84716800000000003</v>
      </c>
      <c r="L199">
        <f t="shared" si="24"/>
        <v>15.325900000000001</v>
      </c>
      <c r="M199">
        <f t="shared" si="25"/>
        <v>12.999980112400001</v>
      </c>
      <c r="N199" s="9"/>
      <c r="O199" s="22">
        <v>0.851746</v>
      </c>
      <c r="P199" s="22">
        <v>182.73099999999999</v>
      </c>
      <c r="Q199" s="22">
        <v>-1.51001E-2</v>
      </c>
      <c r="R199" s="22">
        <v>189</v>
      </c>
      <c r="S199" s="22">
        <v>0.85113499999999997</v>
      </c>
      <c r="T199">
        <f t="shared" si="26"/>
        <v>15.100099999999999</v>
      </c>
      <c r="U199">
        <f t="shared" si="27"/>
        <v>12.861449774599999</v>
      </c>
      <c r="X199" s="9"/>
      <c r="Y199" s="22">
        <v>0.84823599999999999</v>
      </c>
      <c r="Z199" s="22">
        <v>280.947</v>
      </c>
      <c r="AA199" s="22">
        <v>-1.7550699999999999E-2</v>
      </c>
      <c r="AB199" s="22">
        <v>189</v>
      </c>
      <c r="AC199" s="22">
        <v>0.84930399999999995</v>
      </c>
      <c r="AD199">
        <f t="shared" si="28"/>
        <v>17.550699999999999</v>
      </c>
      <c r="AE199">
        <f t="shared" si="29"/>
        <v>14.887135565199999</v>
      </c>
      <c r="AF199" s="9"/>
      <c r="AG199" s="22">
        <v>0.851746</v>
      </c>
      <c r="AH199" s="22">
        <v>356.68200000000002</v>
      </c>
      <c r="AI199" s="22">
        <v>-1.7477400000000001E-2</v>
      </c>
      <c r="AJ199" s="22">
        <v>189</v>
      </c>
      <c r="AK199" s="22">
        <v>0.85113499999999997</v>
      </c>
      <c r="AL199">
        <f t="shared" si="30"/>
        <v>17.477399999999999</v>
      </c>
      <c r="AM199">
        <f t="shared" si="31"/>
        <v>14.886305540399999</v>
      </c>
      <c r="AP199" s="9"/>
      <c r="AQ199" s="22">
        <v>0.84823599999999999</v>
      </c>
      <c r="AR199" s="22">
        <v>428.88600000000002</v>
      </c>
      <c r="AS199" s="22">
        <v>-1.80634E-2</v>
      </c>
      <c r="AT199" s="22">
        <v>189</v>
      </c>
      <c r="AU199" s="22">
        <v>0.84777800000000003</v>
      </c>
      <c r="AV199">
        <f t="shared" si="32"/>
        <v>18.063400000000001</v>
      </c>
      <c r="AW199">
        <f t="shared" si="33"/>
        <v>15.3220261624</v>
      </c>
      <c r="AX199" s="9"/>
      <c r="AY199" s="22">
        <v>0.851746</v>
      </c>
      <c r="AZ199" s="22">
        <v>502.29899999999998</v>
      </c>
      <c r="BA199" s="22">
        <v>-1.7916899999999999E-2</v>
      </c>
      <c r="BB199" s="22">
        <v>189</v>
      </c>
      <c r="BC199" s="22">
        <v>0.85082999999999998</v>
      </c>
      <c r="BD199">
        <f t="shared" si="34"/>
        <v>17.916899999999998</v>
      </c>
      <c r="BE199">
        <f t="shared" si="35"/>
        <v>15.260647907399999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67.4893</v>
      </c>
      <c r="I200" s="22">
        <v>-1.5335100000000001E-2</v>
      </c>
      <c r="J200" s="22">
        <v>190</v>
      </c>
      <c r="K200" s="22">
        <v>0.84228499999999995</v>
      </c>
      <c r="L200">
        <f t="shared" si="24"/>
        <v>15.335100000000001</v>
      </c>
      <c r="M200">
        <f t="shared" si="25"/>
        <v>12.9305716551</v>
      </c>
      <c r="N200" s="9"/>
      <c r="O200" s="22">
        <v>0.85678100000000001</v>
      </c>
      <c r="P200" s="22">
        <v>182.83099999999999</v>
      </c>
      <c r="Q200" s="22">
        <v>-1.5109300000000001E-2</v>
      </c>
      <c r="R200" s="22">
        <v>190</v>
      </c>
      <c r="S200" s="22">
        <v>0.85571299999999995</v>
      </c>
      <c r="T200">
        <f t="shared" si="26"/>
        <v>15.109300000000001</v>
      </c>
      <c r="U200">
        <f t="shared" si="27"/>
        <v>12.945361163300001</v>
      </c>
      <c r="X200" s="9"/>
      <c r="Y200" s="22">
        <v>0.84320099999999998</v>
      </c>
      <c r="Z200" s="22">
        <v>281.048</v>
      </c>
      <c r="AA200" s="22">
        <v>-1.7562899999999999E-2</v>
      </c>
      <c r="AB200" s="22">
        <v>190</v>
      </c>
      <c r="AC200" s="22">
        <v>0.84289599999999998</v>
      </c>
      <c r="AD200">
        <f t="shared" si="28"/>
        <v>17.562899999999999</v>
      </c>
      <c r="AE200">
        <f t="shared" si="29"/>
        <v>14.809054842899998</v>
      </c>
      <c r="AF200" s="9"/>
      <c r="AG200" s="22">
        <v>0.85678100000000001</v>
      </c>
      <c r="AH200" s="22">
        <v>356.78300000000002</v>
      </c>
      <c r="AI200" s="22">
        <v>-1.7471299999999999E-2</v>
      </c>
      <c r="AJ200" s="22">
        <v>190</v>
      </c>
      <c r="AK200" s="22">
        <v>0.85632299999999995</v>
      </c>
      <c r="AL200">
        <f t="shared" si="30"/>
        <v>17.471299999999999</v>
      </c>
      <c r="AM200">
        <f t="shared" si="31"/>
        <v>14.969077885299999</v>
      </c>
      <c r="AP200" s="9"/>
      <c r="AQ200" s="22">
        <v>0.84320099999999998</v>
      </c>
      <c r="AR200" s="22">
        <v>428.98599999999999</v>
      </c>
      <c r="AS200" s="22">
        <v>-1.8069499999999999E-2</v>
      </c>
      <c r="AT200" s="22">
        <v>190</v>
      </c>
      <c r="AU200" s="22">
        <v>0.84258999999999995</v>
      </c>
      <c r="AV200">
        <f t="shared" si="32"/>
        <v>18.069499999999998</v>
      </c>
      <c r="AW200">
        <f t="shared" si="33"/>
        <v>15.236220469499997</v>
      </c>
      <c r="AX200" s="9"/>
      <c r="AY200" s="22">
        <v>0.85678100000000001</v>
      </c>
      <c r="AZ200" s="22">
        <v>502.4</v>
      </c>
      <c r="BA200" s="22">
        <v>-1.7923000000000001E-2</v>
      </c>
      <c r="BB200" s="22">
        <v>190</v>
      </c>
      <c r="BC200" s="22">
        <v>0.85571299999999995</v>
      </c>
      <c r="BD200">
        <f t="shared" si="34"/>
        <v>17.923000000000002</v>
      </c>
      <c r="BE200">
        <f t="shared" si="35"/>
        <v>15.356085863000002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67.59</v>
      </c>
      <c r="I201" s="22">
        <v>-1.5368700000000001E-2</v>
      </c>
      <c r="J201" s="22">
        <v>191</v>
      </c>
      <c r="K201" s="22">
        <v>0.83740199999999998</v>
      </c>
      <c r="L201">
        <f t="shared" si="24"/>
        <v>15.3687</v>
      </c>
      <c r="M201">
        <f t="shared" si="25"/>
        <v>12.8815064355</v>
      </c>
      <c r="N201" s="9"/>
      <c r="O201" s="22">
        <v>0.86181600000000003</v>
      </c>
      <c r="P201" s="22">
        <v>182.93199999999999</v>
      </c>
      <c r="Q201" s="22">
        <v>-1.5094E-2</v>
      </c>
      <c r="R201" s="22">
        <v>191</v>
      </c>
      <c r="S201" s="22">
        <v>0.86120600000000003</v>
      </c>
      <c r="T201">
        <f t="shared" si="26"/>
        <v>15.093999999999999</v>
      </c>
      <c r="U201">
        <f t="shared" si="27"/>
        <v>13.008250704</v>
      </c>
      <c r="X201" s="9"/>
      <c r="Y201" s="22">
        <v>0.83816500000000005</v>
      </c>
      <c r="Z201" s="22">
        <v>281.149</v>
      </c>
      <c r="AA201" s="22">
        <v>-1.75598E-2</v>
      </c>
      <c r="AB201" s="22">
        <v>191</v>
      </c>
      <c r="AC201" s="22">
        <v>0.83740199999999998</v>
      </c>
      <c r="AD201">
        <f t="shared" si="28"/>
        <v>17.559799999999999</v>
      </c>
      <c r="AE201">
        <f t="shared" si="29"/>
        <v>14.718009767</v>
      </c>
      <c r="AF201" s="9"/>
      <c r="AG201" s="22">
        <v>0.86181600000000003</v>
      </c>
      <c r="AH201" s="22">
        <v>356.88400000000001</v>
      </c>
      <c r="AI201" s="22">
        <v>-1.7474400000000001E-2</v>
      </c>
      <c r="AJ201" s="22">
        <v>191</v>
      </c>
      <c r="AK201" s="22">
        <v>0.86029100000000003</v>
      </c>
      <c r="AL201">
        <f t="shared" si="30"/>
        <v>17.474400000000003</v>
      </c>
      <c r="AM201">
        <f t="shared" si="31"/>
        <v>15.059717510400002</v>
      </c>
      <c r="AP201" s="9"/>
      <c r="AQ201" s="22">
        <v>0.83816500000000005</v>
      </c>
      <c r="AR201" s="22">
        <v>429.08699999999999</v>
      </c>
      <c r="AS201" s="22">
        <v>-1.8072499999999998E-2</v>
      </c>
      <c r="AT201" s="22">
        <v>191</v>
      </c>
      <c r="AU201" s="22">
        <v>0.83740199999999998</v>
      </c>
      <c r="AV201">
        <f t="shared" si="32"/>
        <v>18.072499999999998</v>
      </c>
      <c r="AW201">
        <f t="shared" si="33"/>
        <v>15.1477369625</v>
      </c>
      <c r="AX201" s="9"/>
      <c r="AY201" s="22">
        <v>0.86181600000000003</v>
      </c>
      <c r="AZ201" s="22">
        <v>502.5</v>
      </c>
      <c r="BA201" s="22">
        <v>-1.7913800000000001E-2</v>
      </c>
      <c r="BB201" s="22">
        <v>191</v>
      </c>
      <c r="BC201" s="22">
        <v>0.86059600000000003</v>
      </c>
      <c r="BD201">
        <f t="shared" si="34"/>
        <v>17.913800000000002</v>
      </c>
      <c r="BE201">
        <f t="shared" si="35"/>
        <v>15.438399460800003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67.690700000000007</v>
      </c>
      <c r="I202" s="22">
        <v>-1.5438800000000001E-2</v>
      </c>
      <c r="J202" s="22">
        <v>192</v>
      </c>
      <c r="K202" s="22">
        <v>0.83221400000000001</v>
      </c>
      <c r="L202">
        <f t="shared" si="24"/>
        <v>15.438800000000001</v>
      </c>
      <c r="M202">
        <f t="shared" si="25"/>
        <v>12.862527444000001</v>
      </c>
      <c r="N202" s="9"/>
      <c r="O202" s="22">
        <v>0.86685199999999996</v>
      </c>
      <c r="P202" s="22">
        <v>183.03299999999999</v>
      </c>
      <c r="Q202" s="22">
        <v>-1.50726E-2</v>
      </c>
      <c r="R202" s="22">
        <v>192</v>
      </c>
      <c r="S202" s="22">
        <v>0.866089</v>
      </c>
      <c r="T202">
        <f t="shared" si="26"/>
        <v>15.0726</v>
      </c>
      <c r="U202">
        <f t="shared" si="27"/>
        <v>13.065713455199999</v>
      </c>
      <c r="X202" s="9"/>
      <c r="Y202" s="22">
        <v>0.83313000000000004</v>
      </c>
      <c r="Z202" s="22">
        <v>281.24900000000002</v>
      </c>
      <c r="AA202" s="22">
        <v>-1.75446E-2</v>
      </c>
      <c r="AB202" s="22">
        <v>192</v>
      </c>
      <c r="AC202" s="22">
        <v>0.83160400000000001</v>
      </c>
      <c r="AD202">
        <f t="shared" si="28"/>
        <v>17.544599999999999</v>
      </c>
      <c r="AE202">
        <f t="shared" si="29"/>
        <v>14.616932598</v>
      </c>
      <c r="AF202" s="9"/>
      <c r="AG202" s="22">
        <v>0.86685199999999996</v>
      </c>
      <c r="AH202" s="22">
        <v>356.98500000000001</v>
      </c>
      <c r="AI202" s="22">
        <v>-1.7474400000000001E-2</v>
      </c>
      <c r="AJ202" s="22">
        <v>192</v>
      </c>
      <c r="AK202" s="22">
        <v>0.866089</v>
      </c>
      <c r="AL202">
        <f t="shared" si="30"/>
        <v>17.474400000000003</v>
      </c>
      <c r="AM202">
        <f t="shared" si="31"/>
        <v>15.147718588800002</v>
      </c>
      <c r="AP202" s="9"/>
      <c r="AQ202" s="22">
        <v>0.83313000000000004</v>
      </c>
      <c r="AR202" s="22">
        <v>429.18799999999999</v>
      </c>
      <c r="AS202" s="22">
        <v>-1.8075600000000001E-2</v>
      </c>
      <c r="AT202" s="22">
        <v>192</v>
      </c>
      <c r="AU202" s="22">
        <v>0.83282500000000004</v>
      </c>
      <c r="AV202">
        <f t="shared" si="32"/>
        <v>18.075600000000001</v>
      </c>
      <c r="AW202">
        <f t="shared" si="33"/>
        <v>15.059324628000002</v>
      </c>
      <c r="AX202" s="9"/>
      <c r="AY202" s="22">
        <v>0.86685199999999996</v>
      </c>
      <c r="AZ202" s="22">
        <v>502.601</v>
      </c>
      <c r="BA202" s="22">
        <v>-1.7904699999999999E-2</v>
      </c>
      <c r="BB202" s="22">
        <v>192</v>
      </c>
      <c r="BC202" s="22">
        <v>0.865784</v>
      </c>
      <c r="BD202">
        <f t="shared" si="34"/>
        <v>17.904699999999998</v>
      </c>
      <c r="BE202">
        <f t="shared" si="35"/>
        <v>15.520725004399997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67.791399999999996</v>
      </c>
      <c r="I203" s="22">
        <v>-1.53992E-2</v>
      </c>
      <c r="J203" s="22">
        <v>193</v>
      </c>
      <c r="K203" s="22">
        <v>0.82763699999999996</v>
      </c>
      <c r="L203">
        <f t="shared" si="24"/>
        <v>15.3992</v>
      </c>
      <c r="M203">
        <f t="shared" si="25"/>
        <v>12.751985124800001</v>
      </c>
      <c r="N203" s="9"/>
      <c r="O203" s="22">
        <v>0.87188699999999997</v>
      </c>
      <c r="P203" s="22">
        <v>183.13300000000001</v>
      </c>
      <c r="Q203" s="22">
        <v>-1.5075699999999999E-2</v>
      </c>
      <c r="R203" s="22">
        <v>193</v>
      </c>
      <c r="S203" s="22">
        <v>0.87127699999999997</v>
      </c>
      <c r="T203">
        <f t="shared" si="26"/>
        <v>15.075699999999999</v>
      </c>
      <c r="U203">
        <f t="shared" si="27"/>
        <v>13.144306845899999</v>
      </c>
      <c r="X203" s="9"/>
      <c r="Y203" s="22">
        <v>0.828094</v>
      </c>
      <c r="Z203" s="22">
        <v>281.35000000000002</v>
      </c>
      <c r="AA203" s="22">
        <v>-1.7562899999999999E-2</v>
      </c>
      <c r="AB203" s="22">
        <v>193</v>
      </c>
      <c r="AC203" s="22">
        <v>0.82672100000000004</v>
      </c>
      <c r="AD203">
        <f t="shared" si="28"/>
        <v>17.562899999999999</v>
      </c>
      <c r="AE203">
        <f t="shared" si="29"/>
        <v>14.543732112599999</v>
      </c>
      <c r="AF203" s="9"/>
      <c r="AG203" s="22">
        <v>0.87188699999999997</v>
      </c>
      <c r="AH203" s="22">
        <v>357.08499999999998</v>
      </c>
      <c r="AI203" s="22">
        <v>-1.7468299999999999E-2</v>
      </c>
      <c r="AJ203" s="22">
        <v>193</v>
      </c>
      <c r="AK203" s="22">
        <v>0.87097199999999997</v>
      </c>
      <c r="AL203">
        <f t="shared" si="30"/>
        <v>17.468299999999999</v>
      </c>
      <c r="AM203">
        <f t="shared" si="31"/>
        <v>15.230383682099999</v>
      </c>
      <c r="AP203" s="9"/>
      <c r="AQ203" s="22">
        <v>0.828094</v>
      </c>
      <c r="AR203" s="22">
        <v>429.28800000000001</v>
      </c>
      <c r="AS203" s="22">
        <v>-1.8075600000000001E-2</v>
      </c>
      <c r="AT203" s="22">
        <v>193</v>
      </c>
      <c r="AU203" s="22">
        <v>0.82733199999999996</v>
      </c>
      <c r="AV203">
        <f t="shared" si="32"/>
        <v>18.075600000000001</v>
      </c>
      <c r="AW203">
        <f t="shared" si="33"/>
        <v>14.968295906400002</v>
      </c>
      <c r="AX203" s="9"/>
      <c r="AY203" s="22">
        <v>0.87188699999999997</v>
      </c>
      <c r="AZ203" s="22">
        <v>502.702</v>
      </c>
      <c r="BA203" s="22">
        <v>-1.7907699999999999E-2</v>
      </c>
      <c r="BB203" s="22">
        <v>193</v>
      </c>
      <c r="BC203" s="22">
        <v>0.87066699999999997</v>
      </c>
      <c r="BD203">
        <f t="shared" si="34"/>
        <v>17.907699999999998</v>
      </c>
      <c r="BE203">
        <f t="shared" si="35"/>
        <v>15.613490829899998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67.892099999999999</v>
      </c>
      <c r="I204" s="22">
        <v>-1.54419E-2</v>
      </c>
      <c r="J204" s="22">
        <v>194</v>
      </c>
      <c r="K204" s="22">
        <v>0.82275399999999999</v>
      </c>
      <c r="L204">
        <f t="shared" ref="L204:L267" si="36">-I204/$F$2*1000</f>
        <v>15.4419</v>
      </c>
      <c r="M204">
        <f t="shared" ref="M204:M267" si="37">L204*G204</f>
        <v>12.709594772100001</v>
      </c>
      <c r="N204" s="9"/>
      <c r="O204" s="22">
        <v>0.87692300000000001</v>
      </c>
      <c r="P204" s="22">
        <v>183.23400000000001</v>
      </c>
      <c r="Q204" s="22">
        <v>-1.5069600000000001E-2</v>
      </c>
      <c r="R204" s="22">
        <v>194</v>
      </c>
      <c r="S204" s="22">
        <v>0.87616000000000005</v>
      </c>
      <c r="T204">
        <f t="shared" ref="T204:T267" si="38">-Q204/$F$2*1000</f>
        <v>15.069600000000001</v>
      </c>
      <c r="U204">
        <f t="shared" ref="U204:U267" si="39">T204*O204</f>
        <v>13.214878840800001</v>
      </c>
      <c r="X204" s="9"/>
      <c r="Y204" s="22">
        <v>0.82305899999999999</v>
      </c>
      <c r="Z204" s="22">
        <v>281.45100000000002</v>
      </c>
      <c r="AA204" s="22">
        <v>-1.7556800000000001E-2</v>
      </c>
      <c r="AB204" s="22">
        <v>194</v>
      </c>
      <c r="AC204" s="22">
        <v>0.82214399999999999</v>
      </c>
      <c r="AD204">
        <f t="shared" ref="AD204:AD267" si="40">-AA204/$F$2*1000</f>
        <v>17.556800000000003</v>
      </c>
      <c r="AE204">
        <f t="shared" ref="AE204:AE267" si="41">AD204*Y204</f>
        <v>14.450282251200003</v>
      </c>
      <c r="AF204" s="9"/>
      <c r="AG204" s="22">
        <v>0.87692300000000001</v>
      </c>
      <c r="AH204" s="22">
        <v>357.18599999999998</v>
      </c>
      <c r="AI204" s="22">
        <v>-1.7468299999999999E-2</v>
      </c>
      <c r="AJ204" s="22">
        <v>194</v>
      </c>
      <c r="AK204" s="22">
        <v>0.87585400000000002</v>
      </c>
      <c r="AL204">
        <f t="shared" ref="AL204:AL267" si="42">-AI204/$F$2*1000</f>
        <v>17.468299999999999</v>
      </c>
      <c r="AM204">
        <f t="shared" ref="AM204:AM267" si="43">AL204*AG204</f>
        <v>15.318354040899999</v>
      </c>
      <c r="AP204" s="9"/>
      <c r="AQ204" s="22">
        <v>0.82305899999999999</v>
      </c>
      <c r="AR204" s="22">
        <v>429.38900000000001</v>
      </c>
      <c r="AS204" s="22">
        <v>-1.8069499999999999E-2</v>
      </c>
      <c r="AT204" s="22">
        <v>194</v>
      </c>
      <c r="AU204" s="22">
        <v>0.82244899999999999</v>
      </c>
      <c r="AV204">
        <f t="shared" ref="AV204:AV267" si="44">-AS204/$F$2*1000</f>
        <v>18.069499999999998</v>
      </c>
      <c r="AW204">
        <f t="shared" ref="AW204:AW267" si="45">AV204*AQ204</f>
        <v>14.872264600499998</v>
      </c>
      <c r="AX204" s="9"/>
      <c r="AY204" s="22">
        <v>0.87692300000000001</v>
      </c>
      <c r="AZ204" s="22">
        <v>502.80200000000002</v>
      </c>
      <c r="BA204" s="22">
        <v>-1.7904699999999999E-2</v>
      </c>
      <c r="BB204" s="22">
        <v>194</v>
      </c>
      <c r="BC204" s="22">
        <v>0.87646500000000005</v>
      </c>
      <c r="BD204">
        <f t="shared" ref="BD204:BD267" si="46">-BA204/$F$2*1000</f>
        <v>17.904699999999998</v>
      </c>
      <c r="BE204">
        <f t="shared" ref="BE204:BE267" si="47">BD204*AY204</f>
        <v>15.701043238099999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67.992800000000003</v>
      </c>
      <c r="I205" s="22">
        <v>-1.5396099999999999E-2</v>
      </c>
      <c r="J205" s="22">
        <v>195</v>
      </c>
      <c r="K205" s="22">
        <v>0.81756600000000001</v>
      </c>
      <c r="L205">
        <f t="shared" si="36"/>
        <v>15.396099999999999</v>
      </c>
      <c r="M205">
        <f t="shared" si="37"/>
        <v>12.594379306399999</v>
      </c>
      <c r="N205" s="9"/>
      <c r="O205" s="22">
        <v>0.88195800000000002</v>
      </c>
      <c r="P205" s="22">
        <v>183.33500000000001</v>
      </c>
      <c r="Q205" s="22">
        <v>-1.50787E-2</v>
      </c>
      <c r="R205" s="22">
        <v>195</v>
      </c>
      <c r="S205" s="22">
        <v>0.88104199999999999</v>
      </c>
      <c r="T205">
        <f t="shared" si="38"/>
        <v>15.078700000000001</v>
      </c>
      <c r="U205">
        <f t="shared" si="39"/>
        <v>13.298780094600001</v>
      </c>
      <c r="X205" s="9"/>
      <c r="Y205" s="22">
        <v>0.81802399999999997</v>
      </c>
      <c r="Z205" s="22">
        <v>281.55099999999999</v>
      </c>
      <c r="AA205" s="22">
        <v>-1.7562899999999999E-2</v>
      </c>
      <c r="AB205" s="22">
        <v>195</v>
      </c>
      <c r="AC205" s="22">
        <v>0.81787100000000001</v>
      </c>
      <c r="AD205">
        <f t="shared" si="40"/>
        <v>17.562899999999999</v>
      </c>
      <c r="AE205">
        <f t="shared" si="41"/>
        <v>14.366873709599998</v>
      </c>
      <c r="AF205" s="9"/>
      <c r="AG205" s="22">
        <v>0.88195800000000002</v>
      </c>
      <c r="AH205" s="22">
        <v>357.28699999999998</v>
      </c>
      <c r="AI205" s="22">
        <v>-1.7459100000000002E-2</v>
      </c>
      <c r="AJ205" s="22">
        <v>195</v>
      </c>
      <c r="AK205" s="22">
        <v>0.88104199999999999</v>
      </c>
      <c r="AL205">
        <f t="shared" si="42"/>
        <v>17.459100000000003</v>
      </c>
      <c r="AM205">
        <f t="shared" si="43"/>
        <v>15.398192917800003</v>
      </c>
      <c r="AP205" s="9"/>
      <c r="AQ205" s="22">
        <v>0.81802399999999997</v>
      </c>
      <c r="AR205" s="22">
        <v>429.49</v>
      </c>
      <c r="AS205" s="22">
        <v>-1.8072499999999998E-2</v>
      </c>
      <c r="AT205" s="22">
        <v>195</v>
      </c>
      <c r="AU205" s="22">
        <v>0.81726100000000002</v>
      </c>
      <c r="AV205">
        <f t="shared" si="44"/>
        <v>18.072499999999998</v>
      </c>
      <c r="AW205">
        <f t="shared" si="45"/>
        <v>14.783738739999999</v>
      </c>
      <c r="AX205" s="9"/>
      <c r="AY205" s="22">
        <v>0.88195800000000002</v>
      </c>
      <c r="AZ205" s="22">
        <v>502.90300000000002</v>
      </c>
      <c r="BA205" s="22">
        <v>-1.7907699999999999E-2</v>
      </c>
      <c r="BB205" s="22">
        <v>195</v>
      </c>
      <c r="BC205" s="22">
        <v>0.88073699999999999</v>
      </c>
      <c r="BD205">
        <f t="shared" si="46"/>
        <v>17.907699999999998</v>
      </c>
      <c r="BE205">
        <f t="shared" si="47"/>
        <v>15.793839276599998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68.093500000000006</v>
      </c>
      <c r="I206" s="22">
        <v>-1.5387E-2</v>
      </c>
      <c r="J206" s="22">
        <v>196</v>
      </c>
      <c r="K206" s="22">
        <v>0.81237800000000004</v>
      </c>
      <c r="L206">
        <f t="shared" si="36"/>
        <v>15.387</v>
      </c>
      <c r="M206">
        <f t="shared" si="37"/>
        <v>12.509446356000002</v>
      </c>
      <c r="N206" s="9"/>
      <c r="O206" s="22">
        <v>0.88699300000000003</v>
      </c>
      <c r="P206" s="22">
        <v>183.435</v>
      </c>
      <c r="Q206" s="22">
        <v>-1.5063500000000001E-2</v>
      </c>
      <c r="R206" s="22">
        <v>196</v>
      </c>
      <c r="S206" s="22">
        <v>0.88622999999999996</v>
      </c>
      <c r="T206">
        <f t="shared" si="38"/>
        <v>15.063500000000001</v>
      </c>
      <c r="U206">
        <f t="shared" si="39"/>
        <v>13.361219055500001</v>
      </c>
      <c r="X206" s="9"/>
      <c r="Y206" s="22">
        <v>0.81298800000000004</v>
      </c>
      <c r="Z206" s="22">
        <v>281.65199999999999</v>
      </c>
      <c r="AA206" s="22">
        <v>-1.7565899999999999E-2</v>
      </c>
      <c r="AB206" s="22">
        <v>196</v>
      </c>
      <c r="AC206" s="22">
        <v>0.81207300000000004</v>
      </c>
      <c r="AD206">
        <f t="shared" si="40"/>
        <v>17.565899999999999</v>
      </c>
      <c r="AE206">
        <f t="shared" si="41"/>
        <v>14.280865909200001</v>
      </c>
      <c r="AF206" s="9"/>
      <c r="AG206" s="22">
        <v>0.88699300000000003</v>
      </c>
      <c r="AH206" s="22">
        <v>357.387</v>
      </c>
      <c r="AI206" s="22">
        <v>-1.7462200000000001E-2</v>
      </c>
      <c r="AJ206" s="22">
        <v>196</v>
      </c>
      <c r="AK206" s="22">
        <v>0.88592499999999996</v>
      </c>
      <c r="AL206">
        <f t="shared" si="42"/>
        <v>17.462199999999999</v>
      </c>
      <c r="AM206">
        <f t="shared" si="43"/>
        <v>15.488849164599999</v>
      </c>
      <c r="AP206" s="9"/>
      <c r="AQ206" s="22">
        <v>0.81298800000000004</v>
      </c>
      <c r="AR206" s="22">
        <v>429.59100000000001</v>
      </c>
      <c r="AS206" s="22">
        <v>-1.8075600000000001E-2</v>
      </c>
      <c r="AT206" s="22">
        <v>196</v>
      </c>
      <c r="AU206" s="22">
        <v>0.81176800000000005</v>
      </c>
      <c r="AV206">
        <f t="shared" si="44"/>
        <v>18.075600000000001</v>
      </c>
      <c r="AW206">
        <f t="shared" si="45"/>
        <v>14.695245892800003</v>
      </c>
      <c r="AX206" s="9"/>
      <c r="AY206" s="22">
        <v>0.88699300000000003</v>
      </c>
      <c r="AZ206" s="22">
        <v>503.00400000000002</v>
      </c>
      <c r="BA206" s="22">
        <v>-1.7904699999999999E-2</v>
      </c>
      <c r="BB206" s="22">
        <v>196</v>
      </c>
      <c r="BC206" s="22">
        <v>0.88592499999999996</v>
      </c>
      <c r="BD206">
        <f t="shared" si="46"/>
        <v>17.904699999999998</v>
      </c>
      <c r="BE206">
        <f t="shared" si="47"/>
        <v>15.881343567099998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68.194199999999995</v>
      </c>
      <c r="I207" s="22">
        <v>-1.5444899999999999E-2</v>
      </c>
      <c r="J207" s="22">
        <v>197</v>
      </c>
      <c r="K207" s="22">
        <v>0.80718999999999996</v>
      </c>
      <c r="L207">
        <f t="shared" si="36"/>
        <v>15.444899999999999</v>
      </c>
      <c r="M207">
        <f t="shared" si="37"/>
        <v>12.4787532897</v>
      </c>
      <c r="N207" s="9"/>
      <c r="O207" s="22">
        <v>0.89202899999999996</v>
      </c>
      <c r="P207" s="22">
        <v>183.536</v>
      </c>
      <c r="Q207" s="22">
        <v>-1.50604E-2</v>
      </c>
      <c r="R207" s="22">
        <v>197</v>
      </c>
      <c r="S207" s="22">
        <v>0.89172399999999996</v>
      </c>
      <c r="T207">
        <f t="shared" si="38"/>
        <v>15.0604</v>
      </c>
      <c r="U207">
        <f t="shared" si="39"/>
        <v>13.434313551599999</v>
      </c>
      <c r="X207" s="9"/>
      <c r="Y207" s="22">
        <v>0.80795300000000003</v>
      </c>
      <c r="Z207" s="22">
        <v>281.75299999999999</v>
      </c>
      <c r="AA207" s="22">
        <v>-1.7562899999999999E-2</v>
      </c>
      <c r="AB207" s="22">
        <v>197</v>
      </c>
      <c r="AC207" s="22">
        <v>0.80749499999999996</v>
      </c>
      <c r="AD207">
        <f t="shared" si="40"/>
        <v>17.562899999999999</v>
      </c>
      <c r="AE207">
        <f t="shared" si="41"/>
        <v>14.189997743699999</v>
      </c>
      <c r="AF207" s="9"/>
      <c r="AG207" s="22">
        <v>0.89202899999999996</v>
      </c>
      <c r="AH207" s="22">
        <v>357.488</v>
      </c>
      <c r="AI207" s="22">
        <v>-1.7462200000000001E-2</v>
      </c>
      <c r="AJ207" s="22">
        <v>197</v>
      </c>
      <c r="AK207" s="22">
        <v>0.89080800000000004</v>
      </c>
      <c r="AL207">
        <f t="shared" si="42"/>
        <v>17.462199999999999</v>
      </c>
      <c r="AM207">
        <f t="shared" si="43"/>
        <v>15.5767888038</v>
      </c>
      <c r="AP207" s="9"/>
      <c r="AQ207" s="22">
        <v>0.80795300000000003</v>
      </c>
      <c r="AR207" s="22">
        <v>429.69099999999997</v>
      </c>
      <c r="AS207" s="22">
        <v>-1.80786E-2</v>
      </c>
      <c r="AT207" s="22">
        <v>197</v>
      </c>
      <c r="AU207" s="22">
        <v>0.80749499999999996</v>
      </c>
      <c r="AV207">
        <f t="shared" si="44"/>
        <v>18.078600000000002</v>
      </c>
      <c r="AW207">
        <f t="shared" si="45"/>
        <v>14.606659105800002</v>
      </c>
      <c r="AX207" s="9"/>
      <c r="AY207" s="22">
        <v>0.89202899999999996</v>
      </c>
      <c r="AZ207" s="22">
        <v>503.10399999999998</v>
      </c>
      <c r="BA207" s="22">
        <v>-1.79016E-2</v>
      </c>
      <c r="BB207" s="22">
        <v>197</v>
      </c>
      <c r="BC207" s="22">
        <v>0.89080800000000004</v>
      </c>
      <c r="BD207">
        <f t="shared" si="46"/>
        <v>17.901599999999998</v>
      </c>
      <c r="BE207">
        <f t="shared" si="47"/>
        <v>15.968746346399998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68.294899999999998</v>
      </c>
      <c r="I208" s="22">
        <v>-1.5396099999999999E-2</v>
      </c>
      <c r="J208" s="22">
        <v>198</v>
      </c>
      <c r="K208" s="22">
        <v>0.80261199999999999</v>
      </c>
      <c r="L208">
        <f t="shared" si="36"/>
        <v>15.396099999999999</v>
      </c>
      <c r="M208">
        <f t="shared" si="37"/>
        <v>12.361790423699999</v>
      </c>
      <c r="N208" s="9"/>
      <c r="O208" s="22">
        <v>0.89706399999999997</v>
      </c>
      <c r="P208" s="22">
        <v>183.637</v>
      </c>
      <c r="Q208" s="22">
        <v>-1.5026899999999999E-2</v>
      </c>
      <c r="R208" s="22">
        <v>198</v>
      </c>
      <c r="S208" s="22">
        <v>0.89599600000000001</v>
      </c>
      <c r="T208">
        <f t="shared" si="38"/>
        <v>15.026899999999999</v>
      </c>
      <c r="U208">
        <f t="shared" si="39"/>
        <v>13.4800910216</v>
      </c>
      <c r="X208" s="9"/>
      <c r="Y208" s="22">
        <v>0.80291699999999999</v>
      </c>
      <c r="Z208" s="22">
        <v>281.85399999999998</v>
      </c>
      <c r="AA208" s="22">
        <v>-1.7562899999999999E-2</v>
      </c>
      <c r="AB208" s="22">
        <v>198</v>
      </c>
      <c r="AC208" s="22">
        <v>0.80261199999999999</v>
      </c>
      <c r="AD208">
        <f t="shared" si="40"/>
        <v>17.562899999999999</v>
      </c>
      <c r="AE208">
        <f t="shared" si="41"/>
        <v>14.101550979299999</v>
      </c>
      <c r="AF208" s="9"/>
      <c r="AG208" s="22">
        <v>0.89706399999999997</v>
      </c>
      <c r="AH208" s="22">
        <v>357.589</v>
      </c>
      <c r="AI208" s="22">
        <v>-1.7462200000000001E-2</v>
      </c>
      <c r="AJ208" s="22">
        <v>198</v>
      </c>
      <c r="AK208" s="22">
        <v>0.89630100000000001</v>
      </c>
      <c r="AL208">
        <f t="shared" si="42"/>
        <v>17.462199999999999</v>
      </c>
      <c r="AM208">
        <f t="shared" si="43"/>
        <v>15.664710980799999</v>
      </c>
      <c r="AP208" s="9"/>
      <c r="AQ208" s="22">
        <v>0.80291699999999999</v>
      </c>
      <c r="AR208" s="22">
        <v>429.79199999999997</v>
      </c>
      <c r="AS208" s="22">
        <v>-1.80786E-2</v>
      </c>
      <c r="AT208" s="22">
        <v>198</v>
      </c>
      <c r="AU208" s="22">
        <v>0.80230699999999999</v>
      </c>
      <c r="AV208">
        <f t="shared" si="44"/>
        <v>18.078600000000002</v>
      </c>
      <c r="AW208">
        <f t="shared" si="45"/>
        <v>14.515615276200002</v>
      </c>
      <c r="AX208" s="9"/>
      <c r="AY208" s="22">
        <v>0.89706399999999997</v>
      </c>
      <c r="AZ208" s="22">
        <v>503.20499999999998</v>
      </c>
      <c r="BA208" s="22">
        <v>-1.7898600000000001E-2</v>
      </c>
      <c r="BB208" s="22">
        <v>198</v>
      </c>
      <c r="BC208" s="22">
        <v>0.89660600000000001</v>
      </c>
      <c r="BD208">
        <f t="shared" si="46"/>
        <v>17.898600000000002</v>
      </c>
      <c r="BE208">
        <f t="shared" si="47"/>
        <v>16.056189710400002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68.395600000000002</v>
      </c>
      <c r="I209" s="22">
        <v>-1.54022E-2</v>
      </c>
      <c r="J209" s="22">
        <v>199</v>
      </c>
      <c r="K209" s="22">
        <v>0.79711900000000002</v>
      </c>
      <c r="L209">
        <f t="shared" si="36"/>
        <v>15.402199999999999</v>
      </c>
      <c r="M209">
        <f t="shared" si="37"/>
        <v>12.289138140399999</v>
      </c>
      <c r="N209" s="9"/>
      <c r="O209" s="22">
        <v>0.90210000000000001</v>
      </c>
      <c r="P209" s="22">
        <v>183.738</v>
      </c>
      <c r="Q209" s="22">
        <v>-1.50055E-2</v>
      </c>
      <c r="R209" s="22">
        <v>199</v>
      </c>
      <c r="S209" s="22">
        <v>0.90148899999999998</v>
      </c>
      <c r="T209">
        <f t="shared" si="38"/>
        <v>15.0055</v>
      </c>
      <c r="U209">
        <f t="shared" si="39"/>
        <v>13.53646155</v>
      </c>
      <c r="X209" s="9"/>
      <c r="Y209" s="22">
        <v>0.79788199999999998</v>
      </c>
      <c r="Z209" s="22">
        <v>281.95400000000001</v>
      </c>
      <c r="AA209" s="22">
        <v>-1.7562899999999999E-2</v>
      </c>
      <c r="AB209" s="22">
        <v>199</v>
      </c>
      <c r="AC209" s="22">
        <v>0.79681400000000002</v>
      </c>
      <c r="AD209">
        <f t="shared" si="40"/>
        <v>17.562899999999999</v>
      </c>
      <c r="AE209">
        <f t="shared" si="41"/>
        <v>14.013121777799999</v>
      </c>
      <c r="AF209" s="9"/>
      <c r="AG209" s="22">
        <v>0.90210000000000001</v>
      </c>
      <c r="AH209" s="22">
        <v>357.69</v>
      </c>
      <c r="AI209" s="22">
        <v>-1.7456099999999999E-2</v>
      </c>
      <c r="AJ209" s="22">
        <v>199</v>
      </c>
      <c r="AK209" s="22">
        <v>0.90148899999999998</v>
      </c>
      <c r="AL209">
        <f t="shared" si="42"/>
        <v>17.456099999999999</v>
      </c>
      <c r="AM209">
        <f t="shared" si="43"/>
        <v>15.74714781</v>
      </c>
      <c r="AP209" s="9"/>
      <c r="AQ209" s="22">
        <v>0.79788199999999998</v>
      </c>
      <c r="AR209" s="22">
        <v>429.89299999999997</v>
      </c>
      <c r="AS209" s="22">
        <v>-1.80786E-2</v>
      </c>
      <c r="AT209" s="22">
        <v>199</v>
      </c>
      <c r="AU209" s="22">
        <v>0.79711900000000002</v>
      </c>
      <c r="AV209">
        <f t="shared" si="44"/>
        <v>18.078600000000002</v>
      </c>
      <c r="AW209">
        <f t="shared" si="45"/>
        <v>14.4245895252</v>
      </c>
      <c r="AX209" s="9"/>
      <c r="AY209" s="22">
        <v>0.90210000000000001</v>
      </c>
      <c r="AZ209" s="22">
        <v>503.30599999999998</v>
      </c>
      <c r="BA209" s="22">
        <v>-1.78894E-2</v>
      </c>
      <c r="BB209" s="22">
        <v>199</v>
      </c>
      <c r="BC209" s="22">
        <v>0.90118399999999999</v>
      </c>
      <c r="BD209">
        <f t="shared" si="46"/>
        <v>17.889399999999998</v>
      </c>
      <c r="BE209">
        <f t="shared" si="47"/>
        <v>16.138027739999998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68.496399999999994</v>
      </c>
      <c r="I210" s="22">
        <v>-1.5396099999999999E-2</v>
      </c>
      <c r="J210" s="22">
        <v>200</v>
      </c>
      <c r="K210" s="22">
        <v>0.79193100000000005</v>
      </c>
      <c r="L210">
        <f t="shared" si="36"/>
        <v>15.396099999999999</v>
      </c>
      <c r="M210">
        <f t="shared" si="37"/>
        <v>12.206751696699998</v>
      </c>
      <c r="N210" s="9"/>
      <c r="O210" s="22">
        <v>0.90713500000000002</v>
      </c>
      <c r="P210" s="22">
        <v>183.83799999999999</v>
      </c>
      <c r="Q210" s="22">
        <v>-1.5014599999999999E-2</v>
      </c>
      <c r="R210" s="22">
        <v>200</v>
      </c>
      <c r="S210" s="22">
        <v>0.90576199999999996</v>
      </c>
      <c r="T210">
        <f t="shared" si="38"/>
        <v>15.0146</v>
      </c>
      <c r="U210">
        <f t="shared" si="39"/>
        <v>13.620269171</v>
      </c>
      <c r="X210" s="9"/>
      <c r="Y210" s="22">
        <v>0.79284699999999997</v>
      </c>
      <c r="Z210" s="22">
        <v>282.05500000000001</v>
      </c>
      <c r="AA210" s="22">
        <v>-1.7556800000000001E-2</v>
      </c>
      <c r="AB210" s="22">
        <v>200</v>
      </c>
      <c r="AC210" s="22">
        <v>0.79223600000000005</v>
      </c>
      <c r="AD210">
        <f t="shared" si="40"/>
        <v>17.556800000000003</v>
      </c>
      <c r="AE210">
        <f t="shared" si="41"/>
        <v>13.919856209600001</v>
      </c>
      <c r="AF210" s="9"/>
      <c r="AG210" s="22">
        <v>0.90713500000000002</v>
      </c>
      <c r="AH210" s="22">
        <v>357.79</v>
      </c>
      <c r="AI210" s="22">
        <v>-1.745E-2</v>
      </c>
      <c r="AJ210" s="22">
        <v>200</v>
      </c>
      <c r="AK210" s="22">
        <v>0.90637199999999996</v>
      </c>
      <c r="AL210">
        <f t="shared" si="42"/>
        <v>17.45</v>
      </c>
      <c r="AM210">
        <f t="shared" si="43"/>
        <v>15.829505749999999</v>
      </c>
      <c r="AP210" s="9"/>
      <c r="AQ210" s="22">
        <v>0.79284699999999997</v>
      </c>
      <c r="AR210" s="22">
        <v>429.99299999999999</v>
      </c>
      <c r="AS210" s="22">
        <v>-1.80786E-2</v>
      </c>
      <c r="AT210" s="22">
        <v>200</v>
      </c>
      <c r="AU210" s="22">
        <v>0.79223600000000005</v>
      </c>
      <c r="AV210">
        <f t="shared" si="44"/>
        <v>18.078600000000002</v>
      </c>
      <c r="AW210">
        <f t="shared" si="45"/>
        <v>14.3335637742</v>
      </c>
      <c r="AX210" s="9"/>
      <c r="AY210" s="22">
        <v>0.90713500000000002</v>
      </c>
      <c r="AZ210" s="22">
        <v>503.40699999999998</v>
      </c>
      <c r="BA210" s="22">
        <v>-1.78894E-2</v>
      </c>
      <c r="BB210" s="22">
        <v>200</v>
      </c>
      <c r="BC210" s="22">
        <v>0.90637199999999996</v>
      </c>
      <c r="BD210">
        <f t="shared" si="46"/>
        <v>17.889399999999998</v>
      </c>
      <c r="BE210">
        <f t="shared" si="47"/>
        <v>16.228100868999999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68.597099999999998</v>
      </c>
      <c r="I211" s="22">
        <v>-1.53992E-2</v>
      </c>
      <c r="J211" s="22">
        <v>201</v>
      </c>
      <c r="K211" s="22">
        <v>0.787659</v>
      </c>
      <c r="L211">
        <f t="shared" si="36"/>
        <v>15.3992</v>
      </c>
      <c r="M211">
        <f t="shared" si="37"/>
        <v>12.131659151200001</v>
      </c>
      <c r="N211" s="9"/>
      <c r="O211" s="22">
        <v>0.91217000000000004</v>
      </c>
      <c r="P211" s="22">
        <v>183.93899999999999</v>
      </c>
      <c r="Q211" s="22">
        <v>-1.49994E-2</v>
      </c>
      <c r="R211" s="22">
        <v>201</v>
      </c>
      <c r="S211" s="22">
        <v>0.91156000000000004</v>
      </c>
      <c r="T211">
        <f t="shared" si="38"/>
        <v>14.9994</v>
      </c>
      <c r="U211">
        <f t="shared" si="39"/>
        <v>13.682002698</v>
      </c>
      <c r="X211" s="9"/>
      <c r="Y211" s="22">
        <v>0.78781100000000004</v>
      </c>
      <c r="Z211" s="22">
        <v>282.15600000000001</v>
      </c>
      <c r="AA211" s="22">
        <v>-1.7550699999999999E-2</v>
      </c>
      <c r="AB211" s="22">
        <v>201</v>
      </c>
      <c r="AC211" s="22">
        <v>0.78643799999999997</v>
      </c>
      <c r="AD211">
        <f t="shared" si="40"/>
        <v>17.550699999999999</v>
      </c>
      <c r="AE211">
        <f t="shared" si="41"/>
        <v>13.826634517700001</v>
      </c>
      <c r="AF211" s="9"/>
      <c r="AG211" s="22">
        <v>0.91217000000000004</v>
      </c>
      <c r="AH211" s="22">
        <v>357.89100000000002</v>
      </c>
      <c r="AI211" s="22">
        <v>-1.7456099999999999E-2</v>
      </c>
      <c r="AJ211" s="22">
        <v>201</v>
      </c>
      <c r="AK211" s="22">
        <v>0.91156000000000004</v>
      </c>
      <c r="AL211">
        <f t="shared" si="42"/>
        <v>17.456099999999999</v>
      </c>
      <c r="AM211">
        <f t="shared" si="43"/>
        <v>15.922930737</v>
      </c>
      <c r="AP211" s="9"/>
      <c r="AQ211" s="22">
        <v>0.78781100000000004</v>
      </c>
      <c r="AR211" s="22">
        <v>430.09399999999999</v>
      </c>
      <c r="AS211" s="22">
        <v>-1.8084699999999999E-2</v>
      </c>
      <c r="AT211" s="22">
        <v>201</v>
      </c>
      <c r="AU211" s="22">
        <v>0.78613299999999997</v>
      </c>
      <c r="AV211">
        <f t="shared" si="44"/>
        <v>18.084699999999998</v>
      </c>
      <c r="AW211">
        <f t="shared" si="45"/>
        <v>14.247325591699999</v>
      </c>
      <c r="AX211" s="9"/>
      <c r="AY211" s="22">
        <v>0.91217000000000004</v>
      </c>
      <c r="AZ211" s="22">
        <v>503.50700000000001</v>
      </c>
      <c r="BA211" s="22">
        <v>-1.78864E-2</v>
      </c>
      <c r="BB211" s="22">
        <v>201</v>
      </c>
      <c r="BC211" s="22">
        <v>0.91095000000000004</v>
      </c>
      <c r="BD211">
        <f t="shared" si="46"/>
        <v>17.886400000000002</v>
      </c>
      <c r="BE211">
        <f t="shared" si="47"/>
        <v>16.315437488000001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68.697800000000001</v>
      </c>
      <c r="I212" s="22">
        <v>-1.5387E-2</v>
      </c>
      <c r="J212" s="22">
        <v>202</v>
      </c>
      <c r="K212" s="22">
        <v>0.78186</v>
      </c>
      <c r="L212">
        <f t="shared" si="36"/>
        <v>15.387</v>
      </c>
      <c r="M212">
        <f t="shared" si="37"/>
        <v>12.044574312</v>
      </c>
      <c r="N212" s="9"/>
      <c r="O212" s="22">
        <v>0.91720599999999997</v>
      </c>
      <c r="P212" s="22">
        <v>184.04</v>
      </c>
      <c r="Q212" s="22">
        <v>-1.49902E-2</v>
      </c>
      <c r="R212" s="22">
        <v>202</v>
      </c>
      <c r="S212" s="22">
        <v>0.91644300000000001</v>
      </c>
      <c r="T212">
        <f t="shared" si="38"/>
        <v>14.9902</v>
      </c>
      <c r="U212">
        <f t="shared" si="39"/>
        <v>13.749101381199999</v>
      </c>
      <c r="X212" s="9"/>
      <c r="Y212" s="22">
        <v>0.78277600000000003</v>
      </c>
      <c r="Z212" s="22">
        <v>282.25599999999997</v>
      </c>
      <c r="AA212" s="22">
        <v>-1.7553699999999998E-2</v>
      </c>
      <c r="AB212" s="22">
        <v>202</v>
      </c>
      <c r="AC212" s="22">
        <v>0.78247100000000003</v>
      </c>
      <c r="AD212">
        <f t="shared" si="40"/>
        <v>17.553699999999999</v>
      </c>
      <c r="AE212">
        <f t="shared" si="41"/>
        <v>13.740615071200001</v>
      </c>
      <c r="AF212" s="9"/>
      <c r="AG212" s="22">
        <v>0.91720599999999997</v>
      </c>
      <c r="AH212" s="22">
        <v>357.99200000000002</v>
      </c>
      <c r="AI212" s="22">
        <v>-1.7453E-2</v>
      </c>
      <c r="AJ212" s="22">
        <v>202</v>
      </c>
      <c r="AK212" s="22">
        <v>0.91674800000000001</v>
      </c>
      <c r="AL212">
        <f t="shared" si="42"/>
        <v>17.452999999999999</v>
      </c>
      <c r="AM212">
        <f t="shared" si="43"/>
        <v>16.007996318</v>
      </c>
      <c r="AP212" s="9"/>
      <c r="AQ212" s="22">
        <v>0.78277600000000003</v>
      </c>
      <c r="AR212" s="22">
        <v>430.19499999999999</v>
      </c>
      <c r="AS212" s="22">
        <v>-1.8075600000000001E-2</v>
      </c>
      <c r="AT212" s="22">
        <v>202</v>
      </c>
      <c r="AU212" s="22">
        <v>0.78216600000000003</v>
      </c>
      <c r="AV212">
        <f t="shared" si="44"/>
        <v>18.075600000000001</v>
      </c>
      <c r="AW212">
        <f t="shared" si="45"/>
        <v>14.149145865600001</v>
      </c>
      <c r="AX212" s="9"/>
      <c r="AY212" s="22">
        <v>0.91720599999999997</v>
      </c>
      <c r="AZ212" s="22">
        <v>503.608</v>
      </c>
      <c r="BA212" s="22">
        <v>-1.78894E-2</v>
      </c>
      <c r="BB212" s="22">
        <v>202</v>
      </c>
      <c r="BC212" s="22">
        <v>0.91674800000000001</v>
      </c>
      <c r="BD212">
        <f t="shared" si="46"/>
        <v>17.889399999999998</v>
      </c>
      <c r="BE212">
        <f t="shared" si="47"/>
        <v>16.408265016399998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68.798500000000004</v>
      </c>
      <c r="I213" s="22">
        <v>-1.5387E-2</v>
      </c>
      <c r="J213" s="22">
        <v>203</v>
      </c>
      <c r="K213" s="22">
        <v>0.77636700000000003</v>
      </c>
      <c r="L213">
        <f t="shared" si="36"/>
        <v>15.387</v>
      </c>
      <c r="M213">
        <f t="shared" si="37"/>
        <v>11.96708538</v>
      </c>
      <c r="N213" s="9"/>
      <c r="O213" s="22">
        <v>0.92224099999999998</v>
      </c>
      <c r="P213" s="22">
        <v>184.14</v>
      </c>
      <c r="Q213" s="22">
        <v>-1.4975E-2</v>
      </c>
      <c r="R213" s="22">
        <v>203</v>
      </c>
      <c r="S213" s="22">
        <v>0.92163099999999998</v>
      </c>
      <c r="T213">
        <f t="shared" si="38"/>
        <v>14.975</v>
      </c>
      <c r="U213">
        <f t="shared" si="39"/>
        <v>13.810558974999999</v>
      </c>
      <c r="X213" s="9"/>
      <c r="Y213" s="22">
        <v>0.77773999999999999</v>
      </c>
      <c r="Z213" s="22">
        <v>282.35700000000003</v>
      </c>
      <c r="AA213" s="22">
        <v>-1.7562899999999999E-2</v>
      </c>
      <c r="AB213" s="22">
        <v>203</v>
      </c>
      <c r="AC213" s="22">
        <v>0.77697799999999995</v>
      </c>
      <c r="AD213">
        <f t="shared" si="40"/>
        <v>17.562899999999999</v>
      </c>
      <c r="AE213">
        <f t="shared" si="41"/>
        <v>13.659369845999999</v>
      </c>
      <c r="AF213" s="9"/>
      <c r="AG213" s="22">
        <v>0.92224099999999998</v>
      </c>
      <c r="AH213" s="22">
        <v>358.09199999999998</v>
      </c>
      <c r="AI213" s="22">
        <v>-1.745E-2</v>
      </c>
      <c r="AJ213" s="22">
        <v>203</v>
      </c>
      <c r="AK213" s="22">
        <v>0.92132599999999998</v>
      </c>
      <c r="AL213">
        <f t="shared" si="42"/>
        <v>17.45</v>
      </c>
      <c r="AM213">
        <f t="shared" si="43"/>
        <v>16.093105449999999</v>
      </c>
      <c r="AP213" s="9"/>
      <c r="AQ213" s="22">
        <v>0.77773999999999999</v>
      </c>
      <c r="AR213" s="22">
        <v>430.29599999999999</v>
      </c>
      <c r="AS213" s="22">
        <v>-1.80786E-2</v>
      </c>
      <c r="AT213" s="22">
        <v>203</v>
      </c>
      <c r="AU213" s="22">
        <v>0.77697799999999995</v>
      </c>
      <c r="AV213">
        <f t="shared" si="44"/>
        <v>18.078600000000002</v>
      </c>
      <c r="AW213">
        <f t="shared" si="45"/>
        <v>14.060450364000001</v>
      </c>
      <c r="AX213" s="9"/>
      <c r="AY213" s="22">
        <v>0.92224099999999998</v>
      </c>
      <c r="AZ213" s="22">
        <v>503.709</v>
      </c>
      <c r="BA213" s="22">
        <v>-1.78894E-2</v>
      </c>
      <c r="BB213" s="22">
        <v>203</v>
      </c>
      <c r="BC213" s="22">
        <v>0.92132599999999998</v>
      </c>
      <c r="BD213">
        <f t="shared" si="46"/>
        <v>17.889399999999998</v>
      </c>
      <c r="BE213">
        <f t="shared" si="47"/>
        <v>16.498338145399998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68.899199999999993</v>
      </c>
      <c r="I214" s="22">
        <v>-1.54266E-2</v>
      </c>
      <c r="J214" s="22">
        <v>204</v>
      </c>
      <c r="K214" s="22">
        <v>0.77209499999999998</v>
      </c>
      <c r="L214">
        <f t="shared" si="36"/>
        <v>15.426600000000001</v>
      </c>
      <c r="M214">
        <f t="shared" si="37"/>
        <v>11.920210953</v>
      </c>
      <c r="N214" s="9"/>
      <c r="O214" s="22">
        <v>0.92727700000000002</v>
      </c>
      <c r="P214" s="22">
        <v>184.24100000000001</v>
      </c>
      <c r="Q214" s="22">
        <v>-1.49689E-2</v>
      </c>
      <c r="R214" s="22">
        <v>204</v>
      </c>
      <c r="S214" s="22">
        <v>0.92651399999999995</v>
      </c>
      <c r="T214">
        <f t="shared" si="38"/>
        <v>14.9689</v>
      </c>
      <c r="U214">
        <f t="shared" si="39"/>
        <v>13.8803166853</v>
      </c>
      <c r="X214" s="9"/>
      <c r="Y214" s="22">
        <v>0.77270499999999998</v>
      </c>
      <c r="Z214" s="22">
        <v>282.45800000000003</v>
      </c>
      <c r="AA214" s="22">
        <v>-1.75598E-2</v>
      </c>
      <c r="AB214" s="22">
        <v>204</v>
      </c>
      <c r="AC214" s="22">
        <v>0.77178999999999998</v>
      </c>
      <c r="AD214">
        <f t="shared" si="40"/>
        <v>17.559799999999999</v>
      </c>
      <c r="AE214">
        <f t="shared" si="41"/>
        <v>13.568545258999999</v>
      </c>
      <c r="AF214" s="9"/>
      <c r="AG214" s="22">
        <v>0.92727700000000002</v>
      </c>
      <c r="AH214" s="22">
        <v>358.19299999999998</v>
      </c>
      <c r="AI214" s="22">
        <v>-1.745E-2</v>
      </c>
      <c r="AJ214" s="22">
        <v>204</v>
      </c>
      <c r="AK214" s="22">
        <v>0.92590300000000003</v>
      </c>
      <c r="AL214">
        <f t="shared" si="42"/>
        <v>17.45</v>
      </c>
      <c r="AM214">
        <f t="shared" si="43"/>
        <v>16.180983649999998</v>
      </c>
      <c r="AP214" s="9"/>
      <c r="AQ214" s="22">
        <v>0.77270499999999998</v>
      </c>
      <c r="AR214" s="22">
        <v>430.39600000000002</v>
      </c>
      <c r="AS214" s="22">
        <v>-1.8084699999999999E-2</v>
      </c>
      <c r="AT214" s="22">
        <v>204</v>
      </c>
      <c r="AU214" s="22">
        <v>0.77209499999999998</v>
      </c>
      <c r="AV214">
        <f t="shared" si="44"/>
        <v>18.084699999999998</v>
      </c>
      <c r="AW214">
        <f t="shared" si="45"/>
        <v>13.974138113499999</v>
      </c>
      <c r="AX214" s="9"/>
      <c r="AY214" s="22">
        <v>0.92727700000000002</v>
      </c>
      <c r="AZ214" s="22">
        <v>503.80900000000003</v>
      </c>
      <c r="BA214" s="22">
        <v>-1.7883300000000001E-2</v>
      </c>
      <c r="BB214" s="22">
        <v>204</v>
      </c>
      <c r="BC214" s="22">
        <v>0.92620800000000003</v>
      </c>
      <c r="BD214">
        <f t="shared" si="46"/>
        <v>17.883300000000002</v>
      </c>
      <c r="BE214">
        <f t="shared" si="47"/>
        <v>16.5827727741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68.999899999999997</v>
      </c>
      <c r="I215" s="22">
        <v>-1.54114E-2</v>
      </c>
      <c r="J215" s="22">
        <v>205</v>
      </c>
      <c r="K215" s="22">
        <v>0.76660200000000001</v>
      </c>
      <c r="L215">
        <f t="shared" si="36"/>
        <v>15.4114</v>
      </c>
      <c r="M215">
        <f t="shared" si="37"/>
        <v>11.830869438000001</v>
      </c>
      <c r="N215" s="9"/>
      <c r="O215" s="22">
        <v>0.93231200000000003</v>
      </c>
      <c r="P215" s="22">
        <v>184.34200000000001</v>
      </c>
      <c r="Q215" s="22">
        <v>-1.49719E-2</v>
      </c>
      <c r="R215" s="22">
        <v>205</v>
      </c>
      <c r="S215" s="22">
        <v>0.931396</v>
      </c>
      <c r="T215">
        <f t="shared" si="38"/>
        <v>14.9719</v>
      </c>
      <c r="U215">
        <f t="shared" si="39"/>
        <v>13.958482032800001</v>
      </c>
      <c r="X215" s="9"/>
      <c r="Y215" s="22">
        <v>0.76766999999999996</v>
      </c>
      <c r="Z215" s="22">
        <v>282.55900000000003</v>
      </c>
      <c r="AA215" s="22">
        <v>-1.7569000000000001E-2</v>
      </c>
      <c r="AB215" s="22">
        <v>205</v>
      </c>
      <c r="AC215" s="22">
        <v>0.76721200000000001</v>
      </c>
      <c r="AD215">
        <f t="shared" si="40"/>
        <v>17.569000000000003</v>
      </c>
      <c r="AE215">
        <f t="shared" si="41"/>
        <v>13.487194230000002</v>
      </c>
      <c r="AF215" s="9"/>
      <c r="AG215" s="22">
        <v>0.93231200000000003</v>
      </c>
      <c r="AH215" s="22">
        <v>358.29399999999998</v>
      </c>
      <c r="AI215" s="22">
        <v>-1.745E-2</v>
      </c>
      <c r="AJ215" s="22">
        <v>205</v>
      </c>
      <c r="AK215" s="22">
        <v>0.93200700000000003</v>
      </c>
      <c r="AL215">
        <f t="shared" si="42"/>
        <v>17.45</v>
      </c>
      <c r="AM215">
        <f t="shared" si="43"/>
        <v>16.268844399999999</v>
      </c>
      <c r="AP215" s="9"/>
      <c r="AQ215" s="22">
        <v>0.76766999999999996</v>
      </c>
      <c r="AR215" s="22">
        <v>430.49700000000001</v>
      </c>
      <c r="AS215" s="22">
        <v>-1.8087800000000001E-2</v>
      </c>
      <c r="AT215" s="22">
        <v>205</v>
      </c>
      <c r="AU215" s="22">
        <v>0.76629599999999998</v>
      </c>
      <c r="AV215">
        <f t="shared" si="44"/>
        <v>18.087800000000001</v>
      </c>
      <c r="AW215">
        <f t="shared" si="45"/>
        <v>13.885461426000001</v>
      </c>
      <c r="AX215" s="9"/>
      <c r="AY215" s="22">
        <v>0.93231200000000003</v>
      </c>
      <c r="AZ215" s="22">
        <v>503.91</v>
      </c>
      <c r="BA215" s="22">
        <v>-1.7883300000000001E-2</v>
      </c>
      <c r="BB215" s="22">
        <v>205</v>
      </c>
      <c r="BC215" s="22">
        <v>0.931091</v>
      </c>
      <c r="BD215">
        <f t="shared" si="46"/>
        <v>17.883300000000002</v>
      </c>
      <c r="BE215">
        <f t="shared" si="47"/>
        <v>16.672815189600001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69.1006</v>
      </c>
      <c r="I216" s="22">
        <v>-1.54022E-2</v>
      </c>
      <c r="J216" s="22">
        <v>206</v>
      </c>
      <c r="K216" s="22">
        <v>0.76232900000000003</v>
      </c>
      <c r="L216">
        <f t="shared" si="36"/>
        <v>15.402199999999999</v>
      </c>
      <c r="M216">
        <f t="shared" si="37"/>
        <v>11.7462413948</v>
      </c>
      <c r="N216" s="9"/>
      <c r="O216" s="22">
        <v>0.93734700000000004</v>
      </c>
      <c r="P216" s="22">
        <v>184.44300000000001</v>
      </c>
      <c r="Q216" s="22">
        <v>-1.4959699999999999E-2</v>
      </c>
      <c r="R216" s="22">
        <v>206</v>
      </c>
      <c r="S216" s="22">
        <v>0.93658399999999997</v>
      </c>
      <c r="T216">
        <f t="shared" si="38"/>
        <v>14.9597</v>
      </c>
      <c r="U216">
        <f t="shared" si="39"/>
        <v>14.0224299159</v>
      </c>
      <c r="X216" s="9"/>
      <c r="Y216" s="22">
        <v>0.76263400000000003</v>
      </c>
      <c r="Z216" s="22">
        <v>282.65899999999999</v>
      </c>
      <c r="AA216" s="22">
        <v>-1.7572000000000001E-2</v>
      </c>
      <c r="AB216" s="22">
        <v>206</v>
      </c>
      <c r="AC216" s="22">
        <v>0.76049800000000001</v>
      </c>
      <c r="AD216">
        <f t="shared" si="40"/>
        <v>17.571999999999999</v>
      </c>
      <c r="AE216">
        <f t="shared" si="41"/>
        <v>13.401004648000001</v>
      </c>
      <c r="AF216" s="9"/>
      <c r="AG216" s="22">
        <v>0.93734700000000004</v>
      </c>
      <c r="AH216" s="22">
        <v>358.39400000000001</v>
      </c>
      <c r="AI216" s="22">
        <v>-1.7443799999999999E-2</v>
      </c>
      <c r="AJ216" s="22">
        <v>206</v>
      </c>
      <c r="AK216" s="22">
        <v>0.9375</v>
      </c>
      <c r="AL216">
        <f t="shared" si="42"/>
        <v>17.4438</v>
      </c>
      <c r="AM216">
        <f t="shared" si="43"/>
        <v>16.350893598599999</v>
      </c>
      <c r="AP216" s="9"/>
      <c r="AQ216" s="22">
        <v>0.76263400000000003</v>
      </c>
      <c r="AR216" s="22">
        <v>430.59800000000001</v>
      </c>
      <c r="AS216" s="22">
        <v>-1.8096899999999999E-2</v>
      </c>
      <c r="AT216" s="22">
        <v>206</v>
      </c>
      <c r="AU216" s="22">
        <v>0.76171900000000003</v>
      </c>
      <c r="AV216">
        <f t="shared" si="44"/>
        <v>18.096899999999998</v>
      </c>
      <c r="AW216">
        <f t="shared" si="45"/>
        <v>13.801311234599998</v>
      </c>
      <c r="AX216" s="9"/>
      <c r="AY216" s="22">
        <v>0.93734700000000004</v>
      </c>
      <c r="AZ216" s="22">
        <v>504.01100000000002</v>
      </c>
      <c r="BA216" s="22">
        <v>-1.7880199999999999E-2</v>
      </c>
      <c r="BB216" s="22">
        <v>206</v>
      </c>
      <c r="BC216" s="22">
        <v>0.93689</v>
      </c>
      <c r="BD216">
        <f t="shared" si="46"/>
        <v>17.880199999999999</v>
      </c>
      <c r="BE216">
        <f t="shared" si="47"/>
        <v>16.759951829399999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69.201300000000003</v>
      </c>
      <c r="I217" s="22">
        <v>-1.5389999999999999E-2</v>
      </c>
      <c r="J217" s="22">
        <v>207</v>
      </c>
      <c r="K217" s="22">
        <v>0.75622599999999995</v>
      </c>
      <c r="L217">
        <f t="shared" si="36"/>
        <v>15.389999999999999</v>
      </c>
      <c r="M217">
        <f t="shared" si="37"/>
        <v>11.65944861</v>
      </c>
      <c r="N217" s="9"/>
      <c r="O217" s="22">
        <v>0.94238299999999997</v>
      </c>
      <c r="P217" s="22">
        <v>184.54300000000001</v>
      </c>
      <c r="Q217" s="22">
        <v>-1.49292E-2</v>
      </c>
      <c r="R217" s="22">
        <v>207</v>
      </c>
      <c r="S217" s="22">
        <v>0.94177200000000005</v>
      </c>
      <c r="T217">
        <f t="shared" si="38"/>
        <v>14.9292</v>
      </c>
      <c r="U217">
        <f t="shared" si="39"/>
        <v>14.069024283599999</v>
      </c>
      <c r="X217" s="9"/>
      <c r="Y217" s="22">
        <v>0.75759900000000002</v>
      </c>
      <c r="Z217" s="22">
        <v>282.76</v>
      </c>
      <c r="AA217" s="22">
        <v>-1.7569000000000001E-2</v>
      </c>
      <c r="AB217" s="22">
        <v>207</v>
      </c>
      <c r="AC217" s="22">
        <v>0.75683599999999995</v>
      </c>
      <c r="AD217">
        <f t="shared" si="40"/>
        <v>17.569000000000003</v>
      </c>
      <c r="AE217">
        <f t="shared" si="41"/>
        <v>13.310256831000002</v>
      </c>
      <c r="AF217" s="9"/>
      <c r="AG217" s="22">
        <v>0.94238299999999997</v>
      </c>
      <c r="AH217" s="22">
        <v>358.495</v>
      </c>
      <c r="AI217" s="22">
        <v>-1.7440799999999999E-2</v>
      </c>
      <c r="AJ217" s="22">
        <v>207</v>
      </c>
      <c r="AK217" s="22">
        <v>0.94146700000000005</v>
      </c>
      <c r="AL217">
        <f t="shared" si="42"/>
        <v>17.440799999999999</v>
      </c>
      <c r="AM217">
        <f t="shared" si="43"/>
        <v>16.435913426399999</v>
      </c>
      <c r="AP217" s="9"/>
      <c r="AQ217" s="22">
        <v>0.75759900000000002</v>
      </c>
      <c r="AR217" s="22">
        <v>430.69799999999998</v>
      </c>
      <c r="AS217" s="22">
        <v>-1.8090800000000001E-2</v>
      </c>
      <c r="AT217" s="22">
        <v>207</v>
      </c>
      <c r="AU217" s="22">
        <v>0.75683599999999995</v>
      </c>
      <c r="AV217">
        <f t="shared" si="44"/>
        <v>18.090800000000002</v>
      </c>
      <c r="AW217">
        <f t="shared" si="45"/>
        <v>13.705571989200001</v>
      </c>
      <c r="AX217" s="9"/>
      <c r="AY217" s="22">
        <v>0.94238299999999997</v>
      </c>
      <c r="AZ217" s="22">
        <v>504.11200000000002</v>
      </c>
      <c r="BA217" s="22">
        <v>-1.78741E-2</v>
      </c>
      <c r="BB217" s="22">
        <v>207</v>
      </c>
      <c r="BC217" s="22">
        <v>0.94207799999999997</v>
      </c>
      <c r="BD217">
        <f t="shared" si="46"/>
        <v>17.874100000000002</v>
      </c>
      <c r="BE217">
        <f t="shared" si="47"/>
        <v>16.8442479803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69.302000000000007</v>
      </c>
      <c r="I218" s="22">
        <v>-1.54053E-2</v>
      </c>
      <c r="J218" s="22">
        <v>208</v>
      </c>
      <c r="K218" s="22">
        <v>0.75164799999999998</v>
      </c>
      <c r="L218">
        <f t="shared" si="36"/>
        <v>15.4053</v>
      </c>
      <c r="M218">
        <f t="shared" si="37"/>
        <v>11.593458783899999</v>
      </c>
      <c r="N218" s="9"/>
      <c r="O218" s="22">
        <v>0.94741799999999998</v>
      </c>
      <c r="P218" s="22">
        <v>184.64400000000001</v>
      </c>
      <c r="Q218" s="22">
        <v>-1.4941400000000001E-2</v>
      </c>
      <c r="R218" s="22">
        <v>208</v>
      </c>
      <c r="S218" s="22">
        <v>0.94665500000000002</v>
      </c>
      <c r="T218">
        <f t="shared" si="38"/>
        <v>14.9414</v>
      </c>
      <c r="U218">
        <f t="shared" si="39"/>
        <v>14.155751305199999</v>
      </c>
      <c r="X218" s="9"/>
      <c r="Y218" s="22">
        <v>0.75256299999999998</v>
      </c>
      <c r="Z218" s="22">
        <v>282.86099999999999</v>
      </c>
      <c r="AA218" s="22">
        <v>-1.7578099999999999E-2</v>
      </c>
      <c r="AB218" s="22">
        <v>208</v>
      </c>
      <c r="AC218" s="22">
        <v>0.75164799999999998</v>
      </c>
      <c r="AD218">
        <f t="shared" si="40"/>
        <v>17.578099999999999</v>
      </c>
      <c r="AE218">
        <f t="shared" si="41"/>
        <v>13.2286276703</v>
      </c>
      <c r="AF218" s="9"/>
      <c r="AG218" s="22">
        <v>0.94741799999999998</v>
      </c>
      <c r="AH218" s="22">
        <v>358.596</v>
      </c>
      <c r="AI218" s="22">
        <v>-1.7440799999999999E-2</v>
      </c>
      <c r="AJ218" s="22">
        <v>208</v>
      </c>
      <c r="AK218" s="22">
        <v>0.94665500000000002</v>
      </c>
      <c r="AL218">
        <f t="shared" si="42"/>
        <v>17.440799999999999</v>
      </c>
      <c r="AM218">
        <f t="shared" si="43"/>
        <v>16.523727854400001</v>
      </c>
      <c r="AP218" s="9"/>
      <c r="AQ218" s="22">
        <v>0.75256299999999998</v>
      </c>
      <c r="AR218" s="22">
        <v>430.79899999999998</v>
      </c>
      <c r="AS218" s="22">
        <v>-1.8090800000000001E-2</v>
      </c>
      <c r="AT218" s="22">
        <v>208</v>
      </c>
      <c r="AU218" s="22">
        <v>0.75195299999999998</v>
      </c>
      <c r="AV218">
        <f t="shared" si="44"/>
        <v>18.090800000000002</v>
      </c>
      <c r="AW218">
        <f t="shared" si="45"/>
        <v>13.614466720400001</v>
      </c>
      <c r="AX218" s="9"/>
      <c r="AY218" s="22">
        <v>0.94741799999999998</v>
      </c>
      <c r="AZ218" s="22">
        <v>504.21199999999999</v>
      </c>
      <c r="BA218" s="22">
        <v>-1.7871100000000001E-2</v>
      </c>
      <c r="BB218" s="22">
        <v>208</v>
      </c>
      <c r="BC218" s="22">
        <v>0.94635000000000002</v>
      </c>
      <c r="BD218">
        <f t="shared" si="46"/>
        <v>17.871100000000002</v>
      </c>
      <c r="BE218">
        <f t="shared" si="47"/>
        <v>16.931401819800001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69.402699999999996</v>
      </c>
      <c r="I219" s="22">
        <v>-1.5387E-2</v>
      </c>
      <c r="J219" s="22">
        <v>209</v>
      </c>
      <c r="K219" s="22">
        <v>0.74697899999999995</v>
      </c>
      <c r="L219">
        <f t="shared" si="36"/>
        <v>15.387</v>
      </c>
      <c r="M219">
        <f t="shared" si="37"/>
        <v>11.502213336000001</v>
      </c>
      <c r="N219" s="9"/>
      <c r="O219" s="22">
        <v>0.95245400000000002</v>
      </c>
      <c r="P219" s="22">
        <v>184.745</v>
      </c>
      <c r="Q219" s="22">
        <v>-1.49353E-2</v>
      </c>
      <c r="R219" s="22">
        <v>209</v>
      </c>
      <c r="S219" s="22">
        <v>0.95184299999999999</v>
      </c>
      <c r="T219">
        <f t="shared" si="38"/>
        <v>14.9353</v>
      </c>
      <c r="U219">
        <f t="shared" si="39"/>
        <v>14.2251862262</v>
      </c>
      <c r="X219" s="9"/>
      <c r="Y219" s="22">
        <v>0.74752799999999997</v>
      </c>
      <c r="Z219" s="22">
        <v>282.96100000000001</v>
      </c>
      <c r="AA219" s="22">
        <v>-1.7578099999999999E-2</v>
      </c>
      <c r="AB219" s="22">
        <v>209</v>
      </c>
      <c r="AC219" s="22">
        <v>0.74685699999999999</v>
      </c>
      <c r="AD219">
        <f t="shared" si="40"/>
        <v>17.578099999999999</v>
      </c>
      <c r="AE219">
        <f t="shared" si="41"/>
        <v>13.140121936799998</v>
      </c>
      <c r="AF219" s="9"/>
      <c r="AG219" s="22">
        <v>0.95245400000000002</v>
      </c>
      <c r="AH219" s="22">
        <v>358.697</v>
      </c>
      <c r="AI219" s="22">
        <v>-1.7434700000000001E-2</v>
      </c>
      <c r="AJ219" s="22">
        <v>209</v>
      </c>
      <c r="AK219" s="22">
        <v>0.95153799999999999</v>
      </c>
      <c r="AL219">
        <f t="shared" si="42"/>
        <v>17.434699999999999</v>
      </c>
      <c r="AM219">
        <f t="shared" si="43"/>
        <v>16.605749753800001</v>
      </c>
      <c r="AP219" s="9"/>
      <c r="AQ219" s="22">
        <v>0.74752799999999997</v>
      </c>
      <c r="AR219" s="22">
        <v>430.9</v>
      </c>
      <c r="AS219" s="22">
        <v>-1.8090800000000001E-2</v>
      </c>
      <c r="AT219" s="22">
        <v>209</v>
      </c>
      <c r="AU219" s="22">
        <v>0.74682599999999999</v>
      </c>
      <c r="AV219">
        <f t="shared" si="44"/>
        <v>18.090800000000002</v>
      </c>
      <c r="AW219">
        <f t="shared" si="45"/>
        <v>13.523379542400001</v>
      </c>
      <c r="AX219" s="9"/>
      <c r="AY219" s="22">
        <v>0.95245400000000002</v>
      </c>
      <c r="AZ219" s="22">
        <v>504.31299999999999</v>
      </c>
      <c r="BA219" s="22">
        <v>-1.7871100000000001E-2</v>
      </c>
      <c r="BB219" s="22">
        <v>209</v>
      </c>
      <c r="BC219" s="22">
        <v>0.95153799999999999</v>
      </c>
      <c r="BD219">
        <f t="shared" si="46"/>
        <v>17.871100000000002</v>
      </c>
      <c r="BE219">
        <f t="shared" si="47"/>
        <v>17.021400679400003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69.503399999999999</v>
      </c>
      <c r="I220" s="22">
        <v>-1.53931E-2</v>
      </c>
      <c r="J220" s="22">
        <v>210</v>
      </c>
      <c r="K220" s="22">
        <v>0.74197400000000002</v>
      </c>
      <c r="L220">
        <f t="shared" si="36"/>
        <v>15.3931</v>
      </c>
      <c r="M220">
        <f t="shared" si="37"/>
        <v>11.4292689983</v>
      </c>
      <c r="N220" s="9"/>
      <c r="O220" s="22">
        <v>0.95748900000000003</v>
      </c>
      <c r="P220" s="22">
        <v>184.845</v>
      </c>
      <c r="Q220" s="22">
        <v>-1.4919999999999999E-2</v>
      </c>
      <c r="R220" s="22">
        <v>210</v>
      </c>
      <c r="S220" s="22">
        <v>0.95703099999999997</v>
      </c>
      <c r="T220">
        <f t="shared" si="38"/>
        <v>14.92</v>
      </c>
      <c r="U220">
        <f t="shared" si="39"/>
        <v>14.285735880000001</v>
      </c>
      <c r="X220" s="9"/>
      <c r="Y220" s="22">
        <v>0.74249299999999996</v>
      </c>
      <c r="Z220" s="22">
        <v>283.06200000000001</v>
      </c>
      <c r="AA220" s="22">
        <v>-1.7578099999999999E-2</v>
      </c>
      <c r="AB220" s="22">
        <v>210</v>
      </c>
      <c r="AC220" s="22">
        <v>0.74197400000000002</v>
      </c>
      <c r="AD220">
        <f t="shared" si="40"/>
        <v>17.578099999999999</v>
      </c>
      <c r="AE220">
        <f t="shared" si="41"/>
        <v>13.051616203299998</v>
      </c>
      <c r="AF220" s="9"/>
      <c r="AG220" s="22">
        <v>0.95748900000000003</v>
      </c>
      <c r="AH220" s="22">
        <v>358.79700000000003</v>
      </c>
      <c r="AI220" s="22">
        <v>-1.74377E-2</v>
      </c>
      <c r="AJ220" s="22">
        <v>210</v>
      </c>
      <c r="AK220" s="22">
        <v>0.95672599999999997</v>
      </c>
      <c r="AL220">
        <f t="shared" si="42"/>
        <v>17.4377</v>
      </c>
      <c r="AM220">
        <f t="shared" si="43"/>
        <v>16.6964059353</v>
      </c>
      <c r="AP220" s="9"/>
      <c r="AQ220" s="22">
        <v>0.74249299999999996</v>
      </c>
      <c r="AR220" s="22">
        <v>431</v>
      </c>
      <c r="AS220" s="22">
        <v>-1.8087800000000001E-2</v>
      </c>
      <c r="AT220" s="22">
        <v>210</v>
      </c>
      <c r="AU220" s="22">
        <v>0.74212599999999995</v>
      </c>
      <c r="AV220">
        <f t="shared" si="44"/>
        <v>18.087800000000001</v>
      </c>
      <c r="AW220">
        <f t="shared" si="45"/>
        <v>13.4300648854</v>
      </c>
      <c r="AX220" s="9"/>
      <c r="AY220" s="22">
        <v>0.95748900000000003</v>
      </c>
      <c r="AZ220" s="22">
        <v>504.41399999999999</v>
      </c>
      <c r="BA220" s="22">
        <v>-1.7864999999999999E-2</v>
      </c>
      <c r="BB220" s="22">
        <v>210</v>
      </c>
      <c r="BC220" s="22">
        <v>0.95672599999999997</v>
      </c>
      <c r="BD220">
        <f t="shared" si="46"/>
        <v>17.864999999999998</v>
      </c>
      <c r="BE220">
        <f t="shared" si="47"/>
        <v>17.105540984999998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69.604100000000003</v>
      </c>
      <c r="I221" s="22">
        <v>-1.5389999999999999E-2</v>
      </c>
      <c r="J221" s="22">
        <v>211</v>
      </c>
      <c r="K221" s="22">
        <v>0.736877</v>
      </c>
      <c r="L221">
        <f t="shared" si="36"/>
        <v>15.389999999999999</v>
      </c>
      <c r="M221">
        <f t="shared" si="37"/>
        <v>11.34946323</v>
      </c>
      <c r="N221" s="9"/>
      <c r="O221" s="22">
        <v>0.96252400000000005</v>
      </c>
      <c r="P221" s="22">
        <v>184.946</v>
      </c>
      <c r="Q221" s="22">
        <v>-1.49017E-2</v>
      </c>
      <c r="R221" s="22">
        <v>211</v>
      </c>
      <c r="S221" s="22">
        <v>0.96130400000000005</v>
      </c>
      <c r="T221">
        <f t="shared" si="38"/>
        <v>14.9017</v>
      </c>
      <c r="U221">
        <f t="shared" si="39"/>
        <v>14.3432438908</v>
      </c>
      <c r="X221" s="9"/>
      <c r="Y221" s="22">
        <v>0.73745700000000003</v>
      </c>
      <c r="Z221" s="22">
        <v>283.16300000000001</v>
      </c>
      <c r="AA221" s="22">
        <v>-1.7581200000000002E-2</v>
      </c>
      <c r="AB221" s="22">
        <v>211</v>
      </c>
      <c r="AC221" s="22">
        <v>0.73675500000000005</v>
      </c>
      <c r="AD221">
        <f t="shared" si="40"/>
        <v>17.581200000000003</v>
      </c>
      <c r="AE221">
        <f t="shared" si="41"/>
        <v>12.965379008400003</v>
      </c>
      <c r="AF221" s="9"/>
      <c r="AG221" s="22">
        <v>0.96252400000000005</v>
      </c>
      <c r="AH221" s="22">
        <v>358.89800000000002</v>
      </c>
      <c r="AI221" s="22">
        <v>-1.7428599999999999E-2</v>
      </c>
      <c r="AJ221" s="22">
        <v>211</v>
      </c>
      <c r="AK221" s="22">
        <v>0.96130400000000005</v>
      </c>
      <c r="AL221">
        <f t="shared" si="42"/>
        <v>17.428599999999999</v>
      </c>
      <c r="AM221">
        <f t="shared" si="43"/>
        <v>16.775445786399999</v>
      </c>
      <c r="AP221" s="9"/>
      <c r="AQ221" s="22">
        <v>0.73745700000000003</v>
      </c>
      <c r="AR221" s="22">
        <v>431.101</v>
      </c>
      <c r="AS221" s="22">
        <v>-1.80939E-2</v>
      </c>
      <c r="AT221" s="22">
        <v>211</v>
      </c>
      <c r="AU221" s="22">
        <v>0.73672499999999996</v>
      </c>
      <c r="AV221">
        <f t="shared" si="44"/>
        <v>18.093899999999998</v>
      </c>
      <c r="AW221">
        <f t="shared" si="45"/>
        <v>13.343473212299999</v>
      </c>
      <c r="AX221" s="9"/>
      <c r="AY221" s="22">
        <v>0.96252400000000005</v>
      </c>
      <c r="AZ221" s="22">
        <v>504.51400000000001</v>
      </c>
      <c r="BA221" s="22">
        <v>-1.78619E-2</v>
      </c>
      <c r="BB221" s="22">
        <v>211</v>
      </c>
      <c r="BC221" s="22">
        <v>0.96160900000000005</v>
      </c>
      <c r="BD221">
        <f t="shared" si="46"/>
        <v>17.861899999999999</v>
      </c>
      <c r="BE221">
        <f t="shared" si="47"/>
        <v>17.1925074356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69.704899999999995</v>
      </c>
      <c r="I222" s="22">
        <v>-1.53931E-2</v>
      </c>
      <c r="J222" s="22">
        <v>212</v>
      </c>
      <c r="K222" s="22">
        <v>0.73190299999999997</v>
      </c>
      <c r="L222">
        <f t="shared" si="36"/>
        <v>15.3931</v>
      </c>
      <c r="M222">
        <f t="shared" si="37"/>
        <v>11.274245088200001</v>
      </c>
      <c r="N222" s="9"/>
      <c r="O222" s="22">
        <v>0.96755999999999998</v>
      </c>
      <c r="P222" s="22">
        <v>185.047</v>
      </c>
      <c r="Q222" s="22">
        <v>-1.48865E-2</v>
      </c>
      <c r="R222" s="22">
        <v>212</v>
      </c>
      <c r="S222" s="22">
        <v>0.96710200000000002</v>
      </c>
      <c r="T222">
        <f t="shared" si="38"/>
        <v>14.8865</v>
      </c>
      <c r="U222">
        <f t="shared" si="39"/>
        <v>14.403581939999999</v>
      </c>
      <c r="X222" s="9"/>
      <c r="Y222" s="22">
        <v>0.73242200000000002</v>
      </c>
      <c r="Z222" s="22">
        <v>283.26299999999998</v>
      </c>
      <c r="AA222" s="22">
        <v>-1.7584200000000001E-2</v>
      </c>
      <c r="AB222" s="22">
        <v>212</v>
      </c>
      <c r="AC222" s="22">
        <v>0.73193399999999997</v>
      </c>
      <c r="AD222">
        <f t="shared" si="40"/>
        <v>17.584200000000003</v>
      </c>
      <c r="AE222">
        <f t="shared" si="41"/>
        <v>12.879054932400003</v>
      </c>
      <c r="AF222" s="9"/>
      <c r="AG222" s="22">
        <v>0.96755999999999998</v>
      </c>
      <c r="AH222" s="22">
        <v>358.99900000000002</v>
      </c>
      <c r="AI222" s="22">
        <v>-1.7431599999999998E-2</v>
      </c>
      <c r="AJ222" s="22">
        <v>212</v>
      </c>
      <c r="AK222" s="22">
        <v>0.96679700000000002</v>
      </c>
      <c r="AL222">
        <f t="shared" si="42"/>
        <v>17.4316</v>
      </c>
      <c r="AM222">
        <f t="shared" si="43"/>
        <v>16.866118896</v>
      </c>
      <c r="AP222" s="9"/>
      <c r="AQ222" s="22">
        <v>0.73242200000000002</v>
      </c>
      <c r="AR222" s="22">
        <v>431.202</v>
      </c>
      <c r="AS222" s="22">
        <v>-1.80939E-2</v>
      </c>
      <c r="AT222" s="22">
        <v>212</v>
      </c>
      <c r="AU222" s="22">
        <v>0.73178100000000001</v>
      </c>
      <c r="AV222">
        <f t="shared" si="44"/>
        <v>18.093899999999998</v>
      </c>
      <c r="AW222">
        <f t="shared" si="45"/>
        <v>13.252370425799999</v>
      </c>
      <c r="AX222" s="9"/>
      <c r="AY222" s="22">
        <v>0.96755999999999998</v>
      </c>
      <c r="AZ222" s="22">
        <v>504.61500000000001</v>
      </c>
      <c r="BA222" s="22">
        <v>-1.7867999999999998E-2</v>
      </c>
      <c r="BB222" s="22">
        <v>212</v>
      </c>
      <c r="BC222" s="22">
        <v>0.96618700000000002</v>
      </c>
      <c r="BD222">
        <f t="shared" si="46"/>
        <v>17.867999999999999</v>
      </c>
      <c r="BE222">
        <f t="shared" si="47"/>
        <v>17.288362079999999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69.805599999999998</v>
      </c>
      <c r="I223" s="22">
        <v>-1.5387E-2</v>
      </c>
      <c r="J223" s="22">
        <v>213</v>
      </c>
      <c r="K223" s="22">
        <v>0.72689800000000004</v>
      </c>
      <c r="L223">
        <f t="shared" si="36"/>
        <v>15.387</v>
      </c>
      <c r="M223">
        <f t="shared" si="37"/>
        <v>11.192288381999999</v>
      </c>
      <c r="N223" s="9"/>
      <c r="O223" s="22">
        <v>0.97259499999999999</v>
      </c>
      <c r="P223" s="22">
        <v>185.148</v>
      </c>
      <c r="Q223" s="22">
        <v>-1.48834E-2</v>
      </c>
      <c r="R223" s="22">
        <v>213</v>
      </c>
      <c r="S223" s="22">
        <v>0.97198499999999999</v>
      </c>
      <c r="T223">
        <f t="shared" si="38"/>
        <v>14.8834</v>
      </c>
      <c r="U223">
        <f t="shared" si="39"/>
        <v>14.475520422999999</v>
      </c>
      <c r="X223" s="9"/>
      <c r="Y223" s="22">
        <v>0.72738599999999998</v>
      </c>
      <c r="Z223" s="22">
        <v>283.36399999999998</v>
      </c>
      <c r="AA223" s="22">
        <v>-1.7584200000000001E-2</v>
      </c>
      <c r="AB223" s="22">
        <v>213</v>
      </c>
      <c r="AC223" s="22">
        <v>0.72656299999999996</v>
      </c>
      <c r="AD223">
        <f t="shared" si="40"/>
        <v>17.584200000000003</v>
      </c>
      <c r="AE223">
        <f t="shared" si="41"/>
        <v>12.790500901200001</v>
      </c>
      <c r="AF223" s="9"/>
      <c r="AG223" s="22">
        <v>0.97259499999999999</v>
      </c>
      <c r="AH223" s="22">
        <v>359.09899999999999</v>
      </c>
      <c r="AI223" s="22">
        <v>-1.7431599999999998E-2</v>
      </c>
      <c r="AJ223" s="22">
        <v>213</v>
      </c>
      <c r="AK223" s="22">
        <v>0.97167999999999999</v>
      </c>
      <c r="AL223">
        <f t="shared" si="42"/>
        <v>17.4316</v>
      </c>
      <c r="AM223">
        <f t="shared" si="43"/>
        <v>16.953887001999998</v>
      </c>
      <c r="AP223" s="9"/>
      <c r="AQ223" s="22">
        <v>0.72738599999999998</v>
      </c>
      <c r="AR223" s="22">
        <v>431.303</v>
      </c>
      <c r="AS223" s="22">
        <v>-1.8100000000000002E-2</v>
      </c>
      <c r="AT223" s="22">
        <v>213</v>
      </c>
      <c r="AU223" s="22">
        <v>0.72641</v>
      </c>
      <c r="AV223">
        <f t="shared" si="44"/>
        <v>18.100000000000001</v>
      </c>
      <c r="AW223">
        <f t="shared" si="45"/>
        <v>13.165686600000001</v>
      </c>
      <c r="AX223" s="9"/>
      <c r="AY223" s="22">
        <v>0.97259499999999999</v>
      </c>
      <c r="AZ223" s="22">
        <v>504.71600000000001</v>
      </c>
      <c r="BA223" s="22">
        <v>-1.7852799999999999E-2</v>
      </c>
      <c r="BB223" s="22">
        <v>213</v>
      </c>
      <c r="BC223" s="22">
        <v>0.97167999999999999</v>
      </c>
      <c r="BD223">
        <f t="shared" si="46"/>
        <v>17.852799999999998</v>
      </c>
      <c r="BE223">
        <f t="shared" si="47"/>
        <v>17.363544015999999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69.906300000000002</v>
      </c>
      <c r="I224" s="22">
        <v>-1.54053E-2</v>
      </c>
      <c r="J224" s="22">
        <v>214</v>
      </c>
      <c r="K224" s="22">
        <v>0.72177100000000005</v>
      </c>
      <c r="L224">
        <f t="shared" si="36"/>
        <v>15.4053</v>
      </c>
      <c r="M224">
        <f t="shared" si="37"/>
        <v>11.1280338603</v>
      </c>
      <c r="N224" s="9"/>
      <c r="O224" s="22">
        <v>0.97763100000000003</v>
      </c>
      <c r="P224" s="22">
        <v>185.24799999999999</v>
      </c>
      <c r="Q224" s="22">
        <v>-1.4859000000000001E-2</v>
      </c>
      <c r="R224" s="22">
        <v>214</v>
      </c>
      <c r="S224" s="22">
        <v>0.97686799999999996</v>
      </c>
      <c r="T224">
        <f t="shared" si="38"/>
        <v>14.859</v>
      </c>
      <c r="U224">
        <f t="shared" si="39"/>
        <v>14.526619029000001</v>
      </c>
      <c r="X224" s="9"/>
      <c r="Y224" s="22">
        <v>0.72235099999999997</v>
      </c>
      <c r="Z224" s="22">
        <v>283.46499999999997</v>
      </c>
      <c r="AA224" s="22">
        <v>-1.75903E-2</v>
      </c>
      <c r="AB224" s="22">
        <v>214</v>
      </c>
      <c r="AC224" s="22">
        <v>0.72103899999999999</v>
      </c>
      <c r="AD224">
        <f t="shared" si="40"/>
        <v>17.590299999999999</v>
      </c>
      <c r="AE224">
        <f t="shared" si="41"/>
        <v>12.706370795299998</v>
      </c>
      <c r="AF224" s="9"/>
      <c r="AG224" s="22">
        <v>0.97763100000000003</v>
      </c>
      <c r="AH224" s="22">
        <v>359.2</v>
      </c>
      <c r="AI224" s="22">
        <v>-1.7431599999999998E-2</v>
      </c>
      <c r="AJ224" s="22">
        <v>214</v>
      </c>
      <c r="AK224" s="22">
        <v>0.97717299999999996</v>
      </c>
      <c r="AL224">
        <f t="shared" si="42"/>
        <v>17.4316</v>
      </c>
      <c r="AM224">
        <f t="shared" si="43"/>
        <v>17.0416725396</v>
      </c>
      <c r="AP224" s="9"/>
      <c r="AQ224" s="22">
        <v>0.72235099999999997</v>
      </c>
      <c r="AR224" s="22">
        <v>431.40300000000002</v>
      </c>
      <c r="AS224" s="22">
        <v>-1.8103000000000001E-2</v>
      </c>
      <c r="AT224" s="22">
        <v>214</v>
      </c>
      <c r="AU224" s="22">
        <v>0.72174099999999997</v>
      </c>
      <c r="AV224">
        <f t="shared" si="44"/>
        <v>18.103000000000002</v>
      </c>
      <c r="AW224">
        <f t="shared" si="45"/>
        <v>13.076720153</v>
      </c>
      <c r="AX224" s="9"/>
      <c r="AY224" s="22">
        <v>0.97763100000000003</v>
      </c>
      <c r="AZ224" s="22">
        <v>504.81700000000001</v>
      </c>
      <c r="BA224" s="22">
        <v>-1.7855800000000002E-2</v>
      </c>
      <c r="BB224" s="22">
        <v>214</v>
      </c>
      <c r="BC224" s="22">
        <v>0.97717299999999996</v>
      </c>
      <c r="BD224">
        <f t="shared" si="46"/>
        <v>17.855800000000002</v>
      </c>
      <c r="BE224">
        <f t="shared" si="47"/>
        <v>17.456383609800003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70.007000000000005</v>
      </c>
      <c r="I225" s="22">
        <v>-1.54053E-2</v>
      </c>
      <c r="J225" s="22">
        <v>215</v>
      </c>
      <c r="K225" s="22">
        <v>0.71688799999999997</v>
      </c>
      <c r="L225">
        <f t="shared" si="36"/>
        <v>15.4053</v>
      </c>
      <c r="M225">
        <f t="shared" si="37"/>
        <v>11.050468174799999</v>
      </c>
      <c r="N225" s="9"/>
      <c r="O225" s="22">
        <v>0.98266600000000004</v>
      </c>
      <c r="P225" s="22">
        <v>185.34899999999999</v>
      </c>
      <c r="Q225" s="22">
        <v>-1.4849899999999999E-2</v>
      </c>
      <c r="R225" s="22">
        <v>215</v>
      </c>
      <c r="S225" s="22">
        <v>0.98175000000000001</v>
      </c>
      <c r="T225">
        <f t="shared" si="38"/>
        <v>14.8499</v>
      </c>
      <c r="U225">
        <f t="shared" si="39"/>
        <v>14.5924918334</v>
      </c>
      <c r="X225" s="9"/>
      <c r="Y225" s="22">
        <v>0.71731599999999995</v>
      </c>
      <c r="Z225" s="22">
        <v>283.56599999999997</v>
      </c>
      <c r="AA225" s="22">
        <v>-1.7593399999999999E-2</v>
      </c>
      <c r="AB225" s="22">
        <v>215</v>
      </c>
      <c r="AC225" s="22">
        <v>0.71557599999999999</v>
      </c>
      <c r="AD225">
        <f t="shared" si="40"/>
        <v>17.593399999999999</v>
      </c>
      <c r="AE225">
        <f t="shared" si="41"/>
        <v>12.620027314399998</v>
      </c>
      <c r="AF225" s="9"/>
      <c r="AG225" s="22">
        <v>0.98266600000000004</v>
      </c>
      <c r="AH225" s="22">
        <v>359.30099999999999</v>
      </c>
      <c r="AI225" s="22">
        <v>-1.74255E-2</v>
      </c>
      <c r="AJ225" s="22">
        <v>215</v>
      </c>
      <c r="AK225" s="22">
        <v>0.98175000000000001</v>
      </c>
      <c r="AL225">
        <f t="shared" si="42"/>
        <v>17.4255</v>
      </c>
      <c r="AM225">
        <f t="shared" si="43"/>
        <v>17.123446383000001</v>
      </c>
      <c r="AP225" s="9"/>
      <c r="AQ225" s="22">
        <v>0.71731599999999995</v>
      </c>
      <c r="AR225" s="22">
        <v>431.50400000000002</v>
      </c>
      <c r="AS225" s="22">
        <v>-1.8100000000000002E-2</v>
      </c>
      <c r="AT225" s="22">
        <v>215</v>
      </c>
      <c r="AU225" s="22">
        <v>0.71664399999999995</v>
      </c>
      <c r="AV225">
        <f t="shared" si="44"/>
        <v>18.100000000000001</v>
      </c>
      <c r="AW225">
        <f t="shared" si="45"/>
        <v>12.9834196</v>
      </c>
      <c r="AX225" s="9"/>
      <c r="AY225" s="22">
        <v>0.98266600000000004</v>
      </c>
      <c r="AZ225" s="22">
        <v>504.91699999999997</v>
      </c>
      <c r="BA225" s="22">
        <v>-1.7855800000000002E-2</v>
      </c>
      <c r="BB225" s="22">
        <v>215</v>
      </c>
      <c r="BC225" s="22">
        <v>0.98175000000000001</v>
      </c>
      <c r="BD225">
        <f t="shared" si="46"/>
        <v>17.855800000000002</v>
      </c>
      <c r="BE225">
        <f t="shared" si="47"/>
        <v>17.546287562800003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70.107699999999994</v>
      </c>
      <c r="I226" s="22">
        <v>-1.54083E-2</v>
      </c>
      <c r="J226" s="22">
        <v>216</v>
      </c>
      <c r="K226" s="22">
        <v>0.71167000000000002</v>
      </c>
      <c r="L226">
        <f t="shared" si="36"/>
        <v>15.408300000000001</v>
      </c>
      <c r="M226">
        <f t="shared" si="37"/>
        <v>10.975023924</v>
      </c>
      <c r="N226" s="9"/>
      <c r="O226" s="22">
        <v>0.98770100000000005</v>
      </c>
      <c r="P226" s="22">
        <v>185.45</v>
      </c>
      <c r="Q226" s="22">
        <v>-1.4822399999999999E-2</v>
      </c>
      <c r="R226" s="22">
        <v>216</v>
      </c>
      <c r="S226" s="22">
        <v>0.98693799999999998</v>
      </c>
      <c r="T226">
        <f t="shared" si="38"/>
        <v>14.8224</v>
      </c>
      <c r="U226">
        <f t="shared" si="39"/>
        <v>14.640099302400001</v>
      </c>
      <c r="X226" s="9"/>
      <c r="Y226" s="22">
        <v>0.71228000000000002</v>
      </c>
      <c r="Z226" s="22">
        <v>283.666</v>
      </c>
      <c r="AA226" s="22">
        <v>-1.7593399999999999E-2</v>
      </c>
      <c r="AB226" s="22">
        <v>216</v>
      </c>
      <c r="AC226" s="22">
        <v>0.71136500000000003</v>
      </c>
      <c r="AD226">
        <f t="shared" si="40"/>
        <v>17.593399999999999</v>
      </c>
      <c r="AE226">
        <f t="shared" si="41"/>
        <v>12.531426952</v>
      </c>
      <c r="AF226" s="9"/>
      <c r="AG226" s="22">
        <v>0.98770100000000005</v>
      </c>
      <c r="AH226" s="22">
        <v>359.40199999999999</v>
      </c>
      <c r="AI226" s="22">
        <v>-1.7416399999999999E-2</v>
      </c>
      <c r="AJ226" s="22">
        <v>216</v>
      </c>
      <c r="AK226" s="22">
        <v>0.98632799999999998</v>
      </c>
      <c r="AL226">
        <f t="shared" si="42"/>
        <v>17.416399999999999</v>
      </c>
      <c r="AM226">
        <f t="shared" si="43"/>
        <v>17.2021956964</v>
      </c>
      <c r="AP226" s="9"/>
      <c r="AQ226" s="22">
        <v>0.71228000000000002</v>
      </c>
      <c r="AR226" s="22">
        <v>431.60500000000002</v>
      </c>
      <c r="AS226" s="22">
        <v>-1.8103000000000001E-2</v>
      </c>
      <c r="AT226" s="22">
        <v>216</v>
      </c>
      <c r="AU226" s="22">
        <v>0.71167000000000002</v>
      </c>
      <c r="AV226">
        <f t="shared" si="44"/>
        <v>18.103000000000002</v>
      </c>
      <c r="AW226">
        <f t="shared" si="45"/>
        <v>12.894404840000002</v>
      </c>
      <c r="AX226" s="9"/>
      <c r="AY226" s="22">
        <v>0.98770100000000005</v>
      </c>
      <c r="AZ226" s="22">
        <v>505.01799999999997</v>
      </c>
      <c r="BA226" s="22">
        <v>-1.7855800000000002E-2</v>
      </c>
      <c r="BB226" s="22">
        <v>216</v>
      </c>
      <c r="BC226" s="22">
        <v>0.98693799999999998</v>
      </c>
      <c r="BD226">
        <f t="shared" si="46"/>
        <v>17.855800000000002</v>
      </c>
      <c r="BE226">
        <f t="shared" si="47"/>
        <v>17.636191515800004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70.208399999999997</v>
      </c>
      <c r="I227" s="22">
        <v>-1.54022E-2</v>
      </c>
      <c r="J227" s="22">
        <v>217</v>
      </c>
      <c r="K227" s="22">
        <v>0.70672599999999997</v>
      </c>
      <c r="L227">
        <f t="shared" si="36"/>
        <v>15.402199999999999</v>
      </c>
      <c r="M227">
        <f t="shared" si="37"/>
        <v>10.893128938999999</v>
      </c>
      <c r="N227" s="9"/>
      <c r="O227" s="22">
        <v>0.99273699999999998</v>
      </c>
      <c r="P227" s="22">
        <v>185.55</v>
      </c>
      <c r="Q227" s="22">
        <v>-1.48529E-2</v>
      </c>
      <c r="R227" s="22">
        <v>217</v>
      </c>
      <c r="S227" s="22">
        <v>0.99212599999999995</v>
      </c>
      <c r="T227">
        <f t="shared" si="38"/>
        <v>14.8529</v>
      </c>
      <c r="U227">
        <f t="shared" si="39"/>
        <v>14.7450233873</v>
      </c>
      <c r="X227" s="9"/>
      <c r="Y227" s="22">
        <v>0.70724500000000001</v>
      </c>
      <c r="Z227" s="22">
        <v>283.767</v>
      </c>
      <c r="AA227" s="22">
        <v>-1.7593399999999999E-2</v>
      </c>
      <c r="AB227" s="22">
        <v>217</v>
      </c>
      <c r="AC227" s="22">
        <v>0.70761099999999999</v>
      </c>
      <c r="AD227">
        <f t="shared" si="40"/>
        <v>17.593399999999999</v>
      </c>
      <c r="AE227">
        <f t="shared" si="41"/>
        <v>12.442844183</v>
      </c>
      <c r="AF227" s="9"/>
      <c r="AG227" s="22">
        <v>0.99273699999999998</v>
      </c>
      <c r="AH227" s="22">
        <v>359.50200000000001</v>
      </c>
      <c r="AI227" s="22">
        <v>-1.7416399999999999E-2</v>
      </c>
      <c r="AJ227" s="22">
        <v>217</v>
      </c>
      <c r="AK227" s="22">
        <v>0.99182099999999995</v>
      </c>
      <c r="AL227">
        <f t="shared" si="42"/>
        <v>17.416399999999999</v>
      </c>
      <c r="AM227">
        <f t="shared" si="43"/>
        <v>17.2899046868</v>
      </c>
      <c r="AP227" s="9"/>
      <c r="AQ227" s="22">
        <v>0.70724500000000001</v>
      </c>
      <c r="AR227" s="22">
        <v>431.70499999999998</v>
      </c>
      <c r="AS227" s="22">
        <v>-1.8100000000000002E-2</v>
      </c>
      <c r="AT227" s="22">
        <v>217</v>
      </c>
      <c r="AU227" s="22">
        <v>0.70718400000000003</v>
      </c>
      <c r="AV227">
        <f t="shared" si="44"/>
        <v>18.100000000000001</v>
      </c>
      <c r="AW227">
        <f t="shared" si="45"/>
        <v>12.801134500000002</v>
      </c>
      <c r="AX227" s="9"/>
      <c r="AY227" s="22">
        <v>0.99273699999999998</v>
      </c>
      <c r="AZ227" s="22">
        <v>505.11900000000003</v>
      </c>
      <c r="BA227" s="22">
        <v>-1.7843600000000001E-2</v>
      </c>
      <c r="BB227" s="22">
        <v>217</v>
      </c>
      <c r="BC227" s="22">
        <v>0.99182099999999995</v>
      </c>
      <c r="BD227">
        <f t="shared" si="46"/>
        <v>17.843600000000002</v>
      </c>
      <c r="BE227">
        <f t="shared" si="47"/>
        <v>17.714001933200002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70.309100000000001</v>
      </c>
      <c r="I228" s="22">
        <v>-1.54144E-2</v>
      </c>
      <c r="J228" s="22">
        <v>218</v>
      </c>
      <c r="K228" s="22">
        <v>0.70165999999999995</v>
      </c>
      <c r="L228">
        <f t="shared" si="36"/>
        <v>15.414400000000001</v>
      </c>
      <c r="M228">
        <f t="shared" si="37"/>
        <v>10.8241304096</v>
      </c>
      <c r="N228" s="9"/>
      <c r="O228" s="22">
        <v>0.99777199999999999</v>
      </c>
      <c r="P228" s="22">
        <v>185.65100000000001</v>
      </c>
      <c r="Q228" s="22">
        <v>-1.4816299999999999E-2</v>
      </c>
      <c r="R228" s="22">
        <v>218</v>
      </c>
      <c r="S228" s="22">
        <v>0.99670400000000003</v>
      </c>
      <c r="T228">
        <f t="shared" si="38"/>
        <v>14.8163</v>
      </c>
      <c r="U228">
        <f t="shared" si="39"/>
        <v>14.7832892836</v>
      </c>
      <c r="X228" s="9"/>
      <c r="Y228" s="22">
        <v>0.70220899999999997</v>
      </c>
      <c r="Z228" s="22">
        <v>283.86799999999999</v>
      </c>
      <c r="AA228" s="22">
        <v>-1.7596400000000002E-2</v>
      </c>
      <c r="AB228" s="22">
        <v>218</v>
      </c>
      <c r="AC228" s="22">
        <v>0.70257599999999998</v>
      </c>
      <c r="AD228">
        <f t="shared" si="40"/>
        <v>17.596400000000003</v>
      </c>
      <c r="AE228">
        <f t="shared" si="41"/>
        <v>12.356350447600001</v>
      </c>
      <c r="AF228" s="9"/>
      <c r="AG228" s="22">
        <v>0.99777199999999999</v>
      </c>
      <c r="AH228" s="22">
        <v>359.60300000000001</v>
      </c>
      <c r="AI228" s="22">
        <v>-1.7416399999999999E-2</v>
      </c>
      <c r="AJ228" s="22">
        <v>218</v>
      </c>
      <c r="AK228" s="22">
        <v>0.99731400000000003</v>
      </c>
      <c r="AL228">
        <f t="shared" si="42"/>
        <v>17.416399999999999</v>
      </c>
      <c r="AM228">
        <f t="shared" si="43"/>
        <v>17.377596260800001</v>
      </c>
      <c r="AP228" s="9"/>
      <c r="AQ228" s="22">
        <v>0.70220899999999997</v>
      </c>
      <c r="AR228" s="22">
        <v>431.80599999999998</v>
      </c>
      <c r="AS228" s="22">
        <v>-1.81091E-2</v>
      </c>
      <c r="AT228" s="22">
        <v>218</v>
      </c>
      <c r="AU228" s="22">
        <v>0.70141600000000004</v>
      </c>
      <c r="AV228">
        <f t="shared" si="44"/>
        <v>18.109099999999998</v>
      </c>
      <c r="AW228">
        <f t="shared" si="45"/>
        <v>12.716373001899997</v>
      </c>
      <c r="AX228" s="9"/>
      <c r="AY228" s="22">
        <v>0.99777199999999999</v>
      </c>
      <c r="AZ228" s="22">
        <v>505.21899999999999</v>
      </c>
      <c r="BA228" s="22">
        <v>-1.7843600000000001E-2</v>
      </c>
      <c r="BB228" s="22">
        <v>218</v>
      </c>
      <c r="BC228" s="22">
        <v>0.99609400000000003</v>
      </c>
      <c r="BD228">
        <f t="shared" si="46"/>
        <v>17.843600000000002</v>
      </c>
      <c r="BE228">
        <f t="shared" si="47"/>
        <v>17.8038444592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70.409800000000004</v>
      </c>
      <c r="I229" s="22">
        <v>-1.54083E-2</v>
      </c>
      <c r="J229" s="22">
        <v>219</v>
      </c>
      <c r="K229" s="22">
        <v>0.69659400000000005</v>
      </c>
      <c r="L229">
        <f t="shared" si="36"/>
        <v>15.408300000000001</v>
      </c>
      <c r="M229">
        <f t="shared" si="37"/>
        <v>10.7422661442</v>
      </c>
      <c r="N229" s="9"/>
      <c r="O229" s="22">
        <v>1.00281</v>
      </c>
      <c r="P229" s="22">
        <v>185.75200000000001</v>
      </c>
      <c r="Q229" s="22">
        <v>-1.4819300000000001E-2</v>
      </c>
      <c r="R229" s="22">
        <v>219</v>
      </c>
      <c r="S229" s="22">
        <v>1.00159</v>
      </c>
      <c r="T229">
        <f t="shared" si="38"/>
        <v>14.8193</v>
      </c>
      <c r="U229">
        <f t="shared" si="39"/>
        <v>14.860942232999999</v>
      </c>
      <c r="X229" s="9"/>
      <c r="Y229" s="22">
        <v>0.69717399999999996</v>
      </c>
      <c r="Z229" s="22">
        <v>283.96800000000002</v>
      </c>
      <c r="AA229" s="22">
        <v>-1.7596400000000002E-2</v>
      </c>
      <c r="AB229" s="22">
        <v>219</v>
      </c>
      <c r="AC229" s="22">
        <v>0.69680799999999998</v>
      </c>
      <c r="AD229">
        <f t="shared" si="40"/>
        <v>17.596400000000003</v>
      </c>
      <c r="AE229">
        <f t="shared" si="41"/>
        <v>12.267752573600001</v>
      </c>
      <c r="AF229" s="9"/>
      <c r="AG229" s="22">
        <v>1.00281</v>
      </c>
      <c r="AH229" s="22">
        <v>359.70400000000001</v>
      </c>
      <c r="AI229" s="22">
        <v>-1.74103E-2</v>
      </c>
      <c r="AJ229" s="22">
        <v>219</v>
      </c>
      <c r="AK229" s="22">
        <v>1.0018899999999999</v>
      </c>
      <c r="AL229">
        <f t="shared" si="42"/>
        <v>17.410299999999999</v>
      </c>
      <c r="AM229">
        <f t="shared" si="43"/>
        <v>17.459222943</v>
      </c>
      <c r="AP229" s="9"/>
      <c r="AQ229" s="22">
        <v>0.69717399999999996</v>
      </c>
      <c r="AR229" s="22">
        <v>431.90699999999998</v>
      </c>
      <c r="AS229" s="22">
        <v>-1.8112199999999998E-2</v>
      </c>
      <c r="AT229" s="22">
        <v>219</v>
      </c>
      <c r="AU229" s="22">
        <v>0.69653299999999996</v>
      </c>
      <c r="AV229">
        <f t="shared" si="44"/>
        <v>18.112199999999998</v>
      </c>
      <c r="AW229">
        <f t="shared" si="45"/>
        <v>12.627354922799999</v>
      </c>
      <c r="AX229" s="9"/>
      <c r="AY229" s="22">
        <v>1.00281</v>
      </c>
      <c r="AZ229" s="22">
        <v>505.32</v>
      </c>
      <c r="BA229" s="22">
        <v>-1.7843600000000001E-2</v>
      </c>
      <c r="BB229" s="22">
        <v>219</v>
      </c>
      <c r="BC229" s="22">
        <v>1.0024999999999999</v>
      </c>
      <c r="BD229">
        <f t="shared" si="46"/>
        <v>17.843600000000002</v>
      </c>
      <c r="BE229">
        <f t="shared" si="47"/>
        <v>17.893740516000001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70.510499999999993</v>
      </c>
      <c r="I230" s="22">
        <v>-1.54083E-2</v>
      </c>
      <c r="J230" s="22">
        <v>220</v>
      </c>
      <c r="K230" s="22">
        <v>0.69158900000000001</v>
      </c>
      <c r="L230">
        <f t="shared" si="36"/>
        <v>15.408300000000001</v>
      </c>
      <c r="M230">
        <f t="shared" si="37"/>
        <v>10.664685353699999</v>
      </c>
      <c r="N230" s="9"/>
      <c r="O230" s="22">
        <v>1.0078400000000001</v>
      </c>
      <c r="P230" s="22">
        <v>185.852</v>
      </c>
      <c r="Q230" s="22">
        <v>-1.48071E-2</v>
      </c>
      <c r="R230" s="22">
        <v>220</v>
      </c>
      <c r="S230" s="22">
        <v>1.00769</v>
      </c>
      <c r="T230">
        <f t="shared" si="38"/>
        <v>14.8071</v>
      </c>
      <c r="U230">
        <f t="shared" si="39"/>
        <v>14.923187664</v>
      </c>
      <c r="X230" s="9"/>
      <c r="Y230" s="22">
        <v>0.69213899999999995</v>
      </c>
      <c r="Z230" s="22">
        <v>284.06900000000002</v>
      </c>
      <c r="AA230" s="22">
        <v>-1.76025E-2</v>
      </c>
      <c r="AB230" s="22">
        <v>220</v>
      </c>
      <c r="AC230" s="22">
        <v>0.69158900000000001</v>
      </c>
      <c r="AD230">
        <f t="shared" si="40"/>
        <v>17.602499999999999</v>
      </c>
      <c r="AE230">
        <f t="shared" si="41"/>
        <v>12.183376747499999</v>
      </c>
      <c r="AF230" s="9"/>
      <c r="AG230" s="22">
        <v>1.0078400000000001</v>
      </c>
      <c r="AH230" s="22">
        <v>359.80399999999997</v>
      </c>
      <c r="AI230" s="22">
        <v>-1.74103E-2</v>
      </c>
      <c r="AJ230" s="22">
        <v>220</v>
      </c>
      <c r="AK230" s="22">
        <v>1.0067699999999999</v>
      </c>
      <c r="AL230">
        <f t="shared" si="42"/>
        <v>17.410299999999999</v>
      </c>
      <c r="AM230">
        <f t="shared" si="43"/>
        <v>17.546796752000002</v>
      </c>
      <c r="AP230" s="9"/>
      <c r="AQ230" s="22">
        <v>0.69213899999999995</v>
      </c>
      <c r="AR230" s="22">
        <v>432.00799999999998</v>
      </c>
      <c r="AS230" s="22">
        <v>-1.81183E-2</v>
      </c>
      <c r="AT230" s="22">
        <v>220</v>
      </c>
      <c r="AU230" s="22">
        <v>0.69158900000000001</v>
      </c>
      <c r="AV230">
        <f t="shared" si="44"/>
        <v>18.118300000000001</v>
      </c>
      <c r="AW230">
        <f t="shared" si="45"/>
        <v>12.540382043699999</v>
      </c>
      <c r="AX230" s="9"/>
      <c r="AY230" s="22">
        <v>1.0078400000000001</v>
      </c>
      <c r="AZ230" s="22">
        <v>505.42099999999999</v>
      </c>
      <c r="BA230" s="22">
        <v>-1.78467E-2</v>
      </c>
      <c r="BB230" s="22">
        <v>220</v>
      </c>
      <c r="BC230" s="22">
        <v>1.00708</v>
      </c>
      <c r="BD230">
        <f t="shared" si="46"/>
        <v>17.846699999999998</v>
      </c>
      <c r="BE230">
        <f t="shared" si="47"/>
        <v>17.986618128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70.611199999999997</v>
      </c>
      <c r="I231" s="22">
        <v>-1.54419E-2</v>
      </c>
      <c r="J231" s="22">
        <v>221</v>
      </c>
      <c r="K231" s="22">
        <v>0.68658399999999997</v>
      </c>
      <c r="L231">
        <f t="shared" si="36"/>
        <v>15.4419</v>
      </c>
      <c r="M231">
        <f t="shared" si="37"/>
        <v>10.6101758157</v>
      </c>
      <c r="N231" s="9"/>
      <c r="O231" s="22">
        <v>1.01288</v>
      </c>
      <c r="P231" s="22">
        <v>185.953</v>
      </c>
      <c r="Q231" s="22">
        <v>-1.4822399999999999E-2</v>
      </c>
      <c r="R231" s="22">
        <v>221</v>
      </c>
      <c r="S231" s="22">
        <v>1.01227</v>
      </c>
      <c r="T231">
        <f t="shared" si="38"/>
        <v>14.8224</v>
      </c>
      <c r="U231">
        <f t="shared" si="39"/>
        <v>15.013312512000001</v>
      </c>
      <c r="X231" s="9"/>
      <c r="Y231" s="22">
        <v>0.68710300000000002</v>
      </c>
      <c r="Z231" s="22">
        <v>284.17</v>
      </c>
      <c r="AA231" s="22">
        <v>-1.7608599999999999E-2</v>
      </c>
      <c r="AB231" s="22">
        <v>221</v>
      </c>
      <c r="AC231" s="22">
        <v>0.687805</v>
      </c>
      <c r="AD231">
        <f t="shared" si="40"/>
        <v>17.608599999999999</v>
      </c>
      <c r="AE231">
        <f t="shared" si="41"/>
        <v>12.098921885799999</v>
      </c>
      <c r="AF231" s="9"/>
      <c r="AG231" s="22">
        <v>1.01288</v>
      </c>
      <c r="AH231" s="22">
        <v>359.90499999999997</v>
      </c>
      <c r="AI231" s="22">
        <v>-1.74133E-2</v>
      </c>
      <c r="AJ231" s="22">
        <v>221</v>
      </c>
      <c r="AK231" s="22">
        <v>1.01196</v>
      </c>
      <c r="AL231">
        <f t="shared" si="42"/>
        <v>17.4133</v>
      </c>
      <c r="AM231">
        <f t="shared" si="43"/>
        <v>17.637583304</v>
      </c>
      <c r="AP231" s="9"/>
      <c r="AQ231" s="22">
        <v>0.68710300000000002</v>
      </c>
      <c r="AR231" s="22">
        <v>432.108</v>
      </c>
      <c r="AS231" s="22">
        <v>-1.81091E-2</v>
      </c>
      <c r="AT231" s="22">
        <v>221</v>
      </c>
      <c r="AU231" s="22">
        <v>0.68649300000000002</v>
      </c>
      <c r="AV231">
        <f t="shared" si="44"/>
        <v>18.109099999999998</v>
      </c>
      <c r="AW231">
        <f t="shared" si="45"/>
        <v>12.442816937299998</v>
      </c>
      <c r="AX231" s="9"/>
      <c r="AY231" s="22">
        <v>1.01288</v>
      </c>
      <c r="AZ231" s="22">
        <v>505.52100000000002</v>
      </c>
      <c r="BA231" s="22">
        <v>-1.7840600000000002E-2</v>
      </c>
      <c r="BB231" s="22">
        <v>221</v>
      </c>
      <c r="BC231" s="22">
        <v>1.01227</v>
      </c>
      <c r="BD231">
        <f t="shared" si="46"/>
        <v>17.840600000000002</v>
      </c>
      <c r="BE231">
        <f t="shared" si="47"/>
        <v>18.070386928000001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70.7119</v>
      </c>
      <c r="I232" s="22">
        <v>-1.54114E-2</v>
      </c>
      <c r="J232" s="22">
        <v>222</v>
      </c>
      <c r="K232" s="22">
        <v>0.68151899999999999</v>
      </c>
      <c r="L232">
        <f t="shared" si="36"/>
        <v>15.4114</v>
      </c>
      <c r="M232">
        <f t="shared" si="37"/>
        <v>10.511622775200001</v>
      </c>
      <c r="N232" s="9"/>
      <c r="O232" s="22">
        <v>1.0179100000000001</v>
      </c>
      <c r="P232" s="22">
        <v>186.054</v>
      </c>
      <c r="Q232" s="22">
        <v>-1.48071E-2</v>
      </c>
      <c r="R232" s="22">
        <v>222</v>
      </c>
      <c r="S232" s="22">
        <v>1.01715</v>
      </c>
      <c r="T232">
        <f t="shared" si="38"/>
        <v>14.8071</v>
      </c>
      <c r="U232">
        <f t="shared" si="39"/>
        <v>15.072295161000001</v>
      </c>
      <c r="X232" s="9"/>
      <c r="Y232" s="22">
        <v>0.68206800000000001</v>
      </c>
      <c r="Z232" s="22">
        <v>284.27100000000002</v>
      </c>
      <c r="AA232" s="22">
        <v>-1.7605599999999999E-2</v>
      </c>
      <c r="AB232" s="22">
        <v>222</v>
      </c>
      <c r="AC232" s="22">
        <v>0.68148799999999998</v>
      </c>
      <c r="AD232">
        <f t="shared" si="40"/>
        <v>17.605599999999999</v>
      </c>
      <c r="AE232">
        <f t="shared" si="41"/>
        <v>12.008216380799999</v>
      </c>
      <c r="AF232" s="9"/>
      <c r="AG232" s="22">
        <v>1.0179100000000001</v>
      </c>
      <c r="AH232" s="22">
        <v>360.00599999999997</v>
      </c>
      <c r="AI232" s="22">
        <v>-1.74103E-2</v>
      </c>
      <c r="AJ232" s="22">
        <v>222</v>
      </c>
      <c r="AK232" s="22">
        <v>1.01685</v>
      </c>
      <c r="AL232">
        <f t="shared" si="42"/>
        <v>17.410299999999999</v>
      </c>
      <c r="AM232">
        <f t="shared" si="43"/>
        <v>17.722118473000002</v>
      </c>
      <c r="AP232" s="9"/>
      <c r="AQ232" s="22">
        <v>0.68206800000000001</v>
      </c>
      <c r="AR232" s="22">
        <v>432.209</v>
      </c>
      <c r="AS232" s="22">
        <v>-1.81091E-2</v>
      </c>
      <c r="AT232" s="22">
        <v>222</v>
      </c>
      <c r="AU232" s="22">
        <v>0.68157999999999996</v>
      </c>
      <c r="AV232">
        <f t="shared" si="44"/>
        <v>18.109099999999998</v>
      </c>
      <c r="AW232">
        <f t="shared" si="45"/>
        <v>12.351637618799998</v>
      </c>
      <c r="AX232" s="9"/>
      <c r="AY232" s="22">
        <v>1.0179100000000001</v>
      </c>
      <c r="AZ232" s="22">
        <v>505.62200000000001</v>
      </c>
      <c r="BA232" s="22">
        <v>-1.7837499999999999E-2</v>
      </c>
      <c r="BB232" s="22">
        <v>222</v>
      </c>
      <c r="BC232" s="22">
        <v>1.01715</v>
      </c>
      <c r="BD232">
        <f t="shared" si="46"/>
        <v>17.837499999999999</v>
      </c>
      <c r="BE232">
        <f t="shared" si="47"/>
        <v>18.156969624999999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70.812600000000003</v>
      </c>
      <c r="I233" s="22">
        <v>-1.54114E-2</v>
      </c>
      <c r="J233" s="22">
        <v>223</v>
      </c>
      <c r="K233" s="22">
        <v>0.67651399999999995</v>
      </c>
      <c r="L233">
        <f t="shared" si="36"/>
        <v>15.4114</v>
      </c>
      <c r="M233">
        <f t="shared" si="37"/>
        <v>10.434010964800001</v>
      </c>
      <c r="N233" s="9"/>
      <c r="O233" s="22">
        <v>1.02295</v>
      </c>
      <c r="P233" s="22">
        <v>186.155</v>
      </c>
      <c r="Q233" s="22">
        <v>-1.47888E-2</v>
      </c>
      <c r="R233" s="22">
        <v>223</v>
      </c>
      <c r="S233" s="22">
        <v>1.02234</v>
      </c>
      <c r="T233">
        <f t="shared" si="38"/>
        <v>14.7888</v>
      </c>
      <c r="U233">
        <f t="shared" si="39"/>
        <v>15.128202960000001</v>
      </c>
      <c r="X233" s="9"/>
      <c r="Y233" s="22">
        <v>0.67703199999999997</v>
      </c>
      <c r="Z233" s="22">
        <v>284.37099999999998</v>
      </c>
      <c r="AA233" s="22">
        <v>-1.7608599999999999E-2</v>
      </c>
      <c r="AB233" s="22">
        <v>223</v>
      </c>
      <c r="AC233" s="22">
        <v>0.67651399999999995</v>
      </c>
      <c r="AD233">
        <f t="shared" si="40"/>
        <v>17.608599999999999</v>
      </c>
      <c r="AE233">
        <f t="shared" si="41"/>
        <v>11.921585675199999</v>
      </c>
      <c r="AF233" s="9"/>
      <c r="AG233" s="22">
        <v>1.02295</v>
      </c>
      <c r="AH233" s="22">
        <v>360.10700000000003</v>
      </c>
      <c r="AI233" s="22">
        <v>-1.7401099999999999E-2</v>
      </c>
      <c r="AJ233" s="22">
        <v>223</v>
      </c>
      <c r="AK233" s="22">
        <v>1.02173</v>
      </c>
      <c r="AL233">
        <f t="shared" si="42"/>
        <v>17.4011</v>
      </c>
      <c r="AM233">
        <f t="shared" si="43"/>
        <v>17.800455244999998</v>
      </c>
      <c r="AP233" s="9"/>
      <c r="AQ233" s="22">
        <v>0.67703199999999997</v>
      </c>
      <c r="AR233" s="22">
        <v>432.31</v>
      </c>
      <c r="AS233" s="22">
        <v>-1.8112199999999998E-2</v>
      </c>
      <c r="AT233" s="22">
        <v>223</v>
      </c>
      <c r="AU233" s="22">
        <v>0.67636099999999999</v>
      </c>
      <c r="AV233">
        <f t="shared" si="44"/>
        <v>18.112199999999998</v>
      </c>
      <c r="AW233">
        <f t="shared" si="45"/>
        <v>12.262538990399998</v>
      </c>
      <c r="AX233" s="9"/>
      <c r="AY233" s="22">
        <v>1.02295</v>
      </c>
      <c r="AZ233" s="22">
        <v>505.72300000000001</v>
      </c>
      <c r="BA233" s="22">
        <v>-1.7840600000000002E-2</v>
      </c>
      <c r="BB233" s="22">
        <v>223</v>
      </c>
      <c r="BC233" s="22">
        <v>1.02142</v>
      </c>
      <c r="BD233">
        <f t="shared" si="46"/>
        <v>17.840600000000002</v>
      </c>
      <c r="BE233">
        <f t="shared" si="47"/>
        <v>18.250041770000003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70.913300000000007</v>
      </c>
      <c r="I234" s="22">
        <v>-1.5417500000000001E-2</v>
      </c>
      <c r="J234" s="22">
        <v>224</v>
      </c>
      <c r="K234" s="22">
        <v>0.67144800000000004</v>
      </c>
      <c r="L234">
        <f t="shared" si="36"/>
        <v>15.4175</v>
      </c>
      <c r="M234">
        <f t="shared" si="37"/>
        <v>10.360513747499999</v>
      </c>
      <c r="N234" s="9"/>
      <c r="O234" s="22">
        <v>1.0279799999999999</v>
      </c>
      <c r="P234" s="22">
        <v>186.255</v>
      </c>
      <c r="Q234" s="22">
        <v>-1.48071E-2</v>
      </c>
      <c r="R234" s="22">
        <v>224</v>
      </c>
      <c r="S234" s="22">
        <v>1.0269200000000001</v>
      </c>
      <c r="T234">
        <f t="shared" si="38"/>
        <v>14.8071</v>
      </c>
      <c r="U234">
        <f t="shared" si="39"/>
        <v>15.221402657999999</v>
      </c>
      <c r="X234" s="9"/>
      <c r="Y234" s="22">
        <v>0.67199699999999996</v>
      </c>
      <c r="Z234" s="22">
        <v>284.47199999999998</v>
      </c>
      <c r="AA234" s="22">
        <v>-1.7608599999999999E-2</v>
      </c>
      <c r="AB234" s="22">
        <v>224</v>
      </c>
      <c r="AC234" s="22">
        <v>0.671906</v>
      </c>
      <c r="AD234">
        <f t="shared" si="40"/>
        <v>17.608599999999999</v>
      </c>
      <c r="AE234">
        <f t="shared" si="41"/>
        <v>11.832926374199999</v>
      </c>
      <c r="AF234" s="9"/>
      <c r="AG234" s="22">
        <v>1.0279799999999999</v>
      </c>
      <c r="AH234" s="22">
        <v>360.20699999999999</v>
      </c>
      <c r="AI234" s="22">
        <v>-1.7404200000000002E-2</v>
      </c>
      <c r="AJ234" s="22">
        <v>224</v>
      </c>
      <c r="AK234" s="22">
        <v>1.02722</v>
      </c>
      <c r="AL234">
        <f t="shared" si="42"/>
        <v>17.404200000000003</v>
      </c>
      <c r="AM234">
        <f t="shared" si="43"/>
        <v>17.891169516000001</v>
      </c>
      <c r="AP234" s="9"/>
      <c r="AQ234" s="22">
        <v>0.67199699999999996</v>
      </c>
      <c r="AR234" s="22">
        <v>432.41</v>
      </c>
      <c r="AS234" s="22">
        <v>-1.8112199999999998E-2</v>
      </c>
      <c r="AT234" s="22">
        <v>224</v>
      </c>
      <c r="AU234" s="22">
        <v>0.67111200000000004</v>
      </c>
      <c r="AV234">
        <f t="shared" si="44"/>
        <v>18.112199999999998</v>
      </c>
      <c r="AW234">
        <f t="shared" si="45"/>
        <v>12.171344063399998</v>
      </c>
      <c r="AX234" s="9"/>
      <c r="AY234" s="22">
        <v>1.0279799999999999</v>
      </c>
      <c r="AZ234" s="22">
        <v>505.82400000000001</v>
      </c>
      <c r="BA234" s="22">
        <v>-1.7831400000000001E-2</v>
      </c>
      <c r="BB234" s="22">
        <v>224</v>
      </c>
      <c r="BC234" s="22">
        <v>1.02722</v>
      </c>
      <c r="BD234">
        <f t="shared" si="46"/>
        <v>17.831400000000002</v>
      </c>
      <c r="BE234">
        <f t="shared" si="47"/>
        <v>18.330322572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71.014099999999999</v>
      </c>
      <c r="I235" s="22">
        <v>-1.54205E-2</v>
      </c>
      <c r="J235" s="22">
        <v>225</v>
      </c>
      <c r="K235" s="22">
        <v>0.666412</v>
      </c>
      <c r="L235">
        <f t="shared" si="36"/>
        <v>15.420500000000001</v>
      </c>
      <c r="M235">
        <f t="shared" si="37"/>
        <v>10.284887521000002</v>
      </c>
      <c r="N235" s="9"/>
      <c r="O235" s="22">
        <v>1.03302</v>
      </c>
      <c r="P235" s="22">
        <v>186.35599999999999</v>
      </c>
      <c r="Q235" s="22">
        <v>-1.47644E-2</v>
      </c>
      <c r="R235" s="22">
        <v>225</v>
      </c>
      <c r="S235" s="22">
        <v>1.03241</v>
      </c>
      <c r="T235">
        <f t="shared" si="38"/>
        <v>14.7644</v>
      </c>
      <c r="U235">
        <f t="shared" si="39"/>
        <v>15.251920488000001</v>
      </c>
      <c r="X235" s="9"/>
      <c r="Y235" s="22">
        <v>0.66696200000000005</v>
      </c>
      <c r="Z235" s="22">
        <v>284.57299999999998</v>
      </c>
      <c r="AA235" s="22">
        <v>-1.7611700000000001E-2</v>
      </c>
      <c r="AB235" s="22">
        <v>225</v>
      </c>
      <c r="AC235" s="22">
        <v>0.66674800000000001</v>
      </c>
      <c r="AD235">
        <f t="shared" si="40"/>
        <v>17.611700000000003</v>
      </c>
      <c r="AE235">
        <f t="shared" si="41"/>
        <v>11.746334655400002</v>
      </c>
      <c r="AF235" s="9"/>
      <c r="AG235" s="22">
        <v>1.03302</v>
      </c>
      <c r="AH235" s="22">
        <v>360.30799999999999</v>
      </c>
      <c r="AI235" s="22">
        <v>-1.7404200000000002E-2</v>
      </c>
      <c r="AJ235" s="22">
        <v>225</v>
      </c>
      <c r="AK235" s="22">
        <v>1.0318000000000001</v>
      </c>
      <c r="AL235">
        <f t="shared" si="42"/>
        <v>17.404200000000003</v>
      </c>
      <c r="AM235">
        <f t="shared" si="43"/>
        <v>17.978886684000003</v>
      </c>
      <c r="AP235" s="9"/>
      <c r="AQ235" s="22">
        <v>0.66696200000000005</v>
      </c>
      <c r="AR235" s="22">
        <v>432.51100000000002</v>
      </c>
      <c r="AS235" s="22">
        <v>-1.81091E-2</v>
      </c>
      <c r="AT235" s="22">
        <v>225</v>
      </c>
      <c r="AU235" s="22">
        <v>0.66632100000000005</v>
      </c>
      <c r="AV235">
        <f t="shared" si="44"/>
        <v>18.109099999999998</v>
      </c>
      <c r="AW235">
        <f t="shared" si="45"/>
        <v>12.078081554199999</v>
      </c>
      <c r="AX235" s="9"/>
      <c r="AY235" s="22">
        <v>1.03302</v>
      </c>
      <c r="AZ235" s="22">
        <v>505.92399999999998</v>
      </c>
      <c r="BA235" s="22">
        <v>-1.7828400000000001E-2</v>
      </c>
      <c r="BB235" s="22">
        <v>225</v>
      </c>
      <c r="BC235" s="22">
        <v>1.0318000000000001</v>
      </c>
      <c r="BD235">
        <f t="shared" si="46"/>
        <v>17.828400000000002</v>
      </c>
      <c r="BE235">
        <f t="shared" si="47"/>
        <v>18.417093768000004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71.114800000000002</v>
      </c>
      <c r="I236" s="22">
        <v>-1.5417500000000001E-2</v>
      </c>
      <c r="J236" s="22">
        <v>226</v>
      </c>
      <c r="K236" s="22">
        <v>0.66143799999999997</v>
      </c>
      <c r="L236">
        <f t="shared" si="36"/>
        <v>15.4175</v>
      </c>
      <c r="M236">
        <f t="shared" si="37"/>
        <v>10.205244105</v>
      </c>
      <c r="N236" s="9"/>
      <c r="O236" s="22">
        <v>1.03806</v>
      </c>
      <c r="P236" s="22">
        <v>186.45699999999999</v>
      </c>
      <c r="Q236" s="22">
        <v>-1.4770500000000001E-2</v>
      </c>
      <c r="R236" s="22">
        <v>226</v>
      </c>
      <c r="S236" s="22">
        <v>1.03729</v>
      </c>
      <c r="T236">
        <f t="shared" si="38"/>
        <v>14.7705</v>
      </c>
      <c r="U236">
        <f t="shared" si="39"/>
        <v>15.33266523</v>
      </c>
      <c r="X236" s="9"/>
      <c r="Y236" s="22">
        <v>0.66192600000000001</v>
      </c>
      <c r="Z236" s="22">
        <v>284.673</v>
      </c>
      <c r="AA236" s="22">
        <v>-1.7608599999999999E-2</v>
      </c>
      <c r="AB236" s="22">
        <v>226</v>
      </c>
      <c r="AC236" s="22">
        <v>0.661713</v>
      </c>
      <c r="AD236">
        <f t="shared" si="40"/>
        <v>17.608599999999999</v>
      </c>
      <c r="AE236">
        <f t="shared" si="41"/>
        <v>11.655590163599999</v>
      </c>
      <c r="AF236" s="9"/>
      <c r="AG236" s="22">
        <v>1.03806</v>
      </c>
      <c r="AH236" s="22">
        <v>360.40899999999999</v>
      </c>
      <c r="AI236" s="22">
        <v>-1.7401099999999999E-2</v>
      </c>
      <c r="AJ236" s="22">
        <v>226</v>
      </c>
      <c r="AK236" s="22">
        <v>1.0369900000000001</v>
      </c>
      <c r="AL236">
        <f t="shared" si="42"/>
        <v>17.4011</v>
      </c>
      <c r="AM236">
        <f t="shared" si="43"/>
        <v>18.063385866000001</v>
      </c>
      <c r="AP236" s="9"/>
      <c r="AQ236" s="22">
        <v>0.66192600000000001</v>
      </c>
      <c r="AR236" s="22">
        <v>432.61200000000002</v>
      </c>
      <c r="AS236" s="22">
        <v>-1.81183E-2</v>
      </c>
      <c r="AT236" s="22">
        <v>226</v>
      </c>
      <c r="AU236" s="22">
        <v>0.66152999999999995</v>
      </c>
      <c r="AV236">
        <f t="shared" si="44"/>
        <v>18.118300000000001</v>
      </c>
      <c r="AW236">
        <f t="shared" si="45"/>
        <v>11.992973845800002</v>
      </c>
      <c r="AX236" s="9"/>
      <c r="AY236" s="22">
        <v>1.03806</v>
      </c>
      <c r="AZ236" s="22">
        <v>506.02499999999998</v>
      </c>
      <c r="BA236" s="22">
        <v>-1.7828400000000001E-2</v>
      </c>
      <c r="BB236" s="22">
        <v>226</v>
      </c>
      <c r="BC236" s="22">
        <v>1.0363800000000001</v>
      </c>
      <c r="BD236">
        <f t="shared" si="46"/>
        <v>17.828400000000002</v>
      </c>
      <c r="BE236">
        <f t="shared" si="47"/>
        <v>18.506948904000001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71.215500000000006</v>
      </c>
      <c r="I237" s="22">
        <v>-1.54541E-2</v>
      </c>
      <c r="J237" s="22">
        <v>227</v>
      </c>
      <c r="K237" s="22">
        <v>0.65637199999999996</v>
      </c>
      <c r="L237">
        <f t="shared" si="36"/>
        <v>15.4541</v>
      </c>
      <c r="M237">
        <f t="shared" si="37"/>
        <v>10.151659203099999</v>
      </c>
      <c r="N237" s="9"/>
      <c r="O237" s="22">
        <v>1.0430900000000001</v>
      </c>
      <c r="P237" s="22">
        <v>186.55699999999999</v>
      </c>
      <c r="Q237" s="22">
        <v>-1.47644E-2</v>
      </c>
      <c r="R237" s="22">
        <v>227</v>
      </c>
      <c r="S237" s="22">
        <v>1.0424800000000001</v>
      </c>
      <c r="T237">
        <f t="shared" si="38"/>
        <v>14.7644</v>
      </c>
      <c r="U237">
        <f t="shared" si="39"/>
        <v>15.400597996000002</v>
      </c>
      <c r="X237" s="9"/>
      <c r="Y237" s="22">
        <v>0.656891</v>
      </c>
      <c r="Z237" s="22">
        <v>284.774</v>
      </c>
      <c r="AA237" s="22">
        <v>-1.7611700000000001E-2</v>
      </c>
      <c r="AB237" s="22">
        <v>227</v>
      </c>
      <c r="AC237" s="22">
        <v>0.655914</v>
      </c>
      <c r="AD237">
        <f t="shared" si="40"/>
        <v>17.611700000000003</v>
      </c>
      <c r="AE237">
        <f t="shared" si="41"/>
        <v>11.568967224700001</v>
      </c>
      <c r="AF237" s="9"/>
      <c r="AG237" s="22">
        <v>1.0430900000000001</v>
      </c>
      <c r="AH237" s="22">
        <v>360.50900000000001</v>
      </c>
      <c r="AI237" s="22">
        <v>-1.7392000000000001E-2</v>
      </c>
      <c r="AJ237" s="22">
        <v>227</v>
      </c>
      <c r="AK237" s="22">
        <v>1.0421800000000001</v>
      </c>
      <c r="AL237">
        <f t="shared" si="42"/>
        <v>17.391999999999999</v>
      </c>
      <c r="AM237">
        <f t="shared" si="43"/>
        <v>18.141421279999999</v>
      </c>
      <c r="AP237" s="9"/>
      <c r="AQ237" s="22">
        <v>0.656891</v>
      </c>
      <c r="AR237" s="22">
        <v>432.71300000000002</v>
      </c>
      <c r="AS237" s="22">
        <v>-1.8115200000000001E-2</v>
      </c>
      <c r="AT237" s="22">
        <v>227</v>
      </c>
      <c r="AU237" s="22">
        <v>0.65615800000000002</v>
      </c>
      <c r="AV237">
        <f t="shared" si="44"/>
        <v>18.115200000000002</v>
      </c>
      <c r="AW237">
        <f t="shared" si="45"/>
        <v>11.8997118432</v>
      </c>
      <c r="AX237" s="9"/>
      <c r="AY237" s="22">
        <v>1.0430900000000001</v>
      </c>
      <c r="AZ237" s="22">
        <v>506.12599999999998</v>
      </c>
      <c r="BA237" s="22">
        <v>-1.78192E-2</v>
      </c>
      <c r="BB237" s="22">
        <v>227</v>
      </c>
      <c r="BC237" s="22">
        <v>1.0424800000000001</v>
      </c>
      <c r="BD237">
        <f t="shared" si="46"/>
        <v>17.819199999999999</v>
      </c>
      <c r="BE237">
        <f t="shared" si="47"/>
        <v>18.587029328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71.316199999999995</v>
      </c>
      <c r="I238" s="22">
        <v>-1.54541E-2</v>
      </c>
      <c r="J238" s="22">
        <v>228</v>
      </c>
      <c r="K238" s="22">
        <v>0.65127599999999997</v>
      </c>
      <c r="L238">
        <f t="shared" si="36"/>
        <v>15.4541</v>
      </c>
      <c r="M238">
        <f t="shared" si="37"/>
        <v>10.0738323555</v>
      </c>
      <c r="N238" s="9"/>
      <c r="O238" s="22">
        <v>1.04813</v>
      </c>
      <c r="P238" s="22">
        <v>186.65799999999999</v>
      </c>
      <c r="Q238" s="22">
        <v>-1.47583E-2</v>
      </c>
      <c r="R238" s="22">
        <v>228</v>
      </c>
      <c r="S238" s="22">
        <v>1.0476700000000001</v>
      </c>
      <c r="T238">
        <f t="shared" si="38"/>
        <v>14.7583</v>
      </c>
      <c r="U238">
        <f t="shared" si="39"/>
        <v>15.468616979</v>
      </c>
      <c r="X238" s="9"/>
      <c r="Y238" s="22">
        <v>0.65185499999999996</v>
      </c>
      <c r="Z238" s="22">
        <v>284.875</v>
      </c>
      <c r="AA238" s="22">
        <v>-1.7620799999999999E-2</v>
      </c>
      <c r="AB238" s="22">
        <v>228</v>
      </c>
      <c r="AC238" s="22">
        <v>0.65148899999999998</v>
      </c>
      <c r="AD238">
        <f t="shared" si="40"/>
        <v>17.620799999999999</v>
      </c>
      <c r="AE238">
        <f t="shared" si="41"/>
        <v>11.486206584</v>
      </c>
      <c r="AF238" s="9"/>
      <c r="AG238" s="22">
        <v>1.04813</v>
      </c>
      <c r="AH238" s="22">
        <v>360.61</v>
      </c>
      <c r="AI238" s="22">
        <v>-1.7395000000000001E-2</v>
      </c>
      <c r="AJ238" s="22">
        <v>228</v>
      </c>
      <c r="AK238" s="22">
        <v>1.0476700000000001</v>
      </c>
      <c r="AL238">
        <f t="shared" si="42"/>
        <v>17.395</v>
      </c>
      <c r="AM238">
        <f t="shared" si="43"/>
        <v>18.23222135</v>
      </c>
      <c r="AP238" s="9"/>
      <c r="AQ238" s="22">
        <v>0.65185499999999996</v>
      </c>
      <c r="AR238" s="22">
        <v>432.81299999999999</v>
      </c>
      <c r="AS238" s="22">
        <v>-1.81183E-2</v>
      </c>
      <c r="AT238" s="22">
        <v>228</v>
      </c>
      <c r="AU238" s="22">
        <v>0.650787</v>
      </c>
      <c r="AV238">
        <f t="shared" si="44"/>
        <v>18.118300000000001</v>
      </c>
      <c r="AW238">
        <f t="shared" si="45"/>
        <v>11.8105044465</v>
      </c>
      <c r="AX238" s="9"/>
      <c r="AY238" s="22">
        <v>1.04813</v>
      </c>
      <c r="AZ238" s="22">
        <v>506.226</v>
      </c>
      <c r="BA238" s="22">
        <v>-1.78192E-2</v>
      </c>
      <c r="BB238" s="22">
        <v>228</v>
      </c>
      <c r="BC238" s="22">
        <v>1.0473600000000001</v>
      </c>
      <c r="BD238">
        <f t="shared" si="46"/>
        <v>17.819199999999999</v>
      </c>
      <c r="BE238">
        <f t="shared" si="47"/>
        <v>18.676838095999997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71.416899999999998</v>
      </c>
      <c r="I239" s="22">
        <v>-1.54602E-2</v>
      </c>
      <c r="J239" s="22">
        <v>229</v>
      </c>
      <c r="K239" s="22">
        <v>0.64627100000000004</v>
      </c>
      <c r="L239">
        <f t="shared" si="36"/>
        <v>15.4602</v>
      </c>
      <c r="M239">
        <f t="shared" si="37"/>
        <v>9.9999665639999993</v>
      </c>
      <c r="N239" s="9"/>
      <c r="O239" s="22">
        <v>1.0531600000000001</v>
      </c>
      <c r="P239" s="22">
        <v>186.75899999999999</v>
      </c>
      <c r="Q239" s="22">
        <v>-1.47461E-2</v>
      </c>
      <c r="R239" s="22">
        <v>229</v>
      </c>
      <c r="S239" s="22">
        <v>1.0528599999999999</v>
      </c>
      <c r="T239">
        <f t="shared" si="38"/>
        <v>14.7461</v>
      </c>
      <c r="U239">
        <f t="shared" si="39"/>
        <v>15.530002676000002</v>
      </c>
      <c r="X239" s="9"/>
      <c r="Y239" s="22">
        <v>0.64681999999999995</v>
      </c>
      <c r="Z239" s="22">
        <v>284.976</v>
      </c>
      <c r="AA239" s="22">
        <v>-1.7617799999999999E-2</v>
      </c>
      <c r="AB239" s="22">
        <v>229</v>
      </c>
      <c r="AC239" s="22">
        <v>0.64666699999999999</v>
      </c>
      <c r="AD239">
        <f t="shared" si="40"/>
        <v>17.617799999999999</v>
      </c>
      <c r="AE239">
        <f t="shared" si="41"/>
        <v>11.395545395999999</v>
      </c>
      <c r="AF239" s="9"/>
      <c r="AG239" s="22">
        <v>1.0531600000000001</v>
      </c>
      <c r="AH239" s="22">
        <v>360.71100000000001</v>
      </c>
      <c r="AI239" s="22">
        <v>-1.7395000000000001E-2</v>
      </c>
      <c r="AJ239" s="22">
        <v>229</v>
      </c>
      <c r="AK239" s="22">
        <v>1.0522499999999999</v>
      </c>
      <c r="AL239">
        <f t="shared" si="42"/>
        <v>17.395</v>
      </c>
      <c r="AM239">
        <f t="shared" si="43"/>
        <v>18.319718200000001</v>
      </c>
      <c r="AP239" s="9"/>
      <c r="AQ239" s="22">
        <v>0.64681999999999995</v>
      </c>
      <c r="AR239" s="22">
        <v>432.91399999999999</v>
      </c>
      <c r="AS239" s="22">
        <v>-1.8124399999999999E-2</v>
      </c>
      <c r="AT239" s="22">
        <v>229</v>
      </c>
      <c r="AU239" s="22">
        <v>0.64624000000000004</v>
      </c>
      <c r="AV239">
        <f t="shared" si="44"/>
        <v>18.124399999999998</v>
      </c>
      <c r="AW239">
        <f t="shared" si="45"/>
        <v>11.723224407999998</v>
      </c>
      <c r="AX239" s="9"/>
      <c r="AY239" s="22">
        <v>1.0531600000000001</v>
      </c>
      <c r="AZ239" s="22">
        <v>506.327</v>
      </c>
      <c r="BA239" s="22">
        <v>-1.78192E-2</v>
      </c>
      <c r="BB239" s="22">
        <v>229</v>
      </c>
      <c r="BC239" s="22">
        <v>1.0516399999999999</v>
      </c>
      <c r="BD239">
        <f t="shared" si="46"/>
        <v>17.819199999999999</v>
      </c>
      <c r="BE239">
        <f t="shared" si="47"/>
        <v>18.766468671999998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71.517600000000002</v>
      </c>
      <c r="I240" s="22">
        <v>-1.5478499999999999E-2</v>
      </c>
      <c r="J240" s="22">
        <v>230</v>
      </c>
      <c r="K240" s="22">
        <v>0.64129599999999998</v>
      </c>
      <c r="L240">
        <f t="shared" si="36"/>
        <v>15.478499999999999</v>
      </c>
      <c r="M240">
        <f t="shared" si="37"/>
        <v>9.9338691224999991</v>
      </c>
      <c r="N240" s="9"/>
      <c r="O240" s="22">
        <v>1.0582</v>
      </c>
      <c r="P240" s="22">
        <v>186.86</v>
      </c>
      <c r="Q240" s="22">
        <v>-1.4727799999999999E-2</v>
      </c>
      <c r="R240" s="22">
        <v>230</v>
      </c>
      <c r="S240" s="22">
        <v>1.0574300000000001</v>
      </c>
      <c r="T240">
        <f t="shared" si="38"/>
        <v>14.727799999999998</v>
      </c>
      <c r="U240">
        <f t="shared" si="39"/>
        <v>15.584957959999999</v>
      </c>
      <c r="X240" s="9"/>
      <c r="Y240" s="22">
        <v>0.64178500000000005</v>
      </c>
      <c r="Z240" s="22">
        <v>285.07600000000002</v>
      </c>
      <c r="AA240" s="22">
        <v>-1.7617799999999999E-2</v>
      </c>
      <c r="AB240" s="22">
        <v>230</v>
      </c>
      <c r="AC240" s="22">
        <v>0.641235</v>
      </c>
      <c r="AD240">
        <f t="shared" si="40"/>
        <v>17.617799999999999</v>
      </c>
      <c r="AE240">
        <f t="shared" si="41"/>
        <v>11.306839773</v>
      </c>
      <c r="AF240" s="9"/>
      <c r="AG240" s="22">
        <v>1.0582</v>
      </c>
      <c r="AH240" s="22">
        <v>360.81099999999998</v>
      </c>
      <c r="AI240" s="22">
        <v>-1.7395000000000001E-2</v>
      </c>
      <c r="AJ240" s="22">
        <v>230</v>
      </c>
      <c r="AK240" s="22">
        <v>1.0577399999999999</v>
      </c>
      <c r="AL240">
        <f t="shared" si="42"/>
        <v>17.395</v>
      </c>
      <c r="AM240">
        <f t="shared" si="43"/>
        <v>18.407388999999998</v>
      </c>
      <c r="AP240" s="9"/>
      <c r="AQ240" s="22">
        <v>0.64178500000000005</v>
      </c>
      <c r="AR240" s="22">
        <v>433.01499999999999</v>
      </c>
      <c r="AS240" s="22">
        <v>-1.8124399999999999E-2</v>
      </c>
      <c r="AT240" s="22">
        <v>230</v>
      </c>
      <c r="AU240" s="22">
        <v>0.64086900000000002</v>
      </c>
      <c r="AV240">
        <f t="shared" si="44"/>
        <v>18.124399999999998</v>
      </c>
      <c r="AW240">
        <f t="shared" si="45"/>
        <v>11.631968054</v>
      </c>
      <c r="AX240" s="9"/>
      <c r="AY240" s="22">
        <v>1.0582</v>
      </c>
      <c r="AZ240" s="22">
        <v>506.428</v>
      </c>
      <c r="BA240" s="22">
        <v>-1.78192E-2</v>
      </c>
      <c r="BB240" s="22">
        <v>230</v>
      </c>
      <c r="BC240" s="22">
        <v>1.0574300000000001</v>
      </c>
      <c r="BD240">
        <f t="shared" si="46"/>
        <v>17.819199999999999</v>
      </c>
      <c r="BE240">
        <f t="shared" si="47"/>
        <v>18.85627744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71.618300000000005</v>
      </c>
      <c r="I241" s="22">
        <v>-1.5484599999999999E-2</v>
      </c>
      <c r="J241" s="22">
        <v>231</v>
      </c>
      <c r="K241" s="22">
        <v>0.63613900000000001</v>
      </c>
      <c r="L241">
        <f t="shared" si="36"/>
        <v>15.484599999999999</v>
      </c>
      <c r="M241">
        <f t="shared" si="37"/>
        <v>9.8598035654</v>
      </c>
      <c r="N241" s="9"/>
      <c r="O241" s="22">
        <v>1.0632299999999999</v>
      </c>
      <c r="P241" s="22">
        <v>186.96</v>
      </c>
      <c r="Q241" s="22">
        <v>-1.4733899999999999E-2</v>
      </c>
      <c r="R241" s="22">
        <v>231</v>
      </c>
      <c r="S241" s="22">
        <v>1.0626199999999999</v>
      </c>
      <c r="T241">
        <f t="shared" si="38"/>
        <v>14.7339</v>
      </c>
      <c r="U241">
        <f t="shared" si="39"/>
        <v>15.665524496999998</v>
      </c>
      <c r="X241" s="9"/>
      <c r="Y241" s="22">
        <v>0.63674900000000001</v>
      </c>
      <c r="Z241" s="22">
        <v>285.17700000000002</v>
      </c>
      <c r="AA241" s="22">
        <v>-1.7617799999999999E-2</v>
      </c>
      <c r="AB241" s="22">
        <v>231</v>
      </c>
      <c r="AC241" s="22">
        <v>0.63604700000000003</v>
      </c>
      <c r="AD241">
        <f t="shared" si="40"/>
        <v>17.617799999999999</v>
      </c>
      <c r="AE241">
        <f t="shared" si="41"/>
        <v>11.2181165322</v>
      </c>
      <c r="AF241" s="9"/>
      <c r="AG241" s="22">
        <v>1.0632299999999999</v>
      </c>
      <c r="AH241" s="22">
        <v>360.91199999999998</v>
      </c>
      <c r="AI241" s="22">
        <v>-1.7388899999999999E-2</v>
      </c>
      <c r="AJ241" s="22">
        <v>231</v>
      </c>
      <c r="AK241" s="22">
        <v>1.0626199999999999</v>
      </c>
      <c r="AL241">
        <f t="shared" si="42"/>
        <v>17.3889</v>
      </c>
      <c r="AM241">
        <f t="shared" si="43"/>
        <v>18.488400146999997</v>
      </c>
      <c r="AP241" s="9"/>
      <c r="AQ241" s="22">
        <v>0.63674900000000001</v>
      </c>
      <c r="AR241" s="22">
        <v>433.11500000000001</v>
      </c>
      <c r="AS241" s="22">
        <v>-1.8127399999999998E-2</v>
      </c>
      <c r="AT241" s="22">
        <v>231</v>
      </c>
      <c r="AU241" s="22">
        <v>0.63656599999999997</v>
      </c>
      <c r="AV241">
        <f t="shared" si="44"/>
        <v>18.127399999999998</v>
      </c>
      <c r="AW241">
        <f t="shared" si="45"/>
        <v>11.542603822599999</v>
      </c>
      <c r="AX241" s="9"/>
      <c r="AY241" s="22">
        <v>1.0632299999999999</v>
      </c>
      <c r="AZ241" s="22">
        <v>506.529</v>
      </c>
      <c r="BA241" s="22">
        <v>-1.7813099999999998E-2</v>
      </c>
      <c r="BB241" s="22">
        <v>231</v>
      </c>
      <c r="BC241" s="22">
        <v>1.0623199999999999</v>
      </c>
      <c r="BD241">
        <f t="shared" si="46"/>
        <v>17.813099999999999</v>
      </c>
      <c r="BE241">
        <f t="shared" si="47"/>
        <v>18.939422312999998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71.718999999999994</v>
      </c>
      <c r="I242" s="22">
        <v>-1.54907E-2</v>
      </c>
      <c r="J242" s="22">
        <v>232</v>
      </c>
      <c r="K242" s="22">
        <v>0.63113399999999997</v>
      </c>
      <c r="L242">
        <f t="shared" si="36"/>
        <v>15.4907</v>
      </c>
      <c r="M242">
        <f t="shared" si="37"/>
        <v>9.7856920598000006</v>
      </c>
      <c r="N242" s="9"/>
      <c r="O242" s="22">
        <v>1.0682700000000001</v>
      </c>
      <c r="P242" s="22">
        <v>187.06100000000001</v>
      </c>
      <c r="Q242" s="22">
        <v>-1.4736900000000001E-2</v>
      </c>
      <c r="R242" s="22">
        <v>232</v>
      </c>
      <c r="S242" s="22">
        <v>1.0671999999999999</v>
      </c>
      <c r="T242">
        <f t="shared" si="38"/>
        <v>14.7369</v>
      </c>
      <c r="U242">
        <f t="shared" si="39"/>
        <v>15.742988163000001</v>
      </c>
      <c r="X242" s="9"/>
      <c r="Y242" s="22">
        <v>0.631714</v>
      </c>
      <c r="Z242" s="22">
        <v>285.27800000000002</v>
      </c>
      <c r="AA242" s="22">
        <v>-1.7623900000000001E-2</v>
      </c>
      <c r="AB242" s="22">
        <v>232</v>
      </c>
      <c r="AC242" s="22">
        <v>0.631104</v>
      </c>
      <c r="AD242">
        <f t="shared" si="40"/>
        <v>17.623900000000003</v>
      </c>
      <c r="AE242">
        <f t="shared" si="41"/>
        <v>11.133264364600002</v>
      </c>
      <c r="AF242" s="9"/>
      <c r="AG242" s="22">
        <v>1.0682700000000001</v>
      </c>
      <c r="AH242" s="22">
        <v>361.01299999999998</v>
      </c>
      <c r="AI242" s="22">
        <v>-1.7392000000000001E-2</v>
      </c>
      <c r="AJ242" s="22">
        <v>232</v>
      </c>
      <c r="AK242" s="22">
        <v>1.0674999999999999</v>
      </c>
      <c r="AL242">
        <f t="shared" si="42"/>
        <v>17.391999999999999</v>
      </c>
      <c r="AM242">
        <f t="shared" si="43"/>
        <v>18.579351840000001</v>
      </c>
      <c r="AP242" s="9"/>
      <c r="AQ242" s="22">
        <v>0.631714</v>
      </c>
      <c r="AR242" s="22">
        <v>433.21600000000001</v>
      </c>
      <c r="AS242" s="22">
        <v>-1.81335E-2</v>
      </c>
      <c r="AT242" s="22">
        <v>232</v>
      </c>
      <c r="AU242" s="22">
        <v>0.63104199999999999</v>
      </c>
      <c r="AV242">
        <f t="shared" si="44"/>
        <v>18.133500000000002</v>
      </c>
      <c r="AW242">
        <f t="shared" si="45"/>
        <v>11.455185819</v>
      </c>
      <c r="AX242" s="9"/>
      <c r="AY242" s="22">
        <v>1.0682700000000001</v>
      </c>
      <c r="AZ242" s="22">
        <v>506.62900000000002</v>
      </c>
      <c r="BA242" s="22">
        <v>-1.7804E-2</v>
      </c>
      <c r="BB242" s="22">
        <v>232</v>
      </c>
      <c r="BC242" s="22">
        <v>1.0671999999999999</v>
      </c>
      <c r="BD242">
        <f t="shared" si="46"/>
        <v>17.804000000000002</v>
      </c>
      <c r="BE242">
        <f t="shared" si="47"/>
        <v>19.019479080000004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71.819699999999997</v>
      </c>
      <c r="I243" s="22">
        <v>-1.54968E-2</v>
      </c>
      <c r="J243" s="22">
        <v>233</v>
      </c>
      <c r="K243" s="22">
        <v>0.62606799999999996</v>
      </c>
      <c r="L243">
        <f t="shared" si="36"/>
        <v>15.4968</v>
      </c>
      <c r="M243">
        <f t="shared" si="37"/>
        <v>9.7115036303999993</v>
      </c>
      <c r="N243" s="9"/>
      <c r="O243" s="22">
        <v>1.0732999999999999</v>
      </c>
      <c r="P243" s="22">
        <v>187.16200000000001</v>
      </c>
      <c r="Q243" s="22">
        <v>-1.4742999999999999E-2</v>
      </c>
      <c r="R243" s="22">
        <v>233</v>
      </c>
      <c r="S243" s="22">
        <v>1.0726899999999999</v>
      </c>
      <c r="T243">
        <f t="shared" si="38"/>
        <v>14.742999999999999</v>
      </c>
      <c r="U243">
        <f t="shared" si="39"/>
        <v>15.823661899999998</v>
      </c>
      <c r="X243" s="9"/>
      <c r="Y243" s="22">
        <v>0.62667799999999996</v>
      </c>
      <c r="Z243" s="22">
        <v>285.37799999999999</v>
      </c>
      <c r="AA243" s="22">
        <v>-1.7617799999999999E-2</v>
      </c>
      <c r="AB243" s="22">
        <v>233</v>
      </c>
      <c r="AC243" s="22">
        <v>0.62603799999999998</v>
      </c>
      <c r="AD243">
        <f t="shared" si="40"/>
        <v>17.617799999999999</v>
      </c>
      <c r="AE243">
        <f t="shared" si="41"/>
        <v>11.040687668399999</v>
      </c>
      <c r="AF243" s="9"/>
      <c r="AG243" s="22">
        <v>1.0732999999999999</v>
      </c>
      <c r="AH243" s="22">
        <v>361.11399999999998</v>
      </c>
      <c r="AI243" s="22">
        <v>-1.7388899999999999E-2</v>
      </c>
      <c r="AJ243" s="22">
        <v>233</v>
      </c>
      <c r="AK243" s="22">
        <v>1.0720799999999999</v>
      </c>
      <c r="AL243">
        <f t="shared" si="42"/>
        <v>17.3889</v>
      </c>
      <c r="AM243">
        <f t="shared" si="43"/>
        <v>18.663506369999997</v>
      </c>
      <c r="AP243" s="9"/>
      <c r="AQ243" s="22">
        <v>0.62667799999999996</v>
      </c>
      <c r="AR243" s="22">
        <v>433.31700000000001</v>
      </c>
      <c r="AS243" s="22">
        <v>-1.8136599999999999E-2</v>
      </c>
      <c r="AT243" s="22">
        <v>233</v>
      </c>
      <c r="AU243" s="22">
        <v>0.62637299999999996</v>
      </c>
      <c r="AV243">
        <f t="shared" si="44"/>
        <v>18.136599999999998</v>
      </c>
      <c r="AW243">
        <f t="shared" si="45"/>
        <v>11.365808214799998</v>
      </c>
      <c r="AX243" s="9"/>
      <c r="AY243" s="22">
        <v>1.0732999999999999</v>
      </c>
      <c r="AZ243" s="22">
        <v>506.73</v>
      </c>
      <c r="BA243" s="22">
        <v>-1.7800900000000001E-2</v>
      </c>
      <c r="BB243" s="22">
        <v>233</v>
      </c>
      <c r="BC243" s="22">
        <v>1.0726899999999999</v>
      </c>
      <c r="BD243">
        <f t="shared" si="46"/>
        <v>17.800900000000002</v>
      </c>
      <c r="BE243">
        <f t="shared" si="47"/>
        <v>19.105705970000002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71.920400000000001</v>
      </c>
      <c r="I244" s="22">
        <v>-1.5509E-2</v>
      </c>
      <c r="J244" s="22">
        <v>234</v>
      </c>
      <c r="K244" s="22">
        <v>0.62109400000000003</v>
      </c>
      <c r="L244">
        <f t="shared" si="36"/>
        <v>15.509</v>
      </c>
      <c r="M244">
        <f t="shared" si="37"/>
        <v>9.6410612869999994</v>
      </c>
      <c r="N244" s="9"/>
      <c r="O244" s="22">
        <v>1.0783400000000001</v>
      </c>
      <c r="P244" s="22">
        <v>187.262</v>
      </c>
      <c r="Q244" s="22">
        <v>-1.47125E-2</v>
      </c>
      <c r="R244" s="22">
        <v>234</v>
      </c>
      <c r="S244" s="22">
        <v>1.07758</v>
      </c>
      <c r="T244">
        <f t="shared" si="38"/>
        <v>14.7125</v>
      </c>
      <c r="U244">
        <f t="shared" si="39"/>
        <v>15.865077250000002</v>
      </c>
      <c r="X244" s="9"/>
      <c r="Y244" s="22">
        <v>0.62164299999999995</v>
      </c>
      <c r="Z244" s="22">
        <v>285.47899999999998</v>
      </c>
      <c r="AA244" s="22">
        <v>-1.7617799999999999E-2</v>
      </c>
      <c r="AB244" s="22">
        <v>234</v>
      </c>
      <c r="AC244" s="22">
        <v>0.62197899999999995</v>
      </c>
      <c r="AD244">
        <f t="shared" si="40"/>
        <v>17.617799999999999</v>
      </c>
      <c r="AE244">
        <f t="shared" si="41"/>
        <v>10.951982045399998</v>
      </c>
      <c r="AF244" s="9"/>
      <c r="AG244" s="22">
        <v>1.0783400000000001</v>
      </c>
      <c r="AH244" s="22">
        <v>361.214</v>
      </c>
      <c r="AI244" s="22">
        <v>-1.7385899999999999E-2</v>
      </c>
      <c r="AJ244" s="22">
        <v>234</v>
      </c>
      <c r="AK244" s="22">
        <v>1.0778799999999999</v>
      </c>
      <c r="AL244">
        <f t="shared" si="42"/>
        <v>17.385899999999999</v>
      </c>
      <c r="AM244">
        <f t="shared" si="43"/>
        <v>18.747911406</v>
      </c>
      <c r="AP244" s="9"/>
      <c r="AQ244" s="22">
        <v>0.62164299999999995</v>
      </c>
      <c r="AR244" s="22">
        <v>433.41699999999997</v>
      </c>
      <c r="AS244" s="22">
        <v>-1.81335E-2</v>
      </c>
      <c r="AT244" s="22">
        <v>234</v>
      </c>
      <c r="AU244" s="22">
        <v>0.62112400000000001</v>
      </c>
      <c r="AV244">
        <f t="shared" si="44"/>
        <v>18.133500000000002</v>
      </c>
      <c r="AW244">
        <f t="shared" si="45"/>
        <v>11.2725633405</v>
      </c>
      <c r="AX244" s="9"/>
      <c r="AY244" s="22">
        <v>1.0783400000000001</v>
      </c>
      <c r="AZ244" s="22">
        <v>506.83100000000002</v>
      </c>
      <c r="BA244" s="22">
        <v>-1.7800900000000001E-2</v>
      </c>
      <c r="BB244" s="22">
        <v>234</v>
      </c>
      <c r="BC244" s="22">
        <v>1.0772699999999999</v>
      </c>
      <c r="BD244">
        <f t="shared" si="46"/>
        <v>17.800900000000002</v>
      </c>
      <c r="BE244">
        <f t="shared" si="47"/>
        <v>19.195422506000003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72.021100000000004</v>
      </c>
      <c r="I245" s="22">
        <v>-1.5506000000000001E-2</v>
      </c>
      <c r="J245" s="22">
        <v>235</v>
      </c>
      <c r="K245" s="22">
        <v>0.616089</v>
      </c>
      <c r="L245">
        <f t="shared" si="36"/>
        <v>15.506</v>
      </c>
      <c r="M245">
        <f t="shared" si="37"/>
        <v>9.5611236480000006</v>
      </c>
      <c r="N245" s="9"/>
      <c r="O245" s="22">
        <v>1.0833699999999999</v>
      </c>
      <c r="P245" s="22">
        <v>187.363</v>
      </c>
      <c r="Q245" s="22">
        <v>-1.4700299999999999E-2</v>
      </c>
      <c r="R245" s="22">
        <v>235</v>
      </c>
      <c r="S245" s="22">
        <v>1.08246</v>
      </c>
      <c r="T245">
        <f t="shared" si="38"/>
        <v>14.700299999999999</v>
      </c>
      <c r="U245">
        <f t="shared" si="39"/>
        <v>15.925864010999998</v>
      </c>
      <c r="X245" s="9"/>
      <c r="Y245" s="22">
        <v>0.61660800000000004</v>
      </c>
      <c r="Z245" s="22">
        <v>285.58</v>
      </c>
      <c r="AA245" s="22">
        <v>-1.7617799999999999E-2</v>
      </c>
      <c r="AB245" s="22">
        <v>235</v>
      </c>
      <c r="AC245" s="22">
        <v>0.61611899999999997</v>
      </c>
      <c r="AD245">
        <f t="shared" si="40"/>
        <v>17.617799999999999</v>
      </c>
      <c r="AE245">
        <f t="shared" si="41"/>
        <v>10.8632764224</v>
      </c>
      <c r="AF245" s="9"/>
      <c r="AG245" s="22">
        <v>1.0833699999999999</v>
      </c>
      <c r="AH245" s="22">
        <v>361.315</v>
      </c>
      <c r="AI245" s="22">
        <v>-1.7388899999999999E-2</v>
      </c>
      <c r="AJ245" s="22">
        <v>235</v>
      </c>
      <c r="AK245" s="22">
        <v>1.0827599999999999</v>
      </c>
      <c r="AL245">
        <f t="shared" si="42"/>
        <v>17.3889</v>
      </c>
      <c r="AM245">
        <f t="shared" si="43"/>
        <v>18.838612592999997</v>
      </c>
      <c r="AP245" s="9"/>
      <c r="AQ245" s="22">
        <v>0.61660800000000004</v>
      </c>
      <c r="AR245" s="22">
        <v>433.51799999999997</v>
      </c>
      <c r="AS245" s="22">
        <v>-1.8136599999999999E-2</v>
      </c>
      <c r="AT245" s="22">
        <v>235</v>
      </c>
      <c r="AU245" s="22">
        <v>0.61526499999999995</v>
      </c>
      <c r="AV245">
        <f t="shared" si="44"/>
        <v>18.136599999999998</v>
      </c>
      <c r="AW245">
        <f t="shared" si="45"/>
        <v>11.1831726528</v>
      </c>
      <c r="AX245" s="9"/>
      <c r="AY245" s="22">
        <v>1.0833699999999999</v>
      </c>
      <c r="AZ245" s="22">
        <v>506.93099999999998</v>
      </c>
      <c r="BA245" s="22">
        <v>-1.7797899999999998E-2</v>
      </c>
      <c r="BB245" s="22">
        <v>235</v>
      </c>
      <c r="BC245" s="22">
        <v>1.0827599999999999</v>
      </c>
      <c r="BD245">
        <f t="shared" si="46"/>
        <v>17.797899999999998</v>
      </c>
      <c r="BE245">
        <f t="shared" si="47"/>
        <v>19.281710922999999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72.121799999999993</v>
      </c>
      <c r="I246" s="22">
        <v>-1.55151E-2</v>
      </c>
      <c r="J246" s="22">
        <v>236</v>
      </c>
      <c r="K246" s="22">
        <v>0.61111499999999996</v>
      </c>
      <c r="L246">
        <f t="shared" si="36"/>
        <v>15.5151</v>
      </c>
      <c r="M246">
        <f t="shared" si="37"/>
        <v>9.4886007372000005</v>
      </c>
      <c r="N246" s="9"/>
      <c r="O246" s="22">
        <v>1.0884100000000001</v>
      </c>
      <c r="P246" s="22">
        <v>187.464</v>
      </c>
      <c r="Q246" s="22">
        <v>-1.46759E-2</v>
      </c>
      <c r="R246" s="22">
        <v>236</v>
      </c>
      <c r="S246" s="22">
        <v>1.08765</v>
      </c>
      <c r="T246">
        <f t="shared" si="38"/>
        <v>14.6759</v>
      </c>
      <c r="U246">
        <f t="shared" si="39"/>
        <v>15.973396319000003</v>
      </c>
      <c r="X246" s="9"/>
      <c r="Y246" s="22">
        <v>0.611572</v>
      </c>
      <c r="Z246" s="22">
        <v>285.68</v>
      </c>
      <c r="AA246" s="22">
        <v>-1.7620799999999999E-2</v>
      </c>
      <c r="AB246" s="22">
        <v>236</v>
      </c>
      <c r="AC246" s="22">
        <v>0.61071799999999998</v>
      </c>
      <c r="AD246">
        <f t="shared" si="40"/>
        <v>17.620799999999999</v>
      </c>
      <c r="AE246">
        <f t="shared" si="41"/>
        <v>10.776387897599999</v>
      </c>
      <c r="AF246" s="9"/>
      <c r="AG246" s="22">
        <v>1.0884100000000001</v>
      </c>
      <c r="AH246" s="22">
        <v>361.416</v>
      </c>
      <c r="AI246" s="22">
        <v>-1.7388899999999999E-2</v>
      </c>
      <c r="AJ246" s="22">
        <v>236</v>
      </c>
      <c r="AK246" s="22">
        <v>1.08795</v>
      </c>
      <c r="AL246">
        <f t="shared" si="42"/>
        <v>17.3889</v>
      </c>
      <c r="AM246">
        <f t="shared" si="43"/>
        <v>18.926252649000002</v>
      </c>
      <c r="AP246" s="9"/>
      <c r="AQ246" s="22">
        <v>0.611572</v>
      </c>
      <c r="AR246" s="22">
        <v>433.61900000000003</v>
      </c>
      <c r="AS246" s="22">
        <v>-1.8136599999999999E-2</v>
      </c>
      <c r="AT246" s="22">
        <v>236</v>
      </c>
      <c r="AU246" s="22">
        <v>0.61138899999999996</v>
      </c>
      <c r="AV246">
        <f t="shared" si="44"/>
        <v>18.136599999999998</v>
      </c>
      <c r="AW246">
        <f t="shared" si="45"/>
        <v>11.091836735199999</v>
      </c>
      <c r="AX246" s="9"/>
      <c r="AY246" s="22">
        <v>1.0884100000000001</v>
      </c>
      <c r="AZ246" s="22">
        <v>507.03199999999998</v>
      </c>
      <c r="BA246" s="22">
        <v>-1.77948E-2</v>
      </c>
      <c r="BB246" s="22">
        <v>236</v>
      </c>
      <c r="BC246" s="22">
        <v>1.08734</v>
      </c>
      <c r="BD246">
        <f t="shared" si="46"/>
        <v>17.794799999999999</v>
      </c>
      <c r="BE246">
        <f t="shared" si="47"/>
        <v>19.368038267999999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72.2226</v>
      </c>
      <c r="I247" s="22">
        <v>-1.55029E-2</v>
      </c>
      <c r="J247" s="22">
        <v>237</v>
      </c>
      <c r="K247" s="22">
        <v>0.60592699999999999</v>
      </c>
      <c r="L247">
        <f t="shared" si="36"/>
        <v>15.5029</v>
      </c>
      <c r="M247">
        <f t="shared" si="37"/>
        <v>9.4030824573</v>
      </c>
      <c r="N247" s="9"/>
      <c r="O247" s="22">
        <v>1.09344</v>
      </c>
      <c r="P247" s="22">
        <v>187.565</v>
      </c>
      <c r="Q247" s="22">
        <v>-1.46698E-2</v>
      </c>
      <c r="R247" s="22">
        <v>237</v>
      </c>
      <c r="S247" s="22">
        <v>1.09283</v>
      </c>
      <c r="T247">
        <f t="shared" si="38"/>
        <v>14.6698</v>
      </c>
      <c r="U247">
        <f t="shared" si="39"/>
        <v>16.040546112000001</v>
      </c>
      <c r="X247" s="9"/>
      <c r="Y247" s="22">
        <v>0.60653699999999999</v>
      </c>
      <c r="Z247" s="22">
        <v>285.78100000000001</v>
      </c>
      <c r="AA247" s="22">
        <v>-1.7627E-2</v>
      </c>
      <c r="AB247" s="22">
        <v>237</v>
      </c>
      <c r="AC247" s="22">
        <v>0.60562099999999996</v>
      </c>
      <c r="AD247">
        <f t="shared" si="40"/>
        <v>17.626999999999999</v>
      </c>
      <c r="AE247">
        <f t="shared" si="41"/>
        <v>10.691427698999998</v>
      </c>
      <c r="AF247" s="9"/>
      <c r="AG247" s="22">
        <v>1.09344</v>
      </c>
      <c r="AH247" s="22">
        <v>361.51600000000002</v>
      </c>
      <c r="AI247" s="22">
        <v>-1.73828E-2</v>
      </c>
      <c r="AJ247" s="22">
        <v>237</v>
      </c>
      <c r="AK247" s="22">
        <v>1.09253</v>
      </c>
      <c r="AL247">
        <f t="shared" si="42"/>
        <v>17.3828</v>
      </c>
      <c r="AM247">
        <f t="shared" si="43"/>
        <v>19.007048831999999</v>
      </c>
      <c r="AP247" s="9"/>
      <c r="AQ247" s="22">
        <v>0.60653699999999999</v>
      </c>
      <c r="AR247" s="22">
        <v>433.72</v>
      </c>
      <c r="AS247" s="22">
        <v>-1.8139599999999999E-2</v>
      </c>
      <c r="AT247" s="22">
        <v>237</v>
      </c>
      <c r="AU247" s="22">
        <v>0.60586499999999999</v>
      </c>
      <c r="AV247">
        <f t="shared" si="44"/>
        <v>18.139599999999998</v>
      </c>
      <c r="AW247">
        <f t="shared" si="45"/>
        <v>11.002338565199999</v>
      </c>
      <c r="AX247" s="9"/>
      <c r="AY247" s="22">
        <v>1.09344</v>
      </c>
      <c r="AZ247" s="22">
        <v>507.13299999999998</v>
      </c>
      <c r="BA247" s="22">
        <v>-1.7788700000000001E-2</v>
      </c>
      <c r="BB247" s="22">
        <v>237</v>
      </c>
      <c r="BC247" s="22">
        <v>1.09253</v>
      </c>
      <c r="BD247">
        <f t="shared" si="46"/>
        <v>17.788700000000002</v>
      </c>
      <c r="BE247">
        <f t="shared" si="47"/>
        <v>19.450876128000001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72.323300000000003</v>
      </c>
      <c r="I248" s="22">
        <v>-1.5506000000000001E-2</v>
      </c>
      <c r="J248" s="22">
        <v>238</v>
      </c>
      <c r="K248" s="22">
        <v>0.60092199999999996</v>
      </c>
      <c r="L248">
        <f t="shared" si="36"/>
        <v>15.506</v>
      </c>
      <c r="M248">
        <f t="shared" si="37"/>
        <v>9.3268745059999993</v>
      </c>
      <c r="N248" s="9"/>
      <c r="O248" s="22">
        <v>1.0984799999999999</v>
      </c>
      <c r="P248" s="22">
        <v>187.66499999999999</v>
      </c>
      <c r="Q248" s="22">
        <v>-1.46301E-2</v>
      </c>
      <c r="R248" s="22">
        <v>238</v>
      </c>
      <c r="S248" s="22">
        <v>1.09802</v>
      </c>
      <c r="T248">
        <f t="shared" si="38"/>
        <v>14.630100000000001</v>
      </c>
      <c r="U248">
        <f t="shared" si="39"/>
        <v>16.070872248000001</v>
      </c>
      <c r="X248" s="9"/>
      <c r="Y248" s="22">
        <v>0.60150099999999995</v>
      </c>
      <c r="Z248" s="22">
        <v>285.88200000000001</v>
      </c>
      <c r="AA248" s="22">
        <v>-1.7627E-2</v>
      </c>
      <c r="AB248" s="22">
        <v>238</v>
      </c>
      <c r="AC248" s="22">
        <v>0.60086099999999998</v>
      </c>
      <c r="AD248">
        <f t="shared" si="40"/>
        <v>17.626999999999999</v>
      </c>
      <c r="AE248">
        <f t="shared" si="41"/>
        <v>10.602658126999998</v>
      </c>
      <c r="AF248" s="9"/>
      <c r="AG248" s="22">
        <v>1.0984799999999999</v>
      </c>
      <c r="AH248" s="22">
        <v>361.61700000000002</v>
      </c>
      <c r="AI248" s="22">
        <v>-1.7388899999999999E-2</v>
      </c>
      <c r="AJ248" s="22">
        <v>238</v>
      </c>
      <c r="AK248" s="22">
        <v>1.09711</v>
      </c>
      <c r="AL248">
        <f t="shared" si="42"/>
        <v>17.3889</v>
      </c>
      <c r="AM248">
        <f t="shared" si="43"/>
        <v>19.101358871999999</v>
      </c>
      <c r="AP248" s="9"/>
      <c r="AQ248" s="22">
        <v>0.60150099999999995</v>
      </c>
      <c r="AR248" s="22">
        <v>433.82</v>
      </c>
      <c r="AS248" s="22">
        <v>-1.8130500000000001E-2</v>
      </c>
      <c r="AT248" s="22">
        <v>238</v>
      </c>
      <c r="AU248" s="22">
        <v>0.60101300000000002</v>
      </c>
      <c r="AV248">
        <f t="shared" si="44"/>
        <v>18.130500000000001</v>
      </c>
      <c r="AW248">
        <f t="shared" si="45"/>
        <v>10.905513880499999</v>
      </c>
      <c r="AX248" s="9"/>
      <c r="AY248" s="22">
        <v>1.0984799999999999</v>
      </c>
      <c r="AZ248" s="22">
        <v>507.233</v>
      </c>
      <c r="BA248" s="22">
        <v>-1.7785599999999999E-2</v>
      </c>
      <c r="BB248" s="22">
        <v>238</v>
      </c>
      <c r="BC248" s="22">
        <v>1.09772</v>
      </c>
      <c r="BD248">
        <f t="shared" si="46"/>
        <v>17.785599999999999</v>
      </c>
      <c r="BE248">
        <f t="shared" si="47"/>
        <v>19.537125887999998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72.424000000000007</v>
      </c>
      <c r="I249" s="22">
        <v>-1.55243E-2</v>
      </c>
      <c r="J249" s="22">
        <v>239</v>
      </c>
      <c r="K249" s="22">
        <v>0.59591700000000003</v>
      </c>
      <c r="L249">
        <f t="shared" si="36"/>
        <v>15.5243</v>
      </c>
      <c r="M249">
        <f t="shared" si="37"/>
        <v>9.2597171238000016</v>
      </c>
      <c r="N249" s="9"/>
      <c r="O249" s="22">
        <v>1.1035200000000001</v>
      </c>
      <c r="P249" s="22">
        <v>187.76599999999999</v>
      </c>
      <c r="Q249" s="22">
        <v>-1.4633200000000001E-2</v>
      </c>
      <c r="R249" s="22">
        <v>239</v>
      </c>
      <c r="S249" s="22">
        <v>1.1026</v>
      </c>
      <c r="T249">
        <f t="shared" si="38"/>
        <v>14.6332</v>
      </c>
      <c r="U249">
        <f t="shared" si="39"/>
        <v>16.148028864</v>
      </c>
      <c r="X249" s="9"/>
      <c r="Y249" s="22">
        <v>0.59646600000000005</v>
      </c>
      <c r="Z249" s="22">
        <v>285.983</v>
      </c>
      <c r="AA249" s="22">
        <v>-1.7623900000000001E-2</v>
      </c>
      <c r="AB249" s="22">
        <v>239</v>
      </c>
      <c r="AC249" s="22">
        <v>0.59576399999999996</v>
      </c>
      <c r="AD249">
        <f t="shared" si="40"/>
        <v>17.623900000000003</v>
      </c>
      <c r="AE249">
        <f t="shared" si="41"/>
        <v>10.512057137400003</v>
      </c>
      <c r="AF249" s="9"/>
      <c r="AG249" s="22">
        <v>1.1035200000000001</v>
      </c>
      <c r="AH249" s="22">
        <v>361.71800000000002</v>
      </c>
      <c r="AI249" s="22">
        <v>-1.7388899999999999E-2</v>
      </c>
      <c r="AJ249" s="22">
        <v>239</v>
      </c>
      <c r="AK249" s="22">
        <v>1.10321</v>
      </c>
      <c r="AL249">
        <f t="shared" si="42"/>
        <v>17.3889</v>
      </c>
      <c r="AM249">
        <f t="shared" si="43"/>
        <v>19.188998928</v>
      </c>
      <c r="AP249" s="9"/>
      <c r="AQ249" s="22">
        <v>0.59646600000000005</v>
      </c>
      <c r="AR249" s="22">
        <v>433.92099999999999</v>
      </c>
      <c r="AS249" s="22">
        <v>-1.8139599999999999E-2</v>
      </c>
      <c r="AT249" s="22">
        <v>239</v>
      </c>
      <c r="AU249" s="22">
        <v>0.595642</v>
      </c>
      <c r="AV249">
        <f t="shared" si="44"/>
        <v>18.139599999999998</v>
      </c>
      <c r="AW249">
        <f t="shared" si="45"/>
        <v>10.819654653599999</v>
      </c>
      <c r="AX249" s="9"/>
      <c r="AY249" s="22">
        <v>1.1035200000000001</v>
      </c>
      <c r="AZ249" s="22">
        <v>507.334</v>
      </c>
      <c r="BA249" s="22">
        <v>-1.7791700000000001E-2</v>
      </c>
      <c r="BB249" s="22">
        <v>239</v>
      </c>
      <c r="BC249" s="22">
        <v>1.1026</v>
      </c>
      <c r="BD249">
        <f t="shared" si="46"/>
        <v>17.791700000000002</v>
      </c>
      <c r="BE249">
        <f t="shared" si="47"/>
        <v>19.633496784000002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72.524699999999996</v>
      </c>
      <c r="I250" s="22">
        <v>-1.55304E-2</v>
      </c>
      <c r="J250" s="22">
        <v>240</v>
      </c>
      <c r="K250" s="22">
        <v>0.59094199999999997</v>
      </c>
      <c r="L250">
        <f t="shared" si="36"/>
        <v>15.5304</v>
      </c>
      <c r="M250">
        <f t="shared" si="37"/>
        <v>9.1851600024</v>
      </c>
      <c r="N250" s="9"/>
      <c r="O250" s="22">
        <v>1.1085499999999999</v>
      </c>
      <c r="P250" s="22">
        <v>187.86699999999999</v>
      </c>
      <c r="Q250" s="22">
        <v>-1.46179E-2</v>
      </c>
      <c r="R250" s="22">
        <v>240</v>
      </c>
      <c r="S250" s="22">
        <v>1.10809</v>
      </c>
      <c r="T250">
        <f t="shared" si="38"/>
        <v>14.617899999999999</v>
      </c>
      <c r="U250">
        <f t="shared" si="39"/>
        <v>16.204673044999996</v>
      </c>
      <c r="X250" s="9"/>
      <c r="Y250" s="22">
        <v>0.59143100000000004</v>
      </c>
      <c r="Z250" s="22">
        <v>286.08300000000003</v>
      </c>
      <c r="AA250" s="22">
        <v>-1.763E-2</v>
      </c>
      <c r="AB250" s="22">
        <v>240</v>
      </c>
      <c r="AC250" s="22">
        <v>0.59109500000000004</v>
      </c>
      <c r="AD250">
        <f t="shared" si="40"/>
        <v>17.63</v>
      </c>
      <c r="AE250">
        <f t="shared" si="41"/>
        <v>10.42692853</v>
      </c>
      <c r="AF250" s="9"/>
      <c r="AG250" s="22">
        <v>1.1085499999999999</v>
      </c>
      <c r="AH250" s="22">
        <v>361.81900000000002</v>
      </c>
      <c r="AI250" s="22">
        <v>-1.73828E-2</v>
      </c>
      <c r="AJ250" s="22">
        <v>240</v>
      </c>
      <c r="AK250" s="22">
        <v>1.1077900000000001</v>
      </c>
      <c r="AL250">
        <f t="shared" si="42"/>
        <v>17.3828</v>
      </c>
      <c r="AM250">
        <f t="shared" si="43"/>
        <v>19.269702939999998</v>
      </c>
      <c r="AP250" s="9"/>
      <c r="AQ250" s="22">
        <v>0.59143100000000004</v>
      </c>
      <c r="AR250" s="22">
        <v>434.02199999999999</v>
      </c>
      <c r="AS250" s="22">
        <v>-1.8139599999999999E-2</v>
      </c>
      <c r="AT250" s="22">
        <v>240</v>
      </c>
      <c r="AU250" s="22">
        <v>0.59075900000000003</v>
      </c>
      <c r="AV250">
        <f t="shared" si="44"/>
        <v>18.139599999999998</v>
      </c>
      <c r="AW250">
        <f t="shared" si="45"/>
        <v>10.728321767599999</v>
      </c>
      <c r="AX250" s="9"/>
      <c r="AY250" s="22">
        <v>1.1085499999999999</v>
      </c>
      <c r="AZ250" s="22">
        <v>507.435</v>
      </c>
      <c r="BA250" s="22">
        <v>-1.7788700000000001E-2</v>
      </c>
      <c r="BB250" s="22">
        <v>240</v>
      </c>
      <c r="BC250" s="22">
        <v>1.10748</v>
      </c>
      <c r="BD250">
        <f t="shared" si="46"/>
        <v>17.788700000000002</v>
      </c>
      <c r="BE250">
        <f t="shared" si="47"/>
        <v>19.719663385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72.625399999999999</v>
      </c>
      <c r="I251" s="22">
        <v>-1.5521200000000001E-2</v>
      </c>
      <c r="J251" s="22">
        <v>241</v>
      </c>
      <c r="K251" s="22">
        <v>0.58584599999999998</v>
      </c>
      <c r="L251">
        <f t="shared" si="36"/>
        <v>15.5212</v>
      </c>
      <c r="M251">
        <f t="shared" si="37"/>
        <v>9.1015540740000009</v>
      </c>
      <c r="N251" s="9"/>
      <c r="O251" s="22">
        <v>1.1135900000000001</v>
      </c>
      <c r="P251" s="22">
        <v>187.96700000000001</v>
      </c>
      <c r="Q251" s="22">
        <v>-1.4593500000000001E-2</v>
      </c>
      <c r="R251" s="22">
        <v>241</v>
      </c>
      <c r="S251" s="22">
        <v>1.1123700000000001</v>
      </c>
      <c r="T251">
        <f t="shared" si="38"/>
        <v>14.593500000000001</v>
      </c>
      <c r="U251">
        <f t="shared" si="39"/>
        <v>16.251175665000002</v>
      </c>
      <c r="X251" s="9"/>
      <c r="Y251" s="22">
        <v>0.586395</v>
      </c>
      <c r="Z251" s="22">
        <v>286.18400000000003</v>
      </c>
      <c r="AA251" s="22">
        <v>-1.763E-2</v>
      </c>
      <c r="AB251" s="22">
        <v>241</v>
      </c>
      <c r="AC251" s="22">
        <v>0.58581499999999997</v>
      </c>
      <c r="AD251">
        <f t="shared" si="40"/>
        <v>17.63</v>
      </c>
      <c r="AE251">
        <f t="shared" si="41"/>
        <v>10.33814385</v>
      </c>
      <c r="AF251" s="9"/>
      <c r="AG251" s="22">
        <v>1.1135900000000001</v>
      </c>
      <c r="AH251" s="22">
        <v>361.91899999999998</v>
      </c>
      <c r="AI251" s="22">
        <v>-1.73706E-2</v>
      </c>
      <c r="AJ251" s="22">
        <v>241</v>
      </c>
      <c r="AK251" s="22">
        <v>1.1123700000000001</v>
      </c>
      <c r="AL251">
        <f t="shared" si="42"/>
        <v>17.3706</v>
      </c>
      <c r="AM251">
        <f t="shared" si="43"/>
        <v>19.343726454000002</v>
      </c>
      <c r="AP251" s="9"/>
      <c r="AQ251" s="22">
        <v>0.586395</v>
      </c>
      <c r="AR251" s="22">
        <v>434.12200000000001</v>
      </c>
      <c r="AS251" s="22">
        <v>-1.8142700000000001E-2</v>
      </c>
      <c r="AT251" s="22">
        <v>241</v>
      </c>
      <c r="AU251" s="22">
        <v>0.58557099999999995</v>
      </c>
      <c r="AV251">
        <f t="shared" si="44"/>
        <v>18.142700000000001</v>
      </c>
      <c r="AW251">
        <f t="shared" si="45"/>
        <v>10.638788566500001</v>
      </c>
      <c r="AX251" s="9"/>
      <c r="AY251" s="22">
        <v>1.1135900000000001</v>
      </c>
      <c r="AZ251" s="22">
        <v>507.536</v>
      </c>
      <c r="BA251" s="22">
        <v>-1.7773400000000002E-2</v>
      </c>
      <c r="BB251" s="22">
        <v>241</v>
      </c>
      <c r="BC251" s="22">
        <v>1.11267</v>
      </c>
      <c r="BD251">
        <f t="shared" si="46"/>
        <v>17.773400000000002</v>
      </c>
      <c r="BE251">
        <f t="shared" si="47"/>
        <v>19.792280506000004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72.726100000000002</v>
      </c>
      <c r="I252" s="22">
        <v>-1.5512099999999999E-2</v>
      </c>
      <c r="J252" s="22">
        <v>242</v>
      </c>
      <c r="K252" s="22">
        <v>0.58081099999999997</v>
      </c>
      <c r="L252">
        <f t="shared" si="36"/>
        <v>15.512099999999998</v>
      </c>
      <c r="M252">
        <f t="shared" si="37"/>
        <v>9.0181144559999993</v>
      </c>
      <c r="N252" s="9"/>
      <c r="O252" s="22">
        <v>1.1186199999999999</v>
      </c>
      <c r="P252" s="22">
        <v>188.06800000000001</v>
      </c>
      <c r="Q252" s="22">
        <v>-1.4572099999999999E-2</v>
      </c>
      <c r="R252" s="22">
        <v>242</v>
      </c>
      <c r="S252" s="22">
        <v>1.11755</v>
      </c>
      <c r="T252">
        <f t="shared" si="38"/>
        <v>14.572099999999999</v>
      </c>
      <c r="U252">
        <f t="shared" si="39"/>
        <v>16.300642501999999</v>
      </c>
      <c r="X252" s="9"/>
      <c r="Y252" s="22">
        <v>0.58135999999999999</v>
      </c>
      <c r="Z252" s="22">
        <v>286.28500000000003</v>
      </c>
      <c r="AA252" s="22">
        <v>-1.7636099999999998E-2</v>
      </c>
      <c r="AB252" s="22">
        <v>242</v>
      </c>
      <c r="AC252" s="22">
        <v>0.58105499999999999</v>
      </c>
      <c r="AD252">
        <f t="shared" si="40"/>
        <v>17.636099999999999</v>
      </c>
      <c r="AE252">
        <f t="shared" si="41"/>
        <v>10.252923096</v>
      </c>
      <c r="AF252" s="9"/>
      <c r="AG252" s="22">
        <v>1.1186199999999999</v>
      </c>
      <c r="AH252" s="22">
        <v>362.02</v>
      </c>
      <c r="AI252" s="22">
        <v>-1.7376699999999998E-2</v>
      </c>
      <c r="AJ252" s="22">
        <v>242</v>
      </c>
      <c r="AK252" s="22">
        <v>1.1178600000000001</v>
      </c>
      <c r="AL252">
        <f t="shared" si="42"/>
        <v>17.3767</v>
      </c>
      <c r="AM252">
        <f t="shared" si="43"/>
        <v>19.437924153999997</v>
      </c>
      <c r="AP252" s="9"/>
      <c r="AQ252" s="22">
        <v>0.58135999999999999</v>
      </c>
      <c r="AR252" s="22">
        <v>434.22300000000001</v>
      </c>
      <c r="AS252" s="22">
        <v>-1.81458E-2</v>
      </c>
      <c r="AT252" s="22">
        <v>242</v>
      </c>
      <c r="AU252" s="22">
        <v>0.58093300000000003</v>
      </c>
      <c r="AV252">
        <f t="shared" si="44"/>
        <v>18.145800000000001</v>
      </c>
      <c r="AW252">
        <f t="shared" si="45"/>
        <v>10.549242288</v>
      </c>
      <c r="AX252" s="9"/>
      <c r="AY252" s="22">
        <v>1.1186199999999999</v>
      </c>
      <c r="AZ252" s="22">
        <v>507.63600000000002</v>
      </c>
      <c r="BA252" s="22">
        <v>-1.7782599999999999E-2</v>
      </c>
      <c r="BB252" s="22">
        <v>242</v>
      </c>
      <c r="BC252" s="22">
        <v>1.1184700000000001</v>
      </c>
      <c r="BD252">
        <f t="shared" si="46"/>
        <v>17.782599999999999</v>
      </c>
      <c r="BE252">
        <f t="shared" si="47"/>
        <v>19.891972011999997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72.826800000000006</v>
      </c>
      <c r="I253" s="22">
        <v>-1.5444899999999999E-2</v>
      </c>
      <c r="J253" s="22">
        <v>243</v>
      </c>
      <c r="K253" s="22">
        <v>0.57568399999999997</v>
      </c>
      <c r="L253">
        <f t="shared" si="36"/>
        <v>15.444899999999999</v>
      </c>
      <c r="M253">
        <f t="shared" si="37"/>
        <v>8.9012665475999988</v>
      </c>
      <c r="N253" s="9"/>
      <c r="O253" s="22">
        <v>1.1236600000000001</v>
      </c>
      <c r="P253" s="22">
        <v>188.16900000000001</v>
      </c>
      <c r="Q253" s="22">
        <v>-1.45538E-2</v>
      </c>
      <c r="R253" s="22">
        <v>243</v>
      </c>
      <c r="S253" s="22">
        <v>1.1230500000000001</v>
      </c>
      <c r="T253">
        <f t="shared" si="38"/>
        <v>14.553800000000001</v>
      </c>
      <c r="U253">
        <f t="shared" si="39"/>
        <v>16.353522908000002</v>
      </c>
      <c r="X253" s="9"/>
      <c r="Y253" s="22">
        <v>0.57632399999999995</v>
      </c>
      <c r="Z253" s="22">
        <v>286.38499999999999</v>
      </c>
      <c r="AA253" s="22">
        <v>-1.763E-2</v>
      </c>
      <c r="AB253" s="22">
        <v>243</v>
      </c>
      <c r="AC253" s="22">
        <v>0.57577500000000004</v>
      </c>
      <c r="AD253">
        <f t="shared" si="40"/>
        <v>17.63</v>
      </c>
      <c r="AE253">
        <f t="shared" si="41"/>
        <v>10.160592119999999</v>
      </c>
      <c r="AF253" s="9"/>
      <c r="AG253" s="22">
        <v>1.1236600000000001</v>
      </c>
      <c r="AH253" s="22">
        <v>362.12099999999998</v>
      </c>
      <c r="AI253" s="22">
        <v>-1.73676E-2</v>
      </c>
      <c r="AJ253" s="22">
        <v>243</v>
      </c>
      <c r="AK253" s="22">
        <v>1.1230500000000001</v>
      </c>
      <c r="AL253">
        <f t="shared" si="42"/>
        <v>17.367599999999999</v>
      </c>
      <c r="AM253">
        <f t="shared" si="43"/>
        <v>19.515277416</v>
      </c>
      <c r="AP253" s="9"/>
      <c r="AQ253" s="22">
        <v>0.57632399999999995</v>
      </c>
      <c r="AR253" s="22">
        <v>434.32400000000001</v>
      </c>
      <c r="AS253" s="22">
        <v>-1.81488E-2</v>
      </c>
      <c r="AT253" s="22">
        <v>243</v>
      </c>
      <c r="AU253" s="22">
        <v>0.575623</v>
      </c>
      <c r="AV253">
        <f t="shared" si="44"/>
        <v>18.148800000000001</v>
      </c>
      <c r="AW253">
        <f t="shared" si="45"/>
        <v>10.4595890112</v>
      </c>
      <c r="AX253" s="9"/>
      <c r="AY253" s="22">
        <v>1.1236600000000001</v>
      </c>
      <c r="AZ253" s="22">
        <v>507.73700000000002</v>
      </c>
      <c r="BA253" s="22">
        <v>-1.7770399999999999E-2</v>
      </c>
      <c r="BB253" s="22">
        <v>243</v>
      </c>
      <c r="BC253" s="22">
        <v>1.1221300000000001</v>
      </c>
      <c r="BD253">
        <f t="shared" si="46"/>
        <v>17.770399999999999</v>
      </c>
      <c r="BE253">
        <f t="shared" si="47"/>
        <v>19.967887663999999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72.927499999999995</v>
      </c>
      <c r="I254" s="22">
        <v>-1.5564E-2</v>
      </c>
      <c r="J254" s="22">
        <v>244</v>
      </c>
      <c r="K254" s="22">
        <v>0.57070900000000002</v>
      </c>
      <c r="L254">
        <f t="shared" si="36"/>
        <v>15.564</v>
      </c>
      <c r="M254">
        <f t="shared" si="37"/>
        <v>8.8915419960000008</v>
      </c>
      <c r="N254" s="9"/>
      <c r="O254" s="22">
        <v>1.12869</v>
      </c>
      <c r="P254" s="22">
        <v>188.26900000000001</v>
      </c>
      <c r="Q254" s="22">
        <v>-1.45325E-2</v>
      </c>
      <c r="R254" s="22">
        <v>244</v>
      </c>
      <c r="S254" s="22">
        <v>1.1273200000000001</v>
      </c>
      <c r="T254">
        <f t="shared" si="38"/>
        <v>14.532500000000001</v>
      </c>
      <c r="U254">
        <f t="shared" si="39"/>
        <v>16.402687425</v>
      </c>
      <c r="X254" s="9"/>
      <c r="Y254" s="22">
        <v>0.57128900000000005</v>
      </c>
      <c r="Z254" s="22">
        <v>286.48599999999999</v>
      </c>
      <c r="AA254" s="22">
        <v>-1.7633099999999999E-2</v>
      </c>
      <c r="AB254" s="22">
        <v>244</v>
      </c>
      <c r="AC254" s="22">
        <v>0.57067900000000005</v>
      </c>
      <c r="AD254">
        <f t="shared" si="40"/>
        <v>17.633099999999999</v>
      </c>
      <c r="AE254">
        <f t="shared" si="41"/>
        <v>10.0735960659</v>
      </c>
      <c r="AF254" s="9"/>
      <c r="AG254" s="22">
        <v>1.12869</v>
      </c>
      <c r="AH254" s="22">
        <v>362.221</v>
      </c>
      <c r="AI254" s="22">
        <v>-1.73676E-2</v>
      </c>
      <c r="AJ254" s="22">
        <v>244</v>
      </c>
      <c r="AK254" s="22">
        <v>1.1276200000000001</v>
      </c>
      <c r="AL254">
        <f t="shared" si="42"/>
        <v>17.367599999999999</v>
      </c>
      <c r="AM254">
        <f t="shared" si="43"/>
        <v>19.602636443999998</v>
      </c>
      <c r="AP254" s="9"/>
      <c r="AQ254" s="22">
        <v>0.57128900000000005</v>
      </c>
      <c r="AR254" s="22">
        <v>434.42500000000001</v>
      </c>
      <c r="AS254" s="22">
        <v>-1.81458E-2</v>
      </c>
      <c r="AT254" s="22">
        <v>244</v>
      </c>
      <c r="AU254" s="22">
        <v>0.570801</v>
      </c>
      <c r="AV254">
        <f t="shared" si="44"/>
        <v>18.145800000000001</v>
      </c>
      <c r="AW254">
        <f t="shared" si="45"/>
        <v>10.366495936200002</v>
      </c>
      <c r="AX254" s="9"/>
      <c r="AY254" s="22">
        <v>1.12869</v>
      </c>
      <c r="AZ254" s="22">
        <v>507.83800000000002</v>
      </c>
      <c r="BA254" s="22">
        <v>-1.7770399999999999E-2</v>
      </c>
      <c r="BB254" s="22">
        <v>244</v>
      </c>
      <c r="BC254" s="22">
        <v>1.1279300000000001</v>
      </c>
      <c r="BD254">
        <f t="shared" si="46"/>
        <v>17.770399999999999</v>
      </c>
      <c r="BE254">
        <f t="shared" si="47"/>
        <v>20.057272775999998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73.028199999999998</v>
      </c>
      <c r="I255" s="22">
        <v>-1.5554800000000001E-2</v>
      </c>
      <c r="J255" s="22">
        <v>245</v>
      </c>
      <c r="K255" s="22">
        <v>0.56570399999999998</v>
      </c>
      <c r="L255">
        <f t="shared" si="36"/>
        <v>15.5548</v>
      </c>
      <c r="M255">
        <f t="shared" si="37"/>
        <v>8.8079677192000005</v>
      </c>
      <c r="N255" s="9"/>
      <c r="O255" s="22">
        <v>1.1337299999999999</v>
      </c>
      <c r="P255" s="22">
        <v>188.37</v>
      </c>
      <c r="Q255" s="22">
        <v>-1.4505000000000001E-2</v>
      </c>
      <c r="R255" s="22">
        <v>245</v>
      </c>
      <c r="S255" s="22">
        <v>1.1331199999999999</v>
      </c>
      <c r="T255">
        <f t="shared" si="38"/>
        <v>14.505000000000001</v>
      </c>
      <c r="U255">
        <f t="shared" si="39"/>
        <v>16.444753649999999</v>
      </c>
      <c r="X255" s="9"/>
      <c r="Y255" s="22">
        <v>0.56625400000000004</v>
      </c>
      <c r="Z255" s="22">
        <v>286.58699999999999</v>
      </c>
      <c r="AA255" s="22">
        <v>-1.7633099999999999E-2</v>
      </c>
      <c r="AB255" s="22">
        <v>245</v>
      </c>
      <c r="AC255" s="22">
        <v>0.56579599999999997</v>
      </c>
      <c r="AD255">
        <f t="shared" si="40"/>
        <v>17.633099999999999</v>
      </c>
      <c r="AE255">
        <f t="shared" si="41"/>
        <v>9.9848134074000008</v>
      </c>
      <c r="AF255" s="9"/>
      <c r="AG255" s="22">
        <v>1.1337299999999999</v>
      </c>
      <c r="AH255" s="22">
        <v>362.322</v>
      </c>
      <c r="AI255" s="22">
        <v>-1.7364500000000001E-2</v>
      </c>
      <c r="AJ255" s="22">
        <v>245</v>
      </c>
      <c r="AK255" s="22">
        <v>1.1325099999999999</v>
      </c>
      <c r="AL255">
        <f t="shared" si="42"/>
        <v>17.364500000000003</v>
      </c>
      <c r="AM255">
        <f t="shared" si="43"/>
        <v>19.686654585000003</v>
      </c>
      <c r="AP255" s="9"/>
      <c r="AQ255" s="22">
        <v>0.56625400000000004</v>
      </c>
      <c r="AR255" s="22">
        <v>434.52499999999998</v>
      </c>
      <c r="AS255" s="22">
        <v>-1.81488E-2</v>
      </c>
      <c r="AT255" s="22">
        <v>245</v>
      </c>
      <c r="AU255" s="22">
        <v>0.56539899999999998</v>
      </c>
      <c r="AV255">
        <f t="shared" si="44"/>
        <v>18.148800000000001</v>
      </c>
      <c r="AW255">
        <f t="shared" si="45"/>
        <v>10.276830595200002</v>
      </c>
      <c r="AX255" s="9"/>
      <c r="AY255" s="22">
        <v>1.1337299999999999</v>
      </c>
      <c r="AZ255" s="22">
        <v>507.93799999999999</v>
      </c>
      <c r="BA255" s="22">
        <v>-1.7770399999999999E-2</v>
      </c>
      <c r="BB255" s="22">
        <v>245</v>
      </c>
      <c r="BC255" s="22">
        <v>1.1328100000000001</v>
      </c>
      <c r="BD255">
        <f t="shared" si="46"/>
        <v>17.770399999999999</v>
      </c>
      <c r="BE255">
        <f t="shared" si="47"/>
        <v>20.146835591999995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73.128900000000002</v>
      </c>
      <c r="I256" s="22">
        <v>-1.55579E-2</v>
      </c>
      <c r="J256" s="22">
        <v>246</v>
      </c>
      <c r="K256" s="22">
        <v>0.56076000000000004</v>
      </c>
      <c r="L256">
        <f t="shared" si="36"/>
        <v>15.5579</v>
      </c>
      <c r="M256">
        <f t="shared" si="37"/>
        <v>8.7313735222000002</v>
      </c>
      <c r="N256" s="9"/>
      <c r="O256" s="22">
        <v>1.13876</v>
      </c>
      <c r="P256" s="22">
        <v>188.471</v>
      </c>
      <c r="Q256" s="22">
        <v>-1.45325E-2</v>
      </c>
      <c r="R256" s="22">
        <v>246</v>
      </c>
      <c r="S256" s="22">
        <v>1.1379999999999999</v>
      </c>
      <c r="T256">
        <f t="shared" si="38"/>
        <v>14.532500000000001</v>
      </c>
      <c r="U256">
        <f t="shared" si="39"/>
        <v>16.549029700000002</v>
      </c>
      <c r="X256" s="9"/>
      <c r="Y256" s="22">
        <v>0.56121799999999999</v>
      </c>
      <c r="Z256" s="22">
        <v>286.68799999999999</v>
      </c>
      <c r="AA256" s="22">
        <v>-1.7636099999999998E-2</v>
      </c>
      <c r="AB256" s="22">
        <v>246</v>
      </c>
      <c r="AC256" s="22">
        <v>0.56048600000000004</v>
      </c>
      <c r="AD256">
        <f t="shared" si="40"/>
        <v>17.636099999999999</v>
      </c>
      <c r="AE256">
        <f t="shared" si="41"/>
        <v>9.8976967697999996</v>
      </c>
      <c r="AF256" s="9"/>
      <c r="AG256" s="22">
        <v>1.13876</v>
      </c>
      <c r="AH256" s="22">
        <v>362.423</v>
      </c>
      <c r="AI256" s="22">
        <v>-1.7364500000000001E-2</v>
      </c>
      <c r="AJ256" s="22">
        <v>246</v>
      </c>
      <c r="AK256" s="22">
        <v>1.1379999999999999</v>
      </c>
      <c r="AL256">
        <f t="shared" si="42"/>
        <v>17.364500000000003</v>
      </c>
      <c r="AM256">
        <f t="shared" si="43"/>
        <v>19.773998020000004</v>
      </c>
      <c r="AP256" s="9"/>
      <c r="AQ256" s="22">
        <v>0.56121799999999999</v>
      </c>
      <c r="AR256" s="22">
        <v>434.62599999999998</v>
      </c>
      <c r="AS256" s="22">
        <v>-1.8151899999999999E-2</v>
      </c>
      <c r="AT256" s="22">
        <v>246</v>
      </c>
      <c r="AU256" s="22">
        <v>0.56097399999999997</v>
      </c>
      <c r="AV256">
        <f t="shared" si="44"/>
        <v>18.151899999999998</v>
      </c>
      <c r="AW256">
        <f t="shared" si="45"/>
        <v>10.187173014199999</v>
      </c>
      <c r="AX256" s="9"/>
      <c r="AY256" s="22">
        <v>1.13876</v>
      </c>
      <c r="AZ256" s="22">
        <v>508.03899999999999</v>
      </c>
      <c r="BA256" s="22">
        <v>-1.7761200000000001E-2</v>
      </c>
      <c r="BB256" s="22">
        <v>246</v>
      </c>
      <c r="BC256" s="22">
        <v>1.1383099999999999</v>
      </c>
      <c r="BD256">
        <f t="shared" si="46"/>
        <v>17.761200000000002</v>
      </c>
      <c r="BE256">
        <f t="shared" si="47"/>
        <v>20.225744112000001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73.229600000000005</v>
      </c>
      <c r="I257" s="22">
        <v>-1.55762E-2</v>
      </c>
      <c r="J257" s="22">
        <v>247</v>
      </c>
      <c r="K257" s="22">
        <v>0.55566400000000005</v>
      </c>
      <c r="L257">
        <f t="shared" si="36"/>
        <v>15.5762</v>
      </c>
      <c r="M257">
        <f t="shared" si="37"/>
        <v>8.6632176445999995</v>
      </c>
      <c r="N257" s="9"/>
      <c r="O257" s="22">
        <v>1.1437999999999999</v>
      </c>
      <c r="P257" s="22">
        <v>188.572</v>
      </c>
      <c r="Q257" s="22">
        <v>-1.4523299999999999E-2</v>
      </c>
      <c r="R257" s="22">
        <v>247</v>
      </c>
      <c r="S257" s="22">
        <v>1.1428799999999999</v>
      </c>
      <c r="T257">
        <f t="shared" si="38"/>
        <v>14.523299999999999</v>
      </c>
      <c r="U257">
        <f t="shared" si="39"/>
        <v>16.611750539999999</v>
      </c>
      <c r="X257" s="9"/>
      <c r="Y257" s="22">
        <v>0.55618299999999998</v>
      </c>
      <c r="Z257" s="22">
        <v>286.78800000000001</v>
      </c>
      <c r="AA257" s="22">
        <v>-1.7639200000000001E-2</v>
      </c>
      <c r="AB257" s="22">
        <v>247</v>
      </c>
      <c r="AC257" s="22">
        <v>0.55572500000000002</v>
      </c>
      <c r="AD257">
        <f t="shared" si="40"/>
        <v>17.639200000000002</v>
      </c>
      <c r="AE257">
        <f t="shared" si="41"/>
        <v>9.8106231736000016</v>
      </c>
      <c r="AF257" s="9"/>
      <c r="AG257" s="22">
        <v>1.1437999999999999</v>
      </c>
      <c r="AH257" s="22">
        <v>362.52300000000002</v>
      </c>
      <c r="AI257" s="22">
        <v>-1.7364500000000001E-2</v>
      </c>
      <c r="AJ257" s="22">
        <v>247</v>
      </c>
      <c r="AK257" s="22">
        <v>1.1431899999999999</v>
      </c>
      <c r="AL257">
        <f t="shared" si="42"/>
        <v>17.364500000000003</v>
      </c>
      <c r="AM257">
        <f t="shared" si="43"/>
        <v>19.861515100000002</v>
      </c>
      <c r="AP257" s="9"/>
      <c r="AQ257" s="22">
        <v>0.55618299999999998</v>
      </c>
      <c r="AR257" s="22">
        <v>434.72699999999998</v>
      </c>
      <c r="AS257" s="22">
        <v>-1.81458E-2</v>
      </c>
      <c r="AT257" s="22">
        <v>247</v>
      </c>
      <c r="AU257" s="22">
        <v>0.55572500000000002</v>
      </c>
      <c r="AV257">
        <f t="shared" si="44"/>
        <v>18.145800000000001</v>
      </c>
      <c r="AW257">
        <f t="shared" si="45"/>
        <v>10.092385481400001</v>
      </c>
      <c r="AX257" s="9"/>
      <c r="AY257" s="22">
        <v>1.1437999999999999</v>
      </c>
      <c r="AZ257" s="22">
        <v>508.14</v>
      </c>
      <c r="BA257" s="22">
        <v>-1.77673E-2</v>
      </c>
      <c r="BB257" s="22">
        <v>247</v>
      </c>
      <c r="BC257" s="22">
        <v>1.1428799999999999</v>
      </c>
      <c r="BD257">
        <f t="shared" si="46"/>
        <v>17.767299999999999</v>
      </c>
      <c r="BE257">
        <f t="shared" si="47"/>
        <v>20.322237739999998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73.330299999999994</v>
      </c>
      <c r="I258" s="22">
        <v>-1.55762E-2</v>
      </c>
      <c r="J258" s="22">
        <v>248</v>
      </c>
      <c r="K258" s="22">
        <v>0.55056799999999995</v>
      </c>
      <c r="L258">
        <f t="shared" si="36"/>
        <v>15.5762</v>
      </c>
      <c r="M258">
        <f t="shared" si="37"/>
        <v>8.5847759014000005</v>
      </c>
      <c r="N258" s="9"/>
      <c r="O258" s="22">
        <v>1.14883</v>
      </c>
      <c r="P258" s="22">
        <v>188.672</v>
      </c>
      <c r="Q258" s="22">
        <v>-1.4501999999999999E-2</v>
      </c>
      <c r="R258" s="22">
        <v>248</v>
      </c>
      <c r="S258" s="22">
        <v>1.14838</v>
      </c>
      <c r="T258">
        <f t="shared" si="38"/>
        <v>14.501999999999999</v>
      </c>
      <c r="U258">
        <f t="shared" si="39"/>
        <v>16.660332659999998</v>
      </c>
      <c r="X258" s="9"/>
      <c r="Y258" s="22">
        <v>0.55114700000000005</v>
      </c>
      <c r="Z258" s="22">
        <v>286.88900000000001</v>
      </c>
      <c r="AA258" s="22">
        <v>-1.7636099999999998E-2</v>
      </c>
      <c r="AB258" s="22">
        <v>248</v>
      </c>
      <c r="AC258" s="22">
        <v>0.55017099999999997</v>
      </c>
      <c r="AD258">
        <f t="shared" si="40"/>
        <v>17.636099999999999</v>
      </c>
      <c r="AE258">
        <f t="shared" si="41"/>
        <v>9.7200836067000012</v>
      </c>
      <c r="AF258" s="9"/>
      <c r="AG258" s="22">
        <v>1.14883</v>
      </c>
      <c r="AH258" s="22">
        <v>362.62400000000002</v>
      </c>
      <c r="AI258" s="22">
        <v>-1.73584E-2</v>
      </c>
      <c r="AJ258" s="22">
        <v>248</v>
      </c>
      <c r="AK258" s="22">
        <v>1.1480699999999999</v>
      </c>
      <c r="AL258">
        <f t="shared" si="42"/>
        <v>17.3584</v>
      </c>
      <c r="AM258">
        <f t="shared" si="43"/>
        <v>19.941850672000001</v>
      </c>
      <c r="AP258" s="9"/>
      <c r="AQ258" s="22">
        <v>0.55114700000000005</v>
      </c>
      <c r="AR258" s="22">
        <v>434.827</v>
      </c>
      <c r="AS258" s="22">
        <v>-1.8151899999999999E-2</v>
      </c>
      <c r="AT258" s="22">
        <v>248</v>
      </c>
      <c r="AU258" s="22">
        <v>0.55075099999999999</v>
      </c>
      <c r="AV258">
        <f t="shared" si="44"/>
        <v>18.151899999999998</v>
      </c>
      <c r="AW258">
        <f t="shared" si="45"/>
        <v>10.004365229299999</v>
      </c>
      <c r="AX258" s="9"/>
      <c r="AY258" s="22">
        <v>1.14883</v>
      </c>
      <c r="AZ258" s="22">
        <v>508.24099999999999</v>
      </c>
      <c r="BA258" s="22">
        <v>-1.7758199999999998E-2</v>
      </c>
      <c r="BB258" s="22">
        <v>248</v>
      </c>
      <c r="BC258" s="22">
        <v>1.14777</v>
      </c>
      <c r="BD258">
        <f t="shared" si="46"/>
        <v>17.758199999999999</v>
      </c>
      <c r="BE258">
        <f t="shared" si="47"/>
        <v>20.401152906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73.430999999999997</v>
      </c>
      <c r="I259" s="22">
        <v>-1.5640299999999999E-2</v>
      </c>
      <c r="J259" s="22">
        <v>249</v>
      </c>
      <c r="K259" s="22">
        <v>0.54550200000000004</v>
      </c>
      <c r="L259">
        <f t="shared" si="36"/>
        <v>15.6403</v>
      </c>
      <c r="M259">
        <f t="shared" si="37"/>
        <v>8.541355513600001</v>
      </c>
      <c r="N259" s="9"/>
      <c r="O259" s="22">
        <v>1.15387</v>
      </c>
      <c r="P259" s="22">
        <v>188.773</v>
      </c>
      <c r="Q259" s="22">
        <v>-1.4483599999999999E-2</v>
      </c>
      <c r="R259" s="22">
        <v>249</v>
      </c>
      <c r="S259" s="22">
        <v>1.15265</v>
      </c>
      <c r="T259">
        <f t="shared" si="38"/>
        <v>14.483599999999999</v>
      </c>
      <c r="U259">
        <f t="shared" si="39"/>
        <v>16.712191531999999</v>
      </c>
      <c r="X259" s="9"/>
      <c r="Y259" s="22">
        <v>0.54611200000000004</v>
      </c>
      <c r="Z259" s="22">
        <v>286.99</v>
      </c>
      <c r="AA259" s="22">
        <v>-1.7648299999999999E-2</v>
      </c>
      <c r="AB259" s="22">
        <v>249</v>
      </c>
      <c r="AC259" s="22">
        <v>0.54547100000000004</v>
      </c>
      <c r="AD259">
        <f t="shared" si="40"/>
        <v>17.648299999999999</v>
      </c>
      <c r="AE259">
        <f t="shared" si="41"/>
        <v>9.6379484095999999</v>
      </c>
      <c r="AF259" s="9"/>
      <c r="AG259" s="22">
        <v>1.15387</v>
      </c>
      <c r="AH259" s="22">
        <v>362.72500000000002</v>
      </c>
      <c r="AI259" s="22">
        <v>-1.7349199999999999E-2</v>
      </c>
      <c r="AJ259" s="22">
        <v>249</v>
      </c>
      <c r="AK259" s="22">
        <v>1.1541699999999999</v>
      </c>
      <c r="AL259">
        <f t="shared" si="42"/>
        <v>17.3492</v>
      </c>
      <c r="AM259">
        <f t="shared" si="43"/>
        <v>20.018721403999997</v>
      </c>
      <c r="AP259" s="9"/>
      <c r="AQ259" s="22">
        <v>0.54611200000000004</v>
      </c>
      <c r="AR259" s="22">
        <v>434.928</v>
      </c>
      <c r="AS259" s="22">
        <v>-1.8151899999999999E-2</v>
      </c>
      <c r="AT259" s="22">
        <v>249</v>
      </c>
      <c r="AU259" s="22">
        <v>0.54534899999999997</v>
      </c>
      <c r="AV259">
        <f t="shared" si="44"/>
        <v>18.151899999999998</v>
      </c>
      <c r="AW259">
        <f t="shared" si="45"/>
        <v>9.9129704128</v>
      </c>
      <c r="AX259" s="9"/>
      <c r="AY259" s="22">
        <v>1.15387</v>
      </c>
      <c r="AZ259" s="22">
        <v>508.34100000000001</v>
      </c>
      <c r="BA259" s="22">
        <v>-1.7755099999999999E-2</v>
      </c>
      <c r="BB259" s="22">
        <v>249</v>
      </c>
      <c r="BC259" s="22">
        <v>1.1529499999999999</v>
      </c>
      <c r="BD259">
        <f t="shared" si="46"/>
        <v>17.755099999999999</v>
      </c>
      <c r="BE259">
        <f t="shared" si="47"/>
        <v>20.487077236999998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73.531800000000004</v>
      </c>
      <c r="I260" s="22">
        <v>-1.5615800000000001E-2</v>
      </c>
      <c r="J260" s="22">
        <v>250</v>
      </c>
      <c r="K260" s="22">
        <v>0.540466</v>
      </c>
      <c r="L260">
        <f t="shared" si="36"/>
        <v>15.6158</v>
      </c>
      <c r="M260">
        <f t="shared" si="37"/>
        <v>8.449350216600001</v>
      </c>
      <c r="N260" s="9"/>
      <c r="O260" s="22">
        <v>1.1589100000000001</v>
      </c>
      <c r="P260" s="22">
        <v>188.874</v>
      </c>
      <c r="Q260" s="22">
        <v>-1.4483599999999999E-2</v>
      </c>
      <c r="R260" s="22">
        <v>250</v>
      </c>
      <c r="S260" s="22">
        <v>1.15845</v>
      </c>
      <c r="T260">
        <f t="shared" si="38"/>
        <v>14.483599999999999</v>
      </c>
      <c r="U260">
        <f t="shared" si="39"/>
        <v>16.785188875999999</v>
      </c>
      <c r="X260" s="9"/>
      <c r="Y260" s="22">
        <v>0.54107700000000003</v>
      </c>
      <c r="Z260" s="22">
        <v>287.08999999999997</v>
      </c>
      <c r="AA260" s="22">
        <v>-1.76422E-2</v>
      </c>
      <c r="AB260" s="22">
        <v>250</v>
      </c>
      <c r="AC260" s="22">
        <v>0.54055799999999998</v>
      </c>
      <c r="AD260">
        <f t="shared" si="40"/>
        <v>17.642199999999999</v>
      </c>
      <c r="AE260">
        <f t="shared" si="41"/>
        <v>9.5457886494000004</v>
      </c>
      <c r="AF260" s="9"/>
      <c r="AG260" s="22">
        <v>1.1589100000000001</v>
      </c>
      <c r="AH260" s="22">
        <v>362.82600000000002</v>
      </c>
      <c r="AI260" s="22">
        <v>-1.73584E-2</v>
      </c>
      <c r="AJ260" s="22">
        <v>250</v>
      </c>
      <c r="AK260" s="22">
        <v>1.1587499999999999</v>
      </c>
      <c r="AL260">
        <f t="shared" si="42"/>
        <v>17.3584</v>
      </c>
      <c r="AM260">
        <f t="shared" si="43"/>
        <v>20.116823344</v>
      </c>
      <c r="AP260" s="9"/>
      <c r="AQ260" s="22">
        <v>0.54107700000000003</v>
      </c>
      <c r="AR260" s="22">
        <v>435.029</v>
      </c>
      <c r="AS260" s="22">
        <v>-1.8161E-2</v>
      </c>
      <c r="AT260" s="22">
        <v>250</v>
      </c>
      <c r="AU260" s="22">
        <v>0.54028299999999996</v>
      </c>
      <c r="AV260">
        <f t="shared" si="44"/>
        <v>18.161000000000001</v>
      </c>
      <c r="AW260">
        <f t="shared" si="45"/>
        <v>9.826499397000001</v>
      </c>
      <c r="AX260" s="9"/>
      <c r="AY260" s="22">
        <v>1.1589100000000001</v>
      </c>
      <c r="AZ260" s="22">
        <v>508.44200000000001</v>
      </c>
      <c r="BA260" s="22">
        <v>-1.77521E-2</v>
      </c>
      <c r="BB260" s="22">
        <v>250</v>
      </c>
      <c r="BC260" s="22">
        <v>1.1581399999999999</v>
      </c>
      <c r="BD260">
        <f t="shared" si="46"/>
        <v>17.752099999999999</v>
      </c>
      <c r="BE260">
        <f t="shared" si="47"/>
        <v>20.573086211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73.632499999999993</v>
      </c>
      <c r="I261" s="22">
        <v>-1.56189E-2</v>
      </c>
      <c r="J261" s="22">
        <v>251</v>
      </c>
      <c r="K261" s="22">
        <v>0.53549199999999997</v>
      </c>
      <c r="L261">
        <f t="shared" si="36"/>
        <v>15.6189</v>
      </c>
      <c r="M261">
        <f t="shared" si="37"/>
        <v>8.3723707749000003</v>
      </c>
      <c r="N261" s="9"/>
      <c r="O261" s="22">
        <v>1.16394</v>
      </c>
      <c r="P261" s="22">
        <v>188.97399999999999</v>
      </c>
      <c r="Q261" s="22">
        <v>-1.44592E-2</v>
      </c>
      <c r="R261" s="22">
        <v>251</v>
      </c>
      <c r="S261" s="22">
        <v>1.1630199999999999</v>
      </c>
      <c r="T261">
        <f t="shared" si="38"/>
        <v>14.459200000000001</v>
      </c>
      <c r="U261">
        <f t="shared" si="39"/>
        <v>16.829641248000001</v>
      </c>
      <c r="X261" s="9"/>
      <c r="Y261" s="22">
        <v>0.53604099999999999</v>
      </c>
      <c r="Z261" s="22">
        <v>287.19099999999997</v>
      </c>
      <c r="AA261" s="22">
        <v>-1.76422E-2</v>
      </c>
      <c r="AB261" s="22">
        <v>251</v>
      </c>
      <c r="AC261" s="22">
        <v>0.53515599999999997</v>
      </c>
      <c r="AD261">
        <f t="shared" si="40"/>
        <v>17.642199999999999</v>
      </c>
      <c r="AE261">
        <f t="shared" si="41"/>
        <v>9.4569425301999992</v>
      </c>
      <c r="AF261" s="9"/>
      <c r="AG261" s="22">
        <v>1.16394</v>
      </c>
      <c r="AH261" s="22">
        <v>362.92599999999999</v>
      </c>
      <c r="AI261" s="22">
        <v>-1.7352300000000001E-2</v>
      </c>
      <c r="AJ261" s="22">
        <v>251</v>
      </c>
      <c r="AK261" s="22">
        <v>1.16272</v>
      </c>
      <c r="AL261">
        <f t="shared" si="42"/>
        <v>17.3523</v>
      </c>
      <c r="AM261">
        <f t="shared" si="43"/>
        <v>20.197036061999999</v>
      </c>
      <c r="AP261" s="9"/>
      <c r="AQ261" s="22">
        <v>0.53604099999999999</v>
      </c>
      <c r="AR261" s="22">
        <v>435.13</v>
      </c>
      <c r="AS261" s="22">
        <v>-1.8154900000000002E-2</v>
      </c>
      <c r="AT261" s="22">
        <v>251</v>
      </c>
      <c r="AU261" s="22">
        <v>0.53533900000000001</v>
      </c>
      <c r="AV261">
        <f t="shared" si="44"/>
        <v>18.154900000000001</v>
      </c>
      <c r="AW261">
        <f t="shared" si="45"/>
        <v>9.7317707509000009</v>
      </c>
      <c r="AX261" s="9"/>
      <c r="AY261" s="22">
        <v>1.16394</v>
      </c>
      <c r="AZ261" s="22">
        <v>508.54300000000001</v>
      </c>
      <c r="BA261" s="22">
        <v>-1.7755099999999999E-2</v>
      </c>
      <c r="BB261" s="22">
        <v>251</v>
      </c>
      <c r="BC261" s="22">
        <v>1.16364</v>
      </c>
      <c r="BD261">
        <f t="shared" si="46"/>
        <v>17.755099999999999</v>
      </c>
      <c r="BE261">
        <f t="shared" si="47"/>
        <v>20.665871094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73.733199999999997</v>
      </c>
      <c r="I262" s="22">
        <v>-1.5634200000000001E-2</v>
      </c>
      <c r="J262" s="22">
        <v>252</v>
      </c>
      <c r="K262" s="22">
        <v>0.53042599999999995</v>
      </c>
      <c r="L262">
        <f t="shared" si="36"/>
        <v>15.634200000000002</v>
      </c>
      <c r="M262">
        <f t="shared" si="37"/>
        <v>8.3018540052000009</v>
      </c>
      <c r="N262" s="9"/>
      <c r="O262" s="22">
        <v>1.1689799999999999</v>
      </c>
      <c r="P262" s="22">
        <v>189.07499999999999</v>
      </c>
      <c r="Q262" s="22">
        <v>-1.44531E-2</v>
      </c>
      <c r="R262" s="22">
        <v>252</v>
      </c>
      <c r="S262" s="22">
        <v>1.1676</v>
      </c>
      <c r="T262">
        <f t="shared" si="38"/>
        <v>14.453099999999999</v>
      </c>
      <c r="U262">
        <f t="shared" si="39"/>
        <v>16.895384837999998</v>
      </c>
      <c r="X262" s="9"/>
      <c r="Y262" s="22">
        <v>0.53100599999999998</v>
      </c>
      <c r="Z262" s="22">
        <v>287.29199999999997</v>
      </c>
      <c r="AA262" s="22">
        <v>-1.7648299999999999E-2</v>
      </c>
      <c r="AB262" s="22">
        <v>252</v>
      </c>
      <c r="AC262" s="22">
        <v>0.53039599999999998</v>
      </c>
      <c r="AD262">
        <f t="shared" si="40"/>
        <v>17.648299999999999</v>
      </c>
      <c r="AE262">
        <f t="shared" si="41"/>
        <v>9.3713531897999989</v>
      </c>
      <c r="AF262" s="9"/>
      <c r="AG262" s="22">
        <v>1.1689799999999999</v>
      </c>
      <c r="AH262" s="22">
        <v>363.02699999999999</v>
      </c>
      <c r="AI262" s="22">
        <v>-1.7346199999999999E-2</v>
      </c>
      <c r="AJ262" s="22">
        <v>252</v>
      </c>
      <c r="AK262" s="22">
        <v>1.16821</v>
      </c>
      <c r="AL262">
        <f t="shared" si="42"/>
        <v>17.3462</v>
      </c>
      <c r="AM262">
        <f t="shared" si="43"/>
        <v>20.277360875999999</v>
      </c>
      <c r="AP262" s="9"/>
      <c r="AQ262" s="22">
        <v>0.53100599999999998</v>
      </c>
      <c r="AR262" s="22">
        <v>435.23</v>
      </c>
      <c r="AS262" s="22">
        <v>-1.8164099999999999E-2</v>
      </c>
      <c r="AT262" s="22">
        <v>252</v>
      </c>
      <c r="AU262" s="22">
        <v>0.530304</v>
      </c>
      <c r="AV262">
        <f t="shared" si="44"/>
        <v>18.164099999999998</v>
      </c>
      <c r="AW262">
        <f t="shared" si="45"/>
        <v>9.6452460845999983</v>
      </c>
      <c r="AX262" s="9"/>
      <c r="AY262" s="22">
        <v>1.1689799999999999</v>
      </c>
      <c r="AZ262" s="22">
        <v>508.64299999999997</v>
      </c>
      <c r="BA262" s="22">
        <v>-1.7749000000000001E-2</v>
      </c>
      <c r="BB262" s="22">
        <v>252</v>
      </c>
      <c r="BC262" s="22">
        <v>1.16821</v>
      </c>
      <c r="BD262">
        <f t="shared" si="46"/>
        <v>17.749000000000002</v>
      </c>
      <c r="BE262">
        <f t="shared" si="47"/>
        <v>20.748226020000001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73.8339</v>
      </c>
      <c r="I263" s="22">
        <v>-1.5649400000000001E-2</v>
      </c>
      <c r="J263" s="22">
        <v>253</v>
      </c>
      <c r="K263" s="22">
        <v>0.525482</v>
      </c>
      <c r="L263">
        <f t="shared" si="36"/>
        <v>15.6494</v>
      </c>
      <c r="M263">
        <f t="shared" si="37"/>
        <v>8.2311149180000012</v>
      </c>
      <c r="N263" s="9"/>
      <c r="O263" s="22">
        <v>1.17401</v>
      </c>
      <c r="P263" s="22">
        <v>189.17599999999999</v>
      </c>
      <c r="Q263" s="22">
        <v>-1.4444E-2</v>
      </c>
      <c r="R263" s="22">
        <v>253</v>
      </c>
      <c r="S263" s="22">
        <v>1.17279</v>
      </c>
      <c r="T263">
        <f t="shared" si="38"/>
        <v>14.444000000000001</v>
      </c>
      <c r="U263">
        <f t="shared" si="39"/>
        <v>16.957400440000001</v>
      </c>
      <c r="X263" s="9"/>
      <c r="Y263" s="22">
        <v>0.52597000000000005</v>
      </c>
      <c r="Z263" s="22">
        <v>287.39299999999997</v>
      </c>
      <c r="AA263" s="22">
        <v>-1.7639200000000001E-2</v>
      </c>
      <c r="AB263" s="22">
        <v>253</v>
      </c>
      <c r="AC263" s="22">
        <v>0.52539100000000005</v>
      </c>
      <c r="AD263">
        <f t="shared" si="40"/>
        <v>17.639200000000002</v>
      </c>
      <c r="AE263">
        <f t="shared" si="41"/>
        <v>9.2776900240000018</v>
      </c>
      <c r="AF263" s="9"/>
      <c r="AG263" s="22">
        <v>1.17401</v>
      </c>
      <c r="AH263" s="22">
        <v>363.12799999999999</v>
      </c>
      <c r="AI263" s="22">
        <v>-1.73431E-2</v>
      </c>
      <c r="AJ263" s="22">
        <v>253</v>
      </c>
      <c r="AK263" s="22">
        <v>1.17279</v>
      </c>
      <c r="AL263">
        <f t="shared" si="42"/>
        <v>17.3431</v>
      </c>
      <c r="AM263">
        <f t="shared" si="43"/>
        <v>20.360972830999998</v>
      </c>
      <c r="AP263" s="9"/>
      <c r="AQ263" s="22">
        <v>0.52597000000000005</v>
      </c>
      <c r="AR263" s="22">
        <v>435.33100000000002</v>
      </c>
      <c r="AS263" s="22">
        <v>-1.8161E-2</v>
      </c>
      <c r="AT263" s="22">
        <v>253</v>
      </c>
      <c r="AU263" s="22">
        <v>0.525146</v>
      </c>
      <c r="AV263">
        <f t="shared" si="44"/>
        <v>18.161000000000001</v>
      </c>
      <c r="AW263">
        <f t="shared" si="45"/>
        <v>9.5521411700000023</v>
      </c>
      <c r="AX263" s="9"/>
      <c r="AY263" s="22">
        <v>1.17401</v>
      </c>
      <c r="AZ263" s="22">
        <v>508.74400000000003</v>
      </c>
      <c r="BA263" s="22">
        <v>-1.77521E-2</v>
      </c>
      <c r="BB263" s="22">
        <v>253</v>
      </c>
      <c r="BC263" s="22">
        <v>1.17279</v>
      </c>
      <c r="BD263">
        <f t="shared" si="46"/>
        <v>17.752099999999999</v>
      </c>
      <c r="BE263">
        <f t="shared" si="47"/>
        <v>20.841142920999999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73.934600000000003</v>
      </c>
      <c r="I264" s="22">
        <v>-1.5649400000000001E-2</v>
      </c>
      <c r="J264" s="22">
        <v>254</v>
      </c>
      <c r="K264" s="22">
        <v>0.52044699999999999</v>
      </c>
      <c r="L264">
        <f t="shared" si="36"/>
        <v>15.6494</v>
      </c>
      <c r="M264">
        <f t="shared" si="37"/>
        <v>8.152320189000001</v>
      </c>
      <c r="N264" s="9"/>
      <c r="O264" s="22">
        <v>1.1790499999999999</v>
      </c>
      <c r="P264" s="22">
        <v>189.27699999999999</v>
      </c>
      <c r="Q264" s="22">
        <v>-1.4428699999999999E-2</v>
      </c>
      <c r="R264" s="22">
        <v>254</v>
      </c>
      <c r="S264" s="22">
        <v>1.17828</v>
      </c>
      <c r="T264">
        <f t="shared" si="38"/>
        <v>14.428699999999999</v>
      </c>
      <c r="U264">
        <f t="shared" si="39"/>
        <v>17.012158734999996</v>
      </c>
      <c r="X264" s="9"/>
      <c r="Y264" s="22">
        <v>0.52093500000000004</v>
      </c>
      <c r="Z264" s="22">
        <v>287.49299999999999</v>
      </c>
      <c r="AA264" s="22">
        <v>-1.7648299999999999E-2</v>
      </c>
      <c r="AB264" s="22">
        <v>254</v>
      </c>
      <c r="AC264" s="22">
        <v>0.52053799999999995</v>
      </c>
      <c r="AD264">
        <f t="shared" si="40"/>
        <v>17.648299999999999</v>
      </c>
      <c r="AE264">
        <f t="shared" si="41"/>
        <v>9.1936171605000006</v>
      </c>
      <c r="AF264" s="9"/>
      <c r="AG264" s="22">
        <v>1.1790499999999999</v>
      </c>
      <c r="AH264" s="22">
        <v>363.22800000000001</v>
      </c>
      <c r="AI264" s="22">
        <v>-1.7349199999999999E-2</v>
      </c>
      <c r="AJ264" s="22">
        <v>254</v>
      </c>
      <c r="AK264" s="22">
        <v>1.17828</v>
      </c>
      <c r="AL264">
        <f t="shared" si="42"/>
        <v>17.3492</v>
      </c>
      <c r="AM264">
        <f t="shared" si="43"/>
        <v>20.455574259999999</v>
      </c>
      <c r="AP264" s="9"/>
      <c r="AQ264" s="22">
        <v>0.52093500000000004</v>
      </c>
      <c r="AR264" s="22">
        <v>435.43200000000002</v>
      </c>
      <c r="AS264" s="22">
        <v>-1.8161E-2</v>
      </c>
      <c r="AT264" s="22">
        <v>254</v>
      </c>
      <c r="AU264" s="22">
        <v>0.52029400000000003</v>
      </c>
      <c r="AV264">
        <f t="shared" si="44"/>
        <v>18.161000000000001</v>
      </c>
      <c r="AW264">
        <f t="shared" si="45"/>
        <v>9.4607005350000009</v>
      </c>
      <c r="AX264" s="9"/>
      <c r="AY264" s="22">
        <v>1.1790499999999999</v>
      </c>
      <c r="AZ264" s="22">
        <v>508.84500000000003</v>
      </c>
      <c r="BA264" s="22">
        <v>-1.7746000000000001E-2</v>
      </c>
      <c r="BB264" s="22">
        <v>254</v>
      </c>
      <c r="BC264" s="22">
        <v>1.17767</v>
      </c>
      <c r="BD264">
        <f t="shared" si="46"/>
        <v>17.746000000000002</v>
      </c>
      <c r="BE264">
        <f t="shared" si="47"/>
        <v>20.923421300000001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74.035300000000007</v>
      </c>
      <c r="I265" s="22">
        <v>-1.5658600000000002E-2</v>
      </c>
      <c r="J265" s="22">
        <v>255</v>
      </c>
      <c r="K265" s="22">
        <v>0.51532</v>
      </c>
      <c r="L265">
        <f t="shared" si="36"/>
        <v>15.658600000000002</v>
      </c>
      <c r="M265">
        <f t="shared" si="37"/>
        <v>8.0782717400000017</v>
      </c>
      <c r="N265" s="9"/>
      <c r="O265" s="22">
        <v>1.18408</v>
      </c>
      <c r="P265" s="22">
        <v>189.37700000000001</v>
      </c>
      <c r="Q265" s="22">
        <v>-1.4413499999999999E-2</v>
      </c>
      <c r="R265" s="22">
        <v>255</v>
      </c>
      <c r="S265" s="22">
        <v>1.18347</v>
      </c>
      <c r="T265">
        <f t="shared" si="38"/>
        <v>14.413499999999999</v>
      </c>
      <c r="U265">
        <f t="shared" si="39"/>
        <v>17.066737079999999</v>
      </c>
      <c r="X265" s="9"/>
      <c r="Y265" s="22">
        <v>0.51590000000000003</v>
      </c>
      <c r="Z265" s="22">
        <v>287.59399999999999</v>
      </c>
      <c r="AA265" s="22">
        <v>-1.76575E-2</v>
      </c>
      <c r="AB265" s="22">
        <v>255</v>
      </c>
      <c r="AC265" s="22">
        <v>0.51534999999999997</v>
      </c>
      <c r="AD265">
        <f t="shared" si="40"/>
        <v>17.657499999999999</v>
      </c>
      <c r="AE265">
        <f t="shared" si="41"/>
        <v>9.1095042500000005</v>
      </c>
      <c r="AF265" s="9"/>
      <c r="AG265" s="22">
        <v>1.18408</v>
      </c>
      <c r="AH265" s="22">
        <v>363.32900000000001</v>
      </c>
      <c r="AI265" s="22">
        <v>-1.7346199999999999E-2</v>
      </c>
      <c r="AJ265" s="22">
        <v>255</v>
      </c>
      <c r="AK265" s="22">
        <v>1.18408</v>
      </c>
      <c r="AL265">
        <f t="shared" si="42"/>
        <v>17.3462</v>
      </c>
      <c r="AM265">
        <f t="shared" si="43"/>
        <v>20.539288496000001</v>
      </c>
      <c r="AP265" s="9"/>
      <c r="AQ265" s="22">
        <v>0.51590000000000003</v>
      </c>
      <c r="AR265" s="22">
        <v>435.53199999999998</v>
      </c>
      <c r="AS265" s="22">
        <v>-1.8164099999999999E-2</v>
      </c>
      <c r="AT265" s="22">
        <v>255</v>
      </c>
      <c r="AU265" s="22">
        <v>0.51473999999999998</v>
      </c>
      <c r="AV265">
        <f t="shared" si="44"/>
        <v>18.164099999999998</v>
      </c>
      <c r="AW265">
        <f t="shared" si="45"/>
        <v>9.3708591899999991</v>
      </c>
      <c r="AX265" s="9"/>
      <c r="AY265" s="22">
        <v>1.18408</v>
      </c>
      <c r="AZ265" s="22">
        <v>508.94600000000003</v>
      </c>
      <c r="BA265" s="22">
        <v>-1.77521E-2</v>
      </c>
      <c r="BB265" s="22">
        <v>255</v>
      </c>
      <c r="BC265" s="22">
        <v>1.18347</v>
      </c>
      <c r="BD265">
        <f t="shared" si="46"/>
        <v>17.752099999999999</v>
      </c>
      <c r="BE265">
        <f t="shared" si="47"/>
        <v>21.019906568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74.135999999999996</v>
      </c>
      <c r="I266" s="22">
        <v>-1.5658600000000002E-2</v>
      </c>
      <c r="J266" s="22">
        <v>256</v>
      </c>
      <c r="K266" s="22">
        <v>0.51049800000000001</v>
      </c>
      <c r="L266">
        <f t="shared" si="36"/>
        <v>15.658600000000002</v>
      </c>
      <c r="M266">
        <f t="shared" si="37"/>
        <v>7.9994150304000007</v>
      </c>
      <c r="N266" s="9"/>
      <c r="O266" s="22">
        <v>1.18912</v>
      </c>
      <c r="P266" s="22">
        <v>189.47800000000001</v>
      </c>
      <c r="Q266" s="22">
        <v>-1.4419599999999999E-2</v>
      </c>
      <c r="R266" s="22">
        <v>256</v>
      </c>
      <c r="S266" s="22">
        <v>1.1880500000000001</v>
      </c>
      <c r="T266">
        <f t="shared" si="38"/>
        <v>14.419599999999999</v>
      </c>
      <c r="U266">
        <f t="shared" si="39"/>
        <v>17.146634751999997</v>
      </c>
      <c r="X266" s="9"/>
      <c r="Y266" s="22">
        <v>0.51086399999999998</v>
      </c>
      <c r="Z266" s="22">
        <v>287.69499999999999</v>
      </c>
      <c r="AA266" s="22">
        <v>-1.7651400000000001E-2</v>
      </c>
      <c r="AB266" s="22">
        <v>256</v>
      </c>
      <c r="AC266" s="22">
        <v>0.51025399999999999</v>
      </c>
      <c r="AD266">
        <f t="shared" si="40"/>
        <v>17.651400000000002</v>
      </c>
      <c r="AE266">
        <f t="shared" si="41"/>
        <v>9.0174648096000016</v>
      </c>
      <c r="AF266" s="9"/>
      <c r="AG266" s="22">
        <v>1.18912</v>
      </c>
      <c r="AH266" s="22">
        <v>363.43</v>
      </c>
      <c r="AI266" s="22">
        <v>-1.7340100000000001E-2</v>
      </c>
      <c r="AJ266" s="22">
        <v>256</v>
      </c>
      <c r="AK266" s="22">
        <v>1.1880500000000001</v>
      </c>
      <c r="AL266">
        <f t="shared" si="42"/>
        <v>17.3401</v>
      </c>
      <c r="AM266">
        <f t="shared" si="43"/>
        <v>20.619459711999998</v>
      </c>
      <c r="AP266" s="9"/>
      <c r="AQ266" s="22">
        <v>0.51086399999999998</v>
      </c>
      <c r="AR266" s="22">
        <v>435.63299999999998</v>
      </c>
      <c r="AS266" s="22">
        <v>-1.8164099999999999E-2</v>
      </c>
      <c r="AT266" s="22">
        <v>256</v>
      </c>
      <c r="AU266" s="22">
        <v>0.51028399999999996</v>
      </c>
      <c r="AV266">
        <f t="shared" si="44"/>
        <v>18.164099999999998</v>
      </c>
      <c r="AW266">
        <f t="shared" si="45"/>
        <v>9.2793847823999993</v>
      </c>
      <c r="AX266" s="9"/>
      <c r="AY266" s="22">
        <v>1.18912</v>
      </c>
      <c r="AZ266" s="22">
        <v>509.04599999999999</v>
      </c>
      <c r="BA266" s="22">
        <v>-1.7749000000000001E-2</v>
      </c>
      <c r="BB266" s="22">
        <v>256</v>
      </c>
      <c r="BC266" s="22">
        <v>1.1880500000000001</v>
      </c>
      <c r="BD266">
        <f t="shared" si="46"/>
        <v>17.749000000000002</v>
      </c>
      <c r="BE266">
        <f t="shared" si="47"/>
        <v>21.105690880000001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74.236699999999999</v>
      </c>
      <c r="I267" s="22">
        <v>-1.5670799999999999E-2</v>
      </c>
      <c r="J267" s="22">
        <v>257</v>
      </c>
      <c r="K267" s="22">
        <v>0.50524899999999995</v>
      </c>
      <c r="L267">
        <f t="shared" si="36"/>
        <v>15.670799999999998</v>
      </c>
      <c r="M267">
        <f t="shared" si="37"/>
        <v>7.9267450931999983</v>
      </c>
      <c r="N267" s="9"/>
      <c r="O267" s="22">
        <v>1.19415</v>
      </c>
      <c r="P267" s="22">
        <v>189.57900000000001</v>
      </c>
      <c r="Q267" s="22">
        <v>-1.43982E-2</v>
      </c>
      <c r="R267" s="22">
        <v>257</v>
      </c>
      <c r="S267" s="22">
        <v>1.19293</v>
      </c>
      <c r="T267">
        <f t="shared" si="38"/>
        <v>14.398199999999999</v>
      </c>
      <c r="U267">
        <f t="shared" si="39"/>
        <v>17.193610530000001</v>
      </c>
      <c r="X267" s="9"/>
      <c r="Y267" s="22">
        <v>0.50582899999999997</v>
      </c>
      <c r="Z267" s="22">
        <v>287.79500000000002</v>
      </c>
      <c r="AA267" s="22">
        <v>-1.7654400000000001E-2</v>
      </c>
      <c r="AB267" s="22">
        <v>257</v>
      </c>
      <c r="AC267" s="22">
        <v>0.50531000000000004</v>
      </c>
      <c r="AD267">
        <f t="shared" si="40"/>
        <v>17.654399999999999</v>
      </c>
      <c r="AE267">
        <f t="shared" si="41"/>
        <v>8.9301074975999999</v>
      </c>
      <c r="AF267" s="9"/>
      <c r="AG267" s="22">
        <v>1.19415</v>
      </c>
      <c r="AH267" s="22">
        <v>363.53100000000001</v>
      </c>
      <c r="AI267" s="22">
        <v>-1.7340100000000001E-2</v>
      </c>
      <c r="AJ267" s="22">
        <v>257</v>
      </c>
      <c r="AK267" s="22">
        <v>1.1938500000000001</v>
      </c>
      <c r="AL267">
        <f t="shared" si="42"/>
        <v>17.3401</v>
      </c>
      <c r="AM267">
        <f t="shared" si="43"/>
        <v>20.706680415000001</v>
      </c>
      <c r="AP267" s="9"/>
      <c r="AQ267" s="22">
        <v>0.50582899999999997</v>
      </c>
      <c r="AR267" s="22">
        <v>435.73399999999998</v>
      </c>
      <c r="AS267" s="22">
        <v>-1.81732E-2</v>
      </c>
      <c r="AT267" s="22">
        <v>257</v>
      </c>
      <c r="AU267" s="22">
        <v>0.50537100000000001</v>
      </c>
      <c r="AV267">
        <f t="shared" si="44"/>
        <v>18.173200000000001</v>
      </c>
      <c r="AW267">
        <f t="shared" si="45"/>
        <v>9.1925315828000009</v>
      </c>
      <c r="AX267" s="9"/>
      <c r="AY267" s="22">
        <v>1.19415</v>
      </c>
      <c r="AZ267" s="22">
        <v>509.14699999999999</v>
      </c>
      <c r="BA267" s="22">
        <v>-1.7733800000000001E-2</v>
      </c>
      <c r="BB267" s="22">
        <v>257</v>
      </c>
      <c r="BC267" s="22">
        <v>1.1938500000000001</v>
      </c>
      <c r="BD267">
        <f t="shared" si="46"/>
        <v>17.733800000000002</v>
      </c>
      <c r="BE267">
        <f t="shared" si="47"/>
        <v>21.176817270000004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74.337400000000002</v>
      </c>
      <c r="I268" s="22">
        <v>-1.56647E-2</v>
      </c>
      <c r="J268" s="22">
        <v>258</v>
      </c>
      <c r="K268" s="22">
        <v>0.50024400000000002</v>
      </c>
      <c r="L268">
        <f t="shared" ref="L268:L331" si="48">-I268/$F$2*1000</f>
        <v>15.6647</v>
      </c>
      <c r="M268">
        <f t="shared" ref="M268:M331" si="49">L268*G268</f>
        <v>7.8447721071000007</v>
      </c>
      <c r="N268" s="9"/>
      <c r="O268" s="22">
        <v>1.19919</v>
      </c>
      <c r="P268" s="22">
        <v>189.679</v>
      </c>
      <c r="Q268" s="22">
        <v>-1.4379899999999999E-2</v>
      </c>
      <c r="R268" s="22">
        <v>258</v>
      </c>
      <c r="S268" s="22">
        <v>1.1984300000000001</v>
      </c>
      <c r="T268">
        <f t="shared" ref="T268:T331" si="50">-Q268/$F$2*1000</f>
        <v>14.379899999999999</v>
      </c>
      <c r="U268">
        <f t="shared" ref="U268:U331" si="51">T268*O268</f>
        <v>17.244232280999999</v>
      </c>
      <c r="X268" s="9"/>
      <c r="Y268" s="22">
        <v>0.50079300000000004</v>
      </c>
      <c r="Z268" s="22">
        <v>287.89600000000002</v>
      </c>
      <c r="AA268" s="22">
        <v>-1.7654400000000001E-2</v>
      </c>
      <c r="AB268" s="22">
        <v>258</v>
      </c>
      <c r="AC268" s="22">
        <v>0.50021400000000005</v>
      </c>
      <c r="AD268">
        <f t="shared" ref="AD268:AD331" si="52">-AA268/$F$2*1000</f>
        <v>17.654399999999999</v>
      </c>
      <c r="AE268">
        <f t="shared" ref="AE268:AE331" si="53">AD268*Y268</f>
        <v>8.8411999392000009</v>
      </c>
      <c r="AF268" s="9"/>
      <c r="AG268" s="22">
        <v>1.19919</v>
      </c>
      <c r="AH268" s="22">
        <v>363.63099999999997</v>
      </c>
      <c r="AI268" s="22">
        <v>-1.7340100000000001E-2</v>
      </c>
      <c r="AJ268" s="22">
        <v>258</v>
      </c>
      <c r="AK268" s="22">
        <v>1.1984300000000001</v>
      </c>
      <c r="AL268">
        <f t="shared" ref="AL268:AL331" si="54">-AI268/$F$2*1000</f>
        <v>17.3401</v>
      </c>
      <c r="AM268">
        <f t="shared" ref="AM268:AM331" si="55">AL268*AG268</f>
        <v>20.794074518999999</v>
      </c>
      <c r="AP268" s="9"/>
      <c r="AQ268" s="22">
        <v>0.50079300000000004</v>
      </c>
      <c r="AR268" s="22">
        <v>435.834</v>
      </c>
      <c r="AS268" s="22">
        <v>-1.8167099999999999E-2</v>
      </c>
      <c r="AT268" s="22">
        <v>258</v>
      </c>
      <c r="AU268" s="22">
        <v>0.50024400000000002</v>
      </c>
      <c r="AV268">
        <f t="shared" ref="AV268:AV331" si="56">-AS268/$F$2*1000</f>
        <v>18.167099999999998</v>
      </c>
      <c r="AW268">
        <f t="shared" ref="AW268:AW331" si="57">AV268*AQ268</f>
        <v>9.0979565102999995</v>
      </c>
      <c r="AX268" s="9"/>
      <c r="AY268" s="22">
        <v>1.19919</v>
      </c>
      <c r="AZ268" s="22">
        <v>509.24799999999999</v>
      </c>
      <c r="BA268" s="22">
        <v>-1.77368E-2</v>
      </c>
      <c r="BB268" s="22">
        <v>258</v>
      </c>
      <c r="BC268" s="22">
        <v>1.1981200000000001</v>
      </c>
      <c r="BD268">
        <f t="shared" ref="BD268:BD331" si="58">-BA268/$F$2*1000</f>
        <v>17.736799999999999</v>
      </c>
      <c r="BE268">
        <f t="shared" ref="BE268:BE331" si="59">BD268*AY268</f>
        <v>21.269793191999998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74.438100000000006</v>
      </c>
      <c r="I269" s="22">
        <v>-1.5655499999999999E-2</v>
      </c>
      <c r="J269" s="22">
        <v>259</v>
      </c>
      <c r="K269" s="22">
        <v>0.49533100000000002</v>
      </c>
      <c r="L269">
        <f t="shared" si="48"/>
        <v>15.6555</v>
      </c>
      <c r="M269">
        <f t="shared" si="49"/>
        <v>7.7613393689999999</v>
      </c>
      <c r="N269" s="9"/>
      <c r="O269" s="22">
        <v>1.2042200000000001</v>
      </c>
      <c r="P269" s="22">
        <v>189.78</v>
      </c>
      <c r="Q269" s="22">
        <v>-1.43555E-2</v>
      </c>
      <c r="R269" s="22">
        <v>259</v>
      </c>
      <c r="S269" s="22">
        <v>1.2033100000000001</v>
      </c>
      <c r="T269">
        <f t="shared" si="50"/>
        <v>14.355500000000001</v>
      </c>
      <c r="U269">
        <f t="shared" si="51"/>
        <v>17.287180210000002</v>
      </c>
      <c r="X269" s="9"/>
      <c r="Y269" s="22">
        <v>0.49575799999999998</v>
      </c>
      <c r="Z269" s="22">
        <v>287.99700000000001</v>
      </c>
      <c r="AA269" s="22">
        <v>-1.76575E-2</v>
      </c>
      <c r="AB269" s="22">
        <v>259</v>
      </c>
      <c r="AC269" s="22">
        <v>0.49526999999999999</v>
      </c>
      <c r="AD269">
        <f t="shared" si="52"/>
        <v>17.657499999999999</v>
      </c>
      <c r="AE269">
        <f t="shared" si="53"/>
        <v>8.7538468849999997</v>
      </c>
      <c r="AF269" s="9"/>
      <c r="AG269" s="22">
        <v>1.2042200000000001</v>
      </c>
      <c r="AH269" s="22">
        <v>363.73200000000003</v>
      </c>
      <c r="AI269" s="22">
        <v>-1.7337000000000002E-2</v>
      </c>
      <c r="AJ269" s="22">
        <v>259</v>
      </c>
      <c r="AK269" s="22">
        <v>1.2036100000000001</v>
      </c>
      <c r="AL269">
        <f t="shared" si="54"/>
        <v>17.337000000000003</v>
      </c>
      <c r="AM269">
        <f t="shared" si="55"/>
        <v>20.877562140000006</v>
      </c>
      <c r="AP269" s="9"/>
      <c r="AQ269" s="22">
        <v>0.49575799999999998</v>
      </c>
      <c r="AR269" s="22">
        <v>435.935</v>
      </c>
      <c r="AS269" s="22">
        <v>-1.8170200000000001E-2</v>
      </c>
      <c r="AT269" s="22">
        <v>259</v>
      </c>
      <c r="AU269" s="22">
        <v>0.49517800000000001</v>
      </c>
      <c r="AV269">
        <f t="shared" si="56"/>
        <v>18.170200000000001</v>
      </c>
      <c r="AW269">
        <f t="shared" si="57"/>
        <v>9.0080220115999996</v>
      </c>
      <c r="AX269" s="9"/>
      <c r="AY269" s="22">
        <v>1.2042200000000001</v>
      </c>
      <c r="AZ269" s="22">
        <v>509.34800000000001</v>
      </c>
      <c r="BA269" s="22">
        <v>-1.77246E-2</v>
      </c>
      <c r="BB269" s="22">
        <v>259</v>
      </c>
      <c r="BC269" s="22">
        <v>1.2036100000000001</v>
      </c>
      <c r="BD269">
        <f t="shared" si="58"/>
        <v>17.724599999999999</v>
      </c>
      <c r="BE269">
        <f t="shared" si="59"/>
        <v>21.344317812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74.538799999999995</v>
      </c>
      <c r="I270" s="22">
        <v>-1.5646400000000001E-2</v>
      </c>
      <c r="J270" s="22">
        <v>260</v>
      </c>
      <c r="K270" s="22">
        <v>0.49026500000000001</v>
      </c>
      <c r="L270">
        <f t="shared" si="48"/>
        <v>15.646400000000002</v>
      </c>
      <c r="M270">
        <f t="shared" si="49"/>
        <v>7.6780483472000007</v>
      </c>
      <c r="N270" s="9"/>
      <c r="O270" s="22">
        <v>1.20926</v>
      </c>
      <c r="P270" s="22">
        <v>189.881</v>
      </c>
      <c r="Q270" s="22">
        <v>-1.4306599999999999E-2</v>
      </c>
      <c r="R270" s="22">
        <v>260</v>
      </c>
      <c r="S270" s="22">
        <v>1.2075800000000001</v>
      </c>
      <c r="T270">
        <f t="shared" si="50"/>
        <v>14.3066</v>
      </c>
      <c r="U270">
        <f t="shared" si="51"/>
        <v>17.300399115999998</v>
      </c>
      <c r="X270" s="9"/>
      <c r="Y270" s="22">
        <v>0.49072300000000002</v>
      </c>
      <c r="Z270" s="22">
        <v>288.09699999999998</v>
      </c>
      <c r="AA270" s="22">
        <v>-1.76575E-2</v>
      </c>
      <c r="AB270" s="22">
        <v>260</v>
      </c>
      <c r="AC270" s="22">
        <v>0.490143</v>
      </c>
      <c r="AD270">
        <f t="shared" si="52"/>
        <v>17.657499999999999</v>
      </c>
      <c r="AE270">
        <f t="shared" si="53"/>
        <v>8.6649413724999995</v>
      </c>
      <c r="AF270" s="9"/>
      <c r="AG270" s="22">
        <v>1.20926</v>
      </c>
      <c r="AH270" s="22">
        <v>363.83300000000003</v>
      </c>
      <c r="AI270" s="22">
        <v>-1.7324800000000001E-2</v>
      </c>
      <c r="AJ270" s="22">
        <v>260</v>
      </c>
      <c r="AK270" s="22">
        <v>1.2088000000000001</v>
      </c>
      <c r="AL270">
        <f t="shared" si="54"/>
        <v>17.3248</v>
      </c>
      <c r="AM270">
        <f t="shared" si="55"/>
        <v>20.950187648</v>
      </c>
      <c r="AP270" s="9"/>
      <c r="AQ270" s="22">
        <v>0.49072300000000002</v>
      </c>
      <c r="AR270" s="22">
        <v>436.036</v>
      </c>
      <c r="AS270" s="22">
        <v>-1.8170200000000001E-2</v>
      </c>
      <c r="AT270" s="22">
        <v>260</v>
      </c>
      <c r="AU270" s="22">
        <v>0.49066199999999999</v>
      </c>
      <c r="AV270">
        <f t="shared" si="56"/>
        <v>18.170200000000001</v>
      </c>
      <c r="AW270">
        <f t="shared" si="57"/>
        <v>8.9165350546000006</v>
      </c>
      <c r="AX270" s="9"/>
      <c r="AY270" s="22">
        <v>1.20926</v>
      </c>
      <c r="AZ270" s="22">
        <v>509.44900000000001</v>
      </c>
      <c r="BA270" s="22">
        <v>-1.7733800000000001E-2</v>
      </c>
      <c r="BB270" s="22">
        <v>260</v>
      </c>
      <c r="BC270" s="22">
        <v>1.2084999999999999</v>
      </c>
      <c r="BD270">
        <f t="shared" si="58"/>
        <v>17.733800000000002</v>
      </c>
      <c r="BE270">
        <f t="shared" si="59"/>
        <v>21.444774988000002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74.639499999999998</v>
      </c>
      <c r="I271" s="22">
        <v>-1.56372E-2</v>
      </c>
      <c r="J271" s="22">
        <v>261</v>
      </c>
      <c r="K271" s="22">
        <v>0.48516799999999999</v>
      </c>
      <c r="L271">
        <f t="shared" si="48"/>
        <v>15.6372</v>
      </c>
      <c r="M271">
        <f t="shared" si="49"/>
        <v>7.5947847563999993</v>
      </c>
      <c r="N271" s="9"/>
      <c r="O271" s="22">
        <v>1.2142900000000001</v>
      </c>
      <c r="P271" s="22">
        <v>189.982</v>
      </c>
      <c r="Q271" s="22">
        <v>-1.43036E-2</v>
      </c>
      <c r="R271" s="22">
        <v>261</v>
      </c>
      <c r="S271" s="22">
        <v>1.2130700000000001</v>
      </c>
      <c r="T271">
        <f t="shared" si="50"/>
        <v>14.303599999999999</v>
      </c>
      <c r="U271">
        <f t="shared" si="51"/>
        <v>17.368718443999999</v>
      </c>
      <c r="X271" s="9"/>
      <c r="Y271" s="22">
        <v>0.48568699999999998</v>
      </c>
      <c r="Z271" s="22">
        <v>288.19799999999998</v>
      </c>
      <c r="AA271" s="22">
        <v>-1.76575E-2</v>
      </c>
      <c r="AB271" s="22">
        <v>261</v>
      </c>
      <c r="AC271" s="22">
        <v>0.48492400000000002</v>
      </c>
      <c r="AD271">
        <f t="shared" si="52"/>
        <v>17.657499999999999</v>
      </c>
      <c r="AE271">
        <f t="shared" si="53"/>
        <v>8.5760182024999985</v>
      </c>
      <c r="AF271" s="9"/>
      <c r="AG271" s="22">
        <v>1.2142900000000001</v>
      </c>
      <c r="AH271" s="22">
        <v>363.93299999999999</v>
      </c>
      <c r="AI271" s="22">
        <v>-1.7333999999999999E-2</v>
      </c>
      <c r="AJ271" s="22">
        <v>261</v>
      </c>
      <c r="AK271" s="22">
        <v>1.2142900000000001</v>
      </c>
      <c r="AL271">
        <f t="shared" si="54"/>
        <v>17.334</v>
      </c>
      <c r="AM271">
        <f t="shared" si="55"/>
        <v>21.048502860000003</v>
      </c>
      <c r="AP271" s="9"/>
      <c r="AQ271" s="22">
        <v>0.48568699999999998</v>
      </c>
      <c r="AR271" s="22">
        <v>436.137</v>
      </c>
      <c r="AS271" s="22">
        <v>-1.8170200000000001E-2</v>
      </c>
      <c r="AT271" s="22">
        <v>261</v>
      </c>
      <c r="AU271" s="22">
        <v>0.48489399999999999</v>
      </c>
      <c r="AV271">
        <f t="shared" si="56"/>
        <v>18.170200000000001</v>
      </c>
      <c r="AW271">
        <f t="shared" si="57"/>
        <v>8.825029927400001</v>
      </c>
      <c r="AX271" s="9"/>
      <c r="AY271" s="22">
        <v>1.2142900000000001</v>
      </c>
      <c r="AZ271" s="22">
        <v>509.55</v>
      </c>
      <c r="BA271" s="22">
        <v>-1.7727699999999999E-2</v>
      </c>
      <c r="BB271" s="22">
        <v>261</v>
      </c>
      <c r="BC271" s="22">
        <v>1.2133799999999999</v>
      </c>
      <c r="BD271">
        <f t="shared" si="58"/>
        <v>17.727699999999999</v>
      </c>
      <c r="BE271">
        <f t="shared" si="59"/>
        <v>21.526568832999999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74.740300000000005</v>
      </c>
      <c r="I272" s="22">
        <v>-1.5649400000000001E-2</v>
      </c>
      <c r="J272" s="22">
        <v>262</v>
      </c>
      <c r="K272" s="22">
        <v>0.48001100000000002</v>
      </c>
      <c r="L272">
        <f t="shared" si="48"/>
        <v>15.6494</v>
      </c>
      <c r="M272">
        <f t="shared" si="49"/>
        <v>7.5219154088</v>
      </c>
      <c r="N272" s="9"/>
      <c r="O272" s="22">
        <v>1.21933</v>
      </c>
      <c r="P272" s="22">
        <v>190.08199999999999</v>
      </c>
      <c r="Q272" s="22">
        <v>-1.4297499999999999E-2</v>
      </c>
      <c r="R272" s="22">
        <v>262</v>
      </c>
      <c r="S272" s="22">
        <v>1.2185699999999999</v>
      </c>
      <c r="T272">
        <f t="shared" si="50"/>
        <v>14.297499999999999</v>
      </c>
      <c r="U272">
        <f t="shared" si="51"/>
        <v>17.433370674999999</v>
      </c>
      <c r="X272" s="9"/>
      <c r="Y272" s="22">
        <v>0.48065200000000002</v>
      </c>
      <c r="Z272" s="22">
        <v>288.29899999999998</v>
      </c>
      <c r="AA272" s="22">
        <v>-1.76575E-2</v>
      </c>
      <c r="AB272" s="22">
        <v>262</v>
      </c>
      <c r="AC272" s="22">
        <v>0.47952299999999998</v>
      </c>
      <c r="AD272">
        <f t="shared" si="52"/>
        <v>17.657499999999999</v>
      </c>
      <c r="AE272">
        <f t="shared" si="53"/>
        <v>8.48711269</v>
      </c>
      <c r="AF272" s="9"/>
      <c r="AG272" s="22">
        <v>1.21933</v>
      </c>
      <c r="AH272" s="22">
        <v>364.03399999999999</v>
      </c>
      <c r="AI272" s="22">
        <v>-1.73279E-2</v>
      </c>
      <c r="AJ272" s="22">
        <v>262</v>
      </c>
      <c r="AK272" s="22">
        <v>1.2182599999999999</v>
      </c>
      <c r="AL272">
        <f t="shared" si="54"/>
        <v>17.3279</v>
      </c>
      <c r="AM272">
        <f t="shared" si="55"/>
        <v>21.128428307</v>
      </c>
      <c r="AP272" s="9"/>
      <c r="AQ272" s="22">
        <v>0.48065200000000002</v>
      </c>
      <c r="AR272" s="22">
        <v>436.23700000000002</v>
      </c>
      <c r="AS272" s="22">
        <v>-1.8170200000000001E-2</v>
      </c>
      <c r="AT272" s="22">
        <v>262</v>
      </c>
      <c r="AU272" s="22">
        <v>0.48019400000000001</v>
      </c>
      <c r="AV272">
        <f t="shared" si="56"/>
        <v>18.170200000000001</v>
      </c>
      <c r="AW272">
        <f t="shared" si="57"/>
        <v>8.7335429704000003</v>
      </c>
      <c r="AX272" s="9"/>
      <c r="AY272" s="22">
        <v>1.21933</v>
      </c>
      <c r="AZ272" s="22">
        <v>509.65</v>
      </c>
      <c r="BA272" s="22">
        <v>-1.7715499999999999E-2</v>
      </c>
      <c r="BB272" s="22">
        <v>262</v>
      </c>
      <c r="BC272" s="22">
        <v>1.2182599999999999</v>
      </c>
      <c r="BD272">
        <f t="shared" si="58"/>
        <v>17.715499999999999</v>
      </c>
      <c r="BE272">
        <f t="shared" si="59"/>
        <v>21.601040614999999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74.840999999999994</v>
      </c>
      <c r="I273" s="22">
        <v>-1.5689100000000001E-2</v>
      </c>
      <c r="J273" s="22">
        <v>263</v>
      </c>
      <c r="K273" s="22">
        <v>0.47509800000000002</v>
      </c>
      <c r="L273">
        <f t="shared" si="48"/>
        <v>15.689100000000002</v>
      </c>
      <c r="M273">
        <f t="shared" si="49"/>
        <v>7.4619869856000003</v>
      </c>
      <c r="N273" s="9"/>
      <c r="O273" s="22">
        <v>1.22437</v>
      </c>
      <c r="P273" s="22">
        <v>190.18299999999999</v>
      </c>
      <c r="Q273" s="22">
        <v>-1.42761E-2</v>
      </c>
      <c r="R273" s="22">
        <v>263</v>
      </c>
      <c r="S273" s="22">
        <v>1.2237499999999999</v>
      </c>
      <c r="T273">
        <f t="shared" si="50"/>
        <v>14.2761</v>
      </c>
      <c r="U273">
        <f t="shared" si="51"/>
        <v>17.479228556999999</v>
      </c>
      <c r="X273" s="9"/>
      <c r="Y273" s="22">
        <v>0.47561599999999998</v>
      </c>
      <c r="Z273" s="22">
        <v>288.39999999999998</v>
      </c>
      <c r="AA273" s="22">
        <v>-1.7675799999999998E-2</v>
      </c>
      <c r="AB273" s="22">
        <v>263</v>
      </c>
      <c r="AC273" s="22">
        <v>0.474823</v>
      </c>
      <c r="AD273">
        <f t="shared" si="52"/>
        <v>17.675799999999999</v>
      </c>
      <c r="AE273">
        <f t="shared" si="53"/>
        <v>8.4068932927999995</v>
      </c>
      <c r="AF273" s="9"/>
      <c r="AG273" s="22">
        <v>1.22437</v>
      </c>
      <c r="AH273" s="22">
        <v>364.13499999999999</v>
      </c>
      <c r="AI273" s="22">
        <v>-1.7324800000000001E-2</v>
      </c>
      <c r="AJ273" s="22">
        <v>263</v>
      </c>
      <c r="AK273" s="22">
        <v>1.2234499999999999</v>
      </c>
      <c r="AL273">
        <f t="shared" si="54"/>
        <v>17.3248</v>
      </c>
      <c r="AM273">
        <f t="shared" si="55"/>
        <v>21.211965375999998</v>
      </c>
      <c r="AP273" s="9"/>
      <c r="AQ273" s="22">
        <v>0.47561599999999998</v>
      </c>
      <c r="AR273" s="22">
        <v>436.33800000000002</v>
      </c>
      <c r="AS273" s="22">
        <v>-1.8176299999999999E-2</v>
      </c>
      <c r="AT273" s="22">
        <v>263</v>
      </c>
      <c r="AU273" s="22">
        <v>0.47503699999999999</v>
      </c>
      <c r="AV273">
        <f t="shared" si="56"/>
        <v>18.176299999999998</v>
      </c>
      <c r="AW273">
        <f t="shared" si="57"/>
        <v>8.6449391007999985</v>
      </c>
      <c r="AX273" s="9"/>
      <c r="AY273" s="22">
        <v>1.22437</v>
      </c>
      <c r="AZ273" s="22">
        <v>509.75099999999998</v>
      </c>
      <c r="BA273" s="22">
        <v>-1.7718500000000002E-2</v>
      </c>
      <c r="BB273" s="22">
        <v>263</v>
      </c>
      <c r="BC273" s="22">
        <v>1.2231399999999999</v>
      </c>
      <c r="BD273">
        <f t="shared" si="58"/>
        <v>17.718500000000002</v>
      </c>
      <c r="BE273">
        <f t="shared" si="59"/>
        <v>21.693999845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74.941699999999997</v>
      </c>
      <c r="I274" s="22">
        <v>-1.5698199999999999E-2</v>
      </c>
      <c r="J274" s="22">
        <v>264</v>
      </c>
      <c r="K274" s="22">
        <v>0.47012300000000001</v>
      </c>
      <c r="L274">
        <f t="shared" si="48"/>
        <v>15.698199999999998</v>
      </c>
      <c r="M274">
        <f t="shared" si="49"/>
        <v>7.3872746541999996</v>
      </c>
      <c r="N274" s="9"/>
      <c r="O274" s="22">
        <v>1.2294</v>
      </c>
      <c r="P274" s="22">
        <v>190.28399999999999</v>
      </c>
      <c r="Q274" s="22">
        <v>-1.42731E-2</v>
      </c>
      <c r="R274" s="22">
        <v>264</v>
      </c>
      <c r="S274" s="22">
        <v>1.22864</v>
      </c>
      <c r="T274">
        <f t="shared" si="50"/>
        <v>14.273100000000001</v>
      </c>
      <c r="U274">
        <f t="shared" si="51"/>
        <v>17.547349140000001</v>
      </c>
      <c r="X274" s="9"/>
      <c r="Y274" s="22">
        <v>0.47058100000000003</v>
      </c>
      <c r="Z274" s="22">
        <v>288.5</v>
      </c>
      <c r="AA274" s="22">
        <v>-1.7690999999999998E-2</v>
      </c>
      <c r="AB274" s="22">
        <v>264</v>
      </c>
      <c r="AC274" s="22">
        <v>0.46990999999999999</v>
      </c>
      <c r="AD274">
        <f t="shared" si="52"/>
        <v>17.690999999999999</v>
      </c>
      <c r="AE274">
        <f t="shared" si="53"/>
        <v>8.3250484710000006</v>
      </c>
      <c r="AF274" s="9"/>
      <c r="AG274" s="22">
        <v>1.2294</v>
      </c>
      <c r="AH274" s="22">
        <v>364.23599999999999</v>
      </c>
      <c r="AI274" s="22">
        <v>-1.7309600000000001E-2</v>
      </c>
      <c r="AJ274" s="22">
        <v>264</v>
      </c>
      <c r="AK274" s="22">
        <v>1.2283299999999999</v>
      </c>
      <c r="AL274">
        <f t="shared" si="54"/>
        <v>17.3096</v>
      </c>
      <c r="AM274">
        <f t="shared" si="55"/>
        <v>21.28042224</v>
      </c>
      <c r="AP274" s="9"/>
      <c r="AQ274" s="22">
        <v>0.47058100000000003</v>
      </c>
      <c r="AR274" s="22">
        <v>436.43900000000002</v>
      </c>
      <c r="AS274" s="22">
        <v>-1.8179299999999999E-2</v>
      </c>
      <c r="AT274" s="22">
        <v>264</v>
      </c>
      <c r="AU274" s="22">
        <v>0.47003200000000001</v>
      </c>
      <c r="AV274">
        <f t="shared" si="56"/>
        <v>18.179299999999998</v>
      </c>
      <c r="AW274">
        <f t="shared" si="57"/>
        <v>8.5548331732999987</v>
      </c>
      <c r="AX274" s="9"/>
      <c r="AY274" s="22">
        <v>1.2294</v>
      </c>
      <c r="AZ274" s="22">
        <v>509.85199999999998</v>
      </c>
      <c r="BA274" s="22">
        <v>-1.7727699999999999E-2</v>
      </c>
      <c r="BB274" s="22">
        <v>264</v>
      </c>
      <c r="BC274" s="22">
        <v>1.2289399999999999</v>
      </c>
      <c r="BD274">
        <f t="shared" si="58"/>
        <v>17.727699999999999</v>
      </c>
      <c r="BE274">
        <f t="shared" si="59"/>
        <v>21.794434379999998</v>
      </c>
    </row>
    <row r="275" spans="6:101">
      <c r="F275" s="9"/>
      <c r="G275" s="22">
        <v>0.46554600000000002</v>
      </c>
      <c r="H275" s="22">
        <v>75.042400000000001</v>
      </c>
      <c r="I275" s="22">
        <v>-1.5701300000000001E-2</v>
      </c>
      <c r="J275" s="22">
        <v>265</v>
      </c>
      <c r="K275" s="22">
        <v>0.465057</v>
      </c>
      <c r="L275">
        <f t="shared" si="48"/>
        <v>15.701300000000002</v>
      </c>
      <c r="M275">
        <f t="shared" si="49"/>
        <v>7.3096774098000008</v>
      </c>
      <c r="N275" s="9"/>
      <c r="O275" s="22">
        <v>1.23444</v>
      </c>
      <c r="P275" s="22">
        <v>190.38399999999999</v>
      </c>
      <c r="Q275" s="22">
        <v>-1.4267E-2</v>
      </c>
      <c r="R275" s="22">
        <v>265</v>
      </c>
      <c r="S275" s="22">
        <v>1.2335199999999999</v>
      </c>
      <c r="T275">
        <f t="shared" si="50"/>
        <v>14.266999999999999</v>
      </c>
      <c r="U275">
        <f t="shared" si="51"/>
        <v>17.611755479999999</v>
      </c>
      <c r="X275" s="9"/>
      <c r="Y275" s="22">
        <v>0.46554600000000002</v>
      </c>
      <c r="Z275" s="22">
        <v>288.601</v>
      </c>
      <c r="AA275" s="22">
        <v>-1.76727E-2</v>
      </c>
      <c r="AB275" s="22">
        <v>265</v>
      </c>
      <c r="AC275" s="22">
        <v>0.46487400000000001</v>
      </c>
      <c r="AD275">
        <f t="shared" si="52"/>
        <v>17.672699999999999</v>
      </c>
      <c r="AE275">
        <f t="shared" si="53"/>
        <v>8.2274547941999998</v>
      </c>
      <c r="AF275" s="9"/>
      <c r="AG275" s="22">
        <v>1.23444</v>
      </c>
      <c r="AH275" s="22">
        <v>364.33600000000001</v>
      </c>
      <c r="AI275" s="22">
        <v>-1.7309600000000001E-2</v>
      </c>
      <c r="AJ275" s="22">
        <v>265</v>
      </c>
      <c r="AK275" s="22">
        <v>1.2341299999999999</v>
      </c>
      <c r="AL275">
        <f t="shared" si="54"/>
        <v>17.3096</v>
      </c>
      <c r="AM275">
        <f t="shared" si="55"/>
        <v>21.367662623999998</v>
      </c>
      <c r="AP275" s="9"/>
      <c r="AQ275" s="22">
        <v>0.46554600000000002</v>
      </c>
      <c r="AR275" s="22">
        <v>436.53899999999999</v>
      </c>
      <c r="AS275" s="22">
        <v>-1.8182400000000001E-2</v>
      </c>
      <c r="AT275" s="22">
        <v>265</v>
      </c>
      <c r="AU275" s="22">
        <v>0.46453899999999998</v>
      </c>
      <c r="AV275">
        <f t="shared" si="56"/>
        <v>18.182400000000001</v>
      </c>
      <c r="AW275">
        <f t="shared" si="57"/>
        <v>8.4647435904000012</v>
      </c>
      <c r="AX275" s="9"/>
      <c r="AY275" s="22">
        <v>1.23444</v>
      </c>
      <c r="AZ275" s="22">
        <v>509.95299999999997</v>
      </c>
      <c r="BA275" s="22">
        <v>-1.77094E-2</v>
      </c>
      <c r="BB275" s="22">
        <v>265</v>
      </c>
      <c r="BC275" s="22">
        <v>1.2335199999999999</v>
      </c>
      <c r="BD275">
        <f t="shared" si="58"/>
        <v>17.709399999999999</v>
      </c>
      <c r="BE275">
        <f t="shared" si="59"/>
        <v>21.861191735999999</v>
      </c>
    </row>
    <row r="276" spans="6:101">
      <c r="F276" s="9"/>
      <c r="G276" s="22">
        <v>0.46050999999999997</v>
      </c>
      <c r="H276" s="22">
        <v>75.143100000000004</v>
      </c>
      <c r="I276" s="22">
        <v>-1.5673800000000002E-2</v>
      </c>
      <c r="J276" s="22">
        <v>266</v>
      </c>
      <c r="K276" s="22">
        <v>0.46005200000000002</v>
      </c>
      <c r="L276">
        <f t="shared" si="48"/>
        <v>15.673800000000002</v>
      </c>
      <c r="M276">
        <f t="shared" si="49"/>
        <v>7.2179416380000001</v>
      </c>
      <c r="N276" s="9"/>
      <c r="O276" s="22">
        <v>1.2394700000000001</v>
      </c>
      <c r="P276" s="22">
        <v>190.48500000000001</v>
      </c>
      <c r="Q276" s="22">
        <v>-1.42548E-2</v>
      </c>
      <c r="R276" s="22">
        <v>266</v>
      </c>
      <c r="S276" s="22">
        <v>1.23871</v>
      </c>
      <c r="T276">
        <f t="shared" si="50"/>
        <v>14.254799999999999</v>
      </c>
      <c r="U276">
        <f t="shared" si="51"/>
        <v>17.668396955999999</v>
      </c>
      <c r="X276" s="9"/>
      <c r="Y276" s="22">
        <v>0.46050999999999997</v>
      </c>
      <c r="Z276" s="22">
        <v>288.702</v>
      </c>
      <c r="AA276" s="22">
        <v>-1.7675799999999998E-2</v>
      </c>
      <c r="AB276" s="22">
        <v>266</v>
      </c>
      <c r="AC276" s="22">
        <v>0.460175</v>
      </c>
      <c r="AD276">
        <f t="shared" si="52"/>
        <v>17.675799999999999</v>
      </c>
      <c r="AE276">
        <f t="shared" si="53"/>
        <v>8.1398826579999994</v>
      </c>
      <c r="AF276" s="9"/>
      <c r="AG276" s="22">
        <v>1.2394700000000001</v>
      </c>
      <c r="AH276" s="22">
        <v>364.43700000000001</v>
      </c>
      <c r="AI276" s="22">
        <v>-1.7303499999999999E-2</v>
      </c>
      <c r="AJ276" s="22">
        <v>266</v>
      </c>
      <c r="AK276" s="22">
        <v>1.2377899999999999</v>
      </c>
      <c r="AL276">
        <f t="shared" si="54"/>
        <v>17.3035</v>
      </c>
      <c r="AM276">
        <f t="shared" si="55"/>
        <v>21.447169145</v>
      </c>
      <c r="AP276" s="9"/>
      <c r="AQ276" s="22">
        <v>0.46050999999999997</v>
      </c>
      <c r="AR276" s="22">
        <v>436.64</v>
      </c>
      <c r="AS276" s="22">
        <v>-1.81885E-2</v>
      </c>
      <c r="AT276" s="22">
        <v>266</v>
      </c>
      <c r="AU276" s="22">
        <v>0.45996100000000001</v>
      </c>
      <c r="AV276">
        <f t="shared" si="56"/>
        <v>18.188500000000001</v>
      </c>
      <c r="AW276">
        <f t="shared" si="57"/>
        <v>8.3759861349999998</v>
      </c>
      <c r="AX276" s="9"/>
      <c r="AY276" s="22">
        <v>1.2394700000000001</v>
      </c>
      <c r="AZ276" s="22">
        <v>510.053</v>
      </c>
      <c r="BA276" s="22">
        <v>-1.77124E-2</v>
      </c>
      <c r="BB276" s="22">
        <v>266</v>
      </c>
      <c r="BC276" s="22">
        <v>1.23871</v>
      </c>
      <c r="BD276">
        <f t="shared" si="58"/>
        <v>17.712399999999999</v>
      </c>
      <c r="BE276">
        <f t="shared" si="59"/>
        <v>21.953988427999999</v>
      </c>
    </row>
    <row r="277" spans="6:101">
      <c r="F277" s="9"/>
      <c r="G277" s="22">
        <v>0.45547500000000002</v>
      </c>
      <c r="H277" s="22">
        <v>75.243799999999993</v>
      </c>
      <c r="I277" s="22">
        <v>-1.56799E-2</v>
      </c>
      <c r="J277" s="22">
        <v>267</v>
      </c>
      <c r="K277" s="22">
        <v>0.45504800000000001</v>
      </c>
      <c r="L277">
        <f t="shared" si="48"/>
        <v>15.6799</v>
      </c>
      <c r="M277">
        <f t="shared" si="49"/>
        <v>7.1418024525000003</v>
      </c>
      <c r="N277" s="9"/>
      <c r="O277" s="22">
        <v>1.24451</v>
      </c>
      <c r="P277" s="22">
        <v>190.58600000000001</v>
      </c>
      <c r="Q277" s="22">
        <v>-1.4251700000000001E-2</v>
      </c>
      <c r="R277" s="22">
        <v>267</v>
      </c>
      <c r="S277" s="22">
        <v>1.24329</v>
      </c>
      <c r="T277">
        <f t="shared" si="50"/>
        <v>14.251700000000001</v>
      </c>
      <c r="U277">
        <f t="shared" si="51"/>
        <v>17.736383167000003</v>
      </c>
      <c r="X277" s="9"/>
      <c r="Y277" s="22">
        <v>0.45547500000000002</v>
      </c>
      <c r="Z277" s="22">
        <v>288.80200000000002</v>
      </c>
      <c r="AA277" s="22">
        <v>-1.7675799999999998E-2</v>
      </c>
      <c r="AB277" s="22">
        <v>267</v>
      </c>
      <c r="AC277" s="22">
        <v>0.45462000000000002</v>
      </c>
      <c r="AD277">
        <f t="shared" si="52"/>
        <v>17.675799999999999</v>
      </c>
      <c r="AE277">
        <f t="shared" si="53"/>
        <v>8.0508850049999996</v>
      </c>
      <c r="AF277" s="9"/>
      <c r="AG277" s="22">
        <v>1.24451</v>
      </c>
      <c r="AH277" s="22">
        <v>364.53800000000001</v>
      </c>
      <c r="AI277" s="22">
        <v>-1.7306499999999999E-2</v>
      </c>
      <c r="AJ277" s="22">
        <v>267</v>
      </c>
      <c r="AK277" s="22">
        <v>1.24359</v>
      </c>
      <c r="AL277">
        <f t="shared" si="54"/>
        <v>17.3065</v>
      </c>
      <c r="AM277">
        <f t="shared" si="55"/>
        <v>21.538112314999999</v>
      </c>
      <c r="AP277" s="9"/>
      <c r="AQ277" s="22">
        <v>0.45547500000000002</v>
      </c>
      <c r="AR277" s="22">
        <v>436.74099999999999</v>
      </c>
      <c r="AS277" s="22">
        <v>-1.8185400000000001E-2</v>
      </c>
      <c r="AT277" s="22">
        <v>267</v>
      </c>
      <c r="AU277" s="22">
        <v>0.45486500000000002</v>
      </c>
      <c r="AV277">
        <f t="shared" si="56"/>
        <v>18.185400000000001</v>
      </c>
      <c r="AW277">
        <f t="shared" si="57"/>
        <v>8.2829950650000015</v>
      </c>
      <c r="AX277" s="9"/>
      <c r="AY277" s="22">
        <v>1.24451</v>
      </c>
      <c r="AZ277" s="22">
        <v>510.154</v>
      </c>
      <c r="BA277" s="22">
        <v>-1.77094E-2</v>
      </c>
      <c r="BB277" s="22">
        <v>267</v>
      </c>
      <c r="BC277" s="22">
        <v>1.24359</v>
      </c>
      <c r="BD277">
        <f t="shared" si="58"/>
        <v>17.709399999999999</v>
      </c>
      <c r="BE277">
        <f t="shared" si="59"/>
        <v>22.039525393999998</v>
      </c>
    </row>
    <row r="278" spans="6:101">
      <c r="F278" s="9"/>
      <c r="G278" s="22">
        <v>0.45043899999999998</v>
      </c>
      <c r="H278" s="22">
        <v>75.344499999999996</v>
      </c>
      <c r="I278" s="22">
        <v>-1.5682999999999999E-2</v>
      </c>
      <c r="J278" s="22">
        <v>268</v>
      </c>
      <c r="K278" s="22">
        <v>0.45001200000000002</v>
      </c>
      <c r="L278">
        <f t="shared" si="48"/>
        <v>15.683</v>
      </c>
      <c r="M278">
        <f t="shared" si="49"/>
        <v>7.0642348369999999</v>
      </c>
      <c r="N278" s="9"/>
      <c r="O278" s="22">
        <v>1.2495400000000001</v>
      </c>
      <c r="P278" s="22">
        <v>190.68600000000001</v>
      </c>
      <c r="Q278" s="22">
        <v>-1.4236499999999999E-2</v>
      </c>
      <c r="R278" s="22">
        <v>268</v>
      </c>
      <c r="S278" s="22">
        <v>1.24878</v>
      </c>
      <c r="T278">
        <f t="shared" si="50"/>
        <v>14.236499999999999</v>
      </c>
      <c r="U278">
        <f t="shared" si="51"/>
        <v>17.789076210000001</v>
      </c>
      <c r="X278" s="9"/>
      <c r="Y278" s="22">
        <v>0.45043899999999998</v>
      </c>
      <c r="Z278" s="22">
        <v>288.90300000000002</v>
      </c>
      <c r="AA278" s="22">
        <v>-1.7678800000000001E-2</v>
      </c>
      <c r="AB278" s="22">
        <v>268</v>
      </c>
      <c r="AC278" s="22">
        <v>0.44989000000000001</v>
      </c>
      <c r="AD278">
        <f t="shared" si="52"/>
        <v>17.678800000000003</v>
      </c>
      <c r="AE278">
        <f t="shared" si="53"/>
        <v>7.9632209932000011</v>
      </c>
      <c r="AF278" s="9"/>
      <c r="AG278" s="22">
        <v>1.2495400000000001</v>
      </c>
      <c r="AH278" s="22">
        <v>364.63799999999998</v>
      </c>
      <c r="AI278" s="22">
        <v>-1.73004E-2</v>
      </c>
      <c r="AJ278" s="22">
        <v>268</v>
      </c>
      <c r="AK278" s="22">
        <v>1.24786</v>
      </c>
      <c r="AL278">
        <f t="shared" si="54"/>
        <v>17.3004</v>
      </c>
      <c r="AM278">
        <f t="shared" si="55"/>
        <v>21.617541816000003</v>
      </c>
      <c r="AP278" s="9"/>
      <c r="AQ278" s="22">
        <v>0.45043899999999998</v>
      </c>
      <c r="AR278" s="22">
        <v>436.84199999999998</v>
      </c>
      <c r="AS278" s="22">
        <v>-1.8191499999999999E-2</v>
      </c>
      <c r="AT278" s="22">
        <v>268</v>
      </c>
      <c r="AU278" s="22">
        <v>0.45016499999999998</v>
      </c>
      <c r="AV278">
        <f t="shared" si="56"/>
        <v>18.191499999999998</v>
      </c>
      <c r="AW278">
        <f t="shared" si="57"/>
        <v>8.1941610684999979</v>
      </c>
      <c r="AX278" s="9"/>
      <c r="AY278" s="22">
        <v>1.2495400000000001</v>
      </c>
      <c r="AZ278" s="22">
        <v>510.255</v>
      </c>
      <c r="BA278" s="22">
        <v>-1.77094E-2</v>
      </c>
      <c r="BB278" s="22">
        <v>268</v>
      </c>
      <c r="BC278" s="22">
        <v>1.24817</v>
      </c>
      <c r="BD278">
        <f t="shared" si="58"/>
        <v>17.709399999999999</v>
      </c>
      <c r="BE278">
        <f t="shared" si="59"/>
        <v>22.128603676000001</v>
      </c>
    </row>
    <row r="279" spans="6:101">
      <c r="F279" s="9"/>
      <c r="G279" s="22">
        <v>0.44540400000000002</v>
      </c>
      <c r="H279" s="22">
        <v>75.4452</v>
      </c>
      <c r="I279" s="22">
        <v>-1.5661600000000001E-2</v>
      </c>
      <c r="J279" s="22">
        <v>269</v>
      </c>
      <c r="K279" s="22">
        <v>0.44494600000000001</v>
      </c>
      <c r="L279">
        <f t="shared" si="48"/>
        <v>15.661600000000002</v>
      </c>
      <c r="M279">
        <f t="shared" si="49"/>
        <v>6.9757392864000014</v>
      </c>
      <c r="N279" s="9"/>
      <c r="O279" s="22">
        <v>1.25458</v>
      </c>
      <c r="P279" s="22">
        <v>190.78700000000001</v>
      </c>
      <c r="Q279" s="22">
        <v>-1.42212E-2</v>
      </c>
      <c r="R279" s="22">
        <v>269</v>
      </c>
      <c r="S279" s="22">
        <v>1.25366</v>
      </c>
      <c r="T279">
        <f t="shared" si="50"/>
        <v>14.2212</v>
      </c>
      <c r="U279">
        <f t="shared" si="51"/>
        <v>17.841633095999999</v>
      </c>
      <c r="X279" s="9"/>
      <c r="Y279" s="22">
        <v>0.44540400000000002</v>
      </c>
      <c r="Z279" s="22">
        <v>289.00400000000002</v>
      </c>
      <c r="AA279" s="22">
        <v>-1.76697E-2</v>
      </c>
      <c r="AB279" s="22">
        <v>269</v>
      </c>
      <c r="AC279" s="22">
        <v>0.444855</v>
      </c>
      <c r="AD279">
        <f t="shared" si="52"/>
        <v>17.669699999999999</v>
      </c>
      <c r="AE279">
        <f t="shared" si="53"/>
        <v>7.8701550588</v>
      </c>
      <c r="AF279" s="9"/>
      <c r="AG279" s="22">
        <v>1.25458</v>
      </c>
      <c r="AH279" s="22">
        <v>364.73899999999998</v>
      </c>
      <c r="AI279" s="22">
        <v>-1.73004E-2</v>
      </c>
      <c r="AJ279" s="22">
        <v>269</v>
      </c>
      <c r="AK279" s="22">
        <v>1.25366</v>
      </c>
      <c r="AL279">
        <f t="shared" si="54"/>
        <v>17.3004</v>
      </c>
      <c r="AM279">
        <f t="shared" si="55"/>
        <v>21.704735832000001</v>
      </c>
      <c r="AP279" s="9"/>
      <c r="AQ279" s="22">
        <v>0.44540400000000002</v>
      </c>
      <c r="AR279" s="22">
        <v>436.94200000000001</v>
      </c>
      <c r="AS279" s="22">
        <v>-1.8185400000000001E-2</v>
      </c>
      <c r="AT279" s="22">
        <v>269</v>
      </c>
      <c r="AU279" s="22">
        <v>0.44470199999999999</v>
      </c>
      <c r="AV279">
        <f t="shared" si="56"/>
        <v>18.185400000000001</v>
      </c>
      <c r="AW279">
        <f t="shared" si="57"/>
        <v>8.0998499016000007</v>
      </c>
      <c r="AX279" s="9"/>
      <c r="AY279" s="22">
        <v>1.25458</v>
      </c>
      <c r="AZ279" s="22">
        <v>510.35500000000002</v>
      </c>
      <c r="BA279" s="22">
        <v>-1.7700199999999999E-2</v>
      </c>
      <c r="BB279" s="22">
        <v>269</v>
      </c>
      <c r="BC279" s="22">
        <v>1.25397</v>
      </c>
      <c r="BD279">
        <f t="shared" si="58"/>
        <v>17.700199999999999</v>
      </c>
      <c r="BE279">
        <f t="shared" si="59"/>
        <v>22.206316915999999</v>
      </c>
    </row>
    <row r="280" spans="6:101">
      <c r="F280" s="9"/>
      <c r="G280" s="22">
        <v>0.44036900000000001</v>
      </c>
      <c r="H280" s="22">
        <v>75.545900000000003</v>
      </c>
      <c r="I280" s="22">
        <v>-1.5655499999999999E-2</v>
      </c>
      <c r="J280" s="22">
        <v>270</v>
      </c>
      <c r="K280" s="22">
        <v>0.43997199999999997</v>
      </c>
      <c r="L280">
        <f t="shared" si="48"/>
        <v>15.6555</v>
      </c>
      <c r="M280">
        <f t="shared" si="49"/>
        <v>6.8941968794999999</v>
      </c>
      <c r="N280" s="9"/>
      <c r="O280" s="22">
        <v>1.2596099999999999</v>
      </c>
      <c r="P280" s="22">
        <v>190.88800000000001</v>
      </c>
      <c r="Q280" s="22">
        <v>-1.42212E-2</v>
      </c>
      <c r="R280" s="22">
        <v>270</v>
      </c>
      <c r="S280" s="22">
        <v>1.25885</v>
      </c>
      <c r="T280">
        <f t="shared" si="50"/>
        <v>14.2212</v>
      </c>
      <c r="U280">
        <f t="shared" si="51"/>
        <v>17.913165732</v>
      </c>
      <c r="X280" s="9"/>
      <c r="Y280" s="22">
        <v>0.44036900000000001</v>
      </c>
      <c r="Z280" s="22">
        <v>289.10500000000002</v>
      </c>
      <c r="AA280" s="22">
        <v>-1.7675799999999998E-2</v>
      </c>
      <c r="AB280" s="22">
        <v>270</v>
      </c>
      <c r="AC280" s="22">
        <v>0.43957499999999999</v>
      </c>
      <c r="AD280">
        <f t="shared" si="52"/>
        <v>17.675799999999999</v>
      </c>
      <c r="AE280">
        <f t="shared" si="53"/>
        <v>7.7838743701999995</v>
      </c>
      <c r="AF280" s="9"/>
      <c r="AG280" s="22">
        <v>1.2596099999999999</v>
      </c>
      <c r="AH280" s="22">
        <v>364.84</v>
      </c>
      <c r="AI280" s="22">
        <v>-1.7291299999999999E-2</v>
      </c>
      <c r="AJ280" s="22">
        <v>270</v>
      </c>
      <c r="AK280" s="22">
        <v>1.25885</v>
      </c>
      <c r="AL280">
        <f t="shared" si="54"/>
        <v>17.2913</v>
      </c>
      <c r="AM280">
        <f t="shared" si="55"/>
        <v>21.780294392999998</v>
      </c>
      <c r="AP280" s="9"/>
      <c r="AQ280" s="22">
        <v>0.44036900000000001</v>
      </c>
      <c r="AR280" s="22">
        <v>437.04300000000001</v>
      </c>
      <c r="AS280" s="22">
        <v>-1.8191499999999999E-2</v>
      </c>
      <c r="AT280" s="22">
        <v>270</v>
      </c>
      <c r="AU280" s="22">
        <v>0.43978899999999999</v>
      </c>
      <c r="AV280">
        <f t="shared" si="56"/>
        <v>18.191499999999998</v>
      </c>
      <c r="AW280">
        <f t="shared" si="57"/>
        <v>8.0109726634999987</v>
      </c>
      <c r="AX280" s="9"/>
      <c r="AY280" s="22">
        <v>1.2596099999999999</v>
      </c>
      <c r="AZ280" s="22">
        <v>510.45600000000002</v>
      </c>
      <c r="BA280" s="22">
        <v>-1.7700199999999999E-2</v>
      </c>
      <c r="BB280" s="22">
        <v>270</v>
      </c>
      <c r="BC280" s="22">
        <v>1.25885</v>
      </c>
      <c r="BD280">
        <f t="shared" si="58"/>
        <v>17.700199999999999</v>
      </c>
      <c r="BE280">
        <f t="shared" si="59"/>
        <v>22.295348921999995</v>
      </c>
    </row>
    <row r="281" spans="6:101">
      <c r="F281" s="9"/>
      <c r="G281" s="22">
        <v>0.43533300000000003</v>
      </c>
      <c r="H281" s="22">
        <v>75.646600000000007</v>
      </c>
      <c r="I281" s="22">
        <v>-1.56677E-2</v>
      </c>
      <c r="J281" s="22">
        <v>271</v>
      </c>
      <c r="K281" s="22">
        <v>0.43487500000000001</v>
      </c>
      <c r="L281">
        <f t="shared" si="48"/>
        <v>15.6677</v>
      </c>
      <c r="M281">
        <f t="shared" si="49"/>
        <v>6.8206668441000007</v>
      </c>
      <c r="N281" s="9"/>
      <c r="O281" s="22">
        <v>1.2646500000000001</v>
      </c>
      <c r="P281" s="22">
        <v>190.989</v>
      </c>
      <c r="Q281" s="22">
        <v>-1.4218099999999999E-2</v>
      </c>
      <c r="R281" s="22">
        <v>271</v>
      </c>
      <c r="S281" s="22">
        <v>1.2640400000000001</v>
      </c>
      <c r="T281">
        <f t="shared" si="50"/>
        <v>14.2181</v>
      </c>
      <c r="U281">
        <f t="shared" si="51"/>
        <v>17.980920165000001</v>
      </c>
      <c r="X281" s="9"/>
      <c r="Y281" s="22">
        <v>0.43533300000000003</v>
      </c>
      <c r="Z281" s="22">
        <v>289.20499999999998</v>
      </c>
      <c r="AA281" s="22">
        <v>-1.76727E-2</v>
      </c>
      <c r="AB281" s="22">
        <v>271</v>
      </c>
      <c r="AC281" s="22">
        <v>0.43457000000000001</v>
      </c>
      <c r="AD281">
        <f t="shared" si="52"/>
        <v>17.672699999999999</v>
      </c>
      <c r="AE281">
        <f t="shared" si="53"/>
        <v>7.6935095091000001</v>
      </c>
      <c r="AF281" s="9"/>
      <c r="AG281" s="22">
        <v>1.2646500000000001</v>
      </c>
      <c r="AH281" s="22">
        <v>364.94</v>
      </c>
      <c r="AI281" s="22">
        <v>-1.7294299999999999E-2</v>
      </c>
      <c r="AJ281" s="22">
        <v>271</v>
      </c>
      <c r="AK281" s="22">
        <v>1.26373</v>
      </c>
      <c r="AL281">
        <f t="shared" si="54"/>
        <v>17.2943</v>
      </c>
      <c r="AM281">
        <f t="shared" si="55"/>
        <v>21.871236495000002</v>
      </c>
      <c r="AP281" s="9"/>
      <c r="AQ281" s="22">
        <v>0.43533300000000003</v>
      </c>
      <c r="AR281" s="22">
        <v>437.14400000000001</v>
      </c>
      <c r="AS281" s="22">
        <v>-1.8194599999999998E-2</v>
      </c>
      <c r="AT281" s="22">
        <v>271</v>
      </c>
      <c r="AU281" s="22">
        <v>0.434784</v>
      </c>
      <c r="AV281">
        <f t="shared" si="56"/>
        <v>18.194599999999998</v>
      </c>
      <c r="AW281">
        <f t="shared" si="57"/>
        <v>7.9207098017999993</v>
      </c>
      <c r="AX281" s="9"/>
      <c r="AY281" s="22">
        <v>1.2646500000000001</v>
      </c>
      <c r="AZ281" s="22">
        <v>510.55700000000002</v>
      </c>
      <c r="BA281" s="22">
        <v>-1.76971E-2</v>
      </c>
      <c r="BB281" s="22">
        <v>271</v>
      </c>
      <c r="BC281" s="22">
        <v>1.2640400000000001</v>
      </c>
      <c r="BD281">
        <f t="shared" si="58"/>
        <v>17.697099999999999</v>
      </c>
      <c r="BE281">
        <f t="shared" si="59"/>
        <v>22.380637515</v>
      </c>
    </row>
    <row r="282" spans="6:101">
      <c r="F282" s="9"/>
      <c r="G282" s="22">
        <v>0.43029800000000001</v>
      </c>
      <c r="H282" s="22">
        <v>75.747299999999996</v>
      </c>
      <c r="I282" s="22">
        <v>-1.5670799999999999E-2</v>
      </c>
      <c r="J282" s="22">
        <v>272</v>
      </c>
      <c r="K282" s="22">
        <v>0.42984</v>
      </c>
      <c r="L282">
        <f t="shared" si="48"/>
        <v>15.670799999999998</v>
      </c>
      <c r="M282">
        <f t="shared" si="49"/>
        <v>6.743113898399999</v>
      </c>
      <c r="N282" s="9"/>
      <c r="O282" s="22">
        <v>1.2696799999999999</v>
      </c>
      <c r="P282" s="22">
        <v>191.089</v>
      </c>
      <c r="Q282" s="22">
        <v>-1.41876E-2</v>
      </c>
      <c r="R282" s="22">
        <v>272</v>
      </c>
      <c r="S282" s="22">
        <v>1.26892</v>
      </c>
      <c r="T282">
        <f t="shared" si="50"/>
        <v>14.1876</v>
      </c>
      <c r="U282">
        <f t="shared" si="51"/>
        <v>18.013711967999999</v>
      </c>
      <c r="X282" s="9"/>
      <c r="Y282" s="22">
        <v>0.43029800000000001</v>
      </c>
      <c r="Z282" s="22">
        <v>289.30599999999998</v>
      </c>
      <c r="AA282" s="22">
        <v>-1.76727E-2</v>
      </c>
      <c r="AB282" s="22">
        <v>272</v>
      </c>
      <c r="AC282" s="22">
        <v>0.42968800000000001</v>
      </c>
      <c r="AD282">
        <f t="shared" si="52"/>
        <v>17.672699999999999</v>
      </c>
      <c r="AE282">
        <f t="shared" si="53"/>
        <v>7.6045274645999994</v>
      </c>
      <c r="AF282" s="9"/>
      <c r="AG282" s="22">
        <v>1.2696799999999999</v>
      </c>
      <c r="AH282" s="22">
        <v>365.041</v>
      </c>
      <c r="AI282" s="22">
        <v>-1.7297400000000001E-2</v>
      </c>
      <c r="AJ282" s="22">
        <v>272</v>
      </c>
      <c r="AK282" s="22">
        <v>1.26892</v>
      </c>
      <c r="AL282">
        <f t="shared" si="54"/>
        <v>17.2974</v>
      </c>
      <c r="AM282">
        <f t="shared" si="55"/>
        <v>21.962162831999997</v>
      </c>
      <c r="AP282" s="9"/>
      <c r="AQ282" s="22">
        <v>0.43029800000000001</v>
      </c>
      <c r="AR282" s="22">
        <v>437.24400000000003</v>
      </c>
      <c r="AS282" s="22">
        <v>-1.8194599999999998E-2</v>
      </c>
      <c r="AT282" s="22">
        <v>272</v>
      </c>
      <c r="AU282" s="22">
        <v>0.42993199999999998</v>
      </c>
      <c r="AV282">
        <f t="shared" si="56"/>
        <v>18.194599999999998</v>
      </c>
      <c r="AW282">
        <f t="shared" si="57"/>
        <v>7.8290999907999996</v>
      </c>
      <c r="AX282" s="9"/>
      <c r="AY282" s="22">
        <v>1.2696799999999999</v>
      </c>
      <c r="AZ282" s="22">
        <v>510.65800000000002</v>
      </c>
      <c r="BA282" s="22">
        <v>-1.7690999999999998E-2</v>
      </c>
      <c r="BB282" s="22">
        <v>272</v>
      </c>
      <c r="BC282" s="22">
        <v>1.26953</v>
      </c>
      <c r="BD282">
        <f t="shared" si="58"/>
        <v>17.690999999999999</v>
      </c>
      <c r="BE282">
        <f t="shared" si="59"/>
        <v>22.461908879999996</v>
      </c>
    </row>
    <row r="283" spans="6:101">
      <c r="F283" s="9"/>
      <c r="G283" s="22">
        <v>0.42526199999999997</v>
      </c>
      <c r="H283" s="22">
        <v>75.847999999999999</v>
      </c>
      <c r="I283" s="22">
        <v>-1.5670799999999999E-2</v>
      </c>
      <c r="J283" s="22">
        <v>273</v>
      </c>
      <c r="K283" s="22">
        <v>0.42468299999999998</v>
      </c>
      <c r="L283">
        <f t="shared" si="48"/>
        <v>15.670799999999998</v>
      </c>
      <c r="M283">
        <f t="shared" si="49"/>
        <v>6.6641957495999984</v>
      </c>
      <c r="N283" s="9"/>
      <c r="O283" s="22">
        <v>1.2747200000000001</v>
      </c>
      <c r="P283" s="22">
        <v>191.19</v>
      </c>
      <c r="Q283" s="22">
        <v>-1.42151E-2</v>
      </c>
      <c r="R283" s="22">
        <v>273</v>
      </c>
      <c r="S283" s="22">
        <v>1.2738</v>
      </c>
      <c r="T283">
        <f t="shared" si="50"/>
        <v>14.2151</v>
      </c>
      <c r="U283">
        <f t="shared" si="51"/>
        <v>18.120272272000001</v>
      </c>
      <c r="X283" s="9"/>
      <c r="Y283" s="22">
        <v>0.42526199999999997</v>
      </c>
      <c r="Z283" s="22">
        <v>289.40699999999998</v>
      </c>
      <c r="AA283" s="22">
        <v>-1.76819E-2</v>
      </c>
      <c r="AB283" s="22">
        <v>273</v>
      </c>
      <c r="AC283" s="22">
        <v>0.42477399999999998</v>
      </c>
      <c r="AD283">
        <f t="shared" si="52"/>
        <v>17.681899999999999</v>
      </c>
      <c r="AE283">
        <f t="shared" si="53"/>
        <v>7.5194401577999992</v>
      </c>
      <c r="AF283" s="9"/>
      <c r="AG283" s="22">
        <v>1.2747200000000001</v>
      </c>
      <c r="AH283" s="22">
        <v>365.142</v>
      </c>
      <c r="AI283" s="22">
        <v>-1.7285200000000001E-2</v>
      </c>
      <c r="AJ283" s="22">
        <v>273</v>
      </c>
      <c r="AK283" s="22">
        <v>1.2735000000000001</v>
      </c>
      <c r="AL283">
        <f t="shared" si="54"/>
        <v>17.2852</v>
      </c>
      <c r="AM283">
        <f t="shared" si="55"/>
        <v>22.033790144000001</v>
      </c>
      <c r="AP283" s="9"/>
      <c r="AQ283" s="22">
        <v>0.42526199999999997</v>
      </c>
      <c r="AR283" s="22">
        <v>437.34500000000003</v>
      </c>
      <c r="AS283" s="22">
        <v>-1.8191499999999999E-2</v>
      </c>
      <c r="AT283" s="22">
        <v>273</v>
      </c>
      <c r="AU283" s="22">
        <v>0.424591</v>
      </c>
      <c r="AV283">
        <f t="shared" si="56"/>
        <v>18.191499999999998</v>
      </c>
      <c r="AW283">
        <f t="shared" si="57"/>
        <v>7.7361536729999987</v>
      </c>
      <c r="AX283" s="9"/>
      <c r="AY283" s="22">
        <v>1.2747200000000001</v>
      </c>
      <c r="AZ283" s="22">
        <v>510.75799999999998</v>
      </c>
      <c r="BA283" s="22">
        <v>-1.76971E-2</v>
      </c>
      <c r="BB283" s="22">
        <v>273</v>
      </c>
      <c r="BC283" s="22">
        <v>1.2735000000000001</v>
      </c>
      <c r="BD283">
        <f t="shared" si="58"/>
        <v>17.697099999999999</v>
      </c>
      <c r="BE283">
        <f t="shared" si="59"/>
        <v>22.558847312000001</v>
      </c>
    </row>
    <row r="284" spans="6:101">
      <c r="F284" s="9"/>
      <c r="G284" s="22">
        <v>0.42022700000000002</v>
      </c>
      <c r="H284" s="22">
        <v>75.948700000000002</v>
      </c>
      <c r="I284" s="22">
        <v>-1.5670799999999999E-2</v>
      </c>
      <c r="J284" s="22">
        <v>274</v>
      </c>
      <c r="K284" s="22">
        <v>0.41970800000000003</v>
      </c>
      <c r="L284">
        <f t="shared" si="48"/>
        <v>15.670799999999998</v>
      </c>
      <c r="M284">
        <f t="shared" si="49"/>
        <v>6.5852932715999994</v>
      </c>
      <c r="N284" s="9"/>
      <c r="O284" s="22">
        <v>1.2797499999999999</v>
      </c>
      <c r="P284" s="22">
        <v>191.291</v>
      </c>
      <c r="Q284" s="22">
        <v>-1.4218099999999999E-2</v>
      </c>
      <c r="R284" s="22">
        <v>274</v>
      </c>
      <c r="S284" s="22">
        <v>1.2793000000000001</v>
      </c>
      <c r="T284">
        <f t="shared" si="50"/>
        <v>14.2181</v>
      </c>
      <c r="U284">
        <f t="shared" si="51"/>
        <v>18.195613474999998</v>
      </c>
      <c r="X284" s="9"/>
      <c r="Y284" s="22">
        <v>0.42022700000000002</v>
      </c>
      <c r="Z284" s="22">
        <v>289.50700000000001</v>
      </c>
      <c r="AA284" s="22">
        <v>-1.7678800000000001E-2</v>
      </c>
      <c r="AB284" s="22">
        <v>274</v>
      </c>
      <c r="AC284" s="22">
        <v>0.41970800000000003</v>
      </c>
      <c r="AD284">
        <f t="shared" si="52"/>
        <v>17.678800000000003</v>
      </c>
      <c r="AE284">
        <f t="shared" si="53"/>
        <v>7.4291090876000014</v>
      </c>
      <c r="AF284" s="9"/>
      <c r="AG284" s="22">
        <v>1.2797499999999999</v>
      </c>
      <c r="AH284" s="22">
        <v>365.24299999999999</v>
      </c>
      <c r="AI284" s="22">
        <v>-1.7279099999999999E-2</v>
      </c>
      <c r="AJ284" s="22">
        <v>274</v>
      </c>
      <c r="AK284" s="22">
        <v>1.2789900000000001</v>
      </c>
      <c r="AL284">
        <f t="shared" si="54"/>
        <v>17.2791</v>
      </c>
      <c r="AM284">
        <f t="shared" si="55"/>
        <v>22.112928224999997</v>
      </c>
      <c r="AP284" s="9"/>
      <c r="AQ284" s="22">
        <v>0.42022700000000002</v>
      </c>
      <c r="AR284" s="22">
        <v>437.44600000000003</v>
      </c>
      <c r="AS284" s="22">
        <v>-1.8191499999999999E-2</v>
      </c>
      <c r="AT284" s="22">
        <v>274</v>
      </c>
      <c r="AU284" s="22">
        <v>0.41949500000000001</v>
      </c>
      <c r="AV284">
        <f t="shared" si="56"/>
        <v>18.191499999999998</v>
      </c>
      <c r="AW284">
        <f t="shared" si="57"/>
        <v>7.6445594704999991</v>
      </c>
      <c r="AX284" s="9"/>
      <c r="AY284" s="22">
        <v>1.2797499999999999</v>
      </c>
      <c r="AZ284" s="22">
        <v>510.85899999999998</v>
      </c>
      <c r="BA284" s="22">
        <v>-1.7690999999999998E-2</v>
      </c>
      <c r="BB284" s="22">
        <v>274</v>
      </c>
      <c r="BC284" s="22">
        <v>1.2796000000000001</v>
      </c>
      <c r="BD284">
        <f t="shared" si="58"/>
        <v>17.690999999999999</v>
      </c>
      <c r="BE284">
        <f t="shared" si="59"/>
        <v>22.640057249999998</v>
      </c>
    </row>
    <row r="285" spans="6:101">
      <c r="F285" s="9"/>
      <c r="G285" s="22">
        <v>0.41519200000000001</v>
      </c>
      <c r="H285" s="22">
        <v>76.049499999999995</v>
      </c>
      <c r="I285" s="22">
        <v>-1.5661600000000001E-2</v>
      </c>
      <c r="J285" s="22">
        <v>275</v>
      </c>
      <c r="K285" s="22">
        <v>0.41464200000000001</v>
      </c>
      <c r="L285">
        <f t="shared" si="48"/>
        <v>15.661600000000002</v>
      </c>
      <c r="M285">
        <f t="shared" si="49"/>
        <v>6.502571027200001</v>
      </c>
      <c r="N285" s="9"/>
      <c r="O285" s="22">
        <v>1.2847900000000001</v>
      </c>
      <c r="P285" s="22">
        <v>191.39099999999999</v>
      </c>
      <c r="Q285" s="22">
        <v>-1.4196800000000001E-2</v>
      </c>
      <c r="R285" s="22">
        <v>275</v>
      </c>
      <c r="S285" s="22">
        <v>1.2838700000000001</v>
      </c>
      <c r="T285">
        <f t="shared" si="50"/>
        <v>14.196800000000001</v>
      </c>
      <c r="U285">
        <f t="shared" si="51"/>
        <v>18.239906672000004</v>
      </c>
      <c r="X285" s="9"/>
      <c r="Y285" s="22">
        <v>0.41519200000000001</v>
      </c>
      <c r="Z285" s="22">
        <v>289.608</v>
      </c>
      <c r="AA285" s="22">
        <v>-1.76819E-2</v>
      </c>
      <c r="AB285" s="22">
        <v>275</v>
      </c>
      <c r="AC285" s="22">
        <v>0.41467300000000001</v>
      </c>
      <c r="AD285">
        <f t="shared" si="52"/>
        <v>17.681899999999999</v>
      </c>
      <c r="AE285">
        <f t="shared" si="53"/>
        <v>7.3413834248000001</v>
      </c>
      <c r="AF285" s="9"/>
      <c r="AG285" s="22">
        <v>1.2847900000000001</v>
      </c>
      <c r="AH285" s="22">
        <v>365.34300000000002</v>
      </c>
      <c r="AI285" s="22">
        <v>-1.7276E-2</v>
      </c>
      <c r="AJ285" s="22">
        <v>275</v>
      </c>
      <c r="AK285" s="22">
        <v>1.2841800000000001</v>
      </c>
      <c r="AL285">
        <f t="shared" si="54"/>
        <v>17.276</v>
      </c>
      <c r="AM285">
        <f t="shared" si="55"/>
        <v>22.196032040000002</v>
      </c>
      <c r="AP285" s="9"/>
      <c r="AQ285" s="22">
        <v>0.41519200000000001</v>
      </c>
      <c r="AR285" s="22">
        <v>437.54599999999999</v>
      </c>
      <c r="AS285" s="22">
        <v>-1.8197600000000001E-2</v>
      </c>
      <c r="AT285" s="22">
        <v>275</v>
      </c>
      <c r="AU285" s="22">
        <v>0.41427599999999998</v>
      </c>
      <c r="AV285">
        <f t="shared" si="56"/>
        <v>18.197600000000001</v>
      </c>
      <c r="AW285">
        <f t="shared" si="57"/>
        <v>7.5554979392000003</v>
      </c>
      <c r="AX285" s="9"/>
      <c r="AY285" s="22">
        <v>1.2847900000000001</v>
      </c>
      <c r="AZ285" s="22">
        <v>510.96</v>
      </c>
      <c r="BA285" s="22">
        <v>-1.7687999999999999E-2</v>
      </c>
      <c r="BB285" s="22">
        <v>275</v>
      </c>
      <c r="BC285" s="22">
        <v>1.2838700000000001</v>
      </c>
      <c r="BD285">
        <f t="shared" si="58"/>
        <v>17.687999999999999</v>
      </c>
      <c r="BE285">
        <f t="shared" si="59"/>
        <v>22.72536552</v>
      </c>
    </row>
    <row r="286" spans="6:101">
      <c r="F286" s="9"/>
      <c r="G286" s="22">
        <v>0.41015600000000002</v>
      </c>
      <c r="H286" s="22">
        <v>76.150199999999998</v>
      </c>
      <c r="I286" s="22">
        <v>-1.5655499999999999E-2</v>
      </c>
      <c r="J286" s="22">
        <v>276</v>
      </c>
      <c r="K286" s="22">
        <v>0.40969800000000001</v>
      </c>
      <c r="L286">
        <f t="shared" si="48"/>
        <v>15.6555</v>
      </c>
      <c r="M286">
        <f t="shared" si="49"/>
        <v>6.4211972580000003</v>
      </c>
      <c r="N286" s="9"/>
      <c r="O286" s="22">
        <v>1.28983</v>
      </c>
      <c r="P286" s="22">
        <v>191.49199999999999</v>
      </c>
      <c r="Q286" s="22">
        <v>-1.42059E-2</v>
      </c>
      <c r="R286" s="22">
        <v>276</v>
      </c>
      <c r="S286" s="22">
        <v>1.2887599999999999</v>
      </c>
      <c r="T286">
        <f t="shared" si="50"/>
        <v>14.2059</v>
      </c>
      <c r="U286">
        <f t="shared" si="51"/>
        <v>18.323195996999999</v>
      </c>
      <c r="X286" s="9"/>
      <c r="Y286" s="22">
        <v>0.41015600000000002</v>
      </c>
      <c r="Z286" s="22">
        <v>289.709</v>
      </c>
      <c r="AA286" s="22">
        <v>-1.7675799999999998E-2</v>
      </c>
      <c r="AB286" s="22">
        <v>276</v>
      </c>
      <c r="AC286" s="22">
        <v>0.40936299999999998</v>
      </c>
      <c r="AD286">
        <f t="shared" si="52"/>
        <v>17.675799999999999</v>
      </c>
      <c r="AE286">
        <f t="shared" si="53"/>
        <v>7.2498354247999997</v>
      </c>
      <c r="AF286" s="9"/>
      <c r="AG286" s="22">
        <v>1.28983</v>
      </c>
      <c r="AH286" s="22">
        <v>365.44400000000002</v>
      </c>
      <c r="AI286" s="22">
        <v>-1.72882E-2</v>
      </c>
      <c r="AJ286" s="22">
        <v>276</v>
      </c>
      <c r="AK286" s="22">
        <v>1.2890600000000001</v>
      </c>
      <c r="AL286">
        <f t="shared" si="54"/>
        <v>17.2882</v>
      </c>
      <c r="AM286">
        <f t="shared" si="55"/>
        <v>22.298839006000001</v>
      </c>
      <c r="AP286" s="9"/>
      <c r="AQ286" s="22">
        <v>0.41015600000000002</v>
      </c>
      <c r="AR286" s="22">
        <v>437.64699999999999</v>
      </c>
      <c r="AS286" s="22">
        <v>-1.8197600000000001E-2</v>
      </c>
      <c r="AT286" s="22">
        <v>276</v>
      </c>
      <c r="AU286" s="22">
        <v>0.40978999999999999</v>
      </c>
      <c r="AV286">
        <f t="shared" si="56"/>
        <v>18.197600000000001</v>
      </c>
      <c r="AW286">
        <f t="shared" si="57"/>
        <v>7.4638548256000012</v>
      </c>
      <c r="AX286" s="9"/>
      <c r="AY286" s="22">
        <v>1.28983</v>
      </c>
      <c r="AZ286" s="22">
        <v>511.06</v>
      </c>
      <c r="BA286" s="22">
        <v>-1.7690999999999998E-2</v>
      </c>
      <c r="BB286" s="22">
        <v>276</v>
      </c>
      <c r="BC286" s="22">
        <v>1.2890600000000001</v>
      </c>
      <c r="BD286">
        <f t="shared" si="58"/>
        <v>17.690999999999999</v>
      </c>
      <c r="BE286">
        <f t="shared" si="59"/>
        <v>22.818382530000001</v>
      </c>
    </row>
    <row r="287" spans="6:101">
      <c r="F287" s="9"/>
      <c r="G287" s="22">
        <v>0.40512100000000001</v>
      </c>
      <c r="H287" s="22">
        <v>76.250900000000001</v>
      </c>
      <c r="I287" s="22">
        <v>-1.56647E-2</v>
      </c>
      <c r="J287" s="22">
        <v>277</v>
      </c>
      <c r="K287" s="22">
        <v>0.40463300000000002</v>
      </c>
      <c r="L287">
        <f t="shared" si="48"/>
        <v>15.6647</v>
      </c>
      <c r="M287">
        <f t="shared" si="49"/>
        <v>6.3460989287</v>
      </c>
      <c r="N287" s="9"/>
      <c r="O287" s="22">
        <v>1.2948599999999999</v>
      </c>
      <c r="P287" s="22">
        <v>191.59299999999999</v>
      </c>
      <c r="Q287" s="22">
        <v>-1.41815E-2</v>
      </c>
      <c r="R287" s="22">
        <v>277</v>
      </c>
      <c r="S287" s="22">
        <v>1.2939499999999999</v>
      </c>
      <c r="T287">
        <f t="shared" si="50"/>
        <v>14.1815</v>
      </c>
      <c r="U287">
        <f t="shared" si="51"/>
        <v>18.363057089999998</v>
      </c>
      <c r="X287" s="9"/>
      <c r="Y287" s="22">
        <v>0.40512100000000001</v>
      </c>
      <c r="Z287" s="22">
        <v>289.80900000000003</v>
      </c>
      <c r="AA287" s="22">
        <v>-1.76849E-2</v>
      </c>
      <c r="AB287" s="22">
        <v>277</v>
      </c>
      <c r="AC287" s="22">
        <v>0.40463300000000002</v>
      </c>
      <c r="AD287">
        <f t="shared" si="52"/>
        <v>17.684899999999999</v>
      </c>
      <c r="AE287">
        <f t="shared" si="53"/>
        <v>7.1645243728999999</v>
      </c>
      <c r="AF287" s="9"/>
      <c r="AG287" s="22">
        <v>1.2948599999999999</v>
      </c>
      <c r="AH287" s="22">
        <v>365.54500000000002</v>
      </c>
      <c r="AI287" s="22">
        <v>-1.7282100000000002E-2</v>
      </c>
      <c r="AJ287" s="22">
        <v>277</v>
      </c>
      <c r="AK287" s="22">
        <v>1.2948599999999999</v>
      </c>
      <c r="AL287">
        <f t="shared" si="54"/>
        <v>17.282100000000003</v>
      </c>
      <c r="AM287">
        <f t="shared" si="55"/>
        <v>22.377900006000001</v>
      </c>
      <c r="AP287" s="9"/>
      <c r="AQ287" s="22">
        <v>0.40512100000000001</v>
      </c>
      <c r="AR287" s="22">
        <v>437.74799999999999</v>
      </c>
      <c r="AS287" s="22">
        <v>-1.8197600000000001E-2</v>
      </c>
      <c r="AT287" s="22">
        <v>277</v>
      </c>
      <c r="AU287" s="22">
        <v>0.40472399999999997</v>
      </c>
      <c r="AV287">
        <f t="shared" si="56"/>
        <v>18.197600000000001</v>
      </c>
      <c r="AW287">
        <f t="shared" si="57"/>
        <v>7.3722299096000006</v>
      </c>
      <c r="AX287" s="9"/>
      <c r="AY287" s="22">
        <v>1.2948599999999999</v>
      </c>
      <c r="AZ287" s="22">
        <v>511.161</v>
      </c>
      <c r="BA287" s="22">
        <v>-1.7687999999999999E-2</v>
      </c>
      <c r="BB287" s="22">
        <v>277</v>
      </c>
      <c r="BC287" s="22">
        <v>1.2942499999999999</v>
      </c>
      <c r="BD287">
        <f t="shared" si="58"/>
        <v>17.687999999999999</v>
      </c>
      <c r="BE287">
        <f t="shared" si="59"/>
        <v>22.903483679999997</v>
      </c>
    </row>
    <row r="288" spans="6:101">
      <c r="F288" s="9"/>
      <c r="G288" s="22">
        <v>0.40008500000000002</v>
      </c>
      <c r="H288" s="22">
        <v>76.351600000000005</v>
      </c>
      <c r="I288" s="22">
        <v>-1.5670799999999999E-2</v>
      </c>
      <c r="J288" s="22">
        <v>278</v>
      </c>
      <c r="K288" s="22">
        <v>0.39962799999999998</v>
      </c>
      <c r="L288">
        <f t="shared" si="48"/>
        <v>15.670799999999998</v>
      </c>
      <c r="M288">
        <f t="shared" si="49"/>
        <v>6.2696520179999995</v>
      </c>
      <c r="N288" s="9"/>
      <c r="O288" s="22">
        <v>1.2999000000000001</v>
      </c>
      <c r="P288" s="22">
        <v>191.69399999999999</v>
      </c>
      <c r="Q288" s="22">
        <v>-1.41998E-2</v>
      </c>
      <c r="R288" s="22">
        <v>278</v>
      </c>
      <c r="S288" s="22">
        <v>1.2994399999999999</v>
      </c>
      <c r="T288">
        <f t="shared" si="50"/>
        <v>14.1998</v>
      </c>
      <c r="U288">
        <f t="shared" si="51"/>
        <v>18.458320020000002</v>
      </c>
      <c r="X288" s="9"/>
      <c r="Y288" s="22">
        <v>0.40008500000000002</v>
      </c>
      <c r="Z288" s="22">
        <v>289.91000000000003</v>
      </c>
      <c r="AA288" s="22">
        <v>-1.7687999999999999E-2</v>
      </c>
      <c r="AB288" s="22">
        <v>278</v>
      </c>
      <c r="AC288" s="22">
        <v>0.39947500000000002</v>
      </c>
      <c r="AD288">
        <f t="shared" si="52"/>
        <v>17.687999999999999</v>
      </c>
      <c r="AE288">
        <f t="shared" si="53"/>
        <v>7.0767034799999999</v>
      </c>
      <c r="AF288" s="9"/>
      <c r="AG288" s="22">
        <v>1.2999000000000001</v>
      </c>
      <c r="AH288" s="22">
        <v>365.64499999999998</v>
      </c>
      <c r="AI288" s="22">
        <v>-1.7276E-2</v>
      </c>
      <c r="AJ288" s="22">
        <v>278</v>
      </c>
      <c r="AK288" s="22">
        <v>1.2994399999999999</v>
      </c>
      <c r="AL288">
        <f t="shared" si="54"/>
        <v>17.276</v>
      </c>
      <c r="AM288">
        <f t="shared" si="55"/>
        <v>22.457072400000001</v>
      </c>
      <c r="AP288" s="9"/>
      <c r="AQ288" s="22">
        <v>0.40008500000000002</v>
      </c>
      <c r="AR288" s="22">
        <v>437.84899999999999</v>
      </c>
      <c r="AS288" s="22">
        <v>-1.82037E-2</v>
      </c>
      <c r="AT288" s="22">
        <v>278</v>
      </c>
      <c r="AU288" s="22">
        <v>0.39950600000000003</v>
      </c>
      <c r="AV288">
        <f t="shared" si="56"/>
        <v>18.203700000000001</v>
      </c>
      <c r="AW288">
        <f t="shared" si="57"/>
        <v>7.2830273145000008</v>
      </c>
      <c r="AX288" s="9"/>
      <c r="AY288" s="22">
        <v>1.2999000000000001</v>
      </c>
      <c r="AZ288" s="22">
        <v>511.262</v>
      </c>
      <c r="BA288" s="22">
        <v>-1.7678800000000001E-2</v>
      </c>
      <c r="BB288" s="22">
        <v>278</v>
      </c>
      <c r="BC288" s="22">
        <v>1.2985199999999999</v>
      </c>
      <c r="BD288">
        <f t="shared" si="58"/>
        <v>17.678800000000003</v>
      </c>
      <c r="BE288">
        <f t="shared" si="59"/>
        <v>22.980672120000005</v>
      </c>
    </row>
    <row r="289" spans="6:57">
      <c r="F289" s="9"/>
      <c r="G289" s="22">
        <v>0.39505000000000001</v>
      </c>
      <c r="H289" s="22">
        <v>76.452299999999994</v>
      </c>
      <c r="I289" s="22">
        <v>-1.56677E-2</v>
      </c>
      <c r="J289" s="22">
        <v>279</v>
      </c>
      <c r="K289" s="22">
        <v>0.394623</v>
      </c>
      <c r="L289">
        <f t="shared" si="48"/>
        <v>15.6677</v>
      </c>
      <c r="M289">
        <f t="shared" si="49"/>
        <v>6.189524885</v>
      </c>
      <c r="N289" s="9"/>
      <c r="O289" s="22">
        <v>1.3049299999999999</v>
      </c>
      <c r="P289" s="22">
        <v>191.79400000000001</v>
      </c>
      <c r="Q289" s="22">
        <v>-1.41846E-2</v>
      </c>
      <c r="R289" s="22">
        <v>279</v>
      </c>
      <c r="S289" s="22">
        <v>1.30463</v>
      </c>
      <c r="T289">
        <f t="shared" si="50"/>
        <v>14.1846</v>
      </c>
      <c r="U289">
        <f t="shared" si="51"/>
        <v>18.509910077999997</v>
      </c>
      <c r="X289" s="9"/>
      <c r="Y289" s="22">
        <v>0.39505000000000001</v>
      </c>
      <c r="Z289" s="22">
        <v>290.01100000000002</v>
      </c>
      <c r="AA289" s="22">
        <v>-1.7687999999999999E-2</v>
      </c>
      <c r="AB289" s="22">
        <v>279</v>
      </c>
      <c r="AC289" s="22">
        <v>0.39446999999999999</v>
      </c>
      <c r="AD289">
        <f t="shared" si="52"/>
        <v>17.687999999999999</v>
      </c>
      <c r="AE289">
        <f t="shared" si="53"/>
        <v>6.9876443999999998</v>
      </c>
      <c r="AF289" s="9"/>
      <c r="AG289" s="22">
        <v>1.3049299999999999</v>
      </c>
      <c r="AH289" s="22">
        <v>365.74599999999998</v>
      </c>
      <c r="AI289" s="22">
        <v>-1.7272900000000001E-2</v>
      </c>
      <c r="AJ289" s="22">
        <v>279</v>
      </c>
      <c r="AK289" s="22">
        <v>1.30402</v>
      </c>
      <c r="AL289">
        <f t="shared" si="54"/>
        <v>17.2729</v>
      </c>
      <c r="AM289">
        <f t="shared" si="55"/>
        <v>22.539925396999998</v>
      </c>
      <c r="AP289" s="9"/>
      <c r="AQ289" s="22">
        <v>0.39505000000000001</v>
      </c>
      <c r="AR289" s="22">
        <v>437.94900000000001</v>
      </c>
      <c r="AS289" s="22">
        <v>-1.8197600000000001E-2</v>
      </c>
      <c r="AT289" s="22">
        <v>279</v>
      </c>
      <c r="AU289" s="22">
        <v>0.39468399999999998</v>
      </c>
      <c r="AV289">
        <f t="shared" si="56"/>
        <v>18.197600000000001</v>
      </c>
      <c r="AW289">
        <f t="shared" si="57"/>
        <v>7.1889618800000008</v>
      </c>
      <c r="AX289" s="9"/>
      <c r="AY289" s="22">
        <v>1.3049299999999999</v>
      </c>
      <c r="AZ289" s="22">
        <v>511.363</v>
      </c>
      <c r="BA289" s="22">
        <v>-1.7675799999999998E-2</v>
      </c>
      <c r="BB289" s="22">
        <v>279</v>
      </c>
      <c r="BC289" s="22">
        <v>1.3037099999999999</v>
      </c>
      <c r="BD289">
        <f t="shared" si="58"/>
        <v>17.675799999999999</v>
      </c>
      <c r="BE289">
        <f t="shared" si="59"/>
        <v>23.065681693999998</v>
      </c>
    </row>
    <row r="290" spans="6:57">
      <c r="F290" s="9"/>
      <c r="G290" s="22">
        <v>0.390015</v>
      </c>
      <c r="H290" s="22">
        <v>76.552999999999997</v>
      </c>
      <c r="I290" s="22">
        <v>-1.5676900000000001E-2</v>
      </c>
      <c r="J290" s="22">
        <v>280</v>
      </c>
      <c r="K290" s="22">
        <v>0.38961800000000002</v>
      </c>
      <c r="L290">
        <f t="shared" si="48"/>
        <v>15.6769</v>
      </c>
      <c r="M290">
        <f t="shared" si="49"/>
        <v>6.1142261534999998</v>
      </c>
      <c r="N290" s="9"/>
      <c r="O290" s="22">
        <v>1.3099700000000001</v>
      </c>
      <c r="P290" s="22">
        <v>191.89500000000001</v>
      </c>
      <c r="Q290" s="22">
        <v>-1.41846E-2</v>
      </c>
      <c r="R290" s="22">
        <v>280</v>
      </c>
      <c r="S290" s="22">
        <v>1.3089</v>
      </c>
      <c r="T290">
        <f t="shared" si="50"/>
        <v>14.1846</v>
      </c>
      <c r="U290">
        <f t="shared" si="51"/>
        <v>18.581400462000001</v>
      </c>
      <c r="X290" s="9"/>
      <c r="Y290" s="22">
        <v>0.390015</v>
      </c>
      <c r="Z290" s="22">
        <v>290.11200000000002</v>
      </c>
      <c r="AA290" s="22">
        <v>-1.7690999999999998E-2</v>
      </c>
      <c r="AB290" s="22">
        <v>280</v>
      </c>
      <c r="AC290" s="22">
        <v>0.38958700000000002</v>
      </c>
      <c r="AD290">
        <f t="shared" si="52"/>
        <v>17.690999999999999</v>
      </c>
      <c r="AE290">
        <f t="shared" si="53"/>
        <v>6.8997553649999999</v>
      </c>
      <c r="AF290" s="9"/>
      <c r="AG290" s="22">
        <v>1.3099700000000001</v>
      </c>
      <c r="AH290" s="22">
        <v>365.84699999999998</v>
      </c>
      <c r="AI290" s="22">
        <v>-1.7266799999999999E-2</v>
      </c>
      <c r="AJ290" s="22">
        <v>280</v>
      </c>
      <c r="AK290" s="22">
        <v>1.3091999999999999</v>
      </c>
      <c r="AL290">
        <f t="shared" si="54"/>
        <v>17.2668</v>
      </c>
      <c r="AM290">
        <f t="shared" si="55"/>
        <v>22.618989996</v>
      </c>
      <c r="AP290" s="9"/>
      <c r="AQ290" s="22">
        <v>0.390015</v>
      </c>
      <c r="AR290" s="22">
        <v>438.05</v>
      </c>
      <c r="AS290" s="22">
        <v>-1.8194599999999998E-2</v>
      </c>
      <c r="AT290" s="22">
        <v>280</v>
      </c>
      <c r="AU290" s="22">
        <v>0.38955699999999999</v>
      </c>
      <c r="AV290">
        <f t="shared" si="56"/>
        <v>18.194599999999998</v>
      </c>
      <c r="AW290">
        <f t="shared" si="57"/>
        <v>7.096166918999999</v>
      </c>
      <c r="AX290" s="9"/>
      <c r="AY290" s="22">
        <v>1.3099700000000001</v>
      </c>
      <c r="AZ290" s="22">
        <v>511.46300000000002</v>
      </c>
      <c r="BA290" s="22">
        <v>-1.7675799999999998E-2</v>
      </c>
      <c r="BB290" s="22">
        <v>280</v>
      </c>
      <c r="BC290" s="22">
        <v>1.3089</v>
      </c>
      <c r="BD290">
        <f t="shared" si="58"/>
        <v>17.675799999999999</v>
      </c>
      <c r="BE290">
        <f t="shared" si="59"/>
        <v>23.154767725999999</v>
      </c>
    </row>
    <row r="291" spans="6:57">
      <c r="F291" s="9"/>
      <c r="G291" s="22">
        <v>0.38497900000000002</v>
      </c>
      <c r="H291" s="22">
        <v>76.653700000000001</v>
      </c>
      <c r="I291" s="22">
        <v>-1.5670799999999999E-2</v>
      </c>
      <c r="J291" s="22">
        <v>281</v>
      </c>
      <c r="K291" s="22">
        <v>0.38458300000000001</v>
      </c>
      <c r="L291">
        <f t="shared" si="48"/>
        <v>15.670799999999998</v>
      </c>
      <c r="M291">
        <f t="shared" si="49"/>
        <v>6.0329289131999992</v>
      </c>
      <c r="N291" s="9"/>
      <c r="O291" s="22">
        <v>1.3149999999999999</v>
      </c>
      <c r="P291" s="22">
        <v>191.99600000000001</v>
      </c>
      <c r="Q291" s="22">
        <v>-1.4163200000000001E-2</v>
      </c>
      <c r="R291" s="22">
        <v>281</v>
      </c>
      <c r="S291" s="22">
        <v>1.3137799999999999</v>
      </c>
      <c r="T291">
        <f t="shared" si="50"/>
        <v>14.163200000000002</v>
      </c>
      <c r="U291">
        <f t="shared" si="51"/>
        <v>18.624608000000002</v>
      </c>
      <c r="X291" s="9"/>
      <c r="Y291" s="22">
        <v>0.38497900000000002</v>
      </c>
      <c r="Z291" s="22">
        <v>290.21199999999999</v>
      </c>
      <c r="AA291" s="22">
        <v>-1.7694100000000001E-2</v>
      </c>
      <c r="AB291" s="22">
        <v>281</v>
      </c>
      <c r="AC291" s="22">
        <v>0.38446000000000002</v>
      </c>
      <c r="AD291">
        <f t="shared" si="52"/>
        <v>17.694100000000002</v>
      </c>
      <c r="AE291">
        <f t="shared" si="53"/>
        <v>6.8118569239000015</v>
      </c>
      <c r="AF291" s="9"/>
      <c r="AG291" s="22">
        <v>1.3149999999999999</v>
      </c>
      <c r="AH291" s="22">
        <v>365.94799999999998</v>
      </c>
      <c r="AI291" s="22">
        <v>-1.7266799999999999E-2</v>
      </c>
      <c r="AJ291" s="22">
        <v>281</v>
      </c>
      <c r="AK291" s="22">
        <v>1.3149999999999999</v>
      </c>
      <c r="AL291">
        <f t="shared" si="54"/>
        <v>17.2668</v>
      </c>
      <c r="AM291">
        <f t="shared" si="55"/>
        <v>22.705842000000001</v>
      </c>
      <c r="AP291" s="9"/>
      <c r="AQ291" s="22">
        <v>0.38497900000000002</v>
      </c>
      <c r="AR291" s="22">
        <v>438.15100000000001</v>
      </c>
      <c r="AS291" s="22">
        <v>-1.8197600000000001E-2</v>
      </c>
      <c r="AT291" s="22">
        <v>281</v>
      </c>
      <c r="AU291" s="22">
        <v>0.38412499999999999</v>
      </c>
      <c r="AV291">
        <f t="shared" si="56"/>
        <v>18.197600000000001</v>
      </c>
      <c r="AW291">
        <f t="shared" si="57"/>
        <v>7.005693850400001</v>
      </c>
      <c r="AX291" s="9"/>
      <c r="AY291" s="22">
        <v>1.3149999999999999</v>
      </c>
      <c r="AZ291" s="22">
        <v>511.56400000000002</v>
      </c>
      <c r="BA291" s="22">
        <v>-1.7666600000000001E-2</v>
      </c>
      <c r="BB291" s="22">
        <v>281</v>
      </c>
      <c r="BC291" s="22">
        <v>1.31409</v>
      </c>
      <c r="BD291">
        <f t="shared" si="58"/>
        <v>17.666600000000003</v>
      </c>
      <c r="BE291">
        <f t="shared" si="59"/>
        <v>23.231579000000004</v>
      </c>
    </row>
    <row r="292" spans="6:57">
      <c r="F292" s="9"/>
      <c r="G292" s="22">
        <v>0.379944</v>
      </c>
      <c r="H292" s="22">
        <v>76.754400000000004</v>
      </c>
      <c r="I292" s="22">
        <v>-1.5682999999999999E-2</v>
      </c>
      <c r="J292" s="22">
        <v>282</v>
      </c>
      <c r="K292" s="22">
        <v>0.37945600000000002</v>
      </c>
      <c r="L292">
        <f t="shared" si="48"/>
        <v>15.683</v>
      </c>
      <c r="M292">
        <f t="shared" si="49"/>
        <v>5.9586617520000003</v>
      </c>
      <c r="N292" s="9"/>
      <c r="O292" s="22">
        <v>1.3200400000000001</v>
      </c>
      <c r="P292" s="22">
        <v>192.096</v>
      </c>
      <c r="Q292" s="22">
        <v>-1.4151E-2</v>
      </c>
      <c r="R292" s="22">
        <v>282</v>
      </c>
      <c r="S292" s="22">
        <v>1.31897</v>
      </c>
      <c r="T292">
        <f t="shared" si="50"/>
        <v>14.151</v>
      </c>
      <c r="U292">
        <f t="shared" si="51"/>
        <v>18.67988604</v>
      </c>
      <c r="X292" s="9"/>
      <c r="Y292" s="22">
        <v>0.379944</v>
      </c>
      <c r="Z292" s="22">
        <v>290.31299999999999</v>
      </c>
      <c r="AA292" s="22">
        <v>-1.7690999999999998E-2</v>
      </c>
      <c r="AB292" s="22">
        <v>282</v>
      </c>
      <c r="AC292" s="22">
        <v>0.37924200000000002</v>
      </c>
      <c r="AD292">
        <f t="shared" si="52"/>
        <v>17.690999999999999</v>
      </c>
      <c r="AE292">
        <f t="shared" si="53"/>
        <v>6.7215893040000001</v>
      </c>
      <c r="AF292" s="9"/>
      <c r="AG292" s="22">
        <v>1.3200400000000001</v>
      </c>
      <c r="AH292" s="22">
        <v>366.048</v>
      </c>
      <c r="AI292" s="22">
        <v>-1.7266799999999999E-2</v>
      </c>
      <c r="AJ292" s="22">
        <v>282</v>
      </c>
      <c r="AK292" s="22">
        <v>1.31989</v>
      </c>
      <c r="AL292">
        <f t="shared" si="54"/>
        <v>17.2668</v>
      </c>
      <c r="AM292">
        <f t="shared" si="55"/>
        <v>22.792866672000002</v>
      </c>
      <c r="AP292" s="9"/>
      <c r="AQ292" s="22">
        <v>0.379944</v>
      </c>
      <c r="AR292" s="22">
        <v>438.25099999999998</v>
      </c>
      <c r="AS292" s="22">
        <v>-1.8194599999999998E-2</v>
      </c>
      <c r="AT292" s="22">
        <v>282</v>
      </c>
      <c r="AU292" s="22">
        <v>0.379303</v>
      </c>
      <c r="AV292">
        <f t="shared" si="56"/>
        <v>18.194599999999998</v>
      </c>
      <c r="AW292">
        <f t="shared" si="57"/>
        <v>6.9129291023999988</v>
      </c>
      <c r="AX292" s="9"/>
      <c r="AY292" s="22">
        <v>1.3200400000000001</v>
      </c>
      <c r="AZ292" s="22">
        <v>511.66500000000002</v>
      </c>
      <c r="BA292" s="22">
        <v>-1.76727E-2</v>
      </c>
      <c r="BB292" s="22">
        <v>282</v>
      </c>
      <c r="BC292" s="22">
        <v>1.3192699999999999</v>
      </c>
      <c r="BD292">
        <f t="shared" si="58"/>
        <v>17.672699999999999</v>
      </c>
      <c r="BE292">
        <f t="shared" si="59"/>
        <v>23.328670907999999</v>
      </c>
    </row>
    <row r="293" spans="6:57">
      <c r="F293" s="9"/>
      <c r="G293" s="22">
        <v>0.37490800000000002</v>
      </c>
      <c r="H293" s="22">
        <v>76.855099999999993</v>
      </c>
      <c r="I293" s="22">
        <v>-1.5685999999999999E-2</v>
      </c>
      <c r="J293" s="22">
        <v>283</v>
      </c>
      <c r="K293" s="22">
        <v>0.37445099999999998</v>
      </c>
      <c r="L293">
        <f t="shared" si="48"/>
        <v>15.685999999999998</v>
      </c>
      <c r="M293">
        <f t="shared" si="49"/>
        <v>5.8808068879999995</v>
      </c>
      <c r="N293" s="9"/>
      <c r="O293" s="22">
        <v>1.32507</v>
      </c>
      <c r="P293" s="22">
        <v>192.197</v>
      </c>
      <c r="Q293" s="22">
        <v>-1.4135699999999999E-2</v>
      </c>
      <c r="R293" s="22">
        <v>283</v>
      </c>
      <c r="S293" s="22">
        <v>1.32446</v>
      </c>
      <c r="T293">
        <f t="shared" si="50"/>
        <v>14.1357</v>
      </c>
      <c r="U293">
        <f t="shared" si="51"/>
        <v>18.730791999000001</v>
      </c>
      <c r="X293" s="9"/>
      <c r="Y293" s="22">
        <v>0.37490800000000002</v>
      </c>
      <c r="Z293" s="22">
        <v>290.41399999999999</v>
      </c>
      <c r="AA293" s="22">
        <v>-1.7690999999999998E-2</v>
      </c>
      <c r="AB293" s="22">
        <v>283</v>
      </c>
      <c r="AC293" s="22">
        <v>0.37408400000000003</v>
      </c>
      <c r="AD293">
        <f t="shared" si="52"/>
        <v>17.690999999999999</v>
      </c>
      <c r="AE293">
        <f t="shared" si="53"/>
        <v>6.6324974279999998</v>
      </c>
      <c r="AF293" s="9"/>
      <c r="AG293" s="22">
        <v>1.32507</v>
      </c>
      <c r="AH293" s="22">
        <v>366.149</v>
      </c>
      <c r="AI293" s="22">
        <v>-1.72485E-2</v>
      </c>
      <c r="AJ293" s="22">
        <v>283</v>
      </c>
      <c r="AK293" s="22">
        <v>1.32416</v>
      </c>
      <c r="AL293">
        <f t="shared" si="54"/>
        <v>17.2485</v>
      </c>
      <c r="AM293">
        <f t="shared" si="55"/>
        <v>22.855469894999999</v>
      </c>
      <c r="AP293" s="9"/>
      <c r="AQ293" s="22">
        <v>0.37490800000000002</v>
      </c>
      <c r="AR293" s="22">
        <v>438.35199999999998</v>
      </c>
      <c r="AS293" s="22">
        <v>-1.8194599999999998E-2</v>
      </c>
      <c r="AT293" s="22">
        <v>283</v>
      </c>
      <c r="AU293" s="22">
        <v>0.37448100000000001</v>
      </c>
      <c r="AV293">
        <f t="shared" si="56"/>
        <v>18.194599999999998</v>
      </c>
      <c r="AW293">
        <f t="shared" si="57"/>
        <v>6.8213010967999992</v>
      </c>
      <c r="AX293" s="9"/>
      <c r="AY293" s="22">
        <v>1.32507</v>
      </c>
      <c r="AZ293" s="22">
        <v>511.76499999999999</v>
      </c>
      <c r="BA293" s="22">
        <v>-1.76727E-2</v>
      </c>
      <c r="BB293" s="22">
        <v>283</v>
      </c>
      <c r="BC293" s="22">
        <v>1.32507</v>
      </c>
      <c r="BD293">
        <f t="shared" si="58"/>
        <v>17.672699999999999</v>
      </c>
      <c r="BE293">
        <f t="shared" si="59"/>
        <v>23.417564588999998</v>
      </c>
    </row>
    <row r="294" spans="6:57">
      <c r="F294" s="9"/>
      <c r="G294" s="22">
        <v>0.36987300000000001</v>
      </c>
      <c r="H294" s="22">
        <v>76.955799999999996</v>
      </c>
      <c r="I294" s="22">
        <v>-1.56799E-2</v>
      </c>
      <c r="J294" s="22">
        <v>284</v>
      </c>
      <c r="K294" s="22">
        <v>0.36935400000000002</v>
      </c>
      <c r="L294">
        <f t="shared" si="48"/>
        <v>15.6799</v>
      </c>
      <c r="M294">
        <f t="shared" si="49"/>
        <v>5.7995716527000001</v>
      </c>
      <c r="N294" s="9"/>
      <c r="O294" s="22">
        <v>1.3301099999999999</v>
      </c>
      <c r="P294" s="22">
        <v>192.298</v>
      </c>
      <c r="Q294" s="22">
        <v>-1.4135699999999999E-2</v>
      </c>
      <c r="R294" s="22">
        <v>284</v>
      </c>
      <c r="S294" s="22">
        <v>1.32965</v>
      </c>
      <c r="T294">
        <f t="shared" si="50"/>
        <v>14.1357</v>
      </c>
      <c r="U294">
        <f t="shared" si="51"/>
        <v>18.802035926999999</v>
      </c>
      <c r="X294" s="9"/>
      <c r="Y294" s="22">
        <v>0.36987300000000001</v>
      </c>
      <c r="Z294" s="22">
        <v>290.51400000000001</v>
      </c>
      <c r="AA294" s="22">
        <v>-1.76971E-2</v>
      </c>
      <c r="AB294" s="22">
        <v>284</v>
      </c>
      <c r="AC294" s="22">
        <v>0.36929299999999998</v>
      </c>
      <c r="AD294">
        <f t="shared" si="52"/>
        <v>17.697099999999999</v>
      </c>
      <c r="AE294">
        <f t="shared" si="53"/>
        <v>6.5456794682999995</v>
      </c>
      <c r="AF294" s="9"/>
      <c r="AG294" s="22">
        <v>1.3301099999999999</v>
      </c>
      <c r="AH294" s="22">
        <v>366.25</v>
      </c>
      <c r="AI294" s="22">
        <v>-1.72607E-2</v>
      </c>
      <c r="AJ294" s="22">
        <v>284</v>
      </c>
      <c r="AK294" s="22">
        <v>1.32935</v>
      </c>
      <c r="AL294">
        <f t="shared" si="54"/>
        <v>17.2607</v>
      </c>
      <c r="AM294">
        <f t="shared" si="55"/>
        <v>22.958629676999998</v>
      </c>
      <c r="AP294" s="9"/>
      <c r="AQ294" s="22">
        <v>0.36987300000000001</v>
      </c>
      <c r="AR294" s="22">
        <v>438.45299999999997</v>
      </c>
      <c r="AS294" s="22">
        <v>-1.82007E-2</v>
      </c>
      <c r="AT294" s="22">
        <v>284</v>
      </c>
      <c r="AU294" s="22">
        <v>0.36941499999999999</v>
      </c>
      <c r="AV294">
        <f t="shared" si="56"/>
        <v>18.200700000000001</v>
      </c>
      <c r="AW294">
        <f t="shared" si="57"/>
        <v>6.7319475111000004</v>
      </c>
      <c r="AX294" s="9"/>
      <c r="AY294" s="22">
        <v>1.3301099999999999</v>
      </c>
      <c r="AZ294" s="22">
        <v>511.86599999999999</v>
      </c>
      <c r="BA294" s="22">
        <v>-1.7666600000000001E-2</v>
      </c>
      <c r="BB294" s="22">
        <v>284</v>
      </c>
      <c r="BC294" s="22">
        <v>1.32965</v>
      </c>
      <c r="BD294">
        <f t="shared" si="58"/>
        <v>17.666600000000003</v>
      </c>
      <c r="BE294">
        <f t="shared" si="59"/>
        <v>23.498521326000002</v>
      </c>
    </row>
    <row r="295" spans="6:57">
      <c r="F295" s="9"/>
      <c r="G295" s="22">
        <v>0.364838</v>
      </c>
      <c r="H295" s="22">
        <v>77.0565</v>
      </c>
      <c r="I295" s="22">
        <v>-1.5673800000000002E-2</v>
      </c>
      <c r="J295" s="22">
        <v>285</v>
      </c>
      <c r="K295" s="22">
        <v>0.36444100000000001</v>
      </c>
      <c r="L295">
        <f t="shared" si="48"/>
        <v>15.673800000000002</v>
      </c>
      <c r="M295">
        <f t="shared" si="49"/>
        <v>5.718397844400001</v>
      </c>
      <c r="N295" s="9"/>
      <c r="O295" s="22">
        <v>1.33514</v>
      </c>
      <c r="P295" s="22">
        <v>192.399</v>
      </c>
      <c r="Q295" s="22">
        <v>-1.41327E-2</v>
      </c>
      <c r="R295" s="22">
        <v>285</v>
      </c>
      <c r="S295" s="22">
        <v>1.33423</v>
      </c>
      <c r="T295">
        <f t="shared" si="50"/>
        <v>14.1327</v>
      </c>
      <c r="U295">
        <f t="shared" si="51"/>
        <v>18.869133078000001</v>
      </c>
      <c r="X295" s="9"/>
      <c r="Y295" s="22">
        <v>0.364838</v>
      </c>
      <c r="Z295" s="22">
        <v>290.61500000000001</v>
      </c>
      <c r="AA295" s="22">
        <v>-1.76971E-2</v>
      </c>
      <c r="AB295" s="22">
        <v>285</v>
      </c>
      <c r="AC295" s="22">
        <v>0.364319</v>
      </c>
      <c r="AD295">
        <f t="shared" si="52"/>
        <v>17.697099999999999</v>
      </c>
      <c r="AE295">
        <f t="shared" si="53"/>
        <v>6.4565745697999999</v>
      </c>
      <c r="AF295" s="9"/>
      <c r="AG295" s="22">
        <v>1.33514</v>
      </c>
      <c r="AH295" s="22">
        <v>366.35</v>
      </c>
      <c r="AI295" s="22">
        <v>-1.7257700000000001E-2</v>
      </c>
      <c r="AJ295" s="22">
        <v>285</v>
      </c>
      <c r="AK295" s="22">
        <v>1.33453</v>
      </c>
      <c r="AL295">
        <f t="shared" si="54"/>
        <v>17.2577</v>
      </c>
      <c r="AM295">
        <f t="shared" si="55"/>
        <v>23.041445578000001</v>
      </c>
      <c r="AP295" s="9"/>
      <c r="AQ295" s="22">
        <v>0.364838</v>
      </c>
      <c r="AR295" s="22">
        <v>438.55399999999997</v>
      </c>
      <c r="AS295" s="22">
        <v>-1.82007E-2</v>
      </c>
      <c r="AT295" s="22">
        <v>285</v>
      </c>
      <c r="AU295" s="22">
        <v>0.36459399999999997</v>
      </c>
      <c r="AV295">
        <f t="shared" si="56"/>
        <v>18.200700000000001</v>
      </c>
      <c r="AW295">
        <f t="shared" si="57"/>
        <v>6.6403069866000006</v>
      </c>
      <c r="AX295" s="9"/>
      <c r="AY295" s="22">
        <v>1.33514</v>
      </c>
      <c r="AZ295" s="22">
        <v>511.96699999999998</v>
      </c>
      <c r="BA295" s="22">
        <v>-1.7663600000000002E-2</v>
      </c>
      <c r="BB295" s="22">
        <v>285</v>
      </c>
      <c r="BC295" s="22">
        <v>1.33453</v>
      </c>
      <c r="BD295">
        <f t="shared" si="58"/>
        <v>17.663600000000002</v>
      </c>
      <c r="BE295">
        <f t="shared" si="59"/>
        <v>23.583378904000003</v>
      </c>
    </row>
    <row r="296" spans="6:57">
      <c r="F296" s="9"/>
      <c r="G296" s="22">
        <v>0.35980200000000001</v>
      </c>
      <c r="H296" s="22">
        <v>77.157200000000003</v>
      </c>
      <c r="I296" s="22">
        <v>-1.5676900000000001E-2</v>
      </c>
      <c r="J296" s="22">
        <v>286</v>
      </c>
      <c r="K296" s="22">
        <v>0.359344</v>
      </c>
      <c r="L296">
        <f t="shared" si="48"/>
        <v>15.6769</v>
      </c>
      <c r="M296">
        <f t="shared" si="49"/>
        <v>5.6405799738000004</v>
      </c>
      <c r="N296" s="9"/>
      <c r="O296" s="22">
        <v>1.3401799999999999</v>
      </c>
      <c r="P296" s="22">
        <v>192.499</v>
      </c>
      <c r="Q296" s="22">
        <v>-1.4123500000000001E-2</v>
      </c>
      <c r="R296" s="22">
        <v>286</v>
      </c>
      <c r="S296" s="22">
        <v>1.33972</v>
      </c>
      <c r="T296">
        <f t="shared" si="50"/>
        <v>14.1235</v>
      </c>
      <c r="U296">
        <f t="shared" si="51"/>
        <v>18.928032229999999</v>
      </c>
      <c r="X296" s="9"/>
      <c r="Y296" s="22">
        <v>0.35980200000000001</v>
      </c>
      <c r="Z296" s="22">
        <v>290.71600000000001</v>
      </c>
      <c r="AA296" s="22">
        <v>-1.76971E-2</v>
      </c>
      <c r="AB296" s="22">
        <v>286</v>
      </c>
      <c r="AC296" s="22">
        <v>0.35955799999999999</v>
      </c>
      <c r="AD296">
        <f t="shared" si="52"/>
        <v>17.697099999999999</v>
      </c>
      <c r="AE296">
        <f t="shared" si="53"/>
        <v>6.3674519741999998</v>
      </c>
      <c r="AF296" s="9"/>
      <c r="AG296" s="22">
        <v>1.3401799999999999</v>
      </c>
      <c r="AH296" s="22">
        <v>366.45100000000002</v>
      </c>
      <c r="AI296" s="22">
        <v>-1.72485E-2</v>
      </c>
      <c r="AJ296" s="22">
        <v>286</v>
      </c>
      <c r="AK296" s="22">
        <v>1.33911</v>
      </c>
      <c r="AL296">
        <f t="shared" si="54"/>
        <v>17.2485</v>
      </c>
      <c r="AM296">
        <f t="shared" si="55"/>
        <v>23.11609473</v>
      </c>
      <c r="AP296" s="9"/>
      <c r="AQ296" s="22">
        <v>0.35980200000000001</v>
      </c>
      <c r="AR296" s="22">
        <v>438.654</v>
      </c>
      <c r="AS296" s="22">
        <v>-1.8206799999999999E-2</v>
      </c>
      <c r="AT296" s="22">
        <v>286</v>
      </c>
      <c r="AU296" s="22">
        <v>0.35925299999999999</v>
      </c>
      <c r="AV296">
        <f t="shared" si="56"/>
        <v>18.206799999999998</v>
      </c>
      <c r="AW296">
        <f t="shared" si="57"/>
        <v>6.5508430535999995</v>
      </c>
      <c r="AX296" s="9"/>
      <c r="AY296" s="22">
        <v>1.3401799999999999</v>
      </c>
      <c r="AZ296" s="22">
        <v>512.06700000000001</v>
      </c>
      <c r="BA296" s="22">
        <v>-1.76575E-2</v>
      </c>
      <c r="BB296" s="22">
        <v>286</v>
      </c>
      <c r="BC296" s="22">
        <v>1.33911</v>
      </c>
      <c r="BD296">
        <f t="shared" si="58"/>
        <v>17.657499999999999</v>
      </c>
      <c r="BE296">
        <f t="shared" si="59"/>
        <v>23.664228349999998</v>
      </c>
    </row>
    <row r="297" spans="6:57">
      <c r="F297" s="9"/>
      <c r="G297" s="22">
        <v>0.354767</v>
      </c>
      <c r="H297" s="22">
        <v>77.257999999999996</v>
      </c>
      <c r="I297" s="22">
        <v>-1.5704300000000001E-2</v>
      </c>
      <c r="J297" s="22">
        <v>287</v>
      </c>
      <c r="K297" s="22">
        <v>0.35430899999999999</v>
      </c>
      <c r="L297">
        <f t="shared" si="48"/>
        <v>15.704300000000002</v>
      </c>
      <c r="M297">
        <f t="shared" si="49"/>
        <v>5.5713673981000005</v>
      </c>
      <c r="N297" s="9"/>
      <c r="O297" s="22">
        <v>1.34521</v>
      </c>
      <c r="P297" s="22">
        <v>192.6</v>
      </c>
      <c r="Q297" s="22">
        <v>-1.4114399999999999E-2</v>
      </c>
      <c r="R297" s="22">
        <v>287</v>
      </c>
      <c r="S297" s="22">
        <v>1.34399</v>
      </c>
      <c r="T297">
        <f t="shared" si="50"/>
        <v>14.1144</v>
      </c>
      <c r="U297">
        <f t="shared" si="51"/>
        <v>18.986832024000002</v>
      </c>
      <c r="X297" s="9"/>
      <c r="Y297" s="22">
        <v>0.354767</v>
      </c>
      <c r="Z297" s="22">
        <v>290.81700000000001</v>
      </c>
      <c r="AA297" s="22">
        <v>-1.77094E-2</v>
      </c>
      <c r="AB297" s="22">
        <v>287</v>
      </c>
      <c r="AC297" s="22">
        <v>0.35418699999999997</v>
      </c>
      <c r="AD297">
        <f t="shared" si="52"/>
        <v>17.709399999999999</v>
      </c>
      <c r="AE297">
        <f t="shared" si="53"/>
        <v>6.2827107097999999</v>
      </c>
      <c r="AF297" s="9"/>
      <c r="AG297" s="22">
        <v>1.34521</v>
      </c>
      <c r="AH297" s="22">
        <v>366.55200000000002</v>
      </c>
      <c r="AI297" s="22">
        <v>-1.7251599999999999E-2</v>
      </c>
      <c r="AJ297" s="22">
        <v>287</v>
      </c>
      <c r="AK297" s="22">
        <v>1.34491</v>
      </c>
      <c r="AL297">
        <f t="shared" si="54"/>
        <v>17.2516</v>
      </c>
      <c r="AM297">
        <f t="shared" si="55"/>
        <v>23.207024835999999</v>
      </c>
      <c r="AP297" s="9"/>
      <c r="AQ297" s="22">
        <v>0.354767</v>
      </c>
      <c r="AR297" s="22">
        <v>438.755</v>
      </c>
      <c r="AS297" s="22">
        <v>-1.8206799999999999E-2</v>
      </c>
      <c r="AT297" s="22">
        <v>287</v>
      </c>
      <c r="AU297" s="22">
        <v>0.35418699999999997</v>
      </c>
      <c r="AV297">
        <f t="shared" si="56"/>
        <v>18.206799999999998</v>
      </c>
      <c r="AW297">
        <f t="shared" si="57"/>
        <v>6.4591718155999995</v>
      </c>
      <c r="AX297" s="9"/>
      <c r="AY297" s="22">
        <v>1.34521</v>
      </c>
      <c r="AZ297" s="22">
        <v>512.16800000000001</v>
      </c>
      <c r="BA297" s="22">
        <v>-1.7648299999999999E-2</v>
      </c>
      <c r="BB297" s="22">
        <v>287</v>
      </c>
      <c r="BC297" s="22">
        <v>1.3443000000000001</v>
      </c>
      <c r="BD297">
        <f t="shared" si="58"/>
        <v>17.648299999999999</v>
      </c>
      <c r="BE297">
        <f t="shared" si="59"/>
        <v>23.740669643</v>
      </c>
    </row>
    <row r="298" spans="6:57">
      <c r="F298" s="9"/>
      <c r="G298" s="22">
        <v>0.34973100000000001</v>
      </c>
      <c r="H298" s="22">
        <v>77.358699999999999</v>
      </c>
      <c r="I298" s="22">
        <v>-1.5698199999999999E-2</v>
      </c>
      <c r="J298" s="22">
        <v>288</v>
      </c>
      <c r="K298" s="22">
        <v>0.349304</v>
      </c>
      <c r="L298">
        <f t="shared" si="48"/>
        <v>15.698199999999998</v>
      </c>
      <c r="M298">
        <f t="shared" si="49"/>
        <v>5.4901471841999996</v>
      </c>
      <c r="N298" s="9"/>
      <c r="O298" s="22">
        <v>1.35025</v>
      </c>
      <c r="P298" s="22">
        <v>192.70099999999999</v>
      </c>
      <c r="Q298" s="22">
        <v>-1.4086899999999999E-2</v>
      </c>
      <c r="R298" s="22">
        <v>288</v>
      </c>
      <c r="S298" s="22">
        <v>1.34918</v>
      </c>
      <c r="T298">
        <f t="shared" si="50"/>
        <v>14.0869</v>
      </c>
      <c r="U298">
        <f t="shared" si="51"/>
        <v>19.020836724999999</v>
      </c>
      <c r="X298" s="9"/>
      <c r="Y298" s="22">
        <v>0.34973100000000001</v>
      </c>
      <c r="Z298" s="22">
        <v>290.91699999999997</v>
      </c>
      <c r="AA298" s="22">
        <v>-1.7703199999999999E-2</v>
      </c>
      <c r="AB298" s="22">
        <v>288</v>
      </c>
      <c r="AC298" s="22">
        <v>0.34924300000000003</v>
      </c>
      <c r="AD298">
        <f t="shared" si="52"/>
        <v>17.703199999999999</v>
      </c>
      <c r="AE298">
        <f t="shared" si="53"/>
        <v>6.1913578392000002</v>
      </c>
      <c r="AF298" s="9"/>
      <c r="AG298" s="22">
        <v>1.35025</v>
      </c>
      <c r="AH298" s="22">
        <v>366.65300000000002</v>
      </c>
      <c r="AI298" s="22">
        <v>-1.72485E-2</v>
      </c>
      <c r="AJ298" s="22">
        <v>288</v>
      </c>
      <c r="AK298" s="22">
        <v>1.3494900000000001</v>
      </c>
      <c r="AL298">
        <f t="shared" si="54"/>
        <v>17.2485</v>
      </c>
      <c r="AM298">
        <f t="shared" si="55"/>
        <v>23.289787125</v>
      </c>
      <c r="AP298" s="9"/>
      <c r="AQ298" s="22">
        <v>0.34973100000000001</v>
      </c>
      <c r="AR298" s="22">
        <v>438.85599999999999</v>
      </c>
      <c r="AS298" s="22">
        <v>-1.82007E-2</v>
      </c>
      <c r="AT298" s="22">
        <v>288</v>
      </c>
      <c r="AU298" s="22">
        <v>0.34918199999999999</v>
      </c>
      <c r="AV298">
        <f t="shared" si="56"/>
        <v>18.200700000000001</v>
      </c>
      <c r="AW298">
        <f t="shared" si="57"/>
        <v>6.3653490117000011</v>
      </c>
      <c r="AX298" s="9"/>
      <c r="AY298" s="22">
        <v>1.35025</v>
      </c>
      <c r="AZ298" s="22">
        <v>512.26900000000001</v>
      </c>
      <c r="BA298" s="22">
        <v>-1.7651400000000001E-2</v>
      </c>
      <c r="BB298" s="22">
        <v>288</v>
      </c>
      <c r="BC298" s="22">
        <v>1.3504</v>
      </c>
      <c r="BD298">
        <f t="shared" si="58"/>
        <v>17.651400000000002</v>
      </c>
      <c r="BE298">
        <f t="shared" si="59"/>
        <v>23.833802850000001</v>
      </c>
    </row>
    <row r="299" spans="6:57">
      <c r="F299" s="9"/>
      <c r="G299" s="22">
        <v>0.344696</v>
      </c>
      <c r="H299" s="22">
        <v>77.459400000000002</v>
      </c>
      <c r="I299" s="22">
        <v>-1.5710399999999999E-2</v>
      </c>
      <c r="J299" s="22">
        <v>289</v>
      </c>
      <c r="K299" s="22">
        <v>0.34417700000000001</v>
      </c>
      <c r="L299">
        <f t="shared" si="48"/>
        <v>15.7104</v>
      </c>
      <c r="M299">
        <f t="shared" si="49"/>
        <v>5.4153120383999998</v>
      </c>
      <c r="N299" s="9"/>
      <c r="O299" s="22">
        <v>1.3552900000000001</v>
      </c>
      <c r="P299" s="22">
        <v>192.80099999999999</v>
      </c>
      <c r="Q299" s="22">
        <v>-1.4080799999999999E-2</v>
      </c>
      <c r="R299" s="22">
        <v>289</v>
      </c>
      <c r="S299" s="22">
        <v>1.3543700000000001</v>
      </c>
      <c r="T299">
        <f t="shared" si="50"/>
        <v>14.0808</v>
      </c>
      <c r="U299">
        <f t="shared" si="51"/>
        <v>19.083567432000002</v>
      </c>
      <c r="X299" s="9"/>
      <c r="Y299" s="22">
        <v>0.344696</v>
      </c>
      <c r="Z299" s="22">
        <v>291.01799999999997</v>
      </c>
      <c r="AA299" s="22">
        <v>-1.7706300000000001E-2</v>
      </c>
      <c r="AB299" s="22">
        <v>289</v>
      </c>
      <c r="AC299" s="22">
        <v>0.34411599999999998</v>
      </c>
      <c r="AD299">
        <f t="shared" si="52"/>
        <v>17.706300000000002</v>
      </c>
      <c r="AE299">
        <f t="shared" si="53"/>
        <v>6.1032907848000004</v>
      </c>
      <c r="AF299" s="9"/>
      <c r="AG299" s="22">
        <v>1.3552900000000001</v>
      </c>
      <c r="AH299" s="22">
        <v>366.75299999999999</v>
      </c>
      <c r="AI299" s="22">
        <v>-1.72485E-2</v>
      </c>
      <c r="AJ299" s="22">
        <v>289</v>
      </c>
      <c r="AK299" s="22">
        <v>1.35406</v>
      </c>
      <c r="AL299">
        <f t="shared" si="54"/>
        <v>17.2485</v>
      </c>
      <c r="AM299">
        <f t="shared" si="55"/>
        <v>23.376719565000002</v>
      </c>
      <c r="AP299" s="9"/>
      <c r="AQ299" s="22">
        <v>0.344696</v>
      </c>
      <c r="AR299" s="22">
        <v>438.95600000000002</v>
      </c>
      <c r="AS299" s="22">
        <v>-1.8209800000000002E-2</v>
      </c>
      <c r="AT299" s="22">
        <v>289</v>
      </c>
      <c r="AU299" s="22">
        <v>0.34429900000000002</v>
      </c>
      <c r="AV299">
        <f t="shared" si="56"/>
        <v>18.209800000000001</v>
      </c>
      <c r="AW299">
        <f t="shared" si="57"/>
        <v>6.2768452208000003</v>
      </c>
      <c r="AX299" s="9"/>
      <c r="AY299" s="22">
        <v>1.3552900000000001</v>
      </c>
      <c r="AZ299" s="22">
        <v>512.37</v>
      </c>
      <c r="BA299" s="22">
        <v>-1.7645299999999999E-2</v>
      </c>
      <c r="BB299" s="22">
        <v>289</v>
      </c>
      <c r="BC299" s="22">
        <v>1.3543700000000001</v>
      </c>
      <c r="BD299">
        <f t="shared" si="58"/>
        <v>17.645299999999999</v>
      </c>
      <c r="BE299">
        <f t="shared" si="59"/>
        <v>23.914498637000001</v>
      </c>
    </row>
    <row r="300" spans="6:57">
      <c r="F300" s="9"/>
      <c r="G300" s="22">
        <v>0.33966099999999999</v>
      </c>
      <c r="H300" s="22">
        <v>77.560100000000006</v>
      </c>
      <c r="I300" s="22">
        <v>-1.5698199999999999E-2</v>
      </c>
      <c r="J300" s="22">
        <v>290</v>
      </c>
      <c r="K300" s="22">
        <v>0.33923300000000001</v>
      </c>
      <c r="L300">
        <f t="shared" si="48"/>
        <v>15.698199999999998</v>
      </c>
      <c r="M300">
        <f t="shared" si="49"/>
        <v>5.3320663101999992</v>
      </c>
      <c r="N300" s="9"/>
      <c r="O300" s="22">
        <v>1.36032</v>
      </c>
      <c r="P300" s="22">
        <v>192.90199999999999</v>
      </c>
      <c r="Q300" s="22">
        <v>-1.4071699999999999E-2</v>
      </c>
      <c r="R300" s="22">
        <v>290</v>
      </c>
      <c r="S300" s="22">
        <v>1.3592500000000001</v>
      </c>
      <c r="T300">
        <f t="shared" si="50"/>
        <v>14.0717</v>
      </c>
      <c r="U300">
        <f t="shared" si="51"/>
        <v>19.142014944</v>
      </c>
      <c r="X300" s="9"/>
      <c r="Y300" s="22">
        <v>0.33966099999999999</v>
      </c>
      <c r="Z300" s="22">
        <v>291.11900000000003</v>
      </c>
      <c r="AA300" s="22">
        <v>-1.7706300000000001E-2</v>
      </c>
      <c r="AB300" s="22">
        <v>290</v>
      </c>
      <c r="AC300" s="22">
        <v>0.339142</v>
      </c>
      <c r="AD300">
        <f t="shared" si="52"/>
        <v>17.706300000000002</v>
      </c>
      <c r="AE300">
        <f t="shared" si="53"/>
        <v>6.0141395643000006</v>
      </c>
      <c r="AF300" s="9"/>
      <c r="AG300" s="22">
        <v>1.36032</v>
      </c>
      <c r="AH300" s="22">
        <v>366.85399999999998</v>
      </c>
      <c r="AI300" s="22">
        <v>-1.72455E-2</v>
      </c>
      <c r="AJ300" s="22">
        <v>290</v>
      </c>
      <c r="AK300" s="22">
        <v>1.3595600000000001</v>
      </c>
      <c r="AL300">
        <f t="shared" si="54"/>
        <v>17.2455</v>
      </c>
      <c r="AM300">
        <f t="shared" si="55"/>
        <v>23.45939856</v>
      </c>
      <c r="AP300" s="9"/>
      <c r="AQ300" s="22">
        <v>0.33966099999999999</v>
      </c>
      <c r="AR300" s="22">
        <v>439.05700000000002</v>
      </c>
      <c r="AS300" s="22">
        <v>-1.82159E-2</v>
      </c>
      <c r="AT300" s="22">
        <v>290</v>
      </c>
      <c r="AU300" s="22">
        <v>0.339142</v>
      </c>
      <c r="AV300">
        <f t="shared" si="56"/>
        <v>18.215900000000001</v>
      </c>
      <c r="AW300">
        <f t="shared" si="57"/>
        <v>6.1872308099</v>
      </c>
      <c r="AX300" s="9"/>
      <c r="AY300" s="22">
        <v>1.36032</v>
      </c>
      <c r="AZ300" s="22">
        <v>512.47</v>
      </c>
      <c r="BA300" s="22">
        <v>-1.76422E-2</v>
      </c>
      <c r="BB300" s="22">
        <v>290</v>
      </c>
      <c r="BC300" s="22">
        <v>1.3592500000000001</v>
      </c>
      <c r="BD300">
        <f t="shared" si="58"/>
        <v>17.642199999999999</v>
      </c>
      <c r="BE300">
        <f t="shared" si="59"/>
        <v>23.999037503999997</v>
      </c>
    </row>
    <row r="301" spans="6:57">
      <c r="F301" s="9"/>
      <c r="G301" s="22">
        <v>0.33462500000000001</v>
      </c>
      <c r="H301" s="22">
        <v>77.660799999999995</v>
      </c>
      <c r="I301" s="22">
        <v>-1.5695199999999999E-2</v>
      </c>
      <c r="J301" s="22">
        <v>291</v>
      </c>
      <c r="K301" s="22">
        <v>0.33413700000000002</v>
      </c>
      <c r="L301">
        <f t="shared" si="48"/>
        <v>15.6952</v>
      </c>
      <c r="M301">
        <f t="shared" si="49"/>
        <v>5.2520062999999997</v>
      </c>
      <c r="N301" s="9"/>
      <c r="O301" s="22">
        <v>1.3653599999999999</v>
      </c>
      <c r="P301" s="22">
        <v>193.00299999999999</v>
      </c>
      <c r="Q301" s="22">
        <v>-1.40564E-2</v>
      </c>
      <c r="R301" s="22">
        <v>291</v>
      </c>
      <c r="S301" s="22">
        <v>1.3638300000000001</v>
      </c>
      <c r="T301">
        <f t="shared" si="50"/>
        <v>14.0564</v>
      </c>
      <c r="U301">
        <f t="shared" si="51"/>
        <v>19.192046303999998</v>
      </c>
      <c r="X301" s="9"/>
      <c r="Y301" s="22">
        <v>0.33462500000000001</v>
      </c>
      <c r="Z301" s="22">
        <v>291.21899999999999</v>
      </c>
      <c r="AA301" s="22">
        <v>-1.7706300000000001E-2</v>
      </c>
      <c r="AB301" s="22">
        <v>291</v>
      </c>
      <c r="AC301" s="22">
        <v>0.33395399999999997</v>
      </c>
      <c r="AD301">
        <f t="shared" si="52"/>
        <v>17.706300000000002</v>
      </c>
      <c r="AE301">
        <f t="shared" si="53"/>
        <v>5.9249706375000013</v>
      </c>
      <c r="AF301" s="9"/>
      <c r="AG301" s="22">
        <v>1.3653599999999999</v>
      </c>
      <c r="AH301" s="22">
        <v>366.95499999999998</v>
      </c>
      <c r="AI301" s="22">
        <v>-1.72363E-2</v>
      </c>
      <c r="AJ301" s="22">
        <v>291</v>
      </c>
      <c r="AK301" s="22">
        <v>1.3644400000000001</v>
      </c>
      <c r="AL301">
        <f t="shared" si="54"/>
        <v>17.2363</v>
      </c>
      <c r="AM301">
        <f t="shared" si="55"/>
        <v>23.533754567999999</v>
      </c>
      <c r="AP301" s="9"/>
      <c r="AQ301" s="22">
        <v>0.33462500000000001</v>
      </c>
      <c r="AR301" s="22">
        <v>439.15800000000002</v>
      </c>
      <c r="AS301" s="22">
        <v>-1.82159E-2</v>
      </c>
      <c r="AT301" s="22">
        <v>291</v>
      </c>
      <c r="AU301" s="22">
        <v>0.33361800000000003</v>
      </c>
      <c r="AV301">
        <f t="shared" si="56"/>
        <v>18.215900000000001</v>
      </c>
      <c r="AW301">
        <f t="shared" si="57"/>
        <v>6.0954955375000006</v>
      </c>
      <c r="AX301" s="9"/>
      <c r="AY301" s="22">
        <v>1.3653599999999999</v>
      </c>
      <c r="AZ301" s="22">
        <v>512.57100000000003</v>
      </c>
      <c r="BA301" s="22">
        <v>-1.7639200000000001E-2</v>
      </c>
      <c r="BB301" s="22">
        <v>291</v>
      </c>
      <c r="BC301" s="22">
        <v>1.3644400000000001</v>
      </c>
      <c r="BD301">
        <f t="shared" si="58"/>
        <v>17.639200000000002</v>
      </c>
      <c r="BE301">
        <f t="shared" si="59"/>
        <v>24.083858112000001</v>
      </c>
    </row>
    <row r="302" spans="6:57">
      <c r="F302" s="9"/>
      <c r="G302" s="22">
        <v>0.32958999999999999</v>
      </c>
      <c r="H302" s="22">
        <v>77.761499999999998</v>
      </c>
      <c r="I302" s="22">
        <v>-1.5725699999999999E-2</v>
      </c>
      <c r="J302" s="22">
        <v>292</v>
      </c>
      <c r="K302" s="22">
        <v>0.32916299999999998</v>
      </c>
      <c r="L302">
        <f t="shared" si="48"/>
        <v>15.725699999999998</v>
      </c>
      <c r="M302">
        <f t="shared" si="49"/>
        <v>5.1830334629999992</v>
      </c>
      <c r="N302" s="9"/>
      <c r="O302" s="22">
        <v>1.37039</v>
      </c>
      <c r="P302" s="22">
        <v>193.10300000000001</v>
      </c>
      <c r="Q302" s="22">
        <v>-1.40442E-2</v>
      </c>
      <c r="R302" s="22">
        <v>292</v>
      </c>
      <c r="S302" s="22">
        <v>1.3693200000000001</v>
      </c>
      <c r="T302">
        <f t="shared" si="50"/>
        <v>14.0442</v>
      </c>
      <c r="U302">
        <f t="shared" si="51"/>
        <v>19.246031238</v>
      </c>
      <c r="X302" s="9"/>
      <c r="Y302" s="22">
        <v>0.32958999999999999</v>
      </c>
      <c r="Z302" s="22">
        <v>291.32</v>
      </c>
      <c r="AA302" s="22">
        <v>-1.77094E-2</v>
      </c>
      <c r="AB302" s="22">
        <v>292</v>
      </c>
      <c r="AC302" s="22">
        <v>0.32931500000000002</v>
      </c>
      <c r="AD302">
        <f t="shared" si="52"/>
        <v>17.709399999999999</v>
      </c>
      <c r="AE302">
        <f t="shared" si="53"/>
        <v>5.8368411459999994</v>
      </c>
      <c r="AF302" s="9"/>
      <c r="AG302" s="22">
        <v>1.37039</v>
      </c>
      <c r="AH302" s="22">
        <v>367.05500000000001</v>
      </c>
      <c r="AI302" s="22">
        <v>-1.7230200000000001E-2</v>
      </c>
      <c r="AJ302" s="22">
        <v>292</v>
      </c>
      <c r="AK302" s="22">
        <v>1.3696299999999999</v>
      </c>
      <c r="AL302">
        <f t="shared" si="54"/>
        <v>17.2302</v>
      </c>
      <c r="AM302">
        <f t="shared" si="55"/>
        <v>23.612093777999998</v>
      </c>
      <c r="AP302" s="9"/>
      <c r="AQ302" s="22">
        <v>0.32958999999999999</v>
      </c>
      <c r="AR302" s="22">
        <v>439.25900000000001</v>
      </c>
      <c r="AS302" s="22">
        <v>-1.82159E-2</v>
      </c>
      <c r="AT302" s="22">
        <v>292</v>
      </c>
      <c r="AU302" s="22">
        <v>0.32904099999999997</v>
      </c>
      <c r="AV302">
        <f t="shared" si="56"/>
        <v>18.215900000000001</v>
      </c>
      <c r="AW302">
        <f t="shared" si="57"/>
        <v>6.0037784810000003</v>
      </c>
      <c r="AX302" s="9"/>
      <c r="AY302" s="22">
        <v>1.37039</v>
      </c>
      <c r="AZ302" s="22">
        <v>512.67200000000003</v>
      </c>
      <c r="BA302" s="22">
        <v>-1.7633099999999999E-2</v>
      </c>
      <c r="BB302" s="22">
        <v>292</v>
      </c>
      <c r="BC302" s="22">
        <v>1.3696299999999999</v>
      </c>
      <c r="BD302">
        <f t="shared" si="58"/>
        <v>17.633099999999999</v>
      </c>
      <c r="BE302">
        <f t="shared" si="59"/>
        <v>24.164223908999997</v>
      </c>
    </row>
    <row r="303" spans="6:57">
      <c r="F303" s="9"/>
      <c r="G303" s="22">
        <v>0.32455400000000001</v>
      </c>
      <c r="H303" s="22">
        <v>77.862200000000001</v>
      </c>
      <c r="I303" s="22">
        <v>-1.57471E-2</v>
      </c>
      <c r="J303" s="22">
        <v>293</v>
      </c>
      <c r="K303" s="22">
        <v>0.32406600000000002</v>
      </c>
      <c r="L303">
        <f t="shared" si="48"/>
        <v>15.7471</v>
      </c>
      <c r="M303">
        <f t="shared" si="49"/>
        <v>5.1107842934000001</v>
      </c>
      <c r="N303" s="9"/>
      <c r="O303" s="22">
        <v>1.3754299999999999</v>
      </c>
      <c r="P303" s="22">
        <v>193.20400000000001</v>
      </c>
      <c r="Q303" s="22">
        <v>-1.4035000000000001E-2</v>
      </c>
      <c r="R303" s="22">
        <v>293</v>
      </c>
      <c r="S303" s="22">
        <v>1.3745099999999999</v>
      </c>
      <c r="T303">
        <f t="shared" si="50"/>
        <v>14.035</v>
      </c>
      <c r="U303">
        <f t="shared" si="51"/>
        <v>19.30416005</v>
      </c>
      <c r="X303" s="9"/>
      <c r="Y303" s="22">
        <v>0.32455400000000001</v>
      </c>
      <c r="Z303" s="22">
        <v>291.42099999999999</v>
      </c>
      <c r="AA303" s="22">
        <v>-1.7718500000000002E-2</v>
      </c>
      <c r="AB303" s="22">
        <v>293</v>
      </c>
      <c r="AC303" s="22">
        <v>0.324127</v>
      </c>
      <c r="AD303">
        <f t="shared" si="52"/>
        <v>17.718500000000002</v>
      </c>
      <c r="AE303">
        <f t="shared" si="53"/>
        <v>5.7506100490000005</v>
      </c>
      <c r="AF303" s="9"/>
      <c r="AG303" s="22">
        <v>1.3754299999999999</v>
      </c>
      <c r="AH303" s="22">
        <v>367.15600000000001</v>
      </c>
      <c r="AI303" s="22">
        <v>-1.72333E-2</v>
      </c>
      <c r="AJ303" s="22">
        <v>293</v>
      </c>
      <c r="AK303" s="22">
        <v>1.3748199999999999</v>
      </c>
      <c r="AL303">
        <f t="shared" si="54"/>
        <v>17.2333</v>
      </c>
      <c r="AM303">
        <f t="shared" si="55"/>
        <v>23.703197819</v>
      </c>
      <c r="AP303" s="9"/>
      <c r="AQ303" s="22">
        <v>0.32455400000000001</v>
      </c>
      <c r="AR303" s="22">
        <v>439.35899999999998</v>
      </c>
      <c r="AS303" s="22">
        <v>-1.8221999999999999E-2</v>
      </c>
      <c r="AT303" s="22">
        <v>293</v>
      </c>
      <c r="AU303" s="22">
        <v>0.324158</v>
      </c>
      <c r="AV303">
        <f t="shared" si="56"/>
        <v>18.221999999999998</v>
      </c>
      <c r="AW303">
        <f t="shared" si="57"/>
        <v>5.9140229879999993</v>
      </c>
      <c r="AX303" s="9"/>
      <c r="AY303" s="22">
        <v>1.3754299999999999</v>
      </c>
      <c r="AZ303" s="22">
        <v>512.77200000000005</v>
      </c>
      <c r="BA303" s="22">
        <v>-1.763E-2</v>
      </c>
      <c r="BB303" s="22">
        <v>293</v>
      </c>
      <c r="BC303" s="22">
        <v>1.3742099999999999</v>
      </c>
      <c r="BD303">
        <f t="shared" si="58"/>
        <v>17.63</v>
      </c>
      <c r="BE303">
        <f t="shared" si="59"/>
        <v>24.248830899999998</v>
      </c>
    </row>
    <row r="304" spans="6:57">
      <c r="F304" s="9"/>
      <c r="G304" s="22">
        <v>0.319519</v>
      </c>
      <c r="H304" s="22">
        <v>77.962900000000005</v>
      </c>
      <c r="I304" s="22">
        <v>-1.5771500000000001E-2</v>
      </c>
      <c r="J304" s="22">
        <v>294</v>
      </c>
      <c r="K304" s="22">
        <v>0.31906099999999998</v>
      </c>
      <c r="L304">
        <f t="shared" si="48"/>
        <v>15.771500000000001</v>
      </c>
      <c r="M304">
        <f t="shared" si="49"/>
        <v>5.0392939085000004</v>
      </c>
      <c r="N304" s="9"/>
      <c r="O304" s="22">
        <v>1.38046</v>
      </c>
      <c r="P304" s="22">
        <v>193.30500000000001</v>
      </c>
      <c r="Q304" s="22">
        <v>-1.40289E-2</v>
      </c>
      <c r="R304" s="22">
        <v>294</v>
      </c>
      <c r="S304" s="22">
        <v>1.38</v>
      </c>
      <c r="T304">
        <f t="shared" si="50"/>
        <v>14.0289</v>
      </c>
      <c r="U304">
        <f t="shared" si="51"/>
        <v>19.366335293999999</v>
      </c>
      <c r="X304" s="9"/>
      <c r="Y304" s="22">
        <v>0.319519</v>
      </c>
      <c r="Z304" s="22">
        <v>291.52199999999999</v>
      </c>
      <c r="AA304" s="22">
        <v>-1.7715499999999999E-2</v>
      </c>
      <c r="AB304" s="22">
        <v>294</v>
      </c>
      <c r="AC304" s="22">
        <v>0.319214</v>
      </c>
      <c r="AD304">
        <f t="shared" si="52"/>
        <v>17.715499999999999</v>
      </c>
      <c r="AE304">
        <f t="shared" si="53"/>
        <v>5.6604388444999998</v>
      </c>
      <c r="AF304" s="9"/>
      <c r="AG304" s="22">
        <v>1.38046</v>
      </c>
      <c r="AH304" s="22">
        <v>367.25700000000001</v>
      </c>
      <c r="AI304" s="22">
        <v>-1.7230200000000001E-2</v>
      </c>
      <c r="AJ304" s="22">
        <v>294</v>
      </c>
      <c r="AK304" s="22">
        <v>1.3793899999999999</v>
      </c>
      <c r="AL304">
        <f t="shared" si="54"/>
        <v>17.2302</v>
      </c>
      <c r="AM304">
        <f t="shared" si="55"/>
        <v>23.785601891999999</v>
      </c>
      <c r="AP304" s="9"/>
      <c r="AQ304" s="22">
        <v>0.319519</v>
      </c>
      <c r="AR304" s="22">
        <v>439.46</v>
      </c>
      <c r="AS304" s="22">
        <v>-1.82159E-2</v>
      </c>
      <c r="AT304" s="22">
        <v>294</v>
      </c>
      <c r="AU304" s="22">
        <v>0.31884800000000002</v>
      </c>
      <c r="AV304">
        <f t="shared" si="56"/>
        <v>18.215900000000001</v>
      </c>
      <c r="AW304">
        <f t="shared" si="57"/>
        <v>5.8203261521000007</v>
      </c>
      <c r="AX304" s="9"/>
      <c r="AY304" s="22">
        <v>1.38046</v>
      </c>
      <c r="AZ304" s="22">
        <v>512.87300000000005</v>
      </c>
      <c r="BA304" s="22">
        <v>-1.7627E-2</v>
      </c>
      <c r="BB304" s="22">
        <v>294</v>
      </c>
      <c r="BC304" s="22">
        <v>1.3796999999999999</v>
      </c>
      <c r="BD304">
        <f t="shared" si="58"/>
        <v>17.626999999999999</v>
      </c>
      <c r="BE304">
        <f t="shared" si="59"/>
        <v>24.333368419999999</v>
      </c>
    </row>
    <row r="305" spans="6:57">
      <c r="F305" s="9"/>
      <c r="G305" s="22">
        <v>0.31448399999999999</v>
      </c>
      <c r="H305" s="22">
        <v>78.063599999999994</v>
      </c>
      <c r="I305" s="22">
        <v>-1.5780599999999999E-2</v>
      </c>
      <c r="J305" s="22">
        <v>295</v>
      </c>
      <c r="K305" s="22">
        <v>0.314056</v>
      </c>
      <c r="L305">
        <f t="shared" si="48"/>
        <v>15.780599999999998</v>
      </c>
      <c r="M305">
        <f t="shared" si="49"/>
        <v>4.9627462103999989</v>
      </c>
      <c r="N305" s="9"/>
      <c r="O305" s="22">
        <v>1.3855</v>
      </c>
      <c r="P305" s="22">
        <v>193.40600000000001</v>
      </c>
      <c r="Q305" s="22">
        <v>-1.41266E-2</v>
      </c>
      <c r="R305" s="22">
        <v>295</v>
      </c>
      <c r="S305" s="22">
        <v>1.3845799999999999</v>
      </c>
      <c r="T305">
        <f t="shared" si="50"/>
        <v>14.1266</v>
      </c>
      <c r="U305">
        <f t="shared" si="51"/>
        <v>19.572404299999999</v>
      </c>
      <c r="X305" s="9"/>
      <c r="Y305" s="22">
        <v>0.31448399999999999</v>
      </c>
      <c r="Z305" s="22">
        <v>291.62200000000001</v>
      </c>
      <c r="AA305" s="22">
        <v>-1.7718500000000002E-2</v>
      </c>
      <c r="AB305" s="22">
        <v>295</v>
      </c>
      <c r="AC305" s="22">
        <v>0.31381199999999998</v>
      </c>
      <c r="AD305">
        <f t="shared" si="52"/>
        <v>17.718500000000002</v>
      </c>
      <c r="AE305">
        <f t="shared" si="53"/>
        <v>5.5721847540000002</v>
      </c>
      <c r="AF305" s="9"/>
      <c r="AG305" s="22">
        <v>1.3855</v>
      </c>
      <c r="AH305" s="22">
        <v>367.35700000000003</v>
      </c>
      <c r="AI305" s="22">
        <v>-1.7224099999999999E-2</v>
      </c>
      <c r="AJ305" s="22">
        <v>295</v>
      </c>
      <c r="AK305" s="22">
        <v>1.38489</v>
      </c>
      <c r="AL305">
        <f t="shared" si="54"/>
        <v>17.2241</v>
      </c>
      <c r="AM305">
        <f t="shared" si="55"/>
        <v>23.86399055</v>
      </c>
      <c r="AP305" s="9"/>
      <c r="AQ305" s="22">
        <v>0.31448399999999999</v>
      </c>
      <c r="AR305" s="22">
        <v>439.56099999999998</v>
      </c>
      <c r="AS305" s="22">
        <v>-1.82159E-2</v>
      </c>
      <c r="AT305" s="22">
        <v>295</v>
      </c>
      <c r="AU305" s="22">
        <v>0.31387300000000001</v>
      </c>
      <c r="AV305">
        <f t="shared" si="56"/>
        <v>18.215900000000001</v>
      </c>
      <c r="AW305">
        <f t="shared" si="57"/>
        <v>5.7286090956000004</v>
      </c>
      <c r="AX305" s="9"/>
      <c r="AY305" s="22">
        <v>1.3855</v>
      </c>
      <c r="AZ305" s="22">
        <v>512.97400000000005</v>
      </c>
      <c r="BA305" s="22">
        <v>-1.7623900000000001E-2</v>
      </c>
      <c r="BB305" s="22">
        <v>295</v>
      </c>
      <c r="BC305" s="22">
        <v>1.3845799999999999</v>
      </c>
      <c r="BD305">
        <f t="shared" si="58"/>
        <v>17.623900000000003</v>
      </c>
      <c r="BE305">
        <f t="shared" si="59"/>
        <v>24.417913450000004</v>
      </c>
    </row>
    <row r="306" spans="6:57">
      <c r="F306" s="9"/>
      <c r="G306" s="22">
        <v>0.309448</v>
      </c>
      <c r="H306" s="22">
        <v>78.164299999999997</v>
      </c>
      <c r="I306" s="22">
        <v>-1.5786700000000001E-2</v>
      </c>
      <c r="J306" s="22">
        <v>296</v>
      </c>
      <c r="K306" s="22">
        <v>0.30898999999999999</v>
      </c>
      <c r="L306">
        <f t="shared" si="48"/>
        <v>15.786700000000002</v>
      </c>
      <c r="M306">
        <f t="shared" si="49"/>
        <v>4.8851627416000003</v>
      </c>
      <c r="N306" s="9"/>
      <c r="O306" s="22">
        <v>1.39053</v>
      </c>
      <c r="P306" s="22">
        <v>193.506</v>
      </c>
      <c r="Q306" s="22">
        <v>-1.4108300000000001E-2</v>
      </c>
      <c r="R306" s="22">
        <v>296</v>
      </c>
      <c r="S306" s="22">
        <v>1.39008</v>
      </c>
      <c r="T306">
        <f t="shared" si="50"/>
        <v>14.1083</v>
      </c>
      <c r="U306">
        <f t="shared" si="51"/>
        <v>19.618014399</v>
      </c>
      <c r="X306" s="9"/>
      <c r="Y306" s="22">
        <v>0.309448</v>
      </c>
      <c r="Z306" s="22">
        <v>291.72300000000001</v>
      </c>
      <c r="AA306" s="22">
        <v>-1.7721600000000001E-2</v>
      </c>
      <c r="AB306" s="22">
        <v>296</v>
      </c>
      <c r="AC306" s="22">
        <v>0.30957000000000001</v>
      </c>
      <c r="AD306">
        <f t="shared" si="52"/>
        <v>17.721600000000002</v>
      </c>
      <c r="AE306">
        <f t="shared" si="53"/>
        <v>5.4839136768000003</v>
      </c>
      <c r="AF306" s="9"/>
      <c r="AG306" s="22">
        <v>1.39053</v>
      </c>
      <c r="AH306" s="22">
        <v>367.45800000000003</v>
      </c>
      <c r="AI306" s="22">
        <v>-1.72211E-2</v>
      </c>
      <c r="AJ306" s="22">
        <v>296</v>
      </c>
      <c r="AK306" s="22">
        <v>1.3903799999999999</v>
      </c>
      <c r="AL306">
        <f t="shared" si="54"/>
        <v>17.2211</v>
      </c>
      <c r="AM306">
        <f t="shared" si="55"/>
        <v>23.946456183000002</v>
      </c>
      <c r="AP306" s="9"/>
      <c r="AQ306" s="22">
        <v>0.309448</v>
      </c>
      <c r="AR306" s="22">
        <v>439.661</v>
      </c>
      <c r="AS306" s="22">
        <v>-1.8218999999999999E-2</v>
      </c>
      <c r="AT306" s="22">
        <v>296</v>
      </c>
      <c r="AU306" s="22">
        <v>0.30868499999999999</v>
      </c>
      <c r="AV306">
        <f t="shared" si="56"/>
        <v>18.218999999999998</v>
      </c>
      <c r="AW306">
        <f t="shared" si="57"/>
        <v>5.6378331119999991</v>
      </c>
      <c r="AX306" s="9"/>
      <c r="AY306" s="22">
        <v>1.39053</v>
      </c>
      <c r="AZ306" s="22">
        <v>513.07500000000005</v>
      </c>
      <c r="BA306" s="22">
        <v>-1.7623900000000001E-2</v>
      </c>
      <c r="BB306" s="22">
        <v>296</v>
      </c>
      <c r="BC306" s="22">
        <v>1.3897699999999999</v>
      </c>
      <c r="BD306">
        <f t="shared" si="58"/>
        <v>17.623900000000003</v>
      </c>
      <c r="BE306">
        <f t="shared" si="59"/>
        <v>24.506561667000003</v>
      </c>
    </row>
    <row r="307" spans="6:57">
      <c r="F307" s="9"/>
      <c r="G307" s="22">
        <v>0.30441299999999999</v>
      </c>
      <c r="H307" s="22">
        <v>78.265000000000001</v>
      </c>
      <c r="I307" s="22">
        <v>-1.5792799999999999E-2</v>
      </c>
      <c r="J307" s="22">
        <v>297</v>
      </c>
      <c r="K307" s="22">
        <v>0.30401600000000001</v>
      </c>
      <c r="L307">
        <f t="shared" si="48"/>
        <v>15.7928</v>
      </c>
      <c r="M307">
        <f t="shared" si="49"/>
        <v>4.8075336263999997</v>
      </c>
      <c r="N307" s="9"/>
      <c r="O307" s="22">
        <v>1.39557</v>
      </c>
      <c r="P307" s="22">
        <v>193.607</v>
      </c>
      <c r="Q307" s="22">
        <v>-1.4086899999999999E-2</v>
      </c>
      <c r="R307" s="22">
        <v>297</v>
      </c>
      <c r="S307" s="22">
        <v>1.3952599999999999</v>
      </c>
      <c r="T307">
        <f t="shared" si="50"/>
        <v>14.0869</v>
      </c>
      <c r="U307">
        <f t="shared" si="51"/>
        <v>19.659255033000001</v>
      </c>
      <c r="X307" s="9"/>
      <c r="Y307" s="22">
        <v>0.30441299999999999</v>
      </c>
      <c r="Z307" s="22">
        <v>291.82400000000001</v>
      </c>
      <c r="AA307" s="22">
        <v>-1.7721600000000001E-2</v>
      </c>
      <c r="AB307" s="22">
        <v>297</v>
      </c>
      <c r="AC307" s="22">
        <v>0.30395499999999998</v>
      </c>
      <c r="AD307">
        <f t="shared" si="52"/>
        <v>17.721600000000002</v>
      </c>
      <c r="AE307">
        <f t="shared" si="53"/>
        <v>5.3946854208000001</v>
      </c>
      <c r="AF307" s="9"/>
      <c r="AG307" s="22">
        <v>1.39557</v>
      </c>
      <c r="AH307" s="22">
        <v>367.55900000000003</v>
      </c>
      <c r="AI307" s="22">
        <v>-1.7218000000000001E-2</v>
      </c>
      <c r="AJ307" s="22">
        <v>297</v>
      </c>
      <c r="AK307" s="22">
        <v>1.3952599999999999</v>
      </c>
      <c r="AL307">
        <f t="shared" si="54"/>
        <v>17.218</v>
      </c>
      <c r="AM307">
        <f t="shared" si="55"/>
        <v>24.02892426</v>
      </c>
      <c r="AP307" s="9"/>
      <c r="AQ307" s="22">
        <v>0.30441299999999999</v>
      </c>
      <c r="AR307" s="22">
        <v>439.762</v>
      </c>
      <c r="AS307" s="22">
        <v>-1.8225100000000001E-2</v>
      </c>
      <c r="AT307" s="22">
        <v>297</v>
      </c>
      <c r="AU307" s="22">
        <v>0.30349700000000002</v>
      </c>
      <c r="AV307">
        <f t="shared" si="56"/>
        <v>18.225100000000001</v>
      </c>
      <c r="AW307">
        <f t="shared" si="57"/>
        <v>5.5479573663000004</v>
      </c>
      <c r="AX307" s="9"/>
      <c r="AY307" s="22">
        <v>1.39557</v>
      </c>
      <c r="AZ307" s="22">
        <v>513.17499999999995</v>
      </c>
      <c r="BA307" s="22">
        <v>-1.76147E-2</v>
      </c>
      <c r="BB307" s="22">
        <v>297</v>
      </c>
      <c r="BC307" s="22">
        <v>1.39435</v>
      </c>
      <c r="BD307">
        <f t="shared" si="58"/>
        <v>17.614699999999999</v>
      </c>
      <c r="BE307">
        <f t="shared" si="59"/>
        <v>24.582546878999999</v>
      </c>
    </row>
    <row r="308" spans="6:57">
      <c r="F308" s="9"/>
      <c r="G308" s="22">
        <v>0.299377</v>
      </c>
      <c r="H308" s="22">
        <v>78.365700000000004</v>
      </c>
      <c r="I308" s="22">
        <v>-1.5802E-2</v>
      </c>
      <c r="J308" s="22">
        <v>298</v>
      </c>
      <c r="K308" s="22">
        <v>0.29882799999999998</v>
      </c>
      <c r="L308">
        <f t="shared" si="48"/>
        <v>15.802</v>
      </c>
      <c r="M308">
        <f t="shared" si="49"/>
        <v>4.7307553540000002</v>
      </c>
      <c r="N308" s="9"/>
      <c r="O308" s="22">
        <v>1.4006000000000001</v>
      </c>
      <c r="P308" s="22">
        <v>193.708</v>
      </c>
      <c r="Q308" s="22">
        <v>-1.409E-2</v>
      </c>
      <c r="R308" s="22">
        <v>298</v>
      </c>
      <c r="S308" s="22">
        <v>1.39954</v>
      </c>
      <c r="T308">
        <f t="shared" si="50"/>
        <v>14.09</v>
      </c>
      <c r="U308">
        <f t="shared" si="51"/>
        <v>19.734453999999999</v>
      </c>
      <c r="X308" s="9"/>
      <c r="Y308" s="22">
        <v>0.299377</v>
      </c>
      <c r="Z308" s="22">
        <v>291.92399999999998</v>
      </c>
      <c r="AA308" s="22">
        <v>-1.7715499999999999E-2</v>
      </c>
      <c r="AB308" s="22">
        <v>298</v>
      </c>
      <c r="AC308" s="22">
        <v>0.299072</v>
      </c>
      <c r="AD308">
        <f t="shared" si="52"/>
        <v>17.715499999999999</v>
      </c>
      <c r="AE308">
        <f t="shared" si="53"/>
        <v>5.3036132435000001</v>
      </c>
      <c r="AF308" s="9"/>
      <c r="AG308" s="22">
        <v>1.4006000000000001</v>
      </c>
      <c r="AH308" s="22">
        <v>367.66</v>
      </c>
      <c r="AI308" s="22">
        <v>-1.7218000000000001E-2</v>
      </c>
      <c r="AJ308" s="22">
        <v>298</v>
      </c>
      <c r="AK308" s="22">
        <v>1.40076</v>
      </c>
      <c r="AL308">
        <f t="shared" si="54"/>
        <v>17.218</v>
      </c>
      <c r="AM308">
        <f t="shared" si="55"/>
        <v>24.115530800000002</v>
      </c>
      <c r="AP308" s="9"/>
      <c r="AQ308" s="22">
        <v>0.299377</v>
      </c>
      <c r="AR308" s="22">
        <v>439.863</v>
      </c>
      <c r="AS308" s="22">
        <v>-1.8221999999999999E-2</v>
      </c>
      <c r="AT308" s="22">
        <v>298</v>
      </c>
      <c r="AU308" s="22">
        <v>0.29904199999999997</v>
      </c>
      <c r="AV308">
        <f t="shared" si="56"/>
        <v>18.221999999999998</v>
      </c>
      <c r="AW308">
        <f t="shared" si="57"/>
        <v>5.4552476939999996</v>
      </c>
      <c r="AX308" s="9"/>
      <c r="AY308" s="22">
        <v>1.4006000000000001</v>
      </c>
      <c r="AZ308" s="22">
        <v>513.27599999999995</v>
      </c>
      <c r="BA308" s="22">
        <v>-1.7605599999999999E-2</v>
      </c>
      <c r="BB308" s="22">
        <v>298</v>
      </c>
      <c r="BC308" s="22">
        <v>1.39984</v>
      </c>
      <c r="BD308">
        <f t="shared" si="58"/>
        <v>17.605599999999999</v>
      </c>
      <c r="BE308">
        <f t="shared" si="59"/>
        <v>24.658403360000001</v>
      </c>
    </row>
    <row r="309" spans="6:57">
      <c r="F309" s="9"/>
      <c r="G309" s="22">
        <v>0.29434199999999999</v>
      </c>
      <c r="H309" s="22">
        <v>78.466399999999993</v>
      </c>
      <c r="I309" s="22">
        <v>-1.5786700000000001E-2</v>
      </c>
      <c r="J309" s="22">
        <v>299</v>
      </c>
      <c r="K309" s="22">
        <v>0.29388399999999998</v>
      </c>
      <c r="L309">
        <f t="shared" si="48"/>
        <v>15.786700000000002</v>
      </c>
      <c r="M309">
        <f t="shared" si="49"/>
        <v>4.6466888514000004</v>
      </c>
      <c r="N309" s="9"/>
      <c r="O309" s="22">
        <v>1.40564</v>
      </c>
      <c r="P309" s="22">
        <v>193.80799999999999</v>
      </c>
      <c r="Q309" s="22">
        <v>-1.4071699999999999E-2</v>
      </c>
      <c r="R309" s="22">
        <v>299</v>
      </c>
      <c r="S309" s="22">
        <v>1.40503</v>
      </c>
      <c r="T309">
        <f t="shared" si="50"/>
        <v>14.0717</v>
      </c>
      <c r="U309">
        <f t="shared" si="51"/>
        <v>19.779744388000001</v>
      </c>
      <c r="X309" s="9"/>
      <c r="Y309" s="22">
        <v>0.29434199999999999</v>
      </c>
      <c r="Z309" s="22">
        <v>292.02499999999998</v>
      </c>
      <c r="AA309" s="22">
        <v>-1.7721600000000001E-2</v>
      </c>
      <c r="AB309" s="22">
        <v>299</v>
      </c>
      <c r="AC309" s="22">
        <v>0.29360999999999998</v>
      </c>
      <c r="AD309">
        <f t="shared" si="52"/>
        <v>17.721600000000002</v>
      </c>
      <c r="AE309">
        <f t="shared" si="53"/>
        <v>5.2162111872000008</v>
      </c>
      <c r="AF309" s="9"/>
      <c r="AG309" s="22">
        <v>1.40564</v>
      </c>
      <c r="AH309" s="22">
        <v>367.76</v>
      </c>
      <c r="AI309" s="22">
        <v>-1.7215000000000001E-2</v>
      </c>
      <c r="AJ309" s="22">
        <v>299</v>
      </c>
      <c r="AK309" s="22">
        <v>1.40533</v>
      </c>
      <c r="AL309">
        <f t="shared" si="54"/>
        <v>17.215</v>
      </c>
      <c r="AM309">
        <f t="shared" si="55"/>
        <v>24.198092599999999</v>
      </c>
      <c r="AP309" s="9"/>
      <c r="AQ309" s="22">
        <v>0.29434199999999999</v>
      </c>
      <c r="AR309" s="22">
        <v>439.96300000000002</v>
      </c>
      <c r="AS309" s="22">
        <v>-1.8228100000000001E-2</v>
      </c>
      <c r="AT309" s="22">
        <v>299</v>
      </c>
      <c r="AU309" s="22">
        <v>0.293823</v>
      </c>
      <c r="AV309">
        <f t="shared" si="56"/>
        <v>18.228100000000001</v>
      </c>
      <c r="AW309">
        <f t="shared" si="57"/>
        <v>5.3652954101999999</v>
      </c>
      <c r="AX309" s="9"/>
      <c r="AY309" s="22">
        <v>1.40564</v>
      </c>
      <c r="AZ309" s="22">
        <v>513.37699999999995</v>
      </c>
      <c r="BA309" s="22">
        <v>-1.76147E-2</v>
      </c>
      <c r="BB309" s="22">
        <v>299</v>
      </c>
      <c r="BC309" s="22">
        <v>1.40503</v>
      </c>
      <c r="BD309">
        <f t="shared" si="58"/>
        <v>17.614699999999999</v>
      </c>
      <c r="BE309">
        <f t="shared" si="59"/>
        <v>24.759926907999997</v>
      </c>
    </row>
    <row r="310" spans="6:57">
      <c r="F310" s="9"/>
      <c r="G310" s="22">
        <v>0.28930699999999998</v>
      </c>
      <c r="H310" s="22">
        <v>78.5672</v>
      </c>
      <c r="I310" s="22">
        <v>-1.5817299999999999E-2</v>
      </c>
      <c r="J310" s="22">
        <v>300</v>
      </c>
      <c r="K310" s="22">
        <v>0.28884900000000002</v>
      </c>
      <c r="L310">
        <f t="shared" si="48"/>
        <v>15.817299999999999</v>
      </c>
      <c r="M310">
        <f t="shared" si="49"/>
        <v>4.5760556110999993</v>
      </c>
      <c r="N310" s="9"/>
      <c r="O310" s="22">
        <v>1.4106799999999999</v>
      </c>
      <c r="P310" s="22">
        <v>193.90899999999999</v>
      </c>
      <c r="Q310" s="22">
        <v>-1.4065599999999999E-2</v>
      </c>
      <c r="R310" s="22">
        <v>300</v>
      </c>
      <c r="S310" s="22">
        <v>1.40991</v>
      </c>
      <c r="T310">
        <f t="shared" si="50"/>
        <v>14.0656</v>
      </c>
      <c r="U310">
        <f t="shared" si="51"/>
        <v>19.842060608000001</v>
      </c>
      <c r="X310" s="9"/>
      <c r="Y310" s="22">
        <v>0.28930699999999998</v>
      </c>
      <c r="Z310" s="22">
        <v>292.12599999999998</v>
      </c>
      <c r="AA310" s="22">
        <v>-1.77246E-2</v>
      </c>
      <c r="AB310" s="22">
        <v>300</v>
      </c>
      <c r="AC310" s="22">
        <v>0.28909299999999999</v>
      </c>
      <c r="AD310">
        <f t="shared" si="52"/>
        <v>17.724599999999999</v>
      </c>
      <c r="AE310">
        <f t="shared" si="53"/>
        <v>5.127850852199999</v>
      </c>
      <c r="AF310" s="9"/>
      <c r="AG310" s="22">
        <v>1.4106799999999999</v>
      </c>
      <c r="AH310" s="22">
        <v>367.86099999999999</v>
      </c>
      <c r="AI310" s="22">
        <v>-1.7208899999999999E-2</v>
      </c>
      <c r="AJ310" s="22">
        <v>300</v>
      </c>
      <c r="AK310" s="22">
        <v>1.40991</v>
      </c>
      <c r="AL310">
        <f t="shared" si="54"/>
        <v>17.2089</v>
      </c>
      <c r="AM310">
        <f t="shared" si="55"/>
        <v>24.276251051999999</v>
      </c>
      <c r="AP310" s="9"/>
      <c r="AQ310" s="22">
        <v>0.28930699999999998</v>
      </c>
      <c r="AR310" s="22">
        <v>440.06400000000002</v>
      </c>
      <c r="AS310" s="22">
        <v>-1.8225100000000001E-2</v>
      </c>
      <c r="AT310" s="22">
        <v>300</v>
      </c>
      <c r="AU310" s="22">
        <v>0.28836099999999998</v>
      </c>
      <c r="AV310">
        <f t="shared" si="56"/>
        <v>18.225100000000001</v>
      </c>
      <c r="AW310">
        <f t="shared" si="57"/>
        <v>5.2726490056999999</v>
      </c>
      <c r="AX310" s="9"/>
      <c r="AY310" s="22">
        <v>1.4106799999999999</v>
      </c>
      <c r="AZ310" s="22">
        <v>513.47699999999998</v>
      </c>
      <c r="BA310" s="22">
        <v>-1.76025E-2</v>
      </c>
      <c r="BB310" s="22">
        <v>300</v>
      </c>
      <c r="BC310" s="22">
        <v>1.40991</v>
      </c>
      <c r="BD310">
        <f t="shared" si="58"/>
        <v>17.602499999999999</v>
      </c>
      <c r="BE310">
        <f t="shared" si="59"/>
        <v>24.831494699999997</v>
      </c>
    </row>
    <row r="311" spans="6:57">
      <c r="F311" s="9"/>
      <c r="G311" s="22">
        <v>0.284271</v>
      </c>
      <c r="H311" s="22">
        <v>78.667900000000003</v>
      </c>
      <c r="I311" s="22">
        <v>-1.5802E-2</v>
      </c>
      <c r="J311" s="22">
        <v>301</v>
      </c>
      <c r="K311" s="22">
        <v>0.28378300000000001</v>
      </c>
      <c r="L311">
        <f t="shared" si="48"/>
        <v>15.802</v>
      </c>
      <c r="M311">
        <f t="shared" si="49"/>
        <v>4.4920503419999998</v>
      </c>
      <c r="N311" s="9"/>
      <c r="O311" s="22">
        <v>1.41571</v>
      </c>
      <c r="P311" s="22">
        <v>194.01</v>
      </c>
      <c r="Q311" s="22">
        <v>-1.40503E-2</v>
      </c>
      <c r="R311" s="22">
        <v>301</v>
      </c>
      <c r="S311" s="22">
        <v>1.4151</v>
      </c>
      <c r="T311">
        <f t="shared" si="50"/>
        <v>14.0503</v>
      </c>
      <c r="U311">
        <f t="shared" si="51"/>
        <v>19.891150213</v>
      </c>
      <c r="X311" s="9"/>
      <c r="Y311" s="22">
        <v>0.284271</v>
      </c>
      <c r="Z311" s="22">
        <v>292.226</v>
      </c>
      <c r="AA311" s="22">
        <v>-1.7715499999999999E-2</v>
      </c>
      <c r="AB311" s="22">
        <v>301</v>
      </c>
      <c r="AC311" s="22">
        <v>0.283661</v>
      </c>
      <c r="AD311">
        <f t="shared" si="52"/>
        <v>17.715499999999999</v>
      </c>
      <c r="AE311">
        <f t="shared" si="53"/>
        <v>5.0360029004999998</v>
      </c>
      <c r="AF311" s="9"/>
      <c r="AG311" s="22">
        <v>1.41571</v>
      </c>
      <c r="AH311" s="22">
        <v>367.96199999999999</v>
      </c>
      <c r="AI311" s="22">
        <v>-1.7202800000000001E-2</v>
      </c>
      <c r="AJ311" s="22">
        <v>301</v>
      </c>
      <c r="AK311" s="22">
        <v>1.41449</v>
      </c>
      <c r="AL311">
        <f t="shared" si="54"/>
        <v>17.2028</v>
      </c>
      <c r="AM311">
        <f t="shared" si="55"/>
        <v>24.354175988000001</v>
      </c>
      <c r="AP311" s="9"/>
      <c r="AQ311" s="22">
        <v>0.284271</v>
      </c>
      <c r="AR311" s="22">
        <v>440.16500000000002</v>
      </c>
      <c r="AS311" s="22">
        <v>-1.8221999999999999E-2</v>
      </c>
      <c r="AT311" s="22">
        <v>301</v>
      </c>
      <c r="AU311" s="22">
        <v>0.28408800000000001</v>
      </c>
      <c r="AV311">
        <f t="shared" si="56"/>
        <v>18.221999999999998</v>
      </c>
      <c r="AW311">
        <f t="shared" si="57"/>
        <v>5.1799861619999996</v>
      </c>
      <c r="AX311" s="9"/>
      <c r="AY311" s="22">
        <v>1.41571</v>
      </c>
      <c r="AZ311" s="22">
        <v>513.57799999999997</v>
      </c>
      <c r="BA311" s="22">
        <v>-1.7599500000000001E-2</v>
      </c>
      <c r="BB311" s="22">
        <v>301</v>
      </c>
      <c r="BC311" s="22">
        <v>1.41449</v>
      </c>
      <c r="BD311">
        <f t="shared" si="58"/>
        <v>17.599499999999999</v>
      </c>
      <c r="BE311">
        <f t="shared" si="59"/>
        <v>24.915788145</v>
      </c>
    </row>
    <row r="312" spans="6:57">
      <c r="F312" s="9"/>
      <c r="G312" s="22">
        <v>0.27923599999999998</v>
      </c>
      <c r="H312" s="22">
        <v>78.768600000000006</v>
      </c>
      <c r="I312" s="22">
        <v>-1.56647E-2</v>
      </c>
      <c r="J312" s="22">
        <v>302</v>
      </c>
      <c r="K312" s="22">
        <v>0.27880899999999997</v>
      </c>
      <c r="L312">
        <f t="shared" si="48"/>
        <v>15.6647</v>
      </c>
      <c r="M312">
        <f t="shared" si="49"/>
        <v>4.3741481691999997</v>
      </c>
      <c r="N312" s="9"/>
      <c r="O312" s="22">
        <v>1.42075</v>
      </c>
      <c r="P312" s="22">
        <v>194.11099999999999</v>
      </c>
      <c r="Q312" s="22">
        <v>-1.40442E-2</v>
      </c>
      <c r="R312" s="22">
        <v>302</v>
      </c>
      <c r="S312" s="22">
        <v>1.4196800000000001</v>
      </c>
      <c r="T312">
        <f t="shared" si="50"/>
        <v>14.0442</v>
      </c>
      <c r="U312">
        <f t="shared" si="51"/>
        <v>19.953297150000001</v>
      </c>
      <c r="X312" s="9"/>
      <c r="Y312" s="22">
        <v>0.27923599999999998</v>
      </c>
      <c r="Z312" s="22">
        <v>292.327</v>
      </c>
      <c r="AA312" s="22">
        <v>-1.77246E-2</v>
      </c>
      <c r="AB312" s="22">
        <v>302</v>
      </c>
      <c r="AC312" s="22">
        <v>0.27908300000000003</v>
      </c>
      <c r="AD312">
        <f t="shared" si="52"/>
        <v>17.724599999999999</v>
      </c>
      <c r="AE312">
        <f t="shared" si="53"/>
        <v>4.9493464055999992</v>
      </c>
      <c r="AF312" s="9"/>
      <c r="AG312" s="22">
        <v>1.42075</v>
      </c>
      <c r="AH312" s="22">
        <v>368.06200000000001</v>
      </c>
      <c r="AI312" s="22">
        <v>-1.7199699999999998E-2</v>
      </c>
      <c r="AJ312" s="22">
        <v>302</v>
      </c>
      <c r="AK312" s="22">
        <v>1.41998</v>
      </c>
      <c r="AL312">
        <f t="shared" si="54"/>
        <v>17.1997</v>
      </c>
      <c r="AM312">
        <f t="shared" si="55"/>
        <v>24.436473775</v>
      </c>
      <c r="AP312" s="9"/>
      <c r="AQ312" s="22">
        <v>0.27923599999999998</v>
      </c>
      <c r="AR312" s="22">
        <v>440.26600000000002</v>
      </c>
      <c r="AS312" s="22">
        <v>-1.8228100000000001E-2</v>
      </c>
      <c r="AT312" s="22">
        <v>302</v>
      </c>
      <c r="AU312" s="22">
        <v>0.278839</v>
      </c>
      <c r="AV312">
        <f t="shared" si="56"/>
        <v>18.228100000000001</v>
      </c>
      <c r="AW312">
        <f t="shared" si="57"/>
        <v>5.0899417315999997</v>
      </c>
      <c r="AX312" s="9"/>
      <c r="AY312" s="22">
        <v>1.42075</v>
      </c>
      <c r="AZ312" s="22">
        <v>513.67899999999997</v>
      </c>
      <c r="BA312" s="22">
        <v>-1.7596400000000002E-2</v>
      </c>
      <c r="BB312" s="22">
        <v>302</v>
      </c>
      <c r="BC312" s="22">
        <v>1.41998</v>
      </c>
      <c r="BD312">
        <f t="shared" si="58"/>
        <v>17.596400000000003</v>
      </c>
      <c r="BE312">
        <f t="shared" si="59"/>
        <v>25.000085300000002</v>
      </c>
    </row>
    <row r="313" spans="6:57">
      <c r="F313" s="9"/>
      <c r="G313" s="22">
        <v>0.2742</v>
      </c>
      <c r="H313" s="22">
        <v>78.869299999999996</v>
      </c>
      <c r="I313" s="22">
        <v>-1.5670799999999999E-2</v>
      </c>
      <c r="J313" s="22">
        <v>303</v>
      </c>
      <c r="K313" s="22">
        <v>0.27380399999999999</v>
      </c>
      <c r="L313">
        <f t="shared" si="48"/>
        <v>15.670799999999998</v>
      </c>
      <c r="M313">
        <f t="shared" si="49"/>
        <v>4.2969333599999997</v>
      </c>
      <c r="N313" s="9"/>
      <c r="O313" s="22">
        <v>1.42578</v>
      </c>
      <c r="P313" s="22">
        <v>194.21100000000001</v>
      </c>
      <c r="Q313" s="22">
        <v>-1.4035000000000001E-2</v>
      </c>
      <c r="R313" s="22">
        <v>303</v>
      </c>
      <c r="S313" s="22">
        <v>1.4248700000000001</v>
      </c>
      <c r="T313">
        <f t="shared" si="50"/>
        <v>14.035</v>
      </c>
      <c r="U313">
        <f t="shared" si="51"/>
        <v>20.010822300000001</v>
      </c>
      <c r="X313" s="9"/>
      <c r="Y313" s="22">
        <v>0.2742</v>
      </c>
      <c r="Z313" s="22">
        <v>292.428</v>
      </c>
      <c r="AA313" s="22">
        <v>-1.7721600000000001E-2</v>
      </c>
      <c r="AB313" s="22">
        <v>303</v>
      </c>
      <c r="AC313" s="22">
        <v>0.27368199999999998</v>
      </c>
      <c r="AD313">
        <f t="shared" si="52"/>
        <v>17.721600000000002</v>
      </c>
      <c r="AE313">
        <f t="shared" si="53"/>
        <v>4.8592627200000003</v>
      </c>
      <c r="AF313" s="9"/>
      <c r="AG313" s="22">
        <v>1.42578</v>
      </c>
      <c r="AH313" s="22">
        <v>368.16300000000001</v>
      </c>
      <c r="AI313" s="22">
        <v>-1.71936E-2</v>
      </c>
      <c r="AJ313" s="22">
        <v>303</v>
      </c>
      <c r="AK313" s="22">
        <v>1.4254800000000001</v>
      </c>
      <c r="AL313">
        <f t="shared" si="54"/>
        <v>17.1936</v>
      </c>
      <c r="AM313">
        <f t="shared" si="55"/>
        <v>24.514291008000001</v>
      </c>
      <c r="AP313" s="9"/>
      <c r="AQ313" s="22">
        <v>0.2742</v>
      </c>
      <c r="AR313" s="22">
        <v>440.36599999999999</v>
      </c>
      <c r="AS313" s="22">
        <v>-1.8221999999999999E-2</v>
      </c>
      <c r="AT313" s="22">
        <v>303</v>
      </c>
      <c r="AU313" s="22">
        <v>0.27410899999999999</v>
      </c>
      <c r="AV313">
        <f t="shared" si="56"/>
        <v>18.221999999999998</v>
      </c>
      <c r="AW313">
        <f t="shared" si="57"/>
        <v>4.9964723999999991</v>
      </c>
      <c r="AX313" s="9"/>
      <c r="AY313" s="22">
        <v>1.42578</v>
      </c>
      <c r="AZ313" s="22">
        <v>513.78</v>
      </c>
      <c r="BA313" s="22">
        <v>-1.75873E-2</v>
      </c>
      <c r="BB313" s="22">
        <v>303</v>
      </c>
      <c r="BC313" s="22">
        <v>1.42517</v>
      </c>
      <c r="BD313">
        <f t="shared" si="58"/>
        <v>17.587299999999999</v>
      </c>
      <c r="BE313">
        <f t="shared" si="59"/>
        <v>25.075620594</v>
      </c>
    </row>
    <row r="314" spans="6:57">
      <c r="F314" s="9"/>
      <c r="G314" s="22">
        <v>0.26916499999999999</v>
      </c>
      <c r="H314" s="22">
        <v>78.97</v>
      </c>
      <c r="I314" s="22">
        <v>-1.5695199999999999E-2</v>
      </c>
      <c r="J314" s="22">
        <v>304</v>
      </c>
      <c r="K314" s="22">
        <v>0.26876800000000001</v>
      </c>
      <c r="L314">
        <f t="shared" si="48"/>
        <v>15.6952</v>
      </c>
      <c r="M314">
        <f t="shared" si="49"/>
        <v>4.2245985079999997</v>
      </c>
      <c r="N314" s="9"/>
      <c r="O314" s="22">
        <v>1.43082</v>
      </c>
      <c r="P314" s="22">
        <v>194.31200000000001</v>
      </c>
      <c r="Q314" s="22">
        <v>-1.4025900000000001E-2</v>
      </c>
      <c r="R314" s="22">
        <v>304</v>
      </c>
      <c r="S314" s="22">
        <v>1.43005</v>
      </c>
      <c r="T314">
        <f t="shared" si="50"/>
        <v>14.0259</v>
      </c>
      <c r="U314">
        <f t="shared" si="51"/>
        <v>20.068538237999999</v>
      </c>
      <c r="X314" s="9"/>
      <c r="Y314" s="22">
        <v>0.26916499999999999</v>
      </c>
      <c r="Z314" s="22">
        <v>292.529</v>
      </c>
      <c r="AA314" s="22">
        <v>-1.7727699999999999E-2</v>
      </c>
      <c r="AB314" s="22">
        <v>304</v>
      </c>
      <c r="AC314" s="22">
        <v>0.26901199999999997</v>
      </c>
      <c r="AD314">
        <f t="shared" si="52"/>
        <v>17.727699999999999</v>
      </c>
      <c r="AE314">
        <f t="shared" si="53"/>
        <v>4.7716763704999998</v>
      </c>
      <c r="AF314" s="9"/>
      <c r="AG314" s="22">
        <v>1.43082</v>
      </c>
      <c r="AH314" s="22">
        <v>368.26400000000001</v>
      </c>
      <c r="AI314" s="22">
        <v>-1.71906E-2</v>
      </c>
      <c r="AJ314" s="22">
        <v>304</v>
      </c>
      <c r="AK314" s="22">
        <v>1.43005</v>
      </c>
      <c r="AL314">
        <f t="shared" si="54"/>
        <v>17.1906</v>
      </c>
      <c r="AM314">
        <f t="shared" si="55"/>
        <v>24.596654292</v>
      </c>
      <c r="AP314" s="9"/>
      <c r="AQ314" s="22">
        <v>0.26916499999999999</v>
      </c>
      <c r="AR314" s="22">
        <v>440.46699999999998</v>
      </c>
      <c r="AS314" s="22">
        <v>-1.8231199999999999E-2</v>
      </c>
      <c r="AT314" s="22">
        <v>304</v>
      </c>
      <c r="AU314" s="22">
        <v>0.268372</v>
      </c>
      <c r="AV314">
        <f t="shared" si="56"/>
        <v>18.231200000000001</v>
      </c>
      <c r="AW314">
        <f t="shared" si="57"/>
        <v>4.9072009479999998</v>
      </c>
      <c r="AX314" s="9"/>
      <c r="AY314" s="22">
        <v>1.43082</v>
      </c>
      <c r="AZ314" s="22">
        <v>513.88</v>
      </c>
      <c r="BA314" s="22">
        <v>-1.7578099999999999E-2</v>
      </c>
      <c r="BB314" s="22">
        <v>304</v>
      </c>
      <c r="BC314" s="22">
        <v>1.4297500000000001</v>
      </c>
      <c r="BD314">
        <f t="shared" si="58"/>
        <v>17.578099999999999</v>
      </c>
      <c r="BE314">
        <f t="shared" si="59"/>
        <v>25.151097042</v>
      </c>
    </row>
    <row r="315" spans="6:57">
      <c r="F315" s="9"/>
      <c r="G315" s="22">
        <v>0.26412999999999998</v>
      </c>
      <c r="H315" s="22">
        <v>79.070700000000002</v>
      </c>
      <c r="I315" s="22">
        <v>-1.5676900000000001E-2</v>
      </c>
      <c r="J315" s="22">
        <v>305</v>
      </c>
      <c r="K315" s="22">
        <v>0.26370199999999999</v>
      </c>
      <c r="L315">
        <f t="shared" si="48"/>
        <v>15.6769</v>
      </c>
      <c r="M315">
        <f t="shared" si="49"/>
        <v>4.1407395969999996</v>
      </c>
      <c r="N315" s="9"/>
      <c r="O315" s="22">
        <v>1.4358500000000001</v>
      </c>
      <c r="P315" s="22">
        <v>194.41300000000001</v>
      </c>
      <c r="Q315" s="22">
        <v>-1.4031999999999999E-2</v>
      </c>
      <c r="R315" s="22">
        <v>305</v>
      </c>
      <c r="S315" s="22">
        <v>1.4349400000000001</v>
      </c>
      <c r="T315">
        <f t="shared" si="50"/>
        <v>14.032</v>
      </c>
      <c r="U315">
        <f t="shared" si="51"/>
        <v>20.147847200000001</v>
      </c>
      <c r="X315" s="9"/>
      <c r="Y315" s="22">
        <v>0.26412999999999998</v>
      </c>
      <c r="Z315" s="22">
        <v>292.62900000000002</v>
      </c>
      <c r="AA315" s="22">
        <v>-1.7727699999999999E-2</v>
      </c>
      <c r="AB315" s="22">
        <v>305</v>
      </c>
      <c r="AC315" s="22">
        <v>0.263824</v>
      </c>
      <c r="AD315">
        <f t="shared" si="52"/>
        <v>17.727699999999999</v>
      </c>
      <c r="AE315">
        <f t="shared" si="53"/>
        <v>4.6824174009999995</v>
      </c>
      <c r="AF315" s="9"/>
      <c r="AG315" s="22">
        <v>1.4358500000000001</v>
      </c>
      <c r="AH315" s="22">
        <v>368.36500000000001</v>
      </c>
      <c r="AI315" s="22">
        <v>-1.7184399999999999E-2</v>
      </c>
      <c r="AJ315" s="22">
        <v>305</v>
      </c>
      <c r="AK315" s="22">
        <v>1.4352400000000001</v>
      </c>
      <c r="AL315">
        <f t="shared" si="54"/>
        <v>17.1844</v>
      </c>
      <c r="AM315">
        <f t="shared" si="55"/>
        <v>24.674220740000003</v>
      </c>
      <c r="AP315" s="9"/>
      <c r="AQ315" s="22">
        <v>0.26412999999999998</v>
      </c>
      <c r="AR315" s="22">
        <v>440.56799999999998</v>
      </c>
      <c r="AS315" s="22">
        <v>-1.8231199999999999E-2</v>
      </c>
      <c r="AT315" s="22">
        <v>305</v>
      </c>
      <c r="AU315" s="22">
        <v>0.26367200000000002</v>
      </c>
      <c r="AV315">
        <f t="shared" si="56"/>
        <v>18.231200000000001</v>
      </c>
      <c r="AW315">
        <f t="shared" si="57"/>
        <v>4.8154068560000001</v>
      </c>
      <c r="AX315" s="9"/>
      <c r="AY315" s="22">
        <v>1.4358500000000001</v>
      </c>
      <c r="AZ315" s="22">
        <v>513.98099999999999</v>
      </c>
      <c r="BA315" s="22">
        <v>-1.7581200000000002E-2</v>
      </c>
      <c r="BB315" s="22">
        <v>305</v>
      </c>
      <c r="BC315" s="22">
        <v>1.4352400000000001</v>
      </c>
      <c r="BD315">
        <f t="shared" si="58"/>
        <v>17.581200000000003</v>
      </c>
      <c r="BE315">
        <f t="shared" si="59"/>
        <v>25.243966020000006</v>
      </c>
    </row>
    <row r="316" spans="6:57">
      <c r="F316" s="9"/>
      <c r="G316" s="22">
        <v>0.25909399999999999</v>
      </c>
      <c r="H316" s="22">
        <v>79.171400000000006</v>
      </c>
      <c r="I316" s="22">
        <v>-1.5670799999999999E-2</v>
      </c>
      <c r="J316" s="22">
        <v>306</v>
      </c>
      <c r="K316" s="22">
        <v>0.258606</v>
      </c>
      <c r="L316">
        <f t="shared" si="48"/>
        <v>15.670799999999998</v>
      </c>
      <c r="M316">
        <f t="shared" si="49"/>
        <v>4.0602102551999995</v>
      </c>
      <c r="N316" s="9"/>
      <c r="O316" s="22">
        <v>1.44089</v>
      </c>
      <c r="P316" s="22">
        <v>194.51300000000001</v>
      </c>
      <c r="Q316" s="22">
        <v>-1.40106E-2</v>
      </c>
      <c r="R316" s="22">
        <v>306</v>
      </c>
      <c r="S316" s="22">
        <v>1.4407300000000001</v>
      </c>
      <c r="T316">
        <f t="shared" si="50"/>
        <v>14.0106</v>
      </c>
      <c r="U316">
        <f t="shared" si="51"/>
        <v>20.187733434000002</v>
      </c>
      <c r="X316" s="9"/>
      <c r="Y316" s="22">
        <v>0.25909399999999999</v>
      </c>
      <c r="Z316" s="22">
        <v>292.73</v>
      </c>
      <c r="AA316" s="22">
        <v>-1.7727699999999999E-2</v>
      </c>
      <c r="AB316" s="22">
        <v>306</v>
      </c>
      <c r="AC316" s="22">
        <v>0.25897199999999998</v>
      </c>
      <c r="AD316">
        <f t="shared" si="52"/>
        <v>17.727699999999999</v>
      </c>
      <c r="AE316">
        <f t="shared" si="53"/>
        <v>4.5931407037999996</v>
      </c>
      <c r="AF316" s="9"/>
      <c r="AG316" s="22">
        <v>1.44089</v>
      </c>
      <c r="AH316" s="22">
        <v>368.46499999999997</v>
      </c>
      <c r="AI316" s="22">
        <v>-1.7175300000000001E-2</v>
      </c>
      <c r="AJ316" s="22">
        <v>306</v>
      </c>
      <c r="AK316" s="22">
        <v>1.4407300000000001</v>
      </c>
      <c r="AL316">
        <f t="shared" si="54"/>
        <v>17.1753</v>
      </c>
      <c r="AM316">
        <f t="shared" si="55"/>
        <v>24.747718017</v>
      </c>
      <c r="AP316" s="9"/>
      <c r="AQ316" s="22">
        <v>0.25909399999999999</v>
      </c>
      <c r="AR316" s="22">
        <v>440.66800000000001</v>
      </c>
      <c r="AS316" s="22">
        <v>-1.8228100000000001E-2</v>
      </c>
      <c r="AT316" s="22">
        <v>306</v>
      </c>
      <c r="AU316" s="22">
        <v>0.25833099999999998</v>
      </c>
      <c r="AV316">
        <f t="shared" si="56"/>
        <v>18.228100000000001</v>
      </c>
      <c r="AW316">
        <f t="shared" si="57"/>
        <v>4.7227913413999998</v>
      </c>
      <c r="AX316" s="9"/>
      <c r="AY316" s="22">
        <v>1.44089</v>
      </c>
      <c r="AZ316" s="22">
        <v>514.08199999999999</v>
      </c>
      <c r="BA316" s="22">
        <v>-1.7578099999999999E-2</v>
      </c>
      <c r="BB316" s="22">
        <v>306</v>
      </c>
      <c r="BC316" s="22">
        <v>1.4398200000000001</v>
      </c>
      <c r="BD316">
        <f t="shared" si="58"/>
        <v>17.578099999999999</v>
      </c>
      <c r="BE316">
        <f t="shared" si="59"/>
        <v>25.328108509</v>
      </c>
    </row>
    <row r="317" spans="6:57">
      <c r="F317" s="9"/>
      <c r="G317" s="22">
        <v>0.25405899999999998</v>
      </c>
      <c r="H317" s="22">
        <v>79.272099999999995</v>
      </c>
      <c r="I317" s="22">
        <v>-1.56647E-2</v>
      </c>
      <c r="J317" s="22">
        <v>307</v>
      </c>
      <c r="K317" s="22">
        <v>0.25357099999999999</v>
      </c>
      <c r="L317">
        <f t="shared" si="48"/>
        <v>15.6647</v>
      </c>
      <c r="M317">
        <f t="shared" si="49"/>
        <v>3.9797580172999996</v>
      </c>
      <c r="N317" s="9"/>
      <c r="O317" s="22">
        <v>1.4459200000000001</v>
      </c>
      <c r="P317" s="22">
        <v>194.614</v>
      </c>
      <c r="Q317" s="22">
        <v>-1.3986200000000001E-2</v>
      </c>
      <c r="R317" s="22">
        <v>307</v>
      </c>
      <c r="S317" s="22">
        <v>1.4453100000000001</v>
      </c>
      <c r="T317">
        <f t="shared" si="50"/>
        <v>13.9862</v>
      </c>
      <c r="U317">
        <f t="shared" si="51"/>
        <v>20.222926304000001</v>
      </c>
      <c r="X317" s="9"/>
      <c r="Y317" s="22">
        <v>0.25405899999999998</v>
      </c>
      <c r="Z317" s="22">
        <v>292.83100000000002</v>
      </c>
      <c r="AA317" s="22">
        <v>-1.7727699999999999E-2</v>
      </c>
      <c r="AB317" s="22">
        <v>307</v>
      </c>
      <c r="AC317" s="22">
        <v>0.25360100000000002</v>
      </c>
      <c r="AD317">
        <f t="shared" si="52"/>
        <v>17.727699999999999</v>
      </c>
      <c r="AE317">
        <f t="shared" si="53"/>
        <v>4.5038817342999993</v>
      </c>
      <c r="AF317" s="9"/>
      <c r="AG317" s="22">
        <v>1.4459200000000001</v>
      </c>
      <c r="AH317" s="22">
        <v>368.56599999999997</v>
      </c>
      <c r="AI317" s="22">
        <v>-1.7175300000000001E-2</v>
      </c>
      <c r="AJ317" s="22">
        <v>307</v>
      </c>
      <c r="AK317" s="22">
        <v>1.4456199999999999</v>
      </c>
      <c r="AL317">
        <f t="shared" si="54"/>
        <v>17.1753</v>
      </c>
      <c r="AM317">
        <f t="shared" si="55"/>
        <v>24.834109776000002</v>
      </c>
      <c r="AP317" s="9"/>
      <c r="AQ317" s="22">
        <v>0.25405899999999998</v>
      </c>
      <c r="AR317" s="22">
        <v>440.76900000000001</v>
      </c>
      <c r="AS317" s="22">
        <v>-1.8237300000000001E-2</v>
      </c>
      <c r="AT317" s="22">
        <v>307</v>
      </c>
      <c r="AU317" s="22">
        <v>0.25317400000000001</v>
      </c>
      <c r="AV317">
        <f t="shared" si="56"/>
        <v>18.237300000000001</v>
      </c>
      <c r="AW317">
        <f t="shared" si="57"/>
        <v>4.6333502006999998</v>
      </c>
      <c r="AX317" s="9"/>
      <c r="AY317" s="22">
        <v>1.4459200000000001</v>
      </c>
      <c r="AZ317" s="22">
        <v>514.18200000000002</v>
      </c>
      <c r="BA317" s="22">
        <v>-1.75598E-2</v>
      </c>
      <c r="BB317" s="22">
        <v>307</v>
      </c>
      <c r="BC317" s="22">
        <v>1.4453100000000001</v>
      </c>
      <c r="BD317">
        <f t="shared" si="58"/>
        <v>17.559799999999999</v>
      </c>
      <c r="BE317">
        <f t="shared" si="59"/>
        <v>25.390066016000002</v>
      </c>
    </row>
    <row r="318" spans="6:57">
      <c r="F318" s="9"/>
      <c r="G318" s="22">
        <v>0.24902299999999999</v>
      </c>
      <c r="H318" s="22">
        <v>79.372799999999998</v>
      </c>
      <c r="I318" s="22">
        <v>-1.5670799999999999E-2</v>
      </c>
      <c r="J318" s="22">
        <v>308</v>
      </c>
      <c r="K318" s="22">
        <v>0.24856600000000001</v>
      </c>
      <c r="L318">
        <f t="shared" si="48"/>
        <v>15.670799999999998</v>
      </c>
      <c r="M318">
        <f t="shared" si="49"/>
        <v>3.9023896283999995</v>
      </c>
      <c r="N318" s="9"/>
      <c r="O318" s="22">
        <v>1.45096</v>
      </c>
      <c r="P318" s="22">
        <v>194.715</v>
      </c>
      <c r="Q318" s="22">
        <v>-1.3974E-2</v>
      </c>
      <c r="R318" s="22">
        <v>308</v>
      </c>
      <c r="S318" s="22">
        <v>1.4501999999999999</v>
      </c>
      <c r="T318">
        <f t="shared" si="50"/>
        <v>13.974</v>
      </c>
      <c r="U318">
        <f t="shared" si="51"/>
        <v>20.275715040000001</v>
      </c>
      <c r="X318" s="9"/>
      <c r="Y318" s="22">
        <v>0.24902299999999999</v>
      </c>
      <c r="Z318" s="22">
        <v>292.93099999999998</v>
      </c>
      <c r="AA318" s="22">
        <v>-1.7727699999999999E-2</v>
      </c>
      <c r="AB318" s="22">
        <v>308</v>
      </c>
      <c r="AC318" s="22">
        <v>0.24856600000000001</v>
      </c>
      <c r="AD318">
        <f t="shared" si="52"/>
        <v>17.727699999999999</v>
      </c>
      <c r="AE318">
        <f t="shared" si="53"/>
        <v>4.4146050370999994</v>
      </c>
      <c r="AF318" s="9"/>
      <c r="AG318" s="22">
        <v>1.45096</v>
      </c>
      <c r="AH318" s="22">
        <v>368.66699999999997</v>
      </c>
      <c r="AI318" s="22">
        <v>-1.71661E-2</v>
      </c>
      <c r="AJ318" s="22">
        <v>308</v>
      </c>
      <c r="AK318" s="22">
        <v>1.4508099999999999</v>
      </c>
      <c r="AL318">
        <f t="shared" si="54"/>
        <v>17.1661</v>
      </c>
      <c r="AM318">
        <f t="shared" si="55"/>
        <v>24.907324456000001</v>
      </c>
      <c r="AP318" s="9"/>
      <c r="AQ318" s="22">
        <v>0.24902299999999999</v>
      </c>
      <c r="AR318" s="22">
        <v>440.87</v>
      </c>
      <c r="AS318" s="22">
        <v>-1.8231199999999999E-2</v>
      </c>
      <c r="AT318" s="22">
        <v>308</v>
      </c>
      <c r="AU318" s="22">
        <v>0.24881</v>
      </c>
      <c r="AV318">
        <f t="shared" si="56"/>
        <v>18.231200000000001</v>
      </c>
      <c r="AW318">
        <f t="shared" si="57"/>
        <v>4.5399881176000001</v>
      </c>
      <c r="AX318" s="9"/>
      <c r="AY318" s="22">
        <v>1.45096</v>
      </c>
      <c r="AZ318" s="22">
        <v>514.28300000000002</v>
      </c>
      <c r="BA318" s="22">
        <v>-1.7553699999999998E-2</v>
      </c>
      <c r="BB318" s="22">
        <v>308</v>
      </c>
      <c r="BC318" s="22">
        <v>1.4498899999999999</v>
      </c>
      <c r="BD318">
        <f t="shared" si="58"/>
        <v>17.553699999999999</v>
      </c>
      <c r="BE318">
        <f t="shared" si="59"/>
        <v>25.469716551999998</v>
      </c>
    </row>
    <row r="319" spans="6:57">
      <c r="F319" s="9"/>
      <c r="G319" s="22">
        <v>0.24398800000000001</v>
      </c>
      <c r="H319" s="22">
        <v>79.473500000000001</v>
      </c>
      <c r="I319" s="22">
        <v>-1.5609700000000001E-2</v>
      </c>
      <c r="J319" s="22">
        <v>309</v>
      </c>
      <c r="K319" s="22">
        <v>0.243561</v>
      </c>
      <c r="L319">
        <f t="shared" si="48"/>
        <v>15.6097</v>
      </c>
      <c r="M319">
        <f t="shared" si="49"/>
        <v>3.8085794836</v>
      </c>
      <c r="N319" s="9"/>
      <c r="O319" s="22">
        <v>1.4559899999999999</v>
      </c>
      <c r="P319" s="22">
        <v>194.815</v>
      </c>
      <c r="Q319" s="22">
        <v>-1.39679E-2</v>
      </c>
      <c r="R319" s="22">
        <v>309</v>
      </c>
      <c r="S319" s="22">
        <v>1.4553799999999999</v>
      </c>
      <c r="T319">
        <f t="shared" si="50"/>
        <v>13.9679</v>
      </c>
      <c r="U319">
        <f t="shared" si="51"/>
        <v>20.337122721</v>
      </c>
      <c r="X319" s="9"/>
      <c r="Y319" s="22">
        <v>0.24398800000000001</v>
      </c>
      <c r="Z319" s="22">
        <v>293.03199999999998</v>
      </c>
      <c r="AA319" s="22">
        <v>-1.7727699999999999E-2</v>
      </c>
      <c r="AB319" s="22">
        <v>309</v>
      </c>
      <c r="AC319" s="22">
        <v>0.24362200000000001</v>
      </c>
      <c r="AD319">
        <f t="shared" si="52"/>
        <v>17.727699999999999</v>
      </c>
      <c r="AE319">
        <f t="shared" si="53"/>
        <v>4.3253460676</v>
      </c>
      <c r="AF319" s="9"/>
      <c r="AG319" s="22">
        <v>1.4559899999999999</v>
      </c>
      <c r="AH319" s="22">
        <v>368.767</v>
      </c>
      <c r="AI319" s="22">
        <v>-1.71661E-2</v>
      </c>
      <c r="AJ319" s="22">
        <v>309</v>
      </c>
      <c r="AK319" s="22">
        <v>1.4553799999999999</v>
      </c>
      <c r="AL319">
        <f t="shared" si="54"/>
        <v>17.1661</v>
      </c>
      <c r="AM319">
        <f t="shared" si="55"/>
        <v>24.993669939</v>
      </c>
      <c r="AP319" s="9"/>
      <c r="AQ319" s="22">
        <v>0.24398800000000001</v>
      </c>
      <c r="AR319" s="22">
        <v>440.971</v>
      </c>
      <c r="AS319" s="22">
        <v>-1.8234299999999998E-2</v>
      </c>
      <c r="AT319" s="22">
        <v>309</v>
      </c>
      <c r="AU319" s="22">
        <v>0.243561</v>
      </c>
      <c r="AV319">
        <f t="shared" si="56"/>
        <v>18.234299999999998</v>
      </c>
      <c r="AW319">
        <f t="shared" si="57"/>
        <v>4.4489503883999992</v>
      </c>
      <c r="AX319" s="9"/>
      <c r="AY319" s="22">
        <v>1.4559899999999999</v>
      </c>
      <c r="AZ319" s="22">
        <v>514.38400000000001</v>
      </c>
      <c r="BA319" s="22">
        <v>-1.7550699999999999E-2</v>
      </c>
      <c r="BB319" s="22">
        <v>309</v>
      </c>
      <c r="BC319" s="22">
        <v>1.4547699999999999</v>
      </c>
      <c r="BD319">
        <f t="shared" si="58"/>
        <v>17.550699999999999</v>
      </c>
      <c r="BE319">
        <f t="shared" si="59"/>
        <v>25.553643692999998</v>
      </c>
    </row>
    <row r="320" spans="6:57">
      <c r="F320" s="9"/>
      <c r="G320" s="22">
        <v>0.238953</v>
      </c>
      <c r="H320" s="22">
        <v>79.574200000000005</v>
      </c>
      <c r="I320" s="22">
        <v>-1.5725699999999999E-2</v>
      </c>
      <c r="J320" s="22">
        <v>310</v>
      </c>
      <c r="K320" s="22">
        <v>0.23852499999999999</v>
      </c>
      <c r="L320">
        <f t="shared" si="48"/>
        <v>15.725699999999998</v>
      </c>
      <c r="M320">
        <f t="shared" si="49"/>
        <v>3.7577031920999997</v>
      </c>
      <c r="N320" s="9"/>
      <c r="O320" s="22">
        <v>1.4610300000000001</v>
      </c>
      <c r="P320" s="22">
        <v>194.916</v>
      </c>
      <c r="Q320" s="22">
        <v>-1.39557E-2</v>
      </c>
      <c r="R320" s="22">
        <v>310</v>
      </c>
      <c r="S320" s="22">
        <v>1.4599599999999999</v>
      </c>
      <c r="T320">
        <f t="shared" si="50"/>
        <v>13.9557</v>
      </c>
      <c r="U320">
        <f t="shared" si="51"/>
        <v>20.389696370999999</v>
      </c>
      <c r="X320" s="9"/>
      <c r="Y320" s="22">
        <v>0.238953</v>
      </c>
      <c r="Z320" s="22">
        <v>293.13299999999998</v>
      </c>
      <c r="AA320" s="22">
        <v>-1.7733800000000001E-2</v>
      </c>
      <c r="AB320" s="22">
        <v>310</v>
      </c>
      <c r="AC320" s="22">
        <v>0.238373</v>
      </c>
      <c r="AD320">
        <f t="shared" si="52"/>
        <v>17.733800000000002</v>
      </c>
      <c r="AE320">
        <f t="shared" si="53"/>
        <v>4.2375447114000009</v>
      </c>
      <c r="AF320" s="9"/>
      <c r="AG320" s="22">
        <v>1.4610300000000001</v>
      </c>
      <c r="AH320" s="22">
        <v>368.86799999999999</v>
      </c>
      <c r="AI320" s="22">
        <v>-1.7160000000000002E-2</v>
      </c>
      <c r="AJ320" s="22">
        <v>310</v>
      </c>
      <c r="AK320" s="22">
        <v>1.4605699999999999</v>
      </c>
      <c r="AL320">
        <f t="shared" si="54"/>
        <v>17.16</v>
      </c>
      <c r="AM320">
        <f t="shared" si="55"/>
        <v>25.071274800000001</v>
      </c>
      <c r="AP320" s="9"/>
      <c r="AQ320" s="22">
        <v>0.238953</v>
      </c>
      <c r="AR320" s="22">
        <v>441.07100000000003</v>
      </c>
      <c r="AS320" s="22">
        <v>-1.8231199999999999E-2</v>
      </c>
      <c r="AT320" s="22">
        <v>310</v>
      </c>
      <c r="AU320" s="22">
        <v>0.238647</v>
      </c>
      <c r="AV320">
        <f t="shared" si="56"/>
        <v>18.231200000000001</v>
      </c>
      <c r="AW320">
        <f t="shared" si="57"/>
        <v>4.3563999336000006</v>
      </c>
      <c r="AX320" s="9"/>
      <c r="AY320" s="22">
        <v>1.4610300000000001</v>
      </c>
      <c r="AZ320" s="22">
        <v>514.48400000000004</v>
      </c>
      <c r="BA320" s="22">
        <v>-1.75446E-2</v>
      </c>
      <c r="BB320" s="22">
        <v>310</v>
      </c>
      <c r="BC320" s="22">
        <v>1.46027</v>
      </c>
      <c r="BD320">
        <f t="shared" si="58"/>
        <v>17.544599999999999</v>
      </c>
      <c r="BE320">
        <f t="shared" si="59"/>
        <v>25.633186937999998</v>
      </c>
    </row>
    <row r="321" spans="6:57">
      <c r="F321" s="9"/>
      <c r="G321" s="22">
        <v>0.23391700000000001</v>
      </c>
      <c r="H321" s="22">
        <v>79.674899999999994</v>
      </c>
      <c r="I321" s="22">
        <v>-1.57349E-2</v>
      </c>
      <c r="J321" s="22">
        <v>311</v>
      </c>
      <c r="K321" s="22">
        <v>0.233459</v>
      </c>
      <c r="L321">
        <f t="shared" si="48"/>
        <v>15.7349</v>
      </c>
      <c r="M321">
        <f t="shared" si="49"/>
        <v>3.6806606033000002</v>
      </c>
      <c r="N321" s="9"/>
      <c r="O321" s="22">
        <v>1.4660599999999999</v>
      </c>
      <c r="P321" s="22">
        <v>195.017</v>
      </c>
      <c r="Q321" s="22">
        <v>-1.3943499999999999E-2</v>
      </c>
      <c r="R321" s="22">
        <v>311</v>
      </c>
      <c r="S321" s="22">
        <v>1.46515</v>
      </c>
      <c r="T321">
        <f t="shared" si="50"/>
        <v>13.943499999999998</v>
      </c>
      <c r="U321">
        <f t="shared" si="51"/>
        <v>20.442007609999997</v>
      </c>
      <c r="X321" s="9"/>
      <c r="Y321" s="22">
        <v>0.23391700000000001</v>
      </c>
      <c r="Z321" s="22">
        <v>293.23399999999998</v>
      </c>
      <c r="AA321" s="22">
        <v>-1.7742899999999999E-2</v>
      </c>
      <c r="AB321" s="22">
        <v>311</v>
      </c>
      <c r="AC321" s="22">
        <v>0.23400899999999999</v>
      </c>
      <c r="AD321">
        <f t="shared" si="52"/>
        <v>17.742899999999999</v>
      </c>
      <c r="AE321">
        <f t="shared" si="53"/>
        <v>4.1503659393000003</v>
      </c>
      <c r="AF321" s="9"/>
      <c r="AG321" s="22">
        <v>1.4660599999999999</v>
      </c>
      <c r="AH321" s="22">
        <v>368.96899999999999</v>
      </c>
      <c r="AI321" s="22">
        <v>-1.7141699999999999E-2</v>
      </c>
      <c r="AJ321" s="22">
        <v>311</v>
      </c>
      <c r="AK321" s="22">
        <v>1.46515</v>
      </c>
      <c r="AL321">
        <f t="shared" si="54"/>
        <v>17.1417</v>
      </c>
      <c r="AM321">
        <f t="shared" si="55"/>
        <v>25.130760702</v>
      </c>
      <c r="AP321" s="9"/>
      <c r="AQ321" s="22">
        <v>0.23391700000000001</v>
      </c>
      <c r="AR321" s="22">
        <v>441.17200000000003</v>
      </c>
      <c r="AS321" s="22">
        <v>-1.82404E-2</v>
      </c>
      <c r="AT321" s="22">
        <v>311</v>
      </c>
      <c r="AU321" s="22">
        <v>0.233429</v>
      </c>
      <c r="AV321">
        <f t="shared" si="56"/>
        <v>18.240400000000001</v>
      </c>
      <c r="AW321">
        <f t="shared" si="57"/>
        <v>4.2667396468000005</v>
      </c>
      <c r="AX321" s="9"/>
      <c r="AY321" s="22">
        <v>1.4660599999999999</v>
      </c>
      <c r="AZ321" s="22">
        <v>514.58500000000004</v>
      </c>
      <c r="BA321" s="22">
        <v>-1.75354E-2</v>
      </c>
      <c r="BB321" s="22">
        <v>311</v>
      </c>
      <c r="BC321" s="22">
        <v>1.46515</v>
      </c>
      <c r="BD321">
        <f t="shared" si="58"/>
        <v>17.535399999999999</v>
      </c>
      <c r="BE321">
        <f t="shared" si="59"/>
        <v>25.707948523999999</v>
      </c>
    </row>
    <row r="322" spans="6:57">
      <c r="F322" s="9"/>
      <c r="G322" s="22">
        <v>0.228882</v>
      </c>
      <c r="H322" s="22">
        <v>79.775700000000001</v>
      </c>
      <c r="I322" s="22">
        <v>-1.5780599999999999E-2</v>
      </c>
      <c r="J322" s="22">
        <v>312</v>
      </c>
      <c r="K322" s="22">
        <v>0.22845499999999999</v>
      </c>
      <c r="L322">
        <f t="shared" si="48"/>
        <v>15.780599999999998</v>
      </c>
      <c r="M322">
        <f t="shared" si="49"/>
        <v>3.6118952891999996</v>
      </c>
      <c r="N322" s="9"/>
      <c r="O322" s="22">
        <v>1.4711000000000001</v>
      </c>
      <c r="P322" s="22">
        <v>195.11799999999999</v>
      </c>
      <c r="Q322" s="22">
        <v>-1.39404E-2</v>
      </c>
      <c r="R322" s="22">
        <v>312</v>
      </c>
      <c r="S322" s="22">
        <v>1.4706399999999999</v>
      </c>
      <c r="T322">
        <f t="shared" si="50"/>
        <v>13.9404</v>
      </c>
      <c r="U322">
        <f t="shared" si="51"/>
        <v>20.507722440000002</v>
      </c>
      <c r="X322" s="9"/>
      <c r="Y322" s="22">
        <v>0.228882</v>
      </c>
      <c r="Z322" s="22">
        <v>293.334</v>
      </c>
      <c r="AA322" s="22">
        <v>-1.7746000000000001E-2</v>
      </c>
      <c r="AB322" s="22">
        <v>312</v>
      </c>
      <c r="AC322" s="22">
        <v>0.22842399999999999</v>
      </c>
      <c r="AD322">
        <f t="shared" si="52"/>
        <v>17.746000000000002</v>
      </c>
      <c r="AE322">
        <f t="shared" si="53"/>
        <v>4.0617399720000007</v>
      </c>
      <c r="AF322" s="9"/>
      <c r="AG322" s="22">
        <v>1.4711000000000001</v>
      </c>
      <c r="AH322" s="22">
        <v>369.07</v>
      </c>
      <c r="AI322" s="22">
        <v>-1.7135600000000001E-2</v>
      </c>
      <c r="AJ322" s="22">
        <v>312</v>
      </c>
      <c r="AK322" s="22">
        <v>1.46973</v>
      </c>
      <c r="AL322">
        <f t="shared" si="54"/>
        <v>17.1356</v>
      </c>
      <c r="AM322">
        <f t="shared" si="55"/>
        <v>25.208181160000002</v>
      </c>
      <c r="AP322" s="9"/>
      <c r="AQ322" s="22">
        <v>0.228882</v>
      </c>
      <c r="AR322" s="22">
        <v>441.27300000000002</v>
      </c>
      <c r="AS322" s="22">
        <v>-1.82434E-2</v>
      </c>
      <c r="AT322" s="22">
        <v>312</v>
      </c>
      <c r="AU322" s="22">
        <v>0.228271</v>
      </c>
      <c r="AV322">
        <f t="shared" si="56"/>
        <v>18.243400000000001</v>
      </c>
      <c r="AW322">
        <f t="shared" si="57"/>
        <v>4.1755858788000006</v>
      </c>
      <c r="AX322" s="9"/>
      <c r="AY322" s="22">
        <v>1.4711000000000001</v>
      </c>
      <c r="AZ322" s="22">
        <v>514.68600000000004</v>
      </c>
      <c r="BA322" s="22">
        <v>-1.7526199999999999E-2</v>
      </c>
      <c r="BB322" s="22">
        <v>312</v>
      </c>
      <c r="BC322" s="22">
        <v>1.47095</v>
      </c>
      <c r="BD322">
        <f t="shared" si="58"/>
        <v>17.526199999999999</v>
      </c>
      <c r="BE322">
        <f t="shared" si="59"/>
        <v>25.782792820000001</v>
      </c>
    </row>
    <row r="323" spans="6:57">
      <c r="F323" s="9"/>
      <c r="G323" s="22">
        <v>0.22384599999999999</v>
      </c>
      <c r="H323" s="22">
        <v>79.876400000000004</v>
      </c>
      <c r="I323" s="22">
        <v>-1.5756200000000001E-2</v>
      </c>
      <c r="J323" s="22">
        <v>313</v>
      </c>
      <c r="K323" s="22">
        <v>0.22341900000000001</v>
      </c>
      <c r="L323">
        <f t="shared" si="48"/>
        <v>15.756200000000002</v>
      </c>
      <c r="M323">
        <f t="shared" si="49"/>
        <v>3.5269623452000003</v>
      </c>
      <c r="N323" s="9"/>
      <c r="O323" s="22">
        <v>1.47614</v>
      </c>
      <c r="P323" s="22">
        <v>195.21799999999999</v>
      </c>
      <c r="Q323" s="22">
        <v>-1.3931300000000001E-2</v>
      </c>
      <c r="R323" s="22">
        <v>313</v>
      </c>
      <c r="S323" s="22">
        <v>1.47522</v>
      </c>
      <c r="T323">
        <f t="shared" si="50"/>
        <v>13.9313</v>
      </c>
      <c r="U323">
        <f t="shared" si="51"/>
        <v>20.564549182</v>
      </c>
      <c r="X323" s="9"/>
      <c r="Y323" s="22">
        <v>0.22384599999999999</v>
      </c>
      <c r="Z323" s="22">
        <v>293.435</v>
      </c>
      <c r="AA323" s="22">
        <v>-1.7739899999999999E-2</v>
      </c>
      <c r="AB323" s="22">
        <v>313</v>
      </c>
      <c r="AC323" s="22">
        <v>0.223083</v>
      </c>
      <c r="AD323">
        <f t="shared" si="52"/>
        <v>17.739899999999999</v>
      </c>
      <c r="AE323">
        <f t="shared" si="53"/>
        <v>3.9710056553999995</v>
      </c>
      <c r="AF323" s="9"/>
      <c r="AG323" s="22">
        <v>1.47614</v>
      </c>
      <c r="AH323" s="22">
        <v>369.17</v>
      </c>
      <c r="AI323" s="22">
        <v>-1.7129499999999999E-2</v>
      </c>
      <c r="AJ323" s="22">
        <v>313</v>
      </c>
      <c r="AK323" s="22">
        <v>1.47461</v>
      </c>
      <c r="AL323">
        <f t="shared" si="54"/>
        <v>17.1295</v>
      </c>
      <c r="AM323">
        <f t="shared" si="55"/>
        <v>25.285540130000001</v>
      </c>
      <c r="AP323" s="9"/>
      <c r="AQ323" s="22">
        <v>0.22384599999999999</v>
      </c>
      <c r="AR323" s="22">
        <v>441.37299999999999</v>
      </c>
      <c r="AS323" s="22">
        <v>-1.8246499999999999E-2</v>
      </c>
      <c r="AT323" s="22">
        <v>313</v>
      </c>
      <c r="AU323" s="22">
        <v>0.22354099999999999</v>
      </c>
      <c r="AV323">
        <f t="shared" si="56"/>
        <v>18.246499999999997</v>
      </c>
      <c r="AW323">
        <f t="shared" si="57"/>
        <v>4.0844060389999992</v>
      </c>
      <c r="AX323" s="9"/>
      <c r="AY323" s="22">
        <v>1.47614</v>
      </c>
      <c r="AZ323" s="22">
        <v>514.78700000000003</v>
      </c>
      <c r="BA323" s="22">
        <v>-1.7510999999999999E-2</v>
      </c>
      <c r="BB323" s="22">
        <v>313</v>
      </c>
      <c r="BC323" s="22">
        <v>1.4755199999999999</v>
      </c>
      <c r="BD323">
        <f t="shared" si="58"/>
        <v>17.510999999999999</v>
      </c>
      <c r="BE323">
        <f t="shared" si="59"/>
        <v>25.84868754</v>
      </c>
    </row>
    <row r="324" spans="6:57">
      <c r="F324" s="9"/>
      <c r="G324" s="22">
        <v>0.21881100000000001</v>
      </c>
      <c r="H324" s="22">
        <v>79.977099999999993</v>
      </c>
      <c r="I324" s="22">
        <v>-1.57471E-2</v>
      </c>
      <c r="J324" s="22">
        <v>314</v>
      </c>
      <c r="K324" s="22">
        <v>0.21835299999999999</v>
      </c>
      <c r="L324">
        <f t="shared" si="48"/>
        <v>15.7471</v>
      </c>
      <c r="M324">
        <f t="shared" si="49"/>
        <v>3.4456386981000002</v>
      </c>
      <c r="N324" s="9"/>
      <c r="O324" s="22">
        <v>1.4811700000000001</v>
      </c>
      <c r="P324" s="22">
        <v>195.31899999999999</v>
      </c>
      <c r="Q324" s="22">
        <v>-1.39191E-2</v>
      </c>
      <c r="R324" s="22">
        <v>314</v>
      </c>
      <c r="S324" s="22">
        <v>1.48041</v>
      </c>
      <c r="T324">
        <f t="shared" si="50"/>
        <v>13.9191</v>
      </c>
      <c r="U324">
        <f t="shared" si="51"/>
        <v>20.616553347</v>
      </c>
      <c r="X324" s="9"/>
      <c r="Y324" s="22">
        <v>0.21881100000000001</v>
      </c>
      <c r="Z324" s="22">
        <v>293.536</v>
      </c>
      <c r="AA324" s="22">
        <v>-1.7746000000000001E-2</v>
      </c>
      <c r="AB324" s="22">
        <v>314</v>
      </c>
      <c r="AC324" s="22">
        <v>0.21850600000000001</v>
      </c>
      <c r="AD324">
        <f t="shared" si="52"/>
        <v>17.746000000000002</v>
      </c>
      <c r="AE324">
        <f t="shared" si="53"/>
        <v>3.8830200060000006</v>
      </c>
      <c r="AF324" s="9"/>
      <c r="AG324" s="22">
        <v>1.4811700000000001</v>
      </c>
      <c r="AH324" s="22">
        <v>369.27100000000002</v>
      </c>
      <c r="AI324" s="22">
        <v>-1.7120400000000001E-2</v>
      </c>
      <c r="AJ324" s="22">
        <v>314</v>
      </c>
      <c r="AK324" s="22">
        <v>1.48041</v>
      </c>
      <c r="AL324">
        <f t="shared" si="54"/>
        <v>17.1204</v>
      </c>
      <c r="AM324">
        <f t="shared" si="55"/>
        <v>25.358222868000002</v>
      </c>
      <c r="AP324" s="9"/>
      <c r="AQ324" s="22">
        <v>0.21881100000000001</v>
      </c>
      <c r="AR324" s="22">
        <v>441.47399999999999</v>
      </c>
      <c r="AS324" s="22">
        <v>-1.82404E-2</v>
      </c>
      <c r="AT324" s="22">
        <v>314</v>
      </c>
      <c r="AU324" s="22">
        <v>0.21804799999999999</v>
      </c>
      <c r="AV324">
        <f t="shared" si="56"/>
        <v>18.240400000000001</v>
      </c>
      <c r="AW324">
        <f t="shared" si="57"/>
        <v>3.9912001644000004</v>
      </c>
      <c r="AX324" s="9"/>
      <c r="AY324" s="22">
        <v>1.4811700000000001</v>
      </c>
      <c r="AZ324" s="22">
        <v>514.88699999999994</v>
      </c>
      <c r="BA324" s="22">
        <v>-1.75049E-2</v>
      </c>
      <c r="BB324" s="22">
        <v>314</v>
      </c>
      <c r="BC324" s="22">
        <v>1.48071</v>
      </c>
      <c r="BD324">
        <f t="shared" si="58"/>
        <v>17.504899999999999</v>
      </c>
      <c r="BE324">
        <f t="shared" si="59"/>
        <v>25.927732732999999</v>
      </c>
    </row>
    <row r="325" spans="6:57">
      <c r="F325" s="9"/>
      <c r="G325" s="22">
        <v>0.21377599999999999</v>
      </c>
      <c r="H325" s="22">
        <v>80.077799999999996</v>
      </c>
      <c r="I325" s="22">
        <v>-1.57593E-2</v>
      </c>
      <c r="J325" s="22">
        <v>315</v>
      </c>
      <c r="K325" s="22">
        <v>0.21331800000000001</v>
      </c>
      <c r="L325">
        <f t="shared" si="48"/>
        <v>15.7593</v>
      </c>
      <c r="M325">
        <f t="shared" si="49"/>
        <v>3.3689601167999998</v>
      </c>
      <c r="N325" s="9"/>
      <c r="O325" s="22">
        <v>1.48621</v>
      </c>
      <c r="P325" s="22">
        <v>195.42</v>
      </c>
      <c r="Q325" s="22">
        <v>-1.3913E-2</v>
      </c>
      <c r="R325" s="22">
        <v>315</v>
      </c>
      <c r="S325" s="22">
        <v>1.48499</v>
      </c>
      <c r="T325">
        <f t="shared" si="50"/>
        <v>13.913</v>
      </c>
      <c r="U325">
        <f t="shared" si="51"/>
        <v>20.677639729999999</v>
      </c>
      <c r="X325" s="9"/>
      <c r="Y325" s="22">
        <v>0.21377599999999999</v>
      </c>
      <c r="Z325" s="22">
        <v>293.63600000000002</v>
      </c>
      <c r="AA325" s="22">
        <v>-1.77368E-2</v>
      </c>
      <c r="AB325" s="22">
        <v>315</v>
      </c>
      <c r="AC325" s="22">
        <v>0.213501</v>
      </c>
      <c r="AD325">
        <f t="shared" si="52"/>
        <v>17.736799999999999</v>
      </c>
      <c r="AE325">
        <f t="shared" si="53"/>
        <v>3.7917021567999996</v>
      </c>
      <c r="AF325" s="9"/>
      <c r="AG325" s="22">
        <v>1.48621</v>
      </c>
      <c r="AH325" s="22">
        <v>369.37200000000001</v>
      </c>
      <c r="AI325" s="22">
        <v>-1.71112E-2</v>
      </c>
      <c r="AJ325" s="22">
        <v>315</v>
      </c>
      <c r="AK325" s="22">
        <v>1.4859</v>
      </c>
      <c r="AL325">
        <f t="shared" si="54"/>
        <v>17.1112</v>
      </c>
      <c r="AM325">
        <f t="shared" si="55"/>
        <v>25.430836552000002</v>
      </c>
      <c r="AP325" s="9"/>
      <c r="AQ325" s="22">
        <v>0.21377599999999999</v>
      </c>
      <c r="AR325" s="22">
        <v>441.57499999999999</v>
      </c>
      <c r="AS325" s="22">
        <v>-1.8246499999999999E-2</v>
      </c>
      <c r="AT325" s="22">
        <v>315</v>
      </c>
      <c r="AU325" s="22">
        <v>0.21316499999999999</v>
      </c>
      <c r="AV325">
        <f t="shared" si="56"/>
        <v>18.246499999999997</v>
      </c>
      <c r="AW325">
        <f t="shared" si="57"/>
        <v>3.9006637839999994</v>
      </c>
      <c r="AX325" s="9"/>
      <c r="AY325" s="22">
        <v>1.48621</v>
      </c>
      <c r="AZ325" s="22">
        <v>514.98800000000006</v>
      </c>
      <c r="BA325" s="22">
        <v>-1.7483499999999999E-2</v>
      </c>
      <c r="BB325" s="22">
        <v>315</v>
      </c>
      <c r="BC325" s="22">
        <v>1.48529</v>
      </c>
      <c r="BD325">
        <f t="shared" si="58"/>
        <v>17.483499999999999</v>
      </c>
      <c r="BE325">
        <f t="shared" si="59"/>
        <v>25.984152535</v>
      </c>
    </row>
    <row r="326" spans="6:57">
      <c r="F326" s="9"/>
      <c r="G326" s="22">
        <v>0.20874000000000001</v>
      </c>
      <c r="H326" s="22">
        <v>80.1785</v>
      </c>
      <c r="I326" s="22">
        <v>-1.5765399999999999E-2</v>
      </c>
      <c r="J326" s="22">
        <v>316</v>
      </c>
      <c r="K326" s="22">
        <v>0.20840500000000001</v>
      </c>
      <c r="L326">
        <f t="shared" si="48"/>
        <v>15.7654</v>
      </c>
      <c r="M326">
        <f t="shared" si="49"/>
        <v>3.2908695960000003</v>
      </c>
      <c r="N326" s="9"/>
      <c r="O326" s="22">
        <v>1.4912399999999999</v>
      </c>
      <c r="P326" s="22">
        <v>195.52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0.20874000000000001</v>
      </c>
      <c r="Z326" s="22">
        <v>293.73700000000002</v>
      </c>
      <c r="AA326" s="22">
        <v>-1.77368E-2</v>
      </c>
      <c r="AB326" s="22">
        <v>316</v>
      </c>
      <c r="AC326" s="22">
        <v>0.20828199999999999</v>
      </c>
      <c r="AD326">
        <f t="shared" si="52"/>
        <v>17.736799999999999</v>
      </c>
      <c r="AE326">
        <f t="shared" si="53"/>
        <v>3.702379632</v>
      </c>
      <c r="AF326" s="9"/>
      <c r="AG326" s="22">
        <v>1.4912399999999999</v>
      </c>
      <c r="AH326" s="22">
        <v>369.47199999999998</v>
      </c>
      <c r="AI326" s="22">
        <v>-1.7099E-2</v>
      </c>
      <c r="AJ326" s="22">
        <v>316</v>
      </c>
      <c r="AK326" s="22">
        <v>1.49017</v>
      </c>
      <c r="AL326">
        <f t="shared" si="54"/>
        <v>17.099</v>
      </c>
      <c r="AM326">
        <f t="shared" si="55"/>
        <v>25.49871276</v>
      </c>
      <c r="AP326" s="9"/>
      <c r="AQ326" s="22">
        <v>0.20874000000000001</v>
      </c>
      <c r="AR326" s="22">
        <v>441.67599999999999</v>
      </c>
      <c r="AS326" s="22">
        <v>-1.82556E-2</v>
      </c>
      <c r="AT326" s="22">
        <v>316</v>
      </c>
      <c r="AU326" s="22">
        <v>0.208069</v>
      </c>
      <c r="AV326">
        <f t="shared" si="56"/>
        <v>18.255600000000001</v>
      </c>
      <c r="AW326">
        <f t="shared" si="57"/>
        <v>3.8106739440000004</v>
      </c>
      <c r="AX326" s="9"/>
      <c r="AY326" s="22">
        <v>1.4912399999999999</v>
      </c>
      <c r="AZ326" s="22">
        <v>515.08900000000006</v>
      </c>
      <c r="BA326" s="22">
        <v>-1.7474400000000001E-2</v>
      </c>
      <c r="BB326" s="22">
        <v>316</v>
      </c>
      <c r="BC326" s="22">
        <v>1.49078</v>
      </c>
      <c r="BD326">
        <f t="shared" si="58"/>
        <v>17.474400000000003</v>
      </c>
      <c r="BE326">
        <f t="shared" si="59"/>
        <v>26.058524256000002</v>
      </c>
    </row>
    <row r="327" spans="6:57">
      <c r="F327" s="9"/>
      <c r="G327" s="22">
        <v>0.203705</v>
      </c>
      <c r="H327" s="22">
        <v>80.279200000000003</v>
      </c>
      <c r="I327" s="22">
        <v>-1.57593E-2</v>
      </c>
      <c r="J327" s="22">
        <v>317</v>
      </c>
      <c r="K327" s="22">
        <v>0.20330799999999999</v>
      </c>
      <c r="L327">
        <f t="shared" si="48"/>
        <v>15.7593</v>
      </c>
      <c r="M327">
        <f t="shared" si="49"/>
        <v>3.2102482064999998</v>
      </c>
      <c r="N327" s="9"/>
      <c r="O327" s="22">
        <v>1.4962800000000001</v>
      </c>
      <c r="P327" s="22">
        <v>195.62100000000001</v>
      </c>
      <c r="Q327" s="22">
        <v>-1.38916E-2</v>
      </c>
      <c r="R327" s="22">
        <v>317</v>
      </c>
      <c r="S327" s="22">
        <v>1.4950600000000001</v>
      </c>
      <c r="T327">
        <f t="shared" si="50"/>
        <v>13.8916</v>
      </c>
      <c r="U327">
        <f t="shared" si="51"/>
        <v>20.785723248</v>
      </c>
      <c r="X327" s="9"/>
      <c r="Y327" s="22">
        <v>0.203705</v>
      </c>
      <c r="Z327" s="22">
        <v>293.83800000000002</v>
      </c>
      <c r="AA327" s="22">
        <v>-1.7739899999999999E-2</v>
      </c>
      <c r="AB327" s="22">
        <v>317</v>
      </c>
      <c r="AC327" s="22">
        <v>0.2034</v>
      </c>
      <c r="AD327">
        <f t="shared" si="52"/>
        <v>17.739899999999999</v>
      </c>
      <c r="AE327">
        <f t="shared" si="53"/>
        <v>3.6137063294999998</v>
      </c>
      <c r="AF327" s="9"/>
      <c r="AG327" s="22">
        <v>1.4962800000000001</v>
      </c>
      <c r="AH327" s="22">
        <v>369.57299999999998</v>
      </c>
      <c r="AI327" s="22">
        <v>-1.7077599999999998E-2</v>
      </c>
      <c r="AJ327" s="22">
        <v>317</v>
      </c>
      <c r="AK327" s="22">
        <v>1.49536</v>
      </c>
      <c r="AL327">
        <f t="shared" si="54"/>
        <v>17.077599999999997</v>
      </c>
      <c r="AM327">
        <f t="shared" si="55"/>
        <v>25.552871327999995</v>
      </c>
      <c r="AP327" s="9"/>
      <c r="AQ327" s="22">
        <v>0.203705</v>
      </c>
      <c r="AR327" s="22">
        <v>441.77600000000001</v>
      </c>
      <c r="AS327" s="22">
        <v>-1.8252600000000001E-2</v>
      </c>
      <c r="AT327" s="22">
        <v>317</v>
      </c>
      <c r="AU327" s="22">
        <v>0.20355200000000001</v>
      </c>
      <c r="AV327">
        <f t="shared" si="56"/>
        <v>18.252600000000001</v>
      </c>
      <c r="AW327">
        <f t="shared" si="57"/>
        <v>3.718145883</v>
      </c>
      <c r="AX327" s="9"/>
      <c r="AY327" s="22">
        <v>1.4962800000000001</v>
      </c>
      <c r="AZ327" s="22">
        <v>515.18899999999996</v>
      </c>
      <c r="BA327" s="22">
        <v>-1.7459100000000002E-2</v>
      </c>
      <c r="BB327" s="22">
        <v>317</v>
      </c>
      <c r="BC327" s="22">
        <v>1.4956700000000001</v>
      </c>
      <c r="BD327">
        <f t="shared" si="58"/>
        <v>17.459100000000003</v>
      </c>
      <c r="BE327">
        <f t="shared" si="59"/>
        <v>26.123702148000007</v>
      </c>
    </row>
    <row r="328" spans="6:57">
      <c r="F328" s="9"/>
      <c r="G328" s="22">
        <v>0.19866900000000001</v>
      </c>
      <c r="H328" s="22">
        <v>80.379900000000006</v>
      </c>
      <c r="I328" s="22">
        <v>-1.5780599999999999E-2</v>
      </c>
      <c r="J328" s="22">
        <v>318</v>
      </c>
      <c r="K328" s="22">
        <v>0.19836400000000001</v>
      </c>
      <c r="L328">
        <f t="shared" si="48"/>
        <v>15.780599999999998</v>
      </c>
      <c r="M328">
        <f t="shared" si="49"/>
        <v>3.1351160214</v>
      </c>
      <c r="N328" s="9"/>
      <c r="O328" s="22">
        <v>1.5013099999999999</v>
      </c>
      <c r="P328" s="22">
        <v>195.72200000000001</v>
      </c>
      <c r="Q328" s="22">
        <v>-1.38824E-2</v>
      </c>
      <c r="R328" s="22">
        <v>318</v>
      </c>
      <c r="S328" s="22">
        <v>1.5005500000000001</v>
      </c>
      <c r="T328">
        <f t="shared" si="50"/>
        <v>13.882399999999999</v>
      </c>
      <c r="U328">
        <f t="shared" si="51"/>
        <v>20.841785943999998</v>
      </c>
      <c r="X328" s="9"/>
      <c r="Y328" s="22">
        <v>0.19866900000000001</v>
      </c>
      <c r="Z328" s="22">
        <v>293.93900000000002</v>
      </c>
      <c r="AA328" s="22">
        <v>-1.7746000000000001E-2</v>
      </c>
      <c r="AB328" s="22">
        <v>318</v>
      </c>
      <c r="AC328" s="22">
        <v>0.19836400000000001</v>
      </c>
      <c r="AD328">
        <f t="shared" si="52"/>
        <v>17.746000000000002</v>
      </c>
      <c r="AE328">
        <f t="shared" si="53"/>
        <v>3.5255800740000005</v>
      </c>
      <c r="AF328" s="9"/>
      <c r="AG328" s="22">
        <v>1.5013099999999999</v>
      </c>
      <c r="AH328" s="22">
        <v>369.67399999999998</v>
      </c>
      <c r="AI328" s="22">
        <v>-1.70715E-2</v>
      </c>
      <c r="AJ328" s="22">
        <v>318</v>
      </c>
      <c r="AK328" s="22">
        <v>1.5005500000000001</v>
      </c>
      <c r="AL328">
        <f t="shared" si="54"/>
        <v>17.0715</v>
      </c>
      <c r="AM328">
        <f t="shared" si="55"/>
        <v>25.629613665000001</v>
      </c>
      <c r="AP328" s="9"/>
      <c r="AQ328" s="22">
        <v>0.19866900000000001</v>
      </c>
      <c r="AR328" s="22">
        <v>441.87700000000001</v>
      </c>
      <c r="AS328" s="22">
        <v>-1.82556E-2</v>
      </c>
      <c r="AT328" s="22">
        <v>318</v>
      </c>
      <c r="AU328" s="22">
        <v>0.19805900000000001</v>
      </c>
      <c r="AV328">
        <f t="shared" si="56"/>
        <v>18.255600000000001</v>
      </c>
      <c r="AW328">
        <f t="shared" si="57"/>
        <v>3.6268217964000002</v>
      </c>
      <c r="AX328" s="9"/>
      <c r="AY328" s="22">
        <v>1.5013099999999999</v>
      </c>
      <c r="AZ328" s="22">
        <v>515.29</v>
      </c>
      <c r="BA328" s="22">
        <v>-1.7431599999999998E-2</v>
      </c>
      <c r="BB328" s="22">
        <v>318</v>
      </c>
      <c r="BC328" s="22">
        <v>1.50116</v>
      </c>
      <c r="BD328">
        <f t="shared" si="58"/>
        <v>17.4316</v>
      </c>
      <c r="BE328">
        <f t="shared" si="59"/>
        <v>26.170235395999999</v>
      </c>
    </row>
    <row r="329" spans="6:57">
      <c r="F329" s="9"/>
      <c r="G329" s="22">
        <v>0.193634</v>
      </c>
      <c r="H329" s="22">
        <v>80.480599999999995</v>
      </c>
      <c r="I329" s="22">
        <v>-1.5832499999999999E-2</v>
      </c>
      <c r="J329" s="22">
        <v>319</v>
      </c>
      <c r="K329" s="22">
        <v>0.193024</v>
      </c>
      <c r="L329">
        <f t="shared" si="48"/>
        <v>15.8325</v>
      </c>
      <c r="M329">
        <f t="shared" si="49"/>
        <v>3.0657103050000001</v>
      </c>
      <c r="N329" s="9"/>
      <c r="O329" s="22">
        <v>1.5063500000000001</v>
      </c>
      <c r="P329" s="22">
        <v>195.82300000000001</v>
      </c>
      <c r="Q329" s="22">
        <v>-1.3870199999999999E-2</v>
      </c>
      <c r="R329" s="22">
        <v>319</v>
      </c>
      <c r="S329" s="22">
        <v>1.5057400000000001</v>
      </c>
      <c r="T329">
        <f t="shared" si="50"/>
        <v>13.870199999999999</v>
      </c>
      <c r="U329">
        <f t="shared" si="51"/>
        <v>20.893375769999999</v>
      </c>
      <c r="X329" s="9"/>
      <c r="Y329" s="22">
        <v>0.193634</v>
      </c>
      <c r="Z329" s="22">
        <v>294.03899999999999</v>
      </c>
      <c r="AA329" s="22">
        <v>-1.7742899999999999E-2</v>
      </c>
      <c r="AB329" s="22">
        <v>319</v>
      </c>
      <c r="AC329" s="22">
        <v>0.19265699999999999</v>
      </c>
      <c r="AD329">
        <f t="shared" si="52"/>
        <v>17.742899999999999</v>
      </c>
      <c r="AE329">
        <f t="shared" si="53"/>
        <v>3.4356286986</v>
      </c>
      <c r="AF329" s="9"/>
      <c r="AG329" s="22">
        <v>1.5063500000000001</v>
      </c>
      <c r="AH329" s="22">
        <v>369.774</v>
      </c>
      <c r="AI329" s="22">
        <v>-1.7050200000000001E-2</v>
      </c>
      <c r="AJ329" s="22">
        <v>319</v>
      </c>
      <c r="AK329" s="22">
        <v>1.50604</v>
      </c>
      <c r="AL329">
        <f t="shared" si="54"/>
        <v>17.0502</v>
      </c>
      <c r="AM329">
        <f t="shared" si="55"/>
        <v>25.683568770000001</v>
      </c>
      <c r="AP329" s="9"/>
      <c r="AQ329" s="22">
        <v>0.193634</v>
      </c>
      <c r="AR329" s="22">
        <v>441.97800000000001</v>
      </c>
      <c r="AS329" s="22">
        <v>-1.8252600000000001E-2</v>
      </c>
      <c r="AT329" s="22">
        <v>319</v>
      </c>
      <c r="AU329" s="22">
        <v>0.19308500000000001</v>
      </c>
      <c r="AV329">
        <f t="shared" si="56"/>
        <v>18.252600000000001</v>
      </c>
      <c r="AW329">
        <f t="shared" si="57"/>
        <v>3.5343239484000004</v>
      </c>
      <c r="AX329" s="9"/>
      <c r="AY329" s="22">
        <v>1.5063500000000001</v>
      </c>
      <c r="AZ329" s="22">
        <v>515.39099999999996</v>
      </c>
      <c r="BA329" s="22">
        <v>-1.74133E-2</v>
      </c>
      <c r="BB329" s="22">
        <v>319</v>
      </c>
      <c r="BC329" s="22">
        <v>1.5057400000000001</v>
      </c>
      <c r="BD329">
        <f t="shared" si="58"/>
        <v>17.4133</v>
      </c>
      <c r="BE329">
        <f t="shared" si="59"/>
        <v>26.230524455000001</v>
      </c>
    </row>
    <row r="330" spans="6:57">
      <c r="F330" s="9"/>
      <c r="G330" s="22">
        <v>0.18859899999999999</v>
      </c>
      <c r="H330" s="22">
        <v>80.581299999999999</v>
      </c>
      <c r="I330" s="22">
        <v>-1.5820299999999999E-2</v>
      </c>
      <c r="J330" s="22">
        <v>320</v>
      </c>
      <c r="K330" s="22">
        <v>0.18823200000000001</v>
      </c>
      <c r="L330">
        <f t="shared" si="48"/>
        <v>15.8203</v>
      </c>
      <c r="M330">
        <f t="shared" si="49"/>
        <v>2.9836927596999998</v>
      </c>
      <c r="N330" s="9"/>
      <c r="O330" s="22">
        <v>1.5113799999999999</v>
      </c>
      <c r="P330" s="22">
        <v>195.923</v>
      </c>
      <c r="Q330" s="22">
        <v>-1.38885E-2</v>
      </c>
      <c r="R330" s="22">
        <v>320</v>
      </c>
      <c r="S330" s="22">
        <v>1.5106200000000001</v>
      </c>
      <c r="T330">
        <f t="shared" si="50"/>
        <v>13.888500000000001</v>
      </c>
      <c r="U330">
        <f t="shared" si="51"/>
        <v>20.990801130000001</v>
      </c>
      <c r="X330" s="9"/>
      <c r="Y330" s="22">
        <v>0.18859899999999999</v>
      </c>
      <c r="Z330" s="22">
        <v>294.14</v>
      </c>
      <c r="AA330" s="22">
        <v>-1.7742899999999999E-2</v>
      </c>
      <c r="AB330" s="22">
        <v>320</v>
      </c>
      <c r="AC330" s="22">
        <v>0.188141</v>
      </c>
      <c r="AD330">
        <f t="shared" si="52"/>
        <v>17.742899999999999</v>
      </c>
      <c r="AE330">
        <f t="shared" si="53"/>
        <v>3.3462931970999996</v>
      </c>
      <c r="AF330" s="9"/>
      <c r="AG330" s="22">
        <v>1.5113799999999999</v>
      </c>
      <c r="AH330" s="22">
        <v>369.875</v>
      </c>
      <c r="AI330" s="22">
        <v>-1.7038000000000001E-2</v>
      </c>
      <c r="AJ330" s="22">
        <v>320</v>
      </c>
      <c r="AK330" s="22">
        <v>1.5106200000000001</v>
      </c>
      <c r="AL330">
        <f t="shared" si="54"/>
        <v>17.038</v>
      </c>
      <c r="AM330">
        <f t="shared" si="55"/>
        <v>25.750892440000001</v>
      </c>
      <c r="AP330" s="9"/>
      <c r="AQ330" s="22">
        <v>0.18859899999999999</v>
      </c>
      <c r="AR330" s="22">
        <v>442.07799999999997</v>
      </c>
      <c r="AS330" s="22">
        <v>-1.8252600000000001E-2</v>
      </c>
      <c r="AT330" s="22">
        <v>320</v>
      </c>
      <c r="AU330" s="22">
        <v>0.18850700000000001</v>
      </c>
      <c r="AV330">
        <f t="shared" si="56"/>
        <v>18.252600000000001</v>
      </c>
      <c r="AW330">
        <f t="shared" si="57"/>
        <v>3.4424221074000001</v>
      </c>
      <c r="AX330" s="9"/>
      <c r="AY330" s="22">
        <v>1.5113799999999999</v>
      </c>
      <c r="AZ330" s="22">
        <v>515.49199999999996</v>
      </c>
      <c r="BA330" s="22">
        <v>-1.73981E-2</v>
      </c>
      <c r="BB330" s="22">
        <v>320</v>
      </c>
      <c r="BC330" s="22">
        <v>1.5106200000000001</v>
      </c>
      <c r="BD330">
        <f t="shared" si="58"/>
        <v>17.398099999999999</v>
      </c>
      <c r="BE330">
        <f t="shared" si="59"/>
        <v>26.295140377999999</v>
      </c>
    </row>
    <row r="331" spans="6:57">
      <c r="F331" s="9"/>
      <c r="G331" s="22">
        <v>0.183563</v>
      </c>
      <c r="H331" s="22">
        <v>80.682000000000002</v>
      </c>
      <c r="I331" s="22">
        <v>-1.5838600000000001E-2</v>
      </c>
      <c r="J331" s="22">
        <v>321</v>
      </c>
      <c r="K331" s="22">
        <v>0.18313599999999999</v>
      </c>
      <c r="L331">
        <f t="shared" si="48"/>
        <v>15.838600000000001</v>
      </c>
      <c r="M331">
        <f t="shared" si="49"/>
        <v>2.9073809318000001</v>
      </c>
      <c r="N331" s="9"/>
      <c r="O331" s="22">
        <v>1.5164200000000001</v>
      </c>
      <c r="P331" s="22">
        <v>196.024</v>
      </c>
      <c r="Q331" s="22">
        <v>-1.38885E-2</v>
      </c>
      <c r="R331" s="22">
        <v>321</v>
      </c>
      <c r="S331" s="22">
        <v>1.5155000000000001</v>
      </c>
      <c r="T331">
        <f t="shared" si="50"/>
        <v>13.888500000000001</v>
      </c>
      <c r="U331">
        <f t="shared" si="51"/>
        <v>21.060799170000003</v>
      </c>
      <c r="X331" s="9"/>
      <c r="Y331" s="22">
        <v>0.183563</v>
      </c>
      <c r="Z331" s="22">
        <v>294.24099999999999</v>
      </c>
      <c r="AA331" s="22">
        <v>-1.7746000000000001E-2</v>
      </c>
      <c r="AB331" s="22">
        <v>321</v>
      </c>
      <c r="AC331" s="22">
        <v>0.183502</v>
      </c>
      <c r="AD331">
        <f t="shared" si="52"/>
        <v>17.746000000000002</v>
      </c>
      <c r="AE331">
        <f t="shared" si="53"/>
        <v>3.2575089980000005</v>
      </c>
      <c r="AF331" s="9"/>
      <c r="AG331" s="22">
        <v>1.5164200000000001</v>
      </c>
      <c r="AH331" s="22">
        <v>369.976</v>
      </c>
      <c r="AI331" s="22">
        <v>-1.7025800000000001E-2</v>
      </c>
      <c r="AJ331" s="22">
        <v>321</v>
      </c>
      <c r="AK331" s="22">
        <v>1.5155000000000001</v>
      </c>
      <c r="AL331">
        <f t="shared" si="54"/>
        <v>17.0258</v>
      </c>
      <c r="AM331">
        <f t="shared" si="55"/>
        <v>25.818263636000001</v>
      </c>
      <c r="AP331" s="9"/>
      <c r="AQ331" s="22">
        <v>0.183563</v>
      </c>
      <c r="AR331" s="22">
        <v>442.17899999999997</v>
      </c>
      <c r="AS331" s="22">
        <v>-1.82556E-2</v>
      </c>
      <c r="AT331" s="22">
        <v>321</v>
      </c>
      <c r="AU331" s="22">
        <v>0.18304400000000001</v>
      </c>
      <c r="AV331">
        <f t="shared" si="56"/>
        <v>18.255600000000001</v>
      </c>
      <c r="AW331">
        <f t="shared" si="57"/>
        <v>3.3510527028000001</v>
      </c>
      <c r="AX331" s="9"/>
      <c r="AY331" s="22">
        <v>1.5164200000000001</v>
      </c>
      <c r="AZ331" s="22">
        <v>515.59199999999998</v>
      </c>
      <c r="BA331" s="22">
        <v>-1.7373699999999999E-2</v>
      </c>
      <c r="BB331" s="22">
        <v>321</v>
      </c>
      <c r="BC331" s="22">
        <v>1.5155000000000001</v>
      </c>
      <c r="BD331">
        <f t="shared" si="58"/>
        <v>17.373699999999999</v>
      </c>
      <c r="BE331">
        <f t="shared" si="59"/>
        <v>26.345826154000001</v>
      </c>
    </row>
    <row r="332" spans="6:57">
      <c r="F332" s="9"/>
      <c r="G332" s="22">
        <v>0.17852799999999999</v>
      </c>
      <c r="H332" s="22">
        <v>80.782700000000006</v>
      </c>
      <c r="I332" s="22">
        <v>-1.5777599999999999E-2</v>
      </c>
      <c r="J332" s="22">
        <v>322</v>
      </c>
      <c r="K332" s="22">
        <v>0.17813100000000001</v>
      </c>
      <c r="L332">
        <f t="shared" ref="L332:L388" si="60">-I332/$F$2*1000</f>
        <v>15.7776</v>
      </c>
      <c r="M332">
        <f t="shared" ref="M332:M388" si="61">L332*G332</f>
        <v>2.8167433728</v>
      </c>
      <c r="N332" s="9"/>
      <c r="O332" s="22">
        <v>1.52145</v>
      </c>
      <c r="P332" s="22">
        <v>196.125</v>
      </c>
      <c r="Q332" s="22">
        <v>-1.38733E-2</v>
      </c>
      <c r="R332" s="22">
        <v>322</v>
      </c>
      <c r="S332" s="22">
        <v>1.5209999999999999</v>
      </c>
      <c r="T332">
        <f t="shared" ref="T332:T388" si="62">-Q332/$F$2*1000</f>
        <v>13.8733</v>
      </c>
      <c r="U332">
        <f t="shared" ref="U332:U388" si="63">T332*O332</f>
        <v>21.107532285000001</v>
      </c>
      <c r="X332" s="9"/>
      <c r="Y332" s="22">
        <v>0.17852799999999999</v>
      </c>
      <c r="Z332" s="22">
        <v>294.34100000000001</v>
      </c>
      <c r="AA332" s="22">
        <v>-1.7755099999999999E-2</v>
      </c>
      <c r="AB332" s="22">
        <v>322</v>
      </c>
      <c r="AC332" s="22">
        <v>0.17804</v>
      </c>
      <c r="AD332">
        <f t="shared" ref="AD332:AD388" si="64">-AA332/$F$2*1000</f>
        <v>17.755099999999999</v>
      </c>
      <c r="AE332">
        <f t="shared" ref="AE332:AE388" si="65">AD332*Y332</f>
        <v>3.1697824927999996</v>
      </c>
      <c r="AF332" s="9"/>
      <c r="AG332" s="22">
        <v>1.52145</v>
      </c>
      <c r="AH332" s="22">
        <v>370.077</v>
      </c>
      <c r="AI332" s="22">
        <v>-1.7010500000000001E-2</v>
      </c>
      <c r="AJ332" s="22">
        <v>322</v>
      </c>
      <c r="AK332" s="22">
        <v>1.5206900000000001</v>
      </c>
      <c r="AL332">
        <f t="shared" ref="AL332:AL388" si="66">-AI332/$F$2*1000</f>
        <v>17.0105</v>
      </c>
      <c r="AM332">
        <f t="shared" ref="AM332:AM388" si="67">AL332*AG332</f>
        <v>25.880625224999999</v>
      </c>
      <c r="AP332" s="9"/>
      <c r="AQ332" s="22">
        <v>0.17852799999999999</v>
      </c>
      <c r="AR332" s="22">
        <v>442.28</v>
      </c>
      <c r="AS332" s="22">
        <v>-1.8258699999999999E-2</v>
      </c>
      <c r="AT332" s="22">
        <v>322</v>
      </c>
      <c r="AU332" s="22">
        <v>0.17788699999999999</v>
      </c>
      <c r="AV332">
        <f t="shared" ref="AV332:AV388" si="68">-AS332/$F$2*1000</f>
        <v>18.258699999999997</v>
      </c>
      <c r="AW332">
        <f t="shared" ref="AW332:AW388" si="69">AV332*AQ332</f>
        <v>3.2596891935999994</v>
      </c>
      <c r="AX332" s="9"/>
      <c r="AY332" s="22">
        <v>1.52145</v>
      </c>
      <c r="AZ332" s="22">
        <v>515.69299999999998</v>
      </c>
      <c r="BA332" s="22">
        <v>-1.7361499999999998E-2</v>
      </c>
      <c r="BB332" s="22">
        <v>322</v>
      </c>
      <c r="BC332" s="22">
        <v>1.5206900000000001</v>
      </c>
      <c r="BD332">
        <f t="shared" ref="BD332:BD388" si="70">-BA332/$F$2*1000</f>
        <v>17.361499999999999</v>
      </c>
      <c r="BE332">
        <f t="shared" ref="BE332:BE388" si="71">BD332*AY332</f>
        <v>26.414654174999999</v>
      </c>
    </row>
    <row r="333" spans="6:57">
      <c r="F333" s="9"/>
      <c r="G333" s="22">
        <v>0.17349200000000001</v>
      </c>
      <c r="H333" s="22">
        <v>80.883399999999995</v>
      </c>
      <c r="I333" s="22">
        <v>-1.5777599999999999E-2</v>
      </c>
      <c r="J333" s="22">
        <v>323</v>
      </c>
      <c r="K333" s="22">
        <v>0.173065</v>
      </c>
      <c r="L333">
        <f t="shared" si="60"/>
        <v>15.7776</v>
      </c>
      <c r="M333">
        <f t="shared" si="61"/>
        <v>2.7372873792000001</v>
      </c>
      <c r="N333" s="9"/>
      <c r="O333" s="22">
        <v>1.5264899999999999</v>
      </c>
      <c r="P333" s="22">
        <v>196.22499999999999</v>
      </c>
      <c r="Q333" s="22">
        <v>-1.3864100000000001E-2</v>
      </c>
      <c r="R333" s="22">
        <v>323</v>
      </c>
      <c r="S333" s="22">
        <v>1.5252699999999999</v>
      </c>
      <c r="T333">
        <f t="shared" si="62"/>
        <v>13.864100000000001</v>
      </c>
      <c r="U333">
        <f t="shared" si="63"/>
        <v>21.163410009</v>
      </c>
      <c r="X333" s="9"/>
      <c r="Y333" s="22">
        <v>0.17349200000000001</v>
      </c>
      <c r="Z333" s="22">
        <v>294.44200000000001</v>
      </c>
      <c r="AA333" s="22">
        <v>-1.7746000000000001E-2</v>
      </c>
      <c r="AB333" s="22">
        <v>323</v>
      </c>
      <c r="AC333" s="22">
        <v>0.17294300000000001</v>
      </c>
      <c r="AD333">
        <f t="shared" si="64"/>
        <v>17.746000000000002</v>
      </c>
      <c r="AE333">
        <f t="shared" si="65"/>
        <v>3.0787890320000004</v>
      </c>
      <c r="AF333" s="9"/>
      <c r="AG333" s="22">
        <v>1.5264899999999999</v>
      </c>
      <c r="AH333" s="22">
        <v>370.17700000000002</v>
      </c>
      <c r="AI333" s="22">
        <v>-1.6998300000000001E-2</v>
      </c>
      <c r="AJ333" s="22">
        <v>323</v>
      </c>
      <c r="AK333" s="22">
        <v>1.5261800000000001</v>
      </c>
      <c r="AL333">
        <f t="shared" si="66"/>
        <v>16.9983</v>
      </c>
      <c r="AM333">
        <f t="shared" si="67"/>
        <v>25.947734966999999</v>
      </c>
      <c r="AP333" s="9"/>
      <c r="AQ333" s="22">
        <v>0.17349200000000001</v>
      </c>
      <c r="AR333" s="22">
        <v>442.38</v>
      </c>
      <c r="AS333" s="22">
        <v>-1.8249499999999998E-2</v>
      </c>
      <c r="AT333" s="22">
        <v>323</v>
      </c>
      <c r="AU333" s="22">
        <v>0.17288200000000001</v>
      </c>
      <c r="AV333">
        <f t="shared" si="68"/>
        <v>18.249499999999998</v>
      </c>
      <c r="AW333">
        <f t="shared" si="69"/>
        <v>3.1661422539999999</v>
      </c>
      <c r="AX333" s="9"/>
      <c r="AY333" s="22">
        <v>1.5264899999999999</v>
      </c>
      <c r="AZ333" s="22">
        <v>515.79399999999998</v>
      </c>
      <c r="BA333" s="22">
        <v>-1.7333999999999999E-2</v>
      </c>
      <c r="BB333" s="22">
        <v>323</v>
      </c>
      <c r="BC333" s="22">
        <v>1.5258799999999999</v>
      </c>
      <c r="BD333">
        <f t="shared" si="70"/>
        <v>17.334</v>
      </c>
      <c r="BE333">
        <f t="shared" si="71"/>
        <v>26.460177659999999</v>
      </c>
    </row>
    <row r="334" spans="6:57">
      <c r="F334" s="9"/>
      <c r="G334" s="22">
        <v>0.168457</v>
      </c>
      <c r="H334" s="22">
        <v>80.984099999999998</v>
      </c>
      <c r="I334" s="22">
        <v>-1.5777599999999999E-2</v>
      </c>
      <c r="J334" s="22">
        <v>324</v>
      </c>
      <c r="K334" s="22">
        <v>0.16809099999999999</v>
      </c>
      <c r="L334">
        <f t="shared" si="60"/>
        <v>15.7776</v>
      </c>
      <c r="M334">
        <f t="shared" si="61"/>
        <v>2.6578471632</v>
      </c>
      <c r="N334" s="9"/>
      <c r="O334" s="22">
        <v>1.53152</v>
      </c>
      <c r="P334" s="22">
        <v>196.32599999999999</v>
      </c>
      <c r="Q334" s="22">
        <v>-1.3876299999999999E-2</v>
      </c>
      <c r="R334" s="22">
        <v>324</v>
      </c>
      <c r="S334" s="22">
        <v>1.5307599999999999</v>
      </c>
      <c r="T334">
        <f t="shared" si="62"/>
        <v>13.876299999999999</v>
      </c>
      <c r="U334">
        <f t="shared" si="63"/>
        <v>21.251830975999997</v>
      </c>
      <c r="X334" s="9"/>
      <c r="Y334" s="22">
        <v>0.168457</v>
      </c>
      <c r="Z334" s="22">
        <v>294.54300000000001</v>
      </c>
      <c r="AA334" s="22">
        <v>-1.7761200000000001E-2</v>
      </c>
      <c r="AB334" s="22">
        <v>324</v>
      </c>
      <c r="AC334" s="22">
        <v>0.16781599999999999</v>
      </c>
      <c r="AD334">
        <f t="shared" si="64"/>
        <v>17.761200000000002</v>
      </c>
      <c r="AE334">
        <f t="shared" si="65"/>
        <v>2.9919984684000003</v>
      </c>
      <c r="AF334" s="9"/>
      <c r="AG334" s="22">
        <v>1.53152</v>
      </c>
      <c r="AH334" s="22">
        <v>370.27800000000002</v>
      </c>
      <c r="AI334" s="22">
        <v>-1.69617E-2</v>
      </c>
      <c r="AJ334" s="22">
        <v>324</v>
      </c>
      <c r="AK334" s="22">
        <v>1.5304599999999999</v>
      </c>
      <c r="AL334">
        <f t="shared" si="66"/>
        <v>16.9617</v>
      </c>
      <c r="AM334">
        <f t="shared" si="67"/>
        <v>25.977182784</v>
      </c>
      <c r="AP334" s="9"/>
      <c r="AQ334" s="22">
        <v>0.168457</v>
      </c>
      <c r="AR334" s="22">
        <v>442.48099999999999</v>
      </c>
      <c r="AS334" s="22">
        <v>-1.8258699999999999E-2</v>
      </c>
      <c r="AT334" s="22">
        <v>324</v>
      </c>
      <c r="AU334" s="22">
        <v>0.167938</v>
      </c>
      <c r="AV334">
        <f t="shared" si="68"/>
        <v>18.258699999999997</v>
      </c>
      <c r="AW334">
        <f t="shared" si="69"/>
        <v>3.0758058258999994</v>
      </c>
      <c r="AX334" s="9"/>
      <c r="AY334" s="22">
        <v>1.53152</v>
      </c>
      <c r="AZ334" s="22">
        <v>515.89400000000001</v>
      </c>
      <c r="BA334" s="22">
        <v>-1.73004E-2</v>
      </c>
      <c r="BB334" s="22">
        <v>324</v>
      </c>
      <c r="BC334" s="22">
        <v>1.5313699999999999</v>
      </c>
      <c r="BD334">
        <f t="shared" si="70"/>
        <v>17.3004</v>
      </c>
      <c r="BE334">
        <f t="shared" si="71"/>
        <v>26.495908608000001</v>
      </c>
    </row>
    <row r="335" spans="6:57">
      <c r="F335" s="9"/>
      <c r="G335" s="22">
        <v>0.16342200000000001</v>
      </c>
      <c r="H335" s="22">
        <v>81.084900000000005</v>
      </c>
      <c r="I335" s="22">
        <v>-1.5786700000000001E-2</v>
      </c>
      <c r="J335" s="22">
        <v>325</v>
      </c>
      <c r="K335" s="22">
        <v>0.162994</v>
      </c>
      <c r="L335">
        <f t="shared" si="60"/>
        <v>15.786700000000002</v>
      </c>
      <c r="M335">
        <f t="shared" si="61"/>
        <v>2.5798940874000005</v>
      </c>
      <c r="N335" s="9"/>
      <c r="O335" s="22">
        <v>1.5365599999999999</v>
      </c>
      <c r="P335" s="22">
        <v>196.42699999999999</v>
      </c>
      <c r="Q335" s="22">
        <v>-1.3861099999999999E-2</v>
      </c>
      <c r="R335" s="22">
        <v>325</v>
      </c>
      <c r="S335" s="22">
        <v>1.5359499999999999</v>
      </c>
      <c r="T335">
        <f t="shared" si="62"/>
        <v>13.861099999999999</v>
      </c>
      <c r="U335">
        <f t="shared" si="63"/>
        <v>21.298411815999998</v>
      </c>
      <c r="X335" s="9"/>
      <c r="Y335" s="22">
        <v>0.16342200000000001</v>
      </c>
      <c r="Z335" s="22">
        <v>294.64299999999997</v>
      </c>
      <c r="AA335" s="22">
        <v>-1.77673E-2</v>
      </c>
      <c r="AB335" s="22">
        <v>325</v>
      </c>
      <c r="AC335" s="22">
        <v>0.16284199999999999</v>
      </c>
      <c r="AD335">
        <f t="shared" si="64"/>
        <v>17.767299999999999</v>
      </c>
      <c r="AE335">
        <f t="shared" si="65"/>
        <v>2.9035677006</v>
      </c>
      <c r="AF335" s="9"/>
      <c r="AG335" s="22">
        <v>1.5365599999999999</v>
      </c>
      <c r="AH335" s="22">
        <v>370.37900000000002</v>
      </c>
      <c r="AI335" s="22">
        <v>-1.69342E-2</v>
      </c>
      <c r="AJ335" s="22">
        <v>325</v>
      </c>
      <c r="AK335" s="22">
        <v>1.5356399999999999</v>
      </c>
      <c r="AL335">
        <f t="shared" si="66"/>
        <v>16.934200000000001</v>
      </c>
      <c r="AM335">
        <f t="shared" si="67"/>
        <v>26.020414352</v>
      </c>
      <c r="AP335" s="9"/>
      <c r="AQ335" s="22">
        <v>0.16342200000000001</v>
      </c>
      <c r="AR335" s="22">
        <v>442.58199999999999</v>
      </c>
      <c r="AS335" s="22">
        <v>-1.82556E-2</v>
      </c>
      <c r="AT335" s="22">
        <v>325</v>
      </c>
      <c r="AU335" s="22">
        <v>0.16259799999999999</v>
      </c>
      <c r="AV335">
        <f t="shared" si="68"/>
        <v>18.255600000000001</v>
      </c>
      <c r="AW335">
        <f t="shared" si="69"/>
        <v>2.9833666632000004</v>
      </c>
      <c r="AX335" s="9"/>
      <c r="AY335" s="22">
        <v>1.5365599999999999</v>
      </c>
      <c r="AZ335" s="22">
        <v>515.995</v>
      </c>
      <c r="BA335" s="22">
        <v>-1.7269900000000001E-2</v>
      </c>
      <c r="BB335" s="22">
        <v>325</v>
      </c>
      <c r="BC335" s="22">
        <v>1.5359499999999999</v>
      </c>
      <c r="BD335">
        <f t="shared" si="70"/>
        <v>17.2699</v>
      </c>
      <c r="BE335">
        <f t="shared" si="71"/>
        <v>26.536237543999999</v>
      </c>
    </row>
    <row r="336" spans="6:57">
      <c r="F336" s="9"/>
      <c r="G336" s="22">
        <v>0.158386</v>
      </c>
      <c r="H336" s="22">
        <v>81.185599999999994</v>
      </c>
      <c r="I336" s="22">
        <v>-1.5817299999999999E-2</v>
      </c>
      <c r="J336" s="22">
        <v>326</v>
      </c>
      <c r="K336" s="22">
        <v>0.15792800000000001</v>
      </c>
      <c r="L336">
        <f t="shared" si="60"/>
        <v>15.817299999999999</v>
      </c>
      <c r="M336">
        <f t="shared" si="61"/>
        <v>2.5052388778000001</v>
      </c>
      <c r="N336" s="9"/>
      <c r="O336" s="22">
        <v>1.5416000000000001</v>
      </c>
      <c r="P336" s="22">
        <v>196.52799999999999</v>
      </c>
      <c r="Q336" s="22">
        <v>-1.38458E-2</v>
      </c>
      <c r="R336" s="22">
        <v>326</v>
      </c>
      <c r="S336" s="22">
        <v>1.54053</v>
      </c>
      <c r="T336">
        <f t="shared" si="62"/>
        <v>13.845800000000001</v>
      </c>
      <c r="U336">
        <f t="shared" si="63"/>
        <v>21.34468528</v>
      </c>
      <c r="X336" s="9"/>
      <c r="Y336" s="22">
        <v>0.158386</v>
      </c>
      <c r="Z336" s="22">
        <v>294.74400000000003</v>
      </c>
      <c r="AA336" s="22">
        <v>-1.77673E-2</v>
      </c>
      <c r="AB336" s="22">
        <v>326</v>
      </c>
      <c r="AC336" s="22">
        <v>0.15783700000000001</v>
      </c>
      <c r="AD336">
        <f t="shared" si="64"/>
        <v>17.767299999999999</v>
      </c>
      <c r="AE336">
        <f t="shared" si="65"/>
        <v>2.8140915777999997</v>
      </c>
      <c r="AF336" s="9"/>
      <c r="AG336" s="22">
        <v>1.5416000000000001</v>
      </c>
      <c r="AH336" s="22">
        <v>370.47899999999998</v>
      </c>
      <c r="AI336" s="22">
        <v>-1.69067E-2</v>
      </c>
      <c r="AJ336" s="22">
        <v>326</v>
      </c>
      <c r="AK336" s="22">
        <v>1.54053</v>
      </c>
      <c r="AL336">
        <f t="shared" si="66"/>
        <v>16.906700000000001</v>
      </c>
      <c r="AM336">
        <f t="shared" si="67"/>
        <v>26.063368720000003</v>
      </c>
      <c r="AP336" s="9"/>
      <c r="AQ336" s="22">
        <v>0.158386</v>
      </c>
      <c r="AR336" s="22">
        <v>442.68299999999999</v>
      </c>
      <c r="AS336" s="22">
        <v>-1.8261699999999999E-2</v>
      </c>
      <c r="AT336" s="22">
        <v>326</v>
      </c>
      <c r="AU336" s="22">
        <v>0.158447</v>
      </c>
      <c r="AV336">
        <f t="shared" si="68"/>
        <v>18.261699999999998</v>
      </c>
      <c r="AW336">
        <f t="shared" si="69"/>
        <v>2.8923976161999998</v>
      </c>
      <c r="AX336" s="9"/>
      <c r="AY336" s="22">
        <v>1.5416000000000001</v>
      </c>
      <c r="AZ336" s="22">
        <v>516.096</v>
      </c>
      <c r="BA336" s="22">
        <v>-1.7242400000000001E-2</v>
      </c>
      <c r="BB336" s="22">
        <v>326</v>
      </c>
      <c r="BC336" s="22">
        <v>1.5402199999999999</v>
      </c>
      <c r="BD336">
        <f t="shared" si="70"/>
        <v>17.2424</v>
      </c>
      <c r="BE336">
        <f t="shared" si="71"/>
        <v>26.580883840000002</v>
      </c>
    </row>
    <row r="337" spans="6:57">
      <c r="F337" s="9"/>
      <c r="G337" s="22">
        <v>0.15335099999999999</v>
      </c>
      <c r="H337" s="22">
        <v>81.286299999999997</v>
      </c>
      <c r="I337" s="22">
        <v>-1.5826400000000001E-2</v>
      </c>
      <c r="J337" s="22">
        <v>327</v>
      </c>
      <c r="K337" s="22">
        <v>0.15304599999999999</v>
      </c>
      <c r="L337">
        <f t="shared" si="60"/>
        <v>15.826400000000001</v>
      </c>
      <c r="M337">
        <f t="shared" si="61"/>
        <v>2.4269942663999999</v>
      </c>
      <c r="N337" s="9"/>
      <c r="O337" s="22">
        <v>1.5466299999999999</v>
      </c>
      <c r="P337" s="22">
        <v>196.62799999999999</v>
      </c>
      <c r="Q337" s="22">
        <v>-1.3821399999999999E-2</v>
      </c>
      <c r="R337" s="22">
        <v>327</v>
      </c>
      <c r="S337" s="22">
        <v>1.5460199999999999</v>
      </c>
      <c r="T337">
        <f t="shared" si="62"/>
        <v>13.821399999999999</v>
      </c>
      <c r="U337">
        <f t="shared" si="63"/>
        <v>21.376591881999996</v>
      </c>
      <c r="X337" s="9"/>
      <c r="Y337" s="22">
        <v>0.15335099999999999</v>
      </c>
      <c r="Z337" s="22">
        <v>294.84500000000003</v>
      </c>
      <c r="AA337" s="22">
        <v>-1.77673E-2</v>
      </c>
      <c r="AB337" s="22">
        <v>327</v>
      </c>
      <c r="AC337" s="22">
        <v>0.152832</v>
      </c>
      <c r="AD337">
        <f t="shared" si="64"/>
        <v>17.767299999999999</v>
      </c>
      <c r="AE337">
        <f t="shared" si="65"/>
        <v>2.7246332222999996</v>
      </c>
      <c r="AF337" s="9"/>
      <c r="AG337" s="22">
        <v>1.5466299999999999</v>
      </c>
      <c r="AH337" s="22">
        <v>370.58</v>
      </c>
      <c r="AI337" s="22">
        <v>-1.68793E-2</v>
      </c>
      <c r="AJ337" s="22">
        <v>327</v>
      </c>
      <c r="AK337" s="22">
        <v>1.54572</v>
      </c>
      <c r="AL337">
        <f t="shared" si="66"/>
        <v>16.879300000000001</v>
      </c>
      <c r="AM337">
        <f t="shared" si="67"/>
        <v>26.106031759</v>
      </c>
      <c r="AP337" s="9"/>
      <c r="AQ337" s="22">
        <v>0.15335099999999999</v>
      </c>
      <c r="AR337" s="22">
        <v>442.78300000000002</v>
      </c>
      <c r="AS337" s="22">
        <v>-1.82556E-2</v>
      </c>
      <c r="AT337" s="22">
        <v>327</v>
      </c>
      <c r="AU337" s="22">
        <v>0.15271000000000001</v>
      </c>
      <c r="AV337">
        <f t="shared" si="68"/>
        <v>18.255600000000001</v>
      </c>
      <c r="AW337">
        <f t="shared" si="69"/>
        <v>2.7995145155999999</v>
      </c>
      <c r="AX337" s="9"/>
      <c r="AY337" s="22">
        <v>1.5466299999999999</v>
      </c>
      <c r="AZ337" s="22">
        <v>516.197</v>
      </c>
      <c r="BA337" s="22">
        <v>-1.7215000000000001E-2</v>
      </c>
      <c r="BB337" s="22">
        <v>327</v>
      </c>
      <c r="BC337" s="22">
        <v>1.5460199999999999</v>
      </c>
      <c r="BD337">
        <f t="shared" si="70"/>
        <v>17.215</v>
      </c>
      <c r="BE337">
        <f t="shared" si="71"/>
        <v>26.625235449999998</v>
      </c>
    </row>
    <row r="338" spans="6:57">
      <c r="F338" s="9"/>
      <c r="G338" s="22">
        <v>0.148315</v>
      </c>
      <c r="H338" s="22">
        <v>81.387</v>
      </c>
      <c r="I338" s="22">
        <v>-1.5808099999999999E-2</v>
      </c>
      <c r="J338" s="22">
        <v>328</v>
      </c>
      <c r="K338" s="22">
        <v>0.14804100000000001</v>
      </c>
      <c r="L338">
        <f t="shared" si="60"/>
        <v>15.808099999999998</v>
      </c>
      <c r="M338">
        <f t="shared" si="61"/>
        <v>2.3445783514999996</v>
      </c>
      <c r="N338" s="9"/>
      <c r="O338" s="22">
        <v>1.5516700000000001</v>
      </c>
      <c r="P338" s="22">
        <v>196.72900000000001</v>
      </c>
      <c r="Q338" s="22">
        <v>-1.38184E-2</v>
      </c>
      <c r="R338" s="22">
        <v>328</v>
      </c>
      <c r="S338" s="22">
        <v>1.55121</v>
      </c>
      <c r="T338">
        <f t="shared" si="62"/>
        <v>13.8184</v>
      </c>
      <c r="U338">
        <f t="shared" si="63"/>
        <v>21.441596728000004</v>
      </c>
      <c r="X338" s="9"/>
      <c r="Y338" s="22">
        <v>0.148315</v>
      </c>
      <c r="Z338" s="22">
        <v>294.94600000000003</v>
      </c>
      <c r="AA338" s="22">
        <v>-1.7770399999999999E-2</v>
      </c>
      <c r="AB338" s="22">
        <v>328</v>
      </c>
      <c r="AC338" s="22">
        <v>0.14746100000000001</v>
      </c>
      <c r="AD338">
        <f t="shared" si="64"/>
        <v>17.770399999999999</v>
      </c>
      <c r="AE338">
        <f t="shared" si="65"/>
        <v>2.6356168759999998</v>
      </c>
      <c r="AF338" s="9"/>
      <c r="AG338" s="22">
        <v>1.5516700000000001</v>
      </c>
      <c r="AH338" s="22">
        <v>370.68099999999998</v>
      </c>
      <c r="AI338" s="22">
        <v>-1.6857899999999999E-2</v>
      </c>
      <c r="AJ338" s="22">
        <v>328</v>
      </c>
      <c r="AK338" s="22">
        <v>1.5508999999999999</v>
      </c>
      <c r="AL338">
        <f t="shared" si="66"/>
        <v>16.857899999999997</v>
      </c>
      <c r="AM338">
        <f t="shared" si="67"/>
        <v>26.157897692999999</v>
      </c>
      <c r="AP338" s="9"/>
      <c r="AQ338" s="22">
        <v>0.148315</v>
      </c>
      <c r="AR338" s="22">
        <v>442.88400000000001</v>
      </c>
      <c r="AS338" s="22">
        <v>-1.8261699999999999E-2</v>
      </c>
      <c r="AT338" s="22">
        <v>328</v>
      </c>
      <c r="AU338" s="22">
        <v>0.14785799999999999</v>
      </c>
      <c r="AV338">
        <f t="shared" si="68"/>
        <v>18.261699999999998</v>
      </c>
      <c r="AW338">
        <f t="shared" si="69"/>
        <v>2.7084840354999997</v>
      </c>
      <c r="AX338" s="9"/>
      <c r="AY338" s="22">
        <v>1.5516700000000001</v>
      </c>
      <c r="AZ338" s="22">
        <v>516.29700000000003</v>
      </c>
      <c r="BA338" s="22">
        <v>-1.7178300000000001E-2</v>
      </c>
      <c r="BB338" s="22">
        <v>328</v>
      </c>
      <c r="BC338" s="22">
        <v>1.5508999999999999</v>
      </c>
      <c r="BD338">
        <f t="shared" si="70"/>
        <v>17.1783</v>
      </c>
      <c r="BE338">
        <f t="shared" si="71"/>
        <v>26.655052761</v>
      </c>
    </row>
    <row r="339" spans="6:57">
      <c r="F339" s="9"/>
      <c r="G339" s="22">
        <v>0.14327999999999999</v>
      </c>
      <c r="H339" s="22">
        <v>81.487700000000004</v>
      </c>
      <c r="I339" s="22">
        <v>-1.58447E-2</v>
      </c>
      <c r="J339" s="22">
        <v>329</v>
      </c>
      <c r="K339" s="22">
        <v>0.14291400000000001</v>
      </c>
      <c r="L339">
        <f t="shared" si="60"/>
        <v>15.8447</v>
      </c>
      <c r="M339">
        <f t="shared" si="61"/>
        <v>2.2702286159999998</v>
      </c>
      <c r="N339" s="9"/>
      <c r="O339" s="22">
        <v>1.5567</v>
      </c>
      <c r="P339" s="22">
        <v>196.83</v>
      </c>
      <c r="Q339" s="22">
        <v>-1.38336E-2</v>
      </c>
      <c r="R339" s="22">
        <v>329</v>
      </c>
      <c r="S339" s="22">
        <v>1.55579</v>
      </c>
      <c r="T339">
        <f t="shared" si="62"/>
        <v>13.833600000000001</v>
      </c>
      <c r="U339">
        <f t="shared" si="63"/>
        <v>21.534765119999999</v>
      </c>
      <c r="X339" s="9"/>
      <c r="Y339" s="22">
        <v>0.14327999999999999</v>
      </c>
      <c r="Z339" s="22">
        <v>295.04599999999999</v>
      </c>
      <c r="AA339" s="22">
        <v>-1.77795E-2</v>
      </c>
      <c r="AB339" s="22">
        <v>329</v>
      </c>
      <c r="AC339" s="22">
        <v>0.14355499999999999</v>
      </c>
      <c r="AD339">
        <f t="shared" si="64"/>
        <v>17.779499999999999</v>
      </c>
      <c r="AE339">
        <f t="shared" si="65"/>
        <v>2.5474467599999997</v>
      </c>
      <c r="AF339" s="9"/>
      <c r="AG339" s="22">
        <v>1.5567</v>
      </c>
      <c r="AH339" s="22">
        <v>370.78199999999998</v>
      </c>
      <c r="AI339" s="22">
        <v>-1.68121E-2</v>
      </c>
      <c r="AJ339" s="22">
        <v>329</v>
      </c>
      <c r="AK339" s="22">
        <v>1.55609</v>
      </c>
      <c r="AL339">
        <f t="shared" si="66"/>
        <v>16.812100000000001</v>
      </c>
      <c r="AM339">
        <f t="shared" si="67"/>
        <v>26.17139607</v>
      </c>
      <c r="AP339" s="9"/>
      <c r="AQ339" s="22">
        <v>0.14327999999999999</v>
      </c>
      <c r="AR339" s="22">
        <v>442.98500000000001</v>
      </c>
      <c r="AS339" s="22">
        <v>-1.8261699999999999E-2</v>
      </c>
      <c r="AT339" s="22">
        <v>329</v>
      </c>
      <c r="AU339" s="22">
        <v>0.142517</v>
      </c>
      <c r="AV339">
        <f t="shared" si="68"/>
        <v>18.261699999999998</v>
      </c>
      <c r="AW339">
        <f t="shared" si="69"/>
        <v>2.6165363759999996</v>
      </c>
      <c r="AX339" s="9"/>
      <c r="AY339" s="22">
        <v>1.5567</v>
      </c>
      <c r="AZ339" s="22">
        <v>516.39800000000002</v>
      </c>
      <c r="BA339" s="22">
        <v>-1.71387E-2</v>
      </c>
      <c r="BB339" s="22">
        <v>329</v>
      </c>
      <c r="BC339" s="22">
        <v>1.55579</v>
      </c>
      <c r="BD339">
        <f t="shared" si="70"/>
        <v>17.1387</v>
      </c>
      <c r="BE339">
        <f t="shared" si="71"/>
        <v>26.679814289999999</v>
      </c>
    </row>
    <row r="340" spans="6:57">
      <c r="F340" s="9"/>
      <c r="G340" s="22">
        <v>0.13824500000000001</v>
      </c>
      <c r="H340" s="22">
        <v>81.588399999999993</v>
      </c>
      <c r="I340" s="22">
        <v>-1.5847799999999999E-2</v>
      </c>
      <c r="J340" s="22">
        <v>330</v>
      </c>
      <c r="K340" s="22">
        <v>0.137878</v>
      </c>
      <c r="L340">
        <f t="shared" si="60"/>
        <v>15.847799999999999</v>
      </c>
      <c r="M340">
        <f t="shared" si="61"/>
        <v>2.1908791110000001</v>
      </c>
      <c r="N340" s="9"/>
      <c r="O340" s="22">
        <v>1.5617399999999999</v>
      </c>
      <c r="P340" s="22">
        <v>196.93</v>
      </c>
      <c r="Q340" s="22">
        <v>-1.38245E-2</v>
      </c>
      <c r="R340" s="22">
        <v>330</v>
      </c>
      <c r="S340" s="22">
        <v>1.56128</v>
      </c>
      <c r="T340">
        <f t="shared" si="62"/>
        <v>13.8245</v>
      </c>
      <c r="U340">
        <f t="shared" si="63"/>
        <v>21.59027463</v>
      </c>
      <c r="X340" s="9"/>
      <c r="Y340" s="22">
        <v>0.13824500000000001</v>
      </c>
      <c r="Z340" s="22">
        <v>295.14699999999999</v>
      </c>
      <c r="AA340" s="22">
        <v>-1.7776500000000001E-2</v>
      </c>
      <c r="AB340" s="22">
        <v>330</v>
      </c>
      <c r="AC340" s="22">
        <v>0.137909</v>
      </c>
      <c r="AD340">
        <f t="shared" si="64"/>
        <v>17.776500000000002</v>
      </c>
      <c r="AE340">
        <f t="shared" si="65"/>
        <v>2.4575122425000004</v>
      </c>
      <c r="AF340" s="9"/>
      <c r="AG340" s="22">
        <v>1.5617399999999999</v>
      </c>
      <c r="AH340" s="22">
        <v>370.88200000000001</v>
      </c>
      <c r="AI340" s="22">
        <v>-1.6775499999999999E-2</v>
      </c>
      <c r="AJ340" s="22">
        <v>330</v>
      </c>
      <c r="AK340" s="22">
        <v>1.56067</v>
      </c>
      <c r="AL340">
        <f t="shared" si="66"/>
        <v>16.775499999999997</v>
      </c>
      <c r="AM340">
        <f t="shared" si="67"/>
        <v>26.198969369999993</v>
      </c>
      <c r="AP340" s="9"/>
      <c r="AQ340" s="22">
        <v>0.13824500000000001</v>
      </c>
      <c r="AR340" s="22">
        <v>443.08499999999998</v>
      </c>
      <c r="AS340" s="22">
        <v>-1.8261699999999999E-2</v>
      </c>
      <c r="AT340" s="22">
        <v>330</v>
      </c>
      <c r="AU340" s="22">
        <v>0.137878</v>
      </c>
      <c r="AV340">
        <f t="shared" si="68"/>
        <v>18.261699999999998</v>
      </c>
      <c r="AW340">
        <f t="shared" si="69"/>
        <v>2.5245887164999998</v>
      </c>
      <c r="AX340" s="9"/>
      <c r="AY340" s="22">
        <v>1.5617399999999999</v>
      </c>
      <c r="AZ340" s="22">
        <v>516.49900000000002</v>
      </c>
      <c r="BA340" s="22">
        <v>-1.7092900000000001E-2</v>
      </c>
      <c r="BB340" s="22">
        <v>330</v>
      </c>
      <c r="BC340" s="22">
        <v>1.56128</v>
      </c>
      <c r="BD340">
        <f t="shared" si="70"/>
        <v>17.0929</v>
      </c>
      <c r="BE340">
        <f t="shared" si="71"/>
        <v>26.694665645999997</v>
      </c>
    </row>
    <row r="341" spans="6:57">
      <c r="F341" s="9"/>
      <c r="G341" s="22">
        <v>0.13320899999999999</v>
      </c>
      <c r="H341" s="22">
        <v>81.689099999999996</v>
      </c>
      <c r="I341" s="22">
        <v>-1.5869100000000001E-2</v>
      </c>
      <c r="J341" s="22">
        <v>331</v>
      </c>
      <c r="K341" s="22">
        <v>0.13290399999999999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197.03100000000001</v>
      </c>
      <c r="Q341" s="22">
        <v>-1.3821399999999999E-2</v>
      </c>
      <c r="R341" s="22">
        <v>331</v>
      </c>
      <c r="S341" s="22">
        <v>1.56586</v>
      </c>
      <c r="T341">
        <f t="shared" si="62"/>
        <v>13.821399999999999</v>
      </c>
      <c r="U341">
        <f t="shared" si="63"/>
        <v>21.654954877999998</v>
      </c>
      <c r="X341" s="9"/>
      <c r="Y341" s="22">
        <v>0.13320899999999999</v>
      </c>
      <c r="Z341" s="22">
        <v>295.24799999999999</v>
      </c>
      <c r="AA341" s="22">
        <v>-1.7776500000000001E-2</v>
      </c>
      <c r="AB341" s="22">
        <v>331</v>
      </c>
      <c r="AC341" s="22">
        <v>0.13275100000000001</v>
      </c>
      <c r="AD341">
        <f t="shared" si="64"/>
        <v>17.776500000000002</v>
      </c>
      <c r="AE341">
        <f t="shared" si="65"/>
        <v>2.3679897885000001</v>
      </c>
      <c r="AF341" s="9"/>
      <c r="AG341" s="22">
        <v>1.56677</v>
      </c>
      <c r="AH341" s="22">
        <v>370.983</v>
      </c>
      <c r="AI341" s="22">
        <v>-1.6735799999999999E-2</v>
      </c>
      <c r="AJ341" s="22">
        <v>331</v>
      </c>
      <c r="AK341" s="22">
        <v>1.56647</v>
      </c>
      <c r="AL341">
        <f t="shared" si="66"/>
        <v>16.735799999999998</v>
      </c>
      <c r="AM341">
        <f t="shared" si="67"/>
        <v>26.221149365999995</v>
      </c>
      <c r="AP341" s="9"/>
      <c r="AQ341" s="22">
        <v>0.13320899999999999</v>
      </c>
      <c r="AR341" s="22">
        <v>443.18599999999998</v>
      </c>
      <c r="AS341" s="22">
        <v>-1.8261699999999999E-2</v>
      </c>
      <c r="AT341" s="22">
        <v>331</v>
      </c>
      <c r="AU341" s="22">
        <v>0.13269</v>
      </c>
      <c r="AV341">
        <f t="shared" si="68"/>
        <v>18.261699999999998</v>
      </c>
      <c r="AW341">
        <f t="shared" si="69"/>
        <v>2.4326227952999995</v>
      </c>
      <c r="AX341" s="9"/>
      <c r="AY341" s="22">
        <v>1.56677</v>
      </c>
      <c r="AZ341" s="22">
        <v>516.59900000000005</v>
      </c>
      <c r="BA341" s="22">
        <v>-1.70441E-2</v>
      </c>
      <c r="BB341" s="22">
        <v>331</v>
      </c>
      <c r="BC341" s="22">
        <v>1.56586</v>
      </c>
      <c r="BD341">
        <f t="shared" si="70"/>
        <v>17.0441</v>
      </c>
      <c r="BE341">
        <f t="shared" si="71"/>
        <v>26.704184557000001</v>
      </c>
    </row>
    <row r="342" spans="6:57">
      <c r="F342" s="9"/>
      <c r="G342" s="22">
        <v>0.12817400000000001</v>
      </c>
      <c r="H342" s="22">
        <v>81.7898</v>
      </c>
      <c r="I342" s="22">
        <v>-1.5875199999999999E-2</v>
      </c>
      <c r="J342" s="22">
        <v>332</v>
      </c>
      <c r="K342" s="22">
        <v>0.127716</v>
      </c>
      <c r="L342">
        <f t="shared" si="60"/>
        <v>15.8752</v>
      </c>
      <c r="M342">
        <f t="shared" si="61"/>
        <v>2.0347878848000001</v>
      </c>
      <c r="N342" s="9"/>
      <c r="O342" s="22">
        <v>1.5718099999999999</v>
      </c>
      <c r="P342" s="22">
        <v>197.13200000000001</v>
      </c>
      <c r="Q342" s="22">
        <v>-1.3806199999999999E-2</v>
      </c>
      <c r="R342" s="22">
        <v>332</v>
      </c>
      <c r="S342" s="22">
        <v>1.57135</v>
      </c>
      <c r="T342">
        <f t="shared" si="62"/>
        <v>13.806199999999999</v>
      </c>
      <c r="U342">
        <f t="shared" si="63"/>
        <v>21.700723221999997</v>
      </c>
      <c r="X342" s="9"/>
      <c r="Y342" s="22">
        <v>0.12817400000000001</v>
      </c>
      <c r="Z342" s="22">
        <v>295.34800000000001</v>
      </c>
      <c r="AA342" s="22">
        <v>-1.7773400000000002E-2</v>
      </c>
      <c r="AB342" s="22">
        <v>332</v>
      </c>
      <c r="AC342" s="22">
        <v>0.12789900000000001</v>
      </c>
      <c r="AD342">
        <f t="shared" si="64"/>
        <v>17.773400000000002</v>
      </c>
      <c r="AE342">
        <f t="shared" si="65"/>
        <v>2.2780877716000005</v>
      </c>
      <c r="AF342" s="9"/>
      <c r="AG342" s="22">
        <v>1.5718099999999999</v>
      </c>
      <c r="AH342" s="22">
        <v>371.084</v>
      </c>
      <c r="AI342" s="22">
        <v>-1.6677899999999999E-2</v>
      </c>
      <c r="AJ342" s="22">
        <v>332</v>
      </c>
      <c r="AK342" s="22">
        <v>1.5716600000000001</v>
      </c>
      <c r="AL342">
        <f t="shared" si="66"/>
        <v>16.677899999999998</v>
      </c>
      <c r="AM342">
        <f t="shared" si="67"/>
        <v>26.214489998999994</v>
      </c>
      <c r="AP342" s="9"/>
      <c r="AQ342" s="22">
        <v>0.12817400000000001</v>
      </c>
      <c r="AR342" s="22">
        <v>443.28699999999998</v>
      </c>
      <c r="AS342" s="22">
        <v>-1.8264800000000001E-2</v>
      </c>
      <c r="AT342" s="22">
        <v>332</v>
      </c>
      <c r="AU342" s="22">
        <v>0.12799099999999999</v>
      </c>
      <c r="AV342">
        <f t="shared" si="68"/>
        <v>18.264800000000001</v>
      </c>
      <c r="AW342">
        <f t="shared" si="69"/>
        <v>2.3410724752000003</v>
      </c>
      <c r="AX342" s="9"/>
      <c r="AY342" s="22">
        <v>1.5718099999999999</v>
      </c>
      <c r="AZ342" s="22">
        <v>516.70000000000005</v>
      </c>
      <c r="BA342" s="22">
        <v>-1.6992199999999999E-2</v>
      </c>
      <c r="BB342" s="22">
        <v>332</v>
      </c>
      <c r="BC342" s="22">
        <v>1.57104</v>
      </c>
      <c r="BD342">
        <f t="shared" si="70"/>
        <v>16.9922</v>
      </c>
      <c r="BE342">
        <f t="shared" si="71"/>
        <v>26.708509881999998</v>
      </c>
    </row>
    <row r="343" spans="6:57">
      <c r="F343" s="9"/>
      <c r="G343" s="22">
        <v>0.123138</v>
      </c>
      <c r="H343" s="22">
        <v>81.890500000000003</v>
      </c>
      <c r="I343" s="22">
        <v>-1.5875199999999999E-2</v>
      </c>
      <c r="J343" s="22">
        <v>333</v>
      </c>
      <c r="K343" s="22">
        <v>0.122681</v>
      </c>
      <c r="L343">
        <f t="shared" si="60"/>
        <v>15.8752</v>
      </c>
      <c r="M343">
        <f t="shared" si="61"/>
        <v>1.9548403775999998</v>
      </c>
      <c r="N343" s="9"/>
      <c r="O343" s="22">
        <v>1.57684</v>
      </c>
      <c r="P343" s="22">
        <v>197.232</v>
      </c>
      <c r="Q343" s="22">
        <v>-1.37848E-2</v>
      </c>
      <c r="R343" s="22">
        <v>333</v>
      </c>
      <c r="S343" s="22">
        <v>1.5753200000000001</v>
      </c>
      <c r="T343">
        <f t="shared" si="62"/>
        <v>13.784800000000001</v>
      </c>
      <c r="U343">
        <f t="shared" si="63"/>
        <v>21.736424032000002</v>
      </c>
      <c r="X343" s="9"/>
      <c r="Y343" s="22">
        <v>0.123138</v>
      </c>
      <c r="Z343" s="22">
        <v>295.44900000000001</v>
      </c>
      <c r="AA343" s="22">
        <v>-1.7770399999999999E-2</v>
      </c>
      <c r="AB343" s="22">
        <v>333</v>
      </c>
      <c r="AC343" s="22">
        <v>0.122192</v>
      </c>
      <c r="AD343">
        <f t="shared" si="64"/>
        <v>17.770399999999999</v>
      </c>
      <c r="AE343">
        <f t="shared" si="65"/>
        <v>2.1882115151999999</v>
      </c>
      <c r="AF343" s="9"/>
      <c r="AG343" s="22">
        <v>1.57684</v>
      </c>
      <c r="AH343" s="22">
        <v>371.18400000000003</v>
      </c>
      <c r="AI343" s="22">
        <v>-1.6644300000000001E-2</v>
      </c>
      <c r="AJ343" s="22">
        <v>333</v>
      </c>
      <c r="AK343" s="22">
        <v>1.57623</v>
      </c>
      <c r="AL343">
        <f t="shared" si="66"/>
        <v>16.644300000000001</v>
      </c>
      <c r="AM343">
        <f t="shared" si="67"/>
        <v>26.245398012000003</v>
      </c>
      <c r="AP343" s="9"/>
      <c r="AQ343" s="22">
        <v>0.123138</v>
      </c>
      <c r="AR343" s="22">
        <v>443.38799999999998</v>
      </c>
      <c r="AS343" s="22">
        <v>-1.8267800000000001E-2</v>
      </c>
      <c r="AT343" s="22">
        <v>333</v>
      </c>
      <c r="AU343" s="22">
        <v>0.12246700000000001</v>
      </c>
      <c r="AV343">
        <f t="shared" si="68"/>
        <v>18.267800000000001</v>
      </c>
      <c r="AW343">
        <f t="shared" si="69"/>
        <v>2.2494603564000002</v>
      </c>
      <c r="AX343" s="9"/>
      <c r="AY343" s="22">
        <v>1.57684</v>
      </c>
      <c r="AZ343" s="22">
        <v>516.80100000000004</v>
      </c>
      <c r="BA343" s="22">
        <v>-1.6943400000000001E-2</v>
      </c>
      <c r="BB343" s="22">
        <v>333</v>
      </c>
      <c r="BC343" s="22">
        <v>1.57562</v>
      </c>
      <c r="BD343">
        <f t="shared" si="70"/>
        <v>16.9434</v>
      </c>
      <c r="BE343">
        <f t="shared" si="71"/>
        <v>26.717030856000001</v>
      </c>
    </row>
    <row r="344" spans="6:57">
      <c r="F344" s="9"/>
      <c r="G344" s="22">
        <v>0.118103</v>
      </c>
      <c r="H344" s="22">
        <v>81.991200000000006</v>
      </c>
      <c r="I344" s="22">
        <v>-1.5887499999999999E-2</v>
      </c>
      <c r="J344" s="22">
        <v>334</v>
      </c>
      <c r="K344" s="22">
        <v>0.117798</v>
      </c>
      <c r="L344">
        <f t="shared" si="60"/>
        <v>15.887499999999999</v>
      </c>
      <c r="M344">
        <f t="shared" si="61"/>
        <v>1.8763614124999999</v>
      </c>
      <c r="N344" s="9"/>
      <c r="O344" s="22">
        <v>1.58188</v>
      </c>
      <c r="P344" s="22">
        <v>197.333</v>
      </c>
      <c r="Q344" s="22">
        <v>-1.37695E-2</v>
      </c>
      <c r="R344" s="22">
        <v>334</v>
      </c>
      <c r="S344" s="22">
        <v>1.5811200000000001</v>
      </c>
      <c r="T344">
        <f t="shared" si="62"/>
        <v>13.769500000000001</v>
      </c>
      <c r="U344">
        <f t="shared" si="63"/>
        <v>21.781696660000001</v>
      </c>
      <c r="X344" s="9"/>
      <c r="Y344" s="22">
        <v>0.118103</v>
      </c>
      <c r="Z344" s="22">
        <v>295.55</v>
      </c>
      <c r="AA344" s="22">
        <v>-1.7776500000000001E-2</v>
      </c>
      <c r="AB344" s="22">
        <v>334</v>
      </c>
      <c r="AC344" s="22">
        <v>0.117493</v>
      </c>
      <c r="AD344">
        <f t="shared" si="64"/>
        <v>17.776500000000002</v>
      </c>
      <c r="AE344">
        <f t="shared" si="65"/>
        <v>2.0994579795000003</v>
      </c>
      <c r="AF344" s="9"/>
      <c r="AG344" s="22">
        <v>1.58188</v>
      </c>
      <c r="AH344" s="22">
        <v>371.28500000000003</v>
      </c>
      <c r="AI344" s="22">
        <v>-1.65924E-2</v>
      </c>
      <c r="AJ344" s="22">
        <v>334</v>
      </c>
      <c r="AK344" s="22">
        <v>1.58142</v>
      </c>
      <c r="AL344">
        <f t="shared" si="66"/>
        <v>16.592400000000001</v>
      </c>
      <c r="AM344">
        <f t="shared" si="67"/>
        <v>26.247185712</v>
      </c>
      <c r="AP344" s="9"/>
      <c r="AQ344" s="22">
        <v>0.118103</v>
      </c>
      <c r="AR344" s="22">
        <v>443.488</v>
      </c>
      <c r="AS344" s="22">
        <v>-1.8267800000000001E-2</v>
      </c>
      <c r="AT344" s="22">
        <v>334</v>
      </c>
      <c r="AU344" s="22">
        <v>0.11743199999999999</v>
      </c>
      <c r="AV344">
        <f t="shared" si="68"/>
        <v>18.267800000000001</v>
      </c>
      <c r="AW344">
        <f t="shared" si="69"/>
        <v>2.1574819834000003</v>
      </c>
      <c r="AX344" s="9"/>
      <c r="AY344" s="22">
        <v>1.58188</v>
      </c>
      <c r="AZ344" s="22">
        <v>516.90099999999995</v>
      </c>
      <c r="BA344" s="22">
        <v>-1.6885399999999998E-2</v>
      </c>
      <c r="BB344" s="22">
        <v>334</v>
      </c>
      <c r="BC344" s="22">
        <v>1.58081</v>
      </c>
      <c r="BD344">
        <f t="shared" si="70"/>
        <v>16.885399999999997</v>
      </c>
      <c r="BE344">
        <f t="shared" si="71"/>
        <v>26.710676551999995</v>
      </c>
    </row>
    <row r="345" spans="6:57">
      <c r="F345" s="9"/>
      <c r="G345" s="22">
        <v>0.113068</v>
      </c>
      <c r="H345" s="22">
        <v>82.091899999999995</v>
      </c>
      <c r="I345" s="22">
        <v>-1.5890499999999998E-2</v>
      </c>
      <c r="J345" s="22">
        <v>335</v>
      </c>
      <c r="K345" s="22">
        <v>0.112732</v>
      </c>
      <c r="L345">
        <f t="shared" si="60"/>
        <v>15.890499999999998</v>
      </c>
      <c r="M345">
        <f t="shared" si="61"/>
        <v>1.7967070539999999</v>
      </c>
      <c r="N345" s="9"/>
      <c r="O345" s="22">
        <v>1.58691</v>
      </c>
      <c r="P345" s="22">
        <v>197.434</v>
      </c>
      <c r="Q345" s="22">
        <v>-1.37573E-2</v>
      </c>
      <c r="R345" s="22">
        <v>335</v>
      </c>
      <c r="S345" s="22">
        <v>1.5860000000000001</v>
      </c>
      <c r="T345">
        <f t="shared" si="62"/>
        <v>13.757300000000001</v>
      </c>
      <c r="U345">
        <f t="shared" si="63"/>
        <v>21.831596943000001</v>
      </c>
      <c r="X345" s="9"/>
      <c r="Y345" s="22">
        <v>0.113068</v>
      </c>
      <c r="Z345" s="22">
        <v>295.65100000000001</v>
      </c>
      <c r="AA345" s="22">
        <v>-1.7776500000000001E-2</v>
      </c>
      <c r="AB345" s="22">
        <v>335</v>
      </c>
      <c r="AC345" s="22">
        <v>0.11312899999999999</v>
      </c>
      <c r="AD345">
        <f t="shared" si="64"/>
        <v>17.776500000000002</v>
      </c>
      <c r="AE345">
        <f t="shared" si="65"/>
        <v>2.0099533020000004</v>
      </c>
      <c r="AF345" s="9"/>
      <c r="AG345" s="22">
        <v>1.58691</v>
      </c>
      <c r="AH345" s="22">
        <v>371.38600000000002</v>
      </c>
      <c r="AI345" s="22">
        <v>-1.6543599999999999E-2</v>
      </c>
      <c r="AJ345" s="22">
        <v>335</v>
      </c>
      <c r="AK345" s="22">
        <v>1.5860000000000001</v>
      </c>
      <c r="AL345">
        <f t="shared" si="66"/>
        <v>16.543599999999998</v>
      </c>
      <c r="AM345">
        <f t="shared" si="67"/>
        <v>26.253204275999998</v>
      </c>
      <c r="AP345" s="9"/>
      <c r="AQ345" s="22">
        <v>0.113068</v>
      </c>
      <c r="AR345" s="22">
        <v>443.589</v>
      </c>
      <c r="AS345" s="22">
        <v>-1.8261699999999999E-2</v>
      </c>
      <c r="AT345" s="22">
        <v>335</v>
      </c>
      <c r="AU345" s="22">
        <v>0.11261</v>
      </c>
      <c r="AV345">
        <f t="shared" si="68"/>
        <v>18.261699999999998</v>
      </c>
      <c r="AW345">
        <f t="shared" si="69"/>
        <v>2.0648138955999999</v>
      </c>
      <c r="AX345" s="9"/>
      <c r="AY345" s="22">
        <v>1.58691</v>
      </c>
      <c r="AZ345" s="22">
        <v>517.00199999999995</v>
      </c>
      <c r="BA345" s="22">
        <v>-1.6836500000000001E-2</v>
      </c>
      <c r="BB345" s="22">
        <v>335</v>
      </c>
      <c r="BC345" s="22">
        <v>1.5860000000000001</v>
      </c>
      <c r="BD345">
        <f t="shared" si="70"/>
        <v>16.836500000000001</v>
      </c>
      <c r="BE345">
        <f t="shared" si="71"/>
        <v>26.718010215000003</v>
      </c>
    </row>
    <row r="346" spans="6:57">
      <c r="F346" s="9"/>
      <c r="G346" s="22">
        <v>0.108032</v>
      </c>
      <c r="H346" s="22">
        <v>82.192599999999999</v>
      </c>
      <c r="I346" s="22">
        <v>-1.5893600000000001E-2</v>
      </c>
      <c r="J346" s="22">
        <v>336</v>
      </c>
      <c r="K346" s="22">
        <v>0.107697</v>
      </c>
      <c r="L346">
        <f t="shared" si="60"/>
        <v>15.893600000000001</v>
      </c>
      <c r="M346">
        <f t="shared" si="61"/>
        <v>1.7170173952000001</v>
      </c>
      <c r="N346" s="9"/>
      <c r="O346" s="22">
        <v>1.59195</v>
      </c>
      <c r="P346" s="22">
        <v>197.535</v>
      </c>
      <c r="Q346" s="22">
        <v>-1.37451E-2</v>
      </c>
      <c r="R346" s="22">
        <v>336</v>
      </c>
      <c r="S346" s="22">
        <v>1.5905800000000001</v>
      </c>
      <c r="T346">
        <f t="shared" si="62"/>
        <v>13.745099999999999</v>
      </c>
      <c r="U346">
        <f t="shared" si="63"/>
        <v>21.881511945</v>
      </c>
      <c r="X346" s="9"/>
      <c r="Y346" s="22">
        <v>0.108032</v>
      </c>
      <c r="Z346" s="22">
        <v>295.75099999999998</v>
      </c>
      <c r="AA346" s="22">
        <v>-1.7776500000000001E-2</v>
      </c>
      <c r="AB346" s="22">
        <v>336</v>
      </c>
      <c r="AC346" s="22">
        <v>0.107819</v>
      </c>
      <c r="AD346">
        <f t="shared" si="64"/>
        <v>17.776500000000002</v>
      </c>
      <c r="AE346">
        <f t="shared" si="65"/>
        <v>1.9204308480000003</v>
      </c>
      <c r="AF346" s="9"/>
      <c r="AG346" s="22">
        <v>1.59195</v>
      </c>
      <c r="AH346" s="22">
        <v>371.48700000000002</v>
      </c>
      <c r="AI346" s="22">
        <v>-1.64856E-2</v>
      </c>
      <c r="AJ346" s="22">
        <v>336</v>
      </c>
      <c r="AK346" s="22">
        <v>1.5911900000000001</v>
      </c>
      <c r="AL346">
        <f t="shared" si="66"/>
        <v>16.485599999999998</v>
      </c>
      <c r="AM346">
        <f t="shared" si="67"/>
        <v>26.244250919999995</v>
      </c>
      <c r="AP346" s="9"/>
      <c r="AQ346" s="22">
        <v>0.108032</v>
      </c>
      <c r="AR346" s="22">
        <v>443.69</v>
      </c>
      <c r="AS346" s="22">
        <v>-1.8267800000000001E-2</v>
      </c>
      <c r="AT346" s="22">
        <v>336</v>
      </c>
      <c r="AU346" s="22">
        <v>0.107544</v>
      </c>
      <c r="AV346">
        <f t="shared" si="68"/>
        <v>18.267800000000001</v>
      </c>
      <c r="AW346">
        <f t="shared" si="69"/>
        <v>1.9735069696000003</v>
      </c>
      <c r="AX346" s="9"/>
      <c r="AY346" s="22">
        <v>1.59195</v>
      </c>
      <c r="AZ346" s="22">
        <v>517.10299999999995</v>
      </c>
      <c r="BA346" s="22">
        <v>-1.67572E-2</v>
      </c>
      <c r="BB346" s="22">
        <v>336</v>
      </c>
      <c r="BC346" s="22">
        <v>1.5908800000000001</v>
      </c>
      <c r="BD346">
        <f t="shared" si="70"/>
        <v>16.757200000000001</v>
      </c>
      <c r="BE346">
        <f t="shared" si="71"/>
        <v>26.676624540000002</v>
      </c>
    </row>
    <row r="347" spans="6:57">
      <c r="F347" s="9"/>
      <c r="G347" s="22">
        <v>0.10299700000000001</v>
      </c>
      <c r="H347" s="22">
        <v>82.293400000000005</v>
      </c>
      <c r="I347" s="22">
        <v>-1.5887499999999999E-2</v>
      </c>
      <c r="J347" s="22">
        <v>337</v>
      </c>
      <c r="K347" s="22">
        <v>0.10272199999999999</v>
      </c>
      <c r="L347">
        <f t="shared" si="60"/>
        <v>15.887499999999999</v>
      </c>
      <c r="M347">
        <f t="shared" si="61"/>
        <v>1.6363648374999999</v>
      </c>
      <c r="N347" s="9"/>
      <c r="O347" s="22">
        <v>1.5969800000000001</v>
      </c>
      <c r="P347" s="22">
        <v>197.63499999999999</v>
      </c>
      <c r="Q347" s="22">
        <v>-1.3726800000000001E-2</v>
      </c>
      <c r="R347" s="22">
        <v>337</v>
      </c>
      <c r="S347" s="22">
        <v>1.5960700000000001</v>
      </c>
      <c r="T347">
        <f t="shared" si="62"/>
        <v>13.726800000000001</v>
      </c>
      <c r="U347">
        <f t="shared" si="63"/>
        <v>21.921425064000001</v>
      </c>
      <c r="X347" s="9"/>
      <c r="Y347" s="22">
        <v>0.10299700000000001</v>
      </c>
      <c r="Z347" s="22">
        <v>295.85199999999998</v>
      </c>
      <c r="AA347" s="22">
        <v>-1.7791700000000001E-2</v>
      </c>
      <c r="AB347" s="22">
        <v>337</v>
      </c>
      <c r="AC347" s="22">
        <v>0.102448</v>
      </c>
      <c r="AD347">
        <f t="shared" si="64"/>
        <v>17.791700000000002</v>
      </c>
      <c r="AE347">
        <f t="shared" si="65"/>
        <v>1.8324917249000003</v>
      </c>
      <c r="AF347" s="9"/>
      <c r="AG347" s="22">
        <v>1.5969800000000001</v>
      </c>
      <c r="AH347" s="22">
        <v>371.58699999999999</v>
      </c>
      <c r="AI347" s="22">
        <v>-1.6427600000000001E-2</v>
      </c>
      <c r="AJ347" s="22">
        <v>337</v>
      </c>
      <c r="AK347" s="22">
        <v>1.5963700000000001</v>
      </c>
      <c r="AL347">
        <f t="shared" si="66"/>
        <v>16.427600000000002</v>
      </c>
      <c r="AM347">
        <f t="shared" si="67"/>
        <v>26.234548648000004</v>
      </c>
      <c r="AP347" s="9"/>
      <c r="AQ347" s="22">
        <v>0.10299700000000001</v>
      </c>
      <c r="AR347" s="22">
        <v>443.79</v>
      </c>
      <c r="AS347" s="22">
        <v>-1.8273899999999999E-2</v>
      </c>
      <c r="AT347" s="22">
        <v>337</v>
      </c>
      <c r="AU347" s="22">
        <v>0.10287499999999999</v>
      </c>
      <c r="AV347">
        <f t="shared" si="68"/>
        <v>18.273899999999998</v>
      </c>
      <c r="AW347">
        <f t="shared" si="69"/>
        <v>1.8821568782999998</v>
      </c>
      <c r="AX347" s="9"/>
      <c r="AY347" s="22">
        <v>1.5969800000000001</v>
      </c>
      <c r="AZ347" s="22">
        <v>517.20399999999995</v>
      </c>
      <c r="BA347" s="22">
        <v>-1.6705299999999999E-2</v>
      </c>
      <c r="BB347" s="22">
        <v>337</v>
      </c>
      <c r="BC347" s="22">
        <v>1.5960700000000001</v>
      </c>
      <c r="BD347">
        <f t="shared" si="70"/>
        <v>16.705299999999998</v>
      </c>
      <c r="BE347">
        <f t="shared" si="71"/>
        <v>26.678029993999996</v>
      </c>
    </row>
    <row r="348" spans="6:57">
      <c r="F348" s="9"/>
      <c r="G348" s="22">
        <v>9.7961400000000004E-2</v>
      </c>
      <c r="H348" s="22">
        <v>82.394099999999995</v>
      </c>
      <c r="I348" s="22">
        <v>-1.5893600000000001E-2</v>
      </c>
      <c r="J348" s="22">
        <v>338</v>
      </c>
      <c r="K348" s="22">
        <v>9.7564700000000004E-2</v>
      </c>
      <c r="L348">
        <f t="shared" si="60"/>
        <v>15.893600000000001</v>
      </c>
      <c r="M348">
        <f t="shared" si="61"/>
        <v>1.5569593070400001</v>
      </c>
      <c r="N348" s="9"/>
      <c r="O348" s="22">
        <v>1.60202</v>
      </c>
      <c r="P348" s="22">
        <v>197.73599999999999</v>
      </c>
      <c r="Q348" s="22">
        <v>-1.3717699999999999E-2</v>
      </c>
      <c r="R348" s="22">
        <v>338</v>
      </c>
      <c r="S348" s="22">
        <v>1.6015600000000001</v>
      </c>
      <c r="T348">
        <f t="shared" si="62"/>
        <v>13.717699999999999</v>
      </c>
      <c r="U348">
        <f t="shared" si="63"/>
        <v>21.976029753999999</v>
      </c>
      <c r="X348" s="9"/>
      <c r="Y348" s="22">
        <v>9.7961400000000004E-2</v>
      </c>
      <c r="Z348" s="22">
        <v>295.95299999999997</v>
      </c>
      <c r="AA348" s="22">
        <v>-1.7791700000000001E-2</v>
      </c>
      <c r="AB348" s="22">
        <v>338</v>
      </c>
      <c r="AC348" s="22">
        <v>9.7869899999999996E-2</v>
      </c>
      <c r="AD348">
        <f t="shared" si="64"/>
        <v>17.791700000000002</v>
      </c>
      <c r="AE348">
        <f t="shared" si="65"/>
        <v>1.7428998403800002</v>
      </c>
      <c r="AF348" s="9"/>
      <c r="AG348" s="22">
        <v>1.60202</v>
      </c>
      <c r="AH348" s="22">
        <v>371.68799999999999</v>
      </c>
      <c r="AI348" s="22">
        <v>-1.6366599999999999E-2</v>
      </c>
      <c r="AJ348" s="22">
        <v>338</v>
      </c>
      <c r="AK348" s="22">
        <v>1.6009500000000001</v>
      </c>
      <c r="AL348">
        <f t="shared" si="66"/>
        <v>16.366599999999998</v>
      </c>
      <c r="AM348">
        <f t="shared" si="67"/>
        <v>26.219620531999997</v>
      </c>
      <c r="AP348" s="9"/>
      <c r="AQ348" s="22">
        <v>9.7961400000000004E-2</v>
      </c>
      <c r="AR348" s="22">
        <v>443.89100000000002</v>
      </c>
      <c r="AS348" s="22">
        <v>-1.82709E-2</v>
      </c>
      <c r="AT348" s="22">
        <v>338</v>
      </c>
      <c r="AU348" s="22">
        <v>9.7473099999999993E-2</v>
      </c>
      <c r="AV348">
        <f t="shared" si="68"/>
        <v>18.270900000000001</v>
      </c>
      <c r="AW348">
        <f t="shared" si="69"/>
        <v>1.7898429432600003</v>
      </c>
      <c r="AX348" s="9"/>
      <c r="AY348" s="22">
        <v>1.60202</v>
      </c>
      <c r="AZ348" s="22">
        <v>517.30399999999997</v>
      </c>
      <c r="BA348" s="22">
        <v>-1.66351E-2</v>
      </c>
      <c r="BB348" s="22">
        <v>338</v>
      </c>
      <c r="BC348" s="22">
        <v>1.6015600000000001</v>
      </c>
      <c r="BD348">
        <f t="shared" si="70"/>
        <v>16.635100000000001</v>
      </c>
      <c r="BE348">
        <f t="shared" si="71"/>
        <v>26.649762902000003</v>
      </c>
    </row>
    <row r="349" spans="6:57">
      <c r="F349" s="9"/>
      <c r="G349" s="22">
        <v>9.2925999999999995E-2</v>
      </c>
      <c r="H349" s="22">
        <v>82.494799999999998</v>
      </c>
      <c r="I349" s="22">
        <v>-1.5887499999999999E-2</v>
      </c>
      <c r="J349" s="22">
        <v>339</v>
      </c>
      <c r="K349" s="22">
        <v>9.25903E-2</v>
      </c>
      <c r="L349">
        <f t="shared" si="60"/>
        <v>15.887499999999999</v>
      </c>
      <c r="M349">
        <f t="shared" si="61"/>
        <v>1.4763618249999999</v>
      </c>
      <c r="N349" s="9"/>
      <c r="O349" s="22">
        <v>1.6070599999999999</v>
      </c>
      <c r="P349" s="22">
        <v>197.83699999999999</v>
      </c>
      <c r="Q349" s="22">
        <v>-1.37085E-2</v>
      </c>
      <c r="R349" s="22">
        <v>339</v>
      </c>
      <c r="S349" s="22">
        <v>1.6061399999999999</v>
      </c>
      <c r="T349">
        <f t="shared" si="62"/>
        <v>13.708500000000001</v>
      </c>
      <c r="U349">
        <f t="shared" si="63"/>
        <v>22.03038201</v>
      </c>
      <c r="X349" s="9"/>
      <c r="Y349" s="22">
        <v>9.2925999999999995E-2</v>
      </c>
      <c r="Z349" s="22">
        <v>296.053</v>
      </c>
      <c r="AA349" s="22">
        <v>-1.7791700000000001E-2</v>
      </c>
      <c r="AB349" s="22">
        <v>339</v>
      </c>
      <c r="AC349" s="22">
        <v>9.2681899999999998E-2</v>
      </c>
      <c r="AD349">
        <f t="shared" si="64"/>
        <v>17.791700000000002</v>
      </c>
      <c r="AE349">
        <f t="shared" si="65"/>
        <v>1.6533115142000001</v>
      </c>
      <c r="AF349" s="9"/>
      <c r="AG349" s="22">
        <v>1.6070599999999999</v>
      </c>
      <c r="AH349" s="22">
        <v>371.78899999999999</v>
      </c>
      <c r="AI349" s="22">
        <v>-1.62811E-2</v>
      </c>
      <c r="AJ349" s="22">
        <v>339</v>
      </c>
      <c r="AK349" s="22">
        <v>1.6058300000000001</v>
      </c>
      <c r="AL349">
        <f t="shared" si="66"/>
        <v>16.281099999999999</v>
      </c>
      <c r="AM349">
        <f t="shared" si="67"/>
        <v>26.164704565999997</v>
      </c>
      <c r="AP349" s="9"/>
      <c r="AQ349" s="22">
        <v>9.2925999999999995E-2</v>
      </c>
      <c r="AR349" s="22">
        <v>443.99200000000002</v>
      </c>
      <c r="AS349" s="22">
        <v>-1.82861E-2</v>
      </c>
      <c r="AT349" s="22">
        <v>339</v>
      </c>
      <c r="AU349" s="22">
        <v>9.2803999999999998E-2</v>
      </c>
      <c r="AV349">
        <f t="shared" si="68"/>
        <v>18.286100000000001</v>
      </c>
      <c r="AW349">
        <f t="shared" si="69"/>
        <v>1.6992541286</v>
      </c>
      <c r="AX349" s="9"/>
      <c r="AY349" s="22">
        <v>1.6070599999999999</v>
      </c>
      <c r="AZ349" s="22">
        <v>517.40499999999997</v>
      </c>
      <c r="BA349" s="22">
        <v>-1.65405E-2</v>
      </c>
      <c r="BB349" s="22">
        <v>339</v>
      </c>
      <c r="BC349" s="22">
        <v>1.6058300000000001</v>
      </c>
      <c r="BD349">
        <f t="shared" si="70"/>
        <v>16.540499999999998</v>
      </c>
      <c r="BE349">
        <f t="shared" si="71"/>
        <v>26.581575929999996</v>
      </c>
    </row>
    <row r="350" spans="6:57">
      <c r="F350" s="9"/>
      <c r="G350" s="22">
        <v>8.7890599999999999E-2</v>
      </c>
      <c r="H350" s="22">
        <v>82.595500000000001</v>
      </c>
      <c r="I350" s="22">
        <v>-1.5887499999999999E-2</v>
      </c>
      <c r="J350" s="22">
        <v>340</v>
      </c>
      <c r="K350" s="22">
        <v>8.7554900000000005E-2</v>
      </c>
      <c r="L350">
        <f t="shared" si="60"/>
        <v>15.887499999999999</v>
      </c>
      <c r="M350">
        <f t="shared" si="61"/>
        <v>1.3963619075</v>
      </c>
      <c r="N350" s="9"/>
      <c r="O350" s="22">
        <v>1.61209</v>
      </c>
      <c r="P350" s="22">
        <v>197.93700000000001</v>
      </c>
      <c r="Q350" s="22">
        <v>-1.3693200000000001E-2</v>
      </c>
      <c r="R350" s="22">
        <v>340</v>
      </c>
      <c r="S350" s="22">
        <v>1.6113299999999999</v>
      </c>
      <c r="T350">
        <f t="shared" si="62"/>
        <v>13.693200000000001</v>
      </c>
      <c r="U350">
        <f t="shared" si="63"/>
        <v>22.074670788000002</v>
      </c>
      <c r="X350" s="9"/>
      <c r="Y350" s="22">
        <v>8.7890599999999999E-2</v>
      </c>
      <c r="Z350" s="22">
        <v>296.154</v>
      </c>
      <c r="AA350" s="22">
        <v>-1.77948E-2</v>
      </c>
      <c r="AB350" s="22">
        <v>340</v>
      </c>
      <c r="AC350" s="22">
        <v>8.7219199999999997E-2</v>
      </c>
      <c r="AD350">
        <f t="shared" si="64"/>
        <v>17.794799999999999</v>
      </c>
      <c r="AE350">
        <f t="shared" si="65"/>
        <v>1.5639956488799998</v>
      </c>
      <c r="AF350" s="9"/>
      <c r="AG350" s="22">
        <v>1.61209</v>
      </c>
      <c r="AH350" s="22">
        <v>371.88900000000001</v>
      </c>
      <c r="AI350" s="22">
        <v>-1.6204799999999998E-2</v>
      </c>
      <c r="AJ350" s="22">
        <v>340</v>
      </c>
      <c r="AK350" s="22">
        <v>1.6107199999999999</v>
      </c>
      <c r="AL350">
        <f t="shared" si="66"/>
        <v>16.204799999999999</v>
      </c>
      <c r="AM350">
        <f t="shared" si="67"/>
        <v>26.123596031999998</v>
      </c>
      <c r="AP350" s="9"/>
      <c r="AQ350" s="22">
        <v>8.7890599999999999E-2</v>
      </c>
      <c r="AR350" s="22">
        <v>444.09300000000002</v>
      </c>
      <c r="AS350" s="22">
        <v>-1.8277000000000002E-2</v>
      </c>
      <c r="AT350" s="22">
        <v>340</v>
      </c>
      <c r="AU350" s="22">
        <v>8.7707499999999994E-2</v>
      </c>
      <c r="AV350">
        <f t="shared" si="68"/>
        <v>18.277000000000001</v>
      </c>
      <c r="AW350">
        <f t="shared" si="69"/>
        <v>1.6063764962</v>
      </c>
      <c r="AX350" s="9"/>
      <c r="AY350" s="22">
        <v>1.61209</v>
      </c>
      <c r="AZ350" s="22">
        <v>517.50599999999997</v>
      </c>
      <c r="BA350" s="22">
        <v>-1.64551E-2</v>
      </c>
      <c r="BB350" s="22">
        <v>340</v>
      </c>
      <c r="BC350" s="22">
        <v>1.6116299999999999</v>
      </c>
      <c r="BD350">
        <f t="shared" si="70"/>
        <v>16.455100000000002</v>
      </c>
      <c r="BE350">
        <f t="shared" si="71"/>
        <v>26.527102159000002</v>
      </c>
    </row>
    <row r="351" spans="6:57">
      <c r="F351" s="9"/>
      <c r="G351" s="22">
        <v>8.2855200000000004E-2</v>
      </c>
      <c r="H351" s="22">
        <v>82.696200000000005</v>
      </c>
      <c r="I351" s="22">
        <v>-1.5933200000000002E-2</v>
      </c>
      <c r="J351" s="22">
        <v>341</v>
      </c>
      <c r="K351" s="22">
        <v>8.2519499999999996E-2</v>
      </c>
      <c r="L351">
        <f t="shared" si="60"/>
        <v>15.933200000000001</v>
      </c>
      <c r="M351">
        <f t="shared" si="61"/>
        <v>1.3201484726400001</v>
      </c>
      <c r="N351" s="9"/>
      <c r="O351" s="22">
        <v>1.61713</v>
      </c>
      <c r="P351" s="22">
        <v>198.03800000000001</v>
      </c>
      <c r="Q351" s="22">
        <v>-1.3687100000000001E-2</v>
      </c>
      <c r="R351" s="22">
        <v>341</v>
      </c>
      <c r="S351" s="22">
        <v>1.61591</v>
      </c>
      <c r="T351">
        <f t="shared" si="62"/>
        <v>13.687100000000001</v>
      </c>
      <c r="U351">
        <f t="shared" si="63"/>
        <v>22.133820023000002</v>
      </c>
      <c r="X351" s="9"/>
      <c r="Y351" s="22">
        <v>8.2855200000000004E-2</v>
      </c>
      <c r="Z351" s="22">
        <v>296.255</v>
      </c>
      <c r="AA351" s="22">
        <v>-1.7788700000000001E-2</v>
      </c>
      <c r="AB351" s="22">
        <v>341</v>
      </c>
      <c r="AC351" s="22">
        <v>8.2733200000000007E-2</v>
      </c>
      <c r="AD351">
        <f t="shared" si="64"/>
        <v>17.788700000000002</v>
      </c>
      <c r="AE351">
        <f t="shared" si="65"/>
        <v>1.4738862962400003</v>
      </c>
      <c r="AF351" s="9"/>
      <c r="AG351" s="22">
        <v>1.61713</v>
      </c>
      <c r="AH351" s="22">
        <v>371.99</v>
      </c>
      <c r="AI351" s="22">
        <v>-1.6110200000000002E-2</v>
      </c>
      <c r="AJ351" s="22">
        <v>341</v>
      </c>
      <c r="AK351" s="22">
        <v>1.61652</v>
      </c>
      <c r="AL351">
        <f t="shared" si="66"/>
        <v>16.110200000000003</v>
      </c>
      <c r="AM351">
        <f t="shared" si="67"/>
        <v>26.052287726000003</v>
      </c>
      <c r="AP351" s="9"/>
      <c r="AQ351" s="22">
        <v>8.2855200000000004E-2</v>
      </c>
      <c r="AR351" s="22">
        <v>444.19299999999998</v>
      </c>
      <c r="AS351" s="22">
        <v>-1.8273899999999999E-2</v>
      </c>
      <c r="AT351" s="22">
        <v>341</v>
      </c>
      <c r="AU351" s="22">
        <v>8.2153299999999999E-2</v>
      </c>
      <c r="AV351">
        <f t="shared" si="68"/>
        <v>18.273899999999998</v>
      </c>
      <c r="AW351">
        <f t="shared" si="69"/>
        <v>1.5140876392799998</v>
      </c>
      <c r="AX351" s="9"/>
      <c r="AY351" s="22">
        <v>1.61713</v>
      </c>
      <c r="AZ351" s="22">
        <v>517.60599999999999</v>
      </c>
      <c r="BA351" s="22">
        <v>-1.63635E-2</v>
      </c>
      <c r="BB351" s="22">
        <v>341</v>
      </c>
      <c r="BC351" s="22">
        <v>1.61652</v>
      </c>
      <c r="BD351">
        <f t="shared" si="70"/>
        <v>16.363499999999998</v>
      </c>
      <c r="BE351">
        <f t="shared" si="71"/>
        <v>26.461906754999998</v>
      </c>
    </row>
    <row r="352" spans="6:57">
      <c r="F352" s="9"/>
      <c r="G352" s="22">
        <v>7.7819799999999995E-2</v>
      </c>
      <c r="H352" s="22">
        <v>82.796899999999994</v>
      </c>
      <c r="I352" s="22">
        <v>-1.5997299999999999E-2</v>
      </c>
      <c r="J352" s="22">
        <v>342</v>
      </c>
      <c r="K352" s="22">
        <v>7.74841E-2</v>
      </c>
      <c r="L352">
        <f t="shared" si="60"/>
        <v>15.997299999999999</v>
      </c>
      <c r="M352">
        <f t="shared" si="61"/>
        <v>1.2449066865399998</v>
      </c>
      <c r="N352" s="9"/>
      <c r="O352" s="22">
        <v>1.62216</v>
      </c>
      <c r="P352" s="22">
        <v>198.13900000000001</v>
      </c>
      <c r="Q352" s="22">
        <v>-1.36627E-2</v>
      </c>
      <c r="R352" s="22">
        <v>342</v>
      </c>
      <c r="S352" s="22">
        <v>1.6214</v>
      </c>
      <c r="T352">
        <f t="shared" si="62"/>
        <v>13.662699999999999</v>
      </c>
      <c r="U352">
        <f t="shared" si="63"/>
        <v>22.163085431999999</v>
      </c>
      <c r="X352" s="9"/>
      <c r="Y352" s="22">
        <v>7.7819799999999995E-2</v>
      </c>
      <c r="Z352" s="22">
        <v>296.35599999999999</v>
      </c>
      <c r="AA352" s="22">
        <v>-1.77948E-2</v>
      </c>
      <c r="AB352" s="22">
        <v>342</v>
      </c>
      <c r="AC352" s="22">
        <v>7.7789300000000006E-2</v>
      </c>
      <c r="AD352">
        <f t="shared" si="64"/>
        <v>17.794799999999999</v>
      </c>
      <c r="AE352">
        <f t="shared" si="65"/>
        <v>1.3847877770399999</v>
      </c>
      <c r="AF352" s="9"/>
      <c r="AG352" s="22">
        <v>1.62216</v>
      </c>
      <c r="AH352" s="22">
        <v>372.09100000000001</v>
      </c>
      <c r="AI352" s="22">
        <v>-1.60065E-2</v>
      </c>
      <c r="AJ352" s="22">
        <v>342</v>
      </c>
      <c r="AK352" s="22">
        <v>1.6214</v>
      </c>
      <c r="AL352">
        <f t="shared" si="66"/>
        <v>16.006499999999999</v>
      </c>
      <c r="AM352">
        <f t="shared" si="67"/>
        <v>25.96510404</v>
      </c>
      <c r="AP352" s="9"/>
      <c r="AQ352" s="22">
        <v>7.7819799999999995E-2</v>
      </c>
      <c r="AR352" s="22">
        <v>444.29399999999998</v>
      </c>
      <c r="AS352" s="22">
        <v>-1.8280000000000001E-2</v>
      </c>
      <c r="AT352" s="22">
        <v>342</v>
      </c>
      <c r="AU352" s="22">
        <v>7.7423099999999995E-2</v>
      </c>
      <c r="AV352">
        <f t="shared" si="68"/>
        <v>18.28</v>
      </c>
      <c r="AW352">
        <f t="shared" si="69"/>
        <v>1.4225459439999999</v>
      </c>
      <c r="AX352" s="9"/>
      <c r="AY352" s="22">
        <v>1.62216</v>
      </c>
      <c r="AZ352" s="22">
        <v>517.70699999999999</v>
      </c>
      <c r="BA352" s="22">
        <v>-1.6262800000000001E-2</v>
      </c>
      <c r="BB352" s="22">
        <v>342</v>
      </c>
      <c r="BC352" s="22">
        <v>1.6210899999999999</v>
      </c>
      <c r="BD352">
        <f t="shared" si="70"/>
        <v>16.262800000000002</v>
      </c>
      <c r="BE352">
        <f t="shared" si="71"/>
        <v>26.380863648000005</v>
      </c>
    </row>
    <row r="353" spans="6:57">
      <c r="F353" s="9"/>
      <c r="G353" s="22">
        <v>7.2784399999999999E-2</v>
      </c>
      <c r="H353" s="22">
        <v>82.897599999999997</v>
      </c>
      <c r="I353" s="22">
        <v>-1.59393E-2</v>
      </c>
      <c r="J353" s="22">
        <v>343</v>
      </c>
      <c r="K353" s="22">
        <v>7.2509799999999999E-2</v>
      </c>
      <c r="L353">
        <f t="shared" si="60"/>
        <v>15.939299999999999</v>
      </c>
      <c r="M353">
        <f t="shared" si="61"/>
        <v>1.16013238692</v>
      </c>
      <c r="N353" s="9"/>
      <c r="O353" s="22">
        <v>1.6272</v>
      </c>
      <c r="P353" s="22">
        <v>198.24</v>
      </c>
      <c r="Q353" s="22">
        <v>-1.3681E-2</v>
      </c>
      <c r="R353" s="22">
        <v>343</v>
      </c>
      <c r="S353" s="22">
        <v>1.6262799999999999</v>
      </c>
      <c r="T353">
        <f t="shared" si="62"/>
        <v>13.681000000000001</v>
      </c>
      <c r="U353">
        <f t="shared" si="63"/>
        <v>22.261723200000002</v>
      </c>
      <c r="X353" s="9"/>
      <c r="Y353" s="22">
        <v>7.2784399999999999E-2</v>
      </c>
      <c r="Z353" s="22">
        <v>296.45600000000002</v>
      </c>
      <c r="AA353" s="22">
        <v>-1.7800900000000001E-2</v>
      </c>
      <c r="AB353" s="22">
        <v>343</v>
      </c>
      <c r="AC353" s="22">
        <v>7.2235099999999997E-2</v>
      </c>
      <c r="AD353">
        <f t="shared" si="64"/>
        <v>17.800900000000002</v>
      </c>
      <c r="AE353">
        <f t="shared" si="65"/>
        <v>1.29562782596</v>
      </c>
      <c r="AF353" s="9"/>
      <c r="AG353" s="22">
        <v>1.6272</v>
      </c>
      <c r="AH353" s="22">
        <v>372.19099999999997</v>
      </c>
      <c r="AI353" s="22">
        <v>-1.5918000000000002E-2</v>
      </c>
      <c r="AJ353" s="22">
        <v>343</v>
      </c>
      <c r="AK353" s="22">
        <v>1.62659</v>
      </c>
      <c r="AL353">
        <f t="shared" si="66"/>
        <v>15.918000000000001</v>
      </c>
      <c r="AM353">
        <f t="shared" si="67"/>
        <v>25.901769600000002</v>
      </c>
      <c r="AP353" s="9"/>
      <c r="AQ353" s="22">
        <v>7.2784399999999999E-2</v>
      </c>
      <c r="AR353" s="22">
        <v>444.39499999999998</v>
      </c>
      <c r="AS353" s="22">
        <v>-1.8280000000000001E-2</v>
      </c>
      <c r="AT353" s="22">
        <v>343</v>
      </c>
      <c r="AU353" s="22">
        <v>7.2265599999999999E-2</v>
      </c>
      <c r="AV353">
        <f t="shared" si="68"/>
        <v>18.28</v>
      </c>
      <c r="AW353">
        <f t="shared" si="69"/>
        <v>1.330498832</v>
      </c>
      <c r="AX353" s="9"/>
      <c r="AY353" s="22">
        <v>1.6272</v>
      </c>
      <c r="AZ353" s="22">
        <v>517.80799999999999</v>
      </c>
      <c r="BA353" s="22">
        <v>-1.6156E-2</v>
      </c>
      <c r="BB353" s="22">
        <v>343</v>
      </c>
      <c r="BC353" s="22">
        <v>1.62598</v>
      </c>
      <c r="BD353">
        <f t="shared" si="70"/>
        <v>16.155999999999999</v>
      </c>
      <c r="BE353">
        <f t="shared" si="71"/>
        <v>26.289043199999998</v>
      </c>
    </row>
    <row r="354" spans="6:57">
      <c r="F354" s="9"/>
      <c r="G354" s="22">
        <v>6.7749000000000004E-2</v>
      </c>
      <c r="H354" s="22">
        <v>82.9983</v>
      </c>
      <c r="I354" s="22">
        <v>-1.5985099999999999E-2</v>
      </c>
      <c r="J354" s="22">
        <v>344</v>
      </c>
      <c r="K354" s="22">
        <v>6.7443799999999998E-2</v>
      </c>
      <c r="L354">
        <f t="shared" si="60"/>
        <v>15.985099999999999</v>
      </c>
      <c r="M354">
        <f t="shared" si="61"/>
        <v>1.0829745398999999</v>
      </c>
      <c r="N354" s="9"/>
      <c r="O354" s="22">
        <v>1.6322300000000001</v>
      </c>
      <c r="P354" s="22">
        <v>198.34</v>
      </c>
      <c r="Q354" s="22">
        <v>-1.36597E-2</v>
      </c>
      <c r="R354" s="22">
        <v>344</v>
      </c>
      <c r="S354" s="22">
        <v>1.63147</v>
      </c>
      <c r="T354">
        <f t="shared" si="62"/>
        <v>13.659700000000001</v>
      </c>
      <c r="U354">
        <f t="shared" si="63"/>
        <v>22.295772131000003</v>
      </c>
      <c r="X354" s="9"/>
      <c r="Y354" s="22">
        <v>6.7749000000000004E-2</v>
      </c>
      <c r="Z354" s="22">
        <v>296.55700000000002</v>
      </c>
      <c r="AA354" s="22">
        <v>-1.7797899999999998E-2</v>
      </c>
      <c r="AB354" s="22">
        <v>344</v>
      </c>
      <c r="AC354" s="22">
        <v>6.8145800000000006E-2</v>
      </c>
      <c r="AD354">
        <f t="shared" si="64"/>
        <v>17.797899999999998</v>
      </c>
      <c r="AE354">
        <f t="shared" si="65"/>
        <v>1.2057899270999999</v>
      </c>
      <c r="AF354" s="9"/>
      <c r="AG354" s="22">
        <v>1.6322300000000001</v>
      </c>
      <c r="AH354" s="22">
        <v>372.29199999999997</v>
      </c>
      <c r="AI354" s="22">
        <v>-1.5808099999999999E-2</v>
      </c>
      <c r="AJ354" s="22">
        <v>344</v>
      </c>
      <c r="AK354" s="22">
        <v>1.6317699999999999</v>
      </c>
      <c r="AL354">
        <f t="shared" si="66"/>
        <v>15.808099999999998</v>
      </c>
      <c r="AM354">
        <f t="shared" si="67"/>
        <v>25.802455062999996</v>
      </c>
      <c r="AP354" s="9"/>
      <c r="AQ354" s="22">
        <v>6.7749000000000004E-2</v>
      </c>
      <c r="AR354" s="22">
        <v>444.495</v>
      </c>
      <c r="AS354" s="22">
        <v>-1.82831E-2</v>
      </c>
      <c r="AT354" s="22">
        <v>344</v>
      </c>
      <c r="AU354" s="22">
        <v>6.7596400000000001E-2</v>
      </c>
      <c r="AV354">
        <f t="shared" si="68"/>
        <v>18.283100000000001</v>
      </c>
      <c r="AW354">
        <f t="shared" si="69"/>
        <v>1.2386617419000001</v>
      </c>
      <c r="AX354" s="9"/>
      <c r="AY354" s="22">
        <v>1.6322300000000001</v>
      </c>
      <c r="AZ354" s="22">
        <v>517.90899999999999</v>
      </c>
      <c r="BA354" s="22">
        <v>-1.60339E-2</v>
      </c>
      <c r="BB354" s="22">
        <v>344</v>
      </c>
      <c r="BC354" s="22">
        <v>1.63239</v>
      </c>
      <c r="BD354">
        <f t="shared" si="70"/>
        <v>16.033899999999999</v>
      </c>
      <c r="BE354">
        <f t="shared" si="71"/>
        <v>26.171012597000001</v>
      </c>
    </row>
    <row r="355" spans="6:57">
      <c r="F355" s="9"/>
      <c r="G355" s="22">
        <v>6.2713599999999994E-2</v>
      </c>
      <c r="H355" s="22">
        <v>83.099000000000004</v>
      </c>
      <c r="I355" s="22">
        <v>-1.5972900000000002E-2</v>
      </c>
      <c r="J355" s="22">
        <v>345</v>
      </c>
      <c r="K355" s="22">
        <v>6.2347399999999997E-2</v>
      </c>
      <c r="L355">
        <f t="shared" si="60"/>
        <v>15.972900000000001</v>
      </c>
      <c r="M355">
        <f t="shared" si="61"/>
        <v>1.0017180614399999</v>
      </c>
      <c r="N355" s="9"/>
      <c r="O355" s="22">
        <v>1.63727</v>
      </c>
      <c r="P355" s="22">
        <v>198.441</v>
      </c>
      <c r="Q355" s="22">
        <v>-1.36414E-2</v>
      </c>
      <c r="R355" s="22">
        <v>345</v>
      </c>
      <c r="S355" s="22">
        <v>1.63635</v>
      </c>
      <c r="T355">
        <f t="shared" si="62"/>
        <v>13.641399999999999</v>
      </c>
      <c r="U355">
        <f t="shared" si="63"/>
        <v>22.334654978</v>
      </c>
      <c r="X355" s="9"/>
      <c r="Y355" s="22">
        <v>6.2713599999999994E-2</v>
      </c>
      <c r="Z355" s="22">
        <v>296.65800000000002</v>
      </c>
      <c r="AA355" s="22">
        <v>-1.7797899999999998E-2</v>
      </c>
      <c r="AB355" s="22">
        <v>345</v>
      </c>
      <c r="AC355" s="22">
        <v>6.1798100000000002E-2</v>
      </c>
      <c r="AD355">
        <f t="shared" si="64"/>
        <v>17.797899999999998</v>
      </c>
      <c r="AE355">
        <f t="shared" si="65"/>
        <v>1.1161703814399999</v>
      </c>
      <c r="AF355" s="9"/>
      <c r="AG355" s="22">
        <v>1.63727</v>
      </c>
      <c r="AH355" s="22">
        <v>372.39299999999997</v>
      </c>
      <c r="AI355" s="22">
        <v>-1.5673800000000002E-2</v>
      </c>
      <c r="AJ355" s="22">
        <v>345</v>
      </c>
      <c r="AK355" s="22">
        <v>1.63696</v>
      </c>
      <c r="AL355">
        <f t="shared" si="66"/>
        <v>15.673800000000002</v>
      </c>
      <c r="AM355">
        <f t="shared" si="67"/>
        <v>25.662242526000004</v>
      </c>
      <c r="AP355" s="9"/>
      <c r="AQ355" s="22">
        <v>6.2713599999999994E-2</v>
      </c>
      <c r="AR355" s="22">
        <v>444.596</v>
      </c>
      <c r="AS355" s="22">
        <v>-1.8277000000000002E-2</v>
      </c>
      <c r="AT355" s="22">
        <v>345</v>
      </c>
      <c r="AU355" s="22">
        <v>6.2316900000000001E-2</v>
      </c>
      <c r="AV355">
        <f t="shared" si="68"/>
        <v>18.277000000000001</v>
      </c>
      <c r="AW355">
        <f t="shared" si="69"/>
        <v>1.1462164671999999</v>
      </c>
      <c r="AX355" s="9"/>
      <c r="AY355" s="22">
        <v>1.63727</v>
      </c>
      <c r="AZ355" s="22">
        <v>518.00900000000001</v>
      </c>
      <c r="BA355" s="22">
        <v>-1.58844E-2</v>
      </c>
      <c r="BB355" s="22">
        <v>345</v>
      </c>
      <c r="BC355" s="22">
        <v>1.63696</v>
      </c>
      <c r="BD355">
        <f t="shared" si="70"/>
        <v>15.884399999999999</v>
      </c>
      <c r="BE355">
        <f t="shared" si="71"/>
        <v>26.007051587999999</v>
      </c>
    </row>
    <row r="356" spans="6:57">
      <c r="F356" s="9"/>
      <c r="G356" s="22">
        <v>5.7678199999999999E-2</v>
      </c>
      <c r="H356" s="22">
        <v>83.199700000000007</v>
      </c>
      <c r="I356" s="22">
        <v>-1.5985099999999999E-2</v>
      </c>
      <c r="J356" s="22">
        <v>346</v>
      </c>
      <c r="K356" s="22">
        <v>5.7342499999999998E-2</v>
      </c>
      <c r="L356">
        <f t="shared" si="60"/>
        <v>15.985099999999999</v>
      </c>
      <c r="M356">
        <f t="shared" si="61"/>
        <v>0.92199179481999993</v>
      </c>
      <c r="N356" s="9"/>
      <c r="O356" s="22">
        <v>1.6423000000000001</v>
      </c>
      <c r="P356" s="22">
        <v>198.542</v>
      </c>
      <c r="Q356" s="22">
        <v>-1.36261E-2</v>
      </c>
      <c r="R356" s="22">
        <v>346</v>
      </c>
      <c r="S356" s="22">
        <v>1.64154</v>
      </c>
      <c r="T356">
        <f t="shared" si="62"/>
        <v>13.626100000000001</v>
      </c>
      <c r="U356">
        <f t="shared" si="63"/>
        <v>22.378144030000001</v>
      </c>
      <c r="X356" s="9"/>
      <c r="Y356" s="22">
        <v>5.7678199999999999E-2</v>
      </c>
      <c r="Z356" s="22">
        <v>296.75799999999998</v>
      </c>
      <c r="AA356" s="22">
        <v>-1.7813099999999998E-2</v>
      </c>
      <c r="AB356" s="22">
        <v>346</v>
      </c>
      <c r="AC356" s="22">
        <v>5.6884799999999999E-2</v>
      </c>
      <c r="AD356">
        <f t="shared" si="64"/>
        <v>17.813099999999999</v>
      </c>
      <c r="AE356">
        <f t="shared" si="65"/>
        <v>1.0274275444199998</v>
      </c>
      <c r="AF356" s="9"/>
      <c r="AG356" s="22">
        <v>1.6423000000000001</v>
      </c>
      <c r="AH356" s="22">
        <v>372.49400000000003</v>
      </c>
      <c r="AI356" s="22">
        <v>-1.55487E-2</v>
      </c>
      <c r="AJ356" s="22">
        <v>346</v>
      </c>
      <c r="AK356" s="22">
        <v>1.64185</v>
      </c>
      <c r="AL356">
        <f t="shared" si="66"/>
        <v>15.5487</v>
      </c>
      <c r="AM356">
        <f t="shared" si="67"/>
        <v>25.535630010000002</v>
      </c>
      <c r="AP356" s="9"/>
      <c r="AQ356" s="22">
        <v>5.7678199999999999E-2</v>
      </c>
      <c r="AR356" s="22">
        <v>444.697</v>
      </c>
      <c r="AS356" s="22">
        <v>-1.8280000000000001E-2</v>
      </c>
      <c r="AT356" s="22">
        <v>346</v>
      </c>
      <c r="AU356" s="22">
        <v>5.6640599999999999E-2</v>
      </c>
      <c r="AV356">
        <f t="shared" si="68"/>
        <v>18.28</v>
      </c>
      <c r="AW356">
        <f t="shared" si="69"/>
        <v>1.0543574959999999</v>
      </c>
      <c r="AX356" s="9"/>
      <c r="AY356" s="22">
        <v>1.6423000000000001</v>
      </c>
      <c r="AZ356" s="22">
        <v>518.11</v>
      </c>
      <c r="BA356" s="22">
        <v>-1.57471E-2</v>
      </c>
      <c r="BB356" s="22">
        <v>346</v>
      </c>
      <c r="BC356" s="22">
        <v>1.64093</v>
      </c>
      <c r="BD356">
        <f t="shared" si="70"/>
        <v>15.7471</v>
      </c>
      <c r="BE356">
        <f t="shared" si="71"/>
        <v>25.861462330000002</v>
      </c>
    </row>
    <row r="357" spans="6:57">
      <c r="F357" s="9"/>
      <c r="G357" s="22">
        <v>5.2642799999999997E-2</v>
      </c>
      <c r="H357" s="22">
        <v>83.300399999999996</v>
      </c>
      <c r="I357" s="22">
        <v>-1.5994299999999999E-2</v>
      </c>
      <c r="J357" s="22">
        <v>347</v>
      </c>
      <c r="K357" s="22">
        <v>5.2398699999999999E-2</v>
      </c>
      <c r="L357">
        <f t="shared" si="60"/>
        <v>15.994299999999999</v>
      </c>
      <c r="M357">
        <f t="shared" si="61"/>
        <v>0.8419847360399999</v>
      </c>
      <c r="N357" s="9"/>
      <c r="O357" s="22">
        <v>1.64734</v>
      </c>
      <c r="P357" s="22">
        <v>198.642</v>
      </c>
      <c r="Q357" s="22">
        <v>-1.36139E-2</v>
      </c>
      <c r="R357" s="22">
        <v>347</v>
      </c>
      <c r="S357" s="22">
        <v>1.64581</v>
      </c>
      <c r="T357">
        <f t="shared" si="62"/>
        <v>13.613899999999999</v>
      </c>
      <c r="U357">
        <f t="shared" si="63"/>
        <v>22.426722026</v>
      </c>
      <c r="X357" s="9"/>
      <c r="Y357" s="22">
        <v>5.2642799999999997E-2</v>
      </c>
      <c r="Z357" s="22">
        <v>296.85899999999998</v>
      </c>
      <c r="AA357" s="22">
        <v>-1.7800900000000001E-2</v>
      </c>
      <c r="AB357" s="22">
        <v>347</v>
      </c>
      <c r="AC357" s="22">
        <v>5.2948000000000002E-2</v>
      </c>
      <c r="AD357">
        <f t="shared" si="64"/>
        <v>17.800900000000002</v>
      </c>
      <c r="AE357">
        <f t="shared" si="65"/>
        <v>0.93708921852000004</v>
      </c>
      <c r="AF357" s="9"/>
      <c r="AG357" s="22">
        <v>1.64734</v>
      </c>
      <c r="AH357" s="22">
        <v>372.59399999999999</v>
      </c>
      <c r="AI357" s="22">
        <v>-1.53931E-2</v>
      </c>
      <c r="AJ357" s="22">
        <v>347</v>
      </c>
      <c r="AK357" s="22">
        <v>1.64642</v>
      </c>
      <c r="AL357">
        <f t="shared" si="66"/>
        <v>15.3931</v>
      </c>
      <c r="AM357">
        <f t="shared" si="67"/>
        <v>25.357669354000002</v>
      </c>
      <c r="AP357" s="9"/>
      <c r="AQ357" s="22">
        <v>5.2642799999999997E-2</v>
      </c>
      <c r="AR357" s="22">
        <v>444.79700000000003</v>
      </c>
      <c r="AS357" s="22">
        <v>-1.8280000000000001E-2</v>
      </c>
      <c r="AT357" s="22">
        <v>347</v>
      </c>
      <c r="AU357" s="22">
        <v>5.18799E-2</v>
      </c>
      <c r="AV357">
        <f t="shared" si="68"/>
        <v>18.28</v>
      </c>
      <c r="AW357">
        <f t="shared" si="69"/>
        <v>0.96231038400000002</v>
      </c>
      <c r="AX357" s="9"/>
      <c r="AY357" s="22">
        <v>1.64734</v>
      </c>
      <c r="AZ357" s="22">
        <v>518.21100000000001</v>
      </c>
      <c r="BA357" s="22">
        <v>-1.55823E-2</v>
      </c>
      <c r="BB357" s="22">
        <v>347</v>
      </c>
      <c r="BC357" s="22">
        <v>1.64673</v>
      </c>
      <c r="BD357">
        <f t="shared" si="70"/>
        <v>15.5823</v>
      </c>
      <c r="BE357">
        <f t="shared" si="71"/>
        <v>25.669346082000001</v>
      </c>
    </row>
    <row r="358" spans="6:57">
      <c r="F358" s="9"/>
      <c r="G358" s="22">
        <v>4.7607400000000001E-2</v>
      </c>
      <c r="H358" s="22">
        <v>83.4011</v>
      </c>
      <c r="I358" s="22">
        <v>-1.5997299999999999E-2</v>
      </c>
      <c r="J358" s="22">
        <v>348</v>
      </c>
      <c r="K358" s="22">
        <v>4.7796600000000002E-2</v>
      </c>
      <c r="L358">
        <f t="shared" si="60"/>
        <v>15.997299999999999</v>
      </c>
      <c r="M358">
        <f t="shared" si="61"/>
        <v>0.76158986001999995</v>
      </c>
      <c r="N358" s="9"/>
      <c r="O358" s="22">
        <v>1.6523699999999999</v>
      </c>
      <c r="P358" s="22">
        <v>198.74299999999999</v>
      </c>
      <c r="Q358" s="22">
        <v>-1.3589499999999999E-2</v>
      </c>
      <c r="R358" s="22">
        <v>348</v>
      </c>
      <c r="S358" s="22">
        <v>1.6513100000000001</v>
      </c>
      <c r="T358">
        <f t="shared" si="62"/>
        <v>13.589499999999999</v>
      </c>
      <c r="U358">
        <f t="shared" si="63"/>
        <v>22.454882114999997</v>
      </c>
      <c r="X358" s="9"/>
      <c r="Y358" s="22">
        <v>4.7607400000000001E-2</v>
      </c>
      <c r="Z358" s="22">
        <v>296.95999999999998</v>
      </c>
      <c r="AA358" s="22">
        <v>-1.7804E-2</v>
      </c>
      <c r="AB358" s="22">
        <v>348</v>
      </c>
      <c r="AC358" s="22">
        <v>4.7680699999999999E-2</v>
      </c>
      <c r="AD358">
        <f t="shared" si="64"/>
        <v>17.804000000000002</v>
      </c>
      <c r="AE358">
        <f t="shared" si="65"/>
        <v>0.84760214960000013</v>
      </c>
      <c r="AF358" s="9"/>
      <c r="AG358" s="22">
        <v>1.6523699999999999</v>
      </c>
      <c r="AH358" s="22">
        <v>372.69499999999999</v>
      </c>
      <c r="AI358" s="22">
        <v>-1.5219099999999999E-2</v>
      </c>
      <c r="AJ358" s="22">
        <v>348</v>
      </c>
      <c r="AK358" s="22">
        <v>1.651</v>
      </c>
      <c r="AL358">
        <f t="shared" si="66"/>
        <v>15.219099999999999</v>
      </c>
      <c r="AM358">
        <f t="shared" si="67"/>
        <v>25.147584266999996</v>
      </c>
      <c r="AP358" s="9"/>
      <c r="AQ358" s="22">
        <v>4.7607400000000001E-2</v>
      </c>
      <c r="AR358" s="22">
        <v>444.89800000000002</v>
      </c>
      <c r="AS358" s="22">
        <v>-1.82831E-2</v>
      </c>
      <c r="AT358" s="22">
        <v>348</v>
      </c>
      <c r="AU358" s="22">
        <v>4.7482299999999998E-2</v>
      </c>
      <c r="AV358">
        <f t="shared" si="68"/>
        <v>18.283100000000001</v>
      </c>
      <c r="AW358">
        <f t="shared" si="69"/>
        <v>0.87041085494000003</v>
      </c>
      <c r="AX358" s="9"/>
      <c r="AY358" s="22">
        <v>1.6523699999999999</v>
      </c>
      <c r="AZ358" s="22">
        <v>518.31100000000004</v>
      </c>
      <c r="BA358" s="22">
        <v>-1.54144E-2</v>
      </c>
      <c r="BB358" s="22">
        <v>348</v>
      </c>
      <c r="BC358" s="22">
        <v>1.65161</v>
      </c>
      <c r="BD358">
        <f t="shared" si="70"/>
        <v>15.414400000000001</v>
      </c>
      <c r="BE358">
        <f t="shared" si="71"/>
        <v>25.470292128000001</v>
      </c>
    </row>
    <row r="359" spans="6:57">
      <c r="F359" s="9"/>
      <c r="G359" s="22">
        <v>4.2571999999999999E-2</v>
      </c>
      <c r="H359" s="22">
        <v>83.501800000000003</v>
      </c>
      <c r="I359" s="22">
        <v>-1.6015600000000001E-2</v>
      </c>
      <c r="J359" s="22">
        <v>349</v>
      </c>
      <c r="K359" s="22">
        <v>4.2755099999999997E-2</v>
      </c>
      <c r="L359">
        <f t="shared" si="60"/>
        <v>16.015600000000003</v>
      </c>
      <c r="M359">
        <f t="shared" si="61"/>
        <v>0.68181612320000007</v>
      </c>
      <c r="N359" s="9"/>
      <c r="O359" s="22">
        <v>1.65741</v>
      </c>
      <c r="P359" s="22">
        <v>198.84399999999999</v>
      </c>
      <c r="Q359" s="22">
        <v>-1.35376E-2</v>
      </c>
      <c r="R359" s="22">
        <v>349</v>
      </c>
      <c r="S359" s="22">
        <v>1.6571</v>
      </c>
      <c r="T359">
        <f t="shared" si="62"/>
        <v>13.537600000000001</v>
      </c>
      <c r="U359">
        <f t="shared" si="63"/>
        <v>22.437353616000003</v>
      </c>
      <c r="X359" s="9"/>
      <c r="Y359" s="22">
        <v>4.2571999999999999E-2</v>
      </c>
      <c r="Z359" s="22">
        <v>297.06</v>
      </c>
      <c r="AA359" s="22">
        <v>-1.7810099999999999E-2</v>
      </c>
      <c r="AB359" s="22">
        <v>349</v>
      </c>
      <c r="AC359" s="22">
        <v>4.2514000000000003E-2</v>
      </c>
      <c r="AD359">
        <f t="shared" si="64"/>
        <v>17.810099999999998</v>
      </c>
      <c r="AE359">
        <f t="shared" si="65"/>
        <v>0.75821157719999988</v>
      </c>
      <c r="AF359" s="9"/>
      <c r="AG359" s="22">
        <v>1.65741</v>
      </c>
      <c r="AH359" s="22">
        <v>372.79599999999999</v>
      </c>
      <c r="AI359" s="22">
        <v>-1.50391E-2</v>
      </c>
      <c r="AJ359" s="22">
        <v>349</v>
      </c>
      <c r="AK359" s="22">
        <v>1.6568000000000001</v>
      </c>
      <c r="AL359">
        <f t="shared" si="66"/>
        <v>15.039099999999999</v>
      </c>
      <c r="AM359">
        <f t="shared" si="67"/>
        <v>24.925954731000001</v>
      </c>
      <c r="AP359" s="9"/>
      <c r="AQ359" s="22">
        <v>4.2571999999999999E-2</v>
      </c>
      <c r="AR359" s="22">
        <v>444.99900000000002</v>
      </c>
      <c r="AS359" s="22">
        <v>-1.8289199999999999E-2</v>
      </c>
      <c r="AT359" s="22">
        <v>349</v>
      </c>
      <c r="AU359" s="22">
        <v>4.3533299999999997E-2</v>
      </c>
      <c r="AV359">
        <f t="shared" si="68"/>
        <v>18.289199999999997</v>
      </c>
      <c r="AW359">
        <f t="shared" si="69"/>
        <v>0.77860782239999982</v>
      </c>
      <c r="AX359" s="9"/>
      <c r="AY359" s="22">
        <v>1.65741</v>
      </c>
      <c r="AZ359" s="22">
        <v>518.41200000000003</v>
      </c>
      <c r="BA359" s="22">
        <v>-1.5219099999999999E-2</v>
      </c>
      <c r="BB359" s="22">
        <v>349</v>
      </c>
      <c r="BC359" s="22">
        <v>1.6568000000000001</v>
      </c>
      <c r="BD359">
        <f t="shared" si="70"/>
        <v>15.219099999999999</v>
      </c>
      <c r="BE359">
        <f t="shared" si="71"/>
        <v>25.224288530999999</v>
      </c>
    </row>
    <row r="360" spans="6:57">
      <c r="F360" s="9"/>
      <c r="G360" s="22">
        <v>3.7536600000000003E-2</v>
      </c>
      <c r="H360" s="22">
        <v>83.602599999999995</v>
      </c>
      <c r="I360" s="22">
        <v>-1.6036999999999999E-2</v>
      </c>
      <c r="J360" s="22">
        <v>350</v>
      </c>
      <c r="K360" s="22">
        <v>3.7710599999999997E-2</v>
      </c>
      <c r="L360">
        <f t="shared" si="60"/>
        <v>16.036999999999999</v>
      </c>
      <c r="M360">
        <f t="shared" si="61"/>
        <v>0.60197445420000006</v>
      </c>
      <c r="N360" s="9"/>
      <c r="O360" s="22">
        <v>1.66245</v>
      </c>
      <c r="P360" s="22">
        <v>198.94499999999999</v>
      </c>
      <c r="Q360" s="22">
        <v>-1.3473499999999999E-2</v>
      </c>
      <c r="R360" s="22">
        <v>350</v>
      </c>
      <c r="S360" s="22">
        <v>1.6619900000000001</v>
      </c>
      <c r="T360">
        <f t="shared" si="62"/>
        <v>13.4735</v>
      </c>
      <c r="U360">
        <f t="shared" si="63"/>
        <v>22.399020074999999</v>
      </c>
      <c r="X360" s="9"/>
      <c r="Y360" s="22">
        <v>3.7536600000000003E-2</v>
      </c>
      <c r="Z360" s="22">
        <v>297.161</v>
      </c>
      <c r="AA360" s="22">
        <v>-1.7804E-2</v>
      </c>
      <c r="AB360" s="22">
        <v>350</v>
      </c>
      <c r="AC360" s="22">
        <v>3.7692299999999998E-2</v>
      </c>
      <c r="AD360">
        <f t="shared" si="64"/>
        <v>17.804000000000002</v>
      </c>
      <c r="AE360">
        <f t="shared" si="65"/>
        <v>0.66830162640000013</v>
      </c>
      <c r="AF360" s="9"/>
      <c r="AG360" s="22">
        <v>1.66245</v>
      </c>
      <c r="AH360" s="22">
        <v>372.89600000000002</v>
      </c>
      <c r="AI360" s="22">
        <v>-1.4831499999999999E-2</v>
      </c>
      <c r="AJ360" s="22">
        <v>350</v>
      </c>
      <c r="AK360" s="22">
        <v>1.66168</v>
      </c>
      <c r="AL360">
        <f t="shared" si="66"/>
        <v>14.831499999999998</v>
      </c>
      <c r="AM360">
        <f t="shared" si="67"/>
        <v>24.656627174999997</v>
      </c>
      <c r="AP360" s="9"/>
      <c r="AQ360" s="22">
        <v>3.7536600000000003E-2</v>
      </c>
      <c r="AR360" s="22">
        <v>445.1</v>
      </c>
      <c r="AS360" s="22">
        <v>-1.82861E-2</v>
      </c>
      <c r="AT360" s="22">
        <v>350</v>
      </c>
      <c r="AU360" s="22">
        <v>3.7551899999999999E-2</v>
      </c>
      <c r="AV360">
        <f t="shared" si="68"/>
        <v>18.286100000000001</v>
      </c>
      <c r="AW360">
        <f t="shared" si="69"/>
        <v>0.68639802126000016</v>
      </c>
      <c r="AX360" s="9"/>
      <c r="AY360" s="22">
        <v>1.66245</v>
      </c>
      <c r="AZ360" s="22">
        <v>518.51300000000003</v>
      </c>
      <c r="BA360" s="22">
        <v>-1.4996300000000001E-2</v>
      </c>
      <c r="BB360" s="22">
        <v>350</v>
      </c>
      <c r="BC360" s="22">
        <v>1.6613800000000001</v>
      </c>
      <c r="BD360">
        <f t="shared" si="70"/>
        <v>14.9963</v>
      </c>
      <c r="BE360">
        <f t="shared" si="71"/>
        <v>24.930598934999999</v>
      </c>
    </row>
    <row r="361" spans="6:57">
      <c r="F361" s="9"/>
      <c r="G361" s="22">
        <v>3.2501200000000001E-2</v>
      </c>
      <c r="H361" s="22">
        <v>83.703299999999999</v>
      </c>
      <c r="I361" s="22">
        <v>-1.6055300000000002E-2</v>
      </c>
      <c r="J361" s="22">
        <v>351</v>
      </c>
      <c r="K361" s="22">
        <v>3.2656900000000003E-2</v>
      </c>
      <c r="L361">
        <f t="shared" si="60"/>
        <v>16.055300000000003</v>
      </c>
      <c r="M361">
        <f t="shared" si="61"/>
        <v>0.52181651636000015</v>
      </c>
      <c r="N361" s="9"/>
      <c r="O361" s="22">
        <v>1.6674800000000001</v>
      </c>
      <c r="P361" s="22">
        <v>199.04499999999999</v>
      </c>
      <c r="Q361" s="22">
        <v>-1.3384999999999999E-2</v>
      </c>
      <c r="R361" s="22">
        <v>351</v>
      </c>
      <c r="S361" s="22">
        <v>1.6668700000000001</v>
      </c>
      <c r="T361">
        <f t="shared" si="62"/>
        <v>13.385</v>
      </c>
      <c r="U361">
        <f t="shared" si="63"/>
        <v>22.319219799999999</v>
      </c>
      <c r="X361" s="9"/>
      <c r="Y361" s="22">
        <v>3.2501200000000001E-2</v>
      </c>
      <c r="Z361" s="22">
        <v>297.262</v>
      </c>
      <c r="AA361" s="22">
        <v>-1.7807E-2</v>
      </c>
      <c r="AB361" s="22">
        <v>351</v>
      </c>
      <c r="AC361" s="22">
        <v>3.2232700000000003E-2</v>
      </c>
      <c r="AD361">
        <f t="shared" si="64"/>
        <v>17.806999999999999</v>
      </c>
      <c r="AE361">
        <f t="shared" si="65"/>
        <v>0.57874886839999995</v>
      </c>
      <c r="AF361" s="9"/>
      <c r="AG361" s="22">
        <v>1.6674800000000001</v>
      </c>
      <c r="AH361" s="22">
        <v>372.99700000000001</v>
      </c>
      <c r="AI361" s="22">
        <v>-1.46088E-2</v>
      </c>
      <c r="AJ361" s="22">
        <v>351</v>
      </c>
      <c r="AK361" s="22">
        <v>1.66656</v>
      </c>
      <c r="AL361">
        <f t="shared" si="66"/>
        <v>14.6088</v>
      </c>
      <c r="AM361">
        <f t="shared" si="67"/>
        <v>24.359881824000002</v>
      </c>
      <c r="AP361" s="9"/>
      <c r="AQ361" s="22">
        <v>3.2501200000000001E-2</v>
      </c>
      <c r="AR361" s="22">
        <v>445.2</v>
      </c>
      <c r="AS361" s="22">
        <v>-1.82861E-2</v>
      </c>
      <c r="AT361" s="22">
        <v>351</v>
      </c>
      <c r="AU361" s="22">
        <v>3.2699600000000002E-2</v>
      </c>
      <c r="AV361">
        <f t="shared" si="68"/>
        <v>18.286100000000001</v>
      </c>
      <c r="AW361">
        <f t="shared" si="69"/>
        <v>0.59432019332000008</v>
      </c>
      <c r="AX361" s="9"/>
      <c r="AY361" s="22">
        <v>1.6674800000000001</v>
      </c>
      <c r="AZ361" s="22">
        <v>518.61400000000003</v>
      </c>
      <c r="BA361" s="22">
        <v>-1.4733899999999999E-2</v>
      </c>
      <c r="BB361" s="22">
        <v>351</v>
      </c>
      <c r="BC361" s="22">
        <v>1.6674800000000001</v>
      </c>
      <c r="BD361">
        <f t="shared" si="70"/>
        <v>14.7339</v>
      </c>
      <c r="BE361">
        <f t="shared" si="71"/>
        <v>24.568483572000002</v>
      </c>
    </row>
    <row r="362" spans="6:57">
      <c r="F362" s="9"/>
      <c r="G362" s="22">
        <v>2.7465799999999999E-2</v>
      </c>
      <c r="H362" s="22">
        <v>83.804000000000002</v>
      </c>
      <c r="I362" s="22">
        <v>-1.60889E-2</v>
      </c>
      <c r="J362" s="22">
        <v>352</v>
      </c>
      <c r="K362" s="22">
        <v>2.7578700000000001E-2</v>
      </c>
      <c r="L362">
        <f t="shared" si="60"/>
        <v>16.088899999999999</v>
      </c>
      <c r="M362">
        <f t="shared" si="61"/>
        <v>0.44189450961999993</v>
      </c>
      <c r="N362" s="9"/>
      <c r="O362" s="22">
        <v>1.67252</v>
      </c>
      <c r="P362" s="22">
        <v>199.14599999999999</v>
      </c>
      <c r="Q362" s="22">
        <v>-1.3262899999999999E-2</v>
      </c>
      <c r="R362" s="22">
        <v>352</v>
      </c>
      <c r="S362" s="22">
        <v>1.6717500000000001</v>
      </c>
      <c r="T362">
        <f t="shared" si="62"/>
        <v>13.2629</v>
      </c>
      <c r="U362">
        <f t="shared" si="63"/>
        <v>22.182465508</v>
      </c>
      <c r="X362" s="9"/>
      <c r="Y362" s="22">
        <v>2.7465799999999999E-2</v>
      </c>
      <c r="Z362" s="22">
        <v>297.363</v>
      </c>
      <c r="AA362" s="22">
        <v>-1.7807E-2</v>
      </c>
      <c r="AB362" s="22">
        <v>352</v>
      </c>
      <c r="AC362" s="22">
        <v>2.77588E-2</v>
      </c>
      <c r="AD362">
        <f t="shared" si="64"/>
        <v>17.806999999999999</v>
      </c>
      <c r="AE362">
        <f t="shared" si="65"/>
        <v>0.48908350059999994</v>
      </c>
      <c r="AF362" s="9"/>
      <c r="AG362" s="22">
        <v>1.67252</v>
      </c>
      <c r="AH362" s="22">
        <v>373.09800000000001</v>
      </c>
      <c r="AI362" s="22">
        <v>-1.4340200000000001E-2</v>
      </c>
      <c r="AJ362" s="22">
        <v>352</v>
      </c>
      <c r="AK362" s="22">
        <v>1.6714500000000001</v>
      </c>
      <c r="AL362">
        <f t="shared" si="66"/>
        <v>14.340200000000001</v>
      </c>
      <c r="AM362">
        <f t="shared" si="67"/>
        <v>23.984271304000004</v>
      </c>
      <c r="AP362" s="9"/>
      <c r="AQ362" s="22">
        <v>2.7465799999999999E-2</v>
      </c>
      <c r="AR362" s="22">
        <v>445.30099999999999</v>
      </c>
      <c r="AS362" s="22">
        <v>-1.82953E-2</v>
      </c>
      <c r="AT362" s="22">
        <v>352</v>
      </c>
      <c r="AU362" s="22">
        <v>2.8024299999999999E-2</v>
      </c>
      <c r="AV362">
        <f t="shared" si="68"/>
        <v>18.295300000000001</v>
      </c>
      <c r="AW362">
        <f t="shared" si="69"/>
        <v>0.50249505074</v>
      </c>
      <c r="AX362" s="9"/>
      <c r="AY362" s="22">
        <v>1.67252</v>
      </c>
      <c r="AZ362" s="22">
        <v>518.71400000000006</v>
      </c>
      <c r="BA362" s="22">
        <v>-1.4447E-2</v>
      </c>
      <c r="BB362" s="22">
        <v>352</v>
      </c>
      <c r="BC362" s="22">
        <v>1.6720600000000001</v>
      </c>
      <c r="BD362">
        <f t="shared" si="70"/>
        <v>14.446999999999999</v>
      </c>
      <c r="BE362">
        <f t="shared" si="71"/>
        <v>24.162896439999997</v>
      </c>
    </row>
    <row r="363" spans="6:57">
      <c r="F363" s="9"/>
      <c r="G363" s="22">
        <v>2.24304E-2</v>
      </c>
      <c r="H363" s="22">
        <v>83.904700000000005</v>
      </c>
      <c r="I363" s="22">
        <v>-1.6107199999999999E-2</v>
      </c>
      <c r="J363" s="22">
        <v>353</v>
      </c>
      <c r="K363" s="22">
        <v>2.2528099999999999E-2</v>
      </c>
      <c r="L363">
        <f t="shared" si="60"/>
        <v>16.107199999999999</v>
      </c>
      <c r="M363">
        <f t="shared" si="61"/>
        <v>0.36129093887999997</v>
      </c>
      <c r="N363" s="9"/>
      <c r="O363" s="22">
        <v>1.6775500000000001</v>
      </c>
      <c r="P363" s="22">
        <v>199.24700000000001</v>
      </c>
      <c r="Q363" s="22">
        <v>-1.2976100000000001E-2</v>
      </c>
      <c r="R363" s="22">
        <v>353</v>
      </c>
      <c r="S363" s="22">
        <v>1.6769400000000001</v>
      </c>
      <c r="T363">
        <f t="shared" si="62"/>
        <v>12.976100000000001</v>
      </c>
      <c r="U363">
        <f t="shared" si="63"/>
        <v>21.768056555000001</v>
      </c>
      <c r="X363" s="9"/>
      <c r="Y363" s="22">
        <v>2.24304E-2</v>
      </c>
      <c r="Z363" s="22">
        <v>297.46300000000002</v>
      </c>
      <c r="AA363" s="22">
        <v>-1.7810099999999999E-2</v>
      </c>
      <c r="AB363" s="22">
        <v>353</v>
      </c>
      <c r="AC363" s="22">
        <v>2.24152E-2</v>
      </c>
      <c r="AD363">
        <f t="shared" si="64"/>
        <v>17.810099999999998</v>
      </c>
      <c r="AE363">
        <f t="shared" si="65"/>
        <v>0.39948766703999994</v>
      </c>
      <c r="AF363" s="9"/>
      <c r="AG363" s="22">
        <v>1.6775500000000001</v>
      </c>
      <c r="AH363" s="22">
        <v>373.19900000000001</v>
      </c>
      <c r="AI363" s="22">
        <v>-1.4065599999999999E-2</v>
      </c>
      <c r="AJ363" s="22">
        <v>353</v>
      </c>
      <c r="AK363" s="22">
        <v>1.6769400000000001</v>
      </c>
      <c r="AL363">
        <f t="shared" si="66"/>
        <v>14.0656</v>
      </c>
      <c r="AM363">
        <f t="shared" si="67"/>
        <v>23.595747280000001</v>
      </c>
      <c r="AP363" s="9"/>
      <c r="AQ363" s="22">
        <v>2.24304E-2</v>
      </c>
      <c r="AR363" s="22">
        <v>445.40199999999999</v>
      </c>
      <c r="AS363" s="22">
        <v>-1.82953E-2</v>
      </c>
      <c r="AT363" s="22">
        <v>353</v>
      </c>
      <c r="AU363" s="22">
        <v>2.2372400000000001E-2</v>
      </c>
      <c r="AV363">
        <f t="shared" si="68"/>
        <v>18.295300000000001</v>
      </c>
      <c r="AW363">
        <f t="shared" si="69"/>
        <v>0.41037089712000002</v>
      </c>
      <c r="AX363" s="9"/>
      <c r="AY363" s="22">
        <v>1.6775500000000001</v>
      </c>
      <c r="AZ363" s="22">
        <v>518.81500000000005</v>
      </c>
      <c r="BA363" s="22">
        <v>-1.41022E-2</v>
      </c>
      <c r="BB363" s="22">
        <v>353</v>
      </c>
      <c r="BC363" s="22">
        <v>1.6769400000000001</v>
      </c>
      <c r="BD363">
        <f t="shared" si="70"/>
        <v>14.1022</v>
      </c>
      <c r="BE363">
        <f t="shared" si="71"/>
        <v>23.657145610000001</v>
      </c>
    </row>
    <row r="364" spans="6:57">
      <c r="F364" s="9"/>
      <c r="G364" s="22">
        <v>1.7395000000000001E-2</v>
      </c>
      <c r="H364" s="22">
        <v>84.005399999999995</v>
      </c>
      <c r="I364" s="22">
        <v>-1.6134599999999999E-2</v>
      </c>
      <c r="J364" s="22">
        <v>354</v>
      </c>
      <c r="K364" s="22">
        <v>1.7495699999999999E-2</v>
      </c>
      <c r="L364">
        <f t="shared" si="60"/>
        <v>16.134599999999999</v>
      </c>
      <c r="M364">
        <f t="shared" si="61"/>
        <v>0.28066136699999999</v>
      </c>
      <c r="N364" s="9"/>
      <c r="O364" s="22">
        <v>1.68259</v>
      </c>
      <c r="P364" s="22">
        <v>199.34700000000001</v>
      </c>
      <c r="Q364" s="22">
        <v>-1.23657E-2</v>
      </c>
      <c r="R364" s="22">
        <v>354</v>
      </c>
      <c r="S364" s="22">
        <v>1.6815199999999999</v>
      </c>
      <c r="T364">
        <f t="shared" si="62"/>
        <v>12.3657</v>
      </c>
      <c r="U364">
        <f t="shared" si="63"/>
        <v>20.806403163000002</v>
      </c>
      <c r="X364" s="9"/>
      <c r="Y364" s="22">
        <v>1.7395000000000001E-2</v>
      </c>
      <c r="Z364" s="22">
        <v>297.56400000000002</v>
      </c>
      <c r="AA364" s="22">
        <v>-1.7810099999999999E-2</v>
      </c>
      <c r="AB364" s="22">
        <v>354</v>
      </c>
      <c r="AC364" s="22">
        <v>1.7462200000000001E-2</v>
      </c>
      <c r="AD364">
        <f t="shared" si="64"/>
        <v>17.810099999999998</v>
      </c>
      <c r="AE364">
        <f t="shared" si="65"/>
        <v>0.30980668950000001</v>
      </c>
      <c r="AF364" s="9"/>
      <c r="AG364" s="22">
        <v>1.68259</v>
      </c>
      <c r="AH364" s="22">
        <v>373.29899999999998</v>
      </c>
      <c r="AI364" s="22">
        <v>-1.37238E-2</v>
      </c>
      <c r="AJ364" s="22">
        <v>354</v>
      </c>
      <c r="AK364" s="22">
        <v>1.6824300000000001</v>
      </c>
      <c r="AL364">
        <f t="shared" si="66"/>
        <v>13.723799999999999</v>
      </c>
      <c r="AM364">
        <f t="shared" si="67"/>
        <v>23.091528642</v>
      </c>
      <c r="AP364" s="9"/>
      <c r="AQ364" s="22">
        <v>1.7395000000000001E-2</v>
      </c>
      <c r="AR364" s="22">
        <v>445.50200000000001</v>
      </c>
      <c r="AS364" s="22">
        <v>-1.82983E-2</v>
      </c>
      <c r="AT364" s="22">
        <v>354</v>
      </c>
      <c r="AU364" s="22">
        <v>1.76727E-2</v>
      </c>
      <c r="AV364">
        <f t="shared" si="68"/>
        <v>18.298300000000001</v>
      </c>
      <c r="AW364">
        <f t="shared" si="69"/>
        <v>0.31829892850000002</v>
      </c>
      <c r="AX364" s="9"/>
      <c r="AY364" s="22">
        <v>1.68259</v>
      </c>
      <c r="AZ364" s="22">
        <v>518.91600000000005</v>
      </c>
      <c r="BA364" s="22">
        <v>-1.3720700000000001E-2</v>
      </c>
      <c r="BB364" s="22">
        <v>354</v>
      </c>
      <c r="BC364" s="22">
        <v>1.6818200000000001</v>
      </c>
      <c r="BD364">
        <f t="shared" si="70"/>
        <v>13.720700000000001</v>
      </c>
      <c r="BE364">
        <f t="shared" si="71"/>
        <v>23.086312613</v>
      </c>
    </row>
    <row r="365" spans="6:57">
      <c r="F365" s="9"/>
      <c r="G365" s="22">
        <v>1.23596E-2</v>
      </c>
      <c r="H365" s="22">
        <v>84.106099999999998</v>
      </c>
      <c r="I365" s="22">
        <v>-1.6153000000000001E-2</v>
      </c>
      <c r="J365" s="22">
        <v>355</v>
      </c>
      <c r="K365" s="22">
        <v>1.2478599999999999E-2</v>
      </c>
      <c r="L365">
        <f t="shared" si="60"/>
        <v>16.153000000000002</v>
      </c>
      <c r="M365">
        <f t="shared" si="61"/>
        <v>0.19964461880000003</v>
      </c>
      <c r="N365" s="9"/>
      <c r="O365" s="22">
        <v>1.6876199999999999</v>
      </c>
      <c r="P365" s="22">
        <v>199.44800000000001</v>
      </c>
      <c r="Q365" s="22">
        <v>-1.16852E-2</v>
      </c>
      <c r="R365" s="22">
        <v>355</v>
      </c>
      <c r="S365" s="22">
        <v>1.6863999999999999</v>
      </c>
      <c r="T365">
        <f t="shared" si="62"/>
        <v>11.6852</v>
      </c>
      <c r="U365">
        <f t="shared" si="63"/>
        <v>19.720177224</v>
      </c>
      <c r="X365" s="9"/>
      <c r="Y365" s="22">
        <v>1.23596E-2</v>
      </c>
      <c r="Z365" s="22">
        <v>297.66500000000002</v>
      </c>
      <c r="AA365" s="22">
        <v>-1.7804E-2</v>
      </c>
      <c r="AB365" s="22">
        <v>355</v>
      </c>
      <c r="AC365" s="22">
        <v>1.24268E-2</v>
      </c>
      <c r="AD365">
        <f t="shared" si="64"/>
        <v>17.804000000000002</v>
      </c>
      <c r="AE365">
        <f t="shared" si="65"/>
        <v>0.22005031840000003</v>
      </c>
      <c r="AF365" s="9"/>
      <c r="AG365" s="22">
        <v>1.6876199999999999</v>
      </c>
      <c r="AH365" s="22">
        <v>373.4</v>
      </c>
      <c r="AI365" s="22">
        <v>-1.3317900000000001E-2</v>
      </c>
      <c r="AJ365" s="22">
        <v>355</v>
      </c>
      <c r="AK365" s="22">
        <v>1.6863999999999999</v>
      </c>
      <c r="AL365">
        <f t="shared" si="66"/>
        <v>13.3179</v>
      </c>
      <c r="AM365">
        <f t="shared" si="67"/>
        <v>22.475554398</v>
      </c>
      <c r="AP365" s="9"/>
      <c r="AQ365" s="22">
        <v>1.23596E-2</v>
      </c>
      <c r="AR365" s="22">
        <v>445.60300000000001</v>
      </c>
      <c r="AS365" s="22">
        <v>-1.82983E-2</v>
      </c>
      <c r="AT365" s="22">
        <v>355</v>
      </c>
      <c r="AU365" s="22">
        <v>1.26617E-2</v>
      </c>
      <c r="AV365">
        <f t="shared" si="68"/>
        <v>18.298300000000001</v>
      </c>
      <c r="AW365">
        <f t="shared" si="69"/>
        <v>0.22615966868000001</v>
      </c>
      <c r="AX365" s="9"/>
      <c r="AY365" s="22">
        <v>1.6876199999999999</v>
      </c>
      <c r="AZ365" s="22">
        <v>519.01599999999996</v>
      </c>
      <c r="BA365" s="22">
        <v>-1.3284300000000001E-2</v>
      </c>
      <c r="BB365" s="22">
        <v>355</v>
      </c>
      <c r="BC365" s="22">
        <v>1.6863999999999999</v>
      </c>
      <c r="BD365">
        <f t="shared" si="70"/>
        <v>13.2843</v>
      </c>
      <c r="BE365">
        <f t="shared" si="71"/>
        <v>22.418850365999997</v>
      </c>
    </row>
    <row r="366" spans="6:57">
      <c r="F366" s="9"/>
      <c r="G366" s="22">
        <v>7.3242200000000002E-3</v>
      </c>
      <c r="H366" s="22">
        <v>84.206800000000001</v>
      </c>
      <c r="I366" s="22">
        <v>-1.61438E-2</v>
      </c>
      <c r="J366" s="22">
        <v>356</v>
      </c>
      <c r="K366" s="22">
        <v>7.4127200000000002E-3</v>
      </c>
      <c r="L366">
        <f t="shared" si="60"/>
        <v>16.143799999999999</v>
      </c>
      <c r="M366">
        <f t="shared" si="61"/>
        <v>0.118240742836</v>
      </c>
      <c r="N366" s="9"/>
      <c r="O366" s="22">
        <v>1.6926600000000001</v>
      </c>
      <c r="P366" s="22">
        <v>199.54900000000001</v>
      </c>
      <c r="Q366" s="22">
        <v>-1.08459E-2</v>
      </c>
      <c r="R366" s="22">
        <v>356</v>
      </c>
      <c r="S366" s="22">
        <v>1.6918899999999999</v>
      </c>
      <c r="T366">
        <f t="shared" si="62"/>
        <v>10.8459</v>
      </c>
      <c r="U366">
        <f t="shared" si="63"/>
        <v>18.358421094000001</v>
      </c>
      <c r="X366" s="9"/>
      <c r="Y366" s="22">
        <v>7.3242200000000002E-3</v>
      </c>
      <c r="Z366" s="22">
        <v>297.76499999999999</v>
      </c>
      <c r="AA366" s="22">
        <v>-1.7816200000000001E-2</v>
      </c>
      <c r="AB366" s="22">
        <v>356</v>
      </c>
      <c r="AC366" s="22">
        <v>7.31812E-3</v>
      </c>
      <c r="AD366">
        <f t="shared" si="64"/>
        <v>17.816200000000002</v>
      </c>
      <c r="AE366">
        <f t="shared" si="65"/>
        <v>0.13048976836400003</v>
      </c>
      <c r="AF366" s="9"/>
      <c r="AG366" s="22">
        <v>1.6926600000000001</v>
      </c>
      <c r="AH366" s="22">
        <v>373.50099999999998</v>
      </c>
      <c r="AI366" s="22">
        <v>-1.2860099999999999E-2</v>
      </c>
      <c r="AJ366" s="22">
        <v>356</v>
      </c>
      <c r="AK366" s="22">
        <v>1.6915899999999999</v>
      </c>
      <c r="AL366">
        <f t="shared" si="66"/>
        <v>12.860099999999999</v>
      </c>
      <c r="AM366">
        <f t="shared" si="67"/>
        <v>21.767776865999998</v>
      </c>
      <c r="AP366" s="9"/>
      <c r="AQ366" s="22">
        <v>7.3242200000000002E-3</v>
      </c>
      <c r="AR366" s="22">
        <v>445.70400000000001</v>
      </c>
      <c r="AS366" s="22">
        <v>-1.8301399999999999E-2</v>
      </c>
      <c r="AT366" s="22">
        <v>356</v>
      </c>
      <c r="AU366" s="22">
        <v>7.4401900000000002E-3</v>
      </c>
      <c r="AV366">
        <f t="shared" si="68"/>
        <v>18.301399999999997</v>
      </c>
      <c r="AW366">
        <f t="shared" si="69"/>
        <v>0.13404347990799997</v>
      </c>
      <c r="AX366" s="9"/>
      <c r="AY366" s="22">
        <v>1.6926600000000001</v>
      </c>
      <c r="AZ366" s="22">
        <v>519.11699999999996</v>
      </c>
      <c r="BA366" s="22">
        <v>-1.27533E-2</v>
      </c>
      <c r="BB366" s="22">
        <v>356</v>
      </c>
      <c r="BC366" s="22">
        <v>1.6915899999999999</v>
      </c>
      <c r="BD366">
        <f t="shared" si="70"/>
        <v>12.753300000000001</v>
      </c>
      <c r="BE366">
        <f t="shared" si="71"/>
        <v>21.587000778000004</v>
      </c>
    </row>
    <row r="367" spans="6:57">
      <c r="F367" s="9"/>
      <c r="G367" s="22">
        <v>2.28882E-3</v>
      </c>
      <c r="H367" s="22">
        <v>84.307500000000005</v>
      </c>
      <c r="I367" s="22">
        <v>-1.6177400000000002E-2</v>
      </c>
      <c r="J367" s="22">
        <v>357</v>
      </c>
      <c r="K367" s="22">
        <v>2.42004E-3</v>
      </c>
      <c r="L367">
        <f t="shared" si="60"/>
        <v>16.177400000000002</v>
      </c>
      <c r="M367">
        <f t="shared" si="61"/>
        <v>3.7027156668000008E-2</v>
      </c>
      <c r="N367" s="9"/>
      <c r="O367" s="22">
        <v>1.6976899999999999</v>
      </c>
      <c r="P367" s="22">
        <v>199.649</v>
      </c>
      <c r="Q367" s="22">
        <v>-9.8205600000000007E-3</v>
      </c>
      <c r="R367" s="22">
        <v>357</v>
      </c>
      <c r="S367" s="22">
        <v>1.6970799999999999</v>
      </c>
      <c r="T367">
        <f t="shared" si="62"/>
        <v>9.8205600000000004</v>
      </c>
      <c r="U367">
        <f t="shared" si="63"/>
        <v>16.6722665064</v>
      </c>
      <c r="X367" s="9"/>
      <c r="Y367" s="22">
        <v>2.28882E-3</v>
      </c>
      <c r="Z367" s="22">
        <v>297.86599999999999</v>
      </c>
      <c r="AA367" s="22">
        <v>-1.7810099999999999E-2</v>
      </c>
      <c r="AB367" s="22">
        <v>357</v>
      </c>
      <c r="AC367" s="22">
        <v>2.6641799999999999E-3</v>
      </c>
      <c r="AD367">
        <f t="shared" si="64"/>
        <v>17.810099999999998</v>
      </c>
      <c r="AE367">
        <f t="shared" si="65"/>
        <v>4.0764113081999995E-2</v>
      </c>
      <c r="AF367" s="9"/>
      <c r="AG367" s="22">
        <v>1.6976899999999999</v>
      </c>
      <c r="AH367" s="22">
        <v>373.601</v>
      </c>
      <c r="AI367" s="22">
        <v>-1.23047E-2</v>
      </c>
      <c r="AJ367" s="22">
        <v>357</v>
      </c>
      <c r="AK367" s="22">
        <v>1.69678</v>
      </c>
      <c r="AL367">
        <f t="shared" si="66"/>
        <v>12.3047</v>
      </c>
      <c r="AM367">
        <f t="shared" si="67"/>
        <v>20.889566143</v>
      </c>
      <c r="AP367" s="9"/>
      <c r="AQ367" s="22">
        <v>2.28882E-3</v>
      </c>
      <c r="AR367" s="22">
        <v>445.80500000000001</v>
      </c>
      <c r="AS367" s="22">
        <v>-1.82983E-2</v>
      </c>
      <c r="AT367" s="22">
        <v>357</v>
      </c>
      <c r="AU367" s="22">
        <v>2.47803E-3</v>
      </c>
      <c r="AV367">
        <f t="shared" si="68"/>
        <v>18.298300000000001</v>
      </c>
      <c r="AW367">
        <f t="shared" si="69"/>
        <v>4.1881515006E-2</v>
      </c>
      <c r="AX367" s="9"/>
      <c r="AY367" s="22">
        <v>1.6976899999999999</v>
      </c>
      <c r="AZ367" s="22">
        <v>519.21799999999996</v>
      </c>
      <c r="BA367" s="22">
        <v>-1.2124599999999999E-2</v>
      </c>
      <c r="BB367" s="22">
        <v>357</v>
      </c>
      <c r="BC367" s="22">
        <v>1.6964699999999999</v>
      </c>
      <c r="BD367">
        <f t="shared" si="70"/>
        <v>12.124599999999999</v>
      </c>
      <c r="BE367">
        <f t="shared" si="71"/>
        <v>20.583812173999998</v>
      </c>
    </row>
    <row r="368" spans="6:57">
      <c r="F368" s="9"/>
      <c r="G368" s="22">
        <v>-2.7465800000000002E-3</v>
      </c>
      <c r="H368" s="22">
        <v>84.408199999999994</v>
      </c>
      <c r="I368" s="22">
        <v>-1.61957E-2</v>
      </c>
      <c r="J368" s="22">
        <v>358</v>
      </c>
      <c r="K368" s="22">
        <v>-2.6763899999999998E-3</v>
      </c>
      <c r="L368">
        <f t="shared" si="60"/>
        <v>16.195699999999999</v>
      </c>
      <c r="M368">
        <f t="shared" si="61"/>
        <v>-4.4482785705999998E-2</v>
      </c>
      <c r="N368" s="9"/>
      <c r="O368" s="22">
        <v>1.7027300000000001</v>
      </c>
      <c r="P368" s="22">
        <v>199.75</v>
      </c>
      <c r="Q368" s="22">
        <v>-8.5693399999999999E-3</v>
      </c>
      <c r="R368" s="22">
        <v>358</v>
      </c>
      <c r="S368" s="22">
        <v>1.70258</v>
      </c>
      <c r="T368">
        <f t="shared" si="62"/>
        <v>8.5693400000000004</v>
      </c>
      <c r="U368">
        <f t="shared" si="63"/>
        <v>14.591272298200002</v>
      </c>
      <c r="X368" s="9"/>
      <c r="Y368" s="22">
        <v>-2.7465800000000002E-3</v>
      </c>
      <c r="Z368" s="22">
        <v>297.96699999999998</v>
      </c>
      <c r="AA368" s="22">
        <v>-1.7804E-2</v>
      </c>
      <c r="AB368" s="22">
        <v>358</v>
      </c>
      <c r="AC368" s="22">
        <v>-2.49329E-3</v>
      </c>
      <c r="AD368">
        <f t="shared" si="64"/>
        <v>17.804000000000002</v>
      </c>
      <c r="AE368">
        <f t="shared" si="65"/>
        <v>-4.8900110320000009E-2</v>
      </c>
      <c r="AF368" s="9"/>
      <c r="AG368" s="22">
        <v>1.7027300000000001</v>
      </c>
      <c r="AH368" s="22">
        <v>373.702</v>
      </c>
      <c r="AI368" s="22">
        <v>-1.16638E-2</v>
      </c>
      <c r="AJ368" s="22">
        <v>358</v>
      </c>
      <c r="AK368" s="22">
        <v>1.70166</v>
      </c>
      <c r="AL368">
        <f t="shared" si="66"/>
        <v>11.6638</v>
      </c>
      <c r="AM368">
        <f t="shared" si="67"/>
        <v>19.860302174000001</v>
      </c>
      <c r="AP368" s="9"/>
      <c r="AQ368" s="22">
        <v>-2.7465800000000002E-3</v>
      </c>
      <c r="AR368" s="22">
        <v>445.90499999999997</v>
      </c>
      <c r="AS368" s="22">
        <v>-1.8301399999999999E-2</v>
      </c>
      <c r="AT368" s="22">
        <v>358</v>
      </c>
      <c r="AU368" s="22">
        <v>-2.97241E-3</v>
      </c>
      <c r="AV368">
        <f t="shared" si="68"/>
        <v>18.301399999999997</v>
      </c>
      <c r="AW368">
        <f t="shared" si="69"/>
        <v>-5.0266259211999995E-2</v>
      </c>
      <c r="AX368" s="9"/>
      <c r="AY368" s="22">
        <v>1.7027300000000001</v>
      </c>
      <c r="AZ368" s="22">
        <v>519.31799999999998</v>
      </c>
      <c r="BA368" s="22">
        <v>-1.13434E-2</v>
      </c>
      <c r="BB368" s="22">
        <v>358</v>
      </c>
      <c r="BC368" s="22">
        <v>1.7022699999999999</v>
      </c>
      <c r="BD368">
        <f t="shared" si="70"/>
        <v>11.343400000000001</v>
      </c>
      <c r="BE368">
        <f t="shared" si="71"/>
        <v>19.314747482000001</v>
      </c>
    </row>
    <row r="369" spans="6:57">
      <c r="F369" s="9"/>
      <c r="G369" s="22">
        <v>-7.78198E-3</v>
      </c>
      <c r="H369" s="22">
        <v>84.508899999999997</v>
      </c>
      <c r="I369" s="22">
        <v>-1.6213999999999999E-2</v>
      </c>
      <c r="J369" s="22">
        <v>359</v>
      </c>
      <c r="K369" s="22">
        <v>-7.7331500000000003E-3</v>
      </c>
      <c r="L369">
        <f t="shared" si="60"/>
        <v>16.213999999999999</v>
      </c>
      <c r="M369">
        <f t="shared" si="61"/>
        <v>-0.12617702371999998</v>
      </c>
      <c r="N369" s="9"/>
      <c r="O369" s="22">
        <v>1.7077599999999999</v>
      </c>
      <c r="P369" s="22">
        <v>199.851</v>
      </c>
      <c r="Q369" s="22">
        <v>-7.0129399999999996E-3</v>
      </c>
      <c r="R369" s="22">
        <v>359</v>
      </c>
      <c r="S369" s="22">
        <v>1.70746</v>
      </c>
      <c r="T369">
        <f t="shared" si="62"/>
        <v>7.0129399999999995</v>
      </c>
      <c r="U369">
        <f t="shared" si="63"/>
        <v>11.976418414399999</v>
      </c>
      <c r="X369" s="9"/>
      <c r="Y369" s="22">
        <v>-7.78198E-3</v>
      </c>
      <c r="Z369" s="22">
        <v>298.06799999999998</v>
      </c>
      <c r="AA369" s="22">
        <v>-1.7813099999999998E-2</v>
      </c>
      <c r="AB369" s="22">
        <v>359</v>
      </c>
      <c r="AC369" s="22">
        <v>-6.8634000000000004E-3</v>
      </c>
      <c r="AD369">
        <f t="shared" si="64"/>
        <v>17.813099999999999</v>
      </c>
      <c r="AE369">
        <f t="shared" si="65"/>
        <v>-0.13862118793799999</v>
      </c>
      <c r="AF369" s="9"/>
      <c r="AG369" s="22">
        <v>1.7077599999999999</v>
      </c>
      <c r="AH369" s="22">
        <v>373.803</v>
      </c>
      <c r="AI369" s="22">
        <v>-1.08643E-2</v>
      </c>
      <c r="AJ369" s="22">
        <v>359</v>
      </c>
      <c r="AK369" s="22">
        <v>1.70624</v>
      </c>
      <c r="AL369">
        <f t="shared" si="66"/>
        <v>10.8643</v>
      </c>
      <c r="AM369">
        <f t="shared" si="67"/>
        <v>18.553616968</v>
      </c>
      <c r="AP369" s="9"/>
      <c r="AQ369" s="22">
        <v>-7.78198E-3</v>
      </c>
      <c r="AR369" s="22">
        <v>446.00599999999997</v>
      </c>
      <c r="AS369" s="22">
        <v>-1.8304399999999998E-2</v>
      </c>
      <c r="AT369" s="22">
        <v>359</v>
      </c>
      <c r="AU369" s="22">
        <v>-7.5469999999999999E-3</v>
      </c>
      <c r="AV369">
        <f t="shared" si="68"/>
        <v>18.304399999999998</v>
      </c>
      <c r="AW369">
        <f t="shared" si="69"/>
        <v>-0.14244447471199997</v>
      </c>
      <c r="AX369" s="9"/>
      <c r="AY369" s="22">
        <v>1.7077599999999999</v>
      </c>
      <c r="AZ369" s="22">
        <v>519.41899999999998</v>
      </c>
      <c r="BA369" s="22">
        <v>-1.03973E-2</v>
      </c>
      <c r="BB369" s="22">
        <v>359</v>
      </c>
      <c r="BC369" s="22">
        <v>1.70685</v>
      </c>
      <c r="BD369">
        <f t="shared" si="70"/>
        <v>10.3973</v>
      </c>
      <c r="BE369">
        <f t="shared" si="71"/>
        <v>17.756093048</v>
      </c>
    </row>
    <row r="370" spans="6:57">
      <c r="F370" s="9"/>
      <c r="G370" s="22">
        <v>-1.28174E-2</v>
      </c>
      <c r="H370" s="22">
        <v>84.6096</v>
      </c>
      <c r="I370" s="22">
        <v>-1.6247600000000001E-2</v>
      </c>
      <c r="J370" s="22">
        <v>360</v>
      </c>
      <c r="K370" s="22">
        <v>-1.2777699999999999E-2</v>
      </c>
      <c r="L370">
        <f t="shared" si="60"/>
        <v>16.247600000000002</v>
      </c>
      <c r="M370">
        <f t="shared" si="61"/>
        <v>-0.20825198824000002</v>
      </c>
      <c r="N370" s="9"/>
      <c r="O370" s="22">
        <v>1.7128000000000001</v>
      </c>
      <c r="P370" s="22">
        <v>199.952</v>
      </c>
      <c r="Q370" s="22">
        <v>-5.1971400000000003E-3</v>
      </c>
      <c r="R370" s="22">
        <v>360</v>
      </c>
      <c r="S370" s="22">
        <v>1.71204</v>
      </c>
      <c r="T370">
        <f t="shared" si="62"/>
        <v>5.1971400000000001</v>
      </c>
      <c r="U370">
        <f t="shared" si="63"/>
        <v>8.9016613920000012</v>
      </c>
      <c r="X370" s="9"/>
      <c r="Y370" s="22">
        <v>-1.28174E-2</v>
      </c>
      <c r="Z370" s="22">
        <v>298.16800000000001</v>
      </c>
      <c r="AA370" s="22">
        <v>-1.7816200000000001E-2</v>
      </c>
      <c r="AB370" s="22">
        <v>360</v>
      </c>
      <c r="AC370" s="22">
        <v>-1.2735E-2</v>
      </c>
      <c r="AD370">
        <f t="shared" si="64"/>
        <v>17.816200000000002</v>
      </c>
      <c r="AE370">
        <f t="shared" si="65"/>
        <v>-0.22835736188000003</v>
      </c>
      <c r="AF370" s="9"/>
      <c r="AG370" s="22">
        <v>1.7128000000000001</v>
      </c>
      <c r="AH370" s="22">
        <v>373.904</v>
      </c>
      <c r="AI370" s="22">
        <v>-9.8815900000000009E-3</v>
      </c>
      <c r="AJ370" s="22">
        <v>360</v>
      </c>
      <c r="AK370" s="22">
        <v>1.71173</v>
      </c>
      <c r="AL370">
        <f t="shared" si="66"/>
        <v>9.881590000000001</v>
      </c>
      <c r="AM370">
        <f t="shared" si="67"/>
        <v>16.925187352000002</v>
      </c>
      <c r="AP370" s="9"/>
      <c r="AQ370" s="22">
        <v>-1.28174E-2</v>
      </c>
      <c r="AR370" s="22">
        <v>446.10700000000003</v>
      </c>
      <c r="AS370" s="22">
        <v>-1.8307500000000001E-2</v>
      </c>
      <c r="AT370" s="22">
        <v>360</v>
      </c>
      <c r="AU370" s="22">
        <v>-1.31042E-2</v>
      </c>
      <c r="AV370">
        <f t="shared" si="68"/>
        <v>18.307500000000001</v>
      </c>
      <c r="AW370">
        <f t="shared" si="69"/>
        <v>-0.2346545505</v>
      </c>
      <c r="AX370" s="9"/>
      <c r="AY370" s="22">
        <v>1.7128000000000001</v>
      </c>
      <c r="AZ370" s="22">
        <v>519.52</v>
      </c>
      <c r="BA370" s="22">
        <v>-9.1613800000000002E-3</v>
      </c>
      <c r="BB370" s="22">
        <v>360</v>
      </c>
      <c r="BC370" s="22">
        <v>1.71204</v>
      </c>
      <c r="BD370">
        <f t="shared" si="70"/>
        <v>9.1613799999999994</v>
      </c>
      <c r="BE370">
        <f t="shared" si="71"/>
        <v>15.691611664</v>
      </c>
    </row>
    <row r="371" spans="6:57">
      <c r="F371" s="9"/>
      <c r="G371" s="22">
        <v>-1.7852799999999999E-2</v>
      </c>
      <c r="H371" s="22">
        <v>84.710300000000004</v>
      </c>
      <c r="I371" s="22">
        <v>-1.62811E-2</v>
      </c>
      <c r="J371" s="22">
        <v>361</v>
      </c>
      <c r="K371" s="22">
        <v>-1.7831400000000001E-2</v>
      </c>
      <c r="L371">
        <f t="shared" si="60"/>
        <v>16.281099999999999</v>
      </c>
      <c r="M371">
        <f t="shared" si="61"/>
        <v>-0.29066322207999995</v>
      </c>
      <c r="N371" s="9"/>
      <c r="O371" s="22">
        <v>1.71783</v>
      </c>
      <c r="P371" s="22">
        <v>200.05199999999999</v>
      </c>
      <c r="Q371" s="22">
        <v>-3.0239899999999998E-3</v>
      </c>
      <c r="R371" s="22">
        <v>361</v>
      </c>
      <c r="S371" s="22">
        <v>1.71692</v>
      </c>
      <c r="T371">
        <f t="shared" si="62"/>
        <v>3.02399</v>
      </c>
      <c r="U371">
        <f t="shared" si="63"/>
        <v>5.1947007417000002</v>
      </c>
      <c r="X371" s="9"/>
      <c r="Y371" s="22">
        <v>-1.7852799999999999E-2</v>
      </c>
      <c r="Z371" s="22">
        <v>298.26900000000001</v>
      </c>
      <c r="AA371" s="22">
        <v>-1.7816200000000001E-2</v>
      </c>
      <c r="AB371" s="22">
        <v>361</v>
      </c>
      <c r="AC371" s="22">
        <v>-1.7376699999999998E-2</v>
      </c>
      <c r="AD371">
        <f t="shared" si="64"/>
        <v>17.816200000000002</v>
      </c>
      <c r="AE371">
        <f t="shared" si="65"/>
        <v>-0.31806905536000002</v>
      </c>
      <c r="AF371" s="9"/>
      <c r="AG371" s="22">
        <v>1.71783</v>
      </c>
      <c r="AH371" s="22">
        <v>374.00400000000002</v>
      </c>
      <c r="AI371" s="22">
        <v>-8.4716800000000005E-3</v>
      </c>
      <c r="AJ371" s="22">
        <v>361</v>
      </c>
      <c r="AK371" s="22">
        <v>1.71692</v>
      </c>
      <c r="AL371">
        <f t="shared" si="66"/>
        <v>8.471680000000001</v>
      </c>
      <c r="AM371">
        <f t="shared" si="67"/>
        <v>14.552906054400001</v>
      </c>
      <c r="AP371" s="9"/>
      <c r="AQ371" s="22">
        <v>-1.7852799999999999E-2</v>
      </c>
      <c r="AR371" s="22">
        <v>446.20699999999999</v>
      </c>
      <c r="AS371" s="22">
        <v>-1.8316700000000002E-2</v>
      </c>
      <c r="AT371" s="22">
        <v>361</v>
      </c>
      <c r="AU371" s="22">
        <v>-1.7864999999999999E-2</v>
      </c>
      <c r="AV371">
        <f t="shared" si="68"/>
        <v>18.316700000000001</v>
      </c>
      <c r="AW371">
        <f t="shared" si="69"/>
        <v>-0.32700438175999996</v>
      </c>
      <c r="AX371" s="9"/>
      <c r="AY371" s="22">
        <v>1.71783</v>
      </c>
      <c r="AZ371" s="22">
        <v>519.62099999999998</v>
      </c>
      <c r="BA371" s="22">
        <v>-7.5347900000000004E-3</v>
      </c>
      <c r="BB371" s="22">
        <v>361</v>
      </c>
      <c r="BC371" s="22">
        <v>1.71722</v>
      </c>
      <c r="BD371">
        <f t="shared" si="70"/>
        <v>7.5347900000000001</v>
      </c>
      <c r="BE371">
        <f t="shared" si="71"/>
        <v>12.943488305700001</v>
      </c>
    </row>
    <row r="372" spans="6:57">
      <c r="F372" s="9"/>
      <c r="G372" s="22">
        <v>-2.2888200000000001E-2</v>
      </c>
      <c r="H372" s="22">
        <v>84.811099999999996</v>
      </c>
      <c r="I372" s="22">
        <v>-1.6305500000000001E-2</v>
      </c>
      <c r="J372" s="22">
        <v>362</v>
      </c>
      <c r="K372" s="22">
        <v>-2.2842399999999999E-2</v>
      </c>
      <c r="L372">
        <f t="shared" si="60"/>
        <v>16.305500000000002</v>
      </c>
      <c r="M372">
        <f t="shared" si="61"/>
        <v>-0.37320354510000009</v>
      </c>
      <c r="N372" s="9"/>
      <c r="O372" s="22">
        <v>1.7228699999999999</v>
      </c>
      <c r="P372" s="22">
        <v>200.15299999999999</v>
      </c>
      <c r="Q372" s="22">
        <v>-6.6589399999999999E-4</v>
      </c>
      <c r="R372" s="22">
        <v>362</v>
      </c>
      <c r="S372" s="22">
        <v>1.72211</v>
      </c>
      <c r="T372">
        <f t="shared" si="62"/>
        <v>0.66589399999999999</v>
      </c>
      <c r="U372">
        <f t="shared" si="63"/>
        <v>1.1472487957799999</v>
      </c>
      <c r="X372" s="9"/>
      <c r="Y372" s="22">
        <v>-2.2888200000000001E-2</v>
      </c>
      <c r="Z372" s="22">
        <v>298.37</v>
      </c>
      <c r="AA372" s="22">
        <v>-1.78192E-2</v>
      </c>
      <c r="AB372" s="22">
        <v>362</v>
      </c>
      <c r="AC372" s="22">
        <v>-2.31903E-2</v>
      </c>
      <c r="AD372">
        <f t="shared" si="64"/>
        <v>17.819199999999999</v>
      </c>
      <c r="AE372">
        <f t="shared" si="65"/>
        <v>-0.40784941343999997</v>
      </c>
      <c r="AF372" s="9"/>
      <c r="AG372" s="22">
        <v>1.7228699999999999</v>
      </c>
      <c r="AH372" s="22">
        <v>374.10500000000002</v>
      </c>
      <c r="AI372" s="22">
        <v>-6.6650399999999997E-3</v>
      </c>
      <c r="AJ372" s="22">
        <v>362</v>
      </c>
      <c r="AK372" s="22">
        <v>1.72241</v>
      </c>
      <c r="AL372">
        <f t="shared" si="66"/>
        <v>6.6650399999999994</v>
      </c>
      <c r="AM372">
        <f t="shared" si="67"/>
        <v>11.482997464799999</v>
      </c>
      <c r="AP372" s="9"/>
      <c r="AQ372" s="22">
        <v>-2.2888200000000001E-2</v>
      </c>
      <c r="AR372" s="22">
        <v>446.30799999999999</v>
      </c>
      <c r="AS372" s="22">
        <v>-1.83105E-2</v>
      </c>
      <c r="AT372" s="22">
        <v>362</v>
      </c>
      <c r="AU372" s="22">
        <v>-2.3007199999999998E-2</v>
      </c>
      <c r="AV372">
        <f t="shared" si="68"/>
        <v>18.310500000000001</v>
      </c>
      <c r="AW372">
        <f t="shared" si="69"/>
        <v>-0.41909438610000005</v>
      </c>
      <c r="AX372" s="9"/>
      <c r="AY372" s="22">
        <v>1.7228699999999999</v>
      </c>
      <c r="AZ372" s="22">
        <v>519.721</v>
      </c>
      <c r="BA372" s="22">
        <v>-5.4077099999999996E-3</v>
      </c>
      <c r="BB372" s="22">
        <v>362</v>
      </c>
      <c r="BC372" s="22">
        <v>1.72211</v>
      </c>
      <c r="BD372">
        <f t="shared" si="70"/>
        <v>5.4077099999999998</v>
      </c>
      <c r="BE372">
        <f t="shared" si="71"/>
        <v>9.3167813276999993</v>
      </c>
    </row>
    <row r="373" spans="6:57">
      <c r="F373" s="9"/>
      <c r="G373" s="22">
        <v>-2.79236E-2</v>
      </c>
      <c r="H373" s="22">
        <v>84.911799999999999</v>
      </c>
      <c r="I373" s="22">
        <v>-1.6339099999999999E-2</v>
      </c>
      <c r="J373" s="22">
        <v>363</v>
      </c>
      <c r="K373" s="22">
        <v>-2.7917500000000001E-2</v>
      </c>
      <c r="L373">
        <f t="shared" si="60"/>
        <v>16.339099999999998</v>
      </c>
      <c r="M373">
        <f t="shared" si="61"/>
        <v>-0.45624649275999996</v>
      </c>
      <c r="N373" s="9"/>
      <c r="O373" s="22">
        <v>1.7279100000000001</v>
      </c>
      <c r="P373" s="22">
        <v>200.25399999999999</v>
      </c>
      <c r="Q373" s="22">
        <v>4.1259799999999996E-3</v>
      </c>
      <c r="R373" s="22">
        <v>363</v>
      </c>
      <c r="S373" s="22">
        <v>1.72729</v>
      </c>
      <c r="T373">
        <f t="shared" si="62"/>
        <v>-4.1259799999999993</v>
      </c>
      <c r="U373">
        <f t="shared" si="63"/>
        <v>-7.1293221017999988</v>
      </c>
      <c r="X373" s="9"/>
      <c r="Y373" s="22">
        <v>-2.79236E-2</v>
      </c>
      <c r="Z373" s="22">
        <v>298.47000000000003</v>
      </c>
      <c r="AA373" s="22">
        <v>-1.7822299999999999E-2</v>
      </c>
      <c r="AB373" s="22">
        <v>363</v>
      </c>
      <c r="AC373" s="22">
        <v>-2.81433E-2</v>
      </c>
      <c r="AD373">
        <f t="shared" si="64"/>
        <v>17.822299999999998</v>
      </c>
      <c r="AE373">
        <f t="shared" si="65"/>
        <v>-0.49766277627999994</v>
      </c>
      <c r="AF373" s="9"/>
      <c r="AG373" s="22">
        <v>1.7279100000000001</v>
      </c>
      <c r="AH373" s="22">
        <v>374.20600000000002</v>
      </c>
      <c r="AI373" s="22">
        <v>-4.24377E-3</v>
      </c>
      <c r="AJ373" s="22">
        <v>363</v>
      </c>
      <c r="AK373" s="22">
        <v>1.7276</v>
      </c>
      <c r="AL373">
        <f t="shared" si="66"/>
        <v>4.2437699999999996</v>
      </c>
      <c r="AM373">
        <f t="shared" si="67"/>
        <v>7.3328526206999998</v>
      </c>
      <c r="AP373" s="9"/>
      <c r="AQ373" s="22">
        <v>-2.79236E-2</v>
      </c>
      <c r="AR373" s="22">
        <v>446.40899999999999</v>
      </c>
      <c r="AS373" s="22">
        <v>-1.8313599999999999E-2</v>
      </c>
      <c r="AT373" s="22">
        <v>363</v>
      </c>
      <c r="AU373" s="22">
        <v>-2.8015100000000001E-2</v>
      </c>
      <c r="AV373">
        <f t="shared" si="68"/>
        <v>18.313600000000001</v>
      </c>
      <c r="AW373">
        <f t="shared" si="69"/>
        <v>-0.51138164096000005</v>
      </c>
      <c r="AX373" s="9"/>
      <c r="AY373" s="22">
        <v>1.7279100000000001</v>
      </c>
      <c r="AZ373" s="22">
        <v>519.822</v>
      </c>
      <c r="BA373" s="22">
        <v>-2.8833000000000001E-3</v>
      </c>
      <c r="BB373" s="22">
        <v>363</v>
      </c>
      <c r="BC373" s="22">
        <v>1.72668</v>
      </c>
      <c r="BD373">
        <f t="shared" si="70"/>
        <v>2.8833000000000002</v>
      </c>
      <c r="BE373">
        <f t="shared" si="71"/>
        <v>4.9820829030000002</v>
      </c>
    </row>
    <row r="374" spans="6:57">
      <c r="F374" s="9"/>
      <c r="G374" s="22">
        <v>-3.2959000000000002E-2</v>
      </c>
      <c r="H374" s="22">
        <v>85.012500000000003</v>
      </c>
      <c r="I374" s="22">
        <v>-1.6339099999999999E-2</v>
      </c>
      <c r="J374" s="22">
        <v>364</v>
      </c>
      <c r="K374" s="22">
        <v>-3.2937599999999997E-2</v>
      </c>
      <c r="L374">
        <f t="shared" si="60"/>
        <v>16.339099999999998</v>
      </c>
      <c r="M374">
        <f t="shared" si="61"/>
        <v>-0.53852039689999998</v>
      </c>
      <c r="N374" s="9"/>
      <c r="O374" s="22">
        <v>1.7329399999999999</v>
      </c>
      <c r="P374" s="22">
        <v>200.35400000000001</v>
      </c>
      <c r="Q374" s="22">
        <v>9.6984900000000006E-3</v>
      </c>
      <c r="R374" s="22">
        <v>364</v>
      </c>
      <c r="S374" s="22">
        <v>1.73248</v>
      </c>
      <c r="T374">
        <f t="shared" si="62"/>
        <v>-9.6984900000000014</v>
      </c>
      <c r="U374">
        <f t="shared" si="63"/>
        <v>-16.8069012606</v>
      </c>
      <c r="X374" s="9"/>
      <c r="Y374" s="22">
        <v>-3.2959000000000002E-2</v>
      </c>
      <c r="Z374" s="22">
        <v>298.57100000000003</v>
      </c>
      <c r="AA374" s="22">
        <v>-1.7822299999999999E-2</v>
      </c>
      <c r="AB374" s="22">
        <v>364</v>
      </c>
      <c r="AC374" s="22">
        <v>-3.34198E-2</v>
      </c>
      <c r="AD374">
        <f t="shared" si="64"/>
        <v>17.822299999999998</v>
      </c>
      <c r="AE374">
        <f t="shared" si="65"/>
        <v>-0.5874051857</v>
      </c>
      <c r="AF374" s="9"/>
      <c r="AG374" s="22">
        <v>1.7329399999999999</v>
      </c>
      <c r="AH374" s="22">
        <v>374.30599999999998</v>
      </c>
      <c r="AI374" s="22">
        <v>-1.35834E-3</v>
      </c>
      <c r="AJ374" s="22">
        <v>364</v>
      </c>
      <c r="AK374" s="22">
        <v>1.7315700000000001</v>
      </c>
      <c r="AL374">
        <f t="shared" si="66"/>
        <v>1.3583399999999999</v>
      </c>
      <c r="AM374">
        <f t="shared" si="67"/>
        <v>2.3539217195999997</v>
      </c>
      <c r="AP374" s="9"/>
      <c r="AQ374" s="22">
        <v>-3.2959000000000002E-2</v>
      </c>
      <c r="AR374" s="22">
        <v>446.51</v>
      </c>
      <c r="AS374" s="22">
        <v>-1.8313599999999999E-2</v>
      </c>
      <c r="AT374" s="22">
        <v>364</v>
      </c>
      <c r="AU374" s="22">
        <v>-3.3020000000000001E-2</v>
      </c>
      <c r="AV374">
        <f t="shared" si="68"/>
        <v>18.313600000000001</v>
      </c>
      <c r="AW374">
        <f t="shared" si="69"/>
        <v>-0.60359794240000009</v>
      </c>
      <c r="AX374" s="9"/>
      <c r="AY374" s="22">
        <v>1.7329399999999999</v>
      </c>
      <c r="AZ374" s="22">
        <v>519.923</v>
      </c>
      <c r="BA374" s="22">
        <v>8.6090099999999996E-4</v>
      </c>
      <c r="BB374" s="22">
        <v>364</v>
      </c>
      <c r="BC374" s="22">
        <v>1.7315700000000001</v>
      </c>
      <c r="BD374">
        <f t="shared" si="70"/>
        <v>-0.86090099999999992</v>
      </c>
      <c r="BE374">
        <f t="shared" si="71"/>
        <v>-1.4918897789399999</v>
      </c>
    </row>
    <row r="375" spans="6:57">
      <c r="F375" s="9"/>
      <c r="G375" s="22">
        <v>-3.7994399999999998E-2</v>
      </c>
      <c r="H375" s="22">
        <v>85.113200000000006</v>
      </c>
      <c r="I375" s="22">
        <v>-1.63757E-2</v>
      </c>
      <c r="J375" s="22">
        <v>365</v>
      </c>
      <c r="K375" s="22">
        <v>-3.7960800000000003E-2</v>
      </c>
      <c r="L375">
        <f t="shared" si="60"/>
        <v>16.375699999999998</v>
      </c>
      <c r="M375">
        <f t="shared" si="61"/>
        <v>-0.62218489607999994</v>
      </c>
      <c r="N375" s="9"/>
      <c r="O375" s="22">
        <v>1.7379800000000001</v>
      </c>
      <c r="P375" s="22">
        <v>200.45500000000001</v>
      </c>
      <c r="Q375" s="22">
        <v>1.5350300000000001E-2</v>
      </c>
      <c r="R375" s="22">
        <v>365</v>
      </c>
      <c r="S375" s="22">
        <v>1.73767</v>
      </c>
      <c r="T375">
        <f t="shared" si="62"/>
        <v>-15.350300000000001</v>
      </c>
      <c r="U375">
        <f t="shared" si="63"/>
        <v>-26.678514394000004</v>
      </c>
      <c r="X375" s="9"/>
      <c r="Y375" s="22">
        <v>-3.7994399999999998E-2</v>
      </c>
      <c r="Z375" s="22">
        <v>298.67200000000003</v>
      </c>
      <c r="AA375" s="22">
        <v>-1.7825299999999999E-2</v>
      </c>
      <c r="AB375" s="22">
        <v>365</v>
      </c>
      <c r="AC375" s="22">
        <v>-3.7820399999999997E-2</v>
      </c>
      <c r="AD375">
        <f t="shared" si="64"/>
        <v>17.825299999999999</v>
      </c>
      <c r="AE375">
        <f t="shared" si="65"/>
        <v>-0.67726157831999989</v>
      </c>
      <c r="AF375" s="9"/>
      <c r="AG375" s="22">
        <v>1.7379800000000001</v>
      </c>
      <c r="AH375" s="22">
        <v>374.40699999999998</v>
      </c>
      <c r="AI375" s="22">
        <v>3.6871299999999998E-3</v>
      </c>
      <c r="AJ375" s="22">
        <v>365</v>
      </c>
      <c r="AK375" s="22">
        <v>1.7373700000000001</v>
      </c>
      <c r="AL375">
        <f t="shared" si="66"/>
        <v>-3.6871299999999998</v>
      </c>
      <c r="AM375">
        <f t="shared" si="67"/>
        <v>-6.4081581973999997</v>
      </c>
      <c r="AP375" s="9"/>
      <c r="AQ375" s="22">
        <v>-3.7994399999999998E-2</v>
      </c>
      <c r="AR375" s="22">
        <v>446.61</v>
      </c>
      <c r="AS375" s="22">
        <v>-1.8319700000000001E-2</v>
      </c>
      <c r="AT375" s="22">
        <v>365</v>
      </c>
      <c r="AU375" s="22">
        <v>-3.7884500000000002E-2</v>
      </c>
      <c r="AV375">
        <f t="shared" si="68"/>
        <v>18.319700000000001</v>
      </c>
      <c r="AW375">
        <f t="shared" si="69"/>
        <v>-0.69604600967999997</v>
      </c>
      <c r="AX375" s="9"/>
      <c r="AY375" s="22">
        <v>1.7379800000000001</v>
      </c>
      <c r="AZ375" s="22">
        <v>520.02300000000002</v>
      </c>
      <c r="BA375" s="22">
        <v>7.20215E-3</v>
      </c>
      <c r="BB375" s="22">
        <v>365</v>
      </c>
      <c r="BC375" s="22">
        <v>1.73706</v>
      </c>
      <c r="BD375">
        <f t="shared" si="70"/>
        <v>-7.2021499999999996</v>
      </c>
      <c r="BE375">
        <f t="shared" si="71"/>
        <v>-12.517192657000001</v>
      </c>
    </row>
    <row r="376" spans="6:57">
      <c r="F376" s="9"/>
      <c r="G376" s="22">
        <v>-4.30298E-2</v>
      </c>
      <c r="H376" s="22">
        <v>85.213899999999995</v>
      </c>
      <c r="I376" s="22">
        <v>-1.6406299999999999E-2</v>
      </c>
      <c r="J376" s="22">
        <v>366</v>
      </c>
      <c r="K376" s="22">
        <v>-4.3048099999999999E-2</v>
      </c>
      <c r="L376">
        <f t="shared" si="60"/>
        <v>16.406299999999998</v>
      </c>
      <c r="M376">
        <f t="shared" si="61"/>
        <v>-0.70595980773999989</v>
      </c>
      <c r="N376" s="9"/>
      <c r="O376" s="22">
        <v>1.7430099999999999</v>
      </c>
      <c r="P376" s="22">
        <v>200.55600000000001</v>
      </c>
      <c r="Q376" s="22">
        <v>2.1496600000000001E-2</v>
      </c>
      <c r="R376" s="22">
        <v>366</v>
      </c>
      <c r="S376" s="22">
        <v>1.74194</v>
      </c>
      <c r="T376">
        <f t="shared" si="62"/>
        <v>-21.496600000000001</v>
      </c>
      <c r="U376">
        <f t="shared" si="63"/>
        <v>-37.468788766000003</v>
      </c>
      <c r="X376" s="9"/>
      <c r="Y376" s="22">
        <v>-4.30298E-2</v>
      </c>
      <c r="Z376" s="22">
        <v>298.77300000000002</v>
      </c>
      <c r="AA376" s="22">
        <v>-1.7822299999999999E-2</v>
      </c>
      <c r="AB376" s="22">
        <v>366</v>
      </c>
      <c r="AC376" s="22">
        <v>-4.3325799999999998E-2</v>
      </c>
      <c r="AD376">
        <f t="shared" si="64"/>
        <v>17.822299999999998</v>
      </c>
      <c r="AE376">
        <f t="shared" si="65"/>
        <v>-0.76689000453999989</v>
      </c>
      <c r="AF376" s="9"/>
      <c r="AG376" s="22">
        <v>1.7430099999999999</v>
      </c>
      <c r="AH376" s="22">
        <v>374.50799999999998</v>
      </c>
      <c r="AI376" s="22">
        <v>1.03821E-2</v>
      </c>
      <c r="AJ376" s="22">
        <v>366</v>
      </c>
      <c r="AK376" s="22">
        <v>1.74255</v>
      </c>
      <c r="AL376">
        <f t="shared" si="66"/>
        <v>-10.382099999999999</v>
      </c>
      <c r="AM376">
        <f t="shared" si="67"/>
        <v>-18.096104121</v>
      </c>
      <c r="AP376" s="9"/>
      <c r="AQ376" s="22">
        <v>-4.30298E-2</v>
      </c>
      <c r="AR376" s="22">
        <v>446.71100000000001</v>
      </c>
      <c r="AS376" s="22">
        <v>-1.8319700000000001E-2</v>
      </c>
      <c r="AT376" s="22">
        <v>366</v>
      </c>
      <c r="AU376" s="22">
        <v>-4.3164099999999997E-2</v>
      </c>
      <c r="AV376">
        <f t="shared" si="68"/>
        <v>18.319700000000001</v>
      </c>
      <c r="AW376">
        <f t="shared" si="69"/>
        <v>-0.78829302706000004</v>
      </c>
      <c r="AX376" s="9"/>
      <c r="AY376" s="22">
        <v>1.7430099999999999</v>
      </c>
      <c r="AZ376" s="22">
        <v>520.12400000000002</v>
      </c>
      <c r="BA376" s="22">
        <v>1.4483599999999999E-2</v>
      </c>
      <c r="BB376" s="22">
        <v>366</v>
      </c>
      <c r="BC376" s="22">
        <v>1.74255</v>
      </c>
      <c r="BD376">
        <f t="shared" si="70"/>
        <v>-14.483599999999999</v>
      </c>
      <c r="BE376">
        <f t="shared" si="71"/>
        <v>-25.245059635999997</v>
      </c>
    </row>
    <row r="377" spans="6:57">
      <c r="F377" s="9"/>
      <c r="G377" s="22">
        <v>-4.8065200000000002E-2</v>
      </c>
      <c r="H377" s="22">
        <v>85.314599999999999</v>
      </c>
      <c r="I377" s="22">
        <v>-1.6473399999999999E-2</v>
      </c>
      <c r="J377" s="22">
        <v>367</v>
      </c>
      <c r="K377" s="22">
        <v>-4.8104899999999999E-2</v>
      </c>
      <c r="L377">
        <f t="shared" si="60"/>
        <v>16.473399999999998</v>
      </c>
      <c r="M377">
        <f t="shared" si="61"/>
        <v>-0.79179726567999997</v>
      </c>
      <c r="N377" s="9"/>
      <c r="O377" s="22">
        <v>1.7480500000000001</v>
      </c>
      <c r="P377" s="22">
        <v>200.65700000000001</v>
      </c>
      <c r="Q377" s="22">
        <v>3.6160299999999999E-2</v>
      </c>
      <c r="R377" s="22">
        <v>367</v>
      </c>
      <c r="S377" s="22">
        <v>1.7474400000000001</v>
      </c>
      <c r="T377">
        <f t="shared" si="62"/>
        <v>-36.160299999999999</v>
      </c>
      <c r="U377">
        <f t="shared" si="63"/>
        <v>-63.210012415000001</v>
      </c>
      <c r="X377" s="9"/>
      <c r="Y377" s="22">
        <v>-4.8065200000000002E-2</v>
      </c>
      <c r="Z377" s="22">
        <v>298.87299999999999</v>
      </c>
      <c r="AA377" s="22">
        <v>-1.7825299999999999E-2</v>
      </c>
      <c r="AB377" s="22">
        <v>367</v>
      </c>
      <c r="AC377" s="22">
        <v>-4.7848500000000002E-2</v>
      </c>
      <c r="AD377">
        <f t="shared" si="64"/>
        <v>17.825299999999999</v>
      </c>
      <c r="AE377">
        <f t="shared" si="65"/>
        <v>-0.85677660956000001</v>
      </c>
      <c r="AF377" s="9"/>
      <c r="AG377" s="22">
        <v>1.7480500000000001</v>
      </c>
      <c r="AH377" s="22">
        <v>374.608</v>
      </c>
      <c r="AI377" s="22">
        <v>1.7617799999999999E-2</v>
      </c>
      <c r="AJ377" s="22">
        <v>367</v>
      </c>
      <c r="AK377" s="22">
        <v>1.7474400000000001</v>
      </c>
      <c r="AL377">
        <f t="shared" si="66"/>
        <v>-17.617799999999999</v>
      </c>
      <c r="AM377">
        <f t="shared" si="67"/>
        <v>-30.796795289999999</v>
      </c>
      <c r="AP377" s="9"/>
      <c r="AQ377" s="22">
        <v>-4.8065200000000002E-2</v>
      </c>
      <c r="AR377" s="22">
        <v>446.81200000000001</v>
      </c>
      <c r="AS377" s="22">
        <v>-1.83228E-2</v>
      </c>
      <c r="AT377" s="22">
        <v>367</v>
      </c>
      <c r="AU377" s="22">
        <v>-4.8077399999999999E-2</v>
      </c>
      <c r="AV377">
        <f t="shared" si="68"/>
        <v>18.322800000000001</v>
      </c>
      <c r="AW377">
        <f t="shared" si="69"/>
        <v>-0.88068904656000013</v>
      </c>
      <c r="AX377" s="9"/>
      <c r="AY377" s="22">
        <v>1.7480500000000001</v>
      </c>
      <c r="AZ377" s="22">
        <v>520.22500000000002</v>
      </c>
      <c r="BA377" s="22">
        <v>2.2732499999999999E-2</v>
      </c>
      <c r="BB377" s="22">
        <v>367</v>
      </c>
      <c r="BC377" s="22">
        <v>1.7471300000000001</v>
      </c>
      <c r="BD377">
        <f t="shared" si="70"/>
        <v>-22.732499999999998</v>
      </c>
      <c r="BE377">
        <f t="shared" si="71"/>
        <v>-39.737546625</v>
      </c>
    </row>
    <row r="378" spans="6:57">
      <c r="F378" s="9"/>
      <c r="G378" s="22">
        <v>-5.3100599999999998E-2</v>
      </c>
      <c r="H378" s="22">
        <v>85.415300000000002</v>
      </c>
      <c r="I378" s="22">
        <v>-1.65375E-2</v>
      </c>
      <c r="J378" s="22">
        <v>368</v>
      </c>
      <c r="K378" s="22">
        <v>-5.3283700000000003E-2</v>
      </c>
      <c r="L378">
        <f t="shared" si="60"/>
        <v>16.537500000000001</v>
      </c>
      <c r="M378">
        <f t="shared" si="61"/>
        <v>-0.87815117250000008</v>
      </c>
      <c r="N378" s="9"/>
      <c r="O378" s="22">
        <v>1.75308</v>
      </c>
      <c r="P378" s="22">
        <v>200.75700000000001</v>
      </c>
      <c r="Q378" s="22">
        <v>4.5889300000000001E-2</v>
      </c>
      <c r="R378" s="22">
        <v>368</v>
      </c>
      <c r="S378" s="22">
        <v>1.7544599999999999</v>
      </c>
      <c r="T378">
        <f t="shared" si="62"/>
        <v>-45.889299999999999</v>
      </c>
      <c r="U378">
        <f t="shared" si="63"/>
        <v>-80.447614043999991</v>
      </c>
      <c r="X378" s="9"/>
      <c r="Y378" s="22">
        <v>-5.3100599999999998E-2</v>
      </c>
      <c r="Z378" s="22">
        <v>298.97399999999999</v>
      </c>
      <c r="AA378" s="22">
        <v>-1.7825299999999999E-2</v>
      </c>
      <c r="AB378" s="22">
        <v>368</v>
      </c>
      <c r="AC378" s="22">
        <v>-5.2978499999999998E-2</v>
      </c>
      <c r="AD378">
        <f t="shared" si="64"/>
        <v>17.825299999999999</v>
      </c>
      <c r="AE378">
        <f t="shared" si="65"/>
        <v>-0.94653412517999991</v>
      </c>
      <c r="AF378" s="9"/>
      <c r="AG378" s="22">
        <v>1.75308</v>
      </c>
      <c r="AH378" s="22">
        <v>374.709</v>
      </c>
      <c r="AI378" s="22">
        <v>2.4838300000000001E-2</v>
      </c>
      <c r="AJ378" s="22">
        <v>368</v>
      </c>
      <c r="AK378" s="22">
        <v>1.7526200000000001</v>
      </c>
      <c r="AL378">
        <f t="shared" si="66"/>
        <v>-24.8383</v>
      </c>
      <c r="AM378">
        <f t="shared" si="67"/>
        <v>-43.543526964000002</v>
      </c>
      <c r="AP378" s="9"/>
      <c r="AQ378" s="22">
        <v>-5.3100599999999998E-2</v>
      </c>
      <c r="AR378" s="22">
        <v>446.91199999999998</v>
      </c>
      <c r="AS378" s="22">
        <v>-1.8316700000000002E-2</v>
      </c>
      <c r="AT378" s="22">
        <v>368</v>
      </c>
      <c r="AU378" s="22">
        <v>-5.3039599999999999E-2</v>
      </c>
      <c r="AV378">
        <f t="shared" si="68"/>
        <v>18.316700000000001</v>
      </c>
      <c r="AW378">
        <f t="shared" si="69"/>
        <v>-0.97262776001999995</v>
      </c>
      <c r="AX378" s="9"/>
      <c r="AY378" s="22">
        <v>1.75308</v>
      </c>
      <c r="AZ378" s="22">
        <v>520.32600000000002</v>
      </c>
      <c r="BA378" s="22">
        <v>3.03772E-2</v>
      </c>
      <c r="BB378" s="22">
        <v>368</v>
      </c>
      <c r="BC378" s="22">
        <v>1.7520100000000001</v>
      </c>
      <c r="BD378">
        <f t="shared" si="70"/>
        <v>-30.377199999999998</v>
      </c>
      <c r="BE378">
        <f t="shared" si="71"/>
        <v>-53.253661775999994</v>
      </c>
    </row>
    <row r="379" spans="6:57">
      <c r="F379" s="9"/>
      <c r="G379" s="22">
        <v>-5.8136E-2</v>
      </c>
      <c r="H379" s="22">
        <v>85.516000000000005</v>
      </c>
      <c r="I379" s="22">
        <v>-1.65802E-2</v>
      </c>
      <c r="J379" s="22">
        <v>369</v>
      </c>
      <c r="K379" s="22">
        <v>-5.8319099999999999E-2</v>
      </c>
      <c r="L379">
        <f t="shared" si="60"/>
        <v>16.580200000000001</v>
      </c>
      <c r="M379">
        <f t="shared" si="61"/>
        <v>-0.96390650720000004</v>
      </c>
      <c r="N379" s="9"/>
      <c r="O379" s="22">
        <v>1.7581199999999999</v>
      </c>
      <c r="P379" s="22">
        <v>200.858</v>
      </c>
      <c r="Q379" s="22">
        <v>5.6191999999999999E-2</v>
      </c>
      <c r="R379" s="22">
        <v>369</v>
      </c>
      <c r="S379" s="22">
        <v>1.7575099999999999</v>
      </c>
      <c r="T379">
        <f t="shared" si="62"/>
        <v>-56.192</v>
      </c>
      <c r="U379">
        <f t="shared" si="63"/>
        <v>-98.792279039999997</v>
      </c>
      <c r="X379" s="9"/>
      <c r="Y379" s="22">
        <v>-5.8136E-2</v>
      </c>
      <c r="Z379" s="22">
        <v>299.07499999999999</v>
      </c>
      <c r="AA379" s="22">
        <v>-1.7831400000000001E-2</v>
      </c>
      <c r="AB379" s="22">
        <v>369</v>
      </c>
      <c r="AC379" s="22">
        <v>-5.8227500000000001E-2</v>
      </c>
      <c r="AD379">
        <f t="shared" si="64"/>
        <v>17.831400000000002</v>
      </c>
      <c r="AE379">
        <f t="shared" si="65"/>
        <v>-1.0366462704000001</v>
      </c>
      <c r="AF379" s="9"/>
      <c r="AG379" s="22">
        <v>1.7581199999999999</v>
      </c>
      <c r="AH379" s="22">
        <v>374.81</v>
      </c>
      <c r="AI379" s="22">
        <v>3.2714800000000002E-2</v>
      </c>
      <c r="AJ379" s="22">
        <v>369</v>
      </c>
      <c r="AK379" s="22">
        <v>1.7575099999999999</v>
      </c>
      <c r="AL379">
        <f t="shared" si="66"/>
        <v>-32.714800000000004</v>
      </c>
      <c r="AM379">
        <f t="shared" si="67"/>
        <v>-57.516544176000004</v>
      </c>
      <c r="AP379" s="9"/>
      <c r="AQ379" s="22">
        <v>-5.8136E-2</v>
      </c>
      <c r="AR379" s="22">
        <v>447.01299999999998</v>
      </c>
      <c r="AS379" s="22">
        <v>-1.8319700000000001E-2</v>
      </c>
      <c r="AT379" s="22">
        <v>369</v>
      </c>
      <c r="AU379" s="22">
        <v>-5.8441199999999999E-2</v>
      </c>
      <c r="AV379">
        <f t="shared" si="68"/>
        <v>18.319700000000001</v>
      </c>
      <c r="AW379">
        <f t="shared" si="69"/>
        <v>-1.0650340792000001</v>
      </c>
      <c r="AX379" s="9"/>
      <c r="AY379" s="22">
        <v>1.7581199999999999</v>
      </c>
      <c r="AZ379" s="22">
        <v>520.42600000000004</v>
      </c>
      <c r="BA379" s="22">
        <v>3.85712E-2</v>
      </c>
      <c r="BB379" s="22">
        <v>369</v>
      </c>
      <c r="BC379" s="22">
        <v>1.7572000000000001</v>
      </c>
      <c r="BD379">
        <f t="shared" si="70"/>
        <v>-38.571199999999997</v>
      </c>
      <c r="BE379">
        <f t="shared" si="71"/>
        <v>-67.812798143999999</v>
      </c>
    </row>
    <row r="380" spans="6:57">
      <c r="F380" s="9"/>
      <c r="G380" s="22">
        <v>-6.3171400000000003E-2</v>
      </c>
      <c r="H380" s="22">
        <v>85.616699999999994</v>
      </c>
      <c r="I380" s="22">
        <v>-1.6638199999999999E-2</v>
      </c>
      <c r="J380" s="22">
        <v>370</v>
      </c>
      <c r="K380" s="22">
        <v>-6.3293500000000003E-2</v>
      </c>
      <c r="L380">
        <f t="shared" si="60"/>
        <v>16.638199999999998</v>
      </c>
      <c r="M380">
        <f t="shared" si="61"/>
        <v>-1.0510583874799999</v>
      </c>
      <c r="N380" s="9"/>
      <c r="O380" s="22">
        <v>1.76315</v>
      </c>
      <c r="P380" s="22">
        <v>200.959</v>
      </c>
      <c r="Q380" s="22">
        <v>0.1</v>
      </c>
      <c r="R380" s="22">
        <v>370</v>
      </c>
      <c r="S380" s="22">
        <v>8.1543000000000004E-2</v>
      </c>
      <c r="T380">
        <f t="shared" si="62"/>
        <v>-100</v>
      </c>
      <c r="U380">
        <f t="shared" si="63"/>
        <v>-176.315</v>
      </c>
      <c r="X380" s="9"/>
      <c r="Y380" s="22">
        <v>-6.3171400000000003E-2</v>
      </c>
      <c r="Z380" s="22">
        <v>299.17500000000001</v>
      </c>
      <c r="AA380" s="22">
        <v>-1.7822299999999999E-2</v>
      </c>
      <c r="AB380" s="22">
        <v>370</v>
      </c>
      <c r="AC380" s="22">
        <v>-6.3690200000000002E-2</v>
      </c>
      <c r="AD380">
        <f t="shared" si="64"/>
        <v>17.822299999999998</v>
      </c>
      <c r="AE380">
        <f t="shared" si="65"/>
        <v>-1.12585964222</v>
      </c>
      <c r="AF380" s="9"/>
      <c r="AG380" s="22">
        <v>1.76315</v>
      </c>
      <c r="AH380" s="22">
        <v>374.911</v>
      </c>
      <c r="AI380" s="22">
        <v>4.0396099999999997E-2</v>
      </c>
      <c r="AJ380" s="22">
        <v>370</v>
      </c>
      <c r="AK380" s="22">
        <v>1.7620800000000001</v>
      </c>
      <c r="AL380">
        <f t="shared" si="66"/>
        <v>-40.396099999999997</v>
      </c>
      <c r="AM380">
        <f t="shared" si="67"/>
        <v>-71.224383714999988</v>
      </c>
      <c r="AP380" s="9"/>
      <c r="AQ380" s="22">
        <v>-6.3171400000000003E-2</v>
      </c>
      <c r="AR380" s="22">
        <v>447.11399999999998</v>
      </c>
      <c r="AS380" s="22">
        <v>-1.8319700000000001E-2</v>
      </c>
      <c r="AT380" s="22">
        <v>370</v>
      </c>
      <c r="AU380" s="22">
        <v>-6.3507099999999997E-2</v>
      </c>
      <c r="AV380">
        <f t="shared" si="68"/>
        <v>18.319700000000001</v>
      </c>
      <c r="AW380">
        <f t="shared" si="69"/>
        <v>-1.15728109658</v>
      </c>
      <c r="AX380" s="9"/>
      <c r="AY380" s="22">
        <v>1.76315</v>
      </c>
      <c r="AZ380" s="22">
        <v>520.52700000000004</v>
      </c>
      <c r="BA380" s="22">
        <v>4.7055100000000002E-2</v>
      </c>
      <c r="BB380" s="22">
        <v>370</v>
      </c>
      <c r="BC380" s="22">
        <v>1.7623899999999999</v>
      </c>
      <c r="BD380">
        <f t="shared" si="70"/>
        <v>-47.055100000000003</v>
      </c>
      <c r="BE380">
        <f t="shared" si="71"/>
        <v>-82.965199565000006</v>
      </c>
    </row>
    <row r="381" spans="6:57">
      <c r="F381" s="9"/>
      <c r="G381" s="22">
        <v>-6.8206799999999998E-2</v>
      </c>
      <c r="H381" s="22">
        <v>85.717399999999998</v>
      </c>
      <c r="I381" s="22">
        <v>-1.6659500000000001E-2</v>
      </c>
      <c r="J381" s="22">
        <v>371</v>
      </c>
      <c r="K381" s="22">
        <v>-6.8298300000000006E-2</v>
      </c>
      <c r="L381">
        <f t="shared" si="60"/>
        <v>16.659500000000001</v>
      </c>
      <c r="M381">
        <f t="shared" si="61"/>
        <v>-1.1362911846000001</v>
      </c>
      <c r="N381" s="9"/>
      <c r="O381" s="22">
        <v>1.7681899999999999</v>
      </c>
      <c r="P381" s="22">
        <v>201.059</v>
      </c>
      <c r="Q381" s="22">
        <v>5.1940899999999998E-2</v>
      </c>
      <c r="R381" s="22">
        <v>371</v>
      </c>
      <c r="S381" s="22">
        <v>1.7675799999999999</v>
      </c>
      <c r="T381">
        <f t="shared" si="62"/>
        <v>-51.940899999999999</v>
      </c>
      <c r="U381">
        <f t="shared" si="63"/>
        <v>-91.841379970999995</v>
      </c>
      <c r="X381" s="9"/>
      <c r="Y381" s="22">
        <v>-6.8206799999999998E-2</v>
      </c>
      <c r="Z381" s="22">
        <v>299.27600000000001</v>
      </c>
      <c r="AA381" s="22">
        <v>-1.78345E-2</v>
      </c>
      <c r="AB381" s="22">
        <v>371</v>
      </c>
      <c r="AC381" s="22">
        <v>-6.8267800000000003E-2</v>
      </c>
      <c r="AD381">
        <f t="shared" si="64"/>
        <v>17.834499999999998</v>
      </c>
      <c r="AE381">
        <f t="shared" si="65"/>
        <v>-1.2164341745999998</v>
      </c>
      <c r="AF381" s="9"/>
      <c r="AG381" s="22">
        <v>1.7681899999999999</v>
      </c>
      <c r="AH381" s="22">
        <v>375.01100000000002</v>
      </c>
      <c r="AI381" s="22">
        <v>4.8876999999999997E-2</v>
      </c>
      <c r="AJ381" s="22">
        <v>371</v>
      </c>
      <c r="AK381" s="22">
        <v>1.7669699999999999</v>
      </c>
      <c r="AL381">
        <f t="shared" si="66"/>
        <v>-48.876999999999995</v>
      </c>
      <c r="AM381">
        <f t="shared" si="67"/>
        <v>-86.423822629999989</v>
      </c>
      <c r="AP381" s="9"/>
      <c r="AQ381" s="22">
        <v>-6.8206799999999998E-2</v>
      </c>
      <c r="AR381" s="22">
        <v>447.214</v>
      </c>
      <c r="AS381" s="22">
        <v>-1.8319700000000001E-2</v>
      </c>
      <c r="AT381" s="22">
        <v>371</v>
      </c>
      <c r="AU381" s="22">
        <v>-6.8450899999999995E-2</v>
      </c>
      <c r="AV381">
        <f t="shared" si="68"/>
        <v>18.319700000000001</v>
      </c>
      <c r="AW381">
        <f t="shared" si="69"/>
        <v>-1.2495281139600001</v>
      </c>
      <c r="AX381" s="9"/>
      <c r="AY381" s="22">
        <v>1.7681899999999999</v>
      </c>
      <c r="AZ381" s="22">
        <v>520.62800000000004</v>
      </c>
      <c r="BA381" s="22">
        <v>5.58197E-2</v>
      </c>
      <c r="BB381" s="22">
        <v>371</v>
      </c>
      <c r="BC381" s="22">
        <v>1.7675799999999999</v>
      </c>
      <c r="BD381">
        <f t="shared" si="70"/>
        <v>-55.819699999999997</v>
      </c>
      <c r="BE381">
        <f t="shared" si="71"/>
        <v>-98.69983534299999</v>
      </c>
    </row>
    <row r="382" spans="6:57">
      <c r="F382" s="9"/>
      <c r="G382" s="22">
        <v>-7.3242199999999993E-2</v>
      </c>
      <c r="H382" s="22">
        <v>85.818100000000001</v>
      </c>
      <c r="I382" s="22">
        <v>-1.6726700000000001E-2</v>
      </c>
      <c r="J382" s="22">
        <v>372</v>
      </c>
      <c r="K382" s="22">
        <v>-7.3394799999999996E-2</v>
      </c>
      <c r="L382">
        <f t="shared" si="60"/>
        <v>16.726700000000001</v>
      </c>
      <c r="M382">
        <f t="shared" si="61"/>
        <v>-1.2251003067399999</v>
      </c>
      <c r="N382" s="9"/>
      <c r="O382" s="22">
        <v>1.77322</v>
      </c>
      <c r="P382" s="22">
        <v>201.16</v>
      </c>
      <c r="Q382" s="22">
        <v>6.4300499999999997E-2</v>
      </c>
      <c r="R382" s="22">
        <v>372</v>
      </c>
      <c r="S382" s="22">
        <v>1.77277</v>
      </c>
      <c r="T382">
        <f t="shared" si="62"/>
        <v>-64.3005</v>
      </c>
      <c r="U382">
        <f t="shared" si="63"/>
        <v>-114.01893261000001</v>
      </c>
      <c r="X382" s="9"/>
      <c r="Y382" s="22">
        <v>-7.3242199999999993E-2</v>
      </c>
      <c r="Z382" s="22">
        <v>299.37700000000001</v>
      </c>
      <c r="AA382" s="22">
        <v>-1.7840600000000002E-2</v>
      </c>
      <c r="AB382" s="22">
        <v>372</v>
      </c>
      <c r="AC382" s="22">
        <v>-7.3638899999999993E-2</v>
      </c>
      <c r="AD382">
        <f t="shared" si="64"/>
        <v>17.840600000000002</v>
      </c>
      <c r="AE382">
        <f t="shared" si="65"/>
        <v>-1.3066847933200001</v>
      </c>
      <c r="AF382" s="9"/>
      <c r="AG382" s="22">
        <v>1.77322</v>
      </c>
      <c r="AH382" s="22">
        <v>375.11200000000002</v>
      </c>
      <c r="AI382" s="22">
        <v>5.7467699999999997E-2</v>
      </c>
      <c r="AJ382" s="22">
        <v>372</v>
      </c>
      <c r="AK382" s="22">
        <v>1.7724599999999999</v>
      </c>
      <c r="AL382">
        <f t="shared" si="66"/>
        <v>-57.467699999999994</v>
      </c>
      <c r="AM382">
        <f t="shared" si="67"/>
        <v>-101.90287499399999</v>
      </c>
      <c r="AP382" s="9"/>
      <c r="AQ382" s="22">
        <v>-7.3242199999999993E-2</v>
      </c>
      <c r="AR382" s="22">
        <v>447.315</v>
      </c>
      <c r="AS382" s="22">
        <v>-1.83228E-2</v>
      </c>
      <c r="AT382" s="22">
        <v>372</v>
      </c>
      <c r="AU382" s="22">
        <v>-7.3486300000000004E-2</v>
      </c>
      <c r="AV382">
        <f t="shared" si="68"/>
        <v>18.322800000000001</v>
      </c>
      <c r="AW382">
        <f t="shared" si="69"/>
        <v>-1.3420021821599999</v>
      </c>
      <c r="AX382" s="9"/>
      <c r="AY382" s="22">
        <v>1.77322</v>
      </c>
      <c r="AZ382" s="22">
        <v>520.72799999999995</v>
      </c>
      <c r="BA382" s="22">
        <v>6.4776600000000004E-2</v>
      </c>
      <c r="BB382" s="22">
        <v>372</v>
      </c>
      <c r="BC382" s="22">
        <v>1.77216</v>
      </c>
      <c r="BD382">
        <f t="shared" si="70"/>
        <v>-64.776600000000002</v>
      </c>
      <c r="BE382">
        <f t="shared" si="71"/>
        <v>-114.863162652</v>
      </c>
    </row>
    <row r="383" spans="6:57">
      <c r="F383" s="9"/>
      <c r="G383" s="22">
        <v>-7.8277600000000003E-2</v>
      </c>
      <c r="H383" s="22">
        <v>85.918800000000005</v>
      </c>
      <c r="I383" s="22">
        <v>-1.6830399999999999E-2</v>
      </c>
      <c r="J383" s="22">
        <v>373</v>
      </c>
      <c r="K383" s="22">
        <v>-7.8308100000000005E-2</v>
      </c>
      <c r="L383">
        <f t="shared" si="60"/>
        <v>16.830399999999997</v>
      </c>
      <c r="M383">
        <f t="shared" si="61"/>
        <v>-1.3174433190399999</v>
      </c>
      <c r="N383" s="9"/>
      <c r="O383" s="22">
        <v>1.77826</v>
      </c>
      <c r="P383" s="22">
        <v>201.261</v>
      </c>
      <c r="Q383" s="22">
        <v>7.4127200000000004E-2</v>
      </c>
      <c r="R383" s="22">
        <v>373</v>
      </c>
      <c r="S383" s="22">
        <v>1.7773399999999999</v>
      </c>
      <c r="T383">
        <f t="shared" si="62"/>
        <v>-74.127200000000002</v>
      </c>
      <c r="U383">
        <f t="shared" si="63"/>
        <v>-131.81743467199999</v>
      </c>
      <c r="X383" s="9"/>
      <c r="Y383" s="22">
        <v>-7.8277600000000003E-2</v>
      </c>
      <c r="Z383" s="22">
        <v>299.47699999999998</v>
      </c>
      <c r="AA383" s="22">
        <v>-1.7831400000000001E-2</v>
      </c>
      <c r="AB383" s="22">
        <v>373</v>
      </c>
      <c r="AC383" s="22">
        <v>-7.8674300000000003E-2</v>
      </c>
      <c r="AD383">
        <f t="shared" si="64"/>
        <v>17.831400000000002</v>
      </c>
      <c r="AE383">
        <f t="shared" si="65"/>
        <v>-1.3957991966400003</v>
      </c>
      <c r="AF383" s="9"/>
      <c r="AG383" s="22">
        <v>1.77826</v>
      </c>
      <c r="AH383" s="22">
        <v>375.21300000000002</v>
      </c>
      <c r="AI383" s="22">
        <v>6.6229200000000002E-2</v>
      </c>
      <c r="AJ383" s="22">
        <v>373</v>
      </c>
      <c r="AK383" s="22">
        <v>1.77826</v>
      </c>
      <c r="AL383">
        <f t="shared" si="66"/>
        <v>-66.229200000000006</v>
      </c>
      <c r="AM383">
        <f t="shared" si="67"/>
        <v>-117.77273719200001</v>
      </c>
      <c r="AP383" s="9"/>
      <c r="AQ383" s="22">
        <v>-7.8277600000000003E-2</v>
      </c>
      <c r="AR383" s="22">
        <v>447.416</v>
      </c>
      <c r="AS383" s="22">
        <v>-1.8331900000000002E-2</v>
      </c>
      <c r="AT383" s="22">
        <v>373</v>
      </c>
      <c r="AU383" s="22">
        <v>-7.8674300000000003E-2</v>
      </c>
      <c r="AV383">
        <f t="shared" si="68"/>
        <v>18.331900000000001</v>
      </c>
      <c r="AW383">
        <f t="shared" si="69"/>
        <v>-1.4349771354400001</v>
      </c>
      <c r="AX383" s="9"/>
      <c r="AY383" s="22">
        <v>1.77826</v>
      </c>
      <c r="AZ383" s="22">
        <v>520.82899999999995</v>
      </c>
      <c r="BA383" s="22">
        <v>7.4401900000000007E-2</v>
      </c>
      <c r="BB383" s="22">
        <v>373</v>
      </c>
      <c r="BC383" s="22">
        <v>1.77765</v>
      </c>
      <c r="BD383">
        <f t="shared" si="70"/>
        <v>-74.401900000000012</v>
      </c>
      <c r="BE383">
        <f t="shared" si="71"/>
        <v>-132.30592269400003</v>
      </c>
    </row>
    <row r="384" spans="6:57">
      <c r="F384" s="9"/>
      <c r="G384" s="22">
        <v>-8.3312999999999998E-2</v>
      </c>
      <c r="H384" s="22">
        <v>86.019499999999994</v>
      </c>
      <c r="I384" s="22">
        <v>-1.6870099999999999E-2</v>
      </c>
      <c r="J384" s="22">
        <v>374</v>
      </c>
      <c r="K384" s="22">
        <v>-8.3343500000000001E-2</v>
      </c>
      <c r="L384">
        <f t="shared" si="60"/>
        <v>16.870100000000001</v>
      </c>
      <c r="M384">
        <f t="shared" si="61"/>
        <v>-1.4054986413000001</v>
      </c>
      <c r="N384" s="9"/>
      <c r="O384" s="22">
        <v>1.78329</v>
      </c>
      <c r="P384" s="22">
        <v>201.36199999999999</v>
      </c>
      <c r="Q384" s="22">
        <v>0.41540500000000002</v>
      </c>
      <c r="R384" s="22">
        <v>374</v>
      </c>
      <c r="S384" s="22">
        <v>0.27804600000000002</v>
      </c>
      <c r="T384">
        <f t="shared" si="62"/>
        <v>-415.40500000000003</v>
      </c>
      <c r="U384">
        <f t="shared" si="63"/>
        <v>-740.78758245000006</v>
      </c>
      <c r="X384" s="9"/>
      <c r="Y384" s="22">
        <v>-8.3312999999999998E-2</v>
      </c>
      <c r="Z384" s="22">
        <v>299.57799999999997</v>
      </c>
      <c r="AA384" s="22">
        <v>-1.7837499999999999E-2</v>
      </c>
      <c r="AB384" s="22">
        <v>374</v>
      </c>
      <c r="AC384" s="22">
        <v>-8.3557099999999995E-2</v>
      </c>
      <c r="AD384">
        <f t="shared" si="64"/>
        <v>17.837499999999999</v>
      </c>
      <c r="AE384">
        <f t="shared" si="65"/>
        <v>-1.4860956374999998</v>
      </c>
      <c r="AF384" s="9"/>
      <c r="AG384" s="22">
        <v>1.78329</v>
      </c>
      <c r="AH384" s="22">
        <v>375.31299999999999</v>
      </c>
      <c r="AI384" s="22">
        <v>0.19497700000000001</v>
      </c>
      <c r="AJ384" s="22">
        <v>374</v>
      </c>
      <c r="AK384" s="22">
        <v>7.8857399999999994E-2</v>
      </c>
      <c r="AL384">
        <f t="shared" si="66"/>
        <v>-194.977</v>
      </c>
      <c r="AM384">
        <f t="shared" si="67"/>
        <v>-347.70053433000004</v>
      </c>
      <c r="AP384" s="9"/>
      <c r="AQ384" s="22">
        <v>-8.3312999999999998E-2</v>
      </c>
      <c r="AR384" s="22">
        <v>447.517</v>
      </c>
      <c r="AS384" s="22">
        <v>-1.83258E-2</v>
      </c>
      <c r="AT384" s="22">
        <v>374</v>
      </c>
      <c r="AU384" s="22">
        <v>-8.4045400000000006E-2</v>
      </c>
      <c r="AV384">
        <f t="shared" si="68"/>
        <v>18.325800000000001</v>
      </c>
      <c r="AW384">
        <f t="shared" si="69"/>
        <v>-1.5267773754</v>
      </c>
      <c r="AX384" s="9"/>
      <c r="AY384" s="22">
        <v>1.78329</v>
      </c>
      <c r="AZ384" s="22">
        <v>520.92999999999995</v>
      </c>
      <c r="BA384" s="22">
        <v>8.7158200000000005E-2</v>
      </c>
      <c r="BB384" s="22">
        <v>374</v>
      </c>
      <c r="BC384" s="22">
        <v>1.7825299999999999</v>
      </c>
      <c r="BD384">
        <f t="shared" si="70"/>
        <v>-87.158200000000008</v>
      </c>
      <c r="BE384">
        <f t="shared" si="71"/>
        <v>-155.42834647800001</v>
      </c>
    </row>
    <row r="385" spans="6:57">
      <c r="F385" s="9"/>
      <c r="G385" s="22">
        <v>-8.8348399999999994E-2</v>
      </c>
      <c r="H385" s="22">
        <v>86.1203</v>
      </c>
      <c r="I385" s="22">
        <v>-1.6943400000000001E-2</v>
      </c>
      <c r="J385" s="22">
        <v>375</v>
      </c>
      <c r="K385" s="22">
        <v>-8.8348399999999994E-2</v>
      </c>
      <c r="L385">
        <f t="shared" si="60"/>
        <v>16.9434</v>
      </c>
      <c r="M385">
        <f t="shared" si="61"/>
        <v>-1.49692228056</v>
      </c>
      <c r="N385" s="9"/>
      <c r="O385" s="22">
        <v>1.78833</v>
      </c>
      <c r="P385" s="22">
        <v>201.46199999999999</v>
      </c>
      <c r="Q385" s="22">
        <v>0.411163</v>
      </c>
      <c r="R385" s="22">
        <v>375</v>
      </c>
      <c r="S385" s="22">
        <v>0.120728</v>
      </c>
      <c r="T385">
        <f t="shared" si="62"/>
        <v>-411.16300000000001</v>
      </c>
      <c r="U385">
        <f t="shared" si="63"/>
        <v>-735.29512779000004</v>
      </c>
      <c r="X385" s="9"/>
      <c r="Y385" s="22">
        <v>-8.8348399999999994E-2</v>
      </c>
      <c r="Z385" s="22">
        <v>299.67899999999997</v>
      </c>
      <c r="AA385" s="22">
        <v>-1.7843600000000001E-2</v>
      </c>
      <c r="AB385" s="22">
        <v>375</v>
      </c>
      <c r="AC385" s="22">
        <v>-8.8500999999999996E-2</v>
      </c>
      <c r="AD385">
        <f t="shared" si="64"/>
        <v>17.843600000000002</v>
      </c>
      <c r="AE385">
        <f t="shared" si="65"/>
        <v>-1.5764535102400001</v>
      </c>
      <c r="AF385" s="9"/>
      <c r="AG385" s="22">
        <v>1.78833</v>
      </c>
      <c r="AH385" s="22">
        <v>375.41399999999999</v>
      </c>
      <c r="AI385" s="22">
        <v>0.190918</v>
      </c>
      <c r="AJ385" s="22">
        <v>375</v>
      </c>
      <c r="AK385" s="22">
        <v>7.8735399999999997E-2</v>
      </c>
      <c r="AL385">
        <f t="shared" si="66"/>
        <v>-190.91800000000001</v>
      </c>
      <c r="AM385">
        <f t="shared" si="67"/>
        <v>-341.42438694000003</v>
      </c>
      <c r="AP385" s="9"/>
      <c r="AQ385" s="22">
        <v>-8.8348399999999994E-2</v>
      </c>
      <c r="AR385" s="22">
        <v>447.61700000000002</v>
      </c>
      <c r="AS385" s="22">
        <v>-1.83258E-2</v>
      </c>
      <c r="AT385" s="22">
        <v>375</v>
      </c>
      <c r="AU385" s="22">
        <v>-8.9294399999999996E-2</v>
      </c>
      <c r="AV385">
        <f t="shared" si="68"/>
        <v>18.325800000000001</v>
      </c>
      <c r="AW385">
        <f t="shared" si="69"/>
        <v>-1.61905510872</v>
      </c>
      <c r="AX385" s="9"/>
      <c r="AY385" s="22">
        <v>1.78833</v>
      </c>
      <c r="AZ385" s="22">
        <v>521.03</v>
      </c>
      <c r="BA385" s="22">
        <v>9.8053000000000001E-2</v>
      </c>
      <c r="BB385" s="22">
        <v>375</v>
      </c>
      <c r="BC385" s="22">
        <v>1.78772</v>
      </c>
      <c r="BD385">
        <f t="shared" si="70"/>
        <v>-98.052999999999997</v>
      </c>
      <c r="BE385">
        <f t="shared" si="71"/>
        <v>-175.35112149</v>
      </c>
    </row>
    <row r="386" spans="6:57">
      <c r="F386" s="9"/>
      <c r="G386" s="22">
        <v>-9.3383800000000003E-2</v>
      </c>
      <c r="H386" s="22">
        <v>86.221000000000004</v>
      </c>
      <c r="I386" s="22">
        <v>-1.70288E-2</v>
      </c>
      <c r="J386" s="22">
        <v>376</v>
      </c>
      <c r="K386" s="22">
        <v>-9.33533E-2</v>
      </c>
      <c r="L386">
        <f t="shared" si="60"/>
        <v>17.0288</v>
      </c>
      <c r="M386">
        <f t="shared" si="61"/>
        <v>-1.59021405344</v>
      </c>
      <c r="N386" s="9"/>
      <c r="O386" s="22">
        <v>1.7933699999999999</v>
      </c>
      <c r="P386" s="22">
        <v>201.56299999999999</v>
      </c>
      <c r="Q386" s="22">
        <v>0.407806</v>
      </c>
      <c r="R386" s="22">
        <v>376</v>
      </c>
      <c r="S386" s="22">
        <v>0.10287499999999999</v>
      </c>
      <c r="T386">
        <f t="shared" si="62"/>
        <v>-407.80599999999998</v>
      </c>
      <c r="U386">
        <f t="shared" si="63"/>
        <v>-731.34704621999992</v>
      </c>
      <c r="X386" s="9"/>
      <c r="Y386" s="22">
        <v>-9.3383800000000003E-2</v>
      </c>
      <c r="Z386" s="22">
        <v>299.77999999999997</v>
      </c>
      <c r="AA386" s="22">
        <v>-1.7852799999999999E-2</v>
      </c>
      <c r="AB386" s="22">
        <v>376</v>
      </c>
      <c r="AC386" s="22">
        <v>-9.3963599999999994E-2</v>
      </c>
      <c r="AD386">
        <f t="shared" si="64"/>
        <v>17.852799999999998</v>
      </c>
      <c r="AE386">
        <f t="shared" si="65"/>
        <v>-1.6671623046399999</v>
      </c>
      <c r="AF386" s="9"/>
      <c r="AG386" s="22">
        <v>1.7933699999999999</v>
      </c>
      <c r="AH386" s="22">
        <v>375.51499999999999</v>
      </c>
      <c r="AI386" s="22">
        <v>0.184387</v>
      </c>
      <c r="AJ386" s="22">
        <v>376</v>
      </c>
      <c r="AK386" s="22">
        <v>7.8613299999999997E-2</v>
      </c>
      <c r="AL386">
        <f t="shared" si="66"/>
        <v>-184.387</v>
      </c>
      <c r="AM386">
        <f t="shared" si="67"/>
        <v>-330.67411419000001</v>
      </c>
      <c r="AP386" s="9"/>
      <c r="AQ386" s="22">
        <v>-9.3383800000000003E-2</v>
      </c>
      <c r="AR386" s="22">
        <v>447.71800000000002</v>
      </c>
      <c r="AS386" s="22">
        <v>-1.83258E-2</v>
      </c>
      <c r="AT386" s="22">
        <v>376</v>
      </c>
      <c r="AU386" s="22">
        <v>-9.3597399999999997E-2</v>
      </c>
      <c r="AV386">
        <f t="shared" si="68"/>
        <v>18.325800000000001</v>
      </c>
      <c r="AW386">
        <f t="shared" si="69"/>
        <v>-1.7113328420400002</v>
      </c>
      <c r="AX386" s="9"/>
      <c r="AY386" s="22">
        <v>1.7933699999999999</v>
      </c>
      <c r="AZ386" s="22">
        <v>521.13099999999997</v>
      </c>
      <c r="BA386" s="22">
        <v>0.104614</v>
      </c>
      <c r="BB386" s="22">
        <v>376</v>
      </c>
      <c r="BC386" s="22">
        <v>1.79291</v>
      </c>
      <c r="BD386">
        <f t="shared" si="70"/>
        <v>-104.614</v>
      </c>
      <c r="BE386">
        <f t="shared" si="71"/>
        <v>-187.61160917999999</v>
      </c>
    </row>
    <row r="387" spans="6:57">
      <c r="F387" s="9"/>
      <c r="G387" s="22">
        <v>-9.8419199999999998E-2</v>
      </c>
      <c r="H387" s="22">
        <v>86.321700000000007</v>
      </c>
      <c r="I387" s="22">
        <v>-1.7013500000000001E-2</v>
      </c>
      <c r="J387" s="22">
        <v>377</v>
      </c>
      <c r="K387" s="22">
        <v>-9.8327600000000001E-2</v>
      </c>
      <c r="L387">
        <f t="shared" si="60"/>
        <v>17.013500000000001</v>
      </c>
      <c r="M387">
        <f t="shared" si="61"/>
        <v>-1.6744550592</v>
      </c>
      <c r="N387" s="9"/>
      <c r="O387" s="22">
        <v>1.7984</v>
      </c>
      <c r="P387" s="22">
        <v>201.66399999999999</v>
      </c>
      <c r="Q387" s="22">
        <v>0.40475499999999998</v>
      </c>
      <c r="R387" s="22">
        <v>377</v>
      </c>
      <c r="S387" s="22">
        <v>9.4604499999999994E-2</v>
      </c>
      <c r="T387">
        <f t="shared" si="62"/>
        <v>-404.755</v>
      </c>
      <c r="U387">
        <f t="shared" si="63"/>
        <v>-727.91139199999998</v>
      </c>
      <c r="X387" s="9"/>
      <c r="Y387" s="22">
        <v>-9.8419199999999998E-2</v>
      </c>
      <c r="Z387" s="22">
        <v>299.88</v>
      </c>
      <c r="AA387" s="22">
        <v>-1.7837499999999999E-2</v>
      </c>
      <c r="AB387" s="22">
        <v>377</v>
      </c>
      <c r="AC387" s="22">
        <v>-9.8693799999999998E-2</v>
      </c>
      <c r="AD387">
        <f t="shared" si="64"/>
        <v>17.837499999999999</v>
      </c>
      <c r="AE387">
        <f t="shared" si="65"/>
        <v>-1.7555524799999997</v>
      </c>
      <c r="AF387" s="9"/>
      <c r="AG387" s="22">
        <v>1.7984</v>
      </c>
      <c r="AH387" s="22">
        <v>375.61599999999999</v>
      </c>
      <c r="AI387" s="22">
        <v>0.42141699999999999</v>
      </c>
      <c r="AJ387" s="22">
        <v>377</v>
      </c>
      <c r="AK387" s="22">
        <v>0.11575299999999999</v>
      </c>
      <c r="AL387">
        <f t="shared" si="66"/>
        <v>-421.41699999999997</v>
      </c>
      <c r="AM387">
        <f t="shared" si="67"/>
        <v>-757.8763328</v>
      </c>
      <c r="AP387" s="9"/>
      <c r="AQ387" s="22">
        <v>-9.8419199999999998E-2</v>
      </c>
      <c r="AR387" s="22">
        <v>447.81900000000002</v>
      </c>
      <c r="AS387" s="22">
        <v>-1.83228E-2</v>
      </c>
      <c r="AT387" s="22">
        <v>377</v>
      </c>
      <c r="AU387" s="22">
        <v>-9.8724400000000004E-2</v>
      </c>
      <c r="AV387">
        <f t="shared" si="68"/>
        <v>18.322800000000001</v>
      </c>
      <c r="AW387">
        <f t="shared" si="69"/>
        <v>-1.8033153177600001</v>
      </c>
      <c r="AX387" s="9"/>
      <c r="AY387" s="22">
        <v>1.7984</v>
      </c>
      <c r="AZ387" s="22">
        <v>521.23199999999997</v>
      </c>
      <c r="BA387" s="22">
        <v>0.20413200000000001</v>
      </c>
      <c r="BB387" s="22">
        <v>377</v>
      </c>
      <c r="BC387" s="22">
        <v>7.8857399999999994E-2</v>
      </c>
      <c r="BD387">
        <f t="shared" si="70"/>
        <v>-204.13200000000001</v>
      </c>
      <c r="BE387">
        <f t="shared" si="71"/>
        <v>-367.11098880000003</v>
      </c>
    </row>
    <row r="388" spans="6:57">
      <c r="F388" s="9"/>
      <c r="G388" s="22">
        <v>-0.10345500000000001</v>
      </c>
      <c r="H388" s="22">
        <v>86.422399999999996</v>
      </c>
      <c r="I388" s="22">
        <v>-1.7041000000000001E-2</v>
      </c>
      <c r="J388" s="22">
        <v>378</v>
      </c>
      <c r="K388" s="22">
        <v>-0.10333299999999999</v>
      </c>
      <c r="L388">
        <f t="shared" si="60"/>
        <v>17.041</v>
      </c>
      <c r="M388">
        <f t="shared" si="61"/>
        <v>-1.7629766550000001</v>
      </c>
      <c r="N388" s="9"/>
      <c r="O388" s="22">
        <v>1.8034399999999999</v>
      </c>
      <c r="P388" s="22">
        <v>201.76400000000001</v>
      </c>
      <c r="Q388" s="22">
        <v>0.401978</v>
      </c>
      <c r="R388" s="22">
        <v>378</v>
      </c>
      <c r="S388" s="22">
        <v>9.0026900000000007E-2</v>
      </c>
      <c r="T388">
        <f t="shared" si="62"/>
        <v>-401.97800000000001</v>
      </c>
      <c r="U388">
        <f t="shared" si="63"/>
        <v>-724.94320431999995</v>
      </c>
      <c r="X388" s="9"/>
      <c r="Y388" s="22">
        <v>-0.10345500000000001</v>
      </c>
      <c r="Z388" s="22">
        <v>299.98099999999999</v>
      </c>
      <c r="AA388" s="22">
        <v>-1.7840600000000002E-2</v>
      </c>
      <c r="AB388" s="22">
        <v>378</v>
      </c>
      <c r="AC388" s="22">
        <v>-0.103821</v>
      </c>
      <c r="AD388">
        <f t="shared" si="64"/>
        <v>17.840600000000002</v>
      </c>
      <c r="AE388">
        <f t="shared" si="65"/>
        <v>-1.8456992730000004</v>
      </c>
      <c r="AF388" s="9"/>
      <c r="AG388" s="22">
        <v>1.8034399999999999</v>
      </c>
      <c r="AH388" s="22">
        <v>375.71600000000001</v>
      </c>
      <c r="AI388" s="22">
        <v>0.322357</v>
      </c>
      <c r="AJ388" s="22">
        <v>378</v>
      </c>
      <c r="AK388" s="22">
        <v>7.8063999999999995E-2</v>
      </c>
      <c r="AL388">
        <f t="shared" si="66"/>
        <v>-322.35700000000003</v>
      </c>
      <c r="AM388">
        <f t="shared" si="67"/>
        <v>-581.35150808000003</v>
      </c>
      <c r="AP388" s="9"/>
      <c r="AQ388" s="22">
        <v>-0.10345500000000001</v>
      </c>
      <c r="AR388" s="22">
        <v>447.91899999999998</v>
      </c>
      <c r="AS388" s="22">
        <v>-1.83228E-2</v>
      </c>
      <c r="AT388" s="22">
        <v>378</v>
      </c>
      <c r="AU388" s="22">
        <v>-0.10363799999999999</v>
      </c>
      <c r="AV388">
        <f t="shared" si="68"/>
        <v>18.322800000000001</v>
      </c>
      <c r="AW388">
        <f t="shared" si="69"/>
        <v>-1.8955852740000001</v>
      </c>
      <c r="AX388" s="9"/>
      <c r="AY388" s="22">
        <v>1.8034399999999999</v>
      </c>
      <c r="AZ388" s="22">
        <v>521.33299999999997</v>
      </c>
      <c r="BA388" s="22">
        <v>0.18835399999999999</v>
      </c>
      <c r="BB388" s="22">
        <v>378</v>
      </c>
      <c r="BC388" s="22">
        <v>7.8674300000000003E-2</v>
      </c>
      <c r="BD388">
        <f t="shared" si="70"/>
        <v>-188.35399999999998</v>
      </c>
      <c r="BE388">
        <f t="shared" si="71"/>
        <v>-339.68513775999998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9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178.40295081967227</v>
      </c>
      <c r="H2" s="2"/>
      <c r="I2" s="6" t="s">
        <v>12</v>
      </c>
      <c r="J2" s="2"/>
      <c r="K2" s="7" t="s">
        <v>13</v>
      </c>
      <c r="L2" s="3">
        <f>L4*I6*L9/100*100</f>
        <v>12.952453574400003</v>
      </c>
      <c r="M2" s="8" t="s">
        <v>14</v>
      </c>
      <c r="N2" s="9"/>
      <c r="O2" s="2">
        <f>ABS(S7-S6)/ABS(T7-T6)*1000</f>
        <v>398.47959016381878</v>
      </c>
      <c r="P2" s="2"/>
      <c r="Q2" s="6" t="s">
        <v>15</v>
      </c>
      <c r="R2" s="2"/>
      <c r="S2" s="7" t="s">
        <v>13</v>
      </c>
      <c r="T2" s="3">
        <f>T4*Q6*T9/100*100</f>
        <v>12.266651763600001</v>
      </c>
      <c r="U2" s="8" t="s">
        <v>14</v>
      </c>
      <c r="X2" s="9"/>
      <c r="Y2" s="2">
        <f>ABS(AC7-AC6)/ABS(AD7-AD6)*1000</f>
        <v>1091.8795081967223</v>
      </c>
      <c r="Z2" s="2"/>
      <c r="AA2" s="6" t="s">
        <v>12</v>
      </c>
      <c r="AB2" s="2"/>
      <c r="AC2" s="7" t="s">
        <v>13</v>
      </c>
      <c r="AD2" s="3">
        <f>AD4*AA6*AD9/100*100</f>
        <v>11.781958872000001</v>
      </c>
      <c r="AE2" s="8" t="s">
        <v>14</v>
      </c>
      <c r="AF2" s="9"/>
      <c r="AG2" s="2">
        <f>ABS(AK7-AK6)/ABS(AL7-AL6)*1000</f>
        <v>551.96967391326427</v>
      </c>
      <c r="AH2" s="2"/>
      <c r="AI2" s="6" t="s">
        <v>15</v>
      </c>
      <c r="AJ2" s="2"/>
      <c r="AK2" s="7" t="s">
        <v>13</v>
      </c>
      <c r="AL2" s="3">
        <f>AL4*AI6*AL9/100*100</f>
        <v>13.113451753600003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#DIV/0!</v>
      </c>
      <c r="AW2" s="8" t="s">
        <v>14</v>
      </c>
      <c r="AX2" s="9"/>
      <c r="AY2" s="2">
        <f>ABS(BC7-BC6)/ABS(BD7-BD6)*1000</f>
        <v>561.72505494526763</v>
      </c>
      <c r="AZ2" s="2"/>
      <c r="BA2" s="6" t="s">
        <v>15</v>
      </c>
      <c r="BB2" s="2"/>
      <c r="BC2" s="7" t="s">
        <v>13</v>
      </c>
      <c r="BD2" s="3">
        <f>BD4*BA6*BD9/100*100</f>
        <v>12.969905544399998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0.80871599999999999</v>
      </c>
      <c r="J3" s="2"/>
      <c r="K3" s="10">
        <f>INDEX(L11:L1056,MATCH(I3,K11:K1056,0))</f>
        <v>-2.39655</v>
      </c>
      <c r="L3" s="33" t="s">
        <v>16</v>
      </c>
      <c r="M3" s="11">
        <f>M9</f>
        <v>12.9524535744</v>
      </c>
      <c r="N3" s="9"/>
      <c r="O3" s="2" t="s">
        <v>44</v>
      </c>
      <c r="P3" s="2"/>
      <c r="Q3" s="2">
        <f>INDEX(S11:S1056,MATCH(0,T11:T1056,-1))</f>
        <v>0.79010000000000002</v>
      </c>
      <c r="R3" s="2"/>
      <c r="S3" s="10">
        <f>INDEX(T11:T1056,MATCH(Q3,S11:S1056,0))</f>
        <v>0.63018799999999997</v>
      </c>
      <c r="T3" s="33" t="s">
        <v>16</v>
      </c>
      <c r="U3" s="11">
        <f>U9</f>
        <v>12.266651763600001</v>
      </c>
      <c r="X3" s="9"/>
      <c r="Y3" s="2" t="s">
        <v>44</v>
      </c>
      <c r="Z3" s="2"/>
      <c r="AA3" s="2">
        <f>INDEX(AC11:AC856,MATCH(0,AD11:AD856,1))</f>
        <v>0.75317400000000001</v>
      </c>
      <c r="AB3" s="2"/>
      <c r="AC3" s="10">
        <f>INDEX(AD11:AD1056,MATCH(AA3,AC11:AC1056,0))</f>
        <v>-0.293182</v>
      </c>
      <c r="AD3" s="33" t="s">
        <v>16</v>
      </c>
      <c r="AE3" s="11">
        <f>AE9</f>
        <v>11.781958871999999</v>
      </c>
      <c r="AF3" s="9"/>
      <c r="AG3" s="2" t="s">
        <v>44</v>
      </c>
      <c r="AH3" s="2"/>
      <c r="AI3" s="2">
        <f>INDEX(AK11:AK1056,MATCH(0,AL11:AL1056,-1))</f>
        <v>0.83068799999999998</v>
      </c>
      <c r="AJ3" s="2"/>
      <c r="AK3" s="10">
        <f>INDEX(AL11:AL1056,MATCH(AI3,AK11:AK1056,0))</f>
        <v>1.6726700000000001</v>
      </c>
      <c r="AL3" s="33" t="s">
        <v>16</v>
      </c>
      <c r="AM3" s="11">
        <f>AM9</f>
        <v>13.113451753600001</v>
      </c>
      <c r="AP3" s="9"/>
      <c r="AQ3" s="2" t="s">
        <v>44</v>
      </c>
      <c r="AR3" s="2"/>
      <c r="AS3" s="2">
        <f>INDEX(AU11:AU856,MATCH(0,AV11:AV856,1))</f>
        <v>0.82397500000000001</v>
      </c>
      <c r="AT3" s="2"/>
      <c r="AU3" s="10">
        <f>INDEX(AV11:AV1056,MATCH(AS3,AU11:AU1056,0))</f>
        <v>-3.3538800000000001E-2</v>
      </c>
      <c r="AV3" s="33" t="s">
        <v>16</v>
      </c>
      <c r="AW3" s="11">
        <f>AW9</f>
        <v>13.159328334</v>
      </c>
      <c r="AX3" s="9"/>
      <c r="AY3" s="2" t="s">
        <v>44</v>
      </c>
      <c r="AZ3" s="2"/>
      <c r="BA3" s="2">
        <f>INDEX(BC11:BC1056,MATCH(0,BD11:BD1056,-1))</f>
        <v>0.82061799999999996</v>
      </c>
      <c r="BB3" s="2"/>
      <c r="BC3" s="10">
        <f>INDEX(BD11:BD1056,MATCH(BA3,BC11:BC1056,0))</f>
        <v>1.2603800000000001</v>
      </c>
      <c r="BD3" s="33" t="s">
        <v>16</v>
      </c>
      <c r="BE3" s="11">
        <f>BE9</f>
        <v>12.9699055444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2.1636274259568999</v>
      </c>
      <c r="H4" s="2"/>
      <c r="I4" s="2">
        <f>INDEX(K11:K1000,1+MATCH(0,L11:L856,1))</f>
        <v>0.80322300000000002</v>
      </c>
      <c r="J4" s="2"/>
      <c r="K4" s="10">
        <f>INDEX(L11:L1056,MATCH(I4,K11:K1056,0))</f>
        <v>0.14224200000000001</v>
      </c>
      <c r="L4" s="32">
        <f>M3/(I6*L9)</f>
        <v>0.7188776166504437</v>
      </c>
      <c r="M4" s="8" t="s">
        <v>17</v>
      </c>
      <c r="N4" s="9"/>
      <c r="O4" s="2">
        <f>ABS(Q3-Q4)/ABS(S3-S4)*1000</f>
        <v>1.5819540314628193</v>
      </c>
      <c r="P4" s="2"/>
      <c r="Q4" s="2">
        <f>INDEX(S11:S856,1+MATCH(0,T11:T856,-1))</f>
        <v>0.79559299999999999</v>
      </c>
      <c r="R4" s="2"/>
      <c r="S4" s="10">
        <f>INDEX(T11:T856,MATCH(Q4,S11:S856,0))</f>
        <v>-2.8421000000000003</v>
      </c>
      <c r="T4" s="32">
        <f>U3/(Q6*T9)</f>
        <v>0.69474480922426374</v>
      </c>
      <c r="U4" s="8" t="s">
        <v>17</v>
      </c>
      <c r="X4" s="9"/>
      <c r="Y4" s="2">
        <f>ABS(AA3-AA4)/ABS(AC3-AC4)*1000</f>
        <v>3.6086395660371404</v>
      </c>
      <c r="Z4" s="2"/>
      <c r="AA4" s="2">
        <f>INDEX(AC11:AC1000,1+MATCH(0,AD11:AD856,1))</f>
        <v>0.74880999999999998</v>
      </c>
      <c r="AB4" s="2"/>
      <c r="AC4" s="10">
        <f>INDEX(AD11:AD1056,MATCH(AA4,AC11:AC1056,0))</f>
        <v>0.91613800000000001</v>
      </c>
      <c r="AD4" s="32">
        <f>AE3/(AA6*AD9)</f>
        <v>0.70283586177965429</v>
      </c>
      <c r="AE4" s="8" t="s">
        <v>17</v>
      </c>
      <c r="AF4" s="9"/>
      <c r="AG4" s="2">
        <f>ABS(AI3-AI4)/ABS(AK3-AK4)*1000</f>
        <v>1.9606827013222274</v>
      </c>
      <c r="AH4" s="2"/>
      <c r="AI4" s="2">
        <f>INDEX(AK11:AK856,1+MATCH(0,AL11:AL856,-1))</f>
        <v>0.83526599999999995</v>
      </c>
      <c r="AJ4" s="2"/>
      <c r="AK4" s="10">
        <f>INDEX(AL11:AL856,MATCH(AI4,AK11:AK856,0))</f>
        <v>-0.66223100000000001</v>
      </c>
      <c r="AL4" s="32">
        <f>AM3/(AI6*AL9)</f>
        <v>0.70415714790335227</v>
      </c>
      <c r="AM4" s="8" t="s">
        <v>17</v>
      </c>
      <c r="AP4" s="9"/>
      <c r="AQ4" s="2">
        <f>ABS(AS3-AS4)/ABS(AU3-AU4)*1000</f>
        <v>2.1835185888397253</v>
      </c>
      <c r="AR4" s="2"/>
      <c r="AS4" s="2">
        <f>INDEX(AU11:AU1000,1+MATCH(0,AV11:AV856,1))</f>
        <v>0.81909200000000004</v>
      </c>
      <c r="AT4" s="2"/>
      <c r="AU4" s="10">
        <f>INDEX(AV11:AV1056,MATCH(AS4,AU11:AU1056,0))</f>
        <v>2.2027599999999996</v>
      </c>
      <c r="AV4" s="32" t="e">
        <f>AW3/(AS6*AV9)</f>
        <v>#DIV/0!</v>
      </c>
      <c r="AW4" s="8" t="s">
        <v>17</v>
      </c>
      <c r="AX4" s="9"/>
      <c r="AY4" s="2">
        <f>ABS(BA3-BA4)/ABS(BC3-BC4)*1000</f>
        <v>1.5660637011327023</v>
      </c>
      <c r="AZ4" s="2"/>
      <c r="BA4" s="2">
        <f>INDEX(BC11:BC856,1+MATCH(0,BD11:BD856,-1))</f>
        <v>0.82550000000000001</v>
      </c>
      <c r="BB4" s="2"/>
      <c r="BC4" s="10">
        <f>INDEX(BD11:BD856,MATCH(BA4,BC11:BC856,0))</f>
        <v>-1.8569899999999999</v>
      </c>
      <c r="BD4" s="32">
        <f>BE3/(BA6*BD9)</f>
        <v>0.70742012348201633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19.079599999999999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19.009399999999999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19.366499999999998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18.8507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19.100999999999999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19.058199999999999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0.80353075869232293</v>
      </c>
      <c r="J6" s="32"/>
      <c r="K6" s="13">
        <f>INDEX(K11:K1056,MATCH(L6,L11:L1056,0))</f>
        <v>4.1290299999999997E-3</v>
      </c>
      <c r="L6" s="10">
        <f>INDEX(L11:L1056,MATCH(0,K11:K1056,-1))</f>
        <v>22.399899999999999</v>
      </c>
      <c r="M6" s="8" t="s">
        <v>22</v>
      </c>
      <c r="N6" s="9"/>
      <c r="O6" s="2"/>
      <c r="P6" s="2"/>
      <c r="Q6" s="34">
        <f>(Q3-Q4)/(S3-S4)*(-S4)+Q4</f>
        <v>0.79109692844717949</v>
      </c>
      <c r="R6" s="34"/>
      <c r="S6" s="13">
        <f>INDEX(S11:S1056,MATCH(T6,T11:T1056,0))</f>
        <v>-4.3395999999999999E-3</v>
      </c>
      <c r="T6" s="10">
        <f>INDEX(T11:T1056,MATCH(0,S11:S1056,1))</f>
        <v>22.329700000000003</v>
      </c>
      <c r="U6" s="8" t="s">
        <v>22</v>
      </c>
      <c r="X6" s="9"/>
      <c r="Y6" s="2"/>
      <c r="Z6" s="2"/>
      <c r="AA6" s="32">
        <f>(AA3-AA4)/(AC3-AC4)*(-AC4)+AA4</f>
        <v>0.75211601183475008</v>
      </c>
      <c r="AB6" s="32"/>
      <c r="AC6" s="13">
        <f>INDEX(AC11:AC1056,MATCH(AD6,AD11:AD1056,0))</f>
        <v>2.4887099999999999E-2</v>
      </c>
      <c r="AD6" s="10">
        <f>INDEX(AD11:AD1056,MATCH(0,AC11:AC1056,-1))</f>
        <v>22.265599999999999</v>
      </c>
      <c r="AE6" s="8" t="s">
        <v>22</v>
      </c>
      <c r="AF6" s="9"/>
      <c r="AG6" s="2"/>
      <c r="AH6" s="2"/>
      <c r="AI6" s="34">
        <f>(AI3-AI4)/(AK3-AK4)*(-AK4)+AI4</f>
        <v>0.83396757513402064</v>
      </c>
      <c r="AJ6" s="34"/>
      <c r="AK6" s="13">
        <f>INDEX(AK11:AK1056,MATCH(AL6,AL11:AL1056,0))</f>
        <v>-4.6417200000000002E-3</v>
      </c>
      <c r="AL6" s="10">
        <f>INDEX(AL11:AL1056,MATCH(0,AK11:AK1056,1))</f>
        <v>22.338899999999999</v>
      </c>
      <c r="AM6" s="8" t="s">
        <v>22</v>
      </c>
      <c r="AP6" s="9"/>
      <c r="AQ6" s="2"/>
      <c r="AR6" s="2"/>
      <c r="AS6" s="32">
        <f>(AS3-AS4)/(AU3-AU4)*(-AU4)+AS4</f>
        <v>0.82390176740675258</v>
      </c>
      <c r="AT6" s="32"/>
      <c r="AU6" s="13">
        <f>INDEX(AU11:AU1056,MATCH(AV6,AV11:AV1056,0))</f>
        <v>1.4086899999999999E-2</v>
      </c>
      <c r="AV6" s="10">
        <f>INDEX(AV11:AV1056,MATCH(0,AU11:AU1056,-1))</f>
        <v>22.341900000000003</v>
      </c>
      <c r="AW6" s="8" t="s">
        <v>22</v>
      </c>
      <c r="AX6" s="9"/>
      <c r="AY6" s="2"/>
      <c r="AZ6" s="2"/>
      <c r="BA6" s="34">
        <f>(BA3-BA4)/(BC3-BC4)*(-BC4)+BA4</f>
        <v>0.82259183536763358</v>
      </c>
      <c r="BB6" s="34"/>
      <c r="BC6" s="13">
        <f>INDEX(BC11:BC1056,MATCH(BD6,BD11:BD1056,0))</f>
        <v>-4.4372600000000002E-3</v>
      </c>
      <c r="BD6" s="10">
        <f>INDEX(BD11:BD1056,MATCH(0,BC11:BC1056,1))</f>
        <v>22.296099999999999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-1.31226E-3</v>
      </c>
      <c r="L7" s="10">
        <f>INDEX(L11:L856,1+MATCH(0,K11:K856,-1))</f>
        <v>22.430399999999999</v>
      </c>
      <c r="M7" s="12">
        <f>INDEX(K11:K1056,MATCH(M9,M11:M1056,0))</f>
        <v>0.677979</v>
      </c>
      <c r="N7" s="9"/>
      <c r="O7" s="2"/>
      <c r="P7" s="2"/>
      <c r="Q7" s="2"/>
      <c r="R7" s="2"/>
      <c r="S7" s="13">
        <f>INDEX(S11:S1056,MATCH(T7,T11:T1056,0))</f>
        <v>5.2185100000000004E-4</v>
      </c>
      <c r="T7" s="10">
        <f>INDEX(T11:T1056,1+MATCH(0,S11:S1056,1))</f>
        <v>22.317499999999999</v>
      </c>
      <c r="U7" s="12">
        <f>INDEX(S11:S1056,MATCH(U9,U11:U1056,0))</f>
        <v>0.64456199999999997</v>
      </c>
      <c r="X7" s="9"/>
      <c r="Y7" s="2"/>
      <c r="Z7" s="2"/>
      <c r="AA7" s="2"/>
      <c r="AB7" s="2"/>
      <c r="AC7" s="13">
        <f>INDEX(AC11:AC856,MATCH(AD7,AD11:AD856,1))</f>
        <v>-1.75476E-3</v>
      </c>
      <c r="AD7" s="10">
        <f>INDEX(AD11:AD856,1+MATCH(0,AC11:AC856,-1))</f>
        <v>22.29</v>
      </c>
      <c r="AE7" s="12">
        <f>INDEX(AC11:AC1056,MATCH(AE9,AE11:AE1056,0))</f>
        <v>0.60769700000000004</v>
      </c>
      <c r="AF7" s="9"/>
      <c r="AG7" s="2"/>
      <c r="AH7" s="2"/>
      <c r="AI7" s="2"/>
      <c r="AJ7" s="2"/>
      <c r="AK7" s="13">
        <f>INDEX(AK11:AK1056,MATCH(AL7,AL11:AL1056,0))</f>
        <v>4.36401E-4</v>
      </c>
      <c r="AL7" s="10">
        <f>INDEX(AL11:AL1056,1+MATCH(0,AK11:AK1056,1))</f>
        <v>22.329700000000003</v>
      </c>
      <c r="AM7" s="12">
        <f>INDEX(AK11:AK1056,MATCH(AM9,AM11:AM1056,0))</f>
        <v>0.69497699999999996</v>
      </c>
      <c r="AP7" s="9"/>
      <c r="AQ7" s="2"/>
      <c r="AR7" s="2"/>
      <c r="AS7" s="2"/>
      <c r="AT7" s="2"/>
      <c r="AU7" s="13">
        <f>INDEX(AU11:AU856,MATCH(AV7,AV11:AV856,1))</f>
        <v>1.4086899999999999E-2</v>
      </c>
      <c r="AV7" s="10">
        <f>INDEX(AV11:AV856,1+MATCH(0,AU11:AU856,-1))</f>
        <v>22.347999999999999</v>
      </c>
      <c r="AW7" s="12">
        <f>INDEX(AU11:AU1056,MATCH(AW9,AW11:AW1056,0))</f>
        <v>0.68798800000000004</v>
      </c>
      <c r="AX7" s="9"/>
      <c r="AY7" s="2"/>
      <c r="AZ7" s="2"/>
      <c r="BA7" s="2"/>
      <c r="BB7" s="2"/>
      <c r="BC7" s="13">
        <f>INDEX(BC11:BC1056,MATCH(BD7,BD11:BD1056,0))</f>
        <v>6.7443799999999997E-4</v>
      </c>
      <c r="BD7" s="10">
        <f>INDEX(BD11:BD1056,1+MATCH(0,BC11:BC1056,1))</f>
        <v>22.287000000000003</v>
      </c>
      <c r="BE7" s="12">
        <f>INDEX(BC11:BC1056,MATCH(BE9,BE11:BE1056,0))</f>
        <v>0.67981000000000003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5.2947637052755949</v>
      </c>
      <c r="J9" s="2"/>
      <c r="K9" s="2"/>
      <c r="L9" s="3">
        <f>(L6-L7)/(K6-K7)*(-K7)+L7</f>
        <v>22.423044404176213</v>
      </c>
      <c r="M9" s="16">
        <f>MAX(M11:M1056)</f>
        <v>12.9524535744</v>
      </c>
      <c r="N9" s="9"/>
      <c r="O9" s="2"/>
      <c r="P9" s="2"/>
      <c r="Q9" s="2"/>
      <c r="R9" s="2"/>
      <c r="S9" s="2"/>
      <c r="T9" s="3">
        <f>(T6-T7)/(S6-S7)*(-S7)+T7</f>
        <v>22.318809605342107</v>
      </c>
      <c r="U9" s="16">
        <f>MAX(U11:U1056)</f>
        <v>12.266651763600001</v>
      </c>
      <c r="X9" s="9"/>
      <c r="Y9" s="2"/>
      <c r="Z9" s="2"/>
      <c r="AA9" s="15">
        <f>(MAX(AD2,AL2)-MIN(AD2,AL2))/MAX(AD2,AL2)%</f>
        <v>10.153641517264676</v>
      </c>
      <c r="AB9" s="2"/>
      <c r="AC9" s="2"/>
      <c r="AD9" s="3">
        <f>(AD6-AD7)/(AC6-AC7)*(-AC7)+AD7</f>
        <v>22.288392899594847</v>
      </c>
      <c r="AE9" s="16">
        <f>MAX(AE11:AE1056)</f>
        <v>11.781958871999999</v>
      </c>
      <c r="AF9" s="9"/>
      <c r="AG9" s="2"/>
      <c r="AH9" s="2"/>
      <c r="AI9" s="2"/>
      <c r="AJ9" s="2"/>
      <c r="AK9" s="2"/>
      <c r="AL9" s="3">
        <f>(AL6-AL7)/(AK6-AK7)*(-AK7)+AL7</f>
        <v>22.330490624957541</v>
      </c>
      <c r="AM9" s="16">
        <f>MAX(AM11:AM1056)</f>
        <v>13.113451753600001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 t="e">
        <f>(AV6-AV7)/(AU6-AU7)*(-AU7)+AV7</f>
        <v>#DIV/0!</v>
      </c>
      <c r="AW9" s="16">
        <f>MAX(AW11:AW1056)</f>
        <v>13.159328334</v>
      </c>
      <c r="AX9" s="9"/>
      <c r="AY9" s="2"/>
      <c r="AZ9" s="2"/>
      <c r="BA9" s="2"/>
      <c r="BB9" s="2"/>
      <c r="BC9" s="2"/>
      <c r="BD9" s="3">
        <f>(BD6-BD7)/(BC6-BC7)*(-BC7)+BD7</f>
        <v>22.288200655007397</v>
      </c>
      <c r="BE9" s="16">
        <f>MAX(BE11:BE1056)</f>
        <v>12.9699055444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0.80353075869232293</v>
      </c>
      <c r="B11" s="19">
        <f>IFERROR(L9,0)</f>
        <v>22.423044404176213</v>
      </c>
      <c r="C11" s="20">
        <f>IFERROR(L4,0)</f>
        <v>0.7188776166504437</v>
      </c>
      <c r="D11" s="21">
        <f>IFERROR(L2,0)</f>
        <v>12.952453574400003</v>
      </c>
      <c r="E11" s="21">
        <f>IFERROR(I9,0)</f>
        <v>5.2947637052755949</v>
      </c>
      <c r="F11" s="9"/>
      <c r="G11" s="22">
        <v>0.84503200000000001</v>
      </c>
      <c r="H11" s="22">
        <v>23.515000000000001</v>
      </c>
      <c r="I11" s="22">
        <v>2.8982500000000001E-2</v>
      </c>
      <c r="J11" s="22">
        <v>1</v>
      </c>
      <c r="K11" s="22">
        <v>0.84411599999999998</v>
      </c>
      <c r="L11">
        <f>-I11/$F$2*1000</f>
        <v>-28.982500000000002</v>
      </c>
      <c r="M11">
        <f>L11*G11</f>
        <v>-24.49113994</v>
      </c>
      <c r="N11" s="9"/>
      <c r="O11" s="22">
        <v>-9.49097E-2</v>
      </c>
      <c r="P11" s="22">
        <v>71.658699999999996</v>
      </c>
      <c r="Q11" s="22">
        <v>-2.2485399999999999E-2</v>
      </c>
      <c r="R11" s="22">
        <v>1</v>
      </c>
      <c r="S11" s="22">
        <v>-9.5977800000000002E-2</v>
      </c>
      <c r="T11">
        <f>-Q11/$F$2*1000</f>
        <v>22.485399999999998</v>
      </c>
      <c r="U11">
        <f>T11*O11</f>
        <v>-2.1340825683799998</v>
      </c>
      <c r="V11" s="23"/>
      <c r="W11" s="24"/>
      <c r="X11" s="9"/>
      <c r="Y11" s="22">
        <v>0.84503200000000001</v>
      </c>
      <c r="Z11" s="22">
        <v>125.229</v>
      </c>
      <c r="AA11" s="22">
        <v>7.0980799999999997E-2</v>
      </c>
      <c r="AB11" s="22">
        <v>1</v>
      </c>
      <c r="AC11" s="22">
        <v>0.84350599999999998</v>
      </c>
      <c r="AD11">
        <f>-AA11/$F$2*1000</f>
        <v>-70.980800000000002</v>
      </c>
      <c r="AE11">
        <f>AD11*Y11</f>
        <v>-59.9810473856</v>
      </c>
      <c r="AF11" s="9"/>
      <c r="AG11" s="22">
        <v>-9.49097E-2</v>
      </c>
      <c r="AH11" s="22">
        <v>162.00399999999999</v>
      </c>
      <c r="AI11" s="22">
        <v>-2.2540299999999999E-2</v>
      </c>
      <c r="AJ11" s="22">
        <v>1</v>
      </c>
      <c r="AK11" s="22">
        <v>-9.5367400000000005E-2</v>
      </c>
      <c r="AL11">
        <f>-AI11/$F$2*1000</f>
        <v>22.540299999999998</v>
      </c>
      <c r="AM11">
        <f>AL11*AG11</f>
        <v>-2.1392931109099997</v>
      </c>
      <c r="AP11" s="9"/>
      <c r="AQ11" s="22">
        <v>0.84503200000000001</v>
      </c>
      <c r="AR11" s="22">
        <v>195.02600000000001</v>
      </c>
      <c r="AS11" s="22">
        <v>1.6653399999999999E-2</v>
      </c>
      <c r="AT11" s="22">
        <v>1</v>
      </c>
      <c r="AU11" s="22">
        <v>0.84381099999999998</v>
      </c>
      <c r="AV11">
        <f>-AS11/$F$2*1000</f>
        <v>-16.653399999999998</v>
      </c>
      <c r="AW11">
        <f>AV11*AQ11</f>
        <v>-14.072655908799998</v>
      </c>
      <c r="AX11" s="9"/>
      <c r="AY11" s="22">
        <v>-9.49097E-2</v>
      </c>
      <c r="AZ11" s="22">
        <v>264.82400000000001</v>
      </c>
      <c r="BA11" s="22">
        <v>-2.2506700000000001E-2</v>
      </c>
      <c r="BB11" s="22">
        <v>1</v>
      </c>
      <c r="BC11" s="22">
        <v>-9.5428499999999999E-2</v>
      </c>
      <c r="BD11">
        <f>-BA11/$F$2*1000</f>
        <v>22.506700000000002</v>
      </c>
      <c r="BE11">
        <f>BD11*AY11</f>
        <v>-2.13610414499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0.79109692844717949</v>
      </c>
      <c r="B12" s="19">
        <f>IFERROR(T9,0)</f>
        <v>22.318809605342107</v>
      </c>
      <c r="C12" s="20">
        <f>IFERROR(T4,0)</f>
        <v>0.69474480922426374</v>
      </c>
      <c r="D12" s="21">
        <f>IFERROR(T2,0)</f>
        <v>12.266651763600001</v>
      </c>
      <c r="E12" s="21"/>
      <c r="F12" s="9"/>
      <c r="G12" s="22">
        <v>0.83999599999999996</v>
      </c>
      <c r="H12" s="22">
        <v>23.6157</v>
      </c>
      <c r="I12" s="22">
        <v>2.2982800000000001E-2</v>
      </c>
      <c r="J12" s="22">
        <v>2</v>
      </c>
      <c r="K12" s="22">
        <v>0.83923300000000001</v>
      </c>
      <c r="L12">
        <f t="shared" ref="L12:L75" si="0">-I12/$F$2*1000</f>
        <v>-22.982800000000001</v>
      </c>
      <c r="M12">
        <f t="shared" ref="M12:M75" si="1">L12*G12</f>
        <v>-19.305460068799999</v>
      </c>
      <c r="N12" s="9"/>
      <c r="O12" s="22">
        <v>-8.9874300000000004E-2</v>
      </c>
      <c r="P12" s="22">
        <v>71.759399999999999</v>
      </c>
      <c r="Q12" s="22">
        <v>-2.2473099999999999E-2</v>
      </c>
      <c r="R12" s="22">
        <v>2</v>
      </c>
      <c r="S12" s="22">
        <v>-9.0484599999999998E-2</v>
      </c>
      <c r="T12">
        <f t="shared" ref="T12:T75" si="2">-Q12/$F$2*1000</f>
        <v>22.473099999999999</v>
      </c>
      <c r="U12">
        <f t="shared" ref="U12:U75" si="3">T12*O12</f>
        <v>-2.01975413133</v>
      </c>
      <c r="V12" s="23"/>
      <c r="W12" s="24"/>
      <c r="X12" s="9"/>
      <c r="Y12" s="22">
        <v>0.83999599999999996</v>
      </c>
      <c r="Z12" s="22">
        <v>125.32899999999999</v>
      </c>
      <c r="AA12" s="22">
        <v>6.3561999999999994E-2</v>
      </c>
      <c r="AB12" s="22">
        <v>2</v>
      </c>
      <c r="AC12" s="22">
        <v>0.83923300000000001</v>
      </c>
      <c r="AD12">
        <f t="shared" ref="AD12:AD75" si="4">-AA12/$F$2*1000</f>
        <v>-63.561999999999991</v>
      </c>
      <c r="AE12">
        <f t="shared" ref="AE12:AE75" si="5">AD12*Y12</f>
        <v>-53.391825751999988</v>
      </c>
      <c r="AF12" s="9"/>
      <c r="AG12" s="22">
        <v>-8.9874300000000004E-2</v>
      </c>
      <c r="AH12" s="22">
        <v>162.10499999999999</v>
      </c>
      <c r="AI12" s="22">
        <v>-2.2506700000000001E-2</v>
      </c>
      <c r="AJ12" s="22">
        <v>2</v>
      </c>
      <c r="AK12" s="22">
        <v>-8.9996300000000001E-2</v>
      </c>
      <c r="AL12">
        <f t="shared" ref="AL12:AL75" si="6">-AI12/$F$2*1000</f>
        <v>22.506700000000002</v>
      </c>
      <c r="AM12">
        <f t="shared" ref="AM12:AM75" si="7">AL12*AG12</f>
        <v>-2.0227739078100004</v>
      </c>
      <c r="AP12" s="9"/>
      <c r="AQ12" s="22">
        <v>0.83999599999999996</v>
      </c>
      <c r="AR12" s="22">
        <v>195.12700000000001</v>
      </c>
      <c r="AS12" s="22">
        <v>1.18805E-2</v>
      </c>
      <c r="AT12" s="22">
        <v>2</v>
      </c>
      <c r="AU12" s="22">
        <v>0.83923300000000001</v>
      </c>
      <c r="AV12">
        <f t="shared" ref="AV12:AV75" si="8">-AS12/$F$2*1000</f>
        <v>-11.8805</v>
      </c>
      <c r="AW12">
        <f t="shared" ref="AW12:AW75" si="9">AV12*AQ12</f>
        <v>-9.9795724779999997</v>
      </c>
      <c r="AX12" s="9"/>
      <c r="AY12" s="22">
        <v>-8.9874300000000004E-2</v>
      </c>
      <c r="AZ12" s="22">
        <v>264.92399999999998</v>
      </c>
      <c r="BA12" s="22">
        <v>-2.2491500000000001E-2</v>
      </c>
      <c r="BB12" s="22">
        <v>2</v>
      </c>
      <c r="BC12" s="22">
        <v>-9.0423600000000007E-2</v>
      </c>
      <c r="BD12">
        <f t="shared" ref="BD12:BD75" si="10">-BA12/$F$2*1000</f>
        <v>22.491500000000002</v>
      </c>
      <c r="BE12">
        <f t="shared" ref="BE12:BE75" si="11">BD12*AY12</f>
        <v>-2.0214078184500002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0.75211601183475008</v>
      </c>
      <c r="B13" s="19">
        <f>IFERROR(AD9,0)</f>
        <v>22.288392899594847</v>
      </c>
      <c r="C13" s="20">
        <f>IFERROR(AD4,0)</f>
        <v>0.70283586177965429</v>
      </c>
      <c r="D13" s="21">
        <f>IFERROR(AD2,0)</f>
        <v>11.781958872000001</v>
      </c>
      <c r="E13" s="21">
        <f>IFERROR(AA9,0)</f>
        <v>10.153641517264676</v>
      </c>
      <c r="F13" s="9"/>
      <c r="G13" s="22">
        <v>0.83496099999999995</v>
      </c>
      <c r="H13" s="22">
        <v>23.7164</v>
      </c>
      <c r="I13" s="22">
        <v>1.92108E-2</v>
      </c>
      <c r="J13" s="22">
        <v>3</v>
      </c>
      <c r="K13" s="22">
        <v>0.83404500000000004</v>
      </c>
      <c r="L13">
        <f t="shared" si="0"/>
        <v>-19.210799999999999</v>
      </c>
      <c r="M13">
        <f t="shared" si="1"/>
        <v>-16.040268778799998</v>
      </c>
      <c r="N13" s="9"/>
      <c r="O13" s="22">
        <v>-8.4838899999999995E-2</v>
      </c>
      <c r="P13" s="22">
        <v>71.860100000000003</v>
      </c>
      <c r="Q13" s="22">
        <v>-2.2457899999999999E-2</v>
      </c>
      <c r="R13" s="22">
        <v>3</v>
      </c>
      <c r="S13" s="22">
        <v>-8.54187E-2</v>
      </c>
      <c r="T13">
        <f t="shared" si="2"/>
        <v>22.457899999999999</v>
      </c>
      <c r="U13">
        <f t="shared" si="3"/>
        <v>-1.9053035323099998</v>
      </c>
      <c r="V13" s="23"/>
      <c r="W13" s="24"/>
      <c r="X13" s="9"/>
      <c r="Y13" s="22">
        <v>0.83496099999999995</v>
      </c>
      <c r="Z13" s="22">
        <v>125.43</v>
      </c>
      <c r="AA13" s="22">
        <v>5.44281E-2</v>
      </c>
      <c r="AB13" s="22">
        <v>3</v>
      </c>
      <c r="AC13" s="22">
        <v>0.83465599999999995</v>
      </c>
      <c r="AD13">
        <f t="shared" si="4"/>
        <v>-54.428100000000001</v>
      </c>
      <c r="AE13">
        <f t="shared" si="5"/>
        <v>-45.445340804099999</v>
      </c>
      <c r="AF13" s="9"/>
      <c r="AG13" s="22">
        <v>-8.4838899999999995E-2</v>
      </c>
      <c r="AH13" s="22">
        <v>162.20500000000001</v>
      </c>
      <c r="AI13" s="22">
        <v>-2.2491500000000001E-2</v>
      </c>
      <c r="AJ13" s="22">
        <v>3</v>
      </c>
      <c r="AK13" s="22">
        <v>-8.5449200000000003E-2</v>
      </c>
      <c r="AL13">
        <f t="shared" si="6"/>
        <v>22.491500000000002</v>
      </c>
      <c r="AM13">
        <f t="shared" si="7"/>
        <v>-1.90815411935</v>
      </c>
      <c r="AP13" s="9"/>
      <c r="AQ13" s="22">
        <v>0.83496099999999995</v>
      </c>
      <c r="AR13" s="22">
        <v>195.22800000000001</v>
      </c>
      <c r="AS13" s="22">
        <v>7.0007300000000001E-3</v>
      </c>
      <c r="AT13" s="22">
        <v>3</v>
      </c>
      <c r="AU13" s="22">
        <v>0.83404500000000004</v>
      </c>
      <c r="AV13">
        <f t="shared" si="8"/>
        <v>-7.0007299999999999</v>
      </c>
      <c r="AW13">
        <f t="shared" si="9"/>
        <v>-5.8453365215299993</v>
      </c>
      <c r="AX13" s="9"/>
      <c r="AY13" s="22">
        <v>-8.4838899999999995E-2</v>
      </c>
      <c r="AZ13" s="22">
        <v>265.02499999999998</v>
      </c>
      <c r="BA13" s="22">
        <v>-2.2473099999999999E-2</v>
      </c>
      <c r="BB13" s="22">
        <v>3</v>
      </c>
      <c r="BC13" s="22">
        <v>-8.5388199999999997E-2</v>
      </c>
      <c r="BD13">
        <f t="shared" si="10"/>
        <v>22.473099999999999</v>
      </c>
      <c r="BE13">
        <f t="shared" si="11"/>
        <v>-1.9065930835899998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0.83396757513402064</v>
      </c>
      <c r="B14" s="19">
        <f>IFERROR(AL9,0)</f>
        <v>22.330490624957541</v>
      </c>
      <c r="C14" s="20">
        <f>IFERROR(AL4,0)</f>
        <v>0.70415714790335227</v>
      </c>
      <c r="D14" s="21">
        <f>IFERROR(AL2,0)</f>
        <v>13.113451753600003</v>
      </c>
      <c r="E14" s="21"/>
      <c r="F14" s="9"/>
      <c r="G14" s="22">
        <v>0.82992600000000005</v>
      </c>
      <c r="H14" s="22">
        <v>23.8171</v>
      </c>
      <c r="I14" s="22">
        <v>1.5063500000000001E-2</v>
      </c>
      <c r="J14" s="22">
        <v>4</v>
      </c>
      <c r="K14" s="22">
        <v>0.82855199999999996</v>
      </c>
      <c r="L14">
        <f t="shared" si="0"/>
        <v>-15.063500000000001</v>
      </c>
      <c r="M14">
        <f t="shared" si="1"/>
        <v>-12.501590301000002</v>
      </c>
      <c r="N14" s="9"/>
      <c r="O14" s="22">
        <v>-7.9803499999999999E-2</v>
      </c>
      <c r="P14" s="22">
        <v>71.960899999999995</v>
      </c>
      <c r="Q14" s="22">
        <v>-2.24304E-2</v>
      </c>
      <c r="R14" s="22">
        <v>4</v>
      </c>
      <c r="S14" s="22">
        <v>-7.9986600000000005E-2</v>
      </c>
      <c r="T14">
        <f t="shared" si="2"/>
        <v>22.430399999999999</v>
      </c>
      <c r="U14">
        <f t="shared" si="3"/>
        <v>-1.7900244263999998</v>
      </c>
      <c r="V14" s="23"/>
      <c r="W14" s="24"/>
      <c r="X14" s="9"/>
      <c r="Y14" s="22">
        <v>0.82992600000000005</v>
      </c>
      <c r="Z14" s="22">
        <v>125.53100000000001</v>
      </c>
      <c r="AA14" s="22">
        <v>4.8214699999999999E-2</v>
      </c>
      <c r="AB14" s="22">
        <v>4</v>
      </c>
      <c r="AC14" s="22">
        <v>0.82977299999999998</v>
      </c>
      <c r="AD14">
        <f t="shared" si="4"/>
        <v>-48.214700000000001</v>
      </c>
      <c r="AE14">
        <f t="shared" si="5"/>
        <v>-40.014633112200002</v>
      </c>
      <c r="AF14" s="9"/>
      <c r="AG14" s="22">
        <v>-7.9803499999999999E-2</v>
      </c>
      <c r="AH14" s="22">
        <v>162.30600000000001</v>
      </c>
      <c r="AI14" s="22">
        <v>-2.2488399999999999E-2</v>
      </c>
      <c r="AJ14" s="22">
        <v>4</v>
      </c>
      <c r="AK14" s="22">
        <v>-8.0566399999999996E-2</v>
      </c>
      <c r="AL14">
        <f t="shared" si="6"/>
        <v>22.488399999999999</v>
      </c>
      <c r="AM14">
        <f t="shared" si="7"/>
        <v>-1.7946530293999998</v>
      </c>
      <c r="AP14" s="9"/>
      <c r="AQ14" s="22">
        <v>0.82992600000000005</v>
      </c>
      <c r="AR14" s="22">
        <v>195.32900000000001</v>
      </c>
      <c r="AS14" s="22">
        <v>3.0484000000000002E-3</v>
      </c>
      <c r="AT14" s="22">
        <v>4</v>
      </c>
      <c r="AU14" s="22">
        <v>0.82946799999999998</v>
      </c>
      <c r="AV14">
        <f t="shared" si="8"/>
        <v>-3.0484</v>
      </c>
      <c r="AW14">
        <f t="shared" si="9"/>
        <v>-2.5299464184000002</v>
      </c>
      <c r="AX14" s="9"/>
      <c r="AY14" s="22">
        <v>-7.9803499999999999E-2</v>
      </c>
      <c r="AZ14" s="22">
        <v>265.12599999999998</v>
      </c>
      <c r="BA14" s="22">
        <v>-2.24548E-2</v>
      </c>
      <c r="BB14" s="22">
        <v>4</v>
      </c>
      <c r="BC14" s="22">
        <v>-8.0108600000000002E-2</v>
      </c>
      <c r="BD14">
        <f t="shared" si="10"/>
        <v>22.454799999999999</v>
      </c>
      <c r="BE14">
        <f t="shared" si="11"/>
        <v>-1.7919716317999999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0.82390176740675258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0.82489000000000001</v>
      </c>
      <c r="H15" s="22">
        <v>23.9178</v>
      </c>
      <c r="I15" s="22">
        <v>1.08215E-2</v>
      </c>
      <c r="J15" s="22">
        <v>5</v>
      </c>
      <c r="K15" s="22">
        <v>0.82428000000000001</v>
      </c>
      <c r="L15">
        <f t="shared" si="0"/>
        <v>-10.8215</v>
      </c>
      <c r="M15">
        <f t="shared" si="1"/>
        <v>-8.9265471349999999</v>
      </c>
      <c r="N15" s="9"/>
      <c r="O15" s="22">
        <v>-7.4768100000000004E-2</v>
      </c>
      <c r="P15" s="22">
        <v>72.061599999999999</v>
      </c>
      <c r="Q15" s="22">
        <v>-2.25098E-2</v>
      </c>
      <c r="R15" s="22">
        <v>5</v>
      </c>
      <c r="S15" s="22">
        <v>-7.5775099999999998E-2</v>
      </c>
      <c r="T15">
        <f t="shared" si="2"/>
        <v>22.509799999999998</v>
      </c>
      <c r="U15">
        <f t="shared" si="3"/>
        <v>-1.6830149773800001</v>
      </c>
      <c r="V15" s="23"/>
      <c r="W15" s="24"/>
      <c r="X15" s="9"/>
      <c r="Y15" s="22">
        <v>0.82489000000000001</v>
      </c>
      <c r="Z15" s="22">
        <v>125.631</v>
      </c>
      <c r="AA15" s="22">
        <v>4.2343100000000002E-2</v>
      </c>
      <c r="AB15" s="22">
        <v>5</v>
      </c>
      <c r="AC15" s="22">
        <v>0.82519500000000001</v>
      </c>
      <c r="AD15">
        <f t="shared" si="4"/>
        <v>-42.3431</v>
      </c>
      <c r="AE15">
        <f t="shared" si="5"/>
        <v>-34.928399759000001</v>
      </c>
      <c r="AF15" s="9"/>
      <c r="AG15" s="22">
        <v>-7.4768100000000004E-2</v>
      </c>
      <c r="AH15" s="22">
        <v>162.40700000000001</v>
      </c>
      <c r="AI15" s="22">
        <v>-2.2464000000000001E-2</v>
      </c>
      <c r="AJ15" s="22">
        <v>5</v>
      </c>
      <c r="AK15" s="22">
        <v>-7.5378399999999998E-2</v>
      </c>
      <c r="AL15">
        <f t="shared" si="6"/>
        <v>22.464000000000002</v>
      </c>
      <c r="AM15">
        <f t="shared" si="7"/>
        <v>-1.6795905984000004</v>
      </c>
      <c r="AP15" s="9"/>
      <c r="AQ15" s="22">
        <v>0.82489000000000001</v>
      </c>
      <c r="AR15" s="22">
        <v>195.429</v>
      </c>
      <c r="AS15" s="25">
        <v>3.3538799999999998E-5</v>
      </c>
      <c r="AT15" s="22">
        <v>5</v>
      </c>
      <c r="AU15" s="22">
        <v>0.82397500000000001</v>
      </c>
      <c r="AV15">
        <f t="shared" si="8"/>
        <v>-3.3538800000000001E-2</v>
      </c>
      <c r="AW15">
        <f t="shared" si="9"/>
        <v>-2.7665820731999999E-2</v>
      </c>
      <c r="AX15" s="9"/>
      <c r="AY15" s="22">
        <v>-7.4768100000000004E-2</v>
      </c>
      <c r="AZ15" s="22">
        <v>265.226</v>
      </c>
      <c r="BA15" s="22">
        <v>-2.2424300000000001E-2</v>
      </c>
      <c r="BB15" s="22">
        <v>5</v>
      </c>
      <c r="BC15" s="22">
        <v>-7.5378399999999998E-2</v>
      </c>
      <c r="BD15">
        <f t="shared" si="10"/>
        <v>22.424300000000002</v>
      </c>
      <c r="BE15">
        <f t="shared" si="11"/>
        <v>-1.6766223048300002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0.82259183536763358</v>
      </c>
      <c r="B16" s="19">
        <f>IFERROR(BD9,0)</f>
        <v>22.288200655007397</v>
      </c>
      <c r="C16" s="20">
        <f>IFERROR(BD4,0)</f>
        <v>0.70742012348201633</v>
      </c>
      <c r="D16" s="21">
        <f>IFERROR(BD2,0)</f>
        <v>12.969905544399998</v>
      </c>
      <c r="E16" s="21"/>
      <c r="F16" s="9"/>
      <c r="G16" s="22">
        <v>0.819855</v>
      </c>
      <c r="H16" s="22">
        <v>24.0185</v>
      </c>
      <c r="I16" s="22">
        <v>7.9528800000000007E-3</v>
      </c>
      <c r="J16" s="22">
        <v>6</v>
      </c>
      <c r="K16" s="22">
        <v>0.81939700000000004</v>
      </c>
      <c r="L16">
        <f t="shared" si="0"/>
        <v>-7.9528800000000004</v>
      </c>
      <c r="M16">
        <f t="shared" si="1"/>
        <v>-6.5202084324000005</v>
      </c>
      <c r="N16" s="9"/>
      <c r="O16" s="22">
        <v>-6.9732699999999995E-2</v>
      </c>
      <c r="P16" s="22">
        <v>72.162300000000002</v>
      </c>
      <c r="Q16" s="22">
        <v>-2.2491500000000001E-2</v>
      </c>
      <c r="R16" s="22">
        <v>6</v>
      </c>
      <c r="S16" s="22">
        <v>-7.0007299999999995E-2</v>
      </c>
      <c r="T16">
        <f t="shared" si="2"/>
        <v>22.491500000000002</v>
      </c>
      <c r="U16">
        <f t="shared" si="3"/>
        <v>-1.56839302205</v>
      </c>
      <c r="V16" s="23"/>
      <c r="W16" s="24"/>
      <c r="X16" s="9"/>
      <c r="Y16" s="22">
        <v>0.819855</v>
      </c>
      <c r="Z16" s="22">
        <v>125.732</v>
      </c>
      <c r="AA16" s="22">
        <v>3.7149000000000001E-2</v>
      </c>
      <c r="AB16" s="22">
        <v>6</v>
      </c>
      <c r="AC16" s="22">
        <v>0.81878700000000004</v>
      </c>
      <c r="AD16">
        <f t="shared" si="4"/>
        <v>-37.149000000000001</v>
      </c>
      <c r="AE16">
        <f t="shared" si="5"/>
        <v>-30.456793395000002</v>
      </c>
      <c r="AF16" s="9"/>
      <c r="AG16" s="22">
        <v>-6.9732699999999995E-2</v>
      </c>
      <c r="AH16" s="22">
        <v>162.50800000000001</v>
      </c>
      <c r="AI16" s="22">
        <v>-2.2445699999999999E-2</v>
      </c>
      <c r="AJ16" s="22">
        <v>6</v>
      </c>
      <c r="AK16" s="22">
        <v>-7.0617700000000005E-2</v>
      </c>
      <c r="AL16">
        <f t="shared" si="6"/>
        <v>22.445699999999999</v>
      </c>
      <c r="AM16">
        <f t="shared" si="7"/>
        <v>-1.5651992643899997</v>
      </c>
      <c r="AP16" s="9"/>
      <c r="AQ16" s="22">
        <v>0.819855</v>
      </c>
      <c r="AR16" s="22">
        <v>195.53</v>
      </c>
      <c r="AS16" s="22">
        <v>-2.2027599999999998E-3</v>
      </c>
      <c r="AT16" s="22">
        <v>6</v>
      </c>
      <c r="AU16" s="22">
        <v>0.81909200000000004</v>
      </c>
      <c r="AV16">
        <f t="shared" si="8"/>
        <v>2.2027599999999996</v>
      </c>
      <c r="AW16">
        <f t="shared" si="9"/>
        <v>1.8059437997999996</v>
      </c>
      <c r="AX16" s="9"/>
      <c r="AY16" s="22">
        <v>-6.9732699999999995E-2</v>
      </c>
      <c r="AZ16" s="22">
        <v>265.327</v>
      </c>
      <c r="BA16" s="22">
        <v>-2.2405999999999999E-2</v>
      </c>
      <c r="BB16" s="22">
        <v>6</v>
      </c>
      <c r="BC16" s="22">
        <v>-7.0159899999999997E-2</v>
      </c>
      <c r="BD16">
        <f t="shared" si="10"/>
        <v>22.405999999999999</v>
      </c>
      <c r="BE16">
        <f t="shared" si="11"/>
        <v>-1.5624308761999999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0.81481899999999996</v>
      </c>
      <c r="H17" s="22">
        <v>24.119299999999999</v>
      </c>
      <c r="I17" s="22">
        <v>5.2032500000000004E-3</v>
      </c>
      <c r="J17" s="22">
        <v>7</v>
      </c>
      <c r="K17" s="22">
        <v>0.81390399999999996</v>
      </c>
      <c r="L17">
        <f t="shared" si="0"/>
        <v>-5.2032500000000006</v>
      </c>
      <c r="M17">
        <f t="shared" si="1"/>
        <v>-4.2397069617500005</v>
      </c>
      <c r="N17" s="9"/>
      <c r="O17" s="22">
        <v>-6.4697299999999999E-2</v>
      </c>
      <c r="P17" s="22">
        <v>72.263000000000005</v>
      </c>
      <c r="Q17" s="22">
        <v>-2.2460899999999999E-2</v>
      </c>
      <c r="R17" s="22">
        <v>7</v>
      </c>
      <c r="S17" s="22">
        <v>-6.5521200000000002E-2</v>
      </c>
      <c r="T17">
        <f t="shared" si="2"/>
        <v>22.460899999999999</v>
      </c>
      <c r="U17">
        <f t="shared" si="3"/>
        <v>-1.4531595855699999</v>
      </c>
      <c r="V17" s="23"/>
      <c r="W17" s="24"/>
      <c r="X17" s="9"/>
      <c r="Y17" s="22">
        <v>0.81481899999999996</v>
      </c>
      <c r="Z17" s="22">
        <v>125.833</v>
      </c>
      <c r="AA17" s="22">
        <v>3.3904999999999998E-2</v>
      </c>
      <c r="AB17" s="22">
        <v>7</v>
      </c>
      <c r="AC17" s="22">
        <v>0.81390399999999996</v>
      </c>
      <c r="AD17">
        <f t="shared" si="4"/>
        <v>-33.905000000000001</v>
      </c>
      <c r="AE17">
        <f t="shared" si="5"/>
        <v>-27.626438194999999</v>
      </c>
      <c r="AF17" s="9"/>
      <c r="AG17" s="22">
        <v>-6.4697299999999999E-2</v>
      </c>
      <c r="AH17" s="22">
        <v>162.608</v>
      </c>
      <c r="AI17" s="22">
        <v>-2.24274E-2</v>
      </c>
      <c r="AJ17" s="22">
        <v>7</v>
      </c>
      <c r="AK17" s="22">
        <v>-6.5185499999999993E-2</v>
      </c>
      <c r="AL17">
        <f t="shared" si="6"/>
        <v>22.427399999999999</v>
      </c>
      <c r="AM17">
        <f t="shared" si="7"/>
        <v>-1.4509922260199999</v>
      </c>
      <c r="AP17" s="9"/>
      <c r="AQ17" s="22">
        <v>0.81481899999999996</v>
      </c>
      <c r="AR17" s="22">
        <v>195.631</v>
      </c>
      <c r="AS17" s="22">
        <v>-4.2376699999999998E-3</v>
      </c>
      <c r="AT17" s="22">
        <v>7</v>
      </c>
      <c r="AU17" s="22">
        <v>0.81390399999999996</v>
      </c>
      <c r="AV17">
        <f t="shared" si="8"/>
        <v>4.2376699999999996</v>
      </c>
      <c r="AW17">
        <f t="shared" si="9"/>
        <v>3.4529340317299995</v>
      </c>
      <c r="AX17" s="9"/>
      <c r="AY17" s="22">
        <v>-6.4697299999999999E-2</v>
      </c>
      <c r="AZ17" s="22">
        <v>265.428</v>
      </c>
      <c r="BA17" s="22">
        <v>-2.2381600000000001E-2</v>
      </c>
      <c r="BB17" s="22">
        <v>7</v>
      </c>
      <c r="BC17" s="22">
        <v>-6.5307599999999993E-2</v>
      </c>
      <c r="BD17">
        <f t="shared" si="10"/>
        <v>22.381600000000002</v>
      </c>
      <c r="BE17">
        <f t="shared" si="11"/>
        <v>-1.4480290896800001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0.80978399999999995</v>
      </c>
      <c r="H18" s="22">
        <v>24.22</v>
      </c>
      <c r="I18" s="22">
        <v>2.3965499999999999E-3</v>
      </c>
      <c r="J18" s="22">
        <v>8</v>
      </c>
      <c r="K18" s="22">
        <v>0.80871599999999999</v>
      </c>
      <c r="L18">
        <f t="shared" si="0"/>
        <v>-2.39655</v>
      </c>
      <c r="M18">
        <f t="shared" si="1"/>
        <v>-1.9406878451999998</v>
      </c>
      <c r="N18" s="9"/>
      <c r="O18" s="22">
        <v>-5.9661899999999997E-2</v>
      </c>
      <c r="P18" s="22">
        <v>72.363699999999994</v>
      </c>
      <c r="Q18" s="22">
        <v>-2.2433499999999999E-2</v>
      </c>
      <c r="R18" s="22">
        <v>8</v>
      </c>
      <c r="S18" s="22">
        <v>-6.0394299999999998E-2</v>
      </c>
      <c r="T18">
        <f t="shared" si="2"/>
        <v>22.433499999999999</v>
      </c>
      <c r="U18">
        <f t="shared" si="3"/>
        <v>-1.3384252336499998</v>
      </c>
      <c r="V18" s="23"/>
      <c r="W18" s="24"/>
      <c r="X18" s="9"/>
      <c r="Y18" s="22">
        <v>0.80978399999999995</v>
      </c>
      <c r="Z18" s="22">
        <v>125.93300000000001</v>
      </c>
      <c r="AA18" s="22">
        <v>3.0776999999999999E-2</v>
      </c>
      <c r="AB18" s="22">
        <v>8</v>
      </c>
      <c r="AC18" s="22">
        <v>0.80902099999999999</v>
      </c>
      <c r="AD18">
        <f t="shared" si="4"/>
        <v>-30.776999999999997</v>
      </c>
      <c r="AE18">
        <f t="shared" si="5"/>
        <v>-24.922722167999996</v>
      </c>
      <c r="AF18" s="9"/>
      <c r="AG18" s="22">
        <v>-5.9661899999999997E-2</v>
      </c>
      <c r="AH18" s="22">
        <v>162.709</v>
      </c>
      <c r="AI18" s="22">
        <v>-2.2424300000000001E-2</v>
      </c>
      <c r="AJ18" s="22">
        <v>8</v>
      </c>
      <c r="AK18" s="22">
        <v>-6.0058599999999997E-2</v>
      </c>
      <c r="AL18">
        <f t="shared" si="6"/>
        <v>22.424300000000002</v>
      </c>
      <c r="AM18">
        <f t="shared" si="7"/>
        <v>-1.3378763441700001</v>
      </c>
      <c r="AP18" s="9"/>
      <c r="AQ18" s="22">
        <v>0.80978399999999995</v>
      </c>
      <c r="AR18" s="22">
        <v>195.73099999999999</v>
      </c>
      <c r="AS18" s="22">
        <v>-5.9539800000000002E-3</v>
      </c>
      <c r="AT18" s="22">
        <v>8</v>
      </c>
      <c r="AU18" s="22">
        <v>0.80871599999999999</v>
      </c>
      <c r="AV18">
        <f t="shared" si="8"/>
        <v>5.9539800000000005</v>
      </c>
      <c r="AW18">
        <f t="shared" si="9"/>
        <v>4.8214377403200004</v>
      </c>
      <c r="AX18" s="9"/>
      <c r="AY18" s="22">
        <v>-5.9661899999999997E-2</v>
      </c>
      <c r="AZ18" s="22">
        <v>265.529</v>
      </c>
      <c r="BA18" s="22">
        <v>-2.2363299999999999E-2</v>
      </c>
      <c r="BB18" s="22">
        <v>8</v>
      </c>
      <c r="BC18" s="22">
        <v>-6.0211199999999999E-2</v>
      </c>
      <c r="BD18">
        <f t="shared" si="10"/>
        <v>22.363299999999999</v>
      </c>
      <c r="BE18">
        <f t="shared" si="11"/>
        <v>-1.3342369682699999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0.80474900000000005</v>
      </c>
      <c r="H19" s="22">
        <v>24.320699999999999</v>
      </c>
      <c r="I19" s="22">
        <v>-1.42242E-4</v>
      </c>
      <c r="J19" s="22">
        <v>9</v>
      </c>
      <c r="K19" s="22">
        <v>0.80322300000000002</v>
      </c>
      <c r="L19">
        <f t="shared" si="0"/>
        <v>0.14224200000000001</v>
      </c>
      <c r="M19">
        <f t="shared" si="1"/>
        <v>0.11446910725800001</v>
      </c>
      <c r="N19" s="9"/>
      <c r="O19" s="22">
        <v>-5.4626500000000001E-2</v>
      </c>
      <c r="P19" s="22">
        <v>72.464399999999998</v>
      </c>
      <c r="Q19" s="22">
        <v>-2.2418199999999999E-2</v>
      </c>
      <c r="R19" s="22">
        <v>9</v>
      </c>
      <c r="S19" s="22">
        <v>-5.5389399999999998E-2</v>
      </c>
      <c r="T19">
        <f t="shared" si="2"/>
        <v>22.418199999999999</v>
      </c>
      <c r="U19">
        <f t="shared" si="3"/>
        <v>-1.2246278022999999</v>
      </c>
      <c r="V19" s="23"/>
      <c r="W19" s="24"/>
      <c r="X19" s="9"/>
      <c r="Y19" s="22">
        <v>0.80474900000000005</v>
      </c>
      <c r="Z19" s="22">
        <v>126.03400000000001</v>
      </c>
      <c r="AA19" s="22">
        <v>2.6663200000000001E-2</v>
      </c>
      <c r="AB19" s="22">
        <v>9</v>
      </c>
      <c r="AC19" s="22">
        <v>0.80444300000000002</v>
      </c>
      <c r="AD19">
        <f t="shared" si="4"/>
        <v>-26.6632</v>
      </c>
      <c r="AE19">
        <f t="shared" si="5"/>
        <v>-21.457183536800002</v>
      </c>
      <c r="AF19" s="9"/>
      <c r="AG19" s="22">
        <v>-5.4626500000000001E-2</v>
      </c>
      <c r="AH19" s="22">
        <v>162.81</v>
      </c>
      <c r="AI19" s="22">
        <v>-2.2412100000000001E-2</v>
      </c>
      <c r="AJ19" s="22">
        <v>9</v>
      </c>
      <c r="AK19" s="22">
        <v>-5.5023200000000001E-2</v>
      </c>
      <c r="AL19">
        <f t="shared" si="6"/>
        <v>22.412100000000002</v>
      </c>
      <c r="AM19">
        <f t="shared" si="7"/>
        <v>-1.2242945806500001</v>
      </c>
      <c r="AP19" s="9"/>
      <c r="AQ19" s="22">
        <v>0.80474900000000005</v>
      </c>
      <c r="AR19" s="22">
        <v>195.83199999999999</v>
      </c>
      <c r="AS19" s="22">
        <v>-7.4859599999999998E-3</v>
      </c>
      <c r="AT19" s="22">
        <v>9</v>
      </c>
      <c r="AU19" s="22">
        <v>0.80413800000000002</v>
      </c>
      <c r="AV19">
        <f t="shared" si="8"/>
        <v>7.4859599999999995</v>
      </c>
      <c r="AW19">
        <f t="shared" si="9"/>
        <v>6.0243188240399999</v>
      </c>
      <c r="AX19" s="9"/>
      <c r="AY19" s="22">
        <v>-5.4626500000000001E-2</v>
      </c>
      <c r="AZ19" s="22">
        <v>265.62900000000002</v>
      </c>
      <c r="BA19" s="22">
        <v>-2.2357200000000001E-2</v>
      </c>
      <c r="BB19" s="22">
        <v>9</v>
      </c>
      <c r="BC19" s="22">
        <v>-5.5236800000000003E-2</v>
      </c>
      <c r="BD19">
        <f t="shared" si="10"/>
        <v>22.357200000000002</v>
      </c>
      <c r="BE19">
        <f t="shared" si="11"/>
        <v>-1.2212955858000001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0.79971300000000001</v>
      </c>
      <c r="H20" s="22">
        <v>24.421399999999998</v>
      </c>
      <c r="I20" s="22">
        <v>-2.3892200000000001E-3</v>
      </c>
      <c r="J20" s="22">
        <v>10</v>
      </c>
      <c r="K20" s="22">
        <v>0.79895000000000005</v>
      </c>
      <c r="L20">
        <f t="shared" si="0"/>
        <v>2.3892199999999999</v>
      </c>
      <c r="M20">
        <f t="shared" si="1"/>
        <v>1.9106902938599999</v>
      </c>
      <c r="N20" s="9"/>
      <c r="O20" s="22">
        <v>-4.9591099999999999E-2</v>
      </c>
      <c r="P20" s="22">
        <v>72.565100000000001</v>
      </c>
      <c r="Q20" s="22">
        <v>-2.24152E-2</v>
      </c>
      <c r="R20" s="22">
        <v>10</v>
      </c>
      <c r="S20" s="22">
        <v>-5.0262500000000002E-2</v>
      </c>
      <c r="T20">
        <f t="shared" si="2"/>
        <v>22.415199999999999</v>
      </c>
      <c r="U20">
        <f t="shared" si="3"/>
        <v>-1.1115944247199998</v>
      </c>
      <c r="V20" s="23"/>
      <c r="W20" s="24"/>
      <c r="X20" s="9"/>
      <c r="Y20" s="22">
        <v>0.79971300000000001</v>
      </c>
      <c r="Z20" s="22">
        <v>126.13500000000001</v>
      </c>
      <c r="AA20" s="22">
        <v>2.2705099999999999E-2</v>
      </c>
      <c r="AB20" s="22">
        <v>10</v>
      </c>
      <c r="AC20" s="22">
        <v>0.79895000000000005</v>
      </c>
      <c r="AD20">
        <f t="shared" si="4"/>
        <v>-22.705099999999998</v>
      </c>
      <c r="AE20">
        <f t="shared" si="5"/>
        <v>-18.157563636299997</v>
      </c>
      <c r="AF20" s="9"/>
      <c r="AG20" s="22">
        <v>-4.9591099999999999E-2</v>
      </c>
      <c r="AH20" s="22">
        <v>162.91</v>
      </c>
      <c r="AI20" s="22">
        <v>-2.2409100000000001E-2</v>
      </c>
      <c r="AJ20" s="22">
        <v>10</v>
      </c>
      <c r="AK20" s="22">
        <v>-4.9957300000000003E-2</v>
      </c>
      <c r="AL20">
        <f t="shared" si="6"/>
        <v>22.409100000000002</v>
      </c>
      <c r="AM20">
        <f t="shared" si="7"/>
        <v>-1.1112919190100001</v>
      </c>
      <c r="AP20" s="9"/>
      <c r="AQ20" s="22">
        <v>0.79971300000000001</v>
      </c>
      <c r="AR20" s="22">
        <v>195.93299999999999</v>
      </c>
      <c r="AS20" s="22">
        <v>-8.9904800000000003E-3</v>
      </c>
      <c r="AT20" s="22">
        <v>10</v>
      </c>
      <c r="AU20" s="22">
        <v>0.79864500000000005</v>
      </c>
      <c r="AV20">
        <f t="shared" si="8"/>
        <v>8.9904799999999998</v>
      </c>
      <c r="AW20">
        <f t="shared" si="9"/>
        <v>7.1898037322399997</v>
      </c>
      <c r="AX20" s="9"/>
      <c r="AY20" s="22">
        <v>-4.9591099999999999E-2</v>
      </c>
      <c r="AZ20" s="22">
        <v>265.73</v>
      </c>
      <c r="BA20" s="22">
        <v>-2.2348E-2</v>
      </c>
      <c r="BB20" s="22">
        <v>10</v>
      </c>
      <c r="BC20" s="22">
        <v>-5.0476100000000003E-2</v>
      </c>
      <c r="BD20">
        <f t="shared" si="10"/>
        <v>22.347999999999999</v>
      </c>
      <c r="BE20">
        <f t="shared" si="11"/>
        <v>-1.1082619028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0.794678</v>
      </c>
      <c r="H21" s="22">
        <v>24.522099999999998</v>
      </c>
      <c r="I21" s="22">
        <v>-4.5141599999999997E-3</v>
      </c>
      <c r="J21" s="22">
        <v>11</v>
      </c>
      <c r="K21" s="22">
        <v>0.79376199999999997</v>
      </c>
      <c r="L21">
        <f t="shared" si="0"/>
        <v>4.5141599999999995</v>
      </c>
      <c r="M21">
        <f t="shared" si="1"/>
        <v>3.5873036404799996</v>
      </c>
      <c r="N21" s="9"/>
      <c r="O21" s="22">
        <v>-4.4555699999999997E-2</v>
      </c>
      <c r="P21" s="22">
        <v>72.665800000000004</v>
      </c>
      <c r="Q21" s="22">
        <v>-2.24152E-2</v>
      </c>
      <c r="R21" s="22">
        <v>11</v>
      </c>
      <c r="S21" s="22">
        <v>-4.4027700000000003E-2</v>
      </c>
      <c r="T21">
        <f t="shared" si="2"/>
        <v>22.415199999999999</v>
      </c>
      <c r="U21">
        <f t="shared" si="3"/>
        <v>-0.9987249266399999</v>
      </c>
      <c r="V21" s="23"/>
      <c r="W21" s="24"/>
      <c r="X21" s="9"/>
      <c r="Y21" s="22">
        <v>0.794678</v>
      </c>
      <c r="Z21" s="22">
        <v>126.236</v>
      </c>
      <c r="AA21" s="22">
        <v>1.7947399999999999E-2</v>
      </c>
      <c r="AB21" s="22">
        <v>11</v>
      </c>
      <c r="AC21" s="22">
        <v>0.79315199999999997</v>
      </c>
      <c r="AD21">
        <f t="shared" si="4"/>
        <v>-17.947399999999998</v>
      </c>
      <c r="AE21">
        <f t="shared" si="5"/>
        <v>-14.262403937199998</v>
      </c>
      <c r="AF21" s="9"/>
      <c r="AG21" s="22">
        <v>-4.4555699999999997E-2</v>
      </c>
      <c r="AH21" s="22">
        <v>163.011</v>
      </c>
      <c r="AI21" s="22">
        <v>-2.2393799999999998E-2</v>
      </c>
      <c r="AJ21" s="22">
        <v>11</v>
      </c>
      <c r="AK21" s="22">
        <v>-4.4607500000000001E-2</v>
      </c>
      <c r="AL21">
        <f t="shared" si="6"/>
        <v>22.393799999999999</v>
      </c>
      <c r="AM21">
        <f t="shared" si="7"/>
        <v>-0.99777143465999985</v>
      </c>
      <c r="AP21" s="9"/>
      <c r="AQ21" s="22">
        <v>0.794678</v>
      </c>
      <c r="AR21" s="22">
        <v>196.03399999999999</v>
      </c>
      <c r="AS21" s="22">
        <v>-1.0357699999999999E-2</v>
      </c>
      <c r="AT21" s="22">
        <v>11</v>
      </c>
      <c r="AU21" s="22">
        <v>0.79406699999999997</v>
      </c>
      <c r="AV21">
        <f t="shared" si="8"/>
        <v>10.357699999999999</v>
      </c>
      <c r="AW21">
        <f t="shared" si="9"/>
        <v>8.2310363205999995</v>
      </c>
      <c r="AX21" s="9"/>
      <c r="AY21" s="22">
        <v>-4.4555699999999997E-2</v>
      </c>
      <c r="AZ21" s="22">
        <v>265.83100000000002</v>
      </c>
      <c r="BA21" s="22">
        <v>-2.2348E-2</v>
      </c>
      <c r="BB21" s="22">
        <v>11</v>
      </c>
      <c r="BC21" s="22">
        <v>-4.48273E-2</v>
      </c>
      <c r="BD21">
        <f t="shared" si="10"/>
        <v>22.347999999999999</v>
      </c>
      <c r="BE21">
        <f t="shared" si="11"/>
        <v>-0.99573078359999989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0.78964199999999996</v>
      </c>
      <c r="H22" s="22">
        <v>24.622800000000002</v>
      </c>
      <c r="I22" s="22">
        <v>-6.0790999999999996E-3</v>
      </c>
      <c r="J22" s="22">
        <v>12</v>
      </c>
      <c r="K22" s="22">
        <v>0.788574</v>
      </c>
      <c r="L22">
        <f t="shared" si="0"/>
        <v>6.0790999999999995</v>
      </c>
      <c r="M22">
        <f t="shared" si="1"/>
        <v>4.8003126821999995</v>
      </c>
      <c r="N22" s="9"/>
      <c r="O22" s="22">
        <v>-3.9520300000000001E-2</v>
      </c>
      <c r="P22" s="22">
        <v>72.766499999999994</v>
      </c>
      <c r="Q22" s="22">
        <v>-2.2384600000000001E-2</v>
      </c>
      <c r="R22" s="22">
        <v>12</v>
      </c>
      <c r="S22" s="22">
        <v>-3.9663700000000003E-2</v>
      </c>
      <c r="T22">
        <f t="shared" si="2"/>
        <v>22.384600000000002</v>
      </c>
      <c r="U22">
        <f t="shared" si="3"/>
        <v>-0.88464610738000016</v>
      </c>
      <c r="V22" s="23"/>
      <c r="W22" s="24"/>
      <c r="X22" s="9"/>
      <c r="Y22" s="22">
        <v>0.78964199999999996</v>
      </c>
      <c r="Z22" s="22">
        <v>126.336</v>
      </c>
      <c r="AA22" s="22">
        <v>1.4154099999999999E-2</v>
      </c>
      <c r="AB22" s="22">
        <v>12</v>
      </c>
      <c r="AC22" s="22">
        <v>0.78918500000000003</v>
      </c>
      <c r="AD22">
        <f t="shared" si="4"/>
        <v>-14.1541</v>
      </c>
      <c r="AE22">
        <f t="shared" si="5"/>
        <v>-11.176671832199998</v>
      </c>
      <c r="AF22" s="9"/>
      <c r="AG22" s="22">
        <v>-3.9520300000000001E-2</v>
      </c>
      <c r="AH22" s="22">
        <v>163.11199999999999</v>
      </c>
      <c r="AI22" s="22">
        <v>-2.2390699999999999E-2</v>
      </c>
      <c r="AJ22" s="22">
        <v>12</v>
      </c>
      <c r="AK22" s="22">
        <v>-3.9642299999999998E-2</v>
      </c>
      <c r="AL22">
        <f t="shared" si="6"/>
        <v>22.390699999999999</v>
      </c>
      <c r="AM22">
        <f t="shared" si="7"/>
        <v>-0.88488718120999998</v>
      </c>
      <c r="AP22" s="9"/>
      <c r="AQ22" s="22">
        <v>0.78964199999999996</v>
      </c>
      <c r="AR22" s="22">
        <v>196.13399999999999</v>
      </c>
      <c r="AS22" s="22">
        <v>-1.14197E-2</v>
      </c>
      <c r="AT22" s="22">
        <v>12</v>
      </c>
      <c r="AU22" s="22">
        <v>0.787964</v>
      </c>
      <c r="AV22">
        <f t="shared" si="8"/>
        <v>11.419699999999999</v>
      </c>
      <c r="AW22">
        <f t="shared" si="9"/>
        <v>9.0174747473999979</v>
      </c>
      <c r="AX22" s="9"/>
      <c r="AY22" s="22">
        <v>-3.9520300000000001E-2</v>
      </c>
      <c r="AZ22" s="22">
        <v>265.93099999999998</v>
      </c>
      <c r="BA22" s="22">
        <v>-2.2323599999999999E-2</v>
      </c>
      <c r="BB22" s="22">
        <v>12</v>
      </c>
      <c r="BC22" s="22">
        <v>-3.9523299999999997E-2</v>
      </c>
      <c r="BD22">
        <f t="shared" si="10"/>
        <v>22.323599999999999</v>
      </c>
      <c r="BE22">
        <f t="shared" si="11"/>
        <v>-0.88223536908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0.78460700000000005</v>
      </c>
      <c r="H23" s="22">
        <v>24.723500000000001</v>
      </c>
      <c r="I23" s="22">
        <v>-7.9772899999999997E-3</v>
      </c>
      <c r="J23" s="22">
        <v>13</v>
      </c>
      <c r="K23" s="22">
        <v>0.78369100000000003</v>
      </c>
      <c r="L23">
        <f t="shared" si="0"/>
        <v>7.97729</v>
      </c>
      <c r="M23">
        <f t="shared" si="1"/>
        <v>6.2590375750300007</v>
      </c>
      <c r="N23" s="9"/>
      <c r="O23" s="22">
        <v>-3.4484899999999999E-2</v>
      </c>
      <c r="P23" s="22">
        <v>72.867199999999997</v>
      </c>
      <c r="Q23" s="22">
        <v>-2.23999E-2</v>
      </c>
      <c r="R23" s="22">
        <v>13</v>
      </c>
      <c r="S23" s="22">
        <v>-3.4744299999999999E-2</v>
      </c>
      <c r="T23">
        <f t="shared" si="2"/>
        <v>22.399899999999999</v>
      </c>
      <c r="U23">
        <f t="shared" si="3"/>
        <v>-0.77245831150999988</v>
      </c>
      <c r="V23" s="23"/>
      <c r="W23" s="24"/>
      <c r="X23" s="9"/>
      <c r="Y23" s="22">
        <v>0.78460700000000005</v>
      </c>
      <c r="Z23" s="22">
        <v>126.437</v>
      </c>
      <c r="AA23" s="22">
        <v>1.27808E-2</v>
      </c>
      <c r="AB23" s="22">
        <v>13</v>
      </c>
      <c r="AC23" s="22">
        <v>0.78399700000000005</v>
      </c>
      <c r="AD23">
        <f t="shared" si="4"/>
        <v>-12.780799999999999</v>
      </c>
      <c r="AE23">
        <f t="shared" si="5"/>
        <v>-10.0279051456</v>
      </c>
      <c r="AF23" s="9"/>
      <c r="AG23" s="22">
        <v>-3.4484899999999999E-2</v>
      </c>
      <c r="AH23" s="22">
        <v>163.21299999999999</v>
      </c>
      <c r="AI23" s="22">
        <v>-2.2384600000000001E-2</v>
      </c>
      <c r="AJ23" s="22">
        <v>13</v>
      </c>
      <c r="AK23" s="22">
        <v>-3.4695400000000001E-2</v>
      </c>
      <c r="AL23">
        <f t="shared" si="6"/>
        <v>22.384600000000002</v>
      </c>
      <c r="AM23">
        <f t="shared" si="7"/>
        <v>-0.77193069254000002</v>
      </c>
      <c r="AP23" s="9"/>
      <c r="AQ23" s="22">
        <v>0.78460700000000005</v>
      </c>
      <c r="AR23" s="22">
        <v>196.23500000000001</v>
      </c>
      <c r="AS23" s="22">
        <v>-1.2197899999999999E-2</v>
      </c>
      <c r="AT23" s="22">
        <v>13</v>
      </c>
      <c r="AU23" s="22">
        <v>0.78369100000000003</v>
      </c>
      <c r="AV23">
        <f t="shared" si="8"/>
        <v>12.197899999999999</v>
      </c>
      <c r="AW23">
        <f t="shared" si="9"/>
        <v>9.5705577253000005</v>
      </c>
      <c r="AX23" s="9"/>
      <c r="AY23" s="22">
        <v>-3.4484899999999999E-2</v>
      </c>
      <c r="AZ23" s="22">
        <v>266.03199999999998</v>
      </c>
      <c r="BA23" s="22">
        <v>-2.23328E-2</v>
      </c>
      <c r="BB23" s="22">
        <v>13</v>
      </c>
      <c r="BC23" s="22">
        <v>-3.4643599999999997E-2</v>
      </c>
      <c r="BD23">
        <f t="shared" si="10"/>
        <v>22.332799999999999</v>
      </c>
      <c r="BE23">
        <f t="shared" si="11"/>
        <v>-0.77014437471999997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0.77957200000000004</v>
      </c>
      <c r="H24" s="22">
        <v>24.824200000000001</v>
      </c>
      <c r="I24" s="22">
        <v>-9.1583299999999992E-3</v>
      </c>
      <c r="J24" s="22">
        <v>14</v>
      </c>
      <c r="K24" s="22">
        <v>0.77911399999999997</v>
      </c>
      <c r="L24">
        <f t="shared" si="0"/>
        <v>9.1583299999999994</v>
      </c>
      <c r="M24">
        <f t="shared" si="1"/>
        <v>7.1395776347600002</v>
      </c>
      <c r="N24" s="9"/>
      <c r="O24" s="22">
        <v>-2.94495E-2</v>
      </c>
      <c r="P24" s="22">
        <v>72.9679</v>
      </c>
      <c r="Q24" s="22">
        <v>-2.2396900000000001E-2</v>
      </c>
      <c r="R24" s="22">
        <v>14</v>
      </c>
      <c r="S24" s="22">
        <v>-2.92328E-2</v>
      </c>
      <c r="T24">
        <f t="shared" si="2"/>
        <v>22.396900000000002</v>
      </c>
      <c r="U24">
        <f t="shared" si="3"/>
        <v>-0.65957750655000003</v>
      </c>
      <c r="V24" s="23"/>
      <c r="W24" s="24"/>
      <c r="X24" s="9"/>
      <c r="Y24" s="22">
        <v>0.77957200000000004</v>
      </c>
      <c r="Z24" s="22">
        <v>126.538</v>
      </c>
      <c r="AA24" s="22">
        <v>1.3241599999999999E-2</v>
      </c>
      <c r="AB24" s="22">
        <v>14</v>
      </c>
      <c r="AC24" s="22">
        <v>0.77850299999999995</v>
      </c>
      <c r="AD24">
        <f t="shared" si="4"/>
        <v>-13.2416</v>
      </c>
      <c r="AE24">
        <f t="shared" si="5"/>
        <v>-10.322780595200001</v>
      </c>
      <c r="AF24" s="9"/>
      <c r="AG24" s="22">
        <v>-2.94495E-2</v>
      </c>
      <c r="AH24" s="22">
        <v>163.31299999999999</v>
      </c>
      <c r="AI24" s="22">
        <v>-2.2357200000000001E-2</v>
      </c>
      <c r="AJ24" s="22">
        <v>14</v>
      </c>
      <c r="AK24" s="22">
        <v>-2.9714999999999998E-2</v>
      </c>
      <c r="AL24">
        <f t="shared" si="6"/>
        <v>22.357200000000002</v>
      </c>
      <c r="AM24">
        <f t="shared" si="7"/>
        <v>-0.65840836140000003</v>
      </c>
      <c r="AP24" s="9"/>
      <c r="AQ24" s="22">
        <v>0.77957200000000004</v>
      </c>
      <c r="AR24" s="22">
        <v>196.33600000000001</v>
      </c>
      <c r="AS24" s="22">
        <v>-1.30463E-2</v>
      </c>
      <c r="AT24" s="22">
        <v>14</v>
      </c>
      <c r="AU24" s="22">
        <v>0.77880899999999997</v>
      </c>
      <c r="AV24">
        <f t="shared" si="8"/>
        <v>13.0463</v>
      </c>
      <c r="AW24">
        <f t="shared" si="9"/>
        <v>10.1705301836</v>
      </c>
      <c r="AX24" s="9"/>
      <c r="AY24" s="22">
        <v>-2.94495E-2</v>
      </c>
      <c r="AZ24" s="22">
        <v>266.13299999999998</v>
      </c>
      <c r="BA24" s="22">
        <v>-2.2323599999999999E-2</v>
      </c>
      <c r="BB24" s="22">
        <v>14</v>
      </c>
      <c r="BC24" s="22">
        <v>-2.96265E-2</v>
      </c>
      <c r="BD24">
        <f t="shared" si="10"/>
        <v>22.323599999999999</v>
      </c>
      <c r="BE24">
        <f t="shared" si="11"/>
        <v>-0.65741885820000001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0.774536</v>
      </c>
      <c r="H25" s="22">
        <v>24.924900000000001</v>
      </c>
      <c r="I25" s="22">
        <v>-1.04828E-2</v>
      </c>
      <c r="J25" s="22">
        <v>15</v>
      </c>
      <c r="K25" s="22">
        <v>0.77331499999999997</v>
      </c>
      <c r="L25">
        <f t="shared" si="0"/>
        <v>10.482800000000001</v>
      </c>
      <c r="M25">
        <f t="shared" si="1"/>
        <v>8.1193059808000001</v>
      </c>
      <c r="N25" s="9"/>
      <c r="O25" s="22">
        <v>-2.4414100000000001E-2</v>
      </c>
      <c r="P25" s="22">
        <v>73.068600000000004</v>
      </c>
      <c r="Q25" s="22">
        <v>-2.2372400000000001E-2</v>
      </c>
      <c r="R25" s="22">
        <v>15</v>
      </c>
      <c r="S25" s="22">
        <v>-2.4554400000000001E-2</v>
      </c>
      <c r="T25">
        <f t="shared" si="2"/>
        <v>22.372399999999999</v>
      </c>
      <c r="U25">
        <f t="shared" si="3"/>
        <v>-0.54620201083999997</v>
      </c>
      <c r="V25" s="23"/>
      <c r="W25" s="24"/>
      <c r="X25" s="9"/>
      <c r="Y25" s="22">
        <v>0.774536</v>
      </c>
      <c r="Z25" s="22">
        <v>126.63800000000001</v>
      </c>
      <c r="AA25" s="22">
        <v>1.02325E-2</v>
      </c>
      <c r="AB25" s="22">
        <v>15</v>
      </c>
      <c r="AC25" s="22">
        <v>0.77331499999999997</v>
      </c>
      <c r="AD25">
        <f t="shared" si="4"/>
        <v>-10.2325</v>
      </c>
      <c r="AE25">
        <f t="shared" si="5"/>
        <v>-7.9254396199999997</v>
      </c>
      <c r="AF25" s="9"/>
      <c r="AG25" s="22">
        <v>-2.4414100000000001E-2</v>
      </c>
      <c r="AH25" s="22">
        <v>163.41399999999999</v>
      </c>
      <c r="AI25" s="22">
        <v>-2.2357200000000001E-2</v>
      </c>
      <c r="AJ25" s="22">
        <v>15</v>
      </c>
      <c r="AK25" s="22">
        <v>-2.4926799999999999E-2</v>
      </c>
      <c r="AL25">
        <f t="shared" si="6"/>
        <v>22.357200000000002</v>
      </c>
      <c r="AM25">
        <f t="shared" si="7"/>
        <v>-0.54583091652000004</v>
      </c>
      <c r="AP25" s="9"/>
      <c r="AQ25" s="22">
        <v>0.774536</v>
      </c>
      <c r="AR25" s="22">
        <v>196.43600000000001</v>
      </c>
      <c r="AS25" s="22">
        <v>-1.36902E-2</v>
      </c>
      <c r="AT25" s="22">
        <v>15</v>
      </c>
      <c r="AU25" s="22">
        <v>0.77331499999999997</v>
      </c>
      <c r="AV25">
        <f t="shared" si="8"/>
        <v>13.690199999999999</v>
      </c>
      <c r="AW25">
        <f t="shared" si="9"/>
        <v>10.603552747199998</v>
      </c>
      <c r="AX25" s="9"/>
      <c r="AY25" s="22">
        <v>-2.4414100000000001E-2</v>
      </c>
      <c r="AZ25" s="22">
        <v>266.23399999999998</v>
      </c>
      <c r="BA25" s="22">
        <v>-2.2320599999999999E-2</v>
      </c>
      <c r="BB25" s="22">
        <v>15</v>
      </c>
      <c r="BC25" s="22">
        <v>-2.4658200000000002E-2</v>
      </c>
      <c r="BD25">
        <f t="shared" si="10"/>
        <v>22.320599999999999</v>
      </c>
      <c r="BE25">
        <f t="shared" si="11"/>
        <v>-0.54493736045999996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0.76950099999999999</v>
      </c>
      <c r="H26" s="22">
        <v>25.025600000000001</v>
      </c>
      <c r="I26" s="22">
        <v>-1.1755399999999999E-2</v>
      </c>
      <c r="J26" s="22">
        <v>16</v>
      </c>
      <c r="K26" s="22">
        <v>0.76873800000000003</v>
      </c>
      <c r="L26">
        <f t="shared" si="0"/>
        <v>11.7554</v>
      </c>
      <c r="M26">
        <f t="shared" si="1"/>
        <v>9.0457920553999998</v>
      </c>
      <c r="N26" s="9"/>
      <c r="O26" s="22">
        <v>-1.9378699999999999E-2</v>
      </c>
      <c r="P26" s="22">
        <v>73.169300000000007</v>
      </c>
      <c r="Q26" s="22">
        <v>-2.2351099999999999E-2</v>
      </c>
      <c r="R26" s="22">
        <v>16</v>
      </c>
      <c r="S26" s="22">
        <v>-1.86798E-2</v>
      </c>
      <c r="T26">
        <f t="shared" si="2"/>
        <v>22.351099999999999</v>
      </c>
      <c r="U26">
        <f t="shared" si="3"/>
        <v>-0.43313526156999993</v>
      </c>
      <c r="V26" s="23"/>
      <c r="W26" s="24"/>
      <c r="X26" s="9"/>
      <c r="Y26" s="22">
        <v>0.76950099999999999</v>
      </c>
      <c r="Z26" s="22">
        <v>126.739</v>
      </c>
      <c r="AA26" s="22">
        <v>7.1960399999999999E-3</v>
      </c>
      <c r="AB26" s="22">
        <v>16</v>
      </c>
      <c r="AC26" s="22">
        <v>0.768127</v>
      </c>
      <c r="AD26">
        <f t="shared" si="4"/>
        <v>-7.19604</v>
      </c>
      <c r="AE26">
        <f t="shared" si="5"/>
        <v>-5.5373599760400003</v>
      </c>
      <c r="AF26" s="9"/>
      <c r="AG26" s="22">
        <v>-1.9378699999999999E-2</v>
      </c>
      <c r="AH26" s="22">
        <v>163.51499999999999</v>
      </c>
      <c r="AI26" s="22">
        <v>-2.2348E-2</v>
      </c>
      <c r="AJ26" s="22">
        <v>16</v>
      </c>
      <c r="AK26" s="22">
        <v>-1.9924899999999999E-2</v>
      </c>
      <c r="AL26">
        <f t="shared" si="6"/>
        <v>22.347999999999999</v>
      </c>
      <c r="AM26">
        <f t="shared" si="7"/>
        <v>-0.43307518759999997</v>
      </c>
      <c r="AP26" s="9"/>
      <c r="AQ26" s="22">
        <v>0.76950099999999999</v>
      </c>
      <c r="AR26" s="22">
        <v>196.53700000000001</v>
      </c>
      <c r="AS26" s="22">
        <v>-1.4346299999999999E-2</v>
      </c>
      <c r="AT26" s="22">
        <v>16</v>
      </c>
      <c r="AU26" s="22">
        <v>0.767822</v>
      </c>
      <c r="AV26">
        <f t="shared" si="8"/>
        <v>14.346299999999999</v>
      </c>
      <c r="AW26">
        <f t="shared" si="9"/>
        <v>11.039492196299999</v>
      </c>
      <c r="AX26" s="9"/>
      <c r="AY26" s="22">
        <v>-1.9378699999999999E-2</v>
      </c>
      <c r="AZ26" s="22">
        <v>266.334</v>
      </c>
      <c r="BA26" s="22">
        <v>-2.2320599999999999E-2</v>
      </c>
      <c r="BB26" s="22">
        <v>16</v>
      </c>
      <c r="BC26" s="22">
        <v>-1.94153E-2</v>
      </c>
      <c r="BD26">
        <f t="shared" si="10"/>
        <v>22.320599999999999</v>
      </c>
      <c r="BE26">
        <f t="shared" si="11"/>
        <v>-0.43254421121999997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0.76446499999999995</v>
      </c>
      <c r="H27" s="22">
        <v>25.126300000000001</v>
      </c>
      <c r="I27" s="22">
        <v>-1.2567099999999999E-2</v>
      </c>
      <c r="J27" s="22">
        <v>17</v>
      </c>
      <c r="K27" s="22">
        <v>0.76354999999999995</v>
      </c>
      <c r="L27">
        <f t="shared" si="0"/>
        <v>12.5671</v>
      </c>
      <c r="M27">
        <f t="shared" si="1"/>
        <v>9.6071081014999997</v>
      </c>
      <c r="N27" s="9"/>
      <c r="O27" s="22">
        <v>-1.43433E-2</v>
      </c>
      <c r="P27" s="22">
        <v>73.270099999999999</v>
      </c>
      <c r="Q27" s="22">
        <v>-2.2351099999999999E-2</v>
      </c>
      <c r="R27" s="22">
        <v>17</v>
      </c>
      <c r="S27" s="22">
        <v>-1.43433E-2</v>
      </c>
      <c r="T27">
        <f t="shared" si="2"/>
        <v>22.351099999999999</v>
      </c>
      <c r="U27">
        <f t="shared" si="3"/>
        <v>-0.32058853262999998</v>
      </c>
      <c r="X27" s="9"/>
      <c r="Y27" s="22">
        <v>0.76446499999999995</v>
      </c>
      <c r="Z27" s="22">
        <v>126.84</v>
      </c>
      <c r="AA27" s="22">
        <v>5.1910400000000001E-3</v>
      </c>
      <c r="AB27" s="22">
        <v>17</v>
      </c>
      <c r="AC27" s="22">
        <v>0.76324499999999995</v>
      </c>
      <c r="AD27">
        <f t="shared" si="4"/>
        <v>-5.1910400000000001</v>
      </c>
      <c r="AE27">
        <f t="shared" si="5"/>
        <v>-3.9683683935999996</v>
      </c>
      <c r="AF27" s="9"/>
      <c r="AG27" s="22">
        <v>-1.43433E-2</v>
      </c>
      <c r="AH27" s="22">
        <v>163.61500000000001</v>
      </c>
      <c r="AI27" s="22">
        <v>-2.2341900000000001E-2</v>
      </c>
      <c r="AJ27" s="22">
        <v>17</v>
      </c>
      <c r="AK27" s="22">
        <v>-1.4742999999999999E-2</v>
      </c>
      <c r="AL27">
        <f t="shared" si="6"/>
        <v>22.341900000000003</v>
      </c>
      <c r="AM27">
        <f t="shared" si="7"/>
        <v>-0.32045657427000002</v>
      </c>
      <c r="AP27" s="9"/>
      <c r="AQ27" s="22">
        <v>0.76446499999999995</v>
      </c>
      <c r="AR27" s="22">
        <v>196.63800000000001</v>
      </c>
      <c r="AS27" s="22">
        <v>-1.48834E-2</v>
      </c>
      <c r="AT27" s="22">
        <v>17</v>
      </c>
      <c r="AU27" s="22">
        <v>0.76324499999999995</v>
      </c>
      <c r="AV27">
        <f t="shared" si="8"/>
        <v>14.8834</v>
      </c>
      <c r="AW27">
        <f t="shared" si="9"/>
        <v>11.377838381</v>
      </c>
      <c r="AX27" s="9"/>
      <c r="AY27" s="22">
        <v>-1.43433E-2</v>
      </c>
      <c r="AZ27" s="22">
        <v>266.435</v>
      </c>
      <c r="BA27" s="22">
        <v>-2.2329700000000001E-2</v>
      </c>
      <c r="BB27" s="22">
        <v>17</v>
      </c>
      <c r="BC27" s="22">
        <v>-1.4645399999999999E-2</v>
      </c>
      <c r="BD27">
        <f t="shared" si="10"/>
        <v>22.329700000000003</v>
      </c>
      <c r="BE27">
        <f t="shared" si="11"/>
        <v>-0.32028158601000001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0.75943000000000005</v>
      </c>
      <c r="H28" s="22">
        <v>25.227</v>
      </c>
      <c r="I28" s="22">
        <v>-1.3333100000000001E-2</v>
      </c>
      <c r="J28" s="22">
        <v>18</v>
      </c>
      <c r="K28" s="22">
        <v>0.75866699999999998</v>
      </c>
      <c r="L28">
        <f t="shared" si="0"/>
        <v>13.3331</v>
      </c>
      <c r="M28">
        <f t="shared" si="1"/>
        <v>10.125556133</v>
      </c>
      <c r="N28" s="9"/>
      <c r="O28" s="22">
        <v>-9.3078599999999994E-3</v>
      </c>
      <c r="P28" s="22">
        <v>73.370800000000003</v>
      </c>
      <c r="Q28" s="22">
        <v>-2.2323599999999999E-2</v>
      </c>
      <c r="R28" s="22">
        <v>18</v>
      </c>
      <c r="S28" s="22">
        <v>-9.9548299999999996E-3</v>
      </c>
      <c r="T28">
        <f t="shared" si="2"/>
        <v>22.323599999999999</v>
      </c>
      <c r="U28">
        <f t="shared" si="3"/>
        <v>-0.20778494349599999</v>
      </c>
      <c r="X28" s="9"/>
      <c r="Y28" s="22">
        <v>0.75943000000000005</v>
      </c>
      <c r="Z28" s="22">
        <v>126.941</v>
      </c>
      <c r="AA28" s="22">
        <v>2.4975599999999998E-3</v>
      </c>
      <c r="AB28" s="22">
        <v>18</v>
      </c>
      <c r="AC28" s="22">
        <v>0.75805699999999998</v>
      </c>
      <c r="AD28">
        <f t="shared" si="4"/>
        <v>-2.49756</v>
      </c>
      <c r="AE28">
        <f t="shared" si="5"/>
        <v>-1.8967219908000001</v>
      </c>
      <c r="AF28" s="9"/>
      <c r="AG28" s="22">
        <v>-9.3078599999999994E-3</v>
      </c>
      <c r="AH28" s="22">
        <v>163.71600000000001</v>
      </c>
      <c r="AI28" s="22">
        <v>-2.2345E-2</v>
      </c>
      <c r="AJ28" s="22">
        <v>18</v>
      </c>
      <c r="AK28" s="22">
        <v>-9.4818100000000002E-3</v>
      </c>
      <c r="AL28">
        <f t="shared" si="6"/>
        <v>22.344999999999999</v>
      </c>
      <c r="AM28">
        <f t="shared" si="7"/>
        <v>-0.20798413169999996</v>
      </c>
      <c r="AP28" s="9"/>
      <c r="AQ28" s="22">
        <v>0.75943000000000005</v>
      </c>
      <c r="AR28" s="22">
        <v>196.739</v>
      </c>
      <c r="AS28" s="22">
        <v>-1.5444899999999999E-2</v>
      </c>
      <c r="AT28" s="22">
        <v>18</v>
      </c>
      <c r="AU28" s="22">
        <v>0.75805699999999998</v>
      </c>
      <c r="AV28">
        <f t="shared" si="8"/>
        <v>15.444899999999999</v>
      </c>
      <c r="AW28">
        <f t="shared" si="9"/>
        <v>11.729320406999999</v>
      </c>
      <c r="AX28" s="9"/>
      <c r="AY28" s="22">
        <v>-9.3078599999999994E-3</v>
      </c>
      <c r="AZ28" s="22">
        <v>266.536</v>
      </c>
      <c r="BA28" s="22">
        <v>-2.22931E-2</v>
      </c>
      <c r="BB28" s="22">
        <v>18</v>
      </c>
      <c r="BC28" s="22">
        <v>-1.0870400000000001E-2</v>
      </c>
      <c r="BD28">
        <f t="shared" si="10"/>
        <v>22.293099999999999</v>
      </c>
      <c r="BE28">
        <f t="shared" si="11"/>
        <v>-0.20750105376599998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0.75439500000000004</v>
      </c>
      <c r="H29" s="22">
        <v>25.3277</v>
      </c>
      <c r="I29" s="22">
        <v>-1.39191E-2</v>
      </c>
      <c r="J29" s="22">
        <v>19</v>
      </c>
      <c r="K29" s="22">
        <v>0.75286900000000001</v>
      </c>
      <c r="L29">
        <f t="shared" si="0"/>
        <v>13.9191</v>
      </c>
      <c r="M29">
        <f t="shared" si="1"/>
        <v>10.500499444500001</v>
      </c>
      <c r="N29" s="9"/>
      <c r="O29" s="22">
        <v>-4.2724599999999996E-3</v>
      </c>
      <c r="P29" s="22">
        <v>73.471500000000006</v>
      </c>
      <c r="Q29" s="22">
        <v>-2.2329700000000001E-2</v>
      </c>
      <c r="R29" s="22">
        <v>19</v>
      </c>
      <c r="S29" s="22">
        <v>-4.3395999999999999E-3</v>
      </c>
      <c r="T29">
        <f t="shared" si="2"/>
        <v>22.329700000000003</v>
      </c>
      <c r="U29">
        <f t="shared" si="3"/>
        <v>-9.5402750061999997E-2</v>
      </c>
      <c r="X29" s="9"/>
      <c r="Y29" s="22">
        <v>0.75439500000000004</v>
      </c>
      <c r="Z29" s="22">
        <v>127.041</v>
      </c>
      <c r="AA29" s="22">
        <v>2.9318200000000001E-4</v>
      </c>
      <c r="AB29" s="22">
        <v>19</v>
      </c>
      <c r="AC29" s="22">
        <v>0.75317400000000001</v>
      </c>
      <c r="AD29">
        <f t="shared" si="4"/>
        <v>-0.293182</v>
      </c>
      <c r="AE29">
        <f t="shared" si="5"/>
        <v>-0.22117503489000001</v>
      </c>
      <c r="AF29" s="9"/>
      <c r="AG29" s="22">
        <v>-4.2724599999999996E-3</v>
      </c>
      <c r="AH29" s="22">
        <v>163.81700000000001</v>
      </c>
      <c r="AI29" s="22">
        <v>-2.2338899999999998E-2</v>
      </c>
      <c r="AJ29" s="22">
        <v>19</v>
      </c>
      <c r="AK29" s="22">
        <v>-4.6417200000000002E-3</v>
      </c>
      <c r="AL29">
        <f t="shared" si="6"/>
        <v>22.338899999999999</v>
      </c>
      <c r="AM29">
        <f t="shared" si="7"/>
        <v>-9.5442056693999994E-2</v>
      </c>
      <c r="AP29" s="9"/>
      <c r="AQ29" s="22">
        <v>0.75439500000000004</v>
      </c>
      <c r="AR29" s="22">
        <v>196.839</v>
      </c>
      <c r="AS29" s="22">
        <v>-1.5921000000000001E-2</v>
      </c>
      <c r="AT29" s="22">
        <v>19</v>
      </c>
      <c r="AU29" s="22">
        <v>0.75317400000000001</v>
      </c>
      <c r="AV29">
        <f t="shared" si="8"/>
        <v>15.921000000000001</v>
      </c>
      <c r="AW29">
        <f t="shared" si="9"/>
        <v>12.010722795000001</v>
      </c>
      <c r="AX29" s="9"/>
      <c r="AY29" s="22">
        <v>-4.2724599999999996E-3</v>
      </c>
      <c r="AZ29" s="22">
        <v>266.63600000000002</v>
      </c>
      <c r="BA29" s="22">
        <v>-2.2296099999999999E-2</v>
      </c>
      <c r="BB29" s="22">
        <v>19</v>
      </c>
      <c r="BC29" s="22">
        <v>-4.4372600000000002E-3</v>
      </c>
      <c r="BD29">
        <f t="shared" si="10"/>
        <v>22.296099999999999</v>
      </c>
      <c r="BE29">
        <f t="shared" si="11"/>
        <v>-9.5259195405999988E-2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0.749359</v>
      </c>
      <c r="H30" s="22">
        <v>25.4285</v>
      </c>
      <c r="I30" s="22">
        <v>-1.45294E-2</v>
      </c>
      <c r="J30" s="22">
        <v>20</v>
      </c>
      <c r="K30" s="22">
        <v>0.74816899999999997</v>
      </c>
      <c r="L30">
        <f t="shared" si="0"/>
        <v>14.529399999999999</v>
      </c>
      <c r="M30">
        <f t="shared" si="1"/>
        <v>10.887736654599999</v>
      </c>
      <c r="N30" s="9"/>
      <c r="O30" s="22">
        <v>7.6293900000000002E-4</v>
      </c>
      <c r="P30" s="22">
        <v>73.572199999999995</v>
      </c>
      <c r="Q30" s="22">
        <v>-2.2317500000000001E-2</v>
      </c>
      <c r="R30" s="22">
        <v>20</v>
      </c>
      <c r="S30" s="22">
        <v>5.2185100000000004E-4</v>
      </c>
      <c r="T30">
        <f t="shared" si="2"/>
        <v>22.317499999999999</v>
      </c>
      <c r="U30">
        <f t="shared" si="3"/>
        <v>1.7026891132499999E-2</v>
      </c>
      <c r="X30" s="9"/>
      <c r="Y30" s="22">
        <v>0.749359</v>
      </c>
      <c r="Z30" s="22">
        <v>127.142</v>
      </c>
      <c r="AA30" s="22">
        <v>-9.1613800000000004E-4</v>
      </c>
      <c r="AB30" s="22">
        <v>20</v>
      </c>
      <c r="AC30" s="22">
        <v>0.74880999999999998</v>
      </c>
      <c r="AD30">
        <f t="shared" si="4"/>
        <v>0.91613800000000001</v>
      </c>
      <c r="AE30">
        <f t="shared" si="5"/>
        <v>0.68651625554200002</v>
      </c>
      <c r="AF30" s="9"/>
      <c r="AG30" s="22">
        <v>7.6293900000000002E-4</v>
      </c>
      <c r="AH30" s="22">
        <v>163.91800000000001</v>
      </c>
      <c r="AI30" s="22">
        <v>-2.2329700000000001E-2</v>
      </c>
      <c r="AJ30" s="22">
        <v>20</v>
      </c>
      <c r="AK30" s="22">
        <v>4.36401E-4</v>
      </c>
      <c r="AL30">
        <f t="shared" si="6"/>
        <v>22.329700000000003</v>
      </c>
      <c r="AM30">
        <f t="shared" si="7"/>
        <v>1.7036198988300003E-2</v>
      </c>
      <c r="AP30" s="9"/>
      <c r="AQ30" s="22">
        <v>0.749359</v>
      </c>
      <c r="AR30" s="22">
        <v>196.94</v>
      </c>
      <c r="AS30" s="22">
        <v>-1.63727E-2</v>
      </c>
      <c r="AT30" s="22">
        <v>20</v>
      </c>
      <c r="AU30" s="22">
        <v>0.74865700000000002</v>
      </c>
      <c r="AV30">
        <f t="shared" si="8"/>
        <v>16.372700000000002</v>
      </c>
      <c r="AW30">
        <f t="shared" si="9"/>
        <v>12.269030099300002</v>
      </c>
      <c r="AX30" s="9"/>
      <c r="AY30" s="22">
        <v>7.6293900000000002E-4</v>
      </c>
      <c r="AZ30" s="22">
        <v>266.73700000000002</v>
      </c>
      <c r="BA30" s="22">
        <v>-2.2287000000000001E-2</v>
      </c>
      <c r="BB30" s="22">
        <v>20</v>
      </c>
      <c r="BC30" s="22">
        <v>6.7443799999999997E-4</v>
      </c>
      <c r="BD30">
        <f t="shared" si="10"/>
        <v>22.287000000000003</v>
      </c>
      <c r="BE30">
        <f t="shared" si="11"/>
        <v>1.7003621493000002E-2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0.74432399999999999</v>
      </c>
      <c r="H31" s="22">
        <v>25.529199999999999</v>
      </c>
      <c r="I31" s="22">
        <v>-1.51031E-2</v>
      </c>
      <c r="J31" s="22">
        <v>21</v>
      </c>
      <c r="K31" s="22">
        <v>0.74365199999999998</v>
      </c>
      <c r="L31">
        <f t="shared" si="0"/>
        <v>15.1031</v>
      </c>
      <c r="M31">
        <f t="shared" si="1"/>
        <v>11.2415998044</v>
      </c>
      <c r="N31" s="9"/>
      <c r="O31" s="22">
        <v>5.7983399999999999E-3</v>
      </c>
      <c r="P31" s="22">
        <v>73.672899999999998</v>
      </c>
      <c r="Q31" s="22">
        <v>-2.2314500000000001E-2</v>
      </c>
      <c r="R31" s="22">
        <v>21</v>
      </c>
      <c r="S31" s="22">
        <v>5.6091300000000004E-3</v>
      </c>
      <c r="T31">
        <f t="shared" si="2"/>
        <v>22.314500000000002</v>
      </c>
      <c r="U31">
        <f t="shared" si="3"/>
        <v>0.12938705793000002</v>
      </c>
      <c r="X31" s="9"/>
      <c r="Y31" s="22">
        <v>0.74432399999999999</v>
      </c>
      <c r="Z31" s="22">
        <v>127.24299999999999</v>
      </c>
      <c r="AA31" s="22">
        <v>-1.90979E-3</v>
      </c>
      <c r="AB31" s="22">
        <v>21</v>
      </c>
      <c r="AC31" s="22">
        <v>0.74365199999999998</v>
      </c>
      <c r="AD31">
        <f t="shared" si="4"/>
        <v>1.9097899999999999</v>
      </c>
      <c r="AE31">
        <f t="shared" si="5"/>
        <v>1.4215025319599999</v>
      </c>
      <c r="AF31" s="9"/>
      <c r="AG31" s="22">
        <v>5.7983399999999999E-3</v>
      </c>
      <c r="AH31" s="22">
        <v>164.018</v>
      </c>
      <c r="AI31" s="22">
        <v>-2.2323599999999999E-2</v>
      </c>
      <c r="AJ31" s="22">
        <v>21</v>
      </c>
      <c r="AK31" s="22">
        <v>5.5572499999999997E-3</v>
      </c>
      <c r="AL31">
        <f t="shared" si="6"/>
        <v>22.323599999999999</v>
      </c>
      <c r="AM31">
        <f t="shared" si="7"/>
        <v>0.12943982282399999</v>
      </c>
      <c r="AP31" s="9"/>
      <c r="AQ31" s="22">
        <v>0.74432399999999999</v>
      </c>
      <c r="AR31" s="22">
        <v>197.041</v>
      </c>
      <c r="AS31" s="22">
        <v>-1.6751100000000001E-2</v>
      </c>
      <c r="AT31" s="22">
        <v>21</v>
      </c>
      <c r="AU31" s="22">
        <v>0.74362200000000001</v>
      </c>
      <c r="AV31">
        <f t="shared" si="8"/>
        <v>16.751100000000001</v>
      </c>
      <c r="AW31">
        <f t="shared" si="9"/>
        <v>12.4682457564</v>
      </c>
      <c r="AX31" s="9"/>
      <c r="AY31" s="22">
        <v>5.7983399999999999E-3</v>
      </c>
      <c r="AZ31" s="22">
        <v>266.83800000000002</v>
      </c>
      <c r="BA31" s="22">
        <v>-2.2287000000000001E-2</v>
      </c>
      <c r="BB31" s="22">
        <v>21</v>
      </c>
      <c r="BC31" s="22">
        <v>5.39246E-3</v>
      </c>
      <c r="BD31">
        <f t="shared" si="10"/>
        <v>22.287000000000003</v>
      </c>
      <c r="BE31">
        <f t="shared" si="11"/>
        <v>0.12922760358000002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0.73928799999999995</v>
      </c>
      <c r="H32" s="22">
        <v>25.629899999999999</v>
      </c>
      <c r="I32" s="22">
        <v>-1.54816E-2</v>
      </c>
      <c r="J32" s="22">
        <v>22</v>
      </c>
      <c r="K32" s="22">
        <v>0.73840300000000003</v>
      </c>
      <c r="L32">
        <f t="shared" si="0"/>
        <v>15.4816</v>
      </c>
      <c r="M32">
        <f t="shared" si="1"/>
        <v>11.4453611008</v>
      </c>
      <c r="N32" s="9"/>
      <c r="O32" s="22">
        <v>1.08337E-2</v>
      </c>
      <c r="P32" s="22">
        <v>73.773600000000002</v>
      </c>
      <c r="Q32" s="22">
        <v>-2.2302200000000001E-2</v>
      </c>
      <c r="R32" s="22">
        <v>22</v>
      </c>
      <c r="S32" s="22">
        <v>1.0201999999999999E-2</v>
      </c>
      <c r="T32">
        <f t="shared" si="2"/>
        <v>22.302200000000003</v>
      </c>
      <c r="U32">
        <f t="shared" si="3"/>
        <v>0.24161534414000002</v>
      </c>
      <c r="X32" s="9"/>
      <c r="Y32" s="22">
        <v>0.73928799999999995</v>
      </c>
      <c r="Z32" s="22">
        <v>127.343</v>
      </c>
      <c r="AA32" s="22">
        <v>-3.61145E-3</v>
      </c>
      <c r="AB32" s="22">
        <v>22</v>
      </c>
      <c r="AC32" s="22">
        <v>0.73855599999999999</v>
      </c>
      <c r="AD32">
        <f t="shared" si="4"/>
        <v>3.61145</v>
      </c>
      <c r="AE32">
        <f t="shared" si="5"/>
        <v>2.6699016475999997</v>
      </c>
      <c r="AF32" s="9"/>
      <c r="AG32" s="22">
        <v>1.08337E-2</v>
      </c>
      <c r="AH32" s="22">
        <v>164.119</v>
      </c>
      <c r="AI32" s="22">
        <v>-2.23053E-2</v>
      </c>
      <c r="AJ32" s="22">
        <v>22</v>
      </c>
      <c r="AK32" s="22">
        <v>1.05652E-2</v>
      </c>
      <c r="AL32">
        <f t="shared" si="6"/>
        <v>22.305299999999999</v>
      </c>
      <c r="AM32">
        <f t="shared" si="7"/>
        <v>0.24164892860999998</v>
      </c>
      <c r="AP32" s="9"/>
      <c r="AQ32" s="22">
        <v>0.73928799999999995</v>
      </c>
      <c r="AR32" s="22">
        <v>197.14099999999999</v>
      </c>
      <c r="AS32" s="22">
        <v>-1.7092900000000001E-2</v>
      </c>
      <c r="AT32" s="22">
        <v>22</v>
      </c>
      <c r="AU32" s="22">
        <v>0.73849500000000001</v>
      </c>
      <c r="AV32">
        <f t="shared" si="8"/>
        <v>17.0929</v>
      </c>
      <c r="AW32">
        <f t="shared" si="9"/>
        <v>12.636575855199998</v>
      </c>
      <c r="AX32" s="9"/>
      <c r="AY32" s="22">
        <v>1.08337E-2</v>
      </c>
      <c r="AZ32" s="22">
        <v>266.93799999999999</v>
      </c>
      <c r="BA32" s="22">
        <v>-2.22626E-2</v>
      </c>
      <c r="BB32" s="22">
        <v>22</v>
      </c>
      <c r="BC32" s="22">
        <v>1.05957E-2</v>
      </c>
      <c r="BD32">
        <f t="shared" si="10"/>
        <v>22.262599999999999</v>
      </c>
      <c r="BE32">
        <f t="shared" si="11"/>
        <v>0.24118632962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0.73425300000000004</v>
      </c>
      <c r="H33" s="22">
        <v>25.730599999999999</v>
      </c>
      <c r="I33" s="22">
        <v>-1.5905800000000001E-2</v>
      </c>
      <c r="J33" s="22">
        <v>23</v>
      </c>
      <c r="K33" s="22">
        <v>0.733429</v>
      </c>
      <c r="L33">
        <f t="shared" si="0"/>
        <v>15.905800000000001</v>
      </c>
      <c r="M33">
        <f t="shared" si="1"/>
        <v>11.678881367400001</v>
      </c>
      <c r="N33" s="9"/>
      <c r="O33" s="22">
        <v>1.5869100000000001E-2</v>
      </c>
      <c r="P33" s="22">
        <v>73.874300000000005</v>
      </c>
      <c r="Q33" s="22">
        <v>-2.22931E-2</v>
      </c>
      <c r="R33" s="22">
        <v>23</v>
      </c>
      <c r="S33" s="22">
        <v>1.55914E-2</v>
      </c>
      <c r="T33">
        <f t="shared" si="2"/>
        <v>22.293099999999999</v>
      </c>
      <c r="U33">
        <f t="shared" si="3"/>
        <v>0.35377143320999999</v>
      </c>
      <c r="X33" s="9"/>
      <c r="Y33" s="22">
        <v>0.73425300000000004</v>
      </c>
      <c r="Z33" s="22">
        <v>127.444</v>
      </c>
      <c r="AA33" s="22">
        <v>-5.5053699999999999E-3</v>
      </c>
      <c r="AB33" s="22">
        <v>23</v>
      </c>
      <c r="AC33" s="22">
        <v>0.73382599999999998</v>
      </c>
      <c r="AD33">
        <f t="shared" si="4"/>
        <v>5.5053700000000001</v>
      </c>
      <c r="AE33">
        <f t="shared" si="5"/>
        <v>4.0423344386100002</v>
      </c>
      <c r="AF33" s="9"/>
      <c r="AG33" s="22">
        <v>1.5869100000000001E-2</v>
      </c>
      <c r="AH33" s="22">
        <v>164.22</v>
      </c>
      <c r="AI33" s="22">
        <v>-2.2287000000000001E-2</v>
      </c>
      <c r="AJ33" s="22">
        <v>23</v>
      </c>
      <c r="AK33" s="22">
        <v>1.5661600000000001E-2</v>
      </c>
      <c r="AL33">
        <f t="shared" si="6"/>
        <v>22.287000000000003</v>
      </c>
      <c r="AM33">
        <f t="shared" si="7"/>
        <v>0.35367463170000007</v>
      </c>
      <c r="AP33" s="9"/>
      <c r="AQ33" s="22">
        <v>0.73425300000000004</v>
      </c>
      <c r="AR33" s="22">
        <v>197.24199999999999</v>
      </c>
      <c r="AS33" s="22">
        <v>-1.7355300000000001E-2</v>
      </c>
      <c r="AT33" s="22">
        <v>23</v>
      </c>
      <c r="AU33" s="22">
        <v>0.73361200000000004</v>
      </c>
      <c r="AV33">
        <f t="shared" si="8"/>
        <v>17.3553</v>
      </c>
      <c r="AW33">
        <f t="shared" si="9"/>
        <v>12.7431810909</v>
      </c>
      <c r="AX33" s="9"/>
      <c r="AY33" s="22">
        <v>1.5869100000000001E-2</v>
      </c>
      <c r="AZ33" s="22">
        <v>267.03899999999999</v>
      </c>
      <c r="BA33" s="22">
        <v>-2.2271699999999998E-2</v>
      </c>
      <c r="BB33" s="22">
        <v>23</v>
      </c>
      <c r="BC33" s="22">
        <v>1.54205E-2</v>
      </c>
      <c r="BD33">
        <f t="shared" si="10"/>
        <v>22.271699999999999</v>
      </c>
      <c r="BE33">
        <f t="shared" si="11"/>
        <v>0.35343183446999998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0.72921800000000003</v>
      </c>
      <c r="H34" s="22">
        <v>25.831299999999999</v>
      </c>
      <c r="I34" s="22">
        <v>-1.64429E-2</v>
      </c>
      <c r="J34" s="22">
        <v>24</v>
      </c>
      <c r="K34" s="22">
        <v>0.72839399999999999</v>
      </c>
      <c r="L34">
        <f t="shared" si="0"/>
        <v>16.442900000000002</v>
      </c>
      <c r="M34">
        <f t="shared" si="1"/>
        <v>11.990458652200001</v>
      </c>
      <c r="N34" s="9"/>
      <c r="O34" s="22">
        <v>2.0904499999999999E-2</v>
      </c>
      <c r="P34" s="22">
        <v>73.974999999999994</v>
      </c>
      <c r="Q34" s="22">
        <v>-2.22778E-2</v>
      </c>
      <c r="R34" s="22">
        <v>24</v>
      </c>
      <c r="S34" s="22">
        <v>2.0678700000000001E-2</v>
      </c>
      <c r="T34">
        <f t="shared" si="2"/>
        <v>22.277799999999999</v>
      </c>
      <c r="U34">
        <f t="shared" si="3"/>
        <v>0.46570627009999999</v>
      </c>
      <c r="X34" s="9"/>
      <c r="Y34" s="22">
        <v>0.72921800000000003</v>
      </c>
      <c r="Z34" s="22">
        <v>127.545</v>
      </c>
      <c r="AA34" s="22">
        <v>-7.4646000000000001E-3</v>
      </c>
      <c r="AB34" s="22">
        <v>24</v>
      </c>
      <c r="AC34" s="22">
        <v>0.72866799999999998</v>
      </c>
      <c r="AD34">
        <f t="shared" si="4"/>
        <v>7.4645999999999999</v>
      </c>
      <c r="AE34">
        <f t="shared" si="5"/>
        <v>5.4433206828000005</v>
      </c>
      <c r="AF34" s="9"/>
      <c r="AG34" s="22">
        <v>2.0904499999999999E-2</v>
      </c>
      <c r="AH34" s="22">
        <v>164.32</v>
      </c>
      <c r="AI34" s="22">
        <v>-2.2274800000000001E-2</v>
      </c>
      <c r="AJ34" s="22">
        <v>24</v>
      </c>
      <c r="AK34" s="22">
        <v>2.1096799999999999E-2</v>
      </c>
      <c r="AL34">
        <f t="shared" si="6"/>
        <v>22.274800000000003</v>
      </c>
      <c r="AM34">
        <f t="shared" si="7"/>
        <v>0.46564355660000006</v>
      </c>
      <c r="AP34" s="9"/>
      <c r="AQ34" s="22">
        <v>0.72921800000000003</v>
      </c>
      <c r="AR34" s="22">
        <v>197.34299999999999</v>
      </c>
      <c r="AS34" s="22">
        <v>-1.76422E-2</v>
      </c>
      <c r="AT34" s="22">
        <v>24</v>
      </c>
      <c r="AU34" s="22">
        <v>0.72851600000000005</v>
      </c>
      <c r="AV34">
        <f t="shared" si="8"/>
        <v>17.642199999999999</v>
      </c>
      <c r="AW34">
        <f t="shared" si="9"/>
        <v>12.865009799599999</v>
      </c>
      <c r="AX34" s="9"/>
      <c r="AY34" s="22">
        <v>2.0904499999999999E-2</v>
      </c>
      <c r="AZ34" s="22">
        <v>267.14</v>
      </c>
      <c r="BA34" s="22">
        <v>-2.22534E-2</v>
      </c>
      <c r="BB34" s="22">
        <v>24</v>
      </c>
      <c r="BC34" s="22">
        <v>2.0971699999999999E-2</v>
      </c>
      <c r="BD34">
        <f t="shared" si="10"/>
        <v>22.253399999999999</v>
      </c>
      <c r="BE34">
        <f t="shared" si="11"/>
        <v>0.46519620029999997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0.72418199999999999</v>
      </c>
      <c r="H35" s="22">
        <v>25.931999999999999</v>
      </c>
      <c r="I35" s="22">
        <v>-1.6821300000000001E-2</v>
      </c>
      <c r="J35" s="22">
        <v>25</v>
      </c>
      <c r="K35" s="22">
        <v>0.72393799999999997</v>
      </c>
      <c r="L35">
        <f t="shared" si="0"/>
        <v>16.821300000000001</v>
      </c>
      <c r="M35">
        <f t="shared" si="1"/>
        <v>12.181682676600001</v>
      </c>
      <c r="N35" s="9"/>
      <c r="O35" s="22">
        <v>2.5939899999999998E-2</v>
      </c>
      <c r="P35" s="22">
        <v>74.075699999999998</v>
      </c>
      <c r="Q35" s="22">
        <v>-2.2274800000000001E-2</v>
      </c>
      <c r="R35" s="22">
        <v>25</v>
      </c>
      <c r="S35" s="22">
        <v>2.6086399999999999E-2</v>
      </c>
      <c r="T35">
        <f t="shared" si="2"/>
        <v>22.274800000000003</v>
      </c>
      <c r="U35">
        <f t="shared" si="3"/>
        <v>0.57780608452000004</v>
      </c>
      <c r="X35" s="9"/>
      <c r="Y35" s="22">
        <v>0.72418199999999999</v>
      </c>
      <c r="Z35" s="22">
        <v>127.646</v>
      </c>
      <c r="AA35" s="22">
        <v>-8.5906999999999997E-3</v>
      </c>
      <c r="AB35" s="22">
        <v>25</v>
      </c>
      <c r="AC35" s="22">
        <v>0.72393799999999997</v>
      </c>
      <c r="AD35">
        <f t="shared" si="4"/>
        <v>8.5907</v>
      </c>
      <c r="AE35">
        <f t="shared" si="5"/>
        <v>6.2212303073999999</v>
      </c>
      <c r="AF35" s="9"/>
      <c r="AG35" s="22">
        <v>2.5939899999999998E-2</v>
      </c>
      <c r="AH35" s="22">
        <v>164.42099999999999</v>
      </c>
      <c r="AI35" s="22">
        <v>-2.2259500000000002E-2</v>
      </c>
      <c r="AJ35" s="22">
        <v>25</v>
      </c>
      <c r="AK35" s="22">
        <v>2.5997900000000001E-2</v>
      </c>
      <c r="AL35">
        <f t="shared" si="6"/>
        <v>22.259500000000003</v>
      </c>
      <c r="AM35">
        <f t="shared" si="7"/>
        <v>0.57740920405000007</v>
      </c>
      <c r="AP35" s="9"/>
      <c r="AQ35" s="22">
        <v>0.72418199999999999</v>
      </c>
      <c r="AR35" s="22">
        <v>197.44300000000001</v>
      </c>
      <c r="AS35" s="22">
        <v>-1.7895500000000002E-2</v>
      </c>
      <c r="AT35" s="22">
        <v>25</v>
      </c>
      <c r="AU35" s="22">
        <v>0.72354099999999999</v>
      </c>
      <c r="AV35">
        <f t="shared" si="8"/>
        <v>17.895500000000002</v>
      </c>
      <c r="AW35">
        <f t="shared" si="9"/>
        <v>12.959598981000001</v>
      </c>
      <c r="AX35" s="9"/>
      <c r="AY35" s="22">
        <v>2.5939899999999998E-2</v>
      </c>
      <c r="AZ35" s="22">
        <v>267.24099999999999</v>
      </c>
      <c r="BA35" s="22">
        <v>-2.2268699999999999E-2</v>
      </c>
      <c r="BB35" s="22">
        <v>25</v>
      </c>
      <c r="BC35" s="22">
        <v>2.6022300000000002E-2</v>
      </c>
      <c r="BD35">
        <f t="shared" si="10"/>
        <v>22.268699999999999</v>
      </c>
      <c r="BE35">
        <f t="shared" si="11"/>
        <v>0.57764785112999995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0.71914699999999998</v>
      </c>
      <c r="H36" s="22">
        <v>26.032699999999998</v>
      </c>
      <c r="I36" s="22">
        <v>-1.7160000000000002E-2</v>
      </c>
      <c r="J36" s="22">
        <v>26</v>
      </c>
      <c r="K36" s="22">
        <v>0.71826199999999996</v>
      </c>
      <c r="L36">
        <f t="shared" si="0"/>
        <v>17.16</v>
      </c>
      <c r="M36">
        <f t="shared" si="1"/>
        <v>12.340562520000001</v>
      </c>
      <c r="N36" s="9"/>
      <c r="O36" s="22">
        <v>3.0975300000000001E-2</v>
      </c>
      <c r="P36" s="22">
        <v>74.176400000000001</v>
      </c>
      <c r="Q36" s="22">
        <v>-2.2271699999999998E-2</v>
      </c>
      <c r="R36" s="22">
        <v>26</v>
      </c>
      <c r="S36" s="22">
        <v>3.0661000000000001E-2</v>
      </c>
      <c r="T36">
        <f t="shared" si="2"/>
        <v>22.271699999999999</v>
      </c>
      <c r="U36">
        <f t="shared" si="3"/>
        <v>0.68987258901000004</v>
      </c>
      <c r="X36" s="9"/>
      <c r="Y36" s="22">
        <v>0.71914699999999998</v>
      </c>
      <c r="Z36" s="22">
        <v>127.746</v>
      </c>
      <c r="AA36" s="22">
        <v>-9.7991899999999993E-3</v>
      </c>
      <c r="AB36" s="22">
        <v>26</v>
      </c>
      <c r="AC36" s="22">
        <v>0.718781</v>
      </c>
      <c r="AD36">
        <f t="shared" si="4"/>
        <v>9.7991899999999994</v>
      </c>
      <c r="AE36">
        <f t="shared" si="5"/>
        <v>7.0470580909299994</v>
      </c>
      <c r="AF36" s="9"/>
      <c r="AG36" s="22">
        <v>3.0975300000000001E-2</v>
      </c>
      <c r="AH36" s="22">
        <v>164.52199999999999</v>
      </c>
      <c r="AI36" s="22">
        <v>-2.22656E-2</v>
      </c>
      <c r="AJ36" s="22">
        <v>26</v>
      </c>
      <c r="AK36" s="22">
        <v>3.0670200000000002E-2</v>
      </c>
      <c r="AL36">
        <f t="shared" si="6"/>
        <v>22.265599999999999</v>
      </c>
      <c r="AM36">
        <f t="shared" si="7"/>
        <v>0.68968363968000002</v>
      </c>
      <c r="AP36" s="9"/>
      <c r="AQ36" s="22">
        <v>0.71914699999999998</v>
      </c>
      <c r="AR36" s="22">
        <v>197.54400000000001</v>
      </c>
      <c r="AS36" s="22">
        <v>-1.8103000000000001E-2</v>
      </c>
      <c r="AT36" s="22">
        <v>26</v>
      </c>
      <c r="AU36" s="22">
        <v>0.71826199999999996</v>
      </c>
      <c r="AV36">
        <f t="shared" si="8"/>
        <v>18.103000000000002</v>
      </c>
      <c r="AW36">
        <f t="shared" si="9"/>
        <v>13.018718141000001</v>
      </c>
      <c r="AX36" s="9"/>
      <c r="AY36" s="22">
        <v>3.0975300000000001E-2</v>
      </c>
      <c r="AZ36" s="22">
        <v>267.34100000000001</v>
      </c>
      <c r="BA36" s="22">
        <v>-2.2268699999999999E-2</v>
      </c>
      <c r="BB36" s="22">
        <v>26</v>
      </c>
      <c r="BC36" s="22">
        <v>3.0749499999999999E-2</v>
      </c>
      <c r="BD36">
        <f t="shared" si="10"/>
        <v>22.268699999999999</v>
      </c>
      <c r="BE36">
        <f t="shared" si="11"/>
        <v>0.68977966310999994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0.71411100000000005</v>
      </c>
      <c r="H37" s="22">
        <v>26.133400000000002</v>
      </c>
      <c r="I37" s="22">
        <v>-1.7364500000000001E-2</v>
      </c>
      <c r="J37" s="22">
        <v>27</v>
      </c>
      <c r="K37" s="22">
        <v>0.71322600000000003</v>
      </c>
      <c r="L37">
        <f t="shared" si="0"/>
        <v>17.364500000000003</v>
      </c>
      <c r="M37">
        <f t="shared" si="1"/>
        <v>12.400180459500003</v>
      </c>
      <c r="N37" s="9"/>
      <c r="O37" s="22">
        <v>3.60107E-2</v>
      </c>
      <c r="P37" s="22">
        <v>74.277100000000004</v>
      </c>
      <c r="Q37" s="22">
        <v>-2.22504E-2</v>
      </c>
      <c r="R37" s="22">
        <v>27</v>
      </c>
      <c r="S37" s="22">
        <v>3.58032E-2</v>
      </c>
      <c r="T37">
        <f t="shared" si="2"/>
        <v>22.250399999999999</v>
      </c>
      <c r="U37">
        <f t="shared" si="3"/>
        <v>0.80125247927999999</v>
      </c>
      <c r="X37" s="9"/>
      <c r="Y37" s="22">
        <v>0.71411100000000005</v>
      </c>
      <c r="Z37" s="22">
        <v>127.84699999999999</v>
      </c>
      <c r="AA37" s="22">
        <v>-1.0803200000000001E-2</v>
      </c>
      <c r="AB37" s="22">
        <v>27</v>
      </c>
      <c r="AC37" s="22">
        <v>0.71316500000000005</v>
      </c>
      <c r="AD37">
        <f t="shared" si="4"/>
        <v>10.8032</v>
      </c>
      <c r="AE37">
        <f t="shared" si="5"/>
        <v>7.7146839552000008</v>
      </c>
      <c r="AF37" s="9"/>
      <c r="AG37" s="22">
        <v>3.60107E-2</v>
      </c>
      <c r="AH37" s="22">
        <v>164.62200000000001</v>
      </c>
      <c r="AI37" s="22">
        <v>-2.2256499999999999E-2</v>
      </c>
      <c r="AJ37" s="22">
        <v>27</v>
      </c>
      <c r="AK37" s="22">
        <v>3.6395299999999998E-2</v>
      </c>
      <c r="AL37">
        <f t="shared" si="6"/>
        <v>22.256499999999999</v>
      </c>
      <c r="AM37">
        <f t="shared" si="7"/>
        <v>0.80147214454999993</v>
      </c>
      <c r="AP37" s="9"/>
      <c r="AQ37" s="22">
        <v>0.71411100000000005</v>
      </c>
      <c r="AR37" s="22">
        <v>197.64500000000001</v>
      </c>
      <c r="AS37" s="22">
        <v>-1.8292200000000002E-2</v>
      </c>
      <c r="AT37" s="22">
        <v>27</v>
      </c>
      <c r="AU37" s="22">
        <v>0.71350100000000005</v>
      </c>
      <c r="AV37">
        <f t="shared" si="8"/>
        <v>18.292200000000001</v>
      </c>
      <c r="AW37">
        <f t="shared" si="9"/>
        <v>13.062661234200002</v>
      </c>
      <c r="AX37" s="9"/>
      <c r="AY37" s="22">
        <v>3.60107E-2</v>
      </c>
      <c r="AZ37" s="22">
        <v>267.44200000000001</v>
      </c>
      <c r="BA37" s="22">
        <v>-2.22382E-2</v>
      </c>
      <c r="BB37" s="22">
        <v>27</v>
      </c>
      <c r="BC37" s="22">
        <v>3.5855100000000001E-2</v>
      </c>
      <c r="BD37">
        <f t="shared" si="10"/>
        <v>22.238199999999999</v>
      </c>
      <c r="BE37">
        <f t="shared" si="11"/>
        <v>0.80081314873999998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0.70907600000000004</v>
      </c>
      <c r="H38" s="22">
        <v>26.234100000000002</v>
      </c>
      <c r="I38" s="22">
        <v>-1.7800900000000001E-2</v>
      </c>
      <c r="J38" s="22">
        <v>28</v>
      </c>
      <c r="K38" s="22">
        <v>0.70849600000000001</v>
      </c>
      <c r="L38">
        <f t="shared" si="0"/>
        <v>17.800900000000002</v>
      </c>
      <c r="M38">
        <f t="shared" si="1"/>
        <v>12.622190968400002</v>
      </c>
      <c r="N38" s="9"/>
      <c r="O38" s="22">
        <v>4.1046100000000002E-2</v>
      </c>
      <c r="P38" s="22">
        <v>74.377799999999993</v>
      </c>
      <c r="Q38" s="22">
        <v>-2.22504E-2</v>
      </c>
      <c r="R38" s="22">
        <v>28</v>
      </c>
      <c r="S38" s="22">
        <v>4.0988200000000002E-2</v>
      </c>
      <c r="T38">
        <f t="shared" si="2"/>
        <v>22.250399999999999</v>
      </c>
      <c r="U38">
        <f t="shared" si="3"/>
        <v>0.91329214343999998</v>
      </c>
      <c r="X38" s="9"/>
      <c r="Y38" s="22">
        <v>0.70907600000000004</v>
      </c>
      <c r="Z38" s="22">
        <v>127.94799999999999</v>
      </c>
      <c r="AA38" s="22">
        <v>-1.18958E-2</v>
      </c>
      <c r="AB38" s="22">
        <v>28</v>
      </c>
      <c r="AC38" s="22">
        <v>0.70852700000000002</v>
      </c>
      <c r="AD38">
        <f t="shared" si="4"/>
        <v>11.895799999999999</v>
      </c>
      <c r="AE38">
        <f t="shared" si="5"/>
        <v>8.4350262808000007</v>
      </c>
      <c r="AF38" s="9"/>
      <c r="AG38" s="22">
        <v>4.1046100000000002E-2</v>
      </c>
      <c r="AH38" s="22">
        <v>164.72300000000001</v>
      </c>
      <c r="AI38" s="22">
        <v>-2.22504E-2</v>
      </c>
      <c r="AJ38" s="22">
        <v>28</v>
      </c>
      <c r="AK38" s="22">
        <v>4.1577099999999999E-2</v>
      </c>
      <c r="AL38">
        <f t="shared" si="6"/>
        <v>22.250399999999999</v>
      </c>
      <c r="AM38">
        <f t="shared" si="7"/>
        <v>0.91329214343999998</v>
      </c>
      <c r="AP38" s="9"/>
      <c r="AQ38" s="22">
        <v>0.70907600000000004</v>
      </c>
      <c r="AR38" s="22">
        <v>197.74600000000001</v>
      </c>
      <c r="AS38" s="22">
        <v>-1.8457000000000001E-2</v>
      </c>
      <c r="AT38" s="22">
        <v>28</v>
      </c>
      <c r="AU38" s="22">
        <v>0.70828199999999997</v>
      </c>
      <c r="AV38">
        <f t="shared" si="8"/>
        <v>18.457000000000001</v>
      </c>
      <c r="AW38">
        <f t="shared" si="9"/>
        <v>13.087415732000002</v>
      </c>
      <c r="AX38" s="9"/>
      <c r="AY38" s="22">
        <v>4.1046100000000002E-2</v>
      </c>
      <c r="AZ38" s="22">
        <v>267.54300000000001</v>
      </c>
      <c r="BA38" s="22">
        <v>-2.2232100000000001E-2</v>
      </c>
      <c r="BB38" s="22">
        <v>28</v>
      </c>
      <c r="BC38" s="22">
        <v>4.1879300000000001E-2</v>
      </c>
      <c r="BD38">
        <f t="shared" si="10"/>
        <v>22.232100000000003</v>
      </c>
      <c r="BE38">
        <f t="shared" si="11"/>
        <v>0.91254099981000014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0.70404100000000003</v>
      </c>
      <c r="H39" s="22">
        <v>26.334800000000001</v>
      </c>
      <c r="I39" s="22">
        <v>-1.81732E-2</v>
      </c>
      <c r="J39" s="22">
        <v>29</v>
      </c>
      <c r="K39" s="22">
        <v>0.70364400000000005</v>
      </c>
      <c r="L39">
        <f t="shared" si="0"/>
        <v>18.173200000000001</v>
      </c>
      <c r="M39">
        <f t="shared" si="1"/>
        <v>12.794677901200002</v>
      </c>
      <c r="N39" s="9"/>
      <c r="O39" s="22">
        <v>4.6081499999999997E-2</v>
      </c>
      <c r="P39" s="22">
        <v>74.4786</v>
      </c>
      <c r="Q39" s="22">
        <v>-2.2244300000000002E-2</v>
      </c>
      <c r="R39" s="22">
        <v>29</v>
      </c>
      <c r="S39" s="22">
        <v>4.5983900000000001E-2</v>
      </c>
      <c r="T39">
        <f t="shared" si="2"/>
        <v>22.244300000000003</v>
      </c>
      <c r="U39">
        <f t="shared" si="3"/>
        <v>1.02505071045</v>
      </c>
      <c r="X39" s="9"/>
      <c r="Y39" s="22">
        <v>0.70404100000000003</v>
      </c>
      <c r="Z39" s="22">
        <v>128.048</v>
      </c>
      <c r="AA39" s="22">
        <v>-1.27747E-2</v>
      </c>
      <c r="AB39" s="22">
        <v>29</v>
      </c>
      <c r="AC39" s="22">
        <v>0.70321699999999998</v>
      </c>
      <c r="AD39">
        <f t="shared" si="4"/>
        <v>12.774699999999999</v>
      </c>
      <c r="AE39">
        <f t="shared" si="5"/>
        <v>8.9939125627000003</v>
      </c>
      <c r="AF39" s="9"/>
      <c r="AG39" s="22">
        <v>4.6081499999999997E-2</v>
      </c>
      <c r="AH39" s="22">
        <v>164.82400000000001</v>
      </c>
      <c r="AI39" s="22">
        <v>-2.22504E-2</v>
      </c>
      <c r="AJ39" s="22">
        <v>29</v>
      </c>
      <c r="AK39" s="22">
        <v>4.5852700000000003E-2</v>
      </c>
      <c r="AL39">
        <f t="shared" si="6"/>
        <v>22.250399999999999</v>
      </c>
      <c r="AM39">
        <f t="shared" si="7"/>
        <v>1.0253318076</v>
      </c>
      <c r="AP39" s="9"/>
      <c r="AQ39" s="22">
        <v>0.70404100000000003</v>
      </c>
      <c r="AR39" s="22">
        <v>197.846</v>
      </c>
      <c r="AS39" s="22">
        <v>-1.8627899999999999E-2</v>
      </c>
      <c r="AT39" s="22">
        <v>29</v>
      </c>
      <c r="AU39" s="22">
        <v>0.70336900000000002</v>
      </c>
      <c r="AV39">
        <f t="shared" si="8"/>
        <v>18.6279</v>
      </c>
      <c r="AW39">
        <f t="shared" si="9"/>
        <v>13.114805343900001</v>
      </c>
      <c r="AX39" s="9"/>
      <c r="AY39" s="22">
        <v>4.6081499999999997E-2</v>
      </c>
      <c r="AZ39" s="22">
        <v>267.64299999999997</v>
      </c>
      <c r="BA39" s="22">
        <v>-2.2201499999999999E-2</v>
      </c>
      <c r="BB39" s="22">
        <v>29</v>
      </c>
      <c r="BC39" s="22">
        <v>4.5986899999999997E-2</v>
      </c>
      <c r="BD39">
        <f t="shared" si="10"/>
        <v>22.201499999999999</v>
      </c>
      <c r="BE39">
        <f t="shared" si="11"/>
        <v>1.02307842225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0.69900499999999999</v>
      </c>
      <c r="H40" s="22">
        <v>26.435500000000001</v>
      </c>
      <c r="I40" s="22">
        <v>-1.8512000000000001E-2</v>
      </c>
      <c r="J40" s="22">
        <v>30</v>
      </c>
      <c r="K40" s="22">
        <v>0.69815099999999997</v>
      </c>
      <c r="L40">
        <f t="shared" si="0"/>
        <v>18.512</v>
      </c>
      <c r="M40">
        <f t="shared" si="1"/>
        <v>12.93998056</v>
      </c>
      <c r="N40" s="9"/>
      <c r="O40" s="22">
        <v>5.11169E-2</v>
      </c>
      <c r="P40" s="22">
        <v>74.579300000000003</v>
      </c>
      <c r="Q40" s="22">
        <v>-2.22229E-2</v>
      </c>
      <c r="R40" s="22">
        <v>30</v>
      </c>
      <c r="S40" s="22">
        <v>5.1062000000000003E-2</v>
      </c>
      <c r="T40">
        <f t="shared" si="2"/>
        <v>22.222899999999999</v>
      </c>
      <c r="U40">
        <f t="shared" si="3"/>
        <v>1.1359657570099999</v>
      </c>
      <c r="X40" s="9"/>
      <c r="Y40" s="22">
        <v>0.69900499999999999</v>
      </c>
      <c r="Z40" s="22">
        <v>128.149</v>
      </c>
      <c r="AA40" s="22">
        <v>-1.3561999999999999E-2</v>
      </c>
      <c r="AB40" s="22">
        <v>30</v>
      </c>
      <c r="AC40" s="22">
        <v>0.69848600000000005</v>
      </c>
      <c r="AD40">
        <f t="shared" si="4"/>
        <v>13.561999999999999</v>
      </c>
      <c r="AE40">
        <f t="shared" si="5"/>
        <v>9.47990581</v>
      </c>
      <c r="AF40" s="9"/>
      <c r="AG40" s="22">
        <v>5.11169E-2</v>
      </c>
      <c r="AH40" s="22">
        <v>164.92500000000001</v>
      </c>
      <c r="AI40" s="22">
        <v>-2.2244300000000002E-2</v>
      </c>
      <c r="AJ40" s="22">
        <v>30</v>
      </c>
      <c r="AK40" s="22">
        <v>5.1364100000000003E-2</v>
      </c>
      <c r="AL40">
        <f t="shared" si="6"/>
        <v>22.244300000000003</v>
      </c>
      <c r="AM40">
        <f t="shared" si="7"/>
        <v>1.1370596586700001</v>
      </c>
      <c r="AP40" s="9"/>
      <c r="AQ40" s="22">
        <v>0.69900499999999999</v>
      </c>
      <c r="AR40" s="22">
        <v>197.947</v>
      </c>
      <c r="AS40" s="22">
        <v>-1.87744E-2</v>
      </c>
      <c r="AT40" s="22">
        <v>30</v>
      </c>
      <c r="AU40" s="22">
        <v>0.69827300000000003</v>
      </c>
      <c r="AV40">
        <f t="shared" si="8"/>
        <v>18.7744</v>
      </c>
      <c r="AW40">
        <f t="shared" si="9"/>
        <v>13.123399471999999</v>
      </c>
      <c r="AX40" s="9"/>
      <c r="AY40" s="22">
        <v>5.11169E-2</v>
      </c>
      <c r="AZ40" s="22">
        <v>267.74400000000003</v>
      </c>
      <c r="BA40" s="22">
        <v>-2.2189299999999999E-2</v>
      </c>
      <c r="BB40" s="22">
        <v>30</v>
      </c>
      <c r="BC40" s="22">
        <v>5.1489300000000002E-2</v>
      </c>
      <c r="BD40">
        <f t="shared" si="10"/>
        <v>22.189299999999999</v>
      </c>
      <c r="BE40">
        <f t="shared" si="11"/>
        <v>1.13424822917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0.69396999999999998</v>
      </c>
      <c r="H41" s="22">
        <v>26.536200000000001</v>
      </c>
      <c r="I41" s="22">
        <v>-1.8579100000000001E-2</v>
      </c>
      <c r="J41" s="22">
        <v>31</v>
      </c>
      <c r="K41" s="22">
        <v>0.69305399999999995</v>
      </c>
      <c r="L41">
        <f t="shared" si="0"/>
        <v>18.5791</v>
      </c>
      <c r="M41">
        <f t="shared" si="1"/>
        <v>12.893338027</v>
      </c>
      <c r="N41" s="9"/>
      <c r="O41" s="22">
        <v>5.6152300000000002E-2</v>
      </c>
      <c r="P41" s="22">
        <v>74.680000000000007</v>
      </c>
      <c r="Q41" s="22">
        <v>-2.2207600000000001E-2</v>
      </c>
      <c r="R41" s="22">
        <v>31</v>
      </c>
      <c r="S41" s="22">
        <v>5.5633500000000002E-2</v>
      </c>
      <c r="T41">
        <f t="shared" si="2"/>
        <v>22.207599999999999</v>
      </c>
      <c r="U41">
        <f t="shared" si="3"/>
        <v>1.2470078174800001</v>
      </c>
      <c r="X41" s="9"/>
      <c r="Y41" s="22">
        <v>0.69396999999999998</v>
      </c>
      <c r="Z41" s="22">
        <v>128.25</v>
      </c>
      <c r="AA41" s="22">
        <v>-1.42883E-2</v>
      </c>
      <c r="AB41" s="22">
        <v>31</v>
      </c>
      <c r="AC41" s="22">
        <v>0.69363399999999997</v>
      </c>
      <c r="AD41">
        <f t="shared" si="4"/>
        <v>14.2883</v>
      </c>
      <c r="AE41">
        <f t="shared" si="5"/>
        <v>9.9156515509999998</v>
      </c>
      <c r="AF41" s="9"/>
      <c r="AG41" s="22">
        <v>5.6152300000000002E-2</v>
      </c>
      <c r="AH41" s="22">
        <v>165.02500000000001</v>
      </c>
      <c r="AI41" s="22">
        <v>-2.2225999999999999E-2</v>
      </c>
      <c r="AJ41" s="22">
        <v>31</v>
      </c>
      <c r="AK41" s="22">
        <v>5.5755600000000002E-2</v>
      </c>
      <c r="AL41">
        <f t="shared" si="6"/>
        <v>22.225999999999999</v>
      </c>
      <c r="AM41">
        <f t="shared" si="7"/>
        <v>1.2480410198</v>
      </c>
      <c r="AP41" s="9"/>
      <c r="AQ41" s="22">
        <v>0.69396999999999998</v>
      </c>
      <c r="AR41" s="22">
        <v>198.048</v>
      </c>
      <c r="AS41" s="22">
        <v>-1.8945300000000002E-2</v>
      </c>
      <c r="AT41" s="22">
        <v>31</v>
      </c>
      <c r="AU41" s="22">
        <v>0.69342000000000004</v>
      </c>
      <c r="AV41">
        <f t="shared" si="8"/>
        <v>18.945300000000003</v>
      </c>
      <c r="AW41">
        <f t="shared" si="9"/>
        <v>13.147469841000001</v>
      </c>
      <c r="AX41" s="9"/>
      <c r="AY41" s="22">
        <v>5.6152300000000002E-2</v>
      </c>
      <c r="AZ41" s="22">
        <v>267.84500000000003</v>
      </c>
      <c r="BA41" s="22">
        <v>-2.2180200000000001E-2</v>
      </c>
      <c r="BB41" s="22">
        <v>31</v>
      </c>
      <c r="BC41" s="22">
        <v>5.5664100000000001E-2</v>
      </c>
      <c r="BD41">
        <f t="shared" si="10"/>
        <v>22.180199999999999</v>
      </c>
      <c r="BE41">
        <f t="shared" si="11"/>
        <v>1.24546924446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0.68893400000000005</v>
      </c>
      <c r="H42" s="22">
        <v>26.637</v>
      </c>
      <c r="I42" s="22">
        <v>-1.8777499999999999E-2</v>
      </c>
      <c r="J42" s="22">
        <v>32</v>
      </c>
      <c r="K42" s="22">
        <v>0.68829300000000004</v>
      </c>
      <c r="L42">
        <f t="shared" si="0"/>
        <v>18.7775</v>
      </c>
      <c r="M42">
        <f t="shared" si="1"/>
        <v>12.936458185000001</v>
      </c>
      <c r="N42" s="9"/>
      <c r="O42" s="22">
        <v>6.1187699999999998E-2</v>
      </c>
      <c r="P42" s="22">
        <v>74.780699999999996</v>
      </c>
      <c r="Q42" s="22">
        <v>-2.2213699999999999E-2</v>
      </c>
      <c r="R42" s="22">
        <v>32</v>
      </c>
      <c r="S42" s="22">
        <v>6.0333299999999999E-2</v>
      </c>
      <c r="T42">
        <f t="shared" si="2"/>
        <v>22.213699999999999</v>
      </c>
      <c r="U42">
        <f t="shared" si="3"/>
        <v>1.35920521149</v>
      </c>
      <c r="X42" s="9"/>
      <c r="Y42" s="22">
        <v>0.68893400000000005</v>
      </c>
      <c r="Z42" s="22">
        <v>128.35</v>
      </c>
      <c r="AA42" s="22">
        <v>-1.4865099999999999E-2</v>
      </c>
      <c r="AB42" s="22">
        <v>32</v>
      </c>
      <c r="AC42" s="22">
        <v>0.68826299999999996</v>
      </c>
      <c r="AD42">
        <f t="shared" si="4"/>
        <v>14.8651</v>
      </c>
      <c r="AE42">
        <f t="shared" si="5"/>
        <v>10.2410728034</v>
      </c>
      <c r="AF42" s="9"/>
      <c r="AG42" s="22">
        <v>6.1187699999999998E-2</v>
      </c>
      <c r="AH42" s="22">
        <v>165.126</v>
      </c>
      <c r="AI42" s="22">
        <v>-2.2228999999999999E-2</v>
      </c>
      <c r="AJ42" s="22">
        <v>32</v>
      </c>
      <c r="AK42" s="22">
        <v>6.0821500000000001E-2</v>
      </c>
      <c r="AL42">
        <f t="shared" si="6"/>
        <v>22.228999999999999</v>
      </c>
      <c r="AM42">
        <f t="shared" si="7"/>
        <v>1.3601413833</v>
      </c>
      <c r="AP42" s="9"/>
      <c r="AQ42" s="22">
        <v>0.68893400000000005</v>
      </c>
      <c r="AR42" s="22">
        <v>198.148</v>
      </c>
      <c r="AS42" s="22">
        <v>-1.9101E-2</v>
      </c>
      <c r="AT42" s="22">
        <v>32</v>
      </c>
      <c r="AU42" s="22">
        <v>0.68798800000000004</v>
      </c>
      <c r="AV42">
        <f t="shared" si="8"/>
        <v>19.100999999999999</v>
      </c>
      <c r="AW42">
        <f t="shared" si="9"/>
        <v>13.159328334</v>
      </c>
      <c r="AX42" s="9"/>
      <c r="AY42" s="22">
        <v>6.1187699999999998E-2</v>
      </c>
      <c r="AZ42" s="22">
        <v>267.94600000000003</v>
      </c>
      <c r="BA42" s="22">
        <v>-2.2186299999999999E-2</v>
      </c>
      <c r="BB42" s="22">
        <v>32</v>
      </c>
      <c r="BC42" s="22">
        <v>6.0729999999999999E-2</v>
      </c>
      <c r="BD42">
        <f t="shared" si="10"/>
        <v>22.186299999999999</v>
      </c>
      <c r="BE42">
        <f t="shared" si="11"/>
        <v>1.3575286685099999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0.68389900000000003</v>
      </c>
      <c r="H43" s="22">
        <v>26.7377</v>
      </c>
      <c r="I43" s="22">
        <v>-1.8930099999999998E-2</v>
      </c>
      <c r="J43" s="22">
        <v>33</v>
      </c>
      <c r="K43" s="22">
        <v>0.68304399999999998</v>
      </c>
      <c r="L43">
        <f t="shared" si="0"/>
        <v>18.930099999999999</v>
      </c>
      <c r="M43">
        <f t="shared" si="1"/>
        <v>12.9462764599</v>
      </c>
      <c r="N43" s="9"/>
      <c r="O43" s="22">
        <v>6.6223099999999993E-2</v>
      </c>
      <c r="P43" s="22">
        <v>74.881399999999999</v>
      </c>
      <c r="Q43" s="22">
        <v>-2.2192400000000001E-2</v>
      </c>
      <c r="R43" s="22">
        <v>33</v>
      </c>
      <c r="S43" s="22">
        <v>6.5795900000000004E-2</v>
      </c>
      <c r="T43">
        <f t="shared" si="2"/>
        <v>22.192399999999999</v>
      </c>
      <c r="U43">
        <f t="shared" si="3"/>
        <v>1.4696495244399999</v>
      </c>
      <c r="X43" s="9"/>
      <c r="Y43" s="22">
        <v>0.68389900000000003</v>
      </c>
      <c r="Z43" s="22">
        <v>128.45099999999999</v>
      </c>
      <c r="AA43" s="22">
        <v>-1.5466300000000001E-2</v>
      </c>
      <c r="AB43" s="22">
        <v>33</v>
      </c>
      <c r="AC43" s="22">
        <v>0.68295300000000003</v>
      </c>
      <c r="AD43">
        <f t="shared" si="4"/>
        <v>15.4663</v>
      </c>
      <c r="AE43">
        <f t="shared" si="5"/>
        <v>10.577387103700001</v>
      </c>
      <c r="AF43" s="9"/>
      <c r="AG43" s="22">
        <v>6.6223099999999993E-2</v>
      </c>
      <c r="AH43" s="22">
        <v>165.227</v>
      </c>
      <c r="AI43" s="22">
        <v>-2.2216799999999998E-2</v>
      </c>
      <c r="AJ43" s="22">
        <v>33</v>
      </c>
      <c r="AK43" s="22">
        <v>6.6070599999999993E-2</v>
      </c>
      <c r="AL43">
        <f t="shared" si="6"/>
        <v>22.216799999999999</v>
      </c>
      <c r="AM43">
        <f t="shared" si="7"/>
        <v>1.4712653680799999</v>
      </c>
      <c r="AP43" s="9"/>
      <c r="AQ43" s="22">
        <v>0.68389900000000003</v>
      </c>
      <c r="AR43" s="22">
        <v>198.249</v>
      </c>
      <c r="AS43" s="22">
        <v>-1.9204700000000002E-2</v>
      </c>
      <c r="AT43" s="22">
        <v>33</v>
      </c>
      <c r="AU43" s="22">
        <v>0.68304399999999998</v>
      </c>
      <c r="AV43">
        <f t="shared" si="8"/>
        <v>19.204700000000003</v>
      </c>
      <c r="AW43">
        <f t="shared" si="9"/>
        <v>13.134075125300003</v>
      </c>
      <c r="AX43" s="9"/>
      <c r="AY43" s="22">
        <v>6.6223099999999993E-2</v>
      </c>
      <c r="AZ43" s="22">
        <v>268.04599999999999</v>
      </c>
      <c r="BA43" s="22">
        <v>-2.2195400000000001E-2</v>
      </c>
      <c r="BB43" s="22">
        <v>33</v>
      </c>
      <c r="BC43" s="22">
        <v>6.5460199999999996E-2</v>
      </c>
      <c r="BD43">
        <f t="shared" si="10"/>
        <v>22.195399999999999</v>
      </c>
      <c r="BE43">
        <f t="shared" si="11"/>
        <v>1.4698481937399999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0.67886400000000002</v>
      </c>
      <c r="H44" s="22">
        <v>26.8384</v>
      </c>
      <c r="I44" s="22">
        <v>-1.9079599999999999E-2</v>
      </c>
      <c r="J44" s="22">
        <v>34</v>
      </c>
      <c r="K44" s="22">
        <v>0.677979</v>
      </c>
      <c r="L44">
        <f t="shared" si="0"/>
        <v>19.079599999999999</v>
      </c>
      <c r="M44">
        <f t="shared" si="1"/>
        <v>12.9524535744</v>
      </c>
      <c r="N44" s="9"/>
      <c r="O44" s="22">
        <v>7.1258500000000002E-2</v>
      </c>
      <c r="P44" s="22">
        <v>74.982100000000003</v>
      </c>
      <c r="Q44" s="22">
        <v>-2.2195400000000001E-2</v>
      </c>
      <c r="R44" s="22">
        <v>34</v>
      </c>
      <c r="S44" s="22">
        <v>7.0495600000000005E-2</v>
      </c>
      <c r="T44">
        <f t="shared" si="2"/>
        <v>22.195399999999999</v>
      </c>
      <c r="U44">
        <f t="shared" si="3"/>
        <v>1.5816109109000001</v>
      </c>
      <c r="X44" s="9"/>
      <c r="Y44" s="22">
        <v>0.67886400000000002</v>
      </c>
      <c r="Z44" s="22">
        <v>128.55199999999999</v>
      </c>
      <c r="AA44" s="22">
        <v>-1.5826400000000001E-2</v>
      </c>
      <c r="AB44" s="22">
        <v>34</v>
      </c>
      <c r="AC44" s="22">
        <v>0.67831399999999997</v>
      </c>
      <c r="AD44">
        <f t="shared" si="4"/>
        <v>15.826400000000001</v>
      </c>
      <c r="AE44">
        <f t="shared" si="5"/>
        <v>10.743973209600002</v>
      </c>
      <c r="AF44" s="9"/>
      <c r="AG44" s="22">
        <v>7.1258500000000002E-2</v>
      </c>
      <c r="AH44" s="22">
        <v>165.327</v>
      </c>
      <c r="AI44" s="22">
        <v>-2.2219800000000001E-2</v>
      </c>
      <c r="AJ44" s="22">
        <v>34</v>
      </c>
      <c r="AK44" s="22">
        <v>7.0220900000000003E-2</v>
      </c>
      <c r="AL44">
        <f t="shared" si="6"/>
        <v>22.219800000000003</v>
      </c>
      <c r="AM44">
        <f t="shared" si="7"/>
        <v>1.5833496183000002</v>
      </c>
      <c r="AP44" s="9"/>
      <c r="AQ44" s="22">
        <v>0.67886400000000002</v>
      </c>
      <c r="AR44" s="22">
        <v>198.35</v>
      </c>
      <c r="AS44" s="22">
        <v>-1.9299299999999998E-2</v>
      </c>
      <c r="AT44" s="22">
        <v>34</v>
      </c>
      <c r="AU44" s="22">
        <v>0.67785600000000001</v>
      </c>
      <c r="AV44">
        <f t="shared" si="8"/>
        <v>19.299299999999999</v>
      </c>
      <c r="AW44">
        <f t="shared" si="9"/>
        <v>13.101599995199999</v>
      </c>
      <c r="AX44" s="9"/>
      <c r="AY44" s="22">
        <v>7.1258500000000002E-2</v>
      </c>
      <c r="AZ44" s="22">
        <v>268.14699999999999</v>
      </c>
      <c r="BA44" s="22">
        <v>-2.21832E-2</v>
      </c>
      <c r="BB44" s="22">
        <v>34</v>
      </c>
      <c r="BC44" s="22">
        <v>7.0251499999999995E-2</v>
      </c>
      <c r="BD44">
        <f t="shared" si="10"/>
        <v>22.183199999999999</v>
      </c>
      <c r="BE44">
        <f t="shared" si="11"/>
        <v>1.5807415572000001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0.67382799999999998</v>
      </c>
      <c r="H45" s="22">
        <v>26.9391</v>
      </c>
      <c r="I45" s="22">
        <v>-1.9192500000000001E-2</v>
      </c>
      <c r="J45" s="22">
        <v>35</v>
      </c>
      <c r="K45" s="22">
        <v>0.67337000000000002</v>
      </c>
      <c r="L45">
        <f t="shared" si="0"/>
        <v>19.192500000000003</v>
      </c>
      <c r="M45">
        <f t="shared" si="1"/>
        <v>12.932443890000002</v>
      </c>
      <c r="N45" s="9"/>
      <c r="O45" s="22">
        <v>7.6293899999999998E-2</v>
      </c>
      <c r="P45" s="22">
        <v>75.082800000000006</v>
      </c>
      <c r="Q45" s="22">
        <v>-2.2171E-2</v>
      </c>
      <c r="R45" s="22">
        <v>35</v>
      </c>
      <c r="S45" s="22">
        <v>7.5836200000000006E-2</v>
      </c>
      <c r="T45">
        <f t="shared" si="2"/>
        <v>22.170999999999999</v>
      </c>
      <c r="U45">
        <f t="shared" si="3"/>
        <v>1.6915120568999999</v>
      </c>
      <c r="X45" s="9"/>
      <c r="Y45" s="22">
        <v>0.67382799999999998</v>
      </c>
      <c r="Z45" s="22">
        <v>128.65299999999999</v>
      </c>
      <c r="AA45" s="22">
        <v>-1.6336099999999999E-2</v>
      </c>
      <c r="AB45" s="22">
        <v>35</v>
      </c>
      <c r="AC45" s="22">
        <v>0.67370600000000003</v>
      </c>
      <c r="AD45">
        <f t="shared" si="4"/>
        <v>16.336099999999998</v>
      </c>
      <c r="AE45">
        <f t="shared" si="5"/>
        <v>11.007721590799999</v>
      </c>
      <c r="AF45" s="9"/>
      <c r="AG45" s="22">
        <v>7.6293899999999998E-2</v>
      </c>
      <c r="AH45" s="22">
        <v>165.428</v>
      </c>
      <c r="AI45" s="22">
        <v>-2.2195400000000001E-2</v>
      </c>
      <c r="AJ45" s="22">
        <v>35</v>
      </c>
      <c r="AK45" s="22">
        <v>7.5866699999999995E-2</v>
      </c>
      <c r="AL45">
        <f t="shared" si="6"/>
        <v>22.195399999999999</v>
      </c>
      <c r="AM45">
        <f t="shared" si="7"/>
        <v>1.6933736280599998</v>
      </c>
      <c r="AP45" s="9"/>
      <c r="AQ45" s="22">
        <v>0.67382799999999998</v>
      </c>
      <c r="AR45" s="22">
        <v>198.45099999999999</v>
      </c>
      <c r="AS45" s="22">
        <v>-1.94031E-2</v>
      </c>
      <c r="AT45" s="22">
        <v>35</v>
      </c>
      <c r="AU45" s="22">
        <v>0.67303500000000005</v>
      </c>
      <c r="AV45">
        <f t="shared" si="8"/>
        <v>19.403099999999998</v>
      </c>
      <c r="AW45">
        <f t="shared" si="9"/>
        <v>13.0743520668</v>
      </c>
      <c r="AX45" s="9"/>
      <c r="AY45" s="22">
        <v>7.6293899999999998E-2</v>
      </c>
      <c r="AZ45" s="22">
        <v>268.24799999999999</v>
      </c>
      <c r="BA45" s="22">
        <v>-2.2171E-2</v>
      </c>
      <c r="BB45" s="22">
        <v>35</v>
      </c>
      <c r="BC45" s="22">
        <v>7.5683600000000004E-2</v>
      </c>
      <c r="BD45">
        <f t="shared" si="10"/>
        <v>22.170999999999999</v>
      </c>
      <c r="BE45">
        <f t="shared" si="11"/>
        <v>1.6915120568999999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0.66879299999999997</v>
      </c>
      <c r="H46" s="22">
        <v>27.0398</v>
      </c>
      <c r="I46" s="22">
        <v>-1.93481E-2</v>
      </c>
      <c r="J46" s="22">
        <v>36</v>
      </c>
      <c r="K46" s="22">
        <v>0.66836499999999999</v>
      </c>
      <c r="L46">
        <f t="shared" si="0"/>
        <v>19.348099999999999</v>
      </c>
      <c r="M46">
        <f t="shared" si="1"/>
        <v>12.939873843299999</v>
      </c>
      <c r="N46" s="9"/>
      <c r="O46" s="22">
        <v>8.1329299999999993E-2</v>
      </c>
      <c r="P46" s="22">
        <v>75.183499999999995</v>
      </c>
      <c r="Q46" s="22">
        <v>-2.2168E-2</v>
      </c>
      <c r="R46" s="22">
        <v>36</v>
      </c>
      <c r="S46" s="22">
        <v>8.0749500000000002E-2</v>
      </c>
      <c r="T46">
        <f t="shared" si="2"/>
        <v>22.167999999999999</v>
      </c>
      <c r="U46">
        <f t="shared" si="3"/>
        <v>1.8029079223999998</v>
      </c>
      <c r="X46" s="9"/>
      <c r="Y46" s="22">
        <v>0.66879299999999997</v>
      </c>
      <c r="Z46" s="22">
        <v>128.75299999999999</v>
      </c>
      <c r="AA46" s="22">
        <v>-1.6699200000000001E-2</v>
      </c>
      <c r="AB46" s="22">
        <v>36</v>
      </c>
      <c r="AC46" s="22">
        <v>0.66796900000000003</v>
      </c>
      <c r="AD46">
        <f t="shared" si="4"/>
        <v>16.699200000000001</v>
      </c>
      <c r="AE46">
        <f t="shared" si="5"/>
        <v>11.1683080656</v>
      </c>
      <c r="AF46" s="9"/>
      <c r="AG46" s="22">
        <v>8.1329299999999993E-2</v>
      </c>
      <c r="AH46" s="22">
        <v>165.529</v>
      </c>
      <c r="AI46" s="22">
        <v>-2.2198499999999999E-2</v>
      </c>
      <c r="AJ46" s="22">
        <v>36</v>
      </c>
      <c r="AK46" s="22">
        <v>8.0383300000000005E-2</v>
      </c>
      <c r="AL46">
        <f t="shared" si="6"/>
        <v>22.198499999999999</v>
      </c>
      <c r="AM46">
        <f t="shared" si="7"/>
        <v>1.8053884660499997</v>
      </c>
      <c r="AP46" s="9"/>
      <c r="AQ46" s="22">
        <v>0.66879299999999997</v>
      </c>
      <c r="AR46" s="22">
        <v>198.55099999999999</v>
      </c>
      <c r="AS46" s="22">
        <v>-1.9540399999999999E-2</v>
      </c>
      <c r="AT46" s="22">
        <v>36</v>
      </c>
      <c r="AU46" s="22">
        <v>0.66790799999999995</v>
      </c>
      <c r="AV46">
        <f t="shared" si="8"/>
        <v>19.540399999999998</v>
      </c>
      <c r="AW46">
        <f t="shared" si="9"/>
        <v>13.068482737199998</v>
      </c>
      <c r="AX46" s="9"/>
      <c r="AY46" s="22">
        <v>8.1329299999999993E-2</v>
      </c>
      <c r="AZ46" s="22">
        <v>268.34800000000001</v>
      </c>
      <c r="BA46" s="22">
        <v>-2.21313E-2</v>
      </c>
      <c r="BB46" s="22">
        <v>36</v>
      </c>
      <c r="BC46" s="22">
        <v>8.0963099999999996E-2</v>
      </c>
      <c r="BD46">
        <f t="shared" si="10"/>
        <v>22.1313</v>
      </c>
      <c r="BE46">
        <f t="shared" si="11"/>
        <v>1.7999231370899997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0.66375700000000004</v>
      </c>
      <c r="H47" s="22">
        <v>27.140499999999999</v>
      </c>
      <c r="I47" s="22">
        <v>-1.94427E-2</v>
      </c>
      <c r="J47" s="22">
        <v>37</v>
      </c>
      <c r="K47" s="22">
        <v>0.662964</v>
      </c>
      <c r="L47">
        <f t="shared" si="0"/>
        <v>19.442699999999999</v>
      </c>
      <c r="M47">
        <f t="shared" si="1"/>
        <v>12.9052282239</v>
      </c>
      <c r="N47" s="9"/>
      <c r="O47" s="22">
        <v>8.6364700000000003E-2</v>
      </c>
      <c r="P47" s="22">
        <v>75.284199999999998</v>
      </c>
      <c r="Q47" s="22">
        <v>-2.2168E-2</v>
      </c>
      <c r="R47" s="22">
        <v>37</v>
      </c>
      <c r="S47" s="22">
        <v>8.5723900000000006E-2</v>
      </c>
      <c r="T47">
        <f t="shared" si="2"/>
        <v>22.167999999999999</v>
      </c>
      <c r="U47">
        <f t="shared" si="3"/>
        <v>1.9145326696</v>
      </c>
      <c r="X47" s="9"/>
      <c r="Y47" s="22">
        <v>0.66375700000000004</v>
      </c>
      <c r="Z47" s="22">
        <v>128.85400000000001</v>
      </c>
      <c r="AA47" s="22">
        <v>-1.7126499999999999E-2</v>
      </c>
      <c r="AB47" s="22">
        <v>37</v>
      </c>
      <c r="AC47" s="22">
        <v>0.66284200000000004</v>
      </c>
      <c r="AD47">
        <f t="shared" si="4"/>
        <v>17.1265</v>
      </c>
      <c r="AE47">
        <f t="shared" si="5"/>
        <v>11.3678342605</v>
      </c>
      <c r="AF47" s="9"/>
      <c r="AG47" s="22">
        <v>8.6364700000000003E-2</v>
      </c>
      <c r="AH47" s="22">
        <v>165.63</v>
      </c>
      <c r="AI47" s="22">
        <v>-2.2189299999999999E-2</v>
      </c>
      <c r="AJ47" s="22">
        <v>37</v>
      </c>
      <c r="AK47" s="22">
        <v>8.5906999999999997E-2</v>
      </c>
      <c r="AL47">
        <f t="shared" si="6"/>
        <v>22.189299999999999</v>
      </c>
      <c r="AM47">
        <f t="shared" si="7"/>
        <v>1.9163722377100001</v>
      </c>
      <c r="AP47" s="9"/>
      <c r="AQ47" s="22">
        <v>0.66375700000000004</v>
      </c>
      <c r="AR47" s="22">
        <v>198.65199999999999</v>
      </c>
      <c r="AS47" s="22">
        <v>-1.9641100000000002E-2</v>
      </c>
      <c r="AT47" s="22">
        <v>37</v>
      </c>
      <c r="AU47" s="22">
        <v>0.66287200000000002</v>
      </c>
      <c r="AV47">
        <f t="shared" si="8"/>
        <v>19.641100000000002</v>
      </c>
      <c r="AW47">
        <f t="shared" si="9"/>
        <v>13.036917612700002</v>
      </c>
      <c r="AX47" s="9"/>
      <c r="AY47" s="22">
        <v>8.6364700000000003E-2</v>
      </c>
      <c r="AZ47" s="22">
        <v>268.44900000000001</v>
      </c>
      <c r="BA47" s="22">
        <v>-2.2119099999999999E-2</v>
      </c>
      <c r="BB47" s="22">
        <v>37</v>
      </c>
      <c r="BC47" s="22">
        <v>8.5845900000000003E-2</v>
      </c>
      <c r="BD47">
        <f t="shared" si="10"/>
        <v>22.1191</v>
      </c>
      <c r="BE47">
        <f t="shared" si="11"/>
        <v>1.9103094357700001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0.65872200000000003</v>
      </c>
      <c r="H48" s="22">
        <v>27.241199999999999</v>
      </c>
      <c r="I48" s="22">
        <v>-1.9515999999999999E-2</v>
      </c>
      <c r="J48" s="22">
        <v>38</v>
      </c>
      <c r="K48" s="22">
        <v>0.658142</v>
      </c>
      <c r="L48">
        <f t="shared" si="0"/>
        <v>19.515999999999998</v>
      </c>
      <c r="M48">
        <f t="shared" si="1"/>
        <v>12.855618551999999</v>
      </c>
      <c r="N48" s="9"/>
      <c r="O48" s="22">
        <v>9.1400099999999998E-2</v>
      </c>
      <c r="P48" s="22">
        <v>75.384900000000002</v>
      </c>
      <c r="Q48" s="22">
        <v>-2.2146599999999999E-2</v>
      </c>
      <c r="R48" s="22">
        <v>38</v>
      </c>
      <c r="S48" s="22">
        <v>9.0850799999999995E-2</v>
      </c>
      <c r="T48">
        <f t="shared" si="2"/>
        <v>22.146599999999999</v>
      </c>
      <c r="U48">
        <f t="shared" si="3"/>
        <v>2.02420145466</v>
      </c>
      <c r="X48" s="9"/>
      <c r="Y48" s="22">
        <v>0.65872200000000003</v>
      </c>
      <c r="Z48" s="22">
        <v>128.95500000000001</v>
      </c>
      <c r="AA48" s="22">
        <v>-1.7456099999999999E-2</v>
      </c>
      <c r="AB48" s="22">
        <v>38</v>
      </c>
      <c r="AC48" s="22">
        <v>0.658142</v>
      </c>
      <c r="AD48">
        <f t="shared" si="4"/>
        <v>17.456099999999999</v>
      </c>
      <c r="AE48">
        <f t="shared" si="5"/>
        <v>11.498717104200001</v>
      </c>
      <c r="AF48" s="9"/>
      <c r="AG48" s="22">
        <v>9.1400099999999998E-2</v>
      </c>
      <c r="AH48" s="22">
        <v>165.73</v>
      </c>
      <c r="AI48" s="22">
        <v>-2.2158799999999999E-2</v>
      </c>
      <c r="AJ48" s="22">
        <v>38</v>
      </c>
      <c r="AK48" s="22">
        <v>9.0576199999999996E-2</v>
      </c>
      <c r="AL48">
        <f t="shared" si="6"/>
        <v>22.158799999999999</v>
      </c>
      <c r="AM48">
        <f t="shared" si="7"/>
        <v>2.02531653588</v>
      </c>
      <c r="AP48" s="9"/>
      <c r="AQ48" s="22">
        <v>0.65872200000000003</v>
      </c>
      <c r="AR48" s="22">
        <v>198.75299999999999</v>
      </c>
      <c r="AS48" s="22">
        <v>-1.9760099999999999E-2</v>
      </c>
      <c r="AT48" s="22">
        <v>38</v>
      </c>
      <c r="AU48" s="22">
        <v>0.658142</v>
      </c>
      <c r="AV48">
        <f t="shared" si="8"/>
        <v>19.760099999999998</v>
      </c>
      <c r="AW48">
        <f t="shared" si="9"/>
        <v>13.016412592199998</v>
      </c>
      <c r="AX48" s="9"/>
      <c r="AY48" s="22">
        <v>9.1400099999999998E-2</v>
      </c>
      <c r="AZ48" s="22">
        <v>268.55</v>
      </c>
      <c r="BA48" s="22">
        <v>-2.2119099999999999E-2</v>
      </c>
      <c r="BB48" s="22">
        <v>38</v>
      </c>
      <c r="BC48" s="22">
        <v>9.0881299999999998E-2</v>
      </c>
      <c r="BD48">
        <f t="shared" si="10"/>
        <v>22.1191</v>
      </c>
      <c r="BE48">
        <f t="shared" si="11"/>
        <v>2.0216879519099997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0.65368700000000002</v>
      </c>
      <c r="H49" s="22">
        <v>27.341899999999999</v>
      </c>
      <c r="I49" s="22">
        <v>-1.96747E-2</v>
      </c>
      <c r="J49" s="22">
        <v>39</v>
      </c>
      <c r="K49" s="22">
        <v>0.65298500000000004</v>
      </c>
      <c r="L49">
        <f t="shared" si="0"/>
        <v>19.674700000000001</v>
      </c>
      <c r="M49">
        <f t="shared" si="1"/>
        <v>12.861095618900002</v>
      </c>
      <c r="N49" s="9"/>
      <c r="O49" s="22">
        <v>9.6435499999999993E-2</v>
      </c>
      <c r="P49" s="22">
        <v>75.485600000000005</v>
      </c>
      <c r="Q49" s="22">
        <v>-2.2137500000000001E-2</v>
      </c>
      <c r="R49" s="22">
        <v>39</v>
      </c>
      <c r="S49" s="22">
        <v>9.5550499999999997E-2</v>
      </c>
      <c r="T49">
        <f t="shared" si="2"/>
        <v>22.137499999999999</v>
      </c>
      <c r="U49">
        <f t="shared" si="3"/>
        <v>2.1348408812499997</v>
      </c>
      <c r="X49" s="9"/>
      <c r="Y49" s="22">
        <v>0.65368700000000002</v>
      </c>
      <c r="Z49" s="22">
        <v>129.05500000000001</v>
      </c>
      <c r="AA49" s="22">
        <v>-1.7706300000000001E-2</v>
      </c>
      <c r="AB49" s="22">
        <v>39</v>
      </c>
      <c r="AC49" s="22">
        <v>0.65313699999999997</v>
      </c>
      <c r="AD49">
        <f t="shared" si="4"/>
        <v>17.706300000000002</v>
      </c>
      <c r="AE49">
        <f t="shared" si="5"/>
        <v>11.574378128100001</v>
      </c>
      <c r="AF49" s="9"/>
      <c r="AG49" s="22">
        <v>9.6435499999999993E-2</v>
      </c>
      <c r="AH49" s="22">
        <v>165.83099999999999</v>
      </c>
      <c r="AI49" s="22">
        <v>-2.2164900000000001E-2</v>
      </c>
      <c r="AJ49" s="22">
        <v>39</v>
      </c>
      <c r="AK49" s="22">
        <v>9.5916699999999994E-2</v>
      </c>
      <c r="AL49">
        <f t="shared" si="6"/>
        <v>22.164900000000003</v>
      </c>
      <c r="AM49">
        <f t="shared" si="7"/>
        <v>2.13748321395</v>
      </c>
      <c r="AP49" s="9"/>
      <c r="AQ49" s="22">
        <v>0.65368700000000002</v>
      </c>
      <c r="AR49" s="22">
        <v>198.85300000000001</v>
      </c>
      <c r="AS49" s="22">
        <v>-1.9860800000000001E-2</v>
      </c>
      <c r="AT49" s="22">
        <v>39</v>
      </c>
      <c r="AU49" s="22">
        <v>0.65313699999999997</v>
      </c>
      <c r="AV49">
        <f t="shared" si="8"/>
        <v>19.860800000000001</v>
      </c>
      <c r="AW49">
        <f t="shared" si="9"/>
        <v>12.9827467696</v>
      </c>
      <c r="AX49" s="9"/>
      <c r="AY49" s="22">
        <v>9.6435499999999993E-2</v>
      </c>
      <c r="AZ49" s="22">
        <v>268.65100000000001</v>
      </c>
      <c r="BA49" s="22">
        <v>-2.2113000000000001E-2</v>
      </c>
      <c r="BB49" s="22">
        <v>39</v>
      </c>
      <c r="BC49" s="22">
        <v>9.5764199999999994E-2</v>
      </c>
      <c r="BD49">
        <f t="shared" si="10"/>
        <v>22.113</v>
      </c>
      <c r="BE49">
        <f t="shared" si="11"/>
        <v>2.1324782114999996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0.64865099999999998</v>
      </c>
      <c r="H50" s="22">
        <v>27.442599999999999</v>
      </c>
      <c r="I50" s="22">
        <v>-1.9836400000000001E-2</v>
      </c>
      <c r="J50" s="22">
        <v>40</v>
      </c>
      <c r="K50" s="22">
        <v>0.64791900000000002</v>
      </c>
      <c r="L50">
        <f t="shared" si="0"/>
        <v>19.836400000000001</v>
      </c>
      <c r="M50">
        <f t="shared" si="1"/>
        <v>12.8669006964</v>
      </c>
      <c r="N50" s="9"/>
      <c r="O50" s="22">
        <v>0.10147100000000001</v>
      </c>
      <c r="P50" s="22">
        <v>75.586299999999994</v>
      </c>
      <c r="Q50" s="22">
        <v>-2.2146599999999999E-2</v>
      </c>
      <c r="R50" s="22">
        <v>40</v>
      </c>
      <c r="S50" s="22">
        <v>0.10083</v>
      </c>
      <c r="T50">
        <f t="shared" si="2"/>
        <v>22.146599999999999</v>
      </c>
      <c r="U50">
        <f t="shared" si="3"/>
        <v>2.2472376486000001</v>
      </c>
      <c r="X50" s="9"/>
      <c r="Y50" s="22">
        <v>0.64865099999999998</v>
      </c>
      <c r="Z50" s="22">
        <v>129.15600000000001</v>
      </c>
      <c r="AA50" s="22">
        <v>-1.7974899999999999E-2</v>
      </c>
      <c r="AB50" s="22">
        <v>40</v>
      </c>
      <c r="AC50" s="22">
        <v>0.64822400000000002</v>
      </c>
      <c r="AD50">
        <f t="shared" si="4"/>
        <v>17.974899999999998</v>
      </c>
      <c r="AE50">
        <f t="shared" si="5"/>
        <v>11.659436859899998</v>
      </c>
      <c r="AF50" s="9"/>
      <c r="AG50" s="22">
        <v>0.10147100000000001</v>
      </c>
      <c r="AH50" s="22">
        <v>165.93199999999999</v>
      </c>
      <c r="AI50" s="22">
        <v>-2.2152700000000001E-2</v>
      </c>
      <c r="AJ50" s="22">
        <v>40</v>
      </c>
      <c r="AK50" s="22">
        <v>0.10104399999999999</v>
      </c>
      <c r="AL50">
        <f t="shared" si="6"/>
        <v>22.152699999999999</v>
      </c>
      <c r="AM50">
        <f t="shared" si="7"/>
        <v>2.2478566217</v>
      </c>
      <c r="AP50" s="9"/>
      <c r="AQ50" s="22">
        <v>0.64865099999999998</v>
      </c>
      <c r="AR50" s="22">
        <v>198.95400000000001</v>
      </c>
      <c r="AS50" s="22">
        <v>-1.9958500000000001E-2</v>
      </c>
      <c r="AT50" s="22">
        <v>40</v>
      </c>
      <c r="AU50" s="22">
        <v>0.64785800000000004</v>
      </c>
      <c r="AV50">
        <f t="shared" si="8"/>
        <v>19.958500000000001</v>
      </c>
      <c r="AW50">
        <f t="shared" si="9"/>
        <v>12.946100983500001</v>
      </c>
      <c r="AX50" s="9"/>
      <c r="AY50" s="22">
        <v>0.10147100000000001</v>
      </c>
      <c r="AZ50" s="22">
        <v>268.75099999999998</v>
      </c>
      <c r="BA50" s="22">
        <v>-2.21161E-2</v>
      </c>
      <c r="BB50" s="22">
        <v>40</v>
      </c>
      <c r="BC50" s="22">
        <v>0.100525</v>
      </c>
      <c r="BD50">
        <f t="shared" si="10"/>
        <v>22.116099999999999</v>
      </c>
      <c r="BE50">
        <f t="shared" si="11"/>
        <v>2.2441427831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0.64361599999999997</v>
      </c>
      <c r="H51" s="22">
        <v>27.543299999999999</v>
      </c>
      <c r="I51" s="22">
        <v>-1.99066E-2</v>
      </c>
      <c r="J51" s="22">
        <v>41</v>
      </c>
      <c r="K51" s="22">
        <v>0.64303600000000005</v>
      </c>
      <c r="L51">
        <f t="shared" si="0"/>
        <v>19.906600000000001</v>
      </c>
      <c r="M51">
        <f t="shared" si="1"/>
        <v>12.8122062656</v>
      </c>
      <c r="N51" s="9"/>
      <c r="O51" s="22">
        <v>0.106506</v>
      </c>
      <c r="P51" s="22">
        <v>75.686999999999998</v>
      </c>
      <c r="Q51" s="22">
        <v>-2.2137500000000001E-2</v>
      </c>
      <c r="R51" s="22">
        <v>41</v>
      </c>
      <c r="S51" s="22">
        <v>0.105957</v>
      </c>
      <c r="T51">
        <f t="shared" si="2"/>
        <v>22.137499999999999</v>
      </c>
      <c r="U51">
        <f t="shared" si="3"/>
        <v>2.3577765749999999</v>
      </c>
      <c r="X51" s="9"/>
      <c r="Y51" s="22">
        <v>0.64361599999999997</v>
      </c>
      <c r="Z51" s="22">
        <v>129.25700000000001</v>
      </c>
      <c r="AA51" s="22">
        <v>-1.81732E-2</v>
      </c>
      <c r="AB51" s="22">
        <v>41</v>
      </c>
      <c r="AC51" s="22">
        <v>0.64297499999999996</v>
      </c>
      <c r="AD51">
        <f t="shared" si="4"/>
        <v>18.173200000000001</v>
      </c>
      <c r="AE51">
        <f t="shared" si="5"/>
        <v>11.696562291200001</v>
      </c>
      <c r="AF51" s="9"/>
      <c r="AG51" s="22">
        <v>0.106506</v>
      </c>
      <c r="AH51" s="22">
        <v>166.03200000000001</v>
      </c>
      <c r="AI51" s="22">
        <v>-2.21405E-2</v>
      </c>
      <c r="AJ51" s="22">
        <v>41</v>
      </c>
      <c r="AK51" s="22">
        <v>0.10607900000000001</v>
      </c>
      <c r="AL51">
        <f t="shared" si="6"/>
        <v>22.140499999999999</v>
      </c>
      <c r="AM51">
        <f t="shared" si="7"/>
        <v>2.3580960929999999</v>
      </c>
      <c r="AP51" s="9"/>
      <c r="AQ51" s="22">
        <v>0.64361599999999997</v>
      </c>
      <c r="AR51" s="22">
        <v>199.05500000000001</v>
      </c>
      <c r="AS51" s="22">
        <v>-2.00562E-2</v>
      </c>
      <c r="AT51" s="22">
        <v>41</v>
      </c>
      <c r="AU51" s="22">
        <v>0.64288299999999998</v>
      </c>
      <c r="AV51">
        <f t="shared" si="8"/>
        <v>20.0562</v>
      </c>
      <c r="AW51">
        <f t="shared" si="9"/>
        <v>12.9084912192</v>
      </c>
      <c r="AX51" s="9"/>
      <c r="AY51" s="22">
        <v>0.106506</v>
      </c>
      <c r="AZ51" s="22">
        <v>268.85199999999998</v>
      </c>
      <c r="BA51" s="22">
        <v>-2.2113000000000001E-2</v>
      </c>
      <c r="BB51" s="22">
        <v>41</v>
      </c>
      <c r="BC51" s="22">
        <v>0.105835</v>
      </c>
      <c r="BD51">
        <f t="shared" si="10"/>
        <v>22.113</v>
      </c>
      <c r="BE51">
        <f t="shared" si="11"/>
        <v>2.3551671779999999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0.63858000000000004</v>
      </c>
      <c r="H52" s="22">
        <v>27.643999999999998</v>
      </c>
      <c r="I52" s="22">
        <v>-1.9989E-2</v>
      </c>
      <c r="J52" s="22">
        <v>42</v>
      </c>
      <c r="K52" s="22">
        <v>0.63763400000000003</v>
      </c>
      <c r="L52">
        <f t="shared" si="0"/>
        <v>19.989000000000001</v>
      </c>
      <c r="M52">
        <f t="shared" si="1"/>
        <v>12.76457562</v>
      </c>
      <c r="N52" s="9"/>
      <c r="O52" s="22">
        <v>0.111542</v>
      </c>
      <c r="P52" s="22">
        <v>75.787800000000004</v>
      </c>
      <c r="Q52" s="22">
        <v>-2.21313E-2</v>
      </c>
      <c r="R52" s="22">
        <v>42</v>
      </c>
      <c r="S52" s="22">
        <v>0.11065700000000001</v>
      </c>
      <c r="T52">
        <f t="shared" si="2"/>
        <v>22.1313</v>
      </c>
      <c r="U52">
        <f t="shared" si="3"/>
        <v>2.4685694645999998</v>
      </c>
      <c r="X52" s="9"/>
      <c r="Y52" s="22">
        <v>0.63858000000000004</v>
      </c>
      <c r="Z52" s="22">
        <v>129.358</v>
      </c>
      <c r="AA52" s="22">
        <v>-1.8402100000000001E-2</v>
      </c>
      <c r="AB52" s="22">
        <v>42</v>
      </c>
      <c r="AC52" s="22">
        <v>0.63790899999999995</v>
      </c>
      <c r="AD52">
        <f t="shared" si="4"/>
        <v>18.402100000000001</v>
      </c>
      <c r="AE52">
        <f t="shared" si="5"/>
        <v>11.751213018000001</v>
      </c>
      <c r="AF52" s="9"/>
      <c r="AG52" s="22">
        <v>0.111542</v>
      </c>
      <c r="AH52" s="22">
        <v>166.13300000000001</v>
      </c>
      <c r="AI52" s="22">
        <v>-2.2149700000000001E-2</v>
      </c>
      <c r="AJ52" s="22">
        <v>42</v>
      </c>
      <c r="AK52" s="22">
        <v>0.110901</v>
      </c>
      <c r="AL52">
        <f t="shared" si="6"/>
        <v>22.149700000000003</v>
      </c>
      <c r="AM52">
        <f t="shared" si="7"/>
        <v>2.4706218374000004</v>
      </c>
      <c r="AP52" s="9"/>
      <c r="AQ52" s="22">
        <v>0.63858000000000004</v>
      </c>
      <c r="AR52" s="22">
        <v>199.15600000000001</v>
      </c>
      <c r="AS52" s="22">
        <v>-2.0135500000000001E-2</v>
      </c>
      <c r="AT52" s="22">
        <v>42</v>
      </c>
      <c r="AU52" s="22">
        <v>0.63778699999999999</v>
      </c>
      <c r="AV52">
        <f t="shared" si="8"/>
        <v>20.1355</v>
      </c>
      <c r="AW52">
        <f t="shared" si="9"/>
        <v>12.85812759</v>
      </c>
      <c r="AX52" s="9"/>
      <c r="AY52" s="22">
        <v>0.111542</v>
      </c>
      <c r="AZ52" s="22">
        <v>268.95299999999997</v>
      </c>
      <c r="BA52" s="22">
        <v>-2.2113000000000001E-2</v>
      </c>
      <c r="BB52" s="22">
        <v>42</v>
      </c>
      <c r="BC52" s="22">
        <v>0.110291</v>
      </c>
      <c r="BD52">
        <f t="shared" si="10"/>
        <v>22.113</v>
      </c>
      <c r="BE52">
        <f t="shared" si="11"/>
        <v>2.4665282460000002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0.63354500000000002</v>
      </c>
      <c r="H53" s="22">
        <v>27.744700000000002</v>
      </c>
      <c r="I53" s="22">
        <v>-2.0089699999999999E-2</v>
      </c>
      <c r="J53" s="22">
        <v>43</v>
      </c>
      <c r="K53" s="22">
        <v>0.63278199999999996</v>
      </c>
      <c r="L53">
        <f t="shared" si="0"/>
        <v>20.089699999999997</v>
      </c>
      <c r="M53">
        <f t="shared" si="1"/>
        <v>12.727728986499999</v>
      </c>
      <c r="N53" s="9"/>
      <c r="O53" s="22">
        <v>0.116577</v>
      </c>
      <c r="P53" s="22">
        <v>75.888499999999993</v>
      </c>
      <c r="Q53" s="22">
        <v>-2.2119099999999999E-2</v>
      </c>
      <c r="R53" s="22">
        <v>43</v>
      </c>
      <c r="S53" s="22">
        <v>0.115845</v>
      </c>
      <c r="T53">
        <f t="shared" si="2"/>
        <v>22.1191</v>
      </c>
      <c r="U53">
        <f t="shared" si="3"/>
        <v>2.5785783207000001</v>
      </c>
      <c r="X53" s="9"/>
      <c r="Y53" s="22">
        <v>0.63354500000000002</v>
      </c>
      <c r="Z53" s="22">
        <v>129.458</v>
      </c>
      <c r="AA53" s="22">
        <v>-1.8572999999999999E-2</v>
      </c>
      <c r="AB53" s="22">
        <v>43</v>
      </c>
      <c r="AC53" s="22">
        <v>0.63284300000000004</v>
      </c>
      <c r="AD53">
        <f t="shared" si="4"/>
        <v>18.573</v>
      </c>
      <c r="AE53">
        <f t="shared" si="5"/>
        <v>11.766831285</v>
      </c>
      <c r="AF53" s="9"/>
      <c r="AG53" s="22">
        <v>0.116577</v>
      </c>
      <c r="AH53" s="22">
        <v>166.23400000000001</v>
      </c>
      <c r="AI53" s="22">
        <v>-2.21558E-2</v>
      </c>
      <c r="AJ53" s="22">
        <v>43</v>
      </c>
      <c r="AK53" s="22">
        <v>0.115814</v>
      </c>
      <c r="AL53">
        <f t="shared" si="6"/>
        <v>22.155799999999999</v>
      </c>
      <c r="AM53">
        <f t="shared" si="7"/>
        <v>2.5828566965999999</v>
      </c>
      <c r="AP53" s="9"/>
      <c r="AQ53" s="22">
        <v>0.63354500000000002</v>
      </c>
      <c r="AR53" s="22">
        <v>199.256</v>
      </c>
      <c r="AS53" s="22">
        <v>-2.01935E-2</v>
      </c>
      <c r="AT53" s="22">
        <v>43</v>
      </c>
      <c r="AU53" s="22">
        <v>0.63259900000000002</v>
      </c>
      <c r="AV53">
        <f t="shared" si="8"/>
        <v>20.1935</v>
      </c>
      <c r="AW53">
        <f t="shared" si="9"/>
        <v>12.793490957500001</v>
      </c>
      <c r="AX53" s="9"/>
      <c r="AY53" s="22">
        <v>0.116577</v>
      </c>
      <c r="AZ53" s="22">
        <v>269.053</v>
      </c>
      <c r="BA53" s="22">
        <v>-2.21008E-2</v>
      </c>
      <c r="BB53" s="22">
        <v>43</v>
      </c>
      <c r="BC53" s="22">
        <v>0.11572300000000001</v>
      </c>
      <c r="BD53">
        <f t="shared" si="10"/>
        <v>22.1008</v>
      </c>
      <c r="BE53">
        <f t="shared" si="11"/>
        <v>2.5764449616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0.62851000000000001</v>
      </c>
      <c r="H54" s="22">
        <v>27.845400000000001</v>
      </c>
      <c r="I54" s="22">
        <v>-2.0211799999999999E-2</v>
      </c>
      <c r="J54" s="22">
        <v>44</v>
      </c>
      <c r="K54" s="22">
        <v>0.62820399999999998</v>
      </c>
      <c r="L54">
        <f t="shared" si="0"/>
        <v>20.2118</v>
      </c>
      <c r="M54">
        <f t="shared" si="1"/>
        <v>12.703318418</v>
      </c>
      <c r="N54" s="9"/>
      <c r="O54" s="22">
        <v>0.121613</v>
      </c>
      <c r="P54" s="22">
        <v>75.989199999999997</v>
      </c>
      <c r="Q54" s="22">
        <v>-2.2119099999999999E-2</v>
      </c>
      <c r="R54" s="22">
        <v>44</v>
      </c>
      <c r="S54" s="22">
        <v>0.12085</v>
      </c>
      <c r="T54">
        <f t="shared" si="2"/>
        <v>22.1191</v>
      </c>
      <c r="U54">
        <f t="shared" si="3"/>
        <v>2.6899701082999998</v>
      </c>
      <c r="X54" s="9"/>
      <c r="Y54" s="22">
        <v>0.62851000000000001</v>
      </c>
      <c r="Z54" s="22">
        <v>129.559</v>
      </c>
      <c r="AA54" s="22">
        <v>-1.87073E-2</v>
      </c>
      <c r="AB54" s="22">
        <v>44</v>
      </c>
      <c r="AC54" s="22">
        <v>0.62774700000000005</v>
      </c>
      <c r="AD54">
        <f t="shared" si="4"/>
        <v>18.7073</v>
      </c>
      <c r="AE54">
        <f t="shared" si="5"/>
        <v>11.757725123</v>
      </c>
      <c r="AF54" s="9"/>
      <c r="AG54" s="22">
        <v>0.121613</v>
      </c>
      <c r="AH54" s="22">
        <v>166.334</v>
      </c>
      <c r="AI54" s="22">
        <v>-2.21283E-2</v>
      </c>
      <c r="AJ54" s="22">
        <v>44</v>
      </c>
      <c r="AK54" s="22">
        <v>0.120972</v>
      </c>
      <c r="AL54">
        <f t="shared" si="6"/>
        <v>22.128299999999999</v>
      </c>
      <c r="AM54">
        <f t="shared" si="7"/>
        <v>2.6910889479</v>
      </c>
      <c r="AP54" s="9"/>
      <c r="AQ54" s="22">
        <v>0.62851000000000001</v>
      </c>
      <c r="AR54" s="22">
        <v>199.357</v>
      </c>
      <c r="AS54" s="22">
        <v>-2.0272800000000001E-2</v>
      </c>
      <c r="AT54" s="22">
        <v>44</v>
      </c>
      <c r="AU54" s="22">
        <v>0.62765499999999996</v>
      </c>
      <c r="AV54">
        <f t="shared" si="8"/>
        <v>20.2728</v>
      </c>
      <c r="AW54">
        <f t="shared" si="9"/>
        <v>12.741657528000001</v>
      </c>
      <c r="AX54" s="9"/>
      <c r="AY54" s="22">
        <v>0.121613</v>
      </c>
      <c r="AZ54" s="22">
        <v>269.154</v>
      </c>
      <c r="BA54" s="22">
        <v>-2.2094699999999998E-2</v>
      </c>
      <c r="BB54" s="22">
        <v>44</v>
      </c>
      <c r="BC54" s="22">
        <v>0.121155</v>
      </c>
      <c r="BD54">
        <f t="shared" si="10"/>
        <v>22.0947</v>
      </c>
      <c r="BE54">
        <f t="shared" si="11"/>
        <v>2.6870027511000001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0.62347399999999997</v>
      </c>
      <c r="H55" s="22">
        <v>27.946200000000001</v>
      </c>
      <c r="I55" s="22">
        <v>-2.0278899999999999E-2</v>
      </c>
      <c r="J55" s="22">
        <v>45</v>
      </c>
      <c r="K55" s="22">
        <v>0.62243700000000002</v>
      </c>
      <c r="L55">
        <f t="shared" si="0"/>
        <v>20.2789</v>
      </c>
      <c r="M55">
        <f t="shared" si="1"/>
        <v>12.6433668986</v>
      </c>
      <c r="N55" s="9"/>
      <c r="O55" s="22">
        <v>0.12664800000000001</v>
      </c>
      <c r="P55" s="22">
        <v>76.0899</v>
      </c>
      <c r="Q55" s="22">
        <v>-2.2094699999999998E-2</v>
      </c>
      <c r="R55" s="22">
        <v>45</v>
      </c>
      <c r="S55" s="22">
        <v>0.12582399999999999</v>
      </c>
      <c r="T55">
        <f t="shared" si="2"/>
        <v>22.0947</v>
      </c>
      <c r="U55">
        <f t="shared" si="3"/>
        <v>2.7982495656000004</v>
      </c>
      <c r="X55" s="9"/>
      <c r="Y55" s="22">
        <v>0.62347399999999997</v>
      </c>
      <c r="Z55" s="22">
        <v>129.66</v>
      </c>
      <c r="AA55" s="22">
        <v>-1.8881200000000001E-2</v>
      </c>
      <c r="AB55" s="22">
        <v>45</v>
      </c>
      <c r="AC55" s="22">
        <v>0.62289399999999995</v>
      </c>
      <c r="AD55">
        <f t="shared" si="4"/>
        <v>18.8812</v>
      </c>
      <c r="AE55">
        <f t="shared" si="5"/>
        <v>11.771937288799998</v>
      </c>
      <c r="AF55" s="9"/>
      <c r="AG55" s="22">
        <v>0.12664800000000001</v>
      </c>
      <c r="AH55" s="22">
        <v>166.435</v>
      </c>
      <c r="AI55" s="22">
        <v>-2.2122200000000002E-2</v>
      </c>
      <c r="AJ55" s="22">
        <v>45</v>
      </c>
      <c r="AK55" s="22">
        <v>0.12631200000000001</v>
      </c>
      <c r="AL55">
        <f t="shared" si="6"/>
        <v>22.122200000000003</v>
      </c>
      <c r="AM55">
        <f t="shared" si="7"/>
        <v>2.8017323856000007</v>
      </c>
      <c r="AP55" s="9"/>
      <c r="AQ55" s="22">
        <v>0.62347399999999997</v>
      </c>
      <c r="AR55" s="22">
        <v>199.458</v>
      </c>
      <c r="AS55" s="22">
        <v>-2.0343E-2</v>
      </c>
      <c r="AT55" s="22">
        <v>45</v>
      </c>
      <c r="AU55" s="22">
        <v>0.62283299999999997</v>
      </c>
      <c r="AV55">
        <f t="shared" si="8"/>
        <v>20.343</v>
      </c>
      <c r="AW55">
        <f t="shared" si="9"/>
        <v>12.683331581999999</v>
      </c>
      <c r="AX55" s="9"/>
      <c r="AY55" s="22">
        <v>0.12664800000000001</v>
      </c>
      <c r="AZ55" s="22">
        <v>269.255</v>
      </c>
      <c r="BA55" s="22">
        <v>-2.2094699999999998E-2</v>
      </c>
      <c r="BB55" s="22">
        <v>45</v>
      </c>
      <c r="BC55" s="22">
        <v>0.125916</v>
      </c>
      <c r="BD55">
        <f t="shared" si="10"/>
        <v>22.0947</v>
      </c>
      <c r="BE55">
        <f t="shared" si="11"/>
        <v>2.7982495656000004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0.61843899999999996</v>
      </c>
      <c r="H56" s="22">
        <v>28.046900000000001</v>
      </c>
      <c r="I56" s="22">
        <v>-2.0346099999999999E-2</v>
      </c>
      <c r="J56" s="22">
        <v>46</v>
      </c>
      <c r="K56" s="22">
        <v>0.61761500000000003</v>
      </c>
      <c r="L56">
        <f t="shared" si="0"/>
        <v>20.3461</v>
      </c>
      <c r="M56">
        <f t="shared" si="1"/>
        <v>12.5828217379</v>
      </c>
      <c r="N56" s="9"/>
      <c r="O56" s="22">
        <v>0.13168299999999999</v>
      </c>
      <c r="P56" s="22">
        <v>76.190600000000003</v>
      </c>
      <c r="Q56" s="22">
        <v>-2.2106899999999999E-2</v>
      </c>
      <c r="R56" s="22">
        <v>46</v>
      </c>
      <c r="S56" s="22">
        <v>0.131439</v>
      </c>
      <c r="T56">
        <f t="shared" si="2"/>
        <v>22.1069</v>
      </c>
      <c r="U56">
        <f t="shared" si="3"/>
        <v>2.9111029126999997</v>
      </c>
      <c r="X56" s="9"/>
      <c r="Y56" s="22">
        <v>0.61843899999999996</v>
      </c>
      <c r="Z56" s="22">
        <v>129.76</v>
      </c>
      <c r="AA56" s="22">
        <v>-1.9043000000000001E-2</v>
      </c>
      <c r="AB56" s="22">
        <v>46</v>
      </c>
      <c r="AC56" s="22">
        <v>0.61746199999999996</v>
      </c>
      <c r="AD56">
        <f t="shared" si="4"/>
        <v>19.042999999999999</v>
      </c>
      <c r="AE56">
        <f t="shared" si="5"/>
        <v>11.776933876999999</v>
      </c>
      <c r="AF56" s="9"/>
      <c r="AG56" s="22">
        <v>0.13168299999999999</v>
      </c>
      <c r="AH56" s="22">
        <v>166.536</v>
      </c>
      <c r="AI56" s="22">
        <v>-2.2094699999999998E-2</v>
      </c>
      <c r="AJ56" s="22">
        <v>46</v>
      </c>
      <c r="AK56" s="22">
        <v>0.13122600000000001</v>
      </c>
      <c r="AL56">
        <f t="shared" si="6"/>
        <v>22.0947</v>
      </c>
      <c r="AM56">
        <f t="shared" si="7"/>
        <v>2.9094963800999998</v>
      </c>
      <c r="AP56" s="9"/>
      <c r="AQ56" s="22">
        <v>0.61843899999999996</v>
      </c>
      <c r="AR56" s="22">
        <v>199.55799999999999</v>
      </c>
      <c r="AS56" s="22">
        <v>-2.0407100000000001E-2</v>
      </c>
      <c r="AT56" s="22">
        <v>46</v>
      </c>
      <c r="AU56" s="22">
        <v>0.61761500000000003</v>
      </c>
      <c r="AV56">
        <f t="shared" si="8"/>
        <v>20.4071</v>
      </c>
      <c r="AW56">
        <f t="shared" si="9"/>
        <v>12.620546516899999</v>
      </c>
      <c r="AX56" s="9"/>
      <c r="AY56" s="22">
        <v>0.13168299999999999</v>
      </c>
      <c r="AZ56" s="22">
        <v>269.35500000000002</v>
      </c>
      <c r="BA56" s="22">
        <v>-2.2082500000000001E-2</v>
      </c>
      <c r="BB56" s="22">
        <v>46</v>
      </c>
      <c r="BC56" s="22">
        <v>0.13104199999999999</v>
      </c>
      <c r="BD56">
        <f t="shared" si="10"/>
        <v>22.082500000000003</v>
      </c>
      <c r="BE56">
        <f t="shared" si="11"/>
        <v>2.9078898475000003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0.61340300000000003</v>
      </c>
      <c r="H57" s="22">
        <v>28.147600000000001</v>
      </c>
      <c r="I57" s="22">
        <v>-2.03979E-2</v>
      </c>
      <c r="J57" s="22">
        <v>47</v>
      </c>
      <c r="K57" s="22">
        <v>0.61294599999999999</v>
      </c>
      <c r="L57">
        <f t="shared" si="0"/>
        <v>20.3979</v>
      </c>
      <c r="M57">
        <f t="shared" si="1"/>
        <v>12.512133053700001</v>
      </c>
      <c r="N57" s="9"/>
      <c r="O57" s="22">
        <v>0.13671900000000001</v>
      </c>
      <c r="P57" s="22">
        <v>76.291300000000007</v>
      </c>
      <c r="Q57" s="22">
        <v>-2.2094699999999998E-2</v>
      </c>
      <c r="R57" s="22">
        <v>47</v>
      </c>
      <c r="S57" s="22">
        <v>0.13610800000000001</v>
      </c>
      <c r="T57">
        <f t="shared" si="2"/>
        <v>22.0947</v>
      </c>
      <c r="U57">
        <f t="shared" si="3"/>
        <v>3.0207652892999999</v>
      </c>
      <c r="X57" s="9"/>
      <c r="Y57" s="22">
        <v>0.61340300000000003</v>
      </c>
      <c r="Z57" s="22">
        <v>129.86099999999999</v>
      </c>
      <c r="AA57" s="22">
        <v>-1.9177199999999998E-2</v>
      </c>
      <c r="AB57" s="22">
        <v>47</v>
      </c>
      <c r="AC57" s="22">
        <v>0.61273200000000005</v>
      </c>
      <c r="AD57">
        <f t="shared" si="4"/>
        <v>19.177199999999999</v>
      </c>
      <c r="AE57">
        <f t="shared" si="5"/>
        <v>11.7633520116</v>
      </c>
      <c r="AF57" s="9"/>
      <c r="AG57" s="22">
        <v>0.13671900000000001</v>
      </c>
      <c r="AH57" s="22">
        <v>166.637</v>
      </c>
      <c r="AI57" s="22">
        <v>-2.2103899999999999E-2</v>
      </c>
      <c r="AJ57" s="22">
        <v>47</v>
      </c>
      <c r="AK57" s="22">
        <v>0.13580300000000001</v>
      </c>
      <c r="AL57">
        <f t="shared" si="6"/>
        <v>22.103899999999999</v>
      </c>
      <c r="AM57">
        <f t="shared" si="7"/>
        <v>3.0220231041000001</v>
      </c>
      <c r="AP57" s="9"/>
      <c r="AQ57" s="22">
        <v>0.61340300000000003</v>
      </c>
      <c r="AR57" s="22">
        <v>199.65899999999999</v>
      </c>
      <c r="AS57" s="22">
        <v>-2.0471199999999998E-2</v>
      </c>
      <c r="AT57" s="22">
        <v>47</v>
      </c>
      <c r="AU57" s="22">
        <v>0.61267099999999997</v>
      </c>
      <c r="AV57">
        <f t="shared" si="8"/>
        <v>20.4712</v>
      </c>
      <c r="AW57">
        <f t="shared" si="9"/>
        <v>12.5570954936</v>
      </c>
      <c r="AX57" s="9"/>
      <c r="AY57" s="22">
        <v>0.13671900000000001</v>
      </c>
      <c r="AZ57" s="22">
        <v>269.45600000000002</v>
      </c>
      <c r="BA57" s="22">
        <v>-2.2082500000000001E-2</v>
      </c>
      <c r="BB57" s="22">
        <v>47</v>
      </c>
      <c r="BC57" s="22">
        <v>0.136047</v>
      </c>
      <c r="BD57">
        <f t="shared" si="10"/>
        <v>22.082500000000003</v>
      </c>
      <c r="BE57">
        <f t="shared" si="11"/>
        <v>3.0190973175000004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0.60836800000000002</v>
      </c>
      <c r="H58" s="22">
        <v>28.2483</v>
      </c>
      <c r="I58" s="22">
        <v>-2.0446800000000001E-2</v>
      </c>
      <c r="J58" s="22">
        <v>48</v>
      </c>
      <c r="K58" s="22">
        <v>0.60784899999999997</v>
      </c>
      <c r="L58">
        <f t="shared" si="0"/>
        <v>20.4468</v>
      </c>
      <c r="M58">
        <f t="shared" si="1"/>
        <v>12.439178822400001</v>
      </c>
      <c r="N58" s="9"/>
      <c r="O58" s="22">
        <v>0.14175399999999999</v>
      </c>
      <c r="P58" s="22">
        <v>76.391999999999996</v>
      </c>
      <c r="Q58" s="22">
        <v>-2.20734E-2</v>
      </c>
      <c r="R58" s="22">
        <v>48</v>
      </c>
      <c r="S58" s="22">
        <v>0.14144899999999999</v>
      </c>
      <c r="T58">
        <f t="shared" si="2"/>
        <v>22.073399999999999</v>
      </c>
      <c r="U58">
        <f t="shared" si="3"/>
        <v>3.1289927435999996</v>
      </c>
      <c r="X58" s="9"/>
      <c r="Y58" s="22">
        <v>0.60836800000000002</v>
      </c>
      <c r="Z58" s="22">
        <v>129.96199999999999</v>
      </c>
      <c r="AA58" s="22">
        <v>-1.9366499999999998E-2</v>
      </c>
      <c r="AB58" s="22">
        <v>48</v>
      </c>
      <c r="AC58" s="22">
        <v>0.60769700000000004</v>
      </c>
      <c r="AD58">
        <f t="shared" si="4"/>
        <v>19.366499999999998</v>
      </c>
      <c r="AE58">
        <f t="shared" si="5"/>
        <v>11.781958871999999</v>
      </c>
      <c r="AF58" s="9"/>
      <c r="AG58" s="22">
        <v>0.14175399999999999</v>
      </c>
      <c r="AH58" s="22">
        <v>166.73699999999999</v>
      </c>
      <c r="AI58" s="22">
        <v>-2.2079499999999998E-2</v>
      </c>
      <c r="AJ58" s="22">
        <v>48</v>
      </c>
      <c r="AK58" s="22">
        <v>0.141205</v>
      </c>
      <c r="AL58">
        <f t="shared" si="6"/>
        <v>22.079499999999999</v>
      </c>
      <c r="AM58">
        <f t="shared" si="7"/>
        <v>3.1298574429999997</v>
      </c>
      <c r="AP58" s="9"/>
      <c r="AQ58" s="22">
        <v>0.60836800000000002</v>
      </c>
      <c r="AR58" s="22">
        <v>199.76</v>
      </c>
      <c r="AS58" s="22">
        <v>-2.0510899999999999E-2</v>
      </c>
      <c r="AT58" s="22">
        <v>48</v>
      </c>
      <c r="AU58" s="22">
        <v>0.607483</v>
      </c>
      <c r="AV58">
        <f t="shared" si="8"/>
        <v>20.510899999999999</v>
      </c>
      <c r="AW58">
        <f t="shared" si="9"/>
        <v>12.4781752112</v>
      </c>
      <c r="AX58" s="9"/>
      <c r="AY58" s="22">
        <v>0.14175399999999999</v>
      </c>
      <c r="AZ58" s="22">
        <v>269.55700000000002</v>
      </c>
      <c r="BA58" s="22">
        <v>-2.2082500000000001E-2</v>
      </c>
      <c r="BB58" s="22">
        <v>48</v>
      </c>
      <c r="BC58" s="22">
        <v>0.14108299999999999</v>
      </c>
      <c r="BD58">
        <f t="shared" si="10"/>
        <v>22.082500000000003</v>
      </c>
      <c r="BE58">
        <f t="shared" si="11"/>
        <v>3.1302827050000004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0.60333300000000001</v>
      </c>
      <c r="H59" s="22">
        <v>28.349</v>
      </c>
      <c r="I59" s="22">
        <v>-2.0517000000000001E-2</v>
      </c>
      <c r="J59" s="22">
        <v>49</v>
      </c>
      <c r="K59" s="22">
        <v>0.60302699999999998</v>
      </c>
      <c r="L59">
        <f t="shared" si="0"/>
        <v>20.516999999999999</v>
      </c>
      <c r="M59">
        <f t="shared" si="1"/>
        <v>12.378583161</v>
      </c>
      <c r="N59" s="9"/>
      <c r="O59" s="22">
        <v>0.14679</v>
      </c>
      <c r="P59" s="22">
        <v>76.492699999999999</v>
      </c>
      <c r="Q59" s="22">
        <v>-2.2058100000000001E-2</v>
      </c>
      <c r="R59" s="22">
        <v>49</v>
      </c>
      <c r="S59" s="22">
        <v>0.14599599999999999</v>
      </c>
      <c r="T59">
        <f t="shared" si="2"/>
        <v>22.0581</v>
      </c>
      <c r="U59">
        <f t="shared" si="3"/>
        <v>3.237908499</v>
      </c>
      <c r="X59" s="9"/>
      <c r="Y59" s="22">
        <v>0.60333300000000001</v>
      </c>
      <c r="Z59" s="22">
        <v>130.06299999999999</v>
      </c>
      <c r="AA59" s="22">
        <v>-1.9479400000000001E-2</v>
      </c>
      <c r="AB59" s="22">
        <v>49</v>
      </c>
      <c r="AC59" s="22">
        <v>0.60269200000000001</v>
      </c>
      <c r="AD59">
        <f t="shared" si="4"/>
        <v>19.479400000000002</v>
      </c>
      <c r="AE59">
        <f t="shared" si="5"/>
        <v>11.752564840200002</v>
      </c>
      <c r="AF59" s="9"/>
      <c r="AG59" s="22">
        <v>0.14679</v>
      </c>
      <c r="AH59" s="22">
        <v>166.83799999999999</v>
      </c>
      <c r="AI59" s="22">
        <v>-2.2076399999999999E-2</v>
      </c>
      <c r="AJ59" s="22">
        <v>49</v>
      </c>
      <c r="AK59" s="22">
        <v>0.14627100000000001</v>
      </c>
      <c r="AL59">
        <f t="shared" si="6"/>
        <v>22.0764</v>
      </c>
      <c r="AM59">
        <f t="shared" si="7"/>
        <v>3.2405947560000001</v>
      </c>
      <c r="AP59" s="9"/>
      <c r="AQ59" s="22">
        <v>0.60333300000000001</v>
      </c>
      <c r="AR59" s="22">
        <v>199.86</v>
      </c>
      <c r="AS59" s="22">
        <v>-2.0577999999999999E-2</v>
      </c>
      <c r="AT59" s="22">
        <v>49</v>
      </c>
      <c r="AU59" s="22">
        <v>0.60250899999999996</v>
      </c>
      <c r="AV59">
        <f t="shared" si="8"/>
        <v>20.577999999999999</v>
      </c>
      <c r="AW59">
        <f t="shared" si="9"/>
        <v>12.415386474</v>
      </c>
      <c r="AX59" s="9"/>
      <c r="AY59" s="22">
        <v>0.14679</v>
      </c>
      <c r="AZ59" s="22">
        <v>269.65800000000002</v>
      </c>
      <c r="BA59" s="22">
        <v>-2.2091699999999999E-2</v>
      </c>
      <c r="BB59" s="22">
        <v>49</v>
      </c>
      <c r="BC59" s="22">
        <v>0.14602699999999999</v>
      </c>
      <c r="BD59">
        <f t="shared" si="10"/>
        <v>22.091699999999999</v>
      </c>
      <c r="BE59">
        <f t="shared" si="11"/>
        <v>3.2428406430000001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0.59829699999999997</v>
      </c>
      <c r="H60" s="22">
        <v>28.4497</v>
      </c>
      <c r="I60" s="22">
        <v>-2.05994E-2</v>
      </c>
      <c r="J60" s="22">
        <v>50</v>
      </c>
      <c r="K60" s="22">
        <v>0.59805299999999995</v>
      </c>
      <c r="L60">
        <f t="shared" si="0"/>
        <v>20.599399999999999</v>
      </c>
      <c r="M60">
        <f t="shared" si="1"/>
        <v>12.3245592218</v>
      </c>
      <c r="N60" s="9"/>
      <c r="O60" s="22">
        <v>0.15182499999999999</v>
      </c>
      <c r="P60" s="22">
        <v>76.593400000000003</v>
      </c>
      <c r="Q60" s="22">
        <v>-2.2030600000000001E-2</v>
      </c>
      <c r="R60" s="22">
        <v>50</v>
      </c>
      <c r="S60" s="22">
        <v>0.15118400000000001</v>
      </c>
      <c r="T60">
        <f t="shared" si="2"/>
        <v>22.0306</v>
      </c>
      <c r="U60">
        <f t="shared" si="3"/>
        <v>3.3447958449999997</v>
      </c>
      <c r="X60" s="9"/>
      <c r="Y60" s="22">
        <v>0.59829699999999997</v>
      </c>
      <c r="Z60" s="22">
        <v>130.16300000000001</v>
      </c>
      <c r="AA60" s="22">
        <v>-1.9574000000000001E-2</v>
      </c>
      <c r="AB60" s="22">
        <v>50</v>
      </c>
      <c r="AC60" s="22">
        <v>0.59768699999999997</v>
      </c>
      <c r="AD60">
        <f t="shared" si="4"/>
        <v>19.574000000000002</v>
      </c>
      <c r="AE60">
        <f t="shared" si="5"/>
        <v>11.711065478</v>
      </c>
      <c r="AF60" s="9"/>
      <c r="AG60" s="22">
        <v>0.15182499999999999</v>
      </c>
      <c r="AH60" s="22">
        <v>166.93899999999999</v>
      </c>
      <c r="AI60" s="22">
        <v>-2.2082500000000001E-2</v>
      </c>
      <c r="AJ60" s="22">
        <v>50</v>
      </c>
      <c r="AK60" s="22">
        <v>0.15096999999999999</v>
      </c>
      <c r="AL60">
        <f t="shared" si="6"/>
        <v>22.082500000000003</v>
      </c>
      <c r="AM60">
        <f t="shared" si="7"/>
        <v>3.3526755625</v>
      </c>
      <c r="AP60" s="9"/>
      <c r="AQ60" s="22">
        <v>0.59829699999999997</v>
      </c>
      <c r="AR60" s="22">
        <v>199.96100000000001</v>
      </c>
      <c r="AS60" s="22">
        <v>-2.0623800000000001E-2</v>
      </c>
      <c r="AT60" s="22">
        <v>50</v>
      </c>
      <c r="AU60" s="22">
        <v>0.59762599999999999</v>
      </c>
      <c r="AV60">
        <f t="shared" si="8"/>
        <v>20.623800000000003</v>
      </c>
      <c r="AW60">
        <f t="shared" si="9"/>
        <v>12.3391576686</v>
      </c>
      <c r="AX60" s="9"/>
      <c r="AY60" s="22">
        <v>0.15182499999999999</v>
      </c>
      <c r="AZ60" s="22">
        <v>269.75799999999998</v>
      </c>
      <c r="BA60" s="22">
        <v>-2.2070300000000001E-2</v>
      </c>
      <c r="BB60" s="22">
        <v>50</v>
      </c>
      <c r="BC60" s="22">
        <v>0.15151999999999999</v>
      </c>
      <c r="BD60">
        <f t="shared" si="10"/>
        <v>22.0703</v>
      </c>
      <c r="BE60">
        <f t="shared" si="11"/>
        <v>3.3508232974999999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0.59326199999999996</v>
      </c>
      <c r="H61" s="22">
        <v>28.5504</v>
      </c>
      <c r="I61" s="22">
        <v>-2.0666500000000001E-2</v>
      </c>
      <c r="J61" s="22">
        <v>51</v>
      </c>
      <c r="K61" s="22">
        <v>0.59301800000000005</v>
      </c>
      <c r="L61">
        <f t="shared" si="0"/>
        <v>20.666499999999999</v>
      </c>
      <c r="M61">
        <f t="shared" si="1"/>
        <v>12.260649122999999</v>
      </c>
      <c r="N61" s="9"/>
      <c r="O61" s="22">
        <v>0.15686</v>
      </c>
      <c r="P61" s="22">
        <v>76.694100000000006</v>
      </c>
      <c r="Q61" s="22">
        <v>-2.2030600000000001E-2</v>
      </c>
      <c r="R61" s="22">
        <v>51</v>
      </c>
      <c r="S61" s="22">
        <v>0.155975</v>
      </c>
      <c r="T61">
        <f t="shared" si="2"/>
        <v>22.0306</v>
      </c>
      <c r="U61">
        <f t="shared" si="3"/>
        <v>3.4557199160000001</v>
      </c>
      <c r="X61" s="9"/>
      <c r="Y61" s="22">
        <v>0.59326199999999996</v>
      </c>
      <c r="Z61" s="22">
        <v>130.26400000000001</v>
      </c>
      <c r="AA61" s="22">
        <v>-1.9677699999999999E-2</v>
      </c>
      <c r="AB61" s="22">
        <v>51</v>
      </c>
      <c r="AC61" s="22">
        <v>0.59252899999999997</v>
      </c>
      <c r="AD61">
        <f t="shared" si="4"/>
        <v>19.677699999999998</v>
      </c>
      <c r="AE61">
        <f t="shared" si="5"/>
        <v>11.674031657399999</v>
      </c>
      <c r="AF61" s="9"/>
      <c r="AG61" s="22">
        <v>0.15686</v>
      </c>
      <c r="AH61" s="22">
        <v>167.03899999999999</v>
      </c>
      <c r="AI61" s="22">
        <v>-2.2067300000000001E-2</v>
      </c>
      <c r="AJ61" s="22">
        <v>51</v>
      </c>
      <c r="AK61" s="22">
        <v>0.156525</v>
      </c>
      <c r="AL61">
        <f t="shared" si="6"/>
        <v>22.067300000000003</v>
      </c>
      <c r="AM61">
        <f t="shared" si="7"/>
        <v>3.4614766780000004</v>
      </c>
      <c r="AP61" s="9"/>
      <c r="AQ61" s="22">
        <v>0.59326199999999996</v>
      </c>
      <c r="AR61" s="22">
        <v>200.06200000000001</v>
      </c>
      <c r="AS61" s="22">
        <v>-2.0690900000000002E-2</v>
      </c>
      <c r="AT61" s="22">
        <v>51</v>
      </c>
      <c r="AU61" s="22">
        <v>0.592499</v>
      </c>
      <c r="AV61">
        <f t="shared" si="8"/>
        <v>20.690900000000003</v>
      </c>
      <c r="AW61">
        <f t="shared" si="9"/>
        <v>12.275124715800001</v>
      </c>
      <c r="AX61" s="9"/>
      <c r="AY61" s="22">
        <v>0.15686</v>
      </c>
      <c r="AZ61" s="22">
        <v>269.85899999999998</v>
      </c>
      <c r="BA61" s="22">
        <v>-2.2048999999999999E-2</v>
      </c>
      <c r="BB61" s="22">
        <v>51</v>
      </c>
      <c r="BC61" s="22">
        <v>0.15634200000000001</v>
      </c>
      <c r="BD61">
        <f t="shared" si="10"/>
        <v>22.048999999999999</v>
      </c>
      <c r="BE61">
        <f t="shared" si="11"/>
        <v>3.4586061400000001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0.58822600000000003</v>
      </c>
      <c r="H62" s="22">
        <v>28.6511</v>
      </c>
      <c r="I62" s="22">
        <v>-2.0703099999999999E-2</v>
      </c>
      <c r="J62" s="22">
        <v>52</v>
      </c>
      <c r="K62" s="22">
        <v>0.58755500000000005</v>
      </c>
      <c r="L62">
        <f t="shared" si="0"/>
        <v>20.703099999999999</v>
      </c>
      <c r="M62">
        <f t="shared" si="1"/>
        <v>12.178101700599999</v>
      </c>
      <c r="N62" s="9"/>
      <c r="O62" s="22">
        <v>0.16189600000000001</v>
      </c>
      <c r="P62" s="22">
        <v>76.794799999999995</v>
      </c>
      <c r="Q62" s="22">
        <v>-2.2036699999999999E-2</v>
      </c>
      <c r="R62" s="22">
        <v>52</v>
      </c>
      <c r="S62" s="22">
        <v>0.16067500000000001</v>
      </c>
      <c r="T62">
        <f t="shared" si="2"/>
        <v>22.0367</v>
      </c>
      <c r="U62">
        <f t="shared" si="3"/>
        <v>3.5676535832000003</v>
      </c>
      <c r="X62" s="9"/>
      <c r="Y62" s="22">
        <v>0.58822600000000003</v>
      </c>
      <c r="Z62" s="22">
        <v>130.36500000000001</v>
      </c>
      <c r="AA62" s="22">
        <v>-1.9751000000000001E-2</v>
      </c>
      <c r="AB62" s="22">
        <v>52</v>
      </c>
      <c r="AC62" s="22">
        <v>0.58755500000000005</v>
      </c>
      <c r="AD62">
        <f t="shared" si="4"/>
        <v>19.751000000000001</v>
      </c>
      <c r="AE62">
        <f t="shared" si="5"/>
        <v>11.618051726000001</v>
      </c>
      <c r="AF62" s="9"/>
      <c r="AG62" s="22">
        <v>0.16189600000000001</v>
      </c>
      <c r="AH62" s="22">
        <v>167.14</v>
      </c>
      <c r="AI62" s="22">
        <v>-2.20612E-2</v>
      </c>
      <c r="AJ62" s="22">
        <v>52</v>
      </c>
      <c r="AK62" s="22">
        <v>0.162079</v>
      </c>
      <c r="AL62">
        <f t="shared" si="6"/>
        <v>22.061199999999999</v>
      </c>
      <c r="AM62">
        <f t="shared" si="7"/>
        <v>3.5716200352</v>
      </c>
      <c r="AP62" s="9"/>
      <c r="AQ62" s="22">
        <v>0.58822600000000003</v>
      </c>
      <c r="AR62" s="22">
        <v>200.16300000000001</v>
      </c>
      <c r="AS62" s="22">
        <v>-2.0727499999999999E-2</v>
      </c>
      <c r="AT62" s="22">
        <v>52</v>
      </c>
      <c r="AU62" s="22">
        <v>0.587677</v>
      </c>
      <c r="AV62">
        <f t="shared" si="8"/>
        <v>20.727499999999999</v>
      </c>
      <c r="AW62">
        <f t="shared" si="9"/>
        <v>12.192454415</v>
      </c>
      <c r="AX62" s="9"/>
      <c r="AY62" s="22">
        <v>0.16189600000000001</v>
      </c>
      <c r="AZ62" s="22">
        <v>269.95999999999998</v>
      </c>
      <c r="BA62" s="22">
        <v>-2.2042800000000001E-2</v>
      </c>
      <c r="BB62" s="22">
        <v>52</v>
      </c>
      <c r="BC62" s="22">
        <v>0.16156000000000001</v>
      </c>
      <c r="BD62">
        <f t="shared" si="10"/>
        <v>22.0428</v>
      </c>
      <c r="BE62">
        <f t="shared" si="11"/>
        <v>3.5686411488000003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0.58319100000000001</v>
      </c>
      <c r="H63" s="22">
        <v>28.751799999999999</v>
      </c>
      <c r="I63" s="22">
        <v>-2.0745799999999998E-2</v>
      </c>
      <c r="J63" s="22">
        <v>53</v>
      </c>
      <c r="K63" s="22">
        <v>0.58227499999999999</v>
      </c>
      <c r="L63">
        <f t="shared" si="0"/>
        <v>20.745799999999999</v>
      </c>
      <c r="M63">
        <f t="shared" si="1"/>
        <v>12.098763847799999</v>
      </c>
      <c r="N63" s="9"/>
      <c r="O63" s="22">
        <v>0.166931</v>
      </c>
      <c r="P63" s="22">
        <v>76.895499999999998</v>
      </c>
      <c r="Q63" s="22">
        <v>-2.20184E-2</v>
      </c>
      <c r="R63" s="22">
        <v>53</v>
      </c>
      <c r="S63" s="22">
        <v>0.166321</v>
      </c>
      <c r="T63">
        <f t="shared" si="2"/>
        <v>22.0184</v>
      </c>
      <c r="U63">
        <f t="shared" si="3"/>
        <v>3.6755535303999998</v>
      </c>
      <c r="X63" s="9"/>
      <c r="Y63" s="22">
        <v>0.58319100000000001</v>
      </c>
      <c r="Z63" s="22">
        <v>130.465</v>
      </c>
      <c r="AA63" s="22">
        <v>-1.9827299999999999E-2</v>
      </c>
      <c r="AB63" s="22">
        <v>53</v>
      </c>
      <c r="AC63" s="22">
        <v>0.58252000000000004</v>
      </c>
      <c r="AD63">
        <f t="shared" si="4"/>
        <v>19.827299999999997</v>
      </c>
      <c r="AE63">
        <f t="shared" si="5"/>
        <v>11.563102914299998</v>
      </c>
      <c r="AF63" s="9"/>
      <c r="AG63" s="22">
        <v>0.166931</v>
      </c>
      <c r="AH63" s="22">
        <v>167.24100000000001</v>
      </c>
      <c r="AI63" s="22">
        <v>-2.2055100000000001E-2</v>
      </c>
      <c r="AJ63" s="22">
        <v>53</v>
      </c>
      <c r="AK63" s="22">
        <v>0.166107</v>
      </c>
      <c r="AL63">
        <f t="shared" si="6"/>
        <v>22.055099999999999</v>
      </c>
      <c r="AM63">
        <f t="shared" si="7"/>
        <v>3.6816798980999996</v>
      </c>
      <c r="AP63" s="9"/>
      <c r="AQ63" s="22">
        <v>0.58319100000000001</v>
      </c>
      <c r="AR63" s="22">
        <v>200.26300000000001</v>
      </c>
      <c r="AS63" s="22">
        <v>-2.0761100000000001E-2</v>
      </c>
      <c r="AT63" s="22">
        <v>53</v>
      </c>
      <c r="AU63" s="22">
        <v>0.58230599999999999</v>
      </c>
      <c r="AV63">
        <f t="shared" si="8"/>
        <v>20.761100000000003</v>
      </c>
      <c r="AW63">
        <f t="shared" si="9"/>
        <v>12.107686670100001</v>
      </c>
      <c r="AX63" s="9"/>
      <c r="AY63" s="22">
        <v>0.166931</v>
      </c>
      <c r="AZ63" s="22">
        <v>270.06</v>
      </c>
      <c r="BA63" s="22">
        <v>-2.2027600000000001E-2</v>
      </c>
      <c r="BB63" s="22">
        <v>53</v>
      </c>
      <c r="BC63" s="22">
        <v>0.16613800000000001</v>
      </c>
      <c r="BD63">
        <f t="shared" si="10"/>
        <v>22.0276</v>
      </c>
      <c r="BE63">
        <f t="shared" si="11"/>
        <v>3.6770892955999996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0.578156</v>
      </c>
      <c r="H64" s="22">
        <v>28.852499999999999</v>
      </c>
      <c r="I64" s="22">
        <v>-2.0813000000000002E-2</v>
      </c>
      <c r="J64" s="22">
        <v>54</v>
      </c>
      <c r="K64" s="22">
        <v>0.57745400000000002</v>
      </c>
      <c r="L64">
        <f t="shared" si="0"/>
        <v>20.813000000000002</v>
      </c>
      <c r="M64">
        <f t="shared" si="1"/>
        <v>12.033160828000002</v>
      </c>
      <c r="N64" s="9"/>
      <c r="O64" s="22">
        <v>0.17196700000000001</v>
      </c>
      <c r="P64" s="22">
        <v>76.996300000000005</v>
      </c>
      <c r="Q64" s="22">
        <v>-2.2021499999999999E-2</v>
      </c>
      <c r="R64" s="22">
        <v>54</v>
      </c>
      <c r="S64" s="22">
        <v>0.171295</v>
      </c>
      <c r="T64">
        <f t="shared" si="2"/>
        <v>22.0215</v>
      </c>
      <c r="U64">
        <f t="shared" si="3"/>
        <v>3.7869712904999999</v>
      </c>
      <c r="X64" s="9"/>
      <c r="Y64" s="22">
        <v>0.578156</v>
      </c>
      <c r="Z64" s="22">
        <v>130.566</v>
      </c>
      <c r="AA64" s="22">
        <v>-1.9921899999999999E-2</v>
      </c>
      <c r="AB64" s="22">
        <v>54</v>
      </c>
      <c r="AC64" s="22">
        <v>0.57714799999999999</v>
      </c>
      <c r="AD64">
        <f t="shared" si="4"/>
        <v>19.921900000000001</v>
      </c>
      <c r="AE64">
        <f t="shared" si="5"/>
        <v>11.517966016400001</v>
      </c>
      <c r="AF64" s="9"/>
      <c r="AG64" s="22">
        <v>0.17196700000000001</v>
      </c>
      <c r="AH64" s="22">
        <v>167.34200000000001</v>
      </c>
      <c r="AI64" s="22">
        <v>-2.2051999999999999E-2</v>
      </c>
      <c r="AJ64" s="22">
        <v>54</v>
      </c>
      <c r="AK64" s="22">
        <v>0.17117299999999999</v>
      </c>
      <c r="AL64">
        <f t="shared" si="6"/>
        <v>22.052</v>
      </c>
      <c r="AM64">
        <f t="shared" si="7"/>
        <v>3.7922162840000002</v>
      </c>
      <c r="AP64" s="9"/>
      <c r="AQ64" s="22">
        <v>0.578156</v>
      </c>
      <c r="AR64" s="22">
        <v>200.364</v>
      </c>
      <c r="AS64" s="22">
        <v>-2.0803800000000001E-2</v>
      </c>
      <c r="AT64" s="22">
        <v>54</v>
      </c>
      <c r="AU64" s="22">
        <v>0.57739300000000005</v>
      </c>
      <c r="AV64">
        <f t="shared" si="8"/>
        <v>20.803800000000003</v>
      </c>
      <c r="AW64">
        <f t="shared" si="9"/>
        <v>12.027841792800002</v>
      </c>
      <c r="AX64" s="9"/>
      <c r="AY64" s="22">
        <v>0.17196700000000001</v>
      </c>
      <c r="AZ64" s="22">
        <v>270.161</v>
      </c>
      <c r="BA64" s="22">
        <v>-2.2012299999999999E-2</v>
      </c>
      <c r="BB64" s="22">
        <v>54</v>
      </c>
      <c r="BC64" s="22">
        <v>0.171234</v>
      </c>
      <c r="BD64">
        <f t="shared" si="10"/>
        <v>22.0123</v>
      </c>
      <c r="BE64">
        <f t="shared" si="11"/>
        <v>3.7853891941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0.57311999999999996</v>
      </c>
      <c r="H65" s="22">
        <v>28.953199999999999</v>
      </c>
      <c r="I65" s="22">
        <v>-2.0831300000000001E-2</v>
      </c>
      <c r="J65" s="22">
        <v>55</v>
      </c>
      <c r="K65" s="22">
        <v>0.57241799999999998</v>
      </c>
      <c r="L65">
        <f t="shared" si="0"/>
        <v>20.831299999999999</v>
      </c>
      <c r="M65">
        <f t="shared" si="1"/>
        <v>11.938834655999999</v>
      </c>
      <c r="N65" s="9"/>
      <c r="O65" s="22">
        <v>0.17700199999999999</v>
      </c>
      <c r="P65" s="22">
        <v>77.096999999999994</v>
      </c>
      <c r="Q65" s="22">
        <v>-2.2012299999999999E-2</v>
      </c>
      <c r="R65" s="22">
        <v>55</v>
      </c>
      <c r="S65" s="22">
        <v>0.17660500000000001</v>
      </c>
      <c r="T65">
        <f t="shared" si="2"/>
        <v>22.0123</v>
      </c>
      <c r="U65">
        <f t="shared" si="3"/>
        <v>3.8962211245999998</v>
      </c>
      <c r="X65" s="9"/>
      <c r="Y65" s="22">
        <v>0.57311999999999996</v>
      </c>
      <c r="Z65" s="22">
        <v>130.667</v>
      </c>
      <c r="AA65" s="22">
        <v>-2.0019499999999999E-2</v>
      </c>
      <c r="AB65" s="22">
        <v>55</v>
      </c>
      <c r="AC65" s="22">
        <v>0.57232700000000003</v>
      </c>
      <c r="AD65">
        <f t="shared" si="4"/>
        <v>20.019500000000001</v>
      </c>
      <c r="AE65">
        <f t="shared" si="5"/>
        <v>11.473575840000001</v>
      </c>
      <c r="AF65" s="9"/>
      <c r="AG65" s="22">
        <v>0.17700199999999999</v>
      </c>
      <c r="AH65" s="22">
        <v>167.44200000000001</v>
      </c>
      <c r="AI65" s="22">
        <v>-2.2039799999999998E-2</v>
      </c>
      <c r="AJ65" s="22">
        <v>55</v>
      </c>
      <c r="AK65" s="22">
        <v>0.17627000000000001</v>
      </c>
      <c r="AL65">
        <f t="shared" si="6"/>
        <v>22.0398</v>
      </c>
      <c r="AM65">
        <f t="shared" si="7"/>
        <v>3.9010886795999999</v>
      </c>
      <c r="AP65" s="9"/>
      <c r="AQ65" s="22">
        <v>0.57311999999999996</v>
      </c>
      <c r="AR65" s="22">
        <v>200.465</v>
      </c>
      <c r="AS65" s="22">
        <v>-2.0852699999999998E-2</v>
      </c>
      <c r="AT65" s="22">
        <v>55</v>
      </c>
      <c r="AU65" s="22">
        <v>0.57238800000000001</v>
      </c>
      <c r="AV65">
        <f t="shared" si="8"/>
        <v>20.852699999999999</v>
      </c>
      <c r="AW65">
        <f t="shared" si="9"/>
        <v>11.951099423999999</v>
      </c>
      <c r="AX65" s="9"/>
      <c r="AY65" s="22">
        <v>0.17700199999999999</v>
      </c>
      <c r="AZ65" s="22">
        <v>270.262</v>
      </c>
      <c r="BA65" s="22">
        <v>-2.2015400000000001E-2</v>
      </c>
      <c r="BB65" s="22">
        <v>55</v>
      </c>
      <c r="BC65" s="22">
        <v>0.17633099999999999</v>
      </c>
      <c r="BD65">
        <f t="shared" si="10"/>
        <v>22.0154</v>
      </c>
      <c r="BE65">
        <f t="shared" si="11"/>
        <v>3.8967698307999998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0.56808499999999995</v>
      </c>
      <c r="H66" s="22">
        <v>29.053899999999999</v>
      </c>
      <c r="I66" s="22">
        <v>-2.0895400000000001E-2</v>
      </c>
      <c r="J66" s="22">
        <v>56</v>
      </c>
      <c r="K66" s="22">
        <v>0.56729099999999999</v>
      </c>
      <c r="L66">
        <f t="shared" si="0"/>
        <v>20.895400000000002</v>
      </c>
      <c r="M66">
        <f t="shared" si="1"/>
        <v>11.870363309</v>
      </c>
      <c r="N66" s="9"/>
      <c r="O66" s="22">
        <v>0.182037</v>
      </c>
      <c r="P66" s="22">
        <v>77.197699999999998</v>
      </c>
      <c r="Q66" s="22">
        <v>-2.2009299999999999E-2</v>
      </c>
      <c r="R66" s="22">
        <v>56</v>
      </c>
      <c r="S66" s="22">
        <v>0.18118300000000001</v>
      </c>
      <c r="T66">
        <f t="shared" si="2"/>
        <v>22.0093</v>
      </c>
      <c r="U66">
        <f t="shared" si="3"/>
        <v>4.0065069440999999</v>
      </c>
      <c r="X66" s="9"/>
      <c r="Y66" s="22">
        <v>0.56808499999999995</v>
      </c>
      <c r="Z66" s="22">
        <v>130.767</v>
      </c>
      <c r="AA66" s="22">
        <v>-2.0141599999999999E-2</v>
      </c>
      <c r="AB66" s="22">
        <v>56</v>
      </c>
      <c r="AC66" s="22">
        <v>0.56735199999999997</v>
      </c>
      <c r="AD66">
        <f t="shared" si="4"/>
        <v>20.1416</v>
      </c>
      <c r="AE66">
        <f t="shared" si="5"/>
        <v>11.442140836</v>
      </c>
      <c r="AF66" s="9"/>
      <c r="AG66" s="22">
        <v>0.182037</v>
      </c>
      <c r="AH66" s="22">
        <v>167.54300000000001</v>
      </c>
      <c r="AI66" s="22">
        <v>-2.2030600000000001E-2</v>
      </c>
      <c r="AJ66" s="22">
        <v>56</v>
      </c>
      <c r="AK66" s="22">
        <v>0.181396</v>
      </c>
      <c r="AL66">
        <f t="shared" si="6"/>
        <v>22.0306</v>
      </c>
      <c r="AM66">
        <f t="shared" si="7"/>
        <v>4.0103843322000001</v>
      </c>
      <c r="AP66" s="9"/>
      <c r="AQ66" s="22">
        <v>0.56808499999999995</v>
      </c>
      <c r="AR66" s="22">
        <v>200.565</v>
      </c>
      <c r="AS66" s="22">
        <v>-2.0892299999999999E-2</v>
      </c>
      <c r="AT66" s="22">
        <v>56</v>
      </c>
      <c r="AU66" s="22">
        <v>0.56729099999999999</v>
      </c>
      <c r="AV66">
        <f t="shared" si="8"/>
        <v>20.892299999999999</v>
      </c>
      <c r="AW66">
        <f t="shared" si="9"/>
        <v>11.868602245499998</v>
      </c>
      <c r="AX66" s="9"/>
      <c r="AY66" s="22">
        <v>0.182037</v>
      </c>
      <c r="AZ66" s="22">
        <v>270.363</v>
      </c>
      <c r="BA66" s="22">
        <v>-2.2015400000000001E-2</v>
      </c>
      <c r="BB66" s="22">
        <v>56</v>
      </c>
      <c r="BC66" s="22">
        <v>0.18130499999999999</v>
      </c>
      <c r="BD66">
        <f t="shared" si="10"/>
        <v>22.0154</v>
      </c>
      <c r="BE66">
        <f t="shared" si="11"/>
        <v>4.0076173698000002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0.56304900000000002</v>
      </c>
      <c r="H67" s="22">
        <v>29.154699999999998</v>
      </c>
      <c r="I67" s="22">
        <v>-2.0929E-2</v>
      </c>
      <c r="J67" s="22">
        <v>57</v>
      </c>
      <c r="K67" s="22">
        <v>0.562531</v>
      </c>
      <c r="L67">
        <f t="shared" si="0"/>
        <v>20.928999999999998</v>
      </c>
      <c r="M67">
        <f t="shared" si="1"/>
        <v>11.784052521</v>
      </c>
      <c r="N67" s="9"/>
      <c r="O67" s="22">
        <v>0.18707299999999999</v>
      </c>
      <c r="P67" s="22">
        <v>77.298400000000001</v>
      </c>
      <c r="Q67" s="22">
        <v>-2.1991E-2</v>
      </c>
      <c r="R67" s="22">
        <v>57</v>
      </c>
      <c r="S67" s="22">
        <v>0.18615699999999999</v>
      </c>
      <c r="T67">
        <f t="shared" si="2"/>
        <v>21.991</v>
      </c>
      <c r="U67">
        <f t="shared" si="3"/>
        <v>4.1139223429999996</v>
      </c>
      <c r="X67" s="9"/>
      <c r="Y67" s="22">
        <v>0.56304900000000002</v>
      </c>
      <c r="Z67" s="22">
        <v>130.86799999999999</v>
      </c>
      <c r="AA67" s="22">
        <v>-2.0196499999999999E-2</v>
      </c>
      <c r="AB67" s="22">
        <v>57</v>
      </c>
      <c r="AC67" s="22">
        <v>0.56228599999999995</v>
      </c>
      <c r="AD67">
        <f t="shared" si="4"/>
        <v>20.1965</v>
      </c>
      <c r="AE67">
        <f t="shared" si="5"/>
        <v>11.371619128500001</v>
      </c>
      <c r="AF67" s="9"/>
      <c r="AG67" s="22">
        <v>0.18707299999999999</v>
      </c>
      <c r="AH67" s="22">
        <v>167.64400000000001</v>
      </c>
      <c r="AI67" s="22">
        <v>-2.2030600000000001E-2</v>
      </c>
      <c r="AJ67" s="22">
        <v>57</v>
      </c>
      <c r="AK67" s="22">
        <v>0.18646199999999999</v>
      </c>
      <c r="AL67">
        <f t="shared" si="6"/>
        <v>22.0306</v>
      </c>
      <c r="AM67">
        <f t="shared" si="7"/>
        <v>4.1213304337999999</v>
      </c>
      <c r="AP67" s="9"/>
      <c r="AQ67" s="22">
        <v>0.56304900000000002</v>
      </c>
      <c r="AR67" s="22">
        <v>200.666</v>
      </c>
      <c r="AS67" s="22">
        <v>-2.0931999999999999E-2</v>
      </c>
      <c r="AT67" s="22">
        <v>57</v>
      </c>
      <c r="AU67" s="22">
        <v>0.56204200000000004</v>
      </c>
      <c r="AV67">
        <f t="shared" si="8"/>
        <v>20.931999999999999</v>
      </c>
      <c r="AW67">
        <f t="shared" si="9"/>
        <v>11.785741668</v>
      </c>
      <c r="AX67" s="9"/>
      <c r="AY67" s="22">
        <v>0.18707299999999999</v>
      </c>
      <c r="AZ67" s="22">
        <v>270.46300000000002</v>
      </c>
      <c r="BA67" s="22">
        <v>-2.2009299999999999E-2</v>
      </c>
      <c r="BB67" s="22">
        <v>57</v>
      </c>
      <c r="BC67" s="22">
        <v>0.186584</v>
      </c>
      <c r="BD67">
        <f t="shared" si="10"/>
        <v>22.0093</v>
      </c>
      <c r="BE67">
        <f t="shared" si="11"/>
        <v>4.1173457788999999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0.55801400000000001</v>
      </c>
      <c r="H68" s="22">
        <v>29.255400000000002</v>
      </c>
      <c r="I68" s="22">
        <v>-2.0962499999999998E-2</v>
      </c>
      <c r="J68" s="22">
        <v>58</v>
      </c>
      <c r="K68" s="22">
        <v>0.55749499999999996</v>
      </c>
      <c r="L68">
        <f t="shared" si="0"/>
        <v>20.962499999999999</v>
      </c>
      <c r="M68">
        <f t="shared" si="1"/>
        <v>11.697368474999999</v>
      </c>
      <c r="N68" s="9"/>
      <c r="O68" s="22">
        <v>0.192108</v>
      </c>
      <c r="P68" s="22">
        <v>77.399100000000004</v>
      </c>
      <c r="Q68" s="22">
        <v>-2.1981799999999999E-2</v>
      </c>
      <c r="R68" s="22">
        <v>58</v>
      </c>
      <c r="S68" s="22">
        <v>0.191498</v>
      </c>
      <c r="T68">
        <f t="shared" si="2"/>
        <v>21.9818</v>
      </c>
      <c r="U68">
        <f t="shared" si="3"/>
        <v>4.2228796343999999</v>
      </c>
      <c r="X68" s="9"/>
      <c r="Y68" s="22">
        <v>0.55801400000000001</v>
      </c>
      <c r="Z68" s="22">
        <v>130.96899999999999</v>
      </c>
      <c r="AA68" s="22">
        <v>-2.0275899999999999E-2</v>
      </c>
      <c r="AB68" s="22">
        <v>58</v>
      </c>
      <c r="AC68" s="22">
        <v>0.55725100000000005</v>
      </c>
      <c r="AD68">
        <f t="shared" si="4"/>
        <v>20.2759</v>
      </c>
      <c r="AE68">
        <f t="shared" si="5"/>
        <v>11.314236062600001</v>
      </c>
      <c r="AF68" s="9"/>
      <c r="AG68" s="22">
        <v>0.192108</v>
      </c>
      <c r="AH68" s="22">
        <v>167.744</v>
      </c>
      <c r="AI68" s="22">
        <v>-2.2003200000000001E-2</v>
      </c>
      <c r="AJ68" s="22">
        <v>58</v>
      </c>
      <c r="AK68" s="22">
        <v>0.19140599999999999</v>
      </c>
      <c r="AL68">
        <f t="shared" si="6"/>
        <v>22.0032</v>
      </c>
      <c r="AM68">
        <f t="shared" si="7"/>
        <v>4.2269907456000002</v>
      </c>
      <c r="AP68" s="9"/>
      <c r="AQ68" s="22">
        <v>0.55801400000000001</v>
      </c>
      <c r="AR68" s="22">
        <v>200.767</v>
      </c>
      <c r="AS68" s="22">
        <v>-2.0986899999999999E-2</v>
      </c>
      <c r="AT68" s="22">
        <v>58</v>
      </c>
      <c r="AU68" s="22">
        <v>0.55715899999999996</v>
      </c>
      <c r="AV68">
        <f t="shared" si="8"/>
        <v>20.986899999999999</v>
      </c>
      <c r="AW68">
        <f t="shared" si="9"/>
        <v>11.710984016599999</v>
      </c>
      <c r="AX68" s="9"/>
      <c r="AY68" s="22">
        <v>0.192108</v>
      </c>
      <c r="AZ68" s="22">
        <v>270.56400000000002</v>
      </c>
      <c r="BA68" s="22">
        <v>-2.1997099999999999E-2</v>
      </c>
      <c r="BB68" s="22">
        <v>58</v>
      </c>
      <c r="BC68" s="22">
        <v>0.19125400000000001</v>
      </c>
      <c r="BD68">
        <f t="shared" si="10"/>
        <v>21.9971</v>
      </c>
      <c r="BE68">
        <f t="shared" si="11"/>
        <v>4.2258188868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0.552979</v>
      </c>
      <c r="H69" s="22">
        <v>29.356100000000001</v>
      </c>
      <c r="I69" s="22">
        <v>-2.0993000000000001E-2</v>
      </c>
      <c r="J69" s="22">
        <v>59</v>
      </c>
      <c r="K69" s="22">
        <v>0.55261199999999999</v>
      </c>
      <c r="L69">
        <f t="shared" si="0"/>
        <v>20.993000000000002</v>
      </c>
      <c r="M69">
        <f t="shared" si="1"/>
        <v>11.608688147000001</v>
      </c>
      <c r="N69" s="9"/>
      <c r="O69" s="22">
        <v>0.19714400000000001</v>
      </c>
      <c r="P69" s="22">
        <v>77.499799999999993</v>
      </c>
      <c r="Q69" s="22">
        <v>-2.1975700000000001E-2</v>
      </c>
      <c r="R69" s="22">
        <v>59</v>
      </c>
      <c r="S69" s="22">
        <v>0.19635</v>
      </c>
      <c r="T69">
        <f t="shared" si="2"/>
        <v>21.9757</v>
      </c>
      <c r="U69">
        <f t="shared" si="3"/>
        <v>4.3323774008000004</v>
      </c>
      <c r="X69" s="9"/>
      <c r="Y69" s="22">
        <v>0.552979</v>
      </c>
      <c r="Z69" s="22">
        <v>131.07</v>
      </c>
      <c r="AA69" s="22">
        <v>-2.0318599999999999E-2</v>
      </c>
      <c r="AB69" s="22">
        <v>59</v>
      </c>
      <c r="AC69" s="22">
        <v>0.55249000000000004</v>
      </c>
      <c r="AD69">
        <f t="shared" si="4"/>
        <v>20.3186</v>
      </c>
      <c r="AE69">
        <f t="shared" si="5"/>
        <v>11.2357591094</v>
      </c>
      <c r="AF69" s="9"/>
      <c r="AG69" s="22">
        <v>0.19714400000000001</v>
      </c>
      <c r="AH69" s="22">
        <v>167.845</v>
      </c>
      <c r="AI69" s="22">
        <v>-2.2003200000000001E-2</v>
      </c>
      <c r="AJ69" s="22">
        <v>59</v>
      </c>
      <c r="AK69" s="22">
        <v>0.19616700000000001</v>
      </c>
      <c r="AL69">
        <f t="shared" si="6"/>
        <v>22.0032</v>
      </c>
      <c r="AM69">
        <f t="shared" si="7"/>
        <v>4.3377988608000004</v>
      </c>
      <c r="AP69" s="9"/>
      <c r="AQ69" s="22">
        <v>0.552979</v>
      </c>
      <c r="AR69" s="22">
        <v>200.86799999999999</v>
      </c>
      <c r="AS69" s="22">
        <v>-2.1005200000000002E-2</v>
      </c>
      <c r="AT69" s="22">
        <v>59</v>
      </c>
      <c r="AU69" s="22">
        <v>0.55215499999999995</v>
      </c>
      <c r="AV69">
        <f t="shared" si="8"/>
        <v>21.005200000000002</v>
      </c>
      <c r="AW69">
        <f t="shared" si="9"/>
        <v>11.615434490800002</v>
      </c>
      <c r="AX69" s="9"/>
      <c r="AY69" s="22">
        <v>0.19714400000000001</v>
      </c>
      <c r="AZ69" s="22">
        <v>270.66500000000002</v>
      </c>
      <c r="BA69" s="22">
        <v>-2.1991E-2</v>
      </c>
      <c r="BB69" s="22">
        <v>59</v>
      </c>
      <c r="BC69" s="22">
        <v>0.19653300000000001</v>
      </c>
      <c r="BD69">
        <f t="shared" si="10"/>
        <v>21.991</v>
      </c>
      <c r="BE69">
        <f t="shared" si="11"/>
        <v>4.3353937040000003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0.54794299999999996</v>
      </c>
      <c r="H70" s="22">
        <v>29.456800000000001</v>
      </c>
      <c r="I70" s="22">
        <v>-2.1041899999999999E-2</v>
      </c>
      <c r="J70" s="22">
        <v>60</v>
      </c>
      <c r="K70" s="22">
        <v>0.546906</v>
      </c>
      <c r="L70">
        <f t="shared" si="0"/>
        <v>21.041899999999998</v>
      </c>
      <c r="M70">
        <f t="shared" si="1"/>
        <v>11.529761811699998</v>
      </c>
      <c r="N70" s="9"/>
      <c r="O70" s="22">
        <v>0.202179</v>
      </c>
      <c r="P70" s="22">
        <v>77.600499999999997</v>
      </c>
      <c r="Q70" s="22">
        <v>-2.1972700000000001E-2</v>
      </c>
      <c r="R70" s="22">
        <v>60</v>
      </c>
      <c r="S70" s="22">
        <v>0.20150799999999999</v>
      </c>
      <c r="T70">
        <f t="shared" si="2"/>
        <v>21.9727</v>
      </c>
      <c r="U70">
        <f t="shared" si="3"/>
        <v>4.4424185132999998</v>
      </c>
      <c r="X70" s="9"/>
      <c r="Y70" s="22">
        <v>0.54794299999999996</v>
      </c>
      <c r="Z70" s="22">
        <v>131.16999999999999</v>
      </c>
      <c r="AA70" s="22">
        <v>-2.0394900000000001E-2</v>
      </c>
      <c r="AB70" s="22">
        <v>60</v>
      </c>
      <c r="AC70" s="22">
        <v>0.54727199999999998</v>
      </c>
      <c r="AD70">
        <f t="shared" si="4"/>
        <v>20.3949</v>
      </c>
      <c r="AE70">
        <f t="shared" si="5"/>
        <v>11.175242690699999</v>
      </c>
      <c r="AF70" s="9"/>
      <c r="AG70" s="22">
        <v>0.202179</v>
      </c>
      <c r="AH70" s="22">
        <v>167.946</v>
      </c>
      <c r="AI70" s="22">
        <v>-2.1987900000000001E-2</v>
      </c>
      <c r="AJ70" s="22">
        <v>60</v>
      </c>
      <c r="AK70" s="22">
        <v>0.201569</v>
      </c>
      <c r="AL70">
        <f t="shared" si="6"/>
        <v>21.9879</v>
      </c>
      <c r="AM70">
        <f t="shared" si="7"/>
        <v>4.4454916340999997</v>
      </c>
      <c r="AP70" s="9"/>
      <c r="AQ70" s="22">
        <v>0.54794299999999996</v>
      </c>
      <c r="AR70" s="22">
        <v>200.96799999999999</v>
      </c>
      <c r="AS70" s="22">
        <v>-2.10358E-2</v>
      </c>
      <c r="AT70" s="22">
        <v>60</v>
      </c>
      <c r="AU70" s="22">
        <v>0.54715000000000003</v>
      </c>
      <c r="AV70">
        <f t="shared" si="8"/>
        <v>21.035800000000002</v>
      </c>
      <c r="AW70">
        <f t="shared" si="9"/>
        <v>11.5264193594</v>
      </c>
      <c r="AX70" s="9"/>
      <c r="AY70" s="22">
        <v>0.202179</v>
      </c>
      <c r="AZ70" s="22">
        <v>270.76499999999999</v>
      </c>
      <c r="BA70" s="22">
        <v>-2.1972700000000001E-2</v>
      </c>
      <c r="BB70" s="22">
        <v>60</v>
      </c>
      <c r="BC70" s="22">
        <v>0.20144699999999999</v>
      </c>
      <c r="BD70">
        <f t="shared" si="10"/>
        <v>21.9727</v>
      </c>
      <c r="BE70">
        <f t="shared" si="11"/>
        <v>4.4424185132999998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0.54290799999999995</v>
      </c>
      <c r="H71" s="22">
        <v>29.557500000000001</v>
      </c>
      <c r="I71" s="22">
        <v>-2.1075400000000001E-2</v>
      </c>
      <c r="J71" s="22">
        <v>61</v>
      </c>
      <c r="K71" s="22">
        <v>0.54190099999999997</v>
      </c>
      <c r="L71">
        <f t="shared" si="0"/>
        <v>21.075400000000002</v>
      </c>
      <c r="M71">
        <f t="shared" si="1"/>
        <v>11.4420032632</v>
      </c>
      <c r="N71" s="9"/>
      <c r="O71" s="22">
        <v>0.20721400000000001</v>
      </c>
      <c r="P71" s="22">
        <v>77.7012</v>
      </c>
      <c r="Q71" s="22">
        <v>-2.19513E-2</v>
      </c>
      <c r="R71" s="22">
        <v>61</v>
      </c>
      <c r="S71" s="22">
        <v>0.206207</v>
      </c>
      <c r="T71">
        <f t="shared" si="2"/>
        <v>21.9513</v>
      </c>
      <c r="U71">
        <f t="shared" si="3"/>
        <v>4.5486166782000002</v>
      </c>
      <c r="X71" s="9"/>
      <c r="Y71" s="22">
        <v>0.54290799999999995</v>
      </c>
      <c r="Z71" s="22">
        <v>131.27099999999999</v>
      </c>
      <c r="AA71" s="22">
        <v>-2.0462000000000001E-2</v>
      </c>
      <c r="AB71" s="22">
        <v>61</v>
      </c>
      <c r="AC71" s="22">
        <v>0.54214499999999999</v>
      </c>
      <c r="AD71">
        <f t="shared" si="4"/>
        <v>20.462</v>
      </c>
      <c r="AE71">
        <f t="shared" si="5"/>
        <v>11.108983495999999</v>
      </c>
      <c r="AF71" s="9"/>
      <c r="AG71" s="22">
        <v>0.20721400000000001</v>
      </c>
      <c r="AH71" s="22">
        <v>168.047</v>
      </c>
      <c r="AI71" s="22">
        <v>-2.1984900000000002E-2</v>
      </c>
      <c r="AJ71" s="22">
        <v>61</v>
      </c>
      <c r="AK71" s="22">
        <v>0.20657300000000001</v>
      </c>
      <c r="AL71">
        <f t="shared" si="6"/>
        <v>21.984900000000003</v>
      </c>
      <c r="AM71">
        <f t="shared" si="7"/>
        <v>4.5555790686000011</v>
      </c>
      <c r="AP71" s="9"/>
      <c r="AQ71" s="22">
        <v>0.54290799999999995</v>
      </c>
      <c r="AR71" s="22">
        <v>201.06899999999999</v>
      </c>
      <c r="AS71" s="22">
        <v>-2.10663E-2</v>
      </c>
      <c r="AT71" s="22">
        <v>61</v>
      </c>
      <c r="AU71" s="22">
        <v>0.54214499999999999</v>
      </c>
      <c r="AV71">
        <f t="shared" si="8"/>
        <v>21.066299999999998</v>
      </c>
      <c r="AW71">
        <f t="shared" si="9"/>
        <v>11.437062800399998</v>
      </c>
      <c r="AX71" s="9"/>
      <c r="AY71" s="22">
        <v>0.20721400000000001</v>
      </c>
      <c r="AZ71" s="22">
        <v>270.86599999999999</v>
      </c>
      <c r="BA71" s="22">
        <v>-2.1984900000000002E-2</v>
      </c>
      <c r="BB71" s="22">
        <v>61</v>
      </c>
      <c r="BC71" s="22">
        <v>0.20660400000000001</v>
      </c>
      <c r="BD71">
        <f t="shared" si="10"/>
        <v>21.984900000000003</v>
      </c>
      <c r="BE71">
        <f t="shared" si="11"/>
        <v>4.5555790686000011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0.53787200000000002</v>
      </c>
      <c r="H72" s="22">
        <v>29.658200000000001</v>
      </c>
      <c r="I72" s="22">
        <v>-2.1115100000000001E-2</v>
      </c>
      <c r="J72" s="22">
        <v>62</v>
      </c>
      <c r="K72" s="22">
        <v>0.53726200000000002</v>
      </c>
      <c r="L72">
        <f t="shared" si="0"/>
        <v>21.115100000000002</v>
      </c>
      <c r="M72">
        <f t="shared" si="1"/>
        <v>11.357221067200001</v>
      </c>
      <c r="N72" s="9"/>
      <c r="O72" s="22">
        <v>0.21224999999999999</v>
      </c>
      <c r="P72" s="22">
        <v>77.801900000000003</v>
      </c>
      <c r="Q72" s="22">
        <v>-2.1929899999999999E-2</v>
      </c>
      <c r="R72" s="22">
        <v>62</v>
      </c>
      <c r="S72" s="22">
        <v>0.21185300000000001</v>
      </c>
      <c r="T72">
        <f t="shared" si="2"/>
        <v>21.9299</v>
      </c>
      <c r="U72">
        <f t="shared" si="3"/>
        <v>4.6546212750000002</v>
      </c>
      <c r="X72" s="9"/>
      <c r="Y72" s="22">
        <v>0.53787200000000002</v>
      </c>
      <c r="Z72" s="22">
        <v>131.37200000000001</v>
      </c>
      <c r="AA72" s="22">
        <v>-2.052E-2</v>
      </c>
      <c r="AB72" s="22">
        <v>62</v>
      </c>
      <c r="AC72" s="22">
        <v>0.53720100000000004</v>
      </c>
      <c r="AD72">
        <f t="shared" si="4"/>
        <v>20.52</v>
      </c>
      <c r="AE72">
        <f t="shared" si="5"/>
        <v>11.03713344</v>
      </c>
      <c r="AF72" s="9"/>
      <c r="AG72" s="22">
        <v>0.21224999999999999</v>
      </c>
      <c r="AH72" s="22">
        <v>168.14699999999999</v>
      </c>
      <c r="AI72" s="22">
        <v>-2.1984900000000002E-2</v>
      </c>
      <c r="AJ72" s="22">
        <v>62</v>
      </c>
      <c r="AK72" s="22">
        <v>0.211395</v>
      </c>
      <c r="AL72">
        <f t="shared" si="6"/>
        <v>21.984900000000003</v>
      </c>
      <c r="AM72">
        <f t="shared" si="7"/>
        <v>4.6662950250000002</v>
      </c>
      <c r="AP72" s="9"/>
      <c r="AQ72" s="22">
        <v>0.53787200000000002</v>
      </c>
      <c r="AR72" s="22">
        <v>201.17</v>
      </c>
      <c r="AS72" s="22">
        <v>-2.1096799999999999E-2</v>
      </c>
      <c r="AT72" s="22">
        <v>62</v>
      </c>
      <c r="AU72" s="22">
        <v>0.53710899999999995</v>
      </c>
      <c r="AV72">
        <f t="shared" si="8"/>
        <v>21.096799999999998</v>
      </c>
      <c r="AW72">
        <f t="shared" si="9"/>
        <v>11.3473780096</v>
      </c>
      <c r="AX72" s="9"/>
      <c r="AY72" s="22">
        <v>0.21224999999999999</v>
      </c>
      <c r="AZ72" s="22">
        <v>270.96699999999998</v>
      </c>
      <c r="BA72" s="22">
        <v>-2.1975700000000001E-2</v>
      </c>
      <c r="BB72" s="22">
        <v>62</v>
      </c>
      <c r="BC72" s="22">
        <v>0.21185300000000001</v>
      </c>
      <c r="BD72">
        <f t="shared" si="10"/>
        <v>21.9757</v>
      </c>
      <c r="BE72">
        <f t="shared" si="11"/>
        <v>4.6643423249999998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0.53283700000000001</v>
      </c>
      <c r="H73" s="22">
        <v>29.758900000000001</v>
      </c>
      <c r="I73" s="22">
        <v>-2.1157800000000001E-2</v>
      </c>
      <c r="J73" s="22">
        <v>63</v>
      </c>
      <c r="K73" s="22">
        <v>0.53201299999999996</v>
      </c>
      <c r="L73">
        <f t="shared" si="0"/>
        <v>21.157800000000002</v>
      </c>
      <c r="M73">
        <f t="shared" si="1"/>
        <v>11.2736586786</v>
      </c>
      <c r="N73" s="9"/>
      <c r="O73" s="22">
        <v>0.21728500000000001</v>
      </c>
      <c r="P73" s="22">
        <v>77.902600000000007</v>
      </c>
      <c r="Q73" s="22">
        <v>-2.19116E-2</v>
      </c>
      <c r="R73" s="22">
        <v>63</v>
      </c>
      <c r="S73" s="22">
        <v>0.216614</v>
      </c>
      <c r="T73">
        <f t="shared" si="2"/>
        <v>21.9116</v>
      </c>
      <c r="U73">
        <f t="shared" si="3"/>
        <v>4.7610620060000004</v>
      </c>
      <c r="X73" s="9"/>
      <c r="Y73" s="22">
        <v>0.53283700000000001</v>
      </c>
      <c r="Z73" s="22">
        <v>131.47200000000001</v>
      </c>
      <c r="AA73" s="22">
        <v>-2.0577999999999999E-2</v>
      </c>
      <c r="AB73" s="22">
        <v>63</v>
      </c>
      <c r="AC73" s="22">
        <v>0.53213500000000002</v>
      </c>
      <c r="AD73">
        <f t="shared" si="4"/>
        <v>20.577999999999999</v>
      </c>
      <c r="AE73">
        <f t="shared" si="5"/>
        <v>10.964719786</v>
      </c>
      <c r="AF73" s="9"/>
      <c r="AG73" s="22">
        <v>0.21728500000000001</v>
      </c>
      <c r="AH73" s="22">
        <v>168.24799999999999</v>
      </c>
      <c r="AI73" s="22">
        <v>-2.1975700000000001E-2</v>
      </c>
      <c r="AJ73" s="22">
        <v>63</v>
      </c>
      <c r="AK73" s="22">
        <v>0.216553</v>
      </c>
      <c r="AL73">
        <f t="shared" si="6"/>
        <v>21.9757</v>
      </c>
      <c r="AM73">
        <f t="shared" si="7"/>
        <v>4.7749899745000004</v>
      </c>
      <c r="AP73" s="9"/>
      <c r="AQ73" s="22">
        <v>0.53283700000000001</v>
      </c>
      <c r="AR73" s="22">
        <v>201.27</v>
      </c>
      <c r="AS73" s="22">
        <v>-2.1127300000000002E-2</v>
      </c>
      <c r="AT73" s="22">
        <v>63</v>
      </c>
      <c r="AU73" s="22">
        <v>0.53201299999999996</v>
      </c>
      <c r="AV73">
        <f t="shared" si="8"/>
        <v>21.127300000000002</v>
      </c>
      <c r="AW73">
        <f t="shared" si="9"/>
        <v>11.257407150100001</v>
      </c>
      <c r="AX73" s="9"/>
      <c r="AY73" s="22">
        <v>0.21728500000000001</v>
      </c>
      <c r="AZ73" s="22">
        <v>271.06799999999998</v>
      </c>
      <c r="BA73" s="22">
        <v>-2.19635E-2</v>
      </c>
      <c r="BB73" s="22">
        <v>63</v>
      </c>
      <c r="BC73" s="22">
        <v>0.216583</v>
      </c>
      <c r="BD73">
        <f t="shared" si="10"/>
        <v>21.9635</v>
      </c>
      <c r="BE73">
        <f t="shared" si="11"/>
        <v>4.7723390974999997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0.52780199999999999</v>
      </c>
      <c r="H74" s="22">
        <v>29.8596</v>
      </c>
      <c r="I74" s="22">
        <v>-2.11761E-2</v>
      </c>
      <c r="J74" s="22">
        <v>64</v>
      </c>
      <c r="K74" s="22">
        <v>0.52697799999999995</v>
      </c>
      <c r="L74">
        <f t="shared" si="0"/>
        <v>21.176099999999998</v>
      </c>
      <c r="M74">
        <f t="shared" si="1"/>
        <v>11.176787932199998</v>
      </c>
      <c r="N74" s="9"/>
      <c r="O74" s="22">
        <v>0.22232099999999999</v>
      </c>
      <c r="P74" s="22">
        <v>78.003299999999996</v>
      </c>
      <c r="Q74" s="22">
        <v>-2.1920800000000001E-2</v>
      </c>
      <c r="R74" s="22">
        <v>64</v>
      </c>
      <c r="S74" s="22">
        <v>0.222443</v>
      </c>
      <c r="T74">
        <f t="shared" si="2"/>
        <v>21.9208</v>
      </c>
      <c r="U74">
        <f t="shared" si="3"/>
        <v>4.8734541768000001</v>
      </c>
      <c r="X74" s="9"/>
      <c r="Y74" s="22">
        <v>0.52780199999999999</v>
      </c>
      <c r="Z74" s="22">
        <v>131.57300000000001</v>
      </c>
      <c r="AA74" s="22">
        <v>-2.06421E-2</v>
      </c>
      <c r="AB74" s="22">
        <v>64</v>
      </c>
      <c r="AC74" s="22">
        <v>0.52697799999999995</v>
      </c>
      <c r="AD74">
        <f t="shared" si="4"/>
        <v>20.642099999999999</v>
      </c>
      <c r="AE74">
        <f t="shared" si="5"/>
        <v>10.894941664199999</v>
      </c>
      <c r="AF74" s="9"/>
      <c r="AG74" s="22">
        <v>0.22232099999999999</v>
      </c>
      <c r="AH74" s="22">
        <v>168.34899999999999</v>
      </c>
      <c r="AI74" s="22">
        <v>-2.1969599999999999E-2</v>
      </c>
      <c r="AJ74" s="22">
        <v>64</v>
      </c>
      <c r="AK74" s="22">
        <v>0.221497</v>
      </c>
      <c r="AL74">
        <f t="shared" si="6"/>
        <v>21.9696</v>
      </c>
      <c r="AM74">
        <f t="shared" si="7"/>
        <v>4.8843034416000002</v>
      </c>
      <c r="AP74" s="9"/>
      <c r="AQ74" s="22">
        <v>0.52780199999999999</v>
      </c>
      <c r="AR74" s="22">
        <v>201.37100000000001</v>
      </c>
      <c r="AS74" s="22">
        <v>-2.1148699999999999E-2</v>
      </c>
      <c r="AT74" s="22">
        <v>64</v>
      </c>
      <c r="AU74" s="22">
        <v>0.52688599999999997</v>
      </c>
      <c r="AV74">
        <f t="shared" si="8"/>
        <v>21.148699999999998</v>
      </c>
      <c r="AW74">
        <f t="shared" si="9"/>
        <v>11.162326157399999</v>
      </c>
      <c r="AX74" s="9"/>
      <c r="AY74" s="22">
        <v>0.22232099999999999</v>
      </c>
      <c r="AZ74" s="22">
        <v>271.16800000000001</v>
      </c>
      <c r="BA74" s="22">
        <v>-2.1972700000000001E-2</v>
      </c>
      <c r="BB74" s="22">
        <v>64</v>
      </c>
      <c r="BC74" s="22">
        <v>0.221771</v>
      </c>
      <c r="BD74">
        <f t="shared" si="10"/>
        <v>21.9727</v>
      </c>
      <c r="BE74">
        <f t="shared" si="11"/>
        <v>4.8849926366999998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0.52276599999999995</v>
      </c>
      <c r="H75" s="22">
        <v>29.9603</v>
      </c>
      <c r="I75" s="22">
        <v>-2.1206699999999998E-2</v>
      </c>
      <c r="J75" s="22">
        <v>65</v>
      </c>
      <c r="K75" s="22">
        <v>0.522034</v>
      </c>
      <c r="L75">
        <f t="shared" si="0"/>
        <v>21.206699999999998</v>
      </c>
      <c r="M75">
        <f t="shared" si="1"/>
        <v>11.086141732199998</v>
      </c>
      <c r="N75" s="9"/>
      <c r="O75" s="22">
        <v>0.227356</v>
      </c>
      <c r="P75" s="22">
        <v>78.103999999999999</v>
      </c>
      <c r="Q75" s="22">
        <v>-2.19116E-2</v>
      </c>
      <c r="R75" s="22">
        <v>65</v>
      </c>
      <c r="S75" s="22">
        <v>0.22644</v>
      </c>
      <c r="T75">
        <f t="shared" si="2"/>
        <v>21.9116</v>
      </c>
      <c r="U75">
        <f t="shared" si="3"/>
        <v>4.9817337296000002</v>
      </c>
      <c r="X75" s="9"/>
      <c r="Y75" s="22">
        <v>0.52276599999999995</v>
      </c>
      <c r="Z75" s="22">
        <v>131.67400000000001</v>
      </c>
      <c r="AA75" s="22">
        <v>-2.0694000000000001E-2</v>
      </c>
      <c r="AB75" s="22">
        <v>65</v>
      </c>
      <c r="AC75" s="22">
        <v>0.522034</v>
      </c>
      <c r="AD75">
        <f t="shared" si="4"/>
        <v>20.693999999999999</v>
      </c>
      <c r="AE75">
        <f t="shared" si="5"/>
        <v>10.818119603999998</v>
      </c>
      <c r="AF75" s="9"/>
      <c r="AG75" s="22">
        <v>0.227356</v>
      </c>
      <c r="AH75" s="22">
        <v>168.44900000000001</v>
      </c>
      <c r="AI75" s="22">
        <v>-2.1960400000000001E-2</v>
      </c>
      <c r="AJ75" s="22">
        <v>65</v>
      </c>
      <c r="AK75" s="22">
        <v>0.226715</v>
      </c>
      <c r="AL75">
        <f t="shared" si="6"/>
        <v>21.9604</v>
      </c>
      <c r="AM75">
        <f t="shared" si="7"/>
        <v>4.9928287023999998</v>
      </c>
      <c r="AP75" s="9"/>
      <c r="AQ75" s="22">
        <v>0.52276599999999995</v>
      </c>
      <c r="AR75" s="22">
        <v>201.47200000000001</v>
      </c>
      <c r="AS75" s="22">
        <v>-2.11731E-2</v>
      </c>
      <c r="AT75" s="22">
        <v>65</v>
      </c>
      <c r="AU75" s="22">
        <v>0.52191200000000004</v>
      </c>
      <c r="AV75">
        <f t="shared" si="8"/>
        <v>21.173100000000002</v>
      </c>
      <c r="AW75">
        <f t="shared" si="9"/>
        <v>11.0685767946</v>
      </c>
      <c r="AX75" s="9"/>
      <c r="AY75" s="22">
        <v>0.227356</v>
      </c>
      <c r="AZ75" s="22">
        <v>271.26900000000001</v>
      </c>
      <c r="BA75" s="22">
        <v>-2.1960400000000001E-2</v>
      </c>
      <c r="BB75" s="22">
        <v>65</v>
      </c>
      <c r="BC75" s="22">
        <v>0.22659299999999999</v>
      </c>
      <c r="BD75">
        <f t="shared" si="10"/>
        <v>21.9604</v>
      </c>
      <c r="BE75">
        <f t="shared" si="11"/>
        <v>4.9928287023999998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0.51773100000000005</v>
      </c>
      <c r="H76" s="22">
        <v>30.061</v>
      </c>
      <c r="I76" s="22">
        <v>-2.1231099999999999E-2</v>
      </c>
      <c r="J76" s="22">
        <v>66</v>
      </c>
      <c r="K76" s="22">
        <v>0.51690700000000001</v>
      </c>
      <c r="L76">
        <f t="shared" ref="L76:L139" si="12">-I76/$F$2*1000</f>
        <v>21.231099999999998</v>
      </c>
      <c r="M76">
        <f t="shared" ref="M76:M139" si="13">L76*G76</f>
        <v>10.9919986341</v>
      </c>
      <c r="N76" s="9"/>
      <c r="O76" s="22">
        <v>0.23239099999999999</v>
      </c>
      <c r="P76" s="22">
        <v>78.204700000000003</v>
      </c>
      <c r="Q76" s="22">
        <v>-2.1865800000000001E-2</v>
      </c>
      <c r="R76" s="22">
        <v>66</v>
      </c>
      <c r="S76" s="22">
        <v>0.23172000000000001</v>
      </c>
      <c r="T76">
        <f t="shared" ref="T76:T139" si="14">-Q76/$F$2*1000</f>
        <v>21.8658</v>
      </c>
      <c r="U76">
        <f t="shared" ref="U76:U139" si="15">T76*O76</f>
        <v>5.0814151277999997</v>
      </c>
      <c r="X76" s="9"/>
      <c r="Y76" s="22">
        <v>0.51773100000000005</v>
      </c>
      <c r="Z76" s="22">
        <v>131.77500000000001</v>
      </c>
      <c r="AA76" s="22">
        <v>-2.0752E-2</v>
      </c>
      <c r="AB76" s="22">
        <v>66</v>
      </c>
      <c r="AC76" s="22">
        <v>0.51705900000000005</v>
      </c>
      <c r="AD76">
        <f t="shared" ref="AD76:AD139" si="16">-AA76/$F$2*1000</f>
        <v>20.751999999999999</v>
      </c>
      <c r="AE76">
        <f t="shared" ref="AE76:AE139" si="17">AD76*Y76</f>
        <v>10.743953712</v>
      </c>
      <c r="AF76" s="9"/>
      <c r="AG76" s="22">
        <v>0.23239099999999999</v>
      </c>
      <c r="AH76" s="22">
        <v>168.55</v>
      </c>
      <c r="AI76" s="22">
        <v>-2.1948200000000001E-2</v>
      </c>
      <c r="AJ76" s="22">
        <v>66</v>
      </c>
      <c r="AK76" s="22">
        <v>0.23184199999999999</v>
      </c>
      <c r="AL76">
        <f t="shared" ref="AL76:AL139" si="18">-AI76/$F$2*1000</f>
        <v>21.9482</v>
      </c>
      <c r="AM76">
        <f t="shared" ref="AM76:AM139" si="19">AL76*AG76</f>
        <v>5.1005641462</v>
      </c>
      <c r="AP76" s="9"/>
      <c r="AQ76" s="22">
        <v>0.51773100000000005</v>
      </c>
      <c r="AR76" s="22">
        <v>201.572</v>
      </c>
      <c r="AS76" s="22">
        <v>-2.12006E-2</v>
      </c>
      <c r="AT76" s="22">
        <v>66</v>
      </c>
      <c r="AU76" s="22">
        <v>0.51681500000000002</v>
      </c>
      <c r="AV76">
        <f t="shared" ref="AV76:AV139" si="20">-AS76/$F$2*1000</f>
        <v>21.200600000000001</v>
      </c>
      <c r="AW76">
        <f t="shared" ref="AW76:AW139" si="21">AV76*AQ76</f>
        <v>10.976207838600002</v>
      </c>
      <c r="AX76" s="9"/>
      <c r="AY76" s="22">
        <v>0.23239099999999999</v>
      </c>
      <c r="AZ76" s="22">
        <v>271.37</v>
      </c>
      <c r="BA76" s="22">
        <v>-2.1981799999999999E-2</v>
      </c>
      <c r="BB76" s="22">
        <v>66</v>
      </c>
      <c r="BC76" s="22">
        <v>0.231598</v>
      </c>
      <c r="BD76">
        <f t="shared" ref="BD76:BD139" si="22">-BA76/$F$2*1000</f>
        <v>21.9818</v>
      </c>
      <c r="BE76">
        <f t="shared" ref="BE76:BE139" si="23">BD76*AY76</f>
        <v>5.1083724837999993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0.51269500000000001</v>
      </c>
      <c r="H77" s="22">
        <v>30.1617</v>
      </c>
      <c r="I77" s="22">
        <v>-2.12585E-2</v>
      </c>
      <c r="J77" s="22">
        <v>67</v>
      </c>
      <c r="K77" s="22">
        <v>0.51184099999999999</v>
      </c>
      <c r="L77">
        <f t="shared" si="12"/>
        <v>21.258499999999998</v>
      </c>
      <c r="M77">
        <f t="shared" si="13"/>
        <v>10.899126657499998</v>
      </c>
      <c r="N77" s="9"/>
      <c r="O77" s="22">
        <v>0.237427</v>
      </c>
      <c r="P77" s="22">
        <v>78.305499999999995</v>
      </c>
      <c r="Q77" s="22">
        <v>-2.18689E-2</v>
      </c>
      <c r="R77" s="22">
        <v>67</v>
      </c>
      <c r="S77" s="22">
        <v>0.23693800000000001</v>
      </c>
      <c r="T77">
        <f t="shared" si="14"/>
        <v>21.8689</v>
      </c>
      <c r="U77">
        <f t="shared" si="15"/>
        <v>5.1922673203</v>
      </c>
      <c r="X77" s="9"/>
      <c r="Y77" s="22">
        <v>0.51269500000000001</v>
      </c>
      <c r="Z77" s="22">
        <v>131.875</v>
      </c>
      <c r="AA77" s="22">
        <v>-2.0809899999999999E-2</v>
      </c>
      <c r="AB77" s="22">
        <v>67</v>
      </c>
      <c r="AC77" s="22">
        <v>0.51187099999999996</v>
      </c>
      <c r="AD77">
        <f t="shared" si="16"/>
        <v>20.809899999999999</v>
      </c>
      <c r="AE77">
        <f t="shared" si="17"/>
        <v>10.6691316805</v>
      </c>
      <c r="AF77" s="9"/>
      <c r="AG77" s="22">
        <v>0.237427</v>
      </c>
      <c r="AH77" s="22">
        <v>168.65100000000001</v>
      </c>
      <c r="AI77" s="22">
        <v>-2.1948200000000001E-2</v>
      </c>
      <c r="AJ77" s="22">
        <v>67</v>
      </c>
      <c r="AK77" s="22">
        <v>0.23693800000000001</v>
      </c>
      <c r="AL77">
        <f t="shared" si="18"/>
        <v>21.9482</v>
      </c>
      <c r="AM77">
        <f t="shared" si="19"/>
        <v>5.2110952813999996</v>
      </c>
      <c r="AP77" s="9"/>
      <c r="AQ77" s="22">
        <v>0.51269500000000001</v>
      </c>
      <c r="AR77" s="22">
        <v>201.673</v>
      </c>
      <c r="AS77" s="22">
        <v>-2.1221899999999998E-2</v>
      </c>
      <c r="AT77" s="22">
        <v>67</v>
      </c>
      <c r="AU77" s="22">
        <v>0.51190199999999997</v>
      </c>
      <c r="AV77">
        <f t="shared" si="20"/>
        <v>21.221899999999998</v>
      </c>
      <c r="AW77">
        <f t="shared" si="21"/>
        <v>10.8803620205</v>
      </c>
      <c r="AX77" s="9"/>
      <c r="AY77" s="22">
        <v>0.237427</v>
      </c>
      <c r="AZ77" s="22">
        <v>271.47000000000003</v>
      </c>
      <c r="BA77" s="22">
        <v>-2.1966599999999999E-2</v>
      </c>
      <c r="BB77" s="22">
        <v>67</v>
      </c>
      <c r="BC77" s="22">
        <v>0.23693800000000001</v>
      </c>
      <c r="BD77">
        <f t="shared" si="22"/>
        <v>21.9666</v>
      </c>
      <c r="BE77">
        <f t="shared" si="23"/>
        <v>5.2154639382000001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0.50766</v>
      </c>
      <c r="H78" s="22">
        <v>30.2624</v>
      </c>
      <c r="I78" s="22">
        <v>-2.1285999999999999E-2</v>
      </c>
      <c r="J78" s="22">
        <v>68</v>
      </c>
      <c r="K78" s="22">
        <v>0.50714099999999995</v>
      </c>
      <c r="L78">
        <f t="shared" si="12"/>
        <v>21.285999999999998</v>
      </c>
      <c r="M78">
        <f t="shared" si="13"/>
        <v>10.80605076</v>
      </c>
      <c r="N78" s="9"/>
      <c r="O78" s="22">
        <v>0.24246200000000001</v>
      </c>
      <c r="P78" s="22">
        <v>78.406199999999998</v>
      </c>
      <c r="Q78" s="22">
        <v>-2.18689E-2</v>
      </c>
      <c r="R78" s="22">
        <v>68</v>
      </c>
      <c r="S78" s="22">
        <v>0.241699</v>
      </c>
      <c r="T78">
        <f t="shared" si="14"/>
        <v>21.8689</v>
      </c>
      <c r="U78">
        <f t="shared" si="15"/>
        <v>5.3023772318000004</v>
      </c>
      <c r="X78" s="9"/>
      <c r="Y78" s="22">
        <v>0.50766</v>
      </c>
      <c r="Z78" s="22">
        <v>131.976</v>
      </c>
      <c r="AA78" s="22">
        <v>-2.0855700000000001E-2</v>
      </c>
      <c r="AB78" s="22">
        <v>68</v>
      </c>
      <c r="AC78" s="22">
        <v>0.50707999999999998</v>
      </c>
      <c r="AD78">
        <f t="shared" si="16"/>
        <v>20.855700000000002</v>
      </c>
      <c r="AE78">
        <f t="shared" si="17"/>
        <v>10.587604662</v>
      </c>
      <c r="AF78" s="9"/>
      <c r="AG78" s="22">
        <v>0.24246200000000001</v>
      </c>
      <c r="AH78" s="22">
        <v>168.751</v>
      </c>
      <c r="AI78" s="22">
        <v>-2.19543E-2</v>
      </c>
      <c r="AJ78" s="22">
        <v>68</v>
      </c>
      <c r="AK78" s="22">
        <v>0.24194299999999999</v>
      </c>
      <c r="AL78">
        <f t="shared" si="18"/>
        <v>21.9543</v>
      </c>
      <c r="AM78">
        <f t="shared" si="19"/>
        <v>5.3230834865999999</v>
      </c>
      <c r="AP78" s="9"/>
      <c r="AQ78" s="22">
        <v>0.50766</v>
      </c>
      <c r="AR78" s="22">
        <v>201.774</v>
      </c>
      <c r="AS78" s="22">
        <v>-2.1231099999999999E-2</v>
      </c>
      <c r="AT78" s="22">
        <v>68</v>
      </c>
      <c r="AU78" s="22">
        <v>0.50698900000000002</v>
      </c>
      <c r="AV78">
        <f t="shared" si="20"/>
        <v>21.231099999999998</v>
      </c>
      <c r="AW78">
        <f t="shared" si="21"/>
        <v>10.778180225999998</v>
      </c>
      <c r="AX78" s="9"/>
      <c r="AY78" s="22">
        <v>0.24246200000000001</v>
      </c>
      <c r="AZ78" s="22">
        <v>271.57100000000003</v>
      </c>
      <c r="BA78" s="22">
        <v>-2.19543E-2</v>
      </c>
      <c r="BB78" s="22">
        <v>68</v>
      </c>
      <c r="BC78" s="22">
        <v>0.24160799999999999</v>
      </c>
      <c r="BD78">
        <f t="shared" si="22"/>
        <v>21.9543</v>
      </c>
      <c r="BE78">
        <f t="shared" si="23"/>
        <v>5.3230834865999999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0.50262499999999999</v>
      </c>
      <c r="H79" s="22">
        <v>30.363099999999999</v>
      </c>
      <c r="I79" s="22">
        <v>-2.1304300000000002E-2</v>
      </c>
      <c r="J79" s="22">
        <v>69</v>
      </c>
      <c r="K79" s="22">
        <v>0.50183100000000003</v>
      </c>
      <c r="L79">
        <f t="shared" si="12"/>
        <v>21.304300000000001</v>
      </c>
      <c r="M79">
        <f t="shared" si="13"/>
        <v>10.7080737875</v>
      </c>
      <c r="N79" s="9"/>
      <c r="O79" s="22">
        <v>0.247498</v>
      </c>
      <c r="P79" s="22">
        <v>78.506900000000002</v>
      </c>
      <c r="Q79" s="22">
        <v>-2.1850600000000001E-2</v>
      </c>
      <c r="R79" s="22">
        <v>69</v>
      </c>
      <c r="S79" s="22">
        <v>0.24646000000000001</v>
      </c>
      <c r="T79">
        <f t="shared" si="14"/>
        <v>21.8506</v>
      </c>
      <c r="U79">
        <f t="shared" si="15"/>
        <v>5.4079797987999996</v>
      </c>
      <c r="X79" s="9"/>
      <c r="Y79" s="22">
        <v>0.50262499999999999</v>
      </c>
      <c r="Z79" s="22">
        <v>132.077</v>
      </c>
      <c r="AA79" s="22">
        <v>-2.0895400000000001E-2</v>
      </c>
      <c r="AB79" s="22">
        <v>69</v>
      </c>
      <c r="AC79" s="22">
        <v>0.50207500000000005</v>
      </c>
      <c r="AD79">
        <f t="shared" si="16"/>
        <v>20.895400000000002</v>
      </c>
      <c r="AE79">
        <f t="shared" si="17"/>
        <v>10.502550425000001</v>
      </c>
      <c r="AF79" s="9"/>
      <c r="AG79" s="22">
        <v>0.247498</v>
      </c>
      <c r="AH79" s="22">
        <v>168.852</v>
      </c>
      <c r="AI79" s="22">
        <v>-2.1920800000000001E-2</v>
      </c>
      <c r="AJ79" s="22">
        <v>69</v>
      </c>
      <c r="AK79" s="22">
        <v>0.24670400000000001</v>
      </c>
      <c r="AL79">
        <f t="shared" si="18"/>
        <v>21.9208</v>
      </c>
      <c r="AM79">
        <f t="shared" si="19"/>
        <v>5.4253541584000002</v>
      </c>
      <c r="AP79" s="9"/>
      <c r="AQ79" s="22">
        <v>0.50262499999999999</v>
      </c>
      <c r="AR79" s="22">
        <v>201.875</v>
      </c>
      <c r="AS79" s="22">
        <v>-2.12555E-2</v>
      </c>
      <c r="AT79" s="22">
        <v>69</v>
      </c>
      <c r="AU79" s="22">
        <v>0.50186200000000003</v>
      </c>
      <c r="AV79">
        <f t="shared" si="20"/>
        <v>21.255500000000001</v>
      </c>
      <c r="AW79">
        <f t="shared" si="21"/>
        <v>10.683545687500001</v>
      </c>
      <c r="AX79" s="9"/>
      <c r="AY79" s="22">
        <v>0.247498</v>
      </c>
      <c r="AZ79" s="22">
        <v>271.67200000000003</v>
      </c>
      <c r="BA79" s="22">
        <v>-2.19391E-2</v>
      </c>
      <c r="BB79" s="22">
        <v>69</v>
      </c>
      <c r="BC79" s="22">
        <v>0.24682599999999999</v>
      </c>
      <c r="BD79">
        <f t="shared" si="22"/>
        <v>21.9391</v>
      </c>
      <c r="BE79">
        <f t="shared" si="23"/>
        <v>5.4298833717999999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0.497589</v>
      </c>
      <c r="H80" s="22">
        <v>30.463899999999999</v>
      </c>
      <c r="I80" s="22">
        <v>-2.1340899999999999E-2</v>
      </c>
      <c r="J80" s="22">
        <v>70</v>
      </c>
      <c r="K80" s="22">
        <v>0.49703999999999998</v>
      </c>
      <c r="L80">
        <f t="shared" si="12"/>
        <v>21.340899999999998</v>
      </c>
      <c r="M80">
        <f t="shared" si="13"/>
        <v>10.618997090099999</v>
      </c>
      <c r="N80" s="9"/>
      <c r="O80" s="22">
        <v>0.25253300000000001</v>
      </c>
      <c r="P80" s="22">
        <v>78.607600000000005</v>
      </c>
      <c r="Q80" s="22">
        <v>-2.1859699999999999E-2</v>
      </c>
      <c r="R80" s="22">
        <v>70</v>
      </c>
      <c r="S80" s="22">
        <v>0.25198399999999999</v>
      </c>
      <c r="T80">
        <f t="shared" si="14"/>
        <v>21.8597</v>
      </c>
      <c r="U80">
        <f t="shared" si="15"/>
        <v>5.5202956201000006</v>
      </c>
      <c r="X80" s="9"/>
      <c r="Y80" s="22">
        <v>0.497589</v>
      </c>
      <c r="Z80" s="22">
        <v>132.17699999999999</v>
      </c>
      <c r="AA80" s="22">
        <v>-2.09564E-2</v>
      </c>
      <c r="AB80" s="22">
        <v>70</v>
      </c>
      <c r="AC80" s="22">
        <v>0.49700899999999998</v>
      </c>
      <c r="AD80">
        <f t="shared" si="16"/>
        <v>20.956399999999999</v>
      </c>
      <c r="AE80">
        <f t="shared" si="17"/>
        <v>10.427674119599999</v>
      </c>
      <c r="AF80" s="9"/>
      <c r="AG80" s="22">
        <v>0.25253300000000001</v>
      </c>
      <c r="AH80" s="22">
        <v>168.953</v>
      </c>
      <c r="AI80" s="22">
        <v>-2.1902499999999998E-2</v>
      </c>
      <c r="AJ80" s="22">
        <v>70</v>
      </c>
      <c r="AK80" s="22">
        <v>0.25174000000000002</v>
      </c>
      <c r="AL80">
        <f t="shared" si="18"/>
        <v>21.9025</v>
      </c>
      <c r="AM80">
        <f t="shared" si="19"/>
        <v>5.5311040325</v>
      </c>
      <c r="AP80" s="9"/>
      <c r="AQ80" s="22">
        <v>0.497589</v>
      </c>
      <c r="AR80" s="22">
        <v>201.97499999999999</v>
      </c>
      <c r="AS80" s="22">
        <v>-2.1273799999999999E-2</v>
      </c>
      <c r="AT80" s="22">
        <v>70</v>
      </c>
      <c r="AU80" s="22">
        <v>0.49673499999999998</v>
      </c>
      <c r="AV80">
        <f t="shared" si="20"/>
        <v>21.273799999999998</v>
      </c>
      <c r="AW80">
        <f t="shared" si="21"/>
        <v>10.5856088682</v>
      </c>
      <c r="AX80" s="9"/>
      <c r="AY80" s="22">
        <v>0.25253300000000001</v>
      </c>
      <c r="AZ80" s="22">
        <v>271.77199999999999</v>
      </c>
      <c r="BA80" s="22">
        <v>-2.19086E-2</v>
      </c>
      <c r="BB80" s="22">
        <v>70</v>
      </c>
      <c r="BC80" s="22">
        <v>0.251801</v>
      </c>
      <c r="BD80">
        <f t="shared" si="22"/>
        <v>21.9086</v>
      </c>
      <c r="BE80">
        <f t="shared" si="23"/>
        <v>5.5326444838000004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0.49255399999999999</v>
      </c>
      <c r="H81" s="22">
        <v>30.564599999999999</v>
      </c>
      <c r="I81" s="22">
        <v>-2.1347000000000001E-2</v>
      </c>
      <c r="J81" s="22">
        <v>71</v>
      </c>
      <c r="K81" s="22">
        <v>0.49175999999999997</v>
      </c>
      <c r="L81">
        <f t="shared" si="12"/>
        <v>21.347000000000001</v>
      </c>
      <c r="M81">
        <f t="shared" si="13"/>
        <v>10.514550238</v>
      </c>
      <c r="N81" s="9"/>
      <c r="O81" s="22">
        <v>0.25756800000000002</v>
      </c>
      <c r="P81" s="22">
        <v>78.708299999999994</v>
      </c>
      <c r="Q81" s="22">
        <v>-2.1844499999999999E-2</v>
      </c>
      <c r="R81" s="22">
        <v>71</v>
      </c>
      <c r="S81" s="22">
        <v>0.25705</v>
      </c>
      <c r="T81">
        <f t="shared" si="14"/>
        <v>21.8445</v>
      </c>
      <c r="U81">
        <f t="shared" si="15"/>
        <v>5.6264441760000006</v>
      </c>
      <c r="X81" s="9"/>
      <c r="Y81" s="22">
        <v>0.49255399999999999</v>
      </c>
      <c r="Z81" s="22">
        <v>132.27799999999999</v>
      </c>
      <c r="AA81" s="22">
        <v>-2.09991E-2</v>
      </c>
      <c r="AB81" s="22">
        <v>71</v>
      </c>
      <c r="AC81" s="22">
        <v>0.49191299999999999</v>
      </c>
      <c r="AD81">
        <f t="shared" si="16"/>
        <v>20.999099999999999</v>
      </c>
      <c r="AE81">
        <f t="shared" si="17"/>
        <v>10.343190701399999</v>
      </c>
      <c r="AF81" s="9"/>
      <c r="AG81" s="22">
        <v>0.25756800000000002</v>
      </c>
      <c r="AH81" s="22">
        <v>169.054</v>
      </c>
      <c r="AI81" s="22">
        <v>-2.1902499999999998E-2</v>
      </c>
      <c r="AJ81" s="22">
        <v>71</v>
      </c>
      <c r="AK81" s="22">
        <v>0.25680500000000001</v>
      </c>
      <c r="AL81">
        <f t="shared" si="18"/>
        <v>21.9025</v>
      </c>
      <c r="AM81">
        <f t="shared" si="19"/>
        <v>5.6413831200000004</v>
      </c>
      <c r="AP81" s="9"/>
      <c r="AQ81" s="22">
        <v>0.49255399999999999</v>
      </c>
      <c r="AR81" s="22">
        <v>202.07599999999999</v>
      </c>
      <c r="AS81" s="22">
        <v>-2.12982E-2</v>
      </c>
      <c r="AT81" s="22">
        <v>71</v>
      </c>
      <c r="AU81" s="22">
        <v>0.49179099999999998</v>
      </c>
      <c r="AV81">
        <f t="shared" si="20"/>
        <v>21.298200000000001</v>
      </c>
      <c r="AW81">
        <f t="shared" si="21"/>
        <v>10.4905136028</v>
      </c>
      <c r="AX81" s="9"/>
      <c r="AY81" s="22">
        <v>0.25756800000000002</v>
      </c>
      <c r="AZ81" s="22">
        <v>271.87299999999999</v>
      </c>
      <c r="BA81" s="22">
        <v>-2.1893300000000001E-2</v>
      </c>
      <c r="BB81" s="22">
        <v>71</v>
      </c>
      <c r="BC81" s="22">
        <v>0.25692700000000002</v>
      </c>
      <c r="BD81">
        <f t="shared" si="22"/>
        <v>21.8933</v>
      </c>
      <c r="BE81">
        <f t="shared" si="23"/>
        <v>5.6390134944000003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0.48751800000000001</v>
      </c>
      <c r="H82" s="22">
        <v>30.665299999999998</v>
      </c>
      <c r="I82" s="22">
        <v>-2.13928E-2</v>
      </c>
      <c r="J82" s="22">
        <v>72</v>
      </c>
      <c r="K82" s="22">
        <v>0.48638900000000002</v>
      </c>
      <c r="L82">
        <f t="shared" si="12"/>
        <v>21.392800000000001</v>
      </c>
      <c r="M82">
        <f t="shared" si="13"/>
        <v>10.429375070400001</v>
      </c>
      <c r="N82" s="9"/>
      <c r="O82" s="22">
        <v>0.262604</v>
      </c>
      <c r="P82" s="22">
        <v>78.808999999999997</v>
      </c>
      <c r="Q82" s="22">
        <v>-2.1832299999999999E-2</v>
      </c>
      <c r="R82" s="22">
        <v>72</v>
      </c>
      <c r="S82" s="22">
        <v>0.26205400000000001</v>
      </c>
      <c r="T82">
        <f t="shared" si="14"/>
        <v>21.8323</v>
      </c>
      <c r="U82">
        <f t="shared" si="15"/>
        <v>5.7332493092000005</v>
      </c>
      <c r="X82" s="9"/>
      <c r="Y82" s="22">
        <v>0.48751800000000001</v>
      </c>
      <c r="Z82" s="22">
        <v>132.37899999999999</v>
      </c>
      <c r="AA82" s="22">
        <v>-2.1032700000000001E-2</v>
      </c>
      <c r="AB82" s="22">
        <v>72</v>
      </c>
      <c r="AC82" s="22">
        <v>0.48666399999999999</v>
      </c>
      <c r="AD82">
        <f t="shared" si="16"/>
        <v>21.032700000000002</v>
      </c>
      <c r="AE82">
        <f t="shared" si="17"/>
        <v>10.253819838600002</v>
      </c>
      <c r="AF82" s="9"/>
      <c r="AG82" s="22">
        <v>0.262604</v>
      </c>
      <c r="AH82" s="22">
        <v>169.154</v>
      </c>
      <c r="AI82" s="22">
        <v>-2.1893300000000001E-2</v>
      </c>
      <c r="AJ82" s="22">
        <v>72</v>
      </c>
      <c r="AK82" s="22">
        <v>0.26190200000000002</v>
      </c>
      <c r="AL82">
        <f t="shared" si="18"/>
        <v>21.8933</v>
      </c>
      <c r="AM82">
        <f t="shared" si="19"/>
        <v>5.7492681532000001</v>
      </c>
      <c r="AP82" s="9"/>
      <c r="AQ82" s="22">
        <v>0.48751800000000001</v>
      </c>
      <c r="AR82" s="22">
        <v>202.17699999999999</v>
      </c>
      <c r="AS82" s="22">
        <v>-2.1343999999999998E-2</v>
      </c>
      <c r="AT82" s="22">
        <v>72</v>
      </c>
      <c r="AU82" s="22">
        <v>0.48681600000000003</v>
      </c>
      <c r="AV82">
        <f t="shared" si="20"/>
        <v>21.343999999999998</v>
      </c>
      <c r="AW82">
        <f t="shared" si="21"/>
        <v>10.405584191999999</v>
      </c>
      <c r="AX82" s="9"/>
      <c r="AY82" s="22">
        <v>0.262604</v>
      </c>
      <c r="AZ82" s="22">
        <v>271.97399999999999</v>
      </c>
      <c r="BA82" s="22">
        <v>-2.18719E-2</v>
      </c>
      <c r="BB82" s="22">
        <v>72</v>
      </c>
      <c r="BC82" s="22">
        <v>0.26184099999999999</v>
      </c>
      <c r="BD82">
        <f t="shared" si="22"/>
        <v>21.8719</v>
      </c>
      <c r="BE82">
        <f t="shared" si="23"/>
        <v>5.7436484276000002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0.482483</v>
      </c>
      <c r="H83" s="22">
        <v>30.765999999999998</v>
      </c>
      <c r="I83" s="22">
        <v>-2.1395899999999999E-2</v>
      </c>
      <c r="J83" s="22">
        <v>73</v>
      </c>
      <c r="K83" s="22">
        <v>0.482178</v>
      </c>
      <c r="L83">
        <f t="shared" si="12"/>
        <v>21.395899999999997</v>
      </c>
      <c r="M83">
        <f t="shared" si="13"/>
        <v>10.323158019699999</v>
      </c>
      <c r="N83" s="9"/>
      <c r="O83" s="22">
        <v>0.26763900000000002</v>
      </c>
      <c r="P83" s="22">
        <v>78.909700000000001</v>
      </c>
      <c r="Q83" s="22">
        <v>-2.1820099999999999E-2</v>
      </c>
      <c r="R83" s="22">
        <v>73</v>
      </c>
      <c r="S83" s="22">
        <v>0.26693699999999998</v>
      </c>
      <c r="T83">
        <f t="shared" si="14"/>
        <v>21.8201</v>
      </c>
      <c r="U83">
        <f t="shared" si="15"/>
        <v>5.8399097439000007</v>
      </c>
      <c r="X83" s="9"/>
      <c r="Y83" s="22">
        <v>0.482483</v>
      </c>
      <c r="Z83" s="22">
        <v>132.47999999999999</v>
      </c>
      <c r="AA83" s="22">
        <v>-2.1072400000000002E-2</v>
      </c>
      <c r="AB83" s="22">
        <v>73</v>
      </c>
      <c r="AC83" s="22">
        <v>0.48178100000000001</v>
      </c>
      <c r="AD83">
        <f t="shared" si="16"/>
        <v>21.072400000000002</v>
      </c>
      <c r="AE83">
        <f t="shared" si="17"/>
        <v>10.167074769200001</v>
      </c>
      <c r="AF83" s="9"/>
      <c r="AG83" s="22">
        <v>0.26763900000000002</v>
      </c>
      <c r="AH83" s="22">
        <v>169.255</v>
      </c>
      <c r="AI83" s="22">
        <v>-2.1878100000000001E-2</v>
      </c>
      <c r="AJ83" s="22">
        <v>73</v>
      </c>
      <c r="AK83" s="22">
        <v>0.26696799999999998</v>
      </c>
      <c r="AL83">
        <f t="shared" si="18"/>
        <v>21.8781</v>
      </c>
      <c r="AM83">
        <f t="shared" si="19"/>
        <v>5.8554328059000005</v>
      </c>
      <c r="AP83" s="9"/>
      <c r="AQ83" s="22">
        <v>0.482483</v>
      </c>
      <c r="AR83" s="22">
        <v>202.27699999999999</v>
      </c>
      <c r="AS83" s="22">
        <v>-2.1362300000000001E-2</v>
      </c>
      <c r="AT83" s="22">
        <v>73</v>
      </c>
      <c r="AU83" s="22">
        <v>0.481873</v>
      </c>
      <c r="AV83">
        <f t="shared" si="20"/>
        <v>21.362300000000001</v>
      </c>
      <c r="AW83">
        <f t="shared" si="21"/>
        <v>10.306946590900001</v>
      </c>
      <c r="AX83" s="9"/>
      <c r="AY83" s="22">
        <v>0.26763900000000002</v>
      </c>
      <c r="AZ83" s="22">
        <v>272.07499999999999</v>
      </c>
      <c r="BA83" s="22">
        <v>-2.1878100000000001E-2</v>
      </c>
      <c r="BB83" s="22">
        <v>73</v>
      </c>
      <c r="BC83" s="22">
        <v>0.26693699999999998</v>
      </c>
      <c r="BD83">
        <f t="shared" si="22"/>
        <v>21.8781</v>
      </c>
      <c r="BE83">
        <f t="shared" si="23"/>
        <v>5.8554328059000005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0.47744799999999998</v>
      </c>
      <c r="H84" s="22">
        <v>30.866700000000002</v>
      </c>
      <c r="I84" s="22">
        <v>-2.1426400000000002E-2</v>
      </c>
      <c r="J84" s="22">
        <v>74</v>
      </c>
      <c r="K84" s="22">
        <v>0.47668500000000003</v>
      </c>
      <c r="L84">
        <f t="shared" si="12"/>
        <v>21.426400000000001</v>
      </c>
      <c r="M84">
        <f t="shared" si="13"/>
        <v>10.229991827200001</v>
      </c>
      <c r="N84" s="9"/>
      <c r="O84" s="22">
        <v>0.272675</v>
      </c>
      <c r="P84" s="22">
        <v>79.010400000000004</v>
      </c>
      <c r="Q84" s="22">
        <v>-2.1832299999999999E-2</v>
      </c>
      <c r="R84" s="22">
        <v>74</v>
      </c>
      <c r="S84" s="22">
        <v>0.27200299999999999</v>
      </c>
      <c r="T84">
        <f t="shared" si="14"/>
        <v>21.8323</v>
      </c>
      <c r="U84">
        <f t="shared" si="15"/>
        <v>5.9531224025</v>
      </c>
      <c r="X84" s="9"/>
      <c r="Y84" s="22">
        <v>0.47744799999999998</v>
      </c>
      <c r="Z84" s="22">
        <v>132.58000000000001</v>
      </c>
      <c r="AA84" s="22">
        <v>-2.11182E-2</v>
      </c>
      <c r="AB84" s="22">
        <v>74</v>
      </c>
      <c r="AC84" s="22">
        <v>0.47665400000000002</v>
      </c>
      <c r="AD84">
        <f t="shared" si="16"/>
        <v>21.118200000000002</v>
      </c>
      <c r="AE84">
        <f t="shared" si="17"/>
        <v>10.0828423536</v>
      </c>
      <c r="AF84" s="9"/>
      <c r="AG84" s="22">
        <v>0.272675</v>
      </c>
      <c r="AH84" s="22">
        <v>169.35599999999999</v>
      </c>
      <c r="AI84" s="22">
        <v>-2.18719E-2</v>
      </c>
      <c r="AJ84" s="22">
        <v>74</v>
      </c>
      <c r="AK84" s="22">
        <v>0.27197300000000002</v>
      </c>
      <c r="AL84">
        <f t="shared" si="18"/>
        <v>21.8719</v>
      </c>
      <c r="AM84">
        <f t="shared" si="19"/>
        <v>5.9639203324999999</v>
      </c>
      <c r="AP84" s="9"/>
      <c r="AQ84" s="22">
        <v>0.47744799999999998</v>
      </c>
      <c r="AR84" s="22">
        <v>202.37799999999999</v>
      </c>
      <c r="AS84" s="22">
        <v>-2.13898E-2</v>
      </c>
      <c r="AT84" s="22">
        <v>74</v>
      </c>
      <c r="AU84" s="22">
        <v>0.47683700000000001</v>
      </c>
      <c r="AV84">
        <f t="shared" si="20"/>
        <v>21.389800000000001</v>
      </c>
      <c r="AW84">
        <f t="shared" si="21"/>
        <v>10.2125172304</v>
      </c>
      <c r="AX84" s="9"/>
      <c r="AY84" s="22">
        <v>0.272675</v>
      </c>
      <c r="AZ84" s="22">
        <v>272.17500000000001</v>
      </c>
      <c r="BA84" s="22">
        <v>-2.18719E-2</v>
      </c>
      <c r="BB84" s="22">
        <v>74</v>
      </c>
      <c r="BC84" s="22">
        <v>0.27182000000000001</v>
      </c>
      <c r="BD84">
        <f t="shared" si="22"/>
        <v>21.8719</v>
      </c>
      <c r="BE84">
        <f t="shared" si="23"/>
        <v>5.9639203324999999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0.472412</v>
      </c>
      <c r="H85" s="22">
        <v>30.967400000000001</v>
      </c>
      <c r="I85" s="22">
        <v>-2.1438599999999999E-2</v>
      </c>
      <c r="J85" s="22">
        <v>75</v>
      </c>
      <c r="K85" s="22">
        <v>0.471802</v>
      </c>
      <c r="L85">
        <f t="shared" si="12"/>
        <v>21.438599999999997</v>
      </c>
      <c r="M85">
        <f t="shared" si="13"/>
        <v>10.127851903199998</v>
      </c>
      <c r="N85" s="9"/>
      <c r="O85" s="22">
        <v>0.27771000000000001</v>
      </c>
      <c r="P85" s="22">
        <v>79.111099999999993</v>
      </c>
      <c r="Q85" s="22">
        <v>-2.1810900000000001E-2</v>
      </c>
      <c r="R85" s="22">
        <v>75</v>
      </c>
      <c r="S85" s="22">
        <v>0.277588</v>
      </c>
      <c r="T85">
        <f t="shared" si="14"/>
        <v>21.8109</v>
      </c>
      <c r="U85">
        <f t="shared" si="15"/>
        <v>6.0571050390000005</v>
      </c>
      <c r="X85" s="9"/>
      <c r="Y85" s="22">
        <v>0.472412</v>
      </c>
      <c r="Z85" s="22">
        <v>132.68100000000001</v>
      </c>
      <c r="AA85" s="22">
        <v>-2.1139499999999999E-2</v>
      </c>
      <c r="AB85" s="22">
        <v>75</v>
      </c>
      <c r="AC85" s="22">
        <v>0.471802</v>
      </c>
      <c r="AD85">
        <f t="shared" si="16"/>
        <v>21.139499999999998</v>
      </c>
      <c r="AE85">
        <f t="shared" si="17"/>
        <v>9.986553473999999</v>
      </c>
      <c r="AF85" s="9"/>
      <c r="AG85" s="22">
        <v>0.27771000000000001</v>
      </c>
      <c r="AH85" s="22">
        <v>169.45599999999999</v>
      </c>
      <c r="AI85" s="22">
        <v>-2.1859699999999999E-2</v>
      </c>
      <c r="AJ85" s="22">
        <v>75</v>
      </c>
      <c r="AK85" s="22">
        <v>0.27703899999999998</v>
      </c>
      <c r="AL85">
        <f t="shared" si="18"/>
        <v>21.8597</v>
      </c>
      <c r="AM85">
        <f t="shared" si="19"/>
        <v>6.0706572870000004</v>
      </c>
      <c r="AP85" s="9"/>
      <c r="AQ85" s="22">
        <v>0.472412</v>
      </c>
      <c r="AR85" s="22">
        <v>202.47900000000001</v>
      </c>
      <c r="AS85" s="22">
        <v>-2.13928E-2</v>
      </c>
      <c r="AT85" s="22">
        <v>75</v>
      </c>
      <c r="AU85" s="22">
        <v>0.47164899999999998</v>
      </c>
      <c r="AV85">
        <f t="shared" si="20"/>
        <v>21.392800000000001</v>
      </c>
      <c r="AW85">
        <f t="shared" si="21"/>
        <v>10.106215433600001</v>
      </c>
      <c r="AX85" s="9"/>
      <c r="AY85" s="22">
        <v>0.27771000000000001</v>
      </c>
      <c r="AZ85" s="22">
        <v>272.27600000000001</v>
      </c>
      <c r="BA85" s="22">
        <v>-2.1859699999999999E-2</v>
      </c>
      <c r="BB85" s="22">
        <v>75</v>
      </c>
      <c r="BC85" s="22">
        <v>0.27716099999999999</v>
      </c>
      <c r="BD85">
        <f t="shared" si="22"/>
        <v>21.8597</v>
      </c>
      <c r="BE85">
        <f t="shared" si="23"/>
        <v>6.0706572870000004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0.46737699999999999</v>
      </c>
      <c r="H86" s="22">
        <v>31.068100000000001</v>
      </c>
      <c r="I86" s="22">
        <v>-2.1453900000000001E-2</v>
      </c>
      <c r="J86" s="22">
        <v>76</v>
      </c>
      <c r="K86" s="22">
        <v>0.46676600000000001</v>
      </c>
      <c r="L86">
        <f t="shared" si="12"/>
        <v>21.453900000000001</v>
      </c>
      <c r="M86">
        <f t="shared" si="13"/>
        <v>10.027059420300001</v>
      </c>
      <c r="N86" s="9"/>
      <c r="O86" s="22">
        <v>0.28274500000000002</v>
      </c>
      <c r="P86" s="22">
        <v>79.211799999999997</v>
      </c>
      <c r="Q86" s="22">
        <v>-2.1804799999999999E-2</v>
      </c>
      <c r="R86" s="22">
        <v>76</v>
      </c>
      <c r="S86" s="22">
        <v>0.28222700000000001</v>
      </c>
      <c r="T86">
        <f t="shared" si="14"/>
        <v>21.8048</v>
      </c>
      <c r="U86">
        <f t="shared" si="15"/>
        <v>6.1651981760000005</v>
      </c>
      <c r="X86" s="9"/>
      <c r="Y86" s="22">
        <v>0.46737699999999999</v>
      </c>
      <c r="Z86" s="22">
        <v>132.78200000000001</v>
      </c>
      <c r="AA86" s="22">
        <v>-2.1163899999999999E-2</v>
      </c>
      <c r="AB86" s="22">
        <v>76</v>
      </c>
      <c r="AC86" s="22">
        <v>0.46673599999999998</v>
      </c>
      <c r="AD86">
        <f t="shared" si="16"/>
        <v>21.163899999999998</v>
      </c>
      <c r="AE86">
        <f t="shared" si="17"/>
        <v>9.8915200902999985</v>
      </c>
      <c r="AF86" s="9"/>
      <c r="AG86" s="22">
        <v>0.28274500000000002</v>
      </c>
      <c r="AH86" s="22">
        <v>169.55699999999999</v>
      </c>
      <c r="AI86" s="22">
        <v>-2.1862800000000002E-2</v>
      </c>
      <c r="AJ86" s="22">
        <v>76</v>
      </c>
      <c r="AK86" s="22">
        <v>0.28225699999999998</v>
      </c>
      <c r="AL86">
        <f t="shared" si="18"/>
        <v>21.8628</v>
      </c>
      <c r="AM86">
        <f t="shared" si="19"/>
        <v>6.1815973860000009</v>
      </c>
      <c r="AP86" s="9"/>
      <c r="AQ86" s="22">
        <v>0.46737699999999999</v>
      </c>
      <c r="AR86" s="22">
        <v>202.58</v>
      </c>
      <c r="AS86" s="22">
        <v>-2.1414200000000001E-2</v>
      </c>
      <c r="AT86" s="22">
        <v>76</v>
      </c>
      <c r="AU86" s="22">
        <v>0.46661399999999997</v>
      </c>
      <c r="AV86">
        <f t="shared" si="20"/>
        <v>21.414200000000001</v>
      </c>
      <c r="AW86">
        <f t="shared" si="21"/>
        <v>10.0085045534</v>
      </c>
      <c r="AX86" s="9"/>
      <c r="AY86" s="22">
        <v>0.28274500000000002</v>
      </c>
      <c r="AZ86" s="22">
        <v>272.37700000000001</v>
      </c>
      <c r="BA86" s="22">
        <v>-2.1847499999999999E-2</v>
      </c>
      <c r="BB86" s="22">
        <v>76</v>
      </c>
      <c r="BC86" s="22">
        <v>0.28216599999999997</v>
      </c>
      <c r="BD86">
        <f t="shared" si="22"/>
        <v>21.8475</v>
      </c>
      <c r="BE86">
        <f t="shared" si="23"/>
        <v>6.1772713875000003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0.462341</v>
      </c>
      <c r="H87" s="22">
        <v>31.168800000000001</v>
      </c>
      <c r="I87" s="22">
        <v>-2.1438599999999999E-2</v>
      </c>
      <c r="J87" s="22">
        <v>77</v>
      </c>
      <c r="K87" s="22">
        <v>0.46167000000000002</v>
      </c>
      <c r="L87">
        <f t="shared" si="12"/>
        <v>21.438599999999997</v>
      </c>
      <c r="M87">
        <f t="shared" si="13"/>
        <v>9.9119437625999982</v>
      </c>
      <c r="N87" s="9"/>
      <c r="O87" s="22">
        <v>0.28778100000000001</v>
      </c>
      <c r="P87" s="22">
        <v>79.3125</v>
      </c>
      <c r="Q87" s="22">
        <v>-2.1795700000000001E-2</v>
      </c>
      <c r="R87" s="22">
        <v>77</v>
      </c>
      <c r="S87" s="22">
        <v>0.28741499999999998</v>
      </c>
      <c r="T87">
        <f t="shared" si="14"/>
        <v>21.7957</v>
      </c>
      <c r="U87">
        <f t="shared" si="15"/>
        <v>6.2723883417000001</v>
      </c>
      <c r="X87" s="9"/>
      <c r="Y87" s="22">
        <v>0.462341</v>
      </c>
      <c r="Z87" s="22">
        <v>132.88200000000001</v>
      </c>
      <c r="AA87" s="22">
        <v>-2.11731E-2</v>
      </c>
      <c r="AB87" s="22">
        <v>77</v>
      </c>
      <c r="AC87" s="22">
        <v>0.46167000000000002</v>
      </c>
      <c r="AD87">
        <f t="shared" si="16"/>
        <v>21.173100000000002</v>
      </c>
      <c r="AE87">
        <f t="shared" si="17"/>
        <v>9.7891922271000009</v>
      </c>
      <c r="AF87" s="9"/>
      <c r="AG87" s="22">
        <v>0.28778100000000001</v>
      </c>
      <c r="AH87" s="22">
        <v>169.65799999999999</v>
      </c>
      <c r="AI87" s="22">
        <v>-2.1844499999999999E-2</v>
      </c>
      <c r="AJ87" s="22">
        <v>77</v>
      </c>
      <c r="AK87" s="22">
        <v>0.28726200000000002</v>
      </c>
      <c r="AL87">
        <f t="shared" si="18"/>
        <v>21.8445</v>
      </c>
      <c r="AM87">
        <f t="shared" si="19"/>
        <v>6.2864320545000005</v>
      </c>
      <c r="AP87" s="9"/>
      <c r="AQ87" s="22">
        <v>0.462341</v>
      </c>
      <c r="AR87" s="22">
        <v>202.68</v>
      </c>
      <c r="AS87" s="22">
        <v>-2.1444700000000001E-2</v>
      </c>
      <c r="AT87" s="22">
        <v>77</v>
      </c>
      <c r="AU87" s="22">
        <v>0.46124300000000001</v>
      </c>
      <c r="AV87">
        <f t="shared" si="20"/>
        <v>21.444700000000001</v>
      </c>
      <c r="AW87">
        <f t="shared" si="21"/>
        <v>9.9147640426999999</v>
      </c>
      <c r="AX87" s="9"/>
      <c r="AY87" s="22">
        <v>0.28778100000000001</v>
      </c>
      <c r="AZ87" s="22">
        <v>272.47699999999998</v>
      </c>
      <c r="BA87" s="22">
        <v>-2.1844499999999999E-2</v>
      </c>
      <c r="BB87" s="22">
        <v>77</v>
      </c>
      <c r="BC87" s="22">
        <v>0.28686499999999998</v>
      </c>
      <c r="BD87">
        <f t="shared" si="22"/>
        <v>21.8445</v>
      </c>
      <c r="BE87">
        <f t="shared" si="23"/>
        <v>6.2864320545000005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0.45730599999999999</v>
      </c>
      <c r="H88" s="22">
        <v>31.269500000000001</v>
      </c>
      <c r="I88" s="22">
        <v>-2.1478299999999999E-2</v>
      </c>
      <c r="J88" s="22">
        <v>78</v>
      </c>
      <c r="K88" s="22">
        <v>0.45672600000000002</v>
      </c>
      <c r="L88">
        <f t="shared" si="12"/>
        <v>21.478299999999997</v>
      </c>
      <c r="M88">
        <f t="shared" si="13"/>
        <v>9.8221554597999994</v>
      </c>
      <c r="N88" s="9"/>
      <c r="O88" s="22">
        <v>0.29281600000000002</v>
      </c>
      <c r="P88" s="22">
        <v>79.413200000000003</v>
      </c>
      <c r="Q88" s="22">
        <v>-2.1777299999999999E-2</v>
      </c>
      <c r="R88" s="22">
        <v>78</v>
      </c>
      <c r="S88" s="22">
        <v>0.29214499999999999</v>
      </c>
      <c r="T88">
        <f t="shared" si="14"/>
        <v>21.7773</v>
      </c>
      <c r="U88">
        <f t="shared" si="15"/>
        <v>6.3767418768000006</v>
      </c>
      <c r="X88" s="9"/>
      <c r="Y88" s="22">
        <v>0.45730599999999999</v>
      </c>
      <c r="Z88" s="22">
        <v>132.983</v>
      </c>
      <c r="AA88" s="22">
        <v>-2.1191399999999999E-2</v>
      </c>
      <c r="AB88" s="22">
        <v>78</v>
      </c>
      <c r="AC88" s="22">
        <v>0.45666499999999999</v>
      </c>
      <c r="AD88">
        <f t="shared" si="16"/>
        <v>21.191399999999998</v>
      </c>
      <c r="AE88">
        <f t="shared" si="17"/>
        <v>9.6909543683999981</v>
      </c>
      <c r="AF88" s="9"/>
      <c r="AG88" s="22">
        <v>0.29281600000000002</v>
      </c>
      <c r="AH88" s="22">
        <v>169.75899999999999</v>
      </c>
      <c r="AI88" s="22">
        <v>-2.1838400000000001E-2</v>
      </c>
      <c r="AJ88" s="22">
        <v>78</v>
      </c>
      <c r="AK88" s="22">
        <v>0.29202299999999998</v>
      </c>
      <c r="AL88">
        <f t="shared" si="18"/>
        <v>21.8384</v>
      </c>
      <c r="AM88">
        <f t="shared" si="19"/>
        <v>6.3946329344000006</v>
      </c>
      <c r="AP88" s="9"/>
      <c r="AQ88" s="22">
        <v>0.45730599999999999</v>
      </c>
      <c r="AR88" s="22">
        <v>202.78100000000001</v>
      </c>
      <c r="AS88" s="22">
        <v>-2.1462999999999999E-2</v>
      </c>
      <c r="AT88" s="22">
        <v>78</v>
      </c>
      <c r="AU88" s="22">
        <v>0.45623799999999998</v>
      </c>
      <c r="AV88">
        <f t="shared" si="20"/>
        <v>21.463000000000001</v>
      </c>
      <c r="AW88">
        <f t="shared" si="21"/>
        <v>9.8151586779999995</v>
      </c>
      <c r="AX88" s="9"/>
      <c r="AY88" s="22">
        <v>0.29281600000000002</v>
      </c>
      <c r="AZ88" s="22">
        <v>272.57799999999997</v>
      </c>
      <c r="BA88" s="22">
        <v>-2.1820099999999999E-2</v>
      </c>
      <c r="BB88" s="22">
        <v>78</v>
      </c>
      <c r="BC88" s="22">
        <v>0.29241899999999998</v>
      </c>
      <c r="BD88">
        <f t="shared" si="22"/>
        <v>21.8201</v>
      </c>
      <c r="BE88">
        <f t="shared" si="23"/>
        <v>6.3892744016000007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0.45227099999999998</v>
      </c>
      <c r="H89" s="22">
        <v>31.370200000000001</v>
      </c>
      <c r="I89" s="22">
        <v>-2.1499600000000001E-2</v>
      </c>
      <c r="J89" s="22">
        <v>79</v>
      </c>
      <c r="K89" s="22">
        <v>0.45114100000000001</v>
      </c>
      <c r="L89">
        <f t="shared" si="12"/>
        <v>21.499600000000001</v>
      </c>
      <c r="M89">
        <f t="shared" si="13"/>
        <v>9.7236455916000004</v>
      </c>
      <c r="N89" s="9"/>
      <c r="O89" s="22">
        <v>0.29785200000000001</v>
      </c>
      <c r="P89" s="22">
        <v>79.513999999999996</v>
      </c>
      <c r="Q89" s="22">
        <v>-2.1780399999999998E-2</v>
      </c>
      <c r="R89" s="22">
        <v>79</v>
      </c>
      <c r="S89" s="22">
        <v>0.297211</v>
      </c>
      <c r="T89">
        <f t="shared" si="14"/>
        <v>21.780399999999997</v>
      </c>
      <c r="U89">
        <f t="shared" si="15"/>
        <v>6.4873357007999992</v>
      </c>
      <c r="X89" s="9"/>
      <c r="Y89" s="22">
        <v>0.45227099999999998</v>
      </c>
      <c r="Z89" s="22">
        <v>133.084</v>
      </c>
      <c r="AA89" s="22">
        <v>-2.1209700000000001E-2</v>
      </c>
      <c r="AB89" s="22">
        <v>79</v>
      </c>
      <c r="AC89" s="22">
        <v>0.45135500000000001</v>
      </c>
      <c r="AD89">
        <f t="shared" si="16"/>
        <v>21.209700000000002</v>
      </c>
      <c r="AE89">
        <f t="shared" si="17"/>
        <v>9.5925322286999997</v>
      </c>
      <c r="AF89" s="9"/>
      <c r="AG89" s="22">
        <v>0.29785200000000001</v>
      </c>
      <c r="AH89" s="22">
        <v>169.85900000000001</v>
      </c>
      <c r="AI89" s="22">
        <v>-2.1814E-2</v>
      </c>
      <c r="AJ89" s="22">
        <v>79</v>
      </c>
      <c r="AK89" s="22">
        <v>0.29733300000000001</v>
      </c>
      <c r="AL89">
        <f t="shared" si="18"/>
        <v>21.814</v>
      </c>
      <c r="AM89">
        <f t="shared" si="19"/>
        <v>6.497343528</v>
      </c>
      <c r="AP89" s="9"/>
      <c r="AQ89" s="22">
        <v>0.45227099999999998</v>
      </c>
      <c r="AR89" s="22">
        <v>202.88200000000001</v>
      </c>
      <c r="AS89" s="22">
        <v>-2.1466099999999998E-2</v>
      </c>
      <c r="AT89" s="22">
        <v>79</v>
      </c>
      <c r="AU89" s="22">
        <v>0.45141599999999998</v>
      </c>
      <c r="AV89">
        <f t="shared" si="20"/>
        <v>21.466099999999997</v>
      </c>
      <c r="AW89">
        <f t="shared" si="21"/>
        <v>9.708494513099998</v>
      </c>
      <c r="AX89" s="9"/>
      <c r="AY89" s="22">
        <v>0.29785200000000001</v>
      </c>
      <c r="AZ89" s="22">
        <v>272.67899999999997</v>
      </c>
      <c r="BA89" s="22">
        <v>-2.1810900000000001E-2</v>
      </c>
      <c r="BB89" s="22">
        <v>79</v>
      </c>
      <c r="BC89" s="22">
        <v>0.297211</v>
      </c>
      <c r="BD89">
        <f t="shared" si="22"/>
        <v>21.8109</v>
      </c>
      <c r="BE89">
        <f t="shared" si="23"/>
        <v>6.4964201868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0.44723499999999999</v>
      </c>
      <c r="H90" s="22">
        <v>31.4709</v>
      </c>
      <c r="I90" s="22">
        <v>-2.15027E-2</v>
      </c>
      <c r="J90" s="22">
        <v>80</v>
      </c>
      <c r="K90" s="22">
        <v>0.446716</v>
      </c>
      <c r="L90">
        <f t="shared" si="12"/>
        <v>21.502700000000001</v>
      </c>
      <c r="M90">
        <f t="shared" si="13"/>
        <v>9.6167600345000004</v>
      </c>
      <c r="N90" s="9"/>
      <c r="O90" s="22">
        <v>0.30288700000000002</v>
      </c>
      <c r="P90" s="22">
        <v>79.614699999999999</v>
      </c>
      <c r="Q90" s="22">
        <v>-2.1768200000000001E-2</v>
      </c>
      <c r="R90" s="22">
        <v>80</v>
      </c>
      <c r="S90" s="22">
        <v>0.30224600000000001</v>
      </c>
      <c r="T90">
        <f t="shared" si="14"/>
        <v>21.7682</v>
      </c>
      <c r="U90">
        <f t="shared" si="15"/>
        <v>6.5933047934000006</v>
      </c>
      <c r="X90" s="9"/>
      <c r="Y90" s="22">
        <v>0.44723499999999999</v>
      </c>
      <c r="Z90" s="22">
        <v>133.184</v>
      </c>
      <c r="AA90" s="22">
        <v>-2.1228E-2</v>
      </c>
      <c r="AB90" s="22">
        <v>80</v>
      </c>
      <c r="AC90" s="22">
        <v>0.44656400000000002</v>
      </c>
      <c r="AD90">
        <f t="shared" si="16"/>
        <v>21.228000000000002</v>
      </c>
      <c r="AE90">
        <f t="shared" si="17"/>
        <v>9.4939045800000006</v>
      </c>
      <c r="AF90" s="9"/>
      <c r="AG90" s="22">
        <v>0.30288700000000002</v>
      </c>
      <c r="AH90" s="22">
        <v>169.96</v>
      </c>
      <c r="AI90" s="22">
        <v>-2.18018E-2</v>
      </c>
      <c r="AJ90" s="22">
        <v>80</v>
      </c>
      <c r="AK90" s="22">
        <v>0.30227700000000002</v>
      </c>
      <c r="AL90">
        <f t="shared" si="18"/>
        <v>21.8018</v>
      </c>
      <c r="AM90">
        <f t="shared" si="19"/>
        <v>6.6034817966000006</v>
      </c>
      <c r="AP90" s="9"/>
      <c r="AQ90" s="22">
        <v>0.44723499999999999</v>
      </c>
      <c r="AR90" s="22">
        <v>202.982</v>
      </c>
      <c r="AS90" s="22">
        <v>-2.1508800000000002E-2</v>
      </c>
      <c r="AT90" s="22">
        <v>80</v>
      </c>
      <c r="AU90" s="22">
        <v>0.44647199999999998</v>
      </c>
      <c r="AV90">
        <f t="shared" si="20"/>
        <v>21.508800000000001</v>
      </c>
      <c r="AW90">
        <f t="shared" si="21"/>
        <v>9.6194881680000002</v>
      </c>
      <c r="AX90" s="9"/>
      <c r="AY90" s="22">
        <v>0.30288700000000002</v>
      </c>
      <c r="AZ90" s="22">
        <v>272.77999999999997</v>
      </c>
      <c r="BA90" s="22">
        <v>-2.1807900000000002E-2</v>
      </c>
      <c r="BB90" s="22">
        <v>80</v>
      </c>
      <c r="BC90" s="22">
        <v>0.30197099999999999</v>
      </c>
      <c r="BD90">
        <f t="shared" si="22"/>
        <v>21.8079</v>
      </c>
      <c r="BE90">
        <f t="shared" si="23"/>
        <v>6.6053294073000002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0.44219999999999998</v>
      </c>
      <c r="H91" s="22">
        <v>31.5716</v>
      </c>
      <c r="I91" s="22">
        <v>-2.15179E-2</v>
      </c>
      <c r="J91" s="22">
        <v>81</v>
      </c>
      <c r="K91" s="22">
        <v>0.44140600000000002</v>
      </c>
      <c r="L91">
        <f t="shared" si="12"/>
        <v>21.517900000000001</v>
      </c>
      <c r="M91">
        <f t="shared" si="13"/>
        <v>9.5152153800000008</v>
      </c>
      <c r="N91" s="9"/>
      <c r="O91" s="22">
        <v>0.30792199999999997</v>
      </c>
      <c r="P91" s="22">
        <v>79.715400000000002</v>
      </c>
      <c r="Q91" s="22">
        <v>-2.1740700000000002E-2</v>
      </c>
      <c r="R91" s="22">
        <v>81</v>
      </c>
      <c r="S91" s="22">
        <v>0.30740400000000001</v>
      </c>
      <c r="T91">
        <f t="shared" si="14"/>
        <v>21.7407</v>
      </c>
      <c r="U91">
        <f t="shared" si="15"/>
        <v>6.6944398253999999</v>
      </c>
      <c r="X91" s="9"/>
      <c r="Y91" s="22">
        <v>0.44219999999999998</v>
      </c>
      <c r="Z91" s="22">
        <v>133.285</v>
      </c>
      <c r="AA91" s="22">
        <v>-2.1252400000000001E-2</v>
      </c>
      <c r="AB91" s="22">
        <v>81</v>
      </c>
      <c r="AC91" s="22">
        <v>0.44162000000000001</v>
      </c>
      <c r="AD91">
        <f t="shared" si="16"/>
        <v>21.252400000000002</v>
      </c>
      <c r="AE91">
        <f t="shared" si="17"/>
        <v>9.3978112800000009</v>
      </c>
      <c r="AF91" s="9"/>
      <c r="AG91" s="22">
        <v>0.30792199999999997</v>
      </c>
      <c r="AH91" s="22">
        <v>170.06100000000001</v>
      </c>
      <c r="AI91" s="22">
        <v>-2.1795700000000001E-2</v>
      </c>
      <c r="AJ91" s="22">
        <v>81</v>
      </c>
      <c r="AK91" s="22">
        <v>0.30734299999999998</v>
      </c>
      <c r="AL91">
        <f t="shared" si="18"/>
        <v>21.7957</v>
      </c>
      <c r="AM91">
        <f t="shared" si="19"/>
        <v>6.7113755353999993</v>
      </c>
      <c r="AP91" s="9"/>
      <c r="AQ91" s="22">
        <v>0.44219999999999998</v>
      </c>
      <c r="AR91" s="22">
        <v>203.083</v>
      </c>
      <c r="AS91" s="22">
        <v>-2.1490499999999999E-2</v>
      </c>
      <c r="AT91" s="22">
        <v>81</v>
      </c>
      <c r="AU91" s="22">
        <v>0.44131500000000001</v>
      </c>
      <c r="AV91">
        <f t="shared" si="20"/>
        <v>21.490500000000001</v>
      </c>
      <c r="AW91">
        <f t="shared" si="21"/>
        <v>9.5030991</v>
      </c>
      <c r="AX91" s="9"/>
      <c r="AY91" s="22">
        <v>0.30792199999999997</v>
      </c>
      <c r="AZ91" s="22">
        <v>272.88</v>
      </c>
      <c r="BA91" s="22">
        <v>-2.1792599999999999E-2</v>
      </c>
      <c r="BB91" s="22">
        <v>81</v>
      </c>
      <c r="BC91" s="22">
        <v>0.307251</v>
      </c>
      <c r="BD91">
        <f t="shared" si="22"/>
        <v>21.7926</v>
      </c>
      <c r="BE91">
        <f t="shared" si="23"/>
        <v>6.7104209771999992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0.437164</v>
      </c>
      <c r="H92" s="22">
        <v>31.6724</v>
      </c>
      <c r="I92" s="22">
        <v>-2.1524000000000001E-2</v>
      </c>
      <c r="J92" s="22">
        <v>82</v>
      </c>
      <c r="K92" s="22">
        <v>0.43670700000000001</v>
      </c>
      <c r="L92">
        <f t="shared" si="12"/>
        <v>21.524000000000001</v>
      </c>
      <c r="M92">
        <f t="shared" si="13"/>
        <v>9.4095179360000003</v>
      </c>
      <c r="N92" s="9"/>
      <c r="O92" s="22">
        <v>0.31295800000000001</v>
      </c>
      <c r="P92" s="22">
        <v>79.816100000000006</v>
      </c>
      <c r="Q92" s="22">
        <v>-2.1737699999999999E-2</v>
      </c>
      <c r="R92" s="22">
        <v>82</v>
      </c>
      <c r="S92" s="22">
        <v>0.31243900000000002</v>
      </c>
      <c r="T92">
        <f t="shared" si="14"/>
        <v>21.7377</v>
      </c>
      <c r="U92">
        <f t="shared" si="15"/>
        <v>6.8029871166000007</v>
      </c>
      <c r="X92" s="9"/>
      <c r="Y92" s="22">
        <v>0.437164</v>
      </c>
      <c r="Z92" s="22">
        <v>133.386</v>
      </c>
      <c r="AA92" s="22">
        <v>-2.1289099999999998E-2</v>
      </c>
      <c r="AB92" s="22">
        <v>82</v>
      </c>
      <c r="AC92" s="22">
        <v>0.43646200000000002</v>
      </c>
      <c r="AD92">
        <f t="shared" si="16"/>
        <v>21.289099999999998</v>
      </c>
      <c r="AE92">
        <f t="shared" si="17"/>
        <v>9.3068281123999981</v>
      </c>
      <c r="AF92" s="9"/>
      <c r="AG92" s="22">
        <v>0.31295800000000001</v>
      </c>
      <c r="AH92" s="22">
        <v>170.161</v>
      </c>
      <c r="AI92" s="22">
        <v>-2.17865E-2</v>
      </c>
      <c r="AJ92" s="22">
        <v>82</v>
      </c>
      <c r="AK92" s="22">
        <v>0.31240800000000002</v>
      </c>
      <c r="AL92">
        <f t="shared" si="18"/>
        <v>21.7865</v>
      </c>
      <c r="AM92">
        <f t="shared" si="19"/>
        <v>6.8182594670000007</v>
      </c>
      <c r="AP92" s="9"/>
      <c r="AQ92" s="22">
        <v>0.437164</v>
      </c>
      <c r="AR92" s="22">
        <v>203.184</v>
      </c>
      <c r="AS92" s="22">
        <v>-2.1511800000000001E-2</v>
      </c>
      <c r="AT92" s="22">
        <v>82</v>
      </c>
      <c r="AU92" s="22">
        <v>0.43643199999999999</v>
      </c>
      <c r="AV92">
        <f t="shared" si="20"/>
        <v>21.511800000000001</v>
      </c>
      <c r="AW92">
        <f t="shared" si="21"/>
        <v>9.4041845352000006</v>
      </c>
      <c r="AX92" s="9"/>
      <c r="AY92" s="22">
        <v>0.31295800000000001</v>
      </c>
      <c r="AZ92" s="22">
        <v>272.98099999999999</v>
      </c>
      <c r="BA92" s="22">
        <v>-2.17743E-2</v>
      </c>
      <c r="BB92" s="22">
        <v>82</v>
      </c>
      <c r="BC92" s="22">
        <v>0.31228600000000001</v>
      </c>
      <c r="BD92">
        <f t="shared" si="22"/>
        <v>21.7743</v>
      </c>
      <c r="BE92">
        <f t="shared" si="23"/>
        <v>6.8144413794000007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0.43212899999999999</v>
      </c>
      <c r="H93" s="22">
        <v>31.773099999999999</v>
      </c>
      <c r="I93" s="22">
        <v>-2.15271E-2</v>
      </c>
      <c r="J93" s="22">
        <v>83</v>
      </c>
      <c r="K93" s="22">
        <v>0.43145800000000001</v>
      </c>
      <c r="L93">
        <f t="shared" si="12"/>
        <v>21.527100000000001</v>
      </c>
      <c r="M93">
        <f t="shared" si="13"/>
        <v>9.3024841959</v>
      </c>
      <c r="N93" s="9"/>
      <c r="O93" s="22">
        <v>0.31799300000000003</v>
      </c>
      <c r="P93" s="22">
        <v>79.916799999999995</v>
      </c>
      <c r="Q93" s="22">
        <v>-2.1722399999999999E-2</v>
      </c>
      <c r="R93" s="22">
        <v>83</v>
      </c>
      <c r="S93" s="22">
        <v>0.31723000000000001</v>
      </c>
      <c r="T93">
        <f t="shared" si="14"/>
        <v>21.7224</v>
      </c>
      <c r="U93">
        <f t="shared" si="15"/>
        <v>6.9075711432000011</v>
      </c>
      <c r="X93" s="9"/>
      <c r="Y93" s="22">
        <v>0.43212899999999999</v>
      </c>
      <c r="Z93" s="22">
        <v>133.48699999999999</v>
      </c>
      <c r="AA93" s="22">
        <v>-2.1316499999999999E-2</v>
      </c>
      <c r="AB93" s="22">
        <v>83</v>
      </c>
      <c r="AC93" s="22">
        <v>0.43136600000000003</v>
      </c>
      <c r="AD93">
        <f t="shared" si="16"/>
        <v>21.316499999999998</v>
      </c>
      <c r="AE93">
        <f t="shared" si="17"/>
        <v>9.2114778284999979</v>
      </c>
      <c r="AF93" s="9"/>
      <c r="AG93" s="22">
        <v>0.31799300000000003</v>
      </c>
      <c r="AH93" s="22">
        <v>170.262</v>
      </c>
      <c r="AI93" s="22">
        <v>-2.1777299999999999E-2</v>
      </c>
      <c r="AJ93" s="22">
        <v>83</v>
      </c>
      <c r="AK93" s="22">
        <v>0.31753500000000001</v>
      </c>
      <c r="AL93">
        <f t="shared" si="18"/>
        <v>21.7773</v>
      </c>
      <c r="AM93">
        <f t="shared" si="19"/>
        <v>6.9250289589000005</v>
      </c>
      <c r="AP93" s="9"/>
      <c r="AQ93" s="22">
        <v>0.43212899999999999</v>
      </c>
      <c r="AR93" s="22">
        <v>203.285</v>
      </c>
      <c r="AS93" s="22">
        <v>-2.1520999999999998E-2</v>
      </c>
      <c r="AT93" s="22">
        <v>83</v>
      </c>
      <c r="AU93" s="22">
        <v>0.431427</v>
      </c>
      <c r="AV93">
        <f t="shared" si="20"/>
        <v>21.520999999999997</v>
      </c>
      <c r="AW93">
        <f t="shared" si="21"/>
        <v>9.2998482089999985</v>
      </c>
      <c r="AX93" s="9"/>
      <c r="AY93" s="22">
        <v>0.31799300000000003</v>
      </c>
      <c r="AZ93" s="22">
        <v>273.08199999999999</v>
      </c>
      <c r="BA93" s="22">
        <v>-2.17743E-2</v>
      </c>
      <c r="BB93" s="22">
        <v>83</v>
      </c>
      <c r="BC93" s="22">
        <v>0.31759599999999999</v>
      </c>
      <c r="BD93">
        <f t="shared" si="22"/>
        <v>21.7743</v>
      </c>
      <c r="BE93">
        <f t="shared" si="23"/>
        <v>6.9240749799000003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0.42709399999999997</v>
      </c>
      <c r="H94" s="22">
        <v>31.873799999999999</v>
      </c>
      <c r="I94" s="22">
        <v>-2.1536300000000001E-2</v>
      </c>
      <c r="J94" s="22">
        <v>84</v>
      </c>
      <c r="K94" s="22">
        <v>0.42669699999999999</v>
      </c>
      <c r="L94">
        <f t="shared" si="12"/>
        <v>21.536300000000001</v>
      </c>
      <c r="M94">
        <f t="shared" si="13"/>
        <v>9.1980245121999999</v>
      </c>
      <c r="N94" s="9"/>
      <c r="O94" s="22">
        <v>0.32302900000000001</v>
      </c>
      <c r="P94" s="22">
        <v>80.017499999999998</v>
      </c>
      <c r="Q94" s="22">
        <v>-2.17194E-2</v>
      </c>
      <c r="R94" s="22">
        <v>84</v>
      </c>
      <c r="S94" s="22">
        <v>0.32217400000000002</v>
      </c>
      <c r="T94">
        <f t="shared" si="14"/>
        <v>21.7194</v>
      </c>
      <c r="U94">
        <f t="shared" si="15"/>
        <v>7.0159960626000002</v>
      </c>
      <c r="X94" s="9"/>
      <c r="Y94" s="22">
        <v>0.42709399999999997</v>
      </c>
      <c r="Z94" s="22">
        <v>133.58699999999999</v>
      </c>
      <c r="AA94" s="22">
        <v>-2.1331800000000001E-2</v>
      </c>
      <c r="AB94" s="22">
        <v>84</v>
      </c>
      <c r="AC94" s="22">
        <v>0.426514</v>
      </c>
      <c r="AD94">
        <f t="shared" si="16"/>
        <v>21.331800000000001</v>
      </c>
      <c r="AE94">
        <f t="shared" si="17"/>
        <v>9.1106837891999994</v>
      </c>
      <c r="AF94" s="9"/>
      <c r="AG94" s="22">
        <v>0.32302900000000001</v>
      </c>
      <c r="AH94" s="22">
        <v>170.363</v>
      </c>
      <c r="AI94" s="22">
        <v>-2.17621E-2</v>
      </c>
      <c r="AJ94" s="22">
        <v>84</v>
      </c>
      <c r="AK94" s="22">
        <v>0.32253999999999999</v>
      </c>
      <c r="AL94">
        <f t="shared" si="18"/>
        <v>21.7621</v>
      </c>
      <c r="AM94">
        <f t="shared" si="19"/>
        <v>7.0297894009000004</v>
      </c>
      <c r="AP94" s="9"/>
      <c r="AQ94" s="22">
        <v>0.42709399999999997</v>
      </c>
      <c r="AR94" s="22">
        <v>203.38499999999999</v>
      </c>
      <c r="AS94" s="22">
        <v>-2.1530199999999999E-2</v>
      </c>
      <c r="AT94" s="22">
        <v>84</v>
      </c>
      <c r="AU94" s="22">
        <v>0.42654399999999998</v>
      </c>
      <c r="AV94">
        <f t="shared" si="20"/>
        <v>21.530200000000001</v>
      </c>
      <c r="AW94">
        <f t="shared" si="21"/>
        <v>9.1954192387999996</v>
      </c>
      <c r="AX94" s="9"/>
      <c r="AY94" s="22">
        <v>0.32302900000000001</v>
      </c>
      <c r="AZ94" s="22">
        <v>273.18200000000002</v>
      </c>
      <c r="BA94" s="22">
        <v>-2.17743E-2</v>
      </c>
      <c r="BB94" s="22">
        <v>84</v>
      </c>
      <c r="BC94" s="22">
        <v>0.322357</v>
      </c>
      <c r="BD94">
        <f t="shared" si="22"/>
        <v>21.7743</v>
      </c>
      <c r="BE94">
        <f t="shared" si="23"/>
        <v>7.0337303547000003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0.42205799999999999</v>
      </c>
      <c r="H95" s="22">
        <v>31.974499999999999</v>
      </c>
      <c r="I95" s="22">
        <v>-2.15546E-2</v>
      </c>
      <c r="J95" s="22">
        <v>85</v>
      </c>
      <c r="K95" s="22">
        <v>0.421234</v>
      </c>
      <c r="L95">
        <f t="shared" si="12"/>
        <v>21.554600000000001</v>
      </c>
      <c r="M95">
        <f t="shared" si="13"/>
        <v>9.0972913668000004</v>
      </c>
      <c r="N95" s="9"/>
      <c r="O95" s="22">
        <v>0.32806400000000002</v>
      </c>
      <c r="P95" s="22">
        <v>80.118200000000002</v>
      </c>
      <c r="Q95" s="22">
        <v>-2.1710199999999999E-2</v>
      </c>
      <c r="R95" s="22">
        <v>85</v>
      </c>
      <c r="S95" s="22">
        <v>0.32705699999999999</v>
      </c>
      <c r="T95">
        <f t="shared" si="14"/>
        <v>21.7102</v>
      </c>
      <c r="U95">
        <f t="shared" si="15"/>
        <v>7.1223350528000005</v>
      </c>
      <c r="X95" s="9"/>
      <c r="Y95" s="22">
        <v>0.42205799999999999</v>
      </c>
      <c r="Z95" s="22">
        <v>133.68799999999999</v>
      </c>
      <c r="AA95" s="22">
        <v>-2.1359300000000001E-2</v>
      </c>
      <c r="AB95" s="22">
        <v>85</v>
      </c>
      <c r="AC95" s="22">
        <v>0.421539</v>
      </c>
      <c r="AD95">
        <f t="shared" si="16"/>
        <v>21.359300000000001</v>
      </c>
      <c r="AE95">
        <f t="shared" si="17"/>
        <v>9.0148634394000009</v>
      </c>
      <c r="AF95" s="9"/>
      <c r="AG95" s="22">
        <v>0.32806400000000002</v>
      </c>
      <c r="AH95" s="22">
        <v>170.464</v>
      </c>
      <c r="AI95" s="22">
        <v>-2.1740700000000002E-2</v>
      </c>
      <c r="AJ95" s="22">
        <v>85</v>
      </c>
      <c r="AK95" s="22">
        <v>0.32714799999999999</v>
      </c>
      <c r="AL95">
        <f t="shared" si="18"/>
        <v>21.7407</v>
      </c>
      <c r="AM95">
        <f t="shared" si="19"/>
        <v>7.1323410048000007</v>
      </c>
      <c r="AP95" s="9"/>
      <c r="AQ95" s="22">
        <v>0.42205799999999999</v>
      </c>
      <c r="AR95" s="22">
        <v>203.48599999999999</v>
      </c>
      <c r="AS95" s="22">
        <v>-2.1536300000000001E-2</v>
      </c>
      <c r="AT95" s="22">
        <v>85</v>
      </c>
      <c r="AU95" s="22">
        <v>0.42138700000000001</v>
      </c>
      <c r="AV95">
        <f t="shared" si="20"/>
        <v>21.536300000000001</v>
      </c>
      <c r="AW95">
        <f t="shared" si="21"/>
        <v>9.0895677054000004</v>
      </c>
      <c r="AX95" s="9"/>
      <c r="AY95" s="22">
        <v>0.32806400000000002</v>
      </c>
      <c r="AZ95" s="22">
        <v>273.28300000000002</v>
      </c>
      <c r="BA95" s="22">
        <v>-2.1743800000000001E-2</v>
      </c>
      <c r="BB95" s="22">
        <v>85</v>
      </c>
      <c r="BC95" s="22">
        <v>0.32745400000000002</v>
      </c>
      <c r="BD95">
        <f t="shared" si="22"/>
        <v>21.7438</v>
      </c>
      <c r="BE95">
        <f t="shared" si="23"/>
        <v>7.1333580032000006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0.41702299999999998</v>
      </c>
      <c r="H96" s="22">
        <v>32.075200000000002</v>
      </c>
      <c r="I96" s="22">
        <v>-2.1563700000000002E-2</v>
      </c>
      <c r="J96" s="22">
        <v>86</v>
      </c>
      <c r="K96" s="22">
        <v>0.41638199999999997</v>
      </c>
      <c r="L96">
        <f t="shared" si="12"/>
        <v>21.563700000000001</v>
      </c>
      <c r="M96">
        <f t="shared" si="13"/>
        <v>8.9925588650999995</v>
      </c>
      <c r="N96" s="9"/>
      <c r="O96" s="22">
        <v>0.33309899999999998</v>
      </c>
      <c r="P96" s="22">
        <v>80.218900000000005</v>
      </c>
      <c r="Q96" s="22">
        <v>-2.1701000000000002E-2</v>
      </c>
      <c r="R96" s="22">
        <v>86</v>
      </c>
      <c r="S96" s="22">
        <v>0.33233600000000002</v>
      </c>
      <c r="T96">
        <f t="shared" si="14"/>
        <v>21.701000000000001</v>
      </c>
      <c r="U96">
        <f t="shared" si="15"/>
        <v>7.2285813989999994</v>
      </c>
      <c r="X96" s="9"/>
      <c r="Y96" s="22">
        <v>0.41702299999999998</v>
      </c>
      <c r="Z96" s="22">
        <v>133.78899999999999</v>
      </c>
      <c r="AA96" s="22">
        <v>-2.1383699999999999E-2</v>
      </c>
      <c r="AB96" s="22">
        <v>86</v>
      </c>
      <c r="AC96" s="22">
        <v>0.41626000000000002</v>
      </c>
      <c r="AD96">
        <f t="shared" si="16"/>
        <v>21.383699999999997</v>
      </c>
      <c r="AE96">
        <f t="shared" si="17"/>
        <v>8.9174947250999992</v>
      </c>
      <c r="AF96" s="9"/>
      <c r="AG96" s="22">
        <v>0.33309899999999998</v>
      </c>
      <c r="AH96" s="22">
        <v>170.56399999999999</v>
      </c>
      <c r="AI96" s="22">
        <v>-2.1743800000000001E-2</v>
      </c>
      <c r="AJ96" s="22">
        <v>86</v>
      </c>
      <c r="AK96" s="22">
        <v>0.333069</v>
      </c>
      <c r="AL96">
        <f t="shared" si="18"/>
        <v>21.7438</v>
      </c>
      <c r="AM96">
        <f t="shared" si="19"/>
        <v>7.2428380361999993</v>
      </c>
      <c r="AP96" s="9"/>
      <c r="AQ96" s="22">
        <v>0.41702299999999998</v>
      </c>
      <c r="AR96" s="22">
        <v>203.58699999999999</v>
      </c>
      <c r="AS96" s="22">
        <v>-2.1551500000000001E-2</v>
      </c>
      <c r="AT96" s="22">
        <v>86</v>
      </c>
      <c r="AU96" s="22">
        <v>0.41638199999999997</v>
      </c>
      <c r="AV96">
        <f t="shared" si="20"/>
        <v>21.551500000000001</v>
      </c>
      <c r="AW96">
        <f t="shared" si="21"/>
        <v>8.9874711845000004</v>
      </c>
      <c r="AX96" s="9"/>
      <c r="AY96" s="22">
        <v>0.33309899999999998</v>
      </c>
      <c r="AZ96" s="22">
        <v>273.38400000000001</v>
      </c>
      <c r="BA96" s="22">
        <v>-2.17346E-2</v>
      </c>
      <c r="BB96" s="22">
        <v>86</v>
      </c>
      <c r="BC96" s="22">
        <v>0.33248899999999998</v>
      </c>
      <c r="BD96">
        <f t="shared" si="22"/>
        <v>21.7346</v>
      </c>
      <c r="BE96">
        <f t="shared" si="23"/>
        <v>7.2397735253999995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0.41198699999999999</v>
      </c>
      <c r="H97" s="22">
        <v>32.175899999999999</v>
      </c>
      <c r="I97" s="22">
        <v>-2.1572899999999999E-2</v>
      </c>
      <c r="J97" s="22">
        <v>87</v>
      </c>
      <c r="K97" s="22">
        <v>0.41137699999999999</v>
      </c>
      <c r="L97">
        <f t="shared" si="12"/>
        <v>21.572900000000001</v>
      </c>
      <c r="M97">
        <f t="shared" si="13"/>
        <v>8.8877543523</v>
      </c>
      <c r="N97" s="9"/>
      <c r="O97" s="22">
        <v>0.33813500000000002</v>
      </c>
      <c r="P97" s="22">
        <v>80.319599999999994</v>
      </c>
      <c r="Q97" s="22">
        <v>-2.16949E-2</v>
      </c>
      <c r="R97" s="22">
        <v>87</v>
      </c>
      <c r="S97" s="22">
        <v>0.33731100000000003</v>
      </c>
      <c r="T97">
        <f t="shared" si="14"/>
        <v>21.694900000000001</v>
      </c>
      <c r="U97">
        <f t="shared" si="15"/>
        <v>7.3358050115000006</v>
      </c>
      <c r="X97" s="9"/>
      <c r="Y97" s="22">
        <v>0.41198699999999999</v>
      </c>
      <c r="Z97" s="22">
        <v>133.88900000000001</v>
      </c>
      <c r="AA97" s="22">
        <v>-2.1402000000000001E-2</v>
      </c>
      <c r="AB97" s="22">
        <v>87</v>
      </c>
      <c r="AC97" s="22">
        <v>0.41125499999999998</v>
      </c>
      <c r="AD97">
        <f t="shared" si="16"/>
        <v>21.402000000000001</v>
      </c>
      <c r="AE97">
        <f t="shared" si="17"/>
        <v>8.8173457739999996</v>
      </c>
      <c r="AF97" s="9"/>
      <c r="AG97" s="22">
        <v>0.33813500000000002</v>
      </c>
      <c r="AH97" s="22">
        <v>170.66499999999999</v>
      </c>
      <c r="AI97" s="22">
        <v>-2.17468E-2</v>
      </c>
      <c r="AJ97" s="22">
        <v>87</v>
      </c>
      <c r="AK97" s="22">
        <v>0.33752399999999999</v>
      </c>
      <c r="AL97">
        <f t="shared" si="18"/>
        <v>21.7468</v>
      </c>
      <c r="AM97">
        <f t="shared" si="19"/>
        <v>7.3533542180000007</v>
      </c>
      <c r="AP97" s="9"/>
      <c r="AQ97" s="22">
        <v>0.41198699999999999</v>
      </c>
      <c r="AR97" s="22">
        <v>203.68700000000001</v>
      </c>
      <c r="AS97" s="22">
        <v>-2.1566800000000001E-2</v>
      </c>
      <c r="AT97" s="22">
        <v>87</v>
      </c>
      <c r="AU97" s="22">
        <v>0.41137699999999999</v>
      </c>
      <c r="AV97">
        <f t="shared" si="20"/>
        <v>21.566800000000001</v>
      </c>
      <c r="AW97">
        <f t="shared" si="21"/>
        <v>8.8852412316000002</v>
      </c>
      <c r="AX97" s="9"/>
      <c r="AY97" s="22">
        <v>0.33813500000000002</v>
      </c>
      <c r="AZ97" s="22">
        <v>273.48399999999998</v>
      </c>
      <c r="BA97" s="22">
        <v>-2.1728500000000001E-2</v>
      </c>
      <c r="BB97" s="22">
        <v>87</v>
      </c>
      <c r="BC97" s="22">
        <v>0.33792100000000003</v>
      </c>
      <c r="BD97">
        <f t="shared" si="22"/>
        <v>21.7285</v>
      </c>
      <c r="BE97">
        <f t="shared" si="23"/>
        <v>7.3471663475000009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0.40695199999999998</v>
      </c>
      <c r="H98" s="22">
        <v>32.276600000000002</v>
      </c>
      <c r="I98" s="22">
        <v>-2.15973E-2</v>
      </c>
      <c r="J98" s="22">
        <v>88</v>
      </c>
      <c r="K98" s="22">
        <v>0.40637200000000001</v>
      </c>
      <c r="L98">
        <f t="shared" si="12"/>
        <v>21.597300000000001</v>
      </c>
      <c r="M98">
        <f t="shared" si="13"/>
        <v>8.7890644295999998</v>
      </c>
      <c r="N98" s="9"/>
      <c r="O98" s="22">
        <v>0.34316999999999998</v>
      </c>
      <c r="P98" s="22">
        <v>80.420299999999997</v>
      </c>
      <c r="Q98" s="22">
        <v>-2.1670499999999999E-2</v>
      </c>
      <c r="R98" s="22">
        <v>88</v>
      </c>
      <c r="S98" s="22">
        <v>0.34252899999999997</v>
      </c>
      <c r="T98">
        <f t="shared" si="14"/>
        <v>21.670500000000001</v>
      </c>
      <c r="U98">
        <f t="shared" si="15"/>
        <v>7.4366654849999998</v>
      </c>
      <c r="X98" s="9"/>
      <c r="Y98" s="22">
        <v>0.40695199999999998</v>
      </c>
      <c r="Z98" s="22">
        <v>133.99</v>
      </c>
      <c r="AA98" s="22">
        <v>-2.1423299999999999E-2</v>
      </c>
      <c r="AB98" s="22">
        <v>88</v>
      </c>
      <c r="AC98" s="22">
        <v>0.40625</v>
      </c>
      <c r="AD98">
        <f t="shared" si="16"/>
        <v>21.423299999999998</v>
      </c>
      <c r="AE98">
        <f t="shared" si="17"/>
        <v>8.7182547815999989</v>
      </c>
      <c r="AF98" s="9"/>
      <c r="AG98" s="22">
        <v>0.34316999999999998</v>
      </c>
      <c r="AH98" s="22">
        <v>170.76599999999999</v>
      </c>
      <c r="AI98" s="22">
        <v>-2.1728500000000001E-2</v>
      </c>
      <c r="AJ98" s="22">
        <v>88</v>
      </c>
      <c r="AK98" s="22">
        <v>0.34259000000000001</v>
      </c>
      <c r="AL98">
        <f t="shared" si="18"/>
        <v>21.7285</v>
      </c>
      <c r="AM98">
        <f t="shared" si="19"/>
        <v>7.4565693449999992</v>
      </c>
      <c r="AP98" s="9"/>
      <c r="AQ98" s="22">
        <v>0.40695199999999998</v>
      </c>
      <c r="AR98" s="22">
        <v>203.78800000000001</v>
      </c>
      <c r="AS98" s="22">
        <v>-2.1582E-2</v>
      </c>
      <c r="AT98" s="22">
        <v>88</v>
      </c>
      <c r="AU98" s="22">
        <v>0.40603600000000001</v>
      </c>
      <c r="AV98">
        <f t="shared" si="20"/>
        <v>21.582000000000001</v>
      </c>
      <c r="AW98">
        <f t="shared" si="21"/>
        <v>8.7828380639999999</v>
      </c>
      <c r="AX98" s="9"/>
      <c r="AY98" s="22">
        <v>0.34316999999999998</v>
      </c>
      <c r="AZ98" s="22">
        <v>273.58499999999998</v>
      </c>
      <c r="BA98" s="22">
        <v>-2.17194E-2</v>
      </c>
      <c r="BB98" s="22">
        <v>88</v>
      </c>
      <c r="BC98" s="22">
        <v>0.34255999999999998</v>
      </c>
      <c r="BD98">
        <f t="shared" si="22"/>
        <v>21.7194</v>
      </c>
      <c r="BE98">
        <f t="shared" si="23"/>
        <v>7.4534464979999999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0.40191700000000002</v>
      </c>
      <c r="H99" s="22">
        <v>32.377299999999998</v>
      </c>
      <c r="I99" s="22">
        <v>-2.16125E-2</v>
      </c>
      <c r="J99" s="22">
        <v>89</v>
      </c>
      <c r="K99" s="22">
        <v>0.40136699999999997</v>
      </c>
      <c r="L99">
        <f t="shared" si="12"/>
        <v>21.612500000000001</v>
      </c>
      <c r="M99">
        <f t="shared" si="13"/>
        <v>8.6864311625000017</v>
      </c>
      <c r="N99" s="9"/>
      <c r="O99" s="22">
        <v>0.34820600000000002</v>
      </c>
      <c r="P99" s="22">
        <v>80.521000000000001</v>
      </c>
      <c r="Q99" s="22">
        <v>-2.1661400000000001E-2</v>
      </c>
      <c r="R99" s="22">
        <v>89</v>
      </c>
      <c r="S99" s="22">
        <v>0.34738200000000002</v>
      </c>
      <c r="T99">
        <f t="shared" si="14"/>
        <v>21.6614</v>
      </c>
      <c r="U99">
        <f t="shared" si="15"/>
        <v>7.5426294484000005</v>
      </c>
      <c r="X99" s="9"/>
      <c r="Y99" s="22">
        <v>0.40191700000000002</v>
      </c>
      <c r="Z99" s="22">
        <v>134.09100000000001</v>
      </c>
      <c r="AA99" s="22">
        <v>-2.14203E-2</v>
      </c>
      <c r="AB99" s="22">
        <v>89</v>
      </c>
      <c r="AC99" s="22">
        <v>0.40121499999999999</v>
      </c>
      <c r="AD99">
        <f t="shared" si="16"/>
        <v>21.420300000000001</v>
      </c>
      <c r="AE99">
        <f t="shared" si="17"/>
        <v>8.6091827151000011</v>
      </c>
      <c r="AF99" s="9"/>
      <c r="AG99" s="22">
        <v>0.34820600000000002</v>
      </c>
      <c r="AH99" s="22">
        <v>170.86600000000001</v>
      </c>
      <c r="AI99" s="22">
        <v>-2.1713300000000001E-2</v>
      </c>
      <c r="AJ99" s="22">
        <v>89</v>
      </c>
      <c r="AK99" s="22">
        <v>0.34799200000000002</v>
      </c>
      <c r="AL99">
        <f t="shared" si="18"/>
        <v>21.7133</v>
      </c>
      <c r="AM99">
        <f t="shared" si="19"/>
        <v>7.5607013398000005</v>
      </c>
      <c r="AP99" s="9"/>
      <c r="AQ99" s="22">
        <v>0.40191700000000002</v>
      </c>
      <c r="AR99" s="22">
        <v>203.88900000000001</v>
      </c>
      <c r="AS99" s="22">
        <v>-2.1591200000000001E-2</v>
      </c>
      <c r="AT99" s="22">
        <v>89</v>
      </c>
      <c r="AU99" s="22">
        <v>0.40139799999999998</v>
      </c>
      <c r="AV99">
        <f t="shared" si="20"/>
        <v>21.591200000000001</v>
      </c>
      <c r="AW99">
        <f t="shared" si="21"/>
        <v>8.6778703304000011</v>
      </c>
      <c r="AX99" s="9"/>
      <c r="AY99" s="22">
        <v>0.34820600000000002</v>
      </c>
      <c r="AZ99" s="22">
        <v>273.68599999999998</v>
      </c>
      <c r="BA99" s="22">
        <v>-2.1713300000000001E-2</v>
      </c>
      <c r="BB99" s="22">
        <v>89</v>
      </c>
      <c r="BC99" s="22">
        <v>0.34753400000000001</v>
      </c>
      <c r="BD99">
        <f t="shared" si="22"/>
        <v>21.7133</v>
      </c>
      <c r="BE99">
        <f t="shared" si="23"/>
        <v>7.5607013398000005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0.39688099999999998</v>
      </c>
      <c r="H100" s="22">
        <v>32.478000000000002</v>
      </c>
      <c r="I100" s="22">
        <v>-2.16095E-2</v>
      </c>
      <c r="J100" s="22">
        <v>90</v>
      </c>
      <c r="K100" s="22">
        <v>0.39636199999999999</v>
      </c>
      <c r="L100">
        <f t="shared" si="12"/>
        <v>21.609500000000001</v>
      </c>
      <c r="M100">
        <f t="shared" si="13"/>
        <v>8.5763999695000006</v>
      </c>
      <c r="N100" s="9"/>
      <c r="O100" s="22">
        <v>0.35324100000000003</v>
      </c>
      <c r="P100" s="22">
        <v>80.621700000000004</v>
      </c>
      <c r="Q100" s="22">
        <v>-2.1661400000000001E-2</v>
      </c>
      <c r="R100" s="22">
        <v>90</v>
      </c>
      <c r="S100" s="22">
        <v>0.35238599999999998</v>
      </c>
      <c r="T100">
        <f t="shared" si="14"/>
        <v>21.6614</v>
      </c>
      <c r="U100">
        <f t="shared" si="15"/>
        <v>7.6516945974000006</v>
      </c>
      <c r="X100" s="9"/>
      <c r="Y100" s="22">
        <v>0.39688099999999998</v>
      </c>
      <c r="Z100" s="22">
        <v>134.19200000000001</v>
      </c>
      <c r="AA100" s="22">
        <v>-2.1441700000000001E-2</v>
      </c>
      <c r="AB100" s="22">
        <v>90</v>
      </c>
      <c r="AC100" s="22">
        <v>0.39621000000000001</v>
      </c>
      <c r="AD100">
        <f t="shared" si="16"/>
        <v>21.441700000000001</v>
      </c>
      <c r="AE100">
        <f t="shared" si="17"/>
        <v>8.5098033376999993</v>
      </c>
      <c r="AF100" s="9"/>
      <c r="AG100" s="22">
        <v>0.35324100000000003</v>
      </c>
      <c r="AH100" s="22">
        <v>170.96700000000001</v>
      </c>
      <c r="AI100" s="22">
        <v>-2.17041E-2</v>
      </c>
      <c r="AJ100" s="22">
        <v>90</v>
      </c>
      <c r="AK100" s="22">
        <v>0.35220299999999999</v>
      </c>
      <c r="AL100">
        <f t="shared" si="18"/>
        <v>21.7041</v>
      </c>
      <c r="AM100">
        <f t="shared" si="19"/>
        <v>7.6667779881000007</v>
      </c>
      <c r="AP100" s="9"/>
      <c r="AQ100" s="22">
        <v>0.39688099999999998</v>
      </c>
      <c r="AR100" s="22">
        <v>203.989</v>
      </c>
      <c r="AS100" s="22">
        <v>-2.1606400000000001E-2</v>
      </c>
      <c r="AT100" s="22">
        <v>90</v>
      </c>
      <c r="AU100" s="22">
        <v>0.39627099999999998</v>
      </c>
      <c r="AV100">
        <f t="shared" si="20"/>
        <v>21.606400000000001</v>
      </c>
      <c r="AW100">
        <f t="shared" si="21"/>
        <v>8.5751696384000002</v>
      </c>
      <c r="AX100" s="9"/>
      <c r="AY100" s="22">
        <v>0.35324100000000003</v>
      </c>
      <c r="AZ100" s="22">
        <v>273.78699999999998</v>
      </c>
      <c r="BA100" s="22">
        <v>-2.16919E-2</v>
      </c>
      <c r="BB100" s="22">
        <v>90</v>
      </c>
      <c r="BC100" s="22">
        <v>0.35256999999999999</v>
      </c>
      <c r="BD100">
        <f t="shared" si="22"/>
        <v>21.6919</v>
      </c>
      <c r="BE100">
        <f t="shared" si="23"/>
        <v>7.6624684479000011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0.39184600000000003</v>
      </c>
      <c r="H101" s="22">
        <v>32.578699999999998</v>
      </c>
      <c r="I101" s="22">
        <v>-2.16125E-2</v>
      </c>
      <c r="J101" s="22">
        <v>91</v>
      </c>
      <c r="K101" s="22">
        <v>0.39120500000000002</v>
      </c>
      <c r="L101">
        <f t="shared" si="12"/>
        <v>21.612500000000001</v>
      </c>
      <c r="M101">
        <f t="shared" si="13"/>
        <v>8.4687716750000011</v>
      </c>
      <c r="N101" s="9"/>
      <c r="O101" s="22">
        <v>0.35827599999999998</v>
      </c>
      <c r="P101" s="22">
        <v>80.722399999999993</v>
      </c>
      <c r="Q101" s="22">
        <v>-2.16522E-2</v>
      </c>
      <c r="R101" s="22">
        <v>91</v>
      </c>
      <c r="S101" s="22">
        <v>0.35769699999999999</v>
      </c>
      <c r="T101">
        <f t="shared" si="14"/>
        <v>21.652200000000001</v>
      </c>
      <c r="U101">
        <f t="shared" si="15"/>
        <v>7.7574636072000001</v>
      </c>
      <c r="X101" s="9"/>
      <c r="Y101" s="22">
        <v>0.39184600000000003</v>
      </c>
      <c r="Z101" s="22">
        <v>134.292</v>
      </c>
      <c r="AA101" s="22">
        <v>-2.1441700000000001E-2</v>
      </c>
      <c r="AB101" s="22">
        <v>91</v>
      </c>
      <c r="AC101" s="22">
        <v>0.39147900000000002</v>
      </c>
      <c r="AD101">
        <f t="shared" si="16"/>
        <v>21.441700000000001</v>
      </c>
      <c r="AE101">
        <f t="shared" si="17"/>
        <v>8.4018443782000016</v>
      </c>
      <c r="AF101" s="9"/>
      <c r="AG101" s="22">
        <v>0.35827599999999998</v>
      </c>
      <c r="AH101" s="22">
        <v>171.06800000000001</v>
      </c>
      <c r="AI101" s="22">
        <v>-2.1682699999999999E-2</v>
      </c>
      <c r="AJ101" s="22">
        <v>91</v>
      </c>
      <c r="AK101" s="22">
        <v>0.357483</v>
      </c>
      <c r="AL101">
        <f t="shared" si="18"/>
        <v>21.682700000000001</v>
      </c>
      <c r="AM101">
        <f t="shared" si="19"/>
        <v>7.7683910251999997</v>
      </c>
      <c r="AP101" s="9"/>
      <c r="AQ101" s="22">
        <v>0.39184600000000003</v>
      </c>
      <c r="AR101" s="22">
        <v>204.09</v>
      </c>
      <c r="AS101" s="22">
        <v>-2.16125E-2</v>
      </c>
      <c r="AT101" s="22">
        <v>91</v>
      </c>
      <c r="AU101" s="22">
        <v>0.39083899999999999</v>
      </c>
      <c r="AV101">
        <f t="shared" si="20"/>
        <v>21.612500000000001</v>
      </c>
      <c r="AW101">
        <f t="shared" si="21"/>
        <v>8.4687716750000011</v>
      </c>
      <c r="AX101" s="9"/>
      <c r="AY101" s="22">
        <v>0.35827599999999998</v>
      </c>
      <c r="AZ101" s="22">
        <v>273.887</v>
      </c>
      <c r="BA101" s="22">
        <v>-2.1685800000000002E-2</v>
      </c>
      <c r="BB101" s="22">
        <v>91</v>
      </c>
      <c r="BC101" s="22">
        <v>0.35772700000000002</v>
      </c>
      <c r="BD101">
        <f t="shared" si="22"/>
        <v>21.6858</v>
      </c>
      <c r="BE101">
        <f t="shared" si="23"/>
        <v>7.7695016807999995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0.38680999999999999</v>
      </c>
      <c r="H102" s="22">
        <v>32.679400000000001</v>
      </c>
      <c r="I102" s="22">
        <v>-2.164E-2</v>
      </c>
      <c r="J102" s="22">
        <v>92</v>
      </c>
      <c r="K102" s="22">
        <v>0.38577299999999998</v>
      </c>
      <c r="L102">
        <f t="shared" si="12"/>
        <v>21.64</v>
      </c>
      <c r="M102">
        <f t="shared" si="13"/>
        <v>8.3705683999999998</v>
      </c>
      <c r="N102" s="9"/>
      <c r="O102" s="22">
        <v>0.36331200000000002</v>
      </c>
      <c r="P102" s="22">
        <v>80.8232</v>
      </c>
      <c r="Q102" s="22">
        <v>-2.164E-2</v>
      </c>
      <c r="R102" s="22">
        <v>92</v>
      </c>
      <c r="S102" s="22">
        <v>0.36236600000000002</v>
      </c>
      <c r="T102">
        <f t="shared" si="14"/>
        <v>21.64</v>
      </c>
      <c r="U102">
        <f t="shared" si="15"/>
        <v>7.8620716800000006</v>
      </c>
      <c r="X102" s="9"/>
      <c r="Y102" s="22">
        <v>0.38680999999999999</v>
      </c>
      <c r="Z102" s="22">
        <v>134.393</v>
      </c>
      <c r="AA102" s="22">
        <v>-2.1469100000000001E-2</v>
      </c>
      <c r="AB102" s="22">
        <v>92</v>
      </c>
      <c r="AC102" s="22">
        <v>0.385986</v>
      </c>
      <c r="AD102">
        <f t="shared" si="16"/>
        <v>21.469100000000001</v>
      </c>
      <c r="AE102">
        <f t="shared" si="17"/>
        <v>8.3044625710000002</v>
      </c>
      <c r="AF102" s="9"/>
      <c r="AG102" s="22">
        <v>0.36331200000000002</v>
      </c>
      <c r="AH102" s="22">
        <v>171.16800000000001</v>
      </c>
      <c r="AI102" s="22">
        <v>-2.1685800000000002E-2</v>
      </c>
      <c r="AJ102" s="22">
        <v>92</v>
      </c>
      <c r="AK102" s="22">
        <v>0.36260999999999999</v>
      </c>
      <c r="AL102">
        <f t="shared" si="18"/>
        <v>21.6858</v>
      </c>
      <c r="AM102">
        <f t="shared" si="19"/>
        <v>7.8787113696000004</v>
      </c>
      <c r="AP102" s="9"/>
      <c r="AQ102" s="22">
        <v>0.38680999999999999</v>
      </c>
      <c r="AR102" s="22">
        <v>204.191</v>
      </c>
      <c r="AS102" s="22">
        <v>-2.1627799999999999E-2</v>
      </c>
      <c r="AT102" s="22">
        <v>92</v>
      </c>
      <c r="AU102" s="22">
        <v>0.386322</v>
      </c>
      <c r="AV102">
        <f t="shared" si="20"/>
        <v>21.627800000000001</v>
      </c>
      <c r="AW102">
        <f t="shared" si="21"/>
        <v>8.3658493180000004</v>
      </c>
      <c r="AX102" s="9"/>
      <c r="AY102" s="22">
        <v>0.36331200000000002</v>
      </c>
      <c r="AZ102" s="22">
        <v>273.988</v>
      </c>
      <c r="BA102" s="22">
        <v>-2.16797E-2</v>
      </c>
      <c r="BB102" s="22">
        <v>92</v>
      </c>
      <c r="BC102" s="22">
        <v>0.36294599999999999</v>
      </c>
      <c r="BD102">
        <f t="shared" si="22"/>
        <v>21.6797</v>
      </c>
      <c r="BE102">
        <f t="shared" si="23"/>
        <v>7.8764951664000007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0.38177499999999998</v>
      </c>
      <c r="H103" s="22">
        <v>32.780099999999997</v>
      </c>
      <c r="I103" s="22">
        <v>-2.1673600000000001E-2</v>
      </c>
      <c r="J103" s="22">
        <v>93</v>
      </c>
      <c r="K103" s="22">
        <v>0.38128699999999999</v>
      </c>
      <c r="L103">
        <f t="shared" si="12"/>
        <v>21.6736</v>
      </c>
      <c r="M103">
        <f t="shared" si="13"/>
        <v>8.2744386399999996</v>
      </c>
      <c r="N103" s="9"/>
      <c r="O103" s="22">
        <v>0.36834699999999998</v>
      </c>
      <c r="P103" s="22">
        <v>80.923900000000003</v>
      </c>
      <c r="Q103" s="22">
        <v>-2.1615599999999999E-2</v>
      </c>
      <c r="R103" s="22">
        <v>93</v>
      </c>
      <c r="S103" s="22">
        <v>0.36758400000000002</v>
      </c>
      <c r="T103">
        <f t="shared" si="14"/>
        <v>21.615599999999997</v>
      </c>
      <c r="U103">
        <f t="shared" si="15"/>
        <v>7.9620414131999988</v>
      </c>
      <c r="X103" s="9"/>
      <c r="Y103" s="22">
        <v>0.38177499999999998</v>
      </c>
      <c r="Z103" s="22">
        <v>134.494</v>
      </c>
      <c r="AA103" s="22">
        <v>-2.14752E-2</v>
      </c>
      <c r="AB103" s="22">
        <v>93</v>
      </c>
      <c r="AC103" s="22">
        <v>0.38101200000000002</v>
      </c>
      <c r="AD103">
        <f t="shared" si="16"/>
        <v>21.475200000000001</v>
      </c>
      <c r="AE103">
        <f t="shared" si="17"/>
        <v>8.1986944800000003</v>
      </c>
      <c r="AF103" s="9"/>
      <c r="AG103" s="22">
        <v>0.36834699999999998</v>
      </c>
      <c r="AH103" s="22">
        <v>171.26900000000001</v>
      </c>
      <c r="AI103" s="22">
        <v>-2.16644E-2</v>
      </c>
      <c r="AJ103" s="22">
        <v>93</v>
      </c>
      <c r="AK103" s="22">
        <v>0.36792000000000002</v>
      </c>
      <c r="AL103">
        <f t="shared" si="18"/>
        <v>21.664400000000001</v>
      </c>
      <c r="AM103">
        <f t="shared" si="19"/>
        <v>7.9800167467999996</v>
      </c>
      <c r="AP103" s="9"/>
      <c r="AQ103" s="22">
        <v>0.38177499999999998</v>
      </c>
      <c r="AR103" s="22">
        <v>204.292</v>
      </c>
      <c r="AS103" s="22">
        <v>-2.1637E-2</v>
      </c>
      <c r="AT103" s="22">
        <v>93</v>
      </c>
      <c r="AU103" s="22">
        <v>0.38095099999999998</v>
      </c>
      <c r="AV103">
        <f t="shared" si="20"/>
        <v>21.637</v>
      </c>
      <c r="AW103">
        <f t="shared" si="21"/>
        <v>8.260465674999999</v>
      </c>
      <c r="AX103" s="9"/>
      <c r="AY103" s="22">
        <v>0.36834699999999998</v>
      </c>
      <c r="AZ103" s="22">
        <v>274.089</v>
      </c>
      <c r="BA103" s="22">
        <v>-2.1658299999999998E-2</v>
      </c>
      <c r="BB103" s="22">
        <v>93</v>
      </c>
      <c r="BC103" s="22">
        <v>0.367645</v>
      </c>
      <c r="BD103">
        <f t="shared" si="22"/>
        <v>21.658299999999997</v>
      </c>
      <c r="BE103">
        <f t="shared" si="23"/>
        <v>7.9777698300999988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0.37674000000000002</v>
      </c>
      <c r="H104" s="22">
        <v>32.880800000000001</v>
      </c>
      <c r="I104" s="22">
        <v>-2.16949E-2</v>
      </c>
      <c r="J104" s="22">
        <v>94</v>
      </c>
      <c r="K104" s="22">
        <v>0.37640400000000002</v>
      </c>
      <c r="L104">
        <f t="shared" si="12"/>
        <v>21.694900000000001</v>
      </c>
      <c r="M104">
        <f t="shared" si="13"/>
        <v>8.1733366260000011</v>
      </c>
      <c r="N104" s="9"/>
      <c r="O104" s="22">
        <v>0.37338300000000002</v>
      </c>
      <c r="P104" s="22">
        <v>81.024600000000007</v>
      </c>
      <c r="Q104" s="22">
        <v>-2.1600299999999999E-2</v>
      </c>
      <c r="R104" s="22">
        <v>94</v>
      </c>
      <c r="S104" s="22">
        <v>0.37252800000000003</v>
      </c>
      <c r="T104">
        <f t="shared" si="14"/>
        <v>21.600300000000001</v>
      </c>
      <c r="U104">
        <f t="shared" si="15"/>
        <v>8.0651848149000003</v>
      </c>
      <c r="X104" s="9"/>
      <c r="Y104" s="22">
        <v>0.37674000000000002</v>
      </c>
      <c r="Z104" s="22">
        <v>134.59399999999999</v>
      </c>
      <c r="AA104" s="22">
        <v>-2.1490499999999999E-2</v>
      </c>
      <c r="AB104" s="22">
        <v>94</v>
      </c>
      <c r="AC104" s="22">
        <v>0.37615999999999999</v>
      </c>
      <c r="AD104">
        <f t="shared" si="16"/>
        <v>21.490500000000001</v>
      </c>
      <c r="AE104">
        <f t="shared" si="17"/>
        <v>8.0963309700000003</v>
      </c>
      <c r="AF104" s="9"/>
      <c r="AG104" s="22">
        <v>0.37338300000000002</v>
      </c>
      <c r="AH104" s="22">
        <v>171.37</v>
      </c>
      <c r="AI104" s="22">
        <v>-2.16522E-2</v>
      </c>
      <c r="AJ104" s="22">
        <v>94</v>
      </c>
      <c r="AK104" s="22">
        <v>0.37255899999999997</v>
      </c>
      <c r="AL104">
        <f t="shared" si="18"/>
        <v>21.652200000000001</v>
      </c>
      <c r="AM104">
        <f t="shared" si="19"/>
        <v>8.0845633925999998</v>
      </c>
      <c r="AP104" s="9"/>
      <c r="AQ104" s="22">
        <v>0.37674000000000002</v>
      </c>
      <c r="AR104" s="22">
        <v>204.392</v>
      </c>
      <c r="AS104" s="22">
        <v>-2.164E-2</v>
      </c>
      <c r="AT104" s="22">
        <v>94</v>
      </c>
      <c r="AU104" s="22">
        <v>0.37600699999999998</v>
      </c>
      <c r="AV104">
        <f t="shared" si="20"/>
        <v>21.64</v>
      </c>
      <c r="AW104">
        <f t="shared" si="21"/>
        <v>8.1526536000000007</v>
      </c>
      <c r="AX104" s="9"/>
      <c r="AY104" s="22">
        <v>0.37338300000000002</v>
      </c>
      <c r="AZ104" s="22">
        <v>274.18900000000002</v>
      </c>
      <c r="BA104" s="22">
        <v>-2.1655299999999999E-2</v>
      </c>
      <c r="BB104" s="22">
        <v>94</v>
      </c>
      <c r="BC104" s="22">
        <v>0.372894</v>
      </c>
      <c r="BD104">
        <f t="shared" si="22"/>
        <v>21.6553</v>
      </c>
      <c r="BE104">
        <f t="shared" si="23"/>
        <v>8.0857208799000002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0.37170399999999998</v>
      </c>
      <c r="H105" s="22">
        <v>32.9816</v>
      </c>
      <c r="I105" s="22">
        <v>-2.16949E-2</v>
      </c>
      <c r="J105" s="22">
        <v>95</v>
      </c>
      <c r="K105" s="22">
        <v>0.37094100000000002</v>
      </c>
      <c r="L105">
        <f t="shared" si="12"/>
        <v>21.694900000000001</v>
      </c>
      <c r="M105">
        <f t="shared" si="13"/>
        <v>8.0640811096</v>
      </c>
      <c r="N105" s="9"/>
      <c r="O105" s="22">
        <v>0.37841799999999998</v>
      </c>
      <c r="P105" s="22">
        <v>81.125299999999996</v>
      </c>
      <c r="Q105" s="22">
        <v>-2.15973E-2</v>
      </c>
      <c r="R105" s="22">
        <v>95</v>
      </c>
      <c r="S105" s="22">
        <v>0.37765500000000002</v>
      </c>
      <c r="T105">
        <f t="shared" si="14"/>
        <v>21.597300000000001</v>
      </c>
      <c r="U105">
        <f t="shared" si="15"/>
        <v>8.1728070713999994</v>
      </c>
      <c r="X105" s="9"/>
      <c r="Y105" s="22">
        <v>0.37170399999999998</v>
      </c>
      <c r="Z105" s="22">
        <v>134.69499999999999</v>
      </c>
      <c r="AA105" s="22">
        <v>-2.1508800000000002E-2</v>
      </c>
      <c r="AB105" s="22">
        <v>95</v>
      </c>
      <c r="AC105" s="22">
        <v>0.37112400000000001</v>
      </c>
      <c r="AD105">
        <f t="shared" si="16"/>
        <v>21.508800000000001</v>
      </c>
      <c r="AE105">
        <f t="shared" si="17"/>
        <v>7.9949069952</v>
      </c>
      <c r="AF105" s="9"/>
      <c r="AG105" s="22">
        <v>0.37841799999999998</v>
      </c>
      <c r="AH105" s="22">
        <v>171.471</v>
      </c>
      <c r="AI105" s="22">
        <v>-2.1655299999999999E-2</v>
      </c>
      <c r="AJ105" s="22">
        <v>95</v>
      </c>
      <c r="AK105" s="22">
        <v>0.37765500000000002</v>
      </c>
      <c r="AL105">
        <f t="shared" si="18"/>
        <v>21.6553</v>
      </c>
      <c r="AM105">
        <f t="shared" si="19"/>
        <v>8.1947553154000001</v>
      </c>
      <c r="AP105" s="9"/>
      <c r="AQ105" s="22">
        <v>0.37170399999999998</v>
      </c>
      <c r="AR105" s="22">
        <v>204.49299999999999</v>
      </c>
      <c r="AS105" s="22">
        <v>-2.16522E-2</v>
      </c>
      <c r="AT105" s="22">
        <v>95</v>
      </c>
      <c r="AU105" s="22">
        <v>0.37051400000000001</v>
      </c>
      <c r="AV105">
        <f t="shared" si="20"/>
        <v>21.652200000000001</v>
      </c>
      <c r="AW105">
        <f t="shared" si="21"/>
        <v>8.0482093488000004</v>
      </c>
      <c r="AX105" s="9"/>
      <c r="AY105" s="22">
        <v>0.37841799999999998</v>
      </c>
      <c r="AZ105" s="22">
        <v>274.29000000000002</v>
      </c>
      <c r="BA105" s="22">
        <v>-2.164E-2</v>
      </c>
      <c r="BB105" s="22">
        <v>95</v>
      </c>
      <c r="BC105" s="22">
        <v>0.37780799999999998</v>
      </c>
      <c r="BD105">
        <f t="shared" si="22"/>
        <v>21.64</v>
      </c>
      <c r="BE105">
        <f t="shared" si="23"/>
        <v>8.18896552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0.36666900000000002</v>
      </c>
      <c r="H106" s="22">
        <v>33.082299999999996</v>
      </c>
      <c r="I106" s="22">
        <v>-2.17041E-2</v>
      </c>
      <c r="J106" s="22">
        <v>96</v>
      </c>
      <c r="K106" s="22">
        <v>0.36517300000000003</v>
      </c>
      <c r="L106">
        <f t="shared" si="12"/>
        <v>21.7041</v>
      </c>
      <c r="M106">
        <f t="shared" si="13"/>
        <v>7.9582206429000006</v>
      </c>
      <c r="N106" s="9"/>
      <c r="O106" s="22">
        <v>0.38345299999999999</v>
      </c>
      <c r="P106" s="22">
        <v>81.225999999999999</v>
      </c>
      <c r="Q106" s="22">
        <v>-2.1575899999999999E-2</v>
      </c>
      <c r="R106" s="22">
        <v>96</v>
      </c>
      <c r="S106" s="22">
        <v>0.38275100000000001</v>
      </c>
      <c r="T106">
        <f t="shared" si="14"/>
        <v>21.575899999999997</v>
      </c>
      <c r="U106">
        <f t="shared" si="15"/>
        <v>8.273343582699999</v>
      </c>
      <c r="X106" s="9"/>
      <c r="Y106" s="22">
        <v>0.36666900000000002</v>
      </c>
      <c r="Z106" s="22">
        <v>134.79599999999999</v>
      </c>
      <c r="AA106" s="22">
        <v>-2.1524000000000001E-2</v>
      </c>
      <c r="AB106" s="22">
        <v>96</v>
      </c>
      <c r="AC106" s="22">
        <v>0.36605799999999999</v>
      </c>
      <c r="AD106">
        <f t="shared" si="16"/>
        <v>21.524000000000001</v>
      </c>
      <c r="AE106">
        <f t="shared" si="17"/>
        <v>7.8921835560000009</v>
      </c>
      <c r="AF106" s="9"/>
      <c r="AG106" s="22">
        <v>0.38345299999999999</v>
      </c>
      <c r="AH106" s="22">
        <v>171.571</v>
      </c>
      <c r="AI106" s="22">
        <v>-2.16522E-2</v>
      </c>
      <c r="AJ106" s="22">
        <v>96</v>
      </c>
      <c r="AK106" s="22">
        <v>0.38305699999999998</v>
      </c>
      <c r="AL106">
        <f t="shared" si="18"/>
        <v>21.652200000000001</v>
      </c>
      <c r="AM106">
        <f t="shared" si="19"/>
        <v>8.3026010465999995</v>
      </c>
      <c r="AP106" s="9"/>
      <c r="AQ106" s="22">
        <v>0.36666900000000002</v>
      </c>
      <c r="AR106" s="22">
        <v>204.59399999999999</v>
      </c>
      <c r="AS106" s="22">
        <v>-2.1682699999999999E-2</v>
      </c>
      <c r="AT106" s="22">
        <v>96</v>
      </c>
      <c r="AU106" s="22">
        <v>0.36593599999999998</v>
      </c>
      <c r="AV106">
        <f t="shared" si="20"/>
        <v>21.682700000000001</v>
      </c>
      <c r="AW106">
        <f t="shared" si="21"/>
        <v>7.9503739263000011</v>
      </c>
      <c r="AX106" s="9"/>
      <c r="AY106" s="22">
        <v>0.38345299999999999</v>
      </c>
      <c r="AZ106" s="22">
        <v>274.39100000000002</v>
      </c>
      <c r="BA106" s="22">
        <v>-2.164E-2</v>
      </c>
      <c r="BB106" s="22">
        <v>96</v>
      </c>
      <c r="BC106" s="22">
        <v>0.38314799999999999</v>
      </c>
      <c r="BD106">
        <f t="shared" si="22"/>
        <v>21.64</v>
      </c>
      <c r="BE106">
        <f t="shared" si="23"/>
        <v>8.2979229199999995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0.36163299999999998</v>
      </c>
      <c r="H107" s="22">
        <v>33.183</v>
      </c>
      <c r="I107" s="22">
        <v>-2.1737699999999999E-2</v>
      </c>
      <c r="J107" s="22">
        <v>97</v>
      </c>
      <c r="K107" s="22">
        <v>0.36105300000000001</v>
      </c>
      <c r="L107">
        <f t="shared" si="12"/>
        <v>21.7377</v>
      </c>
      <c r="M107">
        <f t="shared" si="13"/>
        <v>7.8610696640999995</v>
      </c>
      <c r="N107" s="9"/>
      <c r="O107" s="22">
        <v>0.38848899999999997</v>
      </c>
      <c r="P107" s="22">
        <v>81.326700000000002</v>
      </c>
      <c r="Q107" s="22">
        <v>-2.1575899999999999E-2</v>
      </c>
      <c r="R107" s="22">
        <v>97</v>
      </c>
      <c r="S107" s="22">
        <v>0.387909</v>
      </c>
      <c r="T107">
        <f t="shared" si="14"/>
        <v>21.575899999999997</v>
      </c>
      <c r="U107">
        <f t="shared" si="15"/>
        <v>8.3819998150999986</v>
      </c>
      <c r="X107" s="9"/>
      <c r="Y107" s="22">
        <v>0.36163299999999998</v>
      </c>
      <c r="Z107" s="22">
        <v>134.89599999999999</v>
      </c>
      <c r="AA107" s="22">
        <v>-2.1533199999999999E-2</v>
      </c>
      <c r="AB107" s="22">
        <v>97</v>
      </c>
      <c r="AC107" s="22">
        <v>0.36105300000000001</v>
      </c>
      <c r="AD107">
        <f t="shared" si="16"/>
        <v>21.533199999999997</v>
      </c>
      <c r="AE107">
        <f t="shared" si="17"/>
        <v>7.7871157155999988</v>
      </c>
      <c r="AF107" s="9"/>
      <c r="AG107" s="22">
        <v>0.38848899999999997</v>
      </c>
      <c r="AH107" s="22">
        <v>171.672</v>
      </c>
      <c r="AI107" s="22">
        <v>-2.1633900000000001E-2</v>
      </c>
      <c r="AJ107" s="22">
        <v>97</v>
      </c>
      <c r="AK107" s="22">
        <v>0.38803100000000001</v>
      </c>
      <c r="AL107">
        <f t="shared" si="18"/>
        <v>21.633900000000001</v>
      </c>
      <c r="AM107">
        <f t="shared" si="19"/>
        <v>8.4045321771000001</v>
      </c>
      <c r="AP107" s="9"/>
      <c r="AQ107" s="22">
        <v>0.36163299999999998</v>
      </c>
      <c r="AR107" s="22">
        <v>204.69399999999999</v>
      </c>
      <c r="AS107" s="22">
        <v>-2.16949E-2</v>
      </c>
      <c r="AT107" s="22">
        <v>97</v>
      </c>
      <c r="AU107" s="22">
        <v>0.36099199999999998</v>
      </c>
      <c r="AV107">
        <f t="shared" si="20"/>
        <v>21.694900000000001</v>
      </c>
      <c r="AW107">
        <f t="shared" si="21"/>
        <v>7.8455917716999997</v>
      </c>
      <c r="AX107" s="9"/>
      <c r="AY107" s="22">
        <v>0.38848899999999997</v>
      </c>
      <c r="AZ107" s="22">
        <v>274.49200000000002</v>
      </c>
      <c r="BA107" s="22">
        <v>-2.1630900000000002E-2</v>
      </c>
      <c r="BB107" s="22">
        <v>97</v>
      </c>
      <c r="BC107" s="22">
        <v>0.38775599999999999</v>
      </c>
      <c r="BD107">
        <f t="shared" si="22"/>
        <v>21.6309</v>
      </c>
      <c r="BE107">
        <f t="shared" si="23"/>
        <v>8.4033667101000002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0.35659800000000003</v>
      </c>
      <c r="H108" s="22">
        <v>33.283700000000003</v>
      </c>
      <c r="I108" s="22">
        <v>-2.1737699999999999E-2</v>
      </c>
      <c r="J108" s="22">
        <v>98</v>
      </c>
      <c r="K108" s="22">
        <v>0.35617100000000002</v>
      </c>
      <c r="L108">
        <f t="shared" si="12"/>
        <v>21.7377</v>
      </c>
      <c r="M108">
        <f t="shared" si="13"/>
        <v>7.7516203446000009</v>
      </c>
      <c r="N108" s="9"/>
      <c r="O108" s="22">
        <v>0.39352399999999998</v>
      </c>
      <c r="P108" s="22">
        <v>81.427400000000006</v>
      </c>
      <c r="Q108" s="22">
        <v>-2.1566800000000001E-2</v>
      </c>
      <c r="R108" s="22">
        <v>98</v>
      </c>
      <c r="S108" s="22">
        <v>0.39297500000000002</v>
      </c>
      <c r="T108">
        <f t="shared" si="14"/>
        <v>21.566800000000001</v>
      </c>
      <c r="U108">
        <f t="shared" si="15"/>
        <v>8.4870534031999991</v>
      </c>
      <c r="X108" s="9"/>
      <c r="Y108" s="22">
        <v>0.35659800000000003</v>
      </c>
      <c r="Z108" s="22">
        <v>134.99700000000001</v>
      </c>
      <c r="AA108" s="22">
        <v>-2.15546E-2</v>
      </c>
      <c r="AB108" s="22">
        <v>98</v>
      </c>
      <c r="AC108" s="22">
        <v>0.35617100000000002</v>
      </c>
      <c r="AD108">
        <f t="shared" si="16"/>
        <v>21.554600000000001</v>
      </c>
      <c r="AE108">
        <f t="shared" si="17"/>
        <v>7.6863272508000007</v>
      </c>
      <c r="AF108" s="9"/>
      <c r="AG108" s="22">
        <v>0.39352399999999998</v>
      </c>
      <c r="AH108" s="22">
        <v>171.773</v>
      </c>
      <c r="AI108" s="22">
        <v>-2.1621700000000001E-2</v>
      </c>
      <c r="AJ108" s="22">
        <v>98</v>
      </c>
      <c r="AK108" s="22">
        <v>0.39324999999999999</v>
      </c>
      <c r="AL108">
        <f t="shared" si="18"/>
        <v>21.621700000000001</v>
      </c>
      <c r="AM108">
        <f t="shared" si="19"/>
        <v>8.5086578708000005</v>
      </c>
      <c r="AP108" s="9"/>
      <c r="AQ108" s="22">
        <v>0.35659800000000003</v>
      </c>
      <c r="AR108" s="22">
        <v>204.79499999999999</v>
      </c>
      <c r="AS108" s="22">
        <v>-2.1697999999999999E-2</v>
      </c>
      <c r="AT108" s="22">
        <v>98</v>
      </c>
      <c r="AU108" s="22">
        <v>0.355713</v>
      </c>
      <c r="AV108">
        <f t="shared" si="20"/>
        <v>21.697999999999997</v>
      </c>
      <c r="AW108">
        <f t="shared" si="21"/>
        <v>7.7374634039999997</v>
      </c>
      <c r="AX108" s="9"/>
      <c r="AY108" s="22">
        <v>0.39352399999999998</v>
      </c>
      <c r="AZ108" s="22">
        <v>274.59199999999998</v>
      </c>
      <c r="BA108" s="22">
        <v>-2.1615599999999999E-2</v>
      </c>
      <c r="BB108" s="22">
        <v>98</v>
      </c>
      <c r="BC108" s="22">
        <v>0.392822</v>
      </c>
      <c r="BD108">
        <f t="shared" si="22"/>
        <v>21.615599999999997</v>
      </c>
      <c r="BE108">
        <f t="shared" si="23"/>
        <v>8.5062573743999987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0.35156300000000001</v>
      </c>
      <c r="H109" s="22">
        <v>33.384399999999999</v>
      </c>
      <c r="I109" s="22">
        <v>-2.1749899999999999E-2</v>
      </c>
      <c r="J109" s="22">
        <v>99</v>
      </c>
      <c r="K109" s="22">
        <v>0.351074</v>
      </c>
      <c r="L109">
        <f t="shared" si="12"/>
        <v>21.7499</v>
      </c>
      <c r="M109">
        <f t="shared" si="13"/>
        <v>7.6464600937</v>
      </c>
      <c r="N109" s="9"/>
      <c r="O109" s="22">
        <v>0.39856000000000003</v>
      </c>
      <c r="P109" s="22">
        <v>81.528099999999995</v>
      </c>
      <c r="Q109" s="22">
        <v>-2.1563700000000002E-2</v>
      </c>
      <c r="R109" s="22">
        <v>99</v>
      </c>
      <c r="S109" s="22">
        <v>0.39743000000000001</v>
      </c>
      <c r="T109">
        <f t="shared" si="14"/>
        <v>21.563700000000001</v>
      </c>
      <c r="U109">
        <f t="shared" si="15"/>
        <v>8.594428272</v>
      </c>
      <c r="X109" s="9"/>
      <c r="Y109" s="22">
        <v>0.35156300000000001</v>
      </c>
      <c r="Z109" s="22">
        <v>135.09800000000001</v>
      </c>
      <c r="AA109" s="22">
        <v>-2.1566800000000001E-2</v>
      </c>
      <c r="AB109" s="22">
        <v>99</v>
      </c>
      <c r="AC109" s="22">
        <v>0.35095199999999999</v>
      </c>
      <c r="AD109">
        <f t="shared" si="16"/>
        <v>21.566800000000001</v>
      </c>
      <c r="AE109">
        <f t="shared" si="17"/>
        <v>7.5820889084000003</v>
      </c>
      <c r="AF109" s="9"/>
      <c r="AG109" s="22">
        <v>0.39856000000000003</v>
      </c>
      <c r="AH109" s="22">
        <v>171.87299999999999</v>
      </c>
      <c r="AI109" s="22">
        <v>-2.1606400000000001E-2</v>
      </c>
      <c r="AJ109" s="22">
        <v>99</v>
      </c>
      <c r="AK109" s="22">
        <v>0.39788800000000002</v>
      </c>
      <c r="AL109">
        <f t="shared" si="18"/>
        <v>21.606400000000001</v>
      </c>
      <c r="AM109">
        <f t="shared" si="19"/>
        <v>8.611446784</v>
      </c>
      <c r="AP109" s="9"/>
      <c r="AQ109" s="22">
        <v>0.35156300000000001</v>
      </c>
      <c r="AR109" s="22">
        <v>204.89599999999999</v>
      </c>
      <c r="AS109" s="22">
        <v>-2.1710199999999999E-2</v>
      </c>
      <c r="AT109" s="22">
        <v>99</v>
      </c>
      <c r="AU109" s="22">
        <v>0.35089100000000001</v>
      </c>
      <c r="AV109">
        <f t="shared" si="20"/>
        <v>21.7102</v>
      </c>
      <c r="AW109">
        <f t="shared" si="21"/>
        <v>7.6325030426000007</v>
      </c>
      <c r="AX109" s="9"/>
      <c r="AY109" s="22">
        <v>0.39856000000000003</v>
      </c>
      <c r="AZ109" s="22">
        <v>274.69299999999998</v>
      </c>
      <c r="BA109" s="22">
        <v>-2.1603399999999998E-2</v>
      </c>
      <c r="BB109" s="22">
        <v>99</v>
      </c>
      <c r="BC109" s="22">
        <v>0.39785799999999999</v>
      </c>
      <c r="BD109">
        <f t="shared" si="22"/>
        <v>21.603399999999997</v>
      </c>
      <c r="BE109">
        <f t="shared" si="23"/>
        <v>8.6102511039999996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0.34652699999999997</v>
      </c>
      <c r="H110" s="22">
        <v>33.485100000000003</v>
      </c>
      <c r="I110" s="22">
        <v>-2.1759000000000001E-2</v>
      </c>
      <c r="J110" s="22">
        <v>100</v>
      </c>
      <c r="K110" s="22">
        <v>0.34551999999999999</v>
      </c>
      <c r="L110">
        <f t="shared" si="12"/>
        <v>21.759</v>
      </c>
      <c r="M110">
        <f t="shared" si="13"/>
        <v>7.5400809929999992</v>
      </c>
      <c r="N110" s="9"/>
      <c r="O110" s="22">
        <v>0.40359499999999998</v>
      </c>
      <c r="P110" s="22">
        <v>81.628799999999998</v>
      </c>
      <c r="Q110" s="22">
        <v>-2.1551500000000001E-2</v>
      </c>
      <c r="R110" s="22">
        <v>100</v>
      </c>
      <c r="S110" s="22">
        <v>0.402893</v>
      </c>
      <c r="T110">
        <f t="shared" si="14"/>
        <v>21.551500000000001</v>
      </c>
      <c r="U110">
        <f t="shared" si="15"/>
        <v>8.6980776424999995</v>
      </c>
      <c r="X110" s="9"/>
      <c r="Y110" s="22">
        <v>0.34652699999999997</v>
      </c>
      <c r="Z110" s="22">
        <v>135.19900000000001</v>
      </c>
      <c r="AA110" s="22">
        <v>-2.1566800000000001E-2</v>
      </c>
      <c r="AB110" s="22">
        <v>100</v>
      </c>
      <c r="AC110" s="22">
        <v>0.345947</v>
      </c>
      <c r="AD110">
        <f t="shared" si="16"/>
        <v>21.566800000000001</v>
      </c>
      <c r="AE110">
        <f t="shared" si="17"/>
        <v>7.4734785036</v>
      </c>
      <c r="AF110" s="9"/>
      <c r="AG110" s="22">
        <v>0.40359499999999998</v>
      </c>
      <c r="AH110" s="22">
        <v>171.97399999999999</v>
      </c>
      <c r="AI110" s="22">
        <v>-2.15973E-2</v>
      </c>
      <c r="AJ110" s="22">
        <v>100</v>
      </c>
      <c r="AK110" s="22">
        <v>0.40273999999999999</v>
      </c>
      <c r="AL110">
        <f t="shared" si="18"/>
        <v>21.597300000000001</v>
      </c>
      <c r="AM110">
        <f t="shared" si="19"/>
        <v>8.7165622934999991</v>
      </c>
      <c r="AP110" s="9"/>
      <c r="AQ110" s="22">
        <v>0.34652699999999997</v>
      </c>
      <c r="AR110" s="22">
        <v>204.99700000000001</v>
      </c>
      <c r="AS110" s="22">
        <v>-2.1725499999999998E-2</v>
      </c>
      <c r="AT110" s="22">
        <v>100</v>
      </c>
      <c r="AU110" s="22">
        <v>0.345947</v>
      </c>
      <c r="AV110">
        <f t="shared" si="20"/>
        <v>21.725499999999997</v>
      </c>
      <c r="AW110">
        <f t="shared" si="21"/>
        <v>7.5284723384999985</v>
      </c>
      <c r="AX110" s="9"/>
      <c r="AY110" s="22">
        <v>0.40359499999999998</v>
      </c>
      <c r="AZ110" s="22">
        <v>274.79399999999998</v>
      </c>
      <c r="BA110" s="22">
        <v>-2.1603399999999998E-2</v>
      </c>
      <c r="BB110" s="22">
        <v>100</v>
      </c>
      <c r="BC110" s="22">
        <v>0.403229</v>
      </c>
      <c r="BD110">
        <f t="shared" si="22"/>
        <v>21.603399999999997</v>
      </c>
      <c r="BE110">
        <f t="shared" si="23"/>
        <v>8.7190242229999981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0.34149200000000002</v>
      </c>
      <c r="H111" s="22">
        <v>33.585799999999999</v>
      </c>
      <c r="I111" s="22">
        <v>-2.1743800000000001E-2</v>
      </c>
      <c r="J111" s="22">
        <v>101</v>
      </c>
      <c r="K111" s="22">
        <v>0.340729</v>
      </c>
      <c r="L111">
        <f t="shared" si="12"/>
        <v>21.7438</v>
      </c>
      <c r="M111">
        <f t="shared" si="13"/>
        <v>7.4253337496</v>
      </c>
      <c r="N111" s="9"/>
      <c r="O111" s="22">
        <v>0.40862999999999999</v>
      </c>
      <c r="P111" s="22">
        <v>81.729500000000002</v>
      </c>
      <c r="Q111" s="22">
        <v>-2.1539300000000001E-2</v>
      </c>
      <c r="R111" s="22">
        <v>101</v>
      </c>
      <c r="S111" s="22">
        <v>0.40795900000000002</v>
      </c>
      <c r="T111">
        <f t="shared" si="14"/>
        <v>21.539300000000001</v>
      </c>
      <c r="U111">
        <f t="shared" si="15"/>
        <v>8.801604159</v>
      </c>
      <c r="X111" s="9"/>
      <c r="Y111" s="22">
        <v>0.34149200000000002</v>
      </c>
      <c r="Z111" s="22">
        <v>135.29900000000001</v>
      </c>
      <c r="AA111" s="22">
        <v>-2.1579000000000001E-2</v>
      </c>
      <c r="AB111" s="22">
        <v>101</v>
      </c>
      <c r="AC111" s="22">
        <v>0.34075899999999998</v>
      </c>
      <c r="AD111">
        <f t="shared" si="16"/>
        <v>21.579000000000001</v>
      </c>
      <c r="AE111">
        <f t="shared" si="17"/>
        <v>7.3690558680000002</v>
      </c>
      <c r="AF111" s="9"/>
      <c r="AG111" s="22">
        <v>0.40862999999999999</v>
      </c>
      <c r="AH111" s="22">
        <v>172.07499999999999</v>
      </c>
      <c r="AI111" s="22">
        <v>-2.1585099999999999E-2</v>
      </c>
      <c r="AJ111" s="22">
        <v>101</v>
      </c>
      <c r="AK111" s="22">
        <v>0.40783700000000001</v>
      </c>
      <c r="AL111">
        <f t="shared" si="18"/>
        <v>21.585100000000001</v>
      </c>
      <c r="AM111">
        <f t="shared" si="19"/>
        <v>8.820319413</v>
      </c>
      <c r="AP111" s="9"/>
      <c r="AQ111" s="22">
        <v>0.34149200000000002</v>
      </c>
      <c r="AR111" s="22">
        <v>205.09700000000001</v>
      </c>
      <c r="AS111" s="22">
        <v>-2.1725499999999998E-2</v>
      </c>
      <c r="AT111" s="22">
        <v>101</v>
      </c>
      <c r="AU111" s="22">
        <v>0.341003</v>
      </c>
      <c r="AV111">
        <f t="shared" si="20"/>
        <v>21.725499999999997</v>
      </c>
      <c r="AW111">
        <f t="shared" si="21"/>
        <v>7.4190844459999994</v>
      </c>
      <c r="AX111" s="9"/>
      <c r="AY111" s="22">
        <v>0.40862999999999999</v>
      </c>
      <c r="AZ111" s="22">
        <v>274.89400000000001</v>
      </c>
      <c r="BA111" s="22">
        <v>-2.1591200000000001E-2</v>
      </c>
      <c r="BB111" s="22">
        <v>101</v>
      </c>
      <c r="BC111" s="22">
        <v>0.40789799999999998</v>
      </c>
      <c r="BD111">
        <f t="shared" si="22"/>
        <v>21.591200000000001</v>
      </c>
      <c r="BE111">
        <f t="shared" si="23"/>
        <v>8.8228120560000001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0.33645599999999998</v>
      </c>
      <c r="H112" s="22">
        <v>33.686500000000002</v>
      </c>
      <c r="I112" s="22">
        <v>-2.1752899999999999E-2</v>
      </c>
      <c r="J112" s="22">
        <v>102</v>
      </c>
      <c r="K112" s="22">
        <v>0.33596799999999999</v>
      </c>
      <c r="L112">
        <f t="shared" si="12"/>
        <v>21.7529</v>
      </c>
      <c r="M112">
        <f t="shared" si="13"/>
        <v>7.3188937223999995</v>
      </c>
      <c r="N112" s="9"/>
      <c r="O112" s="22">
        <v>0.41366599999999998</v>
      </c>
      <c r="P112" s="22">
        <v>81.830200000000005</v>
      </c>
      <c r="Q112" s="22">
        <v>-2.1520999999999998E-2</v>
      </c>
      <c r="R112" s="22">
        <v>102</v>
      </c>
      <c r="S112" s="22">
        <v>0.41302499999999998</v>
      </c>
      <c r="T112">
        <f t="shared" si="14"/>
        <v>21.520999999999997</v>
      </c>
      <c r="U112">
        <f t="shared" si="15"/>
        <v>8.9025059859999978</v>
      </c>
      <c r="X112" s="9"/>
      <c r="Y112" s="22">
        <v>0.33645599999999998</v>
      </c>
      <c r="Z112" s="22">
        <v>135.4</v>
      </c>
      <c r="AA112" s="22">
        <v>-2.1591200000000001E-2</v>
      </c>
      <c r="AB112" s="22">
        <v>102</v>
      </c>
      <c r="AC112" s="22">
        <v>0.33557100000000001</v>
      </c>
      <c r="AD112">
        <f t="shared" si="16"/>
        <v>21.591200000000001</v>
      </c>
      <c r="AE112">
        <f t="shared" si="17"/>
        <v>7.2644887871999995</v>
      </c>
      <c r="AF112" s="9"/>
      <c r="AG112" s="22">
        <v>0.41366599999999998</v>
      </c>
      <c r="AH112" s="22">
        <v>172.17599999999999</v>
      </c>
      <c r="AI112" s="22">
        <v>-2.1566800000000001E-2</v>
      </c>
      <c r="AJ112" s="22">
        <v>102</v>
      </c>
      <c r="AK112" s="22">
        <v>0.41320800000000002</v>
      </c>
      <c r="AL112">
        <f t="shared" si="18"/>
        <v>21.566800000000001</v>
      </c>
      <c r="AM112">
        <f t="shared" si="19"/>
        <v>8.9214518888000001</v>
      </c>
      <c r="AP112" s="9"/>
      <c r="AQ112" s="22">
        <v>0.33645599999999998</v>
      </c>
      <c r="AR112" s="22">
        <v>205.19800000000001</v>
      </c>
      <c r="AS112" s="22">
        <v>-2.1740700000000002E-2</v>
      </c>
      <c r="AT112" s="22">
        <v>102</v>
      </c>
      <c r="AU112" s="22">
        <v>0.33572400000000002</v>
      </c>
      <c r="AV112">
        <f t="shared" si="20"/>
        <v>21.7407</v>
      </c>
      <c r="AW112">
        <f t="shared" si="21"/>
        <v>7.3147889591999995</v>
      </c>
      <c r="AX112" s="9"/>
      <c r="AY112" s="22">
        <v>0.41366599999999998</v>
      </c>
      <c r="AZ112" s="22">
        <v>274.995</v>
      </c>
      <c r="BA112" s="22">
        <v>-2.1579000000000001E-2</v>
      </c>
      <c r="BB112" s="22">
        <v>102</v>
      </c>
      <c r="BC112" s="22">
        <v>0.41305500000000001</v>
      </c>
      <c r="BD112">
        <f t="shared" si="22"/>
        <v>21.579000000000001</v>
      </c>
      <c r="BE112">
        <f t="shared" si="23"/>
        <v>8.9264986139999998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0.33142100000000002</v>
      </c>
      <c r="H113" s="22">
        <v>33.787199999999999</v>
      </c>
      <c r="I113" s="22">
        <v>-2.1756000000000001E-2</v>
      </c>
      <c r="J113" s="22">
        <v>103</v>
      </c>
      <c r="K113" s="22">
        <v>0.33081100000000002</v>
      </c>
      <c r="L113">
        <f t="shared" si="12"/>
        <v>21.756</v>
      </c>
      <c r="M113">
        <f t="shared" si="13"/>
        <v>7.2103952760000007</v>
      </c>
      <c r="N113" s="9"/>
      <c r="O113" s="22">
        <v>0.41870099999999999</v>
      </c>
      <c r="P113" s="22">
        <v>81.930899999999994</v>
      </c>
      <c r="Q113" s="22">
        <v>-2.15027E-2</v>
      </c>
      <c r="R113" s="22">
        <v>103</v>
      </c>
      <c r="S113" s="22">
        <v>0.41796899999999998</v>
      </c>
      <c r="T113">
        <f t="shared" si="14"/>
        <v>21.502700000000001</v>
      </c>
      <c r="U113">
        <f t="shared" si="15"/>
        <v>9.0032019926999993</v>
      </c>
      <c r="X113" s="9"/>
      <c r="Y113" s="22">
        <v>0.33142100000000002</v>
      </c>
      <c r="Z113" s="22">
        <v>135.501</v>
      </c>
      <c r="AA113" s="22">
        <v>-2.1618700000000001E-2</v>
      </c>
      <c r="AB113" s="22">
        <v>103</v>
      </c>
      <c r="AC113" s="22">
        <v>0.33120699999999997</v>
      </c>
      <c r="AD113">
        <f t="shared" si="16"/>
        <v>21.6187</v>
      </c>
      <c r="AE113">
        <f t="shared" si="17"/>
        <v>7.1648911727000009</v>
      </c>
      <c r="AF113" s="9"/>
      <c r="AG113" s="22">
        <v>0.41870099999999999</v>
      </c>
      <c r="AH113" s="22">
        <v>172.27600000000001</v>
      </c>
      <c r="AI113" s="22">
        <v>-2.1572899999999999E-2</v>
      </c>
      <c r="AJ113" s="22">
        <v>103</v>
      </c>
      <c r="AK113" s="22">
        <v>0.41803000000000001</v>
      </c>
      <c r="AL113">
        <f t="shared" si="18"/>
        <v>21.572900000000001</v>
      </c>
      <c r="AM113">
        <f t="shared" si="19"/>
        <v>9.0325948029000003</v>
      </c>
      <c r="AP113" s="9"/>
      <c r="AQ113" s="22">
        <v>0.33142100000000002</v>
      </c>
      <c r="AR113" s="22">
        <v>205.29900000000001</v>
      </c>
      <c r="AS113" s="22">
        <v>-2.1752899999999999E-2</v>
      </c>
      <c r="AT113" s="22">
        <v>103</v>
      </c>
      <c r="AU113" s="22">
        <v>0.330872</v>
      </c>
      <c r="AV113">
        <f t="shared" si="20"/>
        <v>21.7529</v>
      </c>
      <c r="AW113">
        <f t="shared" si="21"/>
        <v>7.2093678709000004</v>
      </c>
      <c r="AX113" s="9"/>
      <c r="AY113" s="22">
        <v>0.41870099999999999</v>
      </c>
      <c r="AZ113" s="22">
        <v>275.096</v>
      </c>
      <c r="BA113" s="22">
        <v>-2.15698E-2</v>
      </c>
      <c r="BB113" s="22">
        <v>103</v>
      </c>
      <c r="BC113" s="22">
        <v>0.41803000000000001</v>
      </c>
      <c r="BD113">
        <f t="shared" si="22"/>
        <v>21.569800000000001</v>
      </c>
      <c r="BE113">
        <f t="shared" si="23"/>
        <v>9.0312968298000005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0.32638499999999998</v>
      </c>
      <c r="H114" s="22">
        <v>33.887900000000002</v>
      </c>
      <c r="I114" s="22">
        <v>-2.1783400000000001E-2</v>
      </c>
      <c r="J114" s="22">
        <v>104</v>
      </c>
      <c r="K114" s="22">
        <v>0.32586700000000002</v>
      </c>
      <c r="L114">
        <f t="shared" si="12"/>
        <v>21.7834</v>
      </c>
      <c r="M114">
        <f t="shared" si="13"/>
        <v>7.1097750089999998</v>
      </c>
      <c r="N114" s="9"/>
      <c r="O114" s="22">
        <v>0.42373699999999997</v>
      </c>
      <c r="P114" s="22">
        <v>82.031700000000001</v>
      </c>
      <c r="Q114" s="22">
        <v>-2.14874E-2</v>
      </c>
      <c r="R114" s="22">
        <v>104</v>
      </c>
      <c r="S114" s="22">
        <v>0.42303499999999999</v>
      </c>
      <c r="T114">
        <f t="shared" si="14"/>
        <v>21.487400000000001</v>
      </c>
      <c r="U114">
        <f t="shared" si="15"/>
        <v>9.1050064138</v>
      </c>
      <c r="X114" s="9"/>
      <c r="Y114" s="22">
        <v>0.32638499999999998</v>
      </c>
      <c r="Z114" s="22">
        <v>135.601</v>
      </c>
      <c r="AA114" s="22">
        <v>-2.1615599999999999E-2</v>
      </c>
      <c r="AB114" s="22">
        <v>104</v>
      </c>
      <c r="AC114" s="22">
        <v>0.325623</v>
      </c>
      <c r="AD114">
        <f t="shared" si="16"/>
        <v>21.615599999999997</v>
      </c>
      <c r="AE114">
        <f t="shared" si="17"/>
        <v>7.0550076059999984</v>
      </c>
      <c r="AF114" s="9"/>
      <c r="AG114" s="22">
        <v>0.42373699999999997</v>
      </c>
      <c r="AH114" s="22">
        <v>172.37700000000001</v>
      </c>
      <c r="AI114" s="22">
        <v>-2.1563700000000002E-2</v>
      </c>
      <c r="AJ114" s="22">
        <v>104</v>
      </c>
      <c r="AK114" s="22">
        <v>0.42315700000000001</v>
      </c>
      <c r="AL114">
        <f t="shared" si="18"/>
        <v>21.563700000000001</v>
      </c>
      <c r="AM114">
        <f t="shared" si="19"/>
        <v>9.1373375468999996</v>
      </c>
      <c r="AP114" s="9"/>
      <c r="AQ114" s="22">
        <v>0.32638499999999998</v>
      </c>
      <c r="AR114" s="22">
        <v>205.399</v>
      </c>
      <c r="AS114" s="22">
        <v>-2.1768200000000001E-2</v>
      </c>
      <c r="AT114" s="22">
        <v>104</v>
      </c>
      <c r="AU114" s="22">
        <v>0.32559199999999999</v>
      </c>
      <c r="AV114">
        <f t="shared" si="20"/>
        <v>21.7682</v>
      </c>
      <c r="AW114">
        <f t="shared" si="21"/>
        <v>7.1048139569999993</v>
      </c>
      <c r="AX114" s="9"/>
      <c r="AY114" s="22">
        <v>0.42373699999999997</v>
      </c>
      <c r="AZ114" s="22">
        <v>275.197</v>
      </c>
      <c r="BA114" s="22">
        <v>-2.1560699999999999E-2</v>
      </c>
      <c r="BB114" s="22">
        <v>104</v>
      </c>
      <c r="BC114" s="22">
        <v>0.42300399999999999</v>
      </c>
      <c r="BD114">
        <f t="shared" si="22"/>
        <v>21.560699999999997</v>
      </c>
      <c r="BE114">
        <f t="shared" si="23"/>
        <v>9.1360663358999989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0.32135000000000002</v>
      </c>
      <c r="H115" s="22">
        <v>33.988599999999998</v>
      </c>
      <c r="I115" s="22">
        <v>-2.1807900000000002E-2</v>
      </c>
      <c r="J115" s="22">
        <v>105</v>
      </c>
      <c r="K115" s="22">
        <v>0.320465</v>
      </c>
      <c r="L115">
        <f t="shared" si="12"/>
        <v>21.8079</v>
      </c>
      <c r="M115">
        <f t="shared" si="13"/>
        <v>7.0079686650000008</v>
      </c>
      <c r="N115" s="9"/>
      <c r="O115" s="22">
        <v>0.42877199999999999</v>
      </c>
      <c r="P115" s="22">
        <v>82.132400000000004</v>
      </c>
      <c r="Q115" s="22">
        <v>-2.1466099999999998E-2</v>
      </c>
      <c r="R115" s="22">
        <v>105</v>
      </c>
      <c r="S115" s="22">
        <v>0.42819200000000002</v>
      </c>
      <c r="T115">
        <f t="shared" si="14"/>
        <v>21.466099999999997</v>
      </c>
      <c r="U115">
        <f t="shared" si="15"/>
        <v>9.2040626291999992</v>
      </c>
      <c r="X115" s="9"/>
      <c r="Y115" s="22">
        <v>0.32135000000000002</v>
      </c>
      <c r="Z115" s="22">
        <v>135.702</v>
      </c>
      <c r="AA115" s="22">
        <v>-2.1621700000000001E-2</v>
      </c>
      <c r="AB115" s="22">
        <v>105</v>
      </c>
      <c r="AC115" s="22">
        <v>0.32116699999999998</v>
      </c>
      <c r="AD115">
        <f t="shared" si="16"/>
        <v>21.621700000000001</v>
      </c>
      <c r="AE115">
        <f t="shared" si="17"/>
        <v>6.9481332950000008</v>
      </c>
      <c r="AF115" s="9"/>
      <c r="AG115" s="22">
        <v>0.42877199999999999</v>
      </c>
      <c r="AH115" s="22">
        <v>172.47800000000001</v>
      </c>
      <c r="AI115" s="22">
        <v>-2.1551500000000001E-2</v>
      </c>
      <c r="AJ115" s="22">
        <v>105</v>
      </c>
      <c r="AK115" s="22">
        <v>0.428284</v>
      </c>
      <c r="AL115">
        <f t="shared" si="18"/>
        <v>21.551500000000001</v>
      </c>
      <c r="AM115">
        <f t="shared" si="19"/>
        <v>9.2406797580000006</v>
      </c>
      <c r="AP115" s="9"/>
      <c r="AQ115" s="22">
        <v>0.32135000000000002</v>
      </c>
      <c r="AR115" s="22">
        <v>205.5</v>
      </c>
      <c r="AS115" s="22">
        <v>-2.17743E-2</v>
      </c>
      <c r="AT115" s="22">
        <v>105</v>
      </c>
      <c r="AU115" s="22">
        <v>0.320801</v>
      </c>
      <c r="AV115">
        <f t="shared" si="20"/>
        <v>21.7743</v>
      </c>
      <c r="AW115">
        <f t="shared" si="21"/>
        <v>6.9971713050000002</v>
      </c>
      <c r="AX115" s="9"/>
      <c r="AY115" s="22">
        <v>0.42877199999999999</v>
      </c>
      <c r="AZ115" s="22">
        <v>275.29700000000003</v>
      </c>
      <c r="BA115" s="22">
        <v>-2.1539300000000001E-2</v>
      </c>
      <c r="BB115" s="22">
        <v>105</v>
      </c>
      <c r="BC115" s="22">
        <v>0.42803999999999998</v>
      </c>
      <c r="BD115">
        <f t="shared" si="22"/>
        <v>21.539300000000001</v>
      </c>
      <c r="BE115">
        <f t="shared" si="23"/>
        <v>9.2354487396000007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0.31631500000000001</v>
      </c>
      <c r="H116" s="22">
        <v>34.089300000000001</v>
      </c>
      <c r="I116" s="22">
        <v>-2.18567E-2</v>
      </c>
      <c r="J116" s="22">
        <v>106</v>
      </c>
      <c r="K116" s="22">
        <v>0.316162</v>
      </c>
      <c r="L116">
        <f t="shared" si="12"/>
        <v>21.8567</v>
      </c>
      <c r="M116">
        <f t="shared" si="13"/>
        <v>6.9136020605000006</v>
      </c>
      <c r="N116" s="9"/>
      <c r="O116" s="22">
        <v>0.433807</v>
      </c>
      <c r="P116" s="22">
        <v>82.233099999999993</v>
      </c>
      <c r="Q116" s="22">
        <v>-2.1441700000000001E-2</v>
      </c>
      <c r="R116" s="22">
        <v>106</v>
      </c>
      <c r="S116" s="22">
        <v>0.43292199999999997</v>
      </c>
      <c r="T116">
        <f t="shared" si="14"/>
        <v>21.441700000000001</v>
      </c>
      <c r="U116">
        <f t="shared" si="15"/>
        <v>9.3015595519000005</v>
      </c>
      <c r="X116" s="9"/>
      <c r="Y116" s="22">
        <v>0.31631500000000001</v>
      </c>
      <c r="Z116" s="22">
        <v>135.803</v>
      </c>
      <c r="AA116" s="22">
        <v>-2.1630900000000002E-2</v>
      </c>
      <c r="AB116" s="22">
        <v>106</v>
      </c>
      <c r="AC116" s="22">
        <v>0.31579600000000002</v>
      </c>
      <c r="AD116">
        <f t="shared" si="16"/>
        <v>21.6309</v>
      </c>
      <c r="AE116">
        <f t="shared" si="17"/>
        <v>6.8421781335</v>
      </c>
      <c r="AF116" s="9"/>
      <c r="AG116" s="22">
        <v>0.433807</v>
      </c>
      <c r="AH116" s="22">
        <v>172.578</v>
      </c>
      <c r="AI116" s="22">
        <v>-2.1530199999999999E-2</v>
      </c>
      <c r="AJ116" s="22">
        <v>106</v>
      </c>
      <c r="AK116" s="22">
        <v>0.43316700000000002</v>
      </c>
      <c r="AL116">
        <f t="shared" si="18"/>
        <v>21.530200000000001</v>
      </c>
      <c r="AM116">
        <f t="shared" si="19"/>
        <v>9.3399514714000009</v>
      </c>
      <c r="AP116" s="9"/>
      <c r="AQ116" s="22">
        <v>0.31631500000000001</v>
      </c>
      <c r="AR116" s="22">
        <v>205.601</v>
      </c>
      <c r="AS116" s="22">
        <v>-2.1795700000000001E-2</v>
      </c>
      <c r="AT116" s="22">
        <v>106</v>
      </c>
      <c r="AU116" s="22">
        <v>0.31539899999999998</v>
      </c>
      <c r="AV116">
        <f t="shared" si="20"/>
        <v>21.7957</v>
      </c>
      <c r="AW116">
        <f t="shared" si="21"/>
        <v>6.8943068455000001</v>
      </c>
      <c r="AX116" s="9"/>
      <c r="AY116" s="22">
        <v>0.433807</v>
      </c>
      <c r="AZ116" s="22">
        <v>275.39800000000002</v>
      </c>
      <c r="BA116" s="22">
        <v>-2.1520999999999998E-2</v>
      </c>
      <c r="BB116" s="22">
        <v>106</v>
      </c>
      <c r="BC116" s="22">
        <v>0.43316700000000002</v>
      </c>
      <c r="BD116">
        <f t="shared" si="22"/>
        <v>21.520999999999997</v>
      </c>
      <c r="BE116">
        <f t="shared" si="23"/>
        <v>9.3359604469999979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0.31127899999999997</v>
      </c>
      <c r="H117" s="22">
        <v>34.190100000000001</v>
      </c>
      <c r="I117" s="22">
        <v>-2.1859699999999999E-2</v>
      </c>
      <c r="J117" s="22">
        <v>107</v>
      </c>
      <c r="K117" s="22">
        <v>0.31048599999999998</v>
      </c>
      <c r="L117">
        <f t="shared" si="12"/>
        <v>21.8597</v>
      </c>
      <c r="M117">
        <f t="shared" si="13"/>
        <v>6.8044655562999994</v>
      </c>
      <c r="N117" s="9"/>
      <c r="O117" s="22">
        <v>0.43884299999999998</v>
      </c>
      <c r="P117" s="22">
        <v>82.333799999999997</v>
      </c>
      <c r="Q117" s="22">
        <v>-2.14203E-2</v>
      </c>
      <c r="R117" s="22">
        <v>107</v>
      </c>
      <c r="S117" s="22">
        <v>0.43832399999999999</v>
      </c>
      <c r="T117">
        <f t="shared" si="14"/>
        <v>21.420300000000001</v>
      </c>
      <c r="U117">
        <f t="shared" si="15"/>
        <v>9.4001487129000001</v>
      </c>
      <c r="X117" s="9"/>
      <c r="Y117" s="22">
        <v>0.31127899999999997</v>
      </c>
      <c r="Z117" s="22">
        <v>135.904</v>
      </c>
      <c r="AA117" s="22">
        <v>-2.16522E-2</v>
      </c>
      <c r="AB117" s="22">
        <v>107</v>
      </c>
      <c r="AC117" s="22">
        <v>0.30996699999999999</v>
      </c>
      <c r="AD117">
        <f t="shared" si="16"/>
        <v>21.652200000000001</v>
      </c>
      <c r="AE117">
        <f t="shared" si="17"/>
        <v>6.7398751637999998</v>
      </c>
      <c r="AF117" s="9"/>
      <c r="AG117" s="22">
        <v>0.43884299999999998</v>
      </c>
      <c r="AH117" s="22">
        <v>172.679</v>
      </c>
      <c r="AI117" s="22">
        <v>-2.1524000000000001E-2</v>
      </c>
      <c r="AJ117" s="22">
        <v>107</v>
      </c>
      <c r="AK117" s="22">
        <v>0.438141</v>
      </c>
      <c r="AL117">
        <f t="shared" si="18"/>
        <v>21.524000000000001</v>
      </c>
      <c r="AM117">
        <f t="shared" si="19"/>
        <v>9.4456567319999998</v>
      </c>
      <c r="AP117" s="9"/>
      <c r="AQ117" s="22">
        <v>0.31127899999999997</v>
      </c>
      <c r="AR117" s="22">
        <v>205.702</v>
      </c>
      <c r="AS117" s="22">
        <v>-2.1783400000000001E-2</v>
      </c>
      <c r="AT117" s="22">
        <v>107</v>
      </c>
      <c r="AU117" s="22">
        <v>0.31063800000000003</v>
      </c>
      <c r="AV117">
        <f t="shared" si="20"/>
        <v>21.7834</v>
      </c>
      <c r="AW117">
        <f t="shared" si="21"/>
        <v>6.7807149685999999</v>
      </c>
      <c r="AX117" s="9"/>
      <c r="AY117" s="22">
        <v>0.43884299999999998</v>
      </c>
      <c r="AZ117" s="22">
        <v>275.49900000000002</v>
      </c>
      <c r="BA117" s="22">
        <v>-2.1508800000000002E-2</v>
      </c>
      <c r="BB117" s="22">
        <v>107</v>
      </c>
      <c r="BC117" s="22">
        <v>0.438141</v>
      </c>
      <c r="BD117">
        <f t="shared" si="22"/>
        <v>21.508800000000001</v>
      </c>
      <c r="BE117">
        <f t="shared" si="23"/>
        <v>9.4389863183999996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0.30624400000000002</v>
      </c>
      <c r="H118" s="22">
        <v>34.290799999999997</v>
      </c>
      <c r="I118" s="22">
        <v>-2.1862800000000002E-2</v>
      </c>
      <c r="J118" s="22">
        <v>108</v>
      </c>
      <c r="K118" s="22">
        <v>0.30526700000000001</v>
      </c>
      <c r="L118">
        <f t="shared" si="12"/>
        <v>21.8628</v>
      </c>
      <c r="M118">
        <f t="shared" si="13"/>
        <v>6.6953513232000006</v>
      </c>
      <c r="N118" s="9"/>
      <c r="O118" s="22">
        <v>0.44387799999999999</v>
      </c>
      <c r="P118" s="22">
        <v>82.4345</v>
      </c>
      <c r="Q118" s="22">
        <v>-2.1405E-2</v>
      </c>
      <c r="R118" s="22">
        <v>108</v>
      </c>
      <c r="S118" s="22">
        <v>0.44302399999999997</v>
      </c>
      <c r="T118">
        <f t="shared" si="14"/>
        <v>21.405000000000001</v>
      </c>
      <c r="U118">
        <f t="shared" si="15"/>
        <v>9.501208590000001</v>
      </c>
      <c r="X118" s="9"/>
      <c r="Y118" s="22">
        <v>0.30624400000000002</v>
      </c>
      <c r="Z118" s="22">
        <v>136.00399999999999</v>
      </c>
      <c r="AA118" s="22">
        <v>-2.1661400000000001E-2</v>
      </c>
      <c r="AB118" s="22">
        <v>108</v>
      </c>
      <c r="AC118" s="22">
        <v>0.30569499999999999</v>
      </c>
      <c r="AD118">
        <f t="shared" si="16"/>
        <v>21.6614</v>
      </c>
      <c r="AE118">
        <f t="shared" si="17"/>
        <v>6.6336737816000007</v>
      </c>
      <c r="AF118" s="9"/>
      <c r="AG118" s="22">
        <v>0.44387799999999999</v>
      </c>
      <c r="AH118" s="22">
        <v>172.78</v>
      </c>
      <c r="AI118" s="22">
        <v>-2.1499600000000001E-2</v>
      </c>
      <c r="AJ118" s="22">
        <v>108</v>
      </c>
      <c r="AK118" s="22">
        <v>0.44311499999999998</v>
      </c>
      <c r="AL118">
        <f t="shared" si="18"/>
        <v>21.499600000000001</v>
      </c>
      <c r="AM118">
        <f t="shared" si="19"/>
        <v>9.5431994488000012</v>
      </c>
      <c r="AP118" s="9"/>
      <c r="AQ118" s="22">
        <v>0.30624400000000002</v>
      </c>
      <c r="AR118" s="22">
        <v>205.80199999999999</v>
      </c>
      <c r="AS118" s="22">
        <v>-2.1792599999999999E-2</v>
      </c>
      <c r="AT118" s="22">
        <v>108</v>
      </c>
      <c r="AU118" s="22">
        <v>0.30542000000000002</v>
      </c>
      <c r="AV118">
        <f t="shared" si="20"/>
        <v>21.7926</v>
      </c>
      <c r="AW118">
        <f t="shared" si="21"/>
        <v>6.6738529944000007</v>
      </c>
      <c r="AX118" s="9"/>
      <c r="AY118" s="22">
        <v>0.44387799999999999</v>
      </c>
      <c r="AZ118" s="22">
        <v>275.59899999999999</v>
      </c>
      <c r="BA118" s="22">
        <v>-2.1499600000000001E-2</v>
      </c>
      <c r="BB118" s="22">
        <v>108</v>
      </c>
      <c r="BC118" s="22">
        <v>0.443268</v>
      </c>
      <c r="BD118">
        <f t="shared" si="22"/>
        <v>21.499600000000001</v>
      </c>
      <c r="BE118">
        <f t="shared" si="23"/>
        <v>9.5431994488000012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0.30120799999999998</v>
      </c>
      <c r="H119" s="22">
        <v>34.391500000000001</v>
      </c>
      <c r="I119" s="22">
        <v>-2.1850600000000001E-2</v>
      </c>
      <c r="J119" s="22">
        <v>109</v>
      </c>
      <c r="K119" s="22">
        <v>0.30078100000000002</v>
      </c>
      <c r="L119">
        <f t="shared" si="12"/>
        <v>21.8506</v>
      </c>
      <c r="M119">
        <f t="shared" si="13"/>
        <v>6.5815755247999999</v>
      </c>
      <c r="N119" s="9"/>
      <c r="O119" s="22">
        <v>0.44891399999999998</v>
      </c>
      <c r="P119" s="22">
        <v>82.535200000000003</v>
      </c>
      <c r="Q119" s="22">
        <v>-2.1398899999999998E-2</v>
      </c>
      <c r="R119" s="22">
        <v>109</v>
      </c>
      <c r="S119" s="22">
        <v>0.44833400000000001</v>
      </c>
      <c r="T119">
        <f t="shared" si="14"/>
        <v>21.398899999999998</v>
      </c>
      <c r="U119">
        <f t="shared" si="15"/>
        <v>9.6062657945999987</v>
      </c>
      <c r="X119" s="9"/>
      <c r="Y119" s="22">
        <v>0.30120799999999998</v>
      </c>
      <c r="Z119" s="22">
        <v>136.10499999999999</v>
      </c>
      <c r="AA119" s="22">
        <v>-2.1673600000000001E-2</v>
      </c>
      <c r="AB119" s="22">
        <v>109</v>
      </c>
      <c r="AC119" s="22">
        <v>0.30041499999999999</v>
      </c>
      <c r="AD119">
        <f t="shared" si="16"/>
        <v>21.6736</v>
      </c>
      <c r="AE119">
        <f t="shared" si="17"/>
        <v>6.5282617087999997</v>
      </c>
      <c r="AF119" s="9"/>
      <c r="AG119" s="22">
        <v>0.44891399999999998</v>
      </c>
      <c r="AH119" s="22">
        <v>172.881</v>
      </c>
      <c r="AI119" s="22">
        <v>-2.1499600000000001E-2</v>
      </c>
      <c r="AJ119" s="22">
        <v>109</v>
      </c>
      <c r="AK119" s="22">
        <v>0.44808999999999999</v>
      </c>
      <c r="AL119">
        <f t="shared" si="18"/>
        <v>21.499600000000001</v>
      </c>
      <c r="AM119">
        <f t="shared" si="19"/>
        <v>9.6514714343999994</v>
      </c>
      <c r="AP119" s="9"/>
      <c r="AQ119" s="22">
        <v>0.30120799999999998</v>
      </c>
      <c r="AR119" s="22">
        <v>205.90299999999999</v>
      </c>
      <c r="AS119" s="22">
        <v>-2.1789599999999999E-2</v>
      </c>
      <c r="AT119" s="22">
        <v>109</v>
      </c>
      <c r="AU119" s="22">
        <v>0.30062899999999998</v>
      </c>
      <c r="AV119">
        <f t="shared" si="20"/>
        <v>21.7896</v>
      </c>
      <c r="AW119">
        <f t="shared" si="21"/>
        <v>6.5632018367999994</v>
      </c>
      <c r="AX119" s="9"/>
      <c r="AY119" s="22">
        <v>0.44891399999999998</v>
      </c>
      <c r="AZ119" s="22">
        <v>275.7</v>
      </c>
      <c r="BA119" s="22">
        <v>-2.14874E-2</v>
      </c>
      <c r="BB119" s="22">
        <v>109</v>
      </c>
      <c r="BC119" s="22">
        <v>0.44830300000000001</v>
      </c>
      <c r="BD119">
        <f t="shared" si="22"/>
        <v>21.487400000000001</v>
      </c>
      <c r="BE119">
        <f t="shared" si="23"/>
        <v>9.6459946835999997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0.29617300000000002</v>
      </c>
      <c r="H120" s="22">
        <v>34.492199999999997</v>
      </c>
      <c r="I120" s="22">
        <v>-2.1850600000000001E-2</v>
      </c>
      <c r="J120" s="22">
        <v>110</v>
      </c>
      <c r="K120" s="22">
        <v>0.29544100000000001</v>
      </c>
      <c r="L120">
        <f t="shared" si="12"/>
        <v>21.8506</v>
      </c>
      <c r="M120">
        <f t="shared" si="13"/>
        <v>6.4715577538000009</v>
      </c>
      <c r="N120" s="9"/>
      <c r="O120" s="22">
        <v>0.45394899999999999</v>
      </c>
      <c r="P120" s="22">
        <v>82.635900000000007</v>
      </c>
      <c r="Q120" s="22">
        <v>-2.1362300000000001E-2</v>
      </c>
      <c r="R120" s="22">
        <v>110</v>
      </c>
      <c r="S120" s="22">
        <v>0.45333899999999999</v>
      </c>
      <c r="T120">
        <f t="shared" si="14"/>
        <v>21.362300000000001</v>
      </c>
      <c r="U120">
        <f t="shared" si="15"/>
        <v>9.6973947227000004</v>
      </c>
      <c r="X120" s="9"/>
      <c r="Y120" s="22">
        <v>0.29617300000000002</v>
      </c>
      <c r="Z120" s="22">
        <v>136.20599999999999</v>
      </c>
      <c r="AA120" s="22">
        <v>-2.1685800000000002E-2</v>
      </c>
      <c r="AB120" s="22">
        <v>110</v>
      </c>
      <c r="AC120" s="22">
        <v>0.29574600000000001</v>
      </c>
      <c r="AD120">
        <f t="shared" si="16"/>
        <v>21.6858</v>
      </c>
      <c r="AE120">
        <f t="shared" si="17"/>
        <v>6.4227484434000006</v>
      </c>
      <c r="AF120" s="9"/>
      <c r="AG120" s="22">
        <v>0.45394899999999999</v>
      </c>
      <c r="AH120" s="22">
        <v>172.98099999999999</v>
      </c>
      <c r="AI120" s="22">
        <v>-2.1478299999999999E-2</v>
      </c>
      <c r="AJ120" s="22">
        <v>110</v>
      </c>
      <c r="AK120" s="22">
        <v>0.45330799999999999</v>
      </c>
      <c r="AL120">
        <f t="shared" si="18"/>
        <v>21.478299999999997</v>
      </c>
      <c r="AM120">
        <f t="shared" si="19"/>
        <v>9.7500528066999994</v>
      </c>
      <c r="AP120" s="9"/>
      <c r="AQ120" s="22">
        <v>0.29617300000000002</v>
      </c>
      <c r="AR120" s="22">
        <v>206.00399999999999</v>
      </c>
      <c r="AS120" s="22">
        <v>-2.1810900000000001E-2</v>
      </c>
      <c r="AT120" s="22">
        <v>110</v>
      </c>
      <c r="AU120" s="22">
        <v>0.29553200000000002</v>
      </c>
      <c r="AV120">
        <f t="shared" si="20"/>
        <v>21.8109</v>
      </c>
      <c r="AW120">
        <f t="shared" si="21"/>
        <v>6.4597996857000002</v>
      </c>
      <c r="AX120" s="9"/>
      <c r="AY120" s="22">
        <v>0.45394899999999999</v>
      </c>
      <c r="AZ120" s="22">
        <v>275.80099999999999</v>
      </c>
      <c r="BA120" s="22">
        <v>-2.1462999999999999E-2</v>
      </c>
      <c r="BB120" s="22">
        <v>110</v>
      </c>
      <c r="BC120" s="22">
        <v>0.45327800000000001</v>
      </c>
      <c r="BD120">
        <f t="shared" si="22"/>
        <v>21.463000000000001</v>
      </c>
      <c r="BE120">
        <f t="shared" si="23"/>
        <v>9.7431073870000002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0.29113800000000001</v>
      </c>
      <c r="H121" s="22">
        <v>34.5929</v>
      </c>
      <c r="I121" s="22">
        <v>-2.1862800000000002E-2</v>
      </c>
      <c r="J121" s="22">
        <v>111</v>
      </c>
      <c r="K121" s="22">
        <v>0.29037499999999999</v>
      </c>
      <c r="L121">
        <f t="shared" si="12"/>
        <v>21.8628</v>
      </c>
      <c r="M121">
        <f t="shared" si="13"/>
        <v>6.3650918664000002</v>
      </c>
      <c r="N121" s="9"/>
      <c r="O121" s="22">
        <v>0.458984</v>
      </c>
      <c r="P121" s="22">
        <v>82.736599999999996</v>
      </c>
      <c r="Q121" s="22">
        <v>-2.1347000000000001E-2</v>
      </c>
      <c r="R121" s="22">
        <v>111</v>
      </c>
      <c r="S121" s="22">
        <v>0.45819100000000001</v>
      </c>
      <c r="T121">
        <f t="shared" si="14"/>
        <v>21.347000000000001</v>
      </c>
      <c r="U121">
        <f t="shared" si="15"/>
        <v>9.7979314479999999</v>
      </c>
      <c r="X121" s="9"/>
      <c r="Y121" s="22">
        <v>0.29113800000000001</v>
      </c>
      <c r="Z121" s="22">
        <v>136.30600000000001</v>
      </c>
      <c r="AA121" s="22">
        <v>-2.16797E-2</v>
      </c>
      <c r="AB121" s="22">
        <v>111</v>
      </c>
      <c r="AC121" s="22">
        <v>0.29019200000000001</v>
      </c>
      <c r="AD121">
        <f t="shared" si="16"/>
        <v>21.6797</v>
      </c>
      <c r="AE121">
        <f t="shared" si="17"/>
        <v>6.3117844986000007</v>
      </c>
      <c r="AF121" s="9"/>
      <c r="AG121" s="22">
        <v>0.458984</v>
      </c>
      <c r="AH121" s="22">
        <v>173.08199999999999</v>
      </c>
      <c r="AI121" s="22">
        <v>-2.146E-2</v>
      </c>
      <c r="AJ121" s="22">
        <v>111</v>
      </c>
      <c r="AK121" s="22">
        <v>0.45840500000000001</v>
      </c>
      <c r="AL121">
        <f t="shared" si="18"/>
        <v>21.46</v>
      </c>
      <c r="AM121">
        <f t="shared" si="19"/>
        <v>9.849796640000001</v>
      </c>
      <c r="AP121" s="9"/>
      <c r="AQ121" s="22">
        <v>0.29113800000000001</v>
      </c>
      <c r="AR121" s="22">
        <v>206.10400000000001</v>
      </c>
      <c r="AS121" s="22">
        <v>-2.1817E-2</v>
      </c>
      <c r="AT121" s="22">
        <v>111</v>
      </c>
      <c r="AU121" s="22">
        <v>0.29067999999999999</v>
      </c>
      <c r="AV121">
        <f t="shared" si="20"/>
        <v>21.817</v>
      </c>
      <c r="AW121">
        <f t="shared" si="21"/>
        <v>6.3517577460000005</v>
      </c>
      <c r="AX121" s="9"/>
      <c r="AY121" s="22">
        <v>0.458984</v>
      </c>
      <c r="AZ121" s="22">
        <v>275.90100000000001</v>
      </c>
      <c r="BA121" s="22">
        <v>-2.1453900000000001E-2</v>
      </c>
      <c r="BB121" s="22">
        <v>111</v>
      </c>
      <c r="BC121" s="22">
        <v>0.45816000000000001</v>
      </c>
      <c r="BD121">
        <f t="shared" si="22"/>
        <v>21.453900000000001</v>
      </c>
      <c r="BE121">
        <f t="shared" si="23"/>
        <v>9.8469968376000008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0.28610200000000002</v>
      </c>
      <c r="H122" s="22">
        <v>34.693600000000004</v>
      </c>
      <c r="I122" s="22">
        <v>-2.1865800000000001E-2</v>
      </c>
      <c r="J122" s="22">
        <v>112</v>
      </c>
      <c r="K122" s="22">
        <v>0.28561399999999998</v>
      </c>
      <c r="L122">
        <f t="shared" si="12"/>
        <v>21.8658</v>
      </c>
      <c r="M122">
        <f t="shared" si="13"/>
        <v>6.2558491116000008</v>
      </c>
      <c r="N122" s="9"/>
      <c r="O122" s="22">
        <v>0.46401999999999999</v>
      </c>
      <c r="P122" s="22">
        <v>82.837299999999999</v>
      </c>
      <c r="Q122" s="22">
        <v>-2.1328699999999999E-2</v>
      </c>
      <c r="R122" s="22">
        <v>112</v>
      </c>
      <c r="S122" s="22">
        <v>0.46334799999999998</v>
      </c>
      <c r="T122">
        <f t="shared" si="14"/>
        <v>21.328699999999998</v>
      </c>
      <c r="U122">
        <f t="shared" si="15"/>
        <v>9.8969433739999992</v>
      </c>
      <c r="X122" s="9"/>
      <c r="Y122" s="22">
        <v>0.28610200000000002</v>
      </c>
      <c r="Z122" s="22">
        <v>136.40700000000001</v>
      </c>
      <c r="AA122" s="22">
        <v>-2.1701000000000002E-2</v>
      </c>
      <c r="AB122" s="22">
        <v>112</v>
      </c>
      <c r="AC122" s="22">
        <v>0.28625499999999998</v>
      </c>
      <c r="AD122">
        <f t="shared" si="16"/>
        <v>21.701000000000001</v>
      </c>
      <c r="AE122">
        <f t="shared" si="17"/>
        <v>6.2086995020000009</v>
      </c>
      <c r="AF122" s="9"/>
      <c r="AG122" s="22">
        <v>0.46401999999999999</v>
      </c>
      <c r="AH122" s="22">
        <v>173.18299999999999</v>
      </c>
      <c r="AI122" s="22">
        <v>-2.1444700000000001E-2</v>
      </c>
      <c r="AJ122" s="22">
        <v>112</v>
      </c>
      <c r="AK122" s="22">
        <v>0.46344000000000002</v>
      </c>
      <c r="AL122">
        <f t="shared" si="18"/>
        <v>21.444700000000001</v>
      </c>
      <c r="AM122">
        <f t="shared" si="19"/>
        <v>9.9507696939999999</v>
      </c>
      <c r="AP122" s="9"/>
      <c r="AQ122" s="22">
        <v>0.28610200000000002</v>
      </c>
      <c r="AR122" s="22">
        <v>206.20500000000001</v>
      </c>
      <c r="AS122" s="22">
        <v>-2.1807900000000002E-2</v>
      </c>
      <c r="AT122" s="22">
        <v>112</v>
      </c>
      <c r="AU122" s="22">
        <v>0.285248</v>
      </c>
      <c r="AV122">
        <f t="shared" si="20"/>
        <v>21.8079</v>
      </c>
      <c r="AW122">
        <f t="shared" si="21"/>
        <v>6.2392838058000004</v>
      </c>
      <c r="AX122" s="9"/>
      <c r="AY122" s="22">
        <v>0.46401999999999999</v>
      </c>
      <c r="AZ122" s="22">
        <v>276.00200000000001</v>
      </c>
      <c r="BA122" s="22">
        <v>-2.1453900000000001E-2</v>
      </c>
      <c r="BB122" s="22">
        <v>112</v>
      </c>
      <c r="BC122" s="22">
        <v>0.46316499999999999</v>
      </c>
      <c r="BD122">
        <f t="shared" si="22"/>
        <v>21.453900000000001</v>
      </c>
      <c r="BE122">
        <f t="shared" si="23"/>
        <v>9.9550386779999993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0.28106700000000001</v>
      </c>
      <c r="H123" s="22">
        <v>34.7943</v>
      </c>
      <c r="I123" s="22">
        <v>-2.1905500000000001E-2</v>
      </c>
      <c r="J123" s="22">
        <v>113</v>
      </c>
      <c r="K123" s="22">
        <v>0.28079199999999999</v>
      </c>
      <c r="L123">
        <f t="shared" si="12"/>
        <v>21.9055</v>
      </c>
      <c r="M123">
        <f t="shared" si="13"/>
        <v>6.1569131685</v>
      </c>
      <c r="N123" s="9"/>
      <c r="O123" s="22">
        <v>0.469055</v>
      </c>
      <c r="P123" s="22">
        <v>82.938000000000002</v>
      </c>
      <c r="Q123" s="22">
        <v>-2.1283E-2</v>
      </c>
      <c r="R123" s="22">
        <v>113</v>
      </c>
      <c r="S123" s="22">
        <v>0.46862799999999999</v>
      </c>
      <c r="T123">
        <f t="shared" si="14"/>
        <v>21.283000000000001</v>
      </c>
      <c r="U123">
        <f t="shared" si="15"/>
        <v>9.982897565</v>
      </c>
      <c r="X123" s="9"/>
      <c r="Y123" s="22">
        <v>0.28106700000000001</v>
      </c>
      <c r="Z123" s="22">
        <v>136.50800000000001</v>
      </c>
      <c r="AA123" s="22">
        <v>-2.1707199999999999E-2</v>
      </c>
      <c r="AB123" s="22">
        <v>113</v>
      </c>
      <c r="AC123" s="22">
        <v>0.28021200000000002</v>
      </c>
      <c r="AD123">
        <f t="shared" si="16"/>
        <v>21.7072</v>
      </c>
      <c r="AE123">
        <f t="shared" si="17"/>
        <v>6.1011775824000001</v>
      </c>
      <c r="AF123" s="9"/>
      <c r="AG123" s="22">
        <v>0.469055</v>
      </c>
      <c r="AH123" s="22">
        <v>173.28299999999999</v>
      </c>
      <c r="AI123" s="22">
        <v>-2.14355E-2</v>
      </c>
      <c r="AJ123" s="22">
        <v>113</v>
      </c>
      <c r="AK123" s="22">
        <v>0.468445</v>
      </c>
      <c r="AL123">
        <f t="shared" si="18"/>
        <v>21.435500000000001</v>
      </c>
      <c r="AM123">
        <f t="shared" si="19"/>
        <v>10.0544284525</v>
      </c>
      <c r="AP123" s="9"/>
      <c r="AQ123" s="22">
        <v>0.28106700000000001</v>
      </c>
      <c r="AR123" s="22">
        <v>206.30600000000001</v>
      </c>
      <c r="AS123" s="22">
        <v>-2.1823100000000002E-2</v>
      </c>
      <c r="AT123" s="22">
        <v>113</v>
      </c>
      <c r="AU123" s="22">
        <v>0.280609</v>
      </c>
      <c r="AV123">
        <f t="shared" si="20"/>
        <v>21.8231</v>
      </c>
      <c r="AW123">
        <f t="shared" si="21"/>
        <v>6.1337532477000005</v>
      </c>
      <c r="AX123" s="9"/>
      <c r="AY123" s="22">
        <v>0.469055</v>
      </c>
      <c r="AZ123" s="22">
        <v>276.10300000000001</v>
      </c>
      <c r="BA123" s="22">
        <v>-2.1438599999999999E-2</v>
      </c>
      <c r="BB123" s="22">
        <v>113</v>
      </c>
      <c r="BC123" s="22">
        <v>0.46847499999999997</v>
      </c>
      <c r="BD123">
        <f t="shared" si="22"/>
        <v>21.438599999999997</v>
      </c>
      <c r="BE123">
        <f t="shared" si="23"/>
        <v>10.055882522999999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0.27603100000000003</v>
      </c>
      <c r="H124" s="22">
        <v>34.895000000000003</v>
      </c>
      <c r="I124" s="22">
        <v>-2.1902499999999998E-2</v>
      </c>
      <c r="J124" s="22">
        <v>114</v>
      </c>
      <c r="K124" s="22">
        <v>0.27575699999999997</v>
      </c>
      <c r="L124">
        <f t="shared" si="12"/>
        <v>21.9025</v>
      </c>
      <c r="M124">
        <f t="shared" si="13"/>
        <v>6.0457689775000008</v>
      </c>
      <c r="N124" s="9"/>
      <c r="O124" s="22">
        <v>0.47409099999999998</v>
      </c>
      <c r="P124" s="22">
        <v>83.038700000000006</v>
      </c>
      <c r="Q124" s="22">
        <v>-2.12677E-2</v>
      </c>
      <c r="R124" s="22">
        <v>114</v>
      </c>
      <c r="S124" s="22">
        <v>0.473389</v>
      </c>
      <c r="T124">
        <f t="shared" si="14"/>
        <v>21.267700000000001</v>
      </c>
      <c r="U124">
        <f t="shared" si="15"/>
        <v>10.082825160700001</v>
      </c>
      <c r="X124" s="9"/>
      <c r="Y124" s="22">
        <v>0.27603100000000003</v>
      </c>
      <c r="Z124" s="22">
        <v>136.60900000000001</v>
      </c>
      <c r="AA124" s="22">
        <v>-2.17316E-2</v>
      </c>
      <c r="AB124" s="22">
        <v>114</v>
      </c>
      <c r="AC124" s="22">
        <v>0.27508500000000002</v>
      </c>
      <c r="AD124">
        <f t="shared" si="16"/>
        <v>21.7316</v>
      </c>
      <c r="AE124">
        <f t="shared" si="17"/>
        <v>5.9985952796000008</v>
      </c>
      <c r="AF124" s="9"/>
      <c r="AG124" s="22">
        <v>0.47409099999999998</v>
      </c>
      <c r="AH124" s="22">
        <v>173.38399999999999</v>
      </c>
      <c r="AI124" s="22">
        <v>-2.1417200000000001E-2</v>
      </c>
      <c r="AJ124" s="22">
        <v>114</v>
      </c>
      <c r="AK124" s="22">
        <v>0.47332800000000003</v>
      </c>
      <c r="AL124">
        <f t="shared" si="18"/>
        <v>21.417200000000001</v>
      </c>
      <c r="AM124">
        <f t="shared" si="19"/>
        <v>10.153701765200001</v>
      </c>
      <c r="AP124" s="9"/>
      <c r="AQ124" s="22">
        <v>0.27603100000000003</v>
      </c>
      <c r="AR124" s="22">
        <v>206.40600000000001</v>
      </c>
      <c r="AS124" s="22">
        <v>-2.18262E-2</v>
      </c>
      <c r="AT124" s="22">
        <v>114</v>
      </c>
      <c r="AU124" s="22">
        <v>0.275482</v>
      </c>
      <c r="AV124">
        <f t="shared" si="20"/>
        <v>21.8262</v>
      </c>
      <c r="AW124">
        <f t="shared" si="21"/>
        <v>6.0247078122000008</v>
      </c>
      <c r="AX124" s="9"/>
      <c r="AY124" s="22">
        <v>0.47409099999999998</v>
      </c>
      <c r="AZ124" s="22">
        <v>276.20400000000001</v>
      </c>
      <c r="BA124" s="22">
        <v>-2.1411099999999999E-2</v>
      </c>
      <c r="BB124" s="22">
        <v>114</v>
      </c>
      <c r="BC124" s="22">
        <v>0.47341899999999998</v>
      </c>
      <c r="BD124">
        <f t="shared" si="22"/>
        <v>21.411099999999998</v>
      </c>
      <c r="BE124">
        <f t="shared" si="23"/>
        <v>10.150809810099998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0.27099600000000001</v>
      </c>
      <c r="H125" s="22">
        <v>34.995699999999999</v>
      </c>
      <c r="I125" s="22">
        <v>-2.1899399999999999E-2</v>
      </c>
      <c r="J125" s="22">
        <v>115</v>
      </c>
      <c r="K125" s="22">
        <v>0.27032499999999998</v>
      </c>
      <c r="L125">
        <f t="shared" si="12"/>
        <v>21.8994</v>
      </c>
      <c r="M125">
        <f t="shared" si="13"/>
        <v>5.9346498024000001</v>
      </c>
      <c r="N125" s="9"/>
      <c r="O125" s="22">
        <v>0.479126</v>
      </c>
      <c r="P125" s="22">
        <v>83.139399999999995</v>
      </c>
      <c r="Q125" s="22">
        <v>-2.1240200000000001E-2</v>
      </c>
      <c r="R125" s="22">
        <v>115</v>
      </c>
      <c r="S125" s="22">
        <v>0.47872900000000002</v>
      </c>
      <c r="T125">
        <f t="shared" si="14"/>
        <v>21.240200000000002</v>
      </c>
      <c r="U125">
        <f t="shared" si="15"/>
        <v>10.176732065200001</v>
      </c>
      <c r="X125" s="9"/>
      <c r="Y125" s="22">
        <v>0.27099600000000001</v>
      </c>
      <c r="Z125" s="22">
        <v>136.709</v>
      </c>
      <c r="AA125" s="22">
        <v>-2.17316E-2</v>
      </c>
      <c r="AB125" s="22">
        <v>115</v>
      </c>
      <c r="AC125" s="22">
        <v>0.27017200000000002</v>
      </c>
      <c r="AD125">
        <f t="shared" si="16"/>
        <v>21.7316</v>
      </c>
      <c r="AE125">
        <f t="shared" si="17"/>
        <v>5.8891766736000006</v>
      </c>
      <c r="AF125" s="9"/>
      <c r="AG125" s="22">
        <v>0.479126</v>
      </c>
      <c r="AH125" s="22">
        <v>173.48500000000001</v>
      </c>
      <c r="AI125" s="22">
        <v>-2.1395899999999999E-2</v>
      </c>
      <c r="AJ125" s="22">
        <v>115</v>
      </c>
      <c r="AK125" s="22">
        <v>0.478516</v>
      </c>
      <c r="AL125">
        <f t="shared" si="18"/>
        <v>21.395899999999997</v>
      </c>
      <c r="AM125">
        <f t="shared" si="19"/>
        <v>10.251331983399998</v>
      </c>
      <c r="AP125" s="9"/>
      <c r="AQ125" s="22">
        <v>0.27099600000000001</v>
      </c>
      <c r="AR125" s="22">
        <v>206.50700000000001</v>
      </c>
      <c r="AS125" s="22">
        <v>-2.1835299999999998E-2</v>
      </c>
      <c r="AT125" s="22">
        <v>115</v>
      </c>
      <c r="AU125" s="22">
        <v>0.27050800000000003</v>
      </c>
      <c r="AV125">
        <f t="shared" si="20"/>
        <v>21.8353</v>
      </c>
      <c r="AW125">
        <f t="shared" si="21"/>
        <v>5.9172789588000008</v>
      </c>
      <c r="AX125" s="9"/>
      <c r="AY125" s="22">
        <v>0.479126</v>
      </c>
      <c r="AZ125" s="22">
        <v>276.30399999999997</v>
      </c>
      <c r="BA125" s="22">
        <v>-2.13806E-2</v>
      </c>
      <c r="BB125" s="22">
        <v>115</v>
      </c>
      <c r="BC125" s="22">
        <v>0.478516</v>
      </c>
      <c r="BD125">
        <f t="shared" si="22"/>
        <v>21.380600000000001</v>
      </c>
      <c r="BE125">
        <f t="shared" si="23"/>
        <v>10.2440013556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0.265961</v>
      </c>
      <c r="H126" s="22">
        <v>35.096400000000003</v>
      </c>
      <c r="I126" s="22">
        <v>-2.19116E-2</v>
      </c>
      <c r="J126" s="22">
        <v>116</v>
      </c>
      <c r="K126" s="22">
        <v>0.26547199999999999</v>
      </c>
      <c r="L126">
        <f t="shared" si="12"/>
        <v>21.9116</v>
      </c>
      <c r="M126">
        <f t="shared" si="13"/>
        <v>5.8276310475999997</v>
      </c>
      <c r="N126" s="9"/>
      <c r="O126" s="22">
        <v>0.48416100000000001</v>
      </c>
      <c r="P126" s="22">
        <v>83.240099999999998</v>
      </c>
      <c r="Q126" s="22">
        <v>-2.1221899999999998E-2</v>
      </c>
      <c r="R126" s="22">
        <v>116</v>
      </c>
      <c r="S126" s="22">
        <v>0.48361199999999999</v>
      </c>
      <c r="T126">
        <f t="shared" si="14"/>
        <v>21.221899999999998</v>
      </c>
      <c r="U126">
        <f t="shared" si="15"/>
        <v>10.2748163259</v>
      </c>
      <c r="X126" s="9"/>
      <c r="Y126" s="22">
        <v>0.265961</v>
      </c>
      <c r="Z126" s="22">
        <v>136.81</v>
      </c>
      <c r="AA126" s="22">
        <v>-2.17346E-2</v>
      </c>
      <c r="AB126" s="22">
        <v>116</v>
      </c>
      <c r="AC126" s="22">
        <v>0.26525900000000002</v>
      </c>
      <c r="AD126">
        <f t="shared" si="16"/>
        <v>21.7346</v>
      </c>
      <c r="AE126">
        <f t="shared" si="17"/>
        <v>5.7805559506000002</v>
      </c>
      <c r="AF126" s="9"/>
      <c r="AG126" s="22">
        <v>0.48416100000000001</v>
      </c>
      <c r="AH126" s="22">
        <v>173.58500000000001</v>
      </c>
      <c r="AI126" s="22">
        <v>-2.13898E-2</v>
      </c>
      <c r="AJ126" s="22">
        <v>116</v>
      </c>
      <c r="AK126" s="22">
        <v>0.483429</v>
      </c>
      <c r="AL126">
        <f t="shared" si="18"/>
        <v>21.389800000000001</v>
      </c>
      <c r="AM126">
        <f t="shared" si="19"/>
        <v>10.3561069578</v>
      </c>
      <c r="AP126" s="9"/>
      <c r="AQ126" s="22">
        <v>0.265961</v>
      </c>
      <c r="AR126" s="22">
        <v>206.608</v>
      </c>
      <c r="AS126" s="22">
        <v>-2.1847499999999999E-2</v>
      </c>
      <c r="AT126" s="22">
        <v>116</v>
      </c>
      <c r="AU126" s="22">
        <v>0.26525900000000002</v>
      </c>
      <c r="AV126">
        <f t="shared" si="20"/>
        <v>21.8475</v>
      </c>
      <c r="AW126">
        <f t="shared" si="21"/>
        <v>5.8105829475000004</v>
      </c>
      <c r="AX126" s="9"/>
      <c r="AY126" s="22">
        <v>0.48416100000000001</v>
      </c>
      <c r="AZ126" s="22">
        <v>276.40499999999997</v>
      </c>
      <c r="BA126" s="22">
        <v>-2.1371500000000002E-2</v>
      </c>
      <c r="BB126" s="22">
        <v>116</v>
      </c>
      <c r="BC126" s="22">
        <v>0.48345900000000003</v>
      </c>
      <c r="BD126">
        <f t="shared" si="22"/>
        <v>21.371500000000001</v>
      </c>
      <c r="BE126">
        <f t="shared" si="23"/>
        <v>10.3472468115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0.26092500000000002</v>
      </c>
      <c r="H127" s="22">
        <v>35.197099999999999</v>
      </c>
      <c r="I127" s="22">
        <v>-2.1917699999999998E-2</v>
      </c>
      <c r="J127" s="22">
        <v>117</v>
      </c>
      <c r="K127" s="22">
        <v>0.26013199999999997</v>
      </c>
      <c r="L127">
        <f t="shared" si="12"/>
        <v>21.9177</v>
      </c>
      <c r="M127">
        <f t="shared" si="13"/>
        <v>5.7188758725</v>
      </c>
      <c r="N127" s="9"/>
      <c r="O127" s="22">
        <v>0.48919699999999999</v>
      </c>
      <c r="P127" s="22">
        <v>83.340900000000005</v>
      </c>
      <c r="Q127" s="22">
        <v>-2.12036E-2</v>
      </c>
      <c r="R127" s="22">
        <v>117</v>
      </c>
      <c r="S127" s="22">
        <v>0.48855599999999999</v>
      </c>
      <c r="T127">
        <f t="shared" si="14"/>
        <v>21.203599999999998</v>
      </c>
      <c r="U127">
        <f t="shared" si="15"/>
        <v>10.372737509199998</v>
      </c>
      <c r="X127" s="9"/>
      <c r="Y127" s="22">
        <v>0.26092500000000002</v>
      </c>
      <c r="Z127" s="22">
        <v>136.911</v>
      </c>
      <c r="AA127" s="22">
        <v>-2.1743800000000001E-2</v>
      </c>
      <c r="AB127" s="22">
        <v>117</v>
      </c>
      <c r="AC127" s="22">
        <v>0.26003999999999999</v>
      </c>
      <c r="AD127">
        <f t="shared" si="16"/>
        <v>21.7438</v>
      </c>
      <c r="AE127">
        <f t="shared" si="17"/>
        <v>5.6735010150000003</v>
      </c>
      <c r="AF127" s="9"/>
      <c r="AG127" s="22">
        <v>0.48919699999999999</v>
      </c>
      <c r="AH127" s="22">
        <v>173.68600000000001</v>
      </c>
      <c r="AI127" s="22">
        <v>-2.1374500000000001E-2</v>
      </c>
      <c r="AJ127" s="22">
        <v>117</v>
      </c>
      <c r="AK127" s="22">
        <v>0.488647</v>
      </c>
      <c r="AL127">
        <f t="shared" si="18"/>
        <v>21.374500000000001</v>
      </c>
      <c r="AM127">
        <f t="shared" si="19"/>
        <v>10.4563412765</v>
      </c>
      <c r="AP127" s="9"/>
      <c r="AQ127" s="22">
        <v>0.26092500000000002</v>
      </c>
      <c r="AR127" s="22">
        <v>206.709</v>
      </c>
      <c r="AS127" s="22">
        <v>-2.1850600000000001E-2</v>
      </c>
      <c r="AT127" s="22">
        <v>117</v>
      </c>
      <c r="AU127" s="22">
        <v>0.26022299999999998</v>
      </c>
      <c r="AV127">
        <f t="shared" si="20"/>
        <v>21.8506</v>
      </c>
      <c r="AW127">
        <f t="shared" si="21"/>
        <v>5.7013678050000003</v>
      </c>
      <c r="AX127" s="9"/>
      <c r="AY127" s="22">
        <v>0.48919699999999999</v>
      </c>
      <c r="AZ127" s="22">
        <v>276.50599999999997</v>
      </c>
      <c r="BA127" s="22">
        <v>-2.1347000000000001E-2</v>
      </c>
      <c r="BB127" s="22">
        <v>117</v>
      </c>
      <c r="BC127" s="22">
        <v>0.48852499999999999</v>
      </c>
      <c r="BD127">
        <f t="shared" si="22"/>
        <v>21.347000000000001</v>
      </c>
      <c r="BE127">
        <f t="shared" si="23"/>
        <v>10.442888359000001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0.25589000000000001</v>
      </c>
      <c r="H128" s="22">
        <v>35.297800000000002</v>
      </c>
      <c r="I128" s="22">
        <v>-2.1920800000000001E-2</v>
      </c>
      <c r="J128" s="22">
        <v>118</v>
      </c>
      <c r="K128" s="22">
        <v>0.25552399999999997</v>
      </c>
      <c r="L128">
        <f t="shared" si="12"/>
        <v>21.9208</v>
      </c>
      <c r="M128">
        <f t="shared" si="13"/>
        <v>5.6093135119999999</v>
      </c>
      <c r="N128" s="9"/>
      <c r="O128" s="22">
        <v>0.494232</v>
      </c>
      <c r="P128" s="22">
        <v>83.441599999999994</v>
      </c>
      <c r="Q128" s="22">
        <v>-2.11731E-2</v>
      </c>
      <c r="R128" s="22">
        <v>118</v>
      </c>
      <c r="S128" s="22">
        <v>0.49362200000000001</v>
      </c>
      <c r="T128">
        <f t="shared" si="14"/>
        <v>21.173100000000002</v>
      </c>
      <c r="U128">
        <f t="shared" si="15"/>
        <v>10.4644235592</v>
      </c>
      <c r="X128" s="9"/>
      <c r="Y128" s="22">
        <v>0.25589000000000001</v>
      </c>
      <c r="Z128" s="22">
        <v>137.011</v>
      </c>
      <c r="AA128" s="22">
        <v>-2.1743800000000001E-2</v>
      </c>
      <c r="AB128" s="22">
        <v>118</v>
      </c>
      <c r="AC128" s="22">
        <v>0.25528000000000001</v>
      </c>
      <c r="AD128">
        <f t="shared" si="16"/>
        <v>21.7438</v>
      </c>
      <c r="AE128">
        <f t="shared" si="17"/>
        <v>5.5640209820000006</v>
      </c>
      <c r="AF128" s="9"/>
      <c r="AG128" s="22">
        <v>0.494232</v>
      </c>
      <c r="AH128" s="22">
        <v>173.78700000000001</v>
      </c>
      <c r="AI128" s="22">
        <v>-2.1347000000000001E-2</v>
      </c>
      <c r="AJ128" s="22">
        <v>118</v>
      </c>
      <c r="AK128" s="22">
        <v>0.49340800000000001</v>
      </c>
      <c r="AL128">
        <f t="shared" si="18"/>
        <v>21.347000000000001</v>
      </c>
      <c r="AM128">
        <f t="shared" si="19"/>
        <v>10.550370504</v>
      </c>
      <c r="AP128" s="9"/>
      <c r="AQ128" s="22">
        <v>0.25589000000000001</v>
      </c>
      <c r="AR128" s="22">
        <v>206.809</v>
      </c>
      <c r="AS128" s="22">
        <v>-2.1862800000000002E-2</v>
      </c>
      <c r="AT128" s="22">
        <v>118</v>
      </c>
      <c r="AU128" s="22">
        <v>0.25506600000000001</v>
      </c>
      <c r="AV128">
        <f t="shared" si="20"/>
        <v>21.8628</v>
      </c>
      <c r="AW128">
        <f t="shared" si="21"/>
        <v>5.5944718920000005</v>
      </c>
      <c r="AX128" s="9"/>
      <c r="AY128" s="22">
        <v>0.494232</v>
      </c>
      <c r="AZ128" s="22">
        <v>276.60599999999999</v>
      </c>
      <c r="BA128" s="22">
        <v>-2.1334800000000001E-2</v>
      </c>
      <c r="BB128" s="22">
        <v>118</v>
      </c>
      <c r="BC128" s="22">
        <v>0.49356100000000003</v>
      </c>
      <c r="BD128">
        <f t="shared" si="22"/>
        <v>21.334800000000001</v>
      </c>
      <c r="BE128">
        <f t="shared" si="23"/>
        <v>10.544340873600001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0.25085400000000002</v>
      </c>
      <c r="H129" s="22">
        <v>35.398499999999999</v>
      </c>
      <c r="I129" s="22">
        <v>-2.19116E-2</v>
      </c>
      <c r="J129" s="22">
        <v>119</v>
      </c>
      <c r="K129" s="22">
        <v>0.25067099999999998</v>
      </c>
      <c r="L129">
        <f t="shared" si="12"/>
        <v>21.9116</v>
      </c>
      <c r="M129">
        <f t="shared" si="13"/>
        <v>5.4966125064000009</v>
      </c>
      <c r="N129" s="9"/>
      <c r="O129" s="22">
        <v>0.49926799999999999</v>
      </c>
      <c r="P129" s="22">
        <v>83.542299999999997</v>
      </c>
      <c r="Q129" s="22">
        <v>-2.1145600000000001E-2</v>
      </c>
      <c r="R129" s="22">
        <v>119</v>
      </c>
      <c r="S129" s="22">
        <v>0.49868800000000002</v>
      </c>
      <c r="T129">
        <f t="shared" si="14"/>
        <v>21.145600000000002</v>
      </c>
      <c r="U129">
        <f t="shared" si="15"/>
        <v>10.557321420800001</v>
      </c>
      <c r="X129" s="9"/>
      <c r="Y129" s="22">
        <v>0.25085400000000002</v>
      </c>
      <c r="Z129" s="22">
        <v>137.11199999999999</v>
      </c>
      <c r="AA129" s="22">
        <v>-2.17621E-2</v>
      </c>
      <c r="AB129" s="22">
        <v>119</v>
      </c>
      <c r="AC129" s="22">
        <v>0.25015300000000001</v>
      </c>
      <c r="AD129">
        <f t="shared" si="16"/>
        <v>21.7621</v>
      </c>
      <c r="AE129">
        <f t="shared" si="17"/>
        <v>5.4591098334000003</v>
      </c>
      <c r="AF129" s="9"/>
      <c r="AG129" s="22">
        <v>0.49926799999999999</v>
      </c>
      <c r="AH129" s="22">
        <v>173.88800000000001</v>
      </c>
      <c r="AI129" s="22">
        <v>-2.1328699999999999E-2</v>
      </c>
      <c r="AJ129" s="22">
        <v>119</v>
      </c>
      <c r="AK129" s="22">
        <v>0.498444</v>
      </c>
      <c r="AL129">
        <f t="shared" si="18"/>
        <v>21.328699999999998</v>
      </c>
      <c r="AM129">
        <f t="shared" si="19"/>
        <v>10.648737391599999</v>
      </c>
      <c r="AP129" s="9"/>
      <c r="AQ129" s="22">
        <v>0.25085400000000002</v>
      </c>
      <c r="AR129" s="22">
        <v>206.91</v>
      </c>
      <c r="AS129" s="22">
        <v>-2.18567E-2</v>
      </c>
      <c r="AT129" s="22">
        <v>119</v>
      </c>
      <c r="AU129" s="22">
        <v>0.25048799999999999</v>
      </c>
      <c r="AV129">
        <f t="shared" si="20"/>
        <v>21.8567</v>
      </c>
      <c r="AW129">
        <f t="shared" si="21"/>
        <v>5.4828406218000003</v>
      </c>
      <c r="AX129" s="9"/>
      <c r="AY129" s="22">
        <v>0.49926799999999999</v>
      </c>
      <c r="AZ129" s="22">
        <v>276.70699999999999</v>
      </c>
      <c r="BA129" s="22">
        <v>-2.1313499999999999E-2</v>
      </c>
      <c r="BB129" s="22">
        <v>119</v>
      </c>
      <c r="BC129" s="22">
        <v>0.49838300000000002</v>
      </c>
      <c r="BD129">
        <f t="shared" si="22"/>
        <v>21.313499999999998</v>
      </c>
      <c r="BE129">
        <f t="shared" si="23"/>
        <v>10.641148517999998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0.24581900000000001</v>
      </c>
      <c r="H130" s="22">
        <v>35.499299999999998</v>
      </c>
      <c r="I130" s="22">
        <v>-2.19086E-2</v>
      </c>
      <c r="J130" s="22">
        <v>120</v>
      </c>
      <c r="K130" s="22">
        <v>0.24496499999999999</v>
      </c>
      <c r="L130">
        <f t="shared" si="12"/>
        <v>21.9086</v>
      </c>
      <c r="M130">
        <f t="shared" si="13"/>
        <v>5.3855501434000006</v>
      </c>
      <c r="N130" s="9"/>
      <c r="O130" s="22">
        <v>0.50430299999999995</v>
      </c>
      <c r="P130" s="22">
        <v>83.643000000000001</v>
      </c>
      <c r="Q130" s="22">
        <v>-2.11212E-2</v>
      </c>
      <c r="R130" s="22">
        <v>120</v>
      </c>
      <c r="S130" s="22">
        <v>0.50366200000000005</v>
      </c>
      <c r="T130">
        <f t="shared" si="14"/>
        <v>21.121199999999998</v>
      </c>
      <c r="U130">
        <f t="shared" si="15"/>
        <v>10.651484523599997</v>
      </c>
      <c r="X130" s="9"/>
      <c r="Y130" s="22">
        <v>0.24581900000000001</v>
      </c>
      <c r="Z130" s="22">
        <v>137.21299999999999</v>
      </c>
      <c r="AA130" s="22">
        <v>-2.17743E-2</v>
      </c>
      <c r="AB130" s="22">
        <v>120</v>
      </c>
      <c r="AC130" s="22">
        <v>0.24609400000000001</v>
      </c>
      <c r="AD130">
        <f t="shared" si="16"/>
        <v>21.7743</v>
      </c>
      <c r="AE130">
        <f t="shared" si="17"/>
        <v>5.3525366517000004</v>
      </c>
      <c r="AF130" s="9"/>
      <c r="AG130" s="22">
        <v>0.50430299999999995</v>
      </c>
      <c r="AH130" s="22">
        <v>173.988</v>
      </c>
      <c r="AI130" s="22">
        <v>-2.1316499999999999E-2</v>
      </c>
      <c r="AJ130" s="22">
        <v>120</v>
      </c>
      <c r="AK130" s="22">
        <v>0.50363199999999997</v>
      </c>
      <c r="AL130">
        <f t="shared" si="18"/>
        <v>21.316499999999998</v>
      </c>
      <c r="AM130">
        <f t="shared" si="19"/>
        <v>10.749974899499998</v>
      </c>
      <c r="AP130" s="9"/>
      <c r="AQ130" s="22">
        <v>0.24581900000000001</v>
      </c>
      <c r="AR130" s="22">
        <v>207.011</v>
      </c>
      <c r="AS130" s="22">
        <v>-2.1887199999999999E-2</v>
      </c>
      <c r="AT130" s="22">
        <v>120</v>
      </c>
      <c r="AU130" s="22">
        <v>0.24502599999999999</v>
      </c>
      <c r="AV130">
        <f t="shared" si="20"/>
        <v>21.8872</v>
      </c>
      <c r="AW130">
        <f t="shared" si="21"/>
        <v>5.3802896167999998</v>
      </c>
      <c r="AX130" s="9"/>
      <c r="AY130" s="22">
        <v>0.50430299999999995</v>
      </c>
      <c r="AZ130" s="22">
        <v>276.80799999999999</v>
      </c>
      <c r="BA130" s="22">
        <v>-2.1289099999999998E-2</v>
      </c>
      <c r="BB130" s="22">
        <v>120</v>
      </c>
      <c r="BC130" s="22">
        <v>0.50378400000000001</v>
      </c>
      <c r="BD130">
        <f t="shared" si="22"/>
        <v>21.289099999999998</v>
      </c>
      <c r="BE130">
        <f t="shared" si="23"/>
        <v>10.736156997299998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0.240784</v>
      </c>
      <c r="H131" s="22">
        <v>35.6</v>
      </c>
      <c r="I131" s="22">
        <v>-2.1933000000000001E-2</v>
      </c>
      <c r="J131" s="22">
        <v>121</v>
      </c>
      <c r="K131" s="22">
        <v>0.24002100000000001</v>
      </c>
      <c r="L131">
        <f t="shared" si="12"/>
        <v>21.933</v>
      </c>
      <c r="M131">
        <f t="shared" si="13"/>
        <v>5.2811154719999998</v>
      </c>
      <c r="N131" s="9"/>
      <c r="O131" s="22">
        <v>0.50933799999999996</v>
      </c>
      <c r="P131" s="22">
        <v>83.743700000000004</v>
      </c>
      <c r="Q131" s="22">
        <v>-2.1075400000000001E-2</v>
      </c>
      <c r="R131" s="22">
        <v>121</v>
      </c>
      <c r="S131" s="22">
        <v>0.50839199999999996</v>
      </c>
      <c r="T131">
        <f t="shared" si="14"/>
        <v>21.075400000000002</v>
      </c>
      <c r="U131">
        <f t="shared" si="15"/>
        <v>10.734502085200001</v>
      </c>
      <c r="X131" s="9"/>
      <c r="Y131" s="22">
        <v>0.240784</v>
      </c>
      <c r="Z131" s="22">
        <v>137.31299999999999</v>
      </c>
      <c r="AA131" s="22">
        <v>-2.1792599999999999E-2</v>
      </c>
      <c r="AB131" s="22">
        <v>121</v>
      </c>
      <c r="AC131" s="22">
        <v>0.24032600000000001</v>
      </c>
      <c r="AD131">
        <f t="shared" si="16"/>
        <v>21.7926</v>
      </c>
      <c r="AE131">
        <f t="shared" si="17"/>
        <v>5.2473093983999997</v>
      </c>
      <c r="AF131" s="9"/>
      <c r="AG131" s="22">
        <v>0.50933799999999996</v>
      </c>
      <c r="AH131" s="22">
        <v>174.089</v>
      </c>
      <c r="AI131" s="22">
        <v>-2.12982E-2</v>
      </c>
      <c r="AJ131" s="22">
        <v>121</v>
      </c>
      <c r="AK131" s="22">
        <v>0.50845300000000004</v>
      </c>
      <c r="AL131">
        <f t="shared" si="18"/>
        <v>21.298200000000001</v>
      </c>
      <c r="AM131">
        <f t="shared" si="19"/>
        <v>10.847982591599999</v>
      </c>
      <c r="AP131" s="9"/>
      <c r="AQ131" s="22">
        <v>0.240784</v>
      </c>
      <c r="AR131" s="22">
        <v>207.11099999999999</v>
      </c>
      <c r="AS131" s="22">
        <v>-2.1893300000000001E-2</v>
      </c>
      <c r="AT131" s="22">
        <v>121</v>
      </c>
      <c r="AU131" s="22">
        <v>0.24002100000000001</v>
      </c>
      <c r="AV131">
        <f t="shared" si="20"/>
        <v>21.8933</v>
      </c>
      <c r="AW131">
        <f t="shared" si="21"/>
        <v>5.2715563471999998</v>
      </c>
      <c r="AX131" s="9"/>
      <c r="AY131" s="22">
        <v>0.50933799999999996</v>
      </c>
      <c r="AZ131" s="22">
        <v>276.90899999999999</v>
      </c>
      <c r="BA131" s="22">
        <v>-2.1252400000000001E-2</v>
      </c>
      <c r="BB131" s="22">
        <v>121</v>
      </c>
      <c r="BC131" s="22">
        <v>0.50869799999999998</v>
      </c>
      <c r="BD131">
        <f t="shared" si="22"/>
        <v>21.252400000000002</v>
      </c>
      <c r="BE131">
        <f t="shared" si="23"/>
        <v>10.8246549112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0.23574800000000001</v>
      </c>
      <c r="H132" s="22">
        <v>35.700699999999998</v>
      </c>
      <c r="I132" s="22">
        <v>-2.1920800000000001E-2</v>
      </c>
      <c r="J132" s="22">
        <v>122</v>
      </c>
      <c r="K132" s="22">
        <v>0.23522899999999999</v>
      </c>
      <c r="L132">
        <f t="shared" si="12"/>
        <v>21.9208</v>
      </c>
      <c r="M132">
        <f t="shared" si="13"/>
        <v>5.1677847583999998</v>
      </c>
      <c r="N132" s="9"/>
      <c r="O132" s="22">
        <v>0.514374</v>
      </c>
      <c r="P132" s="22">
        <v>83.844399999999993</v>
      </c>
      <c r="Q132" s="22">
        <v>-2.10785E-2</v>
      </c>
      <c r="R132" s="22">
        <v>122</v>
      </c>
      <c r="S132" s="22">
        <v>0.51364100000000001</v>
      </c>
      <c r="T132">
        <f t="shared" si="14"/>
        <v>21.078499999999998</v>
      </c>
      <c r="U132">
        <f t="shared" si="15"/>
        <v>10.842232358999999</v>
      </c>
      <c r="X132" s="9"/>
      <c r="Y132" s="22">
        <v>0.23574800000000001</v>
      </c>
      <c r="Z132" s="22">
        <v>137.41399999999999</v>
      </c>
      <c r="AA132" s="22">
        <v>-2.1804799999999999E-2</v>
      </c>
      <c r="AB132" s="22">
        <v>122</v>
      </c>
      <c r="AC132" s="22">
        <v>0.23526</v>
      </c>
      <c r="AD132">
        <f t="shared" si="16"/>
        <v>21.8048</v>
      </c>
      <c r="AE132">
        <f t="shared" si="17"/>
        <v>5.1404379904000006</v>
      </c>
      <c r="AF132" s="9"/>
      <c r="AG132" s="22">
        <v>0.514374</v>
      </c>
      <c r="AH132" s="22">
        <v>174.19</v>
      </c>
      <c r="AI132" s="22">
        <v>-2.12677E-2</v>
      </c>
      <c r="AJ132" s="22">
        <v>122</v>
      </c>
      <c r="AK132" s="22">
        <v>0.51394700000000004</v>
      </c>
      <c r="AL132">
        <f t="shared" si="18"/>
        <v>21.267700000000001</v>
      </c>
      <c r="AM132">
        <f t="shared" si="19"/>
        <v>10.939551919800001</v>
      </c>
      <c r="AP132" s="9"/>
      <c r="AQ132" s="22">
        <v>0.23574800000000001</v>
      </c>
      <c r="AR132" s="22">
        <v>207.21199999999999</v>
      </c>
      <c r="AS132" s="22">
        <v>-2.19116E-2</v>
      </c>
      <c r="AT132" s="22">
        <v>122</v>
      </c>
      <c r="AU132" s="22">
        <v>0.23516799999999999</v>
      </c>
      <c r="AV132">
        <f t="shared" si="20"/>
        <v>21.9116</v>
      </c>
      <c r="AW132">
        <f t="shared" si="21"/>
        <v>5.1656158768000004</v>
      </c>
      <c r="AX132" s="9"/>
      <c r="AY132" s="22">
        <v>0.514374</v>
      </c>
      <c r="AZ132" s="22">
        <v>277.00900000000001</v>
      </c>
      <c r="BA132" s="22">
        <v>-2.1228E-2</v>
      </c>
      <c r="BB132" s="22">
        <v>122</v>
      </c>
      <c r="BC132" s="22">
        <v>0.513733</v>
      </c>
      <c r="BD132">
        <f t="shared" si="22"/>
        <v>21.228000000000002</v>
      </c>
      <c r="BE132">
        <f t="shared" si="23"/>
        <v>10.919131272000001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0.230713</v>
      </c>
      <c r="H133" s="22">
        <v>35.801400000000001</v>
      </c>
      <c r="I133" s="22">
        <v>-2.1920800000000001E-2</v>
      </c>
      <c r="J133" s="22">
        <v>123</v>
      </c>
      <c r="K133" s="22">
        <v>0.230103</v>
      </c>
      <c r="L133">
        <f t="shared" si="12"/>
        <v>21.9208</v>
      </c>
      <c r="M133">
        <f t="shared" si="13"/>
        <v>5.0574135303999999</v>
      </c>
      <c r="N133" s="9"/>
      <c r="O133" s="22">
        <v>0.51940900000000001</v>
      </c>
      <c r="P133" s="22">
        <v>83.945099999999996</v>
      </c>
      <c r="Q133" s="22">
        <v>-2.1029699999999998E-2</v>
      </c>
      <c r="R133" s="22">
        <v>123</v>
      </c>
      <c r="S133" s="22">
        <v>0.51855499999999999</v>
      </c>
      <c r="T133">
        <f t="shared" si="14"/>
        <v>21.029699999999998</v>
      </c>
      <c r="U133">
        <f t="shared" si="15"/>
        <v>10.923015447299999</v>
      </c>
      <c r="X133" s="9"/>
      <c r="Y133" s="22">
        <v>0.230713</v>
      </c>
      <c r="Z133" s="22">
        <v>137.51499999999999</v>
      </c>
      <c r="AA133" s="22">
        <v>-2.1804799999999999E-2</v>
      </c>
      <c r="AB133" s="22">
        <v>123</v>
      </c>
      <c r="AC133" s="22">
        <v>0.22991900000000001</v>
      </c>
      <c r="AD133">
        <f t="shared" si="16"/>
        <v>21.8048</v>
      </c>
      <c r="AE133">
        <f t="shared" si="17"/>
        <v>5.0306508224000002</v>
      </c>
      <c r="AF133" s="9"/>
      <c r="AG133" s="22">
        <v>0.51940900000000001</v>
      </c>
      <c r="AH133" s="22">
        <v>174.29</v>
      </c>
      <c r="AI133" s="22">
        <v>-2.1228E-2</v>
      </c>
      <c r="AJ133" s="22">
        <v>123</v>
      </c>
      <c r="AK133" s="22">
        <v>0.51873800000000003</v>
      </c>
      <c r="AL133">
        <f t="shared" si="18"/>
        <v>21.228000000000002</v>
      </c>
      <c r="AM133">
        <f t="shared" si="19"/>
        <v>11.026014252000001</v>
      </c>
      <c r="AP133" s="9"/>
      <c r="AQ133" s="22">
        <v>0.230713</v>
      </c>
      <c r="AR133" s="22">
        <v>207.31299999999999</v>
      </c>
      <c r="AS133" s="22">
        <v>-2.19116E-2</v>
      </c>
      <c r="AT133" s="22">
        <v>123</v>
      </c>
      <c r="AU133" s="22">
        <v>0.230133</v>
      </c>
      <c r="AV133">
        <f t="shared" si="20"/>
        <v>21.9116</v>
      </c>
      <c r="AW133">
        <f t="shared" si="21"/>
        <v>5.0552909707999998</v>
      </c>
      <c r="AX133" s="9"/>
      <c r="AY133" s="22">
        <v>0.51940900000000001</v>
      </c>
      <c r="AZ133" s="22">
        <v>277.11</v>
      </c>
      <c r="BA133" s="22">
        <v>-2.1206699999999998E-2</v>
      </c>
      <c r="BB133" s="22">
        <v>123</v>
      </c>
      <c r="BC133" s="22">
        <v>0.51852399999999998</v>
      </c>
      <c r="BD133">
        <f t="shared" si="22"/>
        <v>21.206699999999998</v>
      </c>
      <c r="BE133">
        <f t="shared" si="23"/>
        <v>11.014950840299999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0.22567699999999999</v>
      </c>
      <c r="H134" s="22">
        <v>35.902099999999997</v>
      </c>
      <c r="I134" s="22">
        <v>-2.1942099999999999E-2</v>
      </c>
      <c r="J134" s="22">
        <v>124</v>
      </c>
      <c r="K134" s="22">
        <v>0.22528100000000001</v>
      </c>
      <c r="L134">
        <f t="shared" si="12"/>
        <v>21.9421</v>
      </c>
      <c r="M134">
        <f t="shared" si="13"/>
        <v>4.9518273016999999</v>
      </c>
      <c r="N134" s="9"/>
      <c r="O134" s="22">
        <v>0.52444500000000005</v>
      </c>
      <c r="P134" s="22">
        <v>84.0458</v>
      </c>
      <c r="Q134" s="22">
        <v>-2.09839E-2</v>
      </c>
      <c r="R134" s="22">
        <v>124</v>
      </c>
      <c r="S134" s="22">
        <v>0.52368199999999998</v>
      </c>
      <c r="T134">
        <f t="shared" si="14"/>
        <v>20.983899999999998</v>
      </c>
      <c r="U134">
        <f t="shared" si="15"/>
        <v>11.004901435500001</v>
      </c>
      <c r="X134" s="9"/>
      <c r="Y134" s="22">
        <v>0.22567699999999999</v>
      </c>
      <c r="Z134" s="22">
        <v>137.61600000000001</v>
      </c>
      <c r="AA134" s="22">
        <v>-2.18262E-2</v>
      </c>
      <c r="AB134" s="22">
        <v>124</v>
      </c>
      <c r="AC134" s="22">
        <v>0.225189</v>
      </c>
      <c r="AD134">
        <f t="shared" si="16"/>
        <v>21.8262</v>
      </c>
      <c r="AE134">
        <f t="shared" si="17"/>
        <v>4.9256713373999998</v>
      </c>
      <c r="AF134" s="9"/>
      <c r="AG134" s="22">
        <v>0.52444500000000005</v>
      </c>
      <c r="AH134" s="22">
        <v>174.39099999999999</v>
      </c>
      <c r="AI134" s="22">
        <v>-2.12158E-2</v>
      </c>
      <c r="AJ134" s="22">
        <v>124</v>
      </c>
      <c r="AK134" s="22">
        <v>0.52380400000000005</v>
      </c>
      <c r="AL134">
        <f t="shared" si="18"/>
        <v>21.215800000000002</v>
      </c>
      <c r="AM134">
        <f t="shared" si="19"/>
        <v>11.126520231000002</v>
      </c>
      <c r="AP134" s="9"/>
      <c r="AQ134" s="22">
        <v>0.22567699999999999</v>
      </c>
      <c r="AR134" s="22">
        <v>207.41399999999999</v>
      </c>
      <c r="AS134" s="22">
        <v>-2.1929899999999999E-2</v>
      </c>
      <c r="AT134" s="22">
        <v>124</v>
      </c>
      <c r="AU134" s="22">
        <v>0.22497600000000001</v>
      </c>
      <c r="AV134">
        <f t="shared" si="20"/>
        <v>21.9299</v>
      </c>
      <c r="AW134">
        <f t="shared" si="21"/>
        <v>4.9490740422999995</v>
      </c>
      <c r="AX134" s="9"/>
      <c r="AY134" s="22">
        <v>0.52444500000000005</v>
      </c>
      <c r="AZ134" s="22">
        <v>277.21100000000001</v>
      </c>
      <c r="BA134" s="22">
        <v>-2.1170000000000001E-2</v>
      </c>
      <c r="BB134" s="22">
        <v>124</v>
      </c>
      <c r="BC134" s="22">
        <v>0.52359</v>
      </c>
      <c r="BD134">
        <f t="shared" si="22"/>
        <v>21.17</v>
      </c>
      <c r="BE134">
        <f t="shared" si="23"/>
        <v>11.102500650000001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0.220642</v>
      </c>
      <c r="H135" s="22">
        <v>36.002800000000001</v>
      </c>
      <c r="I135" s="22">
        <v>-2.1948200000000001E-2</v>
      </c>
      <c r="J135" s="22">
        <v>125</v>
      </c>
      <c r="K135" s="22">
        <v>0.21978800000000001</v>
      </c>
      <c r="L135">
        <f t="shared" si="12"/>
        <v>21.9482</v>
      </c>
      <c r="M135">
        <f t="shared" si="13"/>
        <v>4.8426947444000001</v>
      </c>
      <c r="N135" s="9"/>
      <c r="O135" s="22">
        <v>0.52947999999999995</v>
      </c>
      <c r="P135" s="22">
        <v>84.146500000000003</v>
      </c>
      <c r="Q135" s="22">
        <v>-2.09412E-2</v>
      </c>
      <c r="R135" s="22">
        <v>125</v>
      </c>
      <c r="S135" s="22">
        <v>0.52880899999999997</v>
      </c>
      <c r="T135">
        <f t="shared" si="14"/>
        <v>20.941199999999998</v>
      </c>
      <c r="U135">
        <f t="shared" si="15"/>
        <v>11.087946575999998</v>
      </c>
      <c r="X135" s="9"/>
      <c r="Y135" s="22">
        <v>0.220642</v>
      </c>
      <c r="Z135" s="22">
        <v>137.71600000000001</v>
      </c>
      <c r="AA135" s="22">
        <v>-2.18262E-2</v>
      </c>
      <c r="AB135" s="22">
        <v>125</v>
      </c>
      <c r="AC135" s="22">
        <v>0.21990999999999999</v>
      </c>
      <c r="AD135">
        <f t="shared" si="16"/>
        <v>21.8262</v>
      </c>
      <c r="AE135">
        <f t="shared" si="17"/>
        <v>4.8157764203999998</v>
      </c>
      <c r="AF135" s="9"/>
      <c r="AG135" s="22">
        <v>0.52947999999999995</v>
      </c>
      <c r="AH135" s="22">
        <v>174.49199999999999</v>
      </c>
      <c r="AI135" s="22">
        <v>-2.1191399999999999E-2</v>
      </c>
      <c r="AJ135" s="22">
        <v>125</v>
      </c>
      <c r="AK135" s="22">
        <v>0.52865600000000001</v>
      </c>
      <c r="AL135">
        <f t="shared" si="18"/>
        <v>21.191399999999998</v>
      </c>
      <c r="AM135">
        <f t="shared" si="19"/>
        <v>11.220422471999997</v>
      </c>
      <c r="AP135" s="9"/>
      <c r="AQ135" s="22">
        <v>0.220642</v>
      </c>
      <c r="AR135" s="22">
        <v>207.51400000000001</v>
      </c>
      <c r="AS135" s="22">
        <v>-2.19391E-2</v>
      </c>
      <c r="AT135" s="22">
        <v>125</v>
      </c>
      <c r="AU135" s="22">
        <v>0.21981800000000001</v>
      </c>
      <c r="AV135">
        <f t="shared" si="20"/>
        <v>21.9391</v>
      </c>
      <c r="AW135">
        <f t="shared" si="21"/>
        <v>4.8406869021999999</v>
      </c>
      <c r="AX135" s="9"/>
      <c r="AY135" s="22">
        <v>0.52947999999999995</v>
      </c>
      <c r="AZ135" s="22">
        <v>277.31099999999998</v>
      </c>
      <c r="BA135" s="22">
        <v>-2.1130400000000001E-2</v>
      </c>
      <c r="BB135" s="22">
        <v>125</v>
      </c>
      <c r="BC135" s="22">
        <v>0.52883899999999995</v>
      </c>
      <c r="BD135">
        <f t="shared" si="22"/>
        <v>21.130400000000002</v>
      </c>
      <c r="BE135">
        <f t="shared" si="23"/>
        <v>11.188124192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0.21560699999999999</v>
      </c>
      <c r="H136" s="22">
        <v>36.103499999999997</v>
      </c>
      <c r="I136" s="22">
        <v>-2.1972700000000001E-2</v>
      </c>
      <c r="J136" s="22">
        <v>126</v>
      </c>
      <c r="K136" s="22">
        <v>0.21499599999999999</v>
      </c>
      <c r="L136">
        <f t="shared" si="12"/>
        <v>21.9727</v>
      </c>
      <c r="M136">
        <f t="shared" si="13"/>
        <v>4.7374679289000001</v>
      </c>
      <c r="N136" s="9"/>
      <c r="O136" s="22">
        <v>0.53451499999999996</v>
      </c>
      <c r="P136" s="22">
        <v>84.247200000000007</v>
      </c>
      <c r="Q136" s="22">
        <v>-2.0880099999999999E-2</v>
      </c>
      <c r="R136" s="22">
        <v>126</v>
      </c>
      <c r="S136" s="22">
        <v>0.53384399999999999</v>
      </c>
      <c r="T136">
        <f t="shared" si="14"/>
        <v>20.880099999999999</v>
      </c>
      <c r="U136">
        <f t="shared" si="15"/>
        <v>11.160726651499999</v>
      </c>
      <c r="X136" s="9"/>
      <c r="Y136" s="22">
        <v>0.21560699999999999</v>
      </c>
      <c r="Z136" s="22">
        <v>137.81700000000001</v>
      </c>
      <c r="AA136" s="22">
        <v>-2.1835299999999998E-2</v>
      </c>
      <c r="AB136" s="22">
        <v>126</v>
      </c>
      <c r="AC136" s="22">
        <v>0.21548500000000001</v>
      </c>
      <c r="AD136">
        <f t="shared" si="16"/>
        <v>21.8353</v>
      </c>
      <c r="AE136">
        <f t="shared" si="17"/>
        <v>4.7078435270999996</v>
      </c>
      <c r="AF136" s="9"/>
      <c r="AG136" s="22">
        <v>0.53451499999999996</v>
      </c>
      <c r="AH136" s="22">
        <v>174.59299999999999</v>
      </c>
      <c r="AI136" s="22">
        <v>-2.1151699999999999E-2</v>
      </c>
      <c r="AJ136" s="22">
        <v>126</v>
      </c>
      <c r="AK136" s="22">
        <v>0.53369100000000003</v>
      </c>
      <c r="AL136">
        <f t="shared" si="18"/>
        <v>21.151699999999998</v>
      </c>
      <c r="AM136">
        <f t="shared" si="19"/>
        <v>11.305900925499998</v>
      </c>
      <c r="AP136" s="9"/>
      <c r="AQ136" s="22">
        <v>0.21560699999999999</v>
      </c>
      <c r="AR136" s="22">
        <v>207.61500000000001</v>
      </c>
      <c r="AS136" s="22">
        <v>-2.1926899999999999E-2</v>
      </c>
      <c r="AT136" s="22">
        <v>126</v>
      </c>
      <c r="AU136" s="22">
        <v>0.215057</v>
      </c>
      <c r="AV136">
        <f t="shared" si="20"/>
        <v>21.9269</v>
      </c>
      <c r="AW136">
        <f t="shared" si="21"/>
        <v>4.7275931282999997</v>
      </c>
      <c r="AX136" s="9"/>
      <c r="AY136" s="22">
        <v>0.53451499999999996</v>
      </c>
      <c r="AZ136" s="22">
        <v>277.41199999999998</v>
      </c>
      <c r="BA136" s="22">
        <v>-2.1108999999999999E-2</v>
      </c>
      <c r="BB136" s="22">
        <v>126</v>
      </c>
      <c r="BC136" s="22">
        <v>0.53369100000000003</v>
      </c>
      <c r="BD136">
        <f t="shared" si="22"/>
        <v>21.108999999999998</v>
      </c>
      <c r="BE136">
        <f t="shared" si="23"/>
        <v>11.283077134999997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0.21057100000000001</v>
      </c>
      <c r="H137" s="22">
        <v>36.2042</v>
      </c>
      <c r="I137" s="22">
        <v>-2.1969599999999999E-2</v>
      </c>
      <c r="J137" s="22">
        <v>127</v>
      </c>
      <c r="K137" s="22">
        <v>0.210114</v>
      </c>
      <c r="L137">
        <f t="shared" si="12"/>
        <v>21.9696</v>
      </c>
      <c r="M137">
        <f t="shared" si="13"/>
        <v>4.6261606416000003</v>
      </c>
      <c r="N137" s="9"/>
      <c r="O137" s="22">
        <v>0.539551</v>
      </c>
      <c r="P137" s="22">
        <v>84.347899999999996</v>
      </c>
      <c r="Q137" s="22">
        <v>-2.0849599999999999E-2</v>
      </c>
      <c r="R137" s="22">
        <v>127</v>
      </c>
      <c r="S137" s="22">
        <v>0.53878800000000004</v>
      </c>
      <c r="T137">
        <f t="shared" si="14"/>
        <v>20.849599999999999</v>
      </c>
      <c r="U137">
        <f t="shared" si="15"/>
        <v>11.249422529599999</v>
      </c>
      <c r="X137" s="9"/>
      <c r="Y137" s="22">
        <v>0.21057100000000001</v>
      </c>
      <c r="Z137" s="22">
        <v>137.91800000000001</v>
      </c>
      <c r="AA137" s="22">
        <v>-2.1847499999999999E-2</v>
      </c>
      <c r="AB137" s="22">
        <v>127</v>
      </c>
      <c r="AC137" s="22">
        <v>0.210114</v>
      </c>
      <c r="AD137">
        <f t="shared" si="16"/>
        <v>21.8475</v>
      </c>
      <c r="AE137">
        <f t="shared" si="17"/>
        <v>4.6004499225000002</v>
      </c>
      <c r="AF137" s="9"/>
      <c r="AG137" s="22">
        <v>0.539551</v>
      </c>
      <c r="AH137" s="22">
        <v>174.69300000000001</v>
      </c>
      <c r="AI137" s="22">
        <v>-2.1115100000000001E-2</v>
      </c>
      <c r="AJ137" s="22">
        <v>127</v>
      </c>
      <c r="AK137" s="22">
        <v>0.53851300000000002</v>
      </c>
      <c r="AL137">
        <f t="shared" si="18"/>
        <v>21.115100000000002</v>
      </c>
      <c r="AM137">
        <f t="shared" si="19"/>
        <v>11.392673320100002</v>
      </c>
      <c r="AP137" s="9"/>
      <c r="AQ137" s="22">
        <v>0.21057100000000001</v>
      </c>
      <c r="AR137" s="22">
        <v>207.71600000000001</v>
      </c>
      <c r="AS137" s="22">
        <v>-2.1945200000000002E-2</v>
      </c>
      <c r="AT137" s="22">
        <v>127</v>
      </c>
      <c r="AU137" s="22">
        <v>0.209869</v>
      </c>
      <c r="AV137">
        <f t="shared" si="20"/>
        <v>21.9452</v>
      </c>
      <c r="AW137">
        <f t="shared" si="21"/>
        <v>4.6210227092</v>
      </c>
      <c r="AX137" s="9"/>
      <c r="AY137" s="22">
        <v>0.539551</v>
      </c>
      <c r="AZ137" s="22">
        <v>277.51299999999998</v>
      </c>
      <c r="BA137" s="22">
        <v>-2.1087600000000001E-2</v>
      </c>
      <c r="BB137" s="22">
        <v>127</v>
      </c>
      <c r="BC137" s="22">
        <v>0.53881800000000002</v>
      </c>
      <c r="BD137">
        <f t="shared" si="22"/>
        <v>21.087600000000002</v>
      </c>
      <c r="BE137">
        <f t="shared" si="23"/>
        <v>11.377835667600001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0.205536</v>
      </c>
      <c r="H138" s="22">
        <v>36.304900000000004</v>
      </c>
      <c r="I138" s="22">
        <v>-2.1981799999999999E-2</v>
      </c>
      <c r="J138" s="22">
        <v>128</v>
      </c>
      <c r="K138" s="22">
        <v>0.20516999999999999</v>
      </c>
      <c r="L138">
        <f t="shared" si="12"/>
        <v>21.9818</v>
      </c>
      <c r="M138">
        <f t="shared" si="13"/>
        <v>4.5180512447999996</v>
      </c>
      <c r="N138" s="9"/>
      <c r="O138" s="22">
        <v>0.54458600000000001</v>
      </c>
      <c r="P138" s="22">
        <v>84.448599999999999</v>
      </c>
      <c r="Q138" s="22">
        <v>-2.07916E-2</v>
      </c>
      <c r="R138" s="22">
        <v>128</v>
      </c>
      <c r="S138" s="22">
        <v>0.54394500000000001</v>
      </c>
      <c r="T138">
        <f t="shared" si="14"/>
        <v>20.791599999999999</v>
      </c>
      <c r="U138">
        <f t="shared" si="15"/>
        <v>11.322814277599999</v>
      </c>
      <c r="X138" s="9"/>
      <c r="Y138" s="22">
        <v>0.205536</v>
      </c>
      <c r="Z138" s="22">
        <v>138.018</v>
      </c>
      <c r="AA138" s="22">
        <v>-2.1853600000000001E-2</v>
      </c>
      <c r="AB138" s="22">
        <v>128</v>
      </c>
      <c r="AC138" s="22">
        <v>0.20422399999999999</v>
      </c>
      <c r="AD138">
        <f t="shared" si="16"/>
        <v>21.8536</v>
      </c>
      <c r="AE138">
        <f t="shared" si="17"/>
        <v>4.4917015296000002</v>
      </c>
      <c r="AF138" s="9"/>
      <c r="AG138" s="22">
        <v>0.54458600000000001</v>
      </c>
      <c r="AH138" s="22">
        <v>174.79400000000001</v>
      </c>
      <c r="AI138" s="22">
        <v>-2.1093799999999999E-2</v>
      </c>
      <c r="AJ138" s="22">
        <v>128</v>
      </c>
      <c r="AK138" s="22">
        <v>0.54385399999999995</v>
      </c>
      <c r="AL138">
        <f t="shared" si="18"/>
        <v>21.093799999999998</v>
      </c>
      <c r="AM138">
        <f t="shared" si="19"/>
        <v>11.487388166799999</v>
      </c>
      <c r="AP138" s="9"/>
      <c r="AQ138" s="22">
        <v>0.205536</v>
      </c>
      <c r="AR138" s="22">
        <v>207.816</v>
      </c>
      <c r="AS138" s="22">
        <v>-2.1960400000000001E-2</v>
      </c>
      <c r="AT138" s="22">
        <v>128</v>
      </c>
      <c r="AU138" s="22">
        <v>0.20474200000000001</v>
      </c>
      <c r="AV138">
        <f t="shared" si="20"/>
        <v>21.9604</v>
      </c>
      <c r="AW138">
        <f t="shared" si="21"/>
        <v>4.5136527743999997</v>
      </c>
      <c r="AX138" s="9"/>
      <c r="AY138" s="22">
        <v>0.54458600000000001</v>
      </c>
      <c r="AZ138" s="22">
        <v>277.61399999999998</v>
      </c>
      <c r="BA138" s="22">
        <v>-2.1048000000000001E-2</v>
      </c>
      <c r="BB138" s="22">
        <v>128</v>
      </c>
      <c r="BC138" s="22">
        <v>0.54385399999999995</v>
      </c>
      <c r="BD138">
        <f t="shared" si="22"/>
        <v>21.048000000000002</v>
      </c>
      <c r="BE138">
        <f t="shared" si="23"/>
        <v>11.462446128000002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0.20050000000000001</v>
      </c>
      <c r="H139" s="22">
        <v>36.4056</v>
      </c>
      <c r="I139" s="22">
        <v>-2.1981799999999999E-2</v>
      </c>
      <c r="J139" s="22">
        <v>129</v>
      </c>
      <c r="K139" s="22">
        <v>0.200104</v>
      </c>
      <c r="L139">
        <f t="shared" si="12"/>
        <v>21.9818</v>
      </c>
      <c r="M139">
        <f t="shared" si="13"/>
        <v>4.4073509</v>
      </c>
      <c r="N139" s="9"/>
      <c r="O139" s="22">
        <v>0.54962200000000005</v>
      </c>
      <c r="P139" s="22">
        <v>84.549400000000006</v>
      </c>
      <c r="Q139" s="22">
        <v>-2.07397E-2</v>
      </c>
      <c r="R139" s="22">
        <v>129</v>
      </c>
      <c r="S139" s="22">
        <v>0.54895000000000005</v>
      </c>
      <c r="T139">
        <f t="shared" si="14"/>
        <v>20.739699999999999</v>
      </c>
      <c r="U139">
        <f t="shared" si="15"/>
        <v>11.3989953934</v>
      </c>
      <c r="X139" s="9"/>
      <c r="Y139" s="22">
        <v>0.20050000000000001</v>
      </c>
      <c r="Z139" s="22">
        <v>138.119</v>
      </c>
      <c r="AA139" s="22">
        <v>-2.18689E-2</v>
      </c>
      <c r="AB139" s="22">
        <v>129</v>
      </c>
      <c r="AC139" s="22">
        <v>0.199799</v>
      </c>
      <c r="AD139">
        <f t="shared" si="16"/>
        <v>21.8689</v>
      </c>
      <c r="AE139">
        <f t="shared" si="17"/>
        <v>4.3847144500000006</v>
      </c>
      <c r="AF139" s="9"/>
      <c r="AG139" s="22">
        <v>0.54962200000000005</v>
      </c>
      <c r="AH139" s="22">
        <v>174.89500000000001</v>
      </c>
      <c r="AI139" s="22">
        <v>-2.1051E-2</v>
      </c>
      <c r="AJ139" s="22">
        <v>129</v>
      </c>
      <c r="AK139" s="22">
        <v>0.54885899999999999</v>
      </c>
      <c r="AL139">
        <f t="shared" si="18"/>
        <v>21.051000000000002</v>
      </c>
      <c r="AM139">
        <f t="shared" si="19"/>
        <v>11.570092722000002</v>
      </c>
      <c r="AP139" s="9"/>
      <c r="AQ139" s="22">
        <v>0.20050000000000001</v>
      </c>
      <c r="AR139" s="22">
        <v>207.917</v>
      </c>
      <c r="AS139" s="22">
        <v>-2.1969599999999999E-2</v>
      </c>
      <c r="AT139" s="22">
        <v>129</v>
      </c>
      <c r="AU139" s="22">
        <v>0.199738</v>
      </c>
      <c r="AV139">
        <f t="shared" si="20"/>
        <v>21.9696</v>
      </c>
      <c r="AW139">
        <f t="shared" si="21"/>
        <v>4.4049048000000006</v>
      </c>
      <c r="AX139" s="9"/>
      <c r="AY139" s="22">
        <v>0.54962200000000005</v>
      </c>
      <c r="AZ139" s="22">
        <v>277.714</v>
      </c>
      <c r="BA139" s="22">
        <v>-2.1005200000000002E-2</v>
      </c>
      <c r="BB139" s="22">
        <v>129</v>
      </c>
      <c r="BC139" s="22">
        <v>0.54898100000000005</v>
      </c>
      <c r="BD139">
        <f t="shared" si="22"/>
        <v>21.005200000000002</v>
      </c>
      <c r="BE139">
        <f t="shared" si="23"/>
        <v>11.544920034400002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0.195465</v>
      </c>
      <c r="H140" s="22">
        <v>36.506300000000003</v>
      </c>
      <c r="I140" s="22">
        <v>-2.2009299999999999E-2</v>
      </c>
      <c r="J140" s="22">
        <v>130</v>
      </c>
      <c r="K140" s="22">
        <v>0.19464100000000001</v>
      </c>
      <c r="L140">
        <f t="shared" ref="L140:L199" si="24">-I140/$F$2*1000</f>
        <v>22.0093</v>
      </c>
      <c r="M140">
        <f t="shared" ref="M140:M199" si="25">L140*G140</f>
        <v>4.3020478244999998</v>
      </c>
      <c r="N140" s="9"/>
      <c r="O140" s="22">
        <v>0.55465699999999996</v>
      </c>
      <c r="P140" s="22">
        <v>84.650099999999995</v>
      </c>
      <c r="Q140" s="22">
        <v>-2.0672599999999999E-2</v>
      </c>
      <c r="R140" s="22">
        <v>130</v>
      </c>
      <c r="S140" s="22">
        <v>0.55401599999999995</v>
      </c>
      <c r="T140">
        <f t="shared" ref="T140:T199" si="26">-Q140/$F$2*1000</f>
        <v>20.672599999999999</v>
      </c>
      <c r="U140">
        <f t="shared" ref="U140:U199" si="27">T140*O140</f>
        <v>11.466202298199999</v>
      </c>
      <c r="X140" s="9"/>
      <c r="Y140" s="22">
        <v>0.195465</v>
      </c>
      <c r="Z140" s="22">
        <v>138.22</v>
      </c>
      <c r="AA140" s="22">
        <v>-2.1874999999999999E-2</v>
      </c>
      <c r="AB140" s="22">
        <v>130</v>
      </c>
      <c r="AC140" s="22">
        <v>0.19534299999999999</v>
      </c>
      <c r="AD140">
        <f t="shared" ref="AD140:AD199" si="28">-AA140/$F$2*1000</f>
        <v>21.875</v>
      </c>
      <c r="AE140">
        <f t="shared" ref="AE140:AE199" si="29">AD140*Y140</f>
        <v>4.2757968750000002</v>
      </c>
      <c r="AF140" s="9"/>
      <c r="AG140" s="22">
        <v>0.55465699999999996</v>
      </c>
      <c r="AH140" s="22">
        <v>174.995</v>
      </c>
      <c r="AI140" s="22">
        <v>-2.10236E-2</v>
      </c>
      <c r="AJ140" s="22">
        <v>130</v>
      </c>
      <c r="AK140" s="22">
        <v>0.553894</v>
      </c>
      <c r="AL140">
        <f t="shared" ref="AL140:AL199" si="30">-AI140/$F$2*1000</f>
        <v>21.023599999999998</v>
      </c>
      <c r="AM140">
        <f t="shared" ref="AM140:AM199" si="31">AL140*AG140</f>
        <v>11.660886905199998</v>
      </c>
      <c r="AP140" s="9"/>
      <c r="AQ140" s="22">
        <v>0.195465</v>
      </c>
      <c r="AR140" s="22">
        <v>208.018</v>
      </c>
      <c r="AS140" s="22">
        <v>-2.1957399999999998E-2</v>
      </c>
      <c r="AT140" s="22">
        <v>130</v>
      </c>
      <c r="AU140" s="22">
        <v>0.194519</v>
      </c>
      <c r="AV140">
        <f t="shared" ref="AV140:AV199" si="32">-AS140/$F$2*1000</f>
        <v>21.9574</v>
      </c>
      <c r="AW140">
        <f t="shared" ref="AW140:AW199" si="33">AV140*AQ140</f>
        <v>4.2919031910000003</v>
      </c>
      <c r="AX140" s="9"/>
      <c r="AY140" s="22">
        <v>0.55465699999999996</v>
      </c>
      <c r="AZ140" s="22">
        <v>277.815</v>
      </c>
      <c r="BA140" s="22">
        <v>-2.0962499999999998E-2</v>
      </c>
      <c r="BB140" s="22">
        <v>130</v>
      </c>
      <c r="BC140" s="22">
        <v>0.55398599999999998</v>
      </c>
      <c r="BD140">
        <f t="shared" ref="BD140:BD199" si="34">-BA140/$F$2*1000</f>
        <v>20.962499999999999</v>
      </c>
      <c r="BE140">
        <f t="shared" ref="BE140:BE199" si="35">BD140*AY140</f>
        <v>11.626997362499999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0.19042999999999999</v>
      </c>
      <c r="H141" s="22">
        <v>36.606999999999999</v>
      </c>
      <c r="I141" s="22">
        <v>-2.20337E-2</v>
      </c>
      <c r="J141" s="22">
        <v>131</v>
      </c>
      <c r="K141" s="22">
        <v>0.189972</v>
      </c>
      <c r="L141">
        <f t="shared" si="24"/>
        <v>22.0337</v>
      </c>
      <c r="M141">
        <f t="shared" si="25"/>
        <v>4.1958774910000001</v>
      </c>
      <c r="N141" s="9"/>
      <c r="O141" s="22">
        <v>0.55969199999999997</v>
      </c>
      <c r="P141" s="22">
        <v>84.750799999999998</v>
      </c>
      <c r="Q141" s="22">
        <v>-2.06024E-2</v>
      </c>
      <c r="R141" s="22">
        <v>131</v>
      </c>
      <c r="S141" s="22">
        <v>0.55917399999999995</v>
      </c>
      <c r="T141">
        <f t="shared" si="26"/>
        <v>20.602399999999999</v>
      </c>
      <c r="U141">
        <f t="shared" si="27"/>
        <v>11.530998460799999</v>
      </c>
      <c r="X141" s="9"/>
      <c r="Y141" s="22">
        <v>0.19042999999999999</v>
      </c>
      <c r="Z141" s="22">
        <v>138.321</v>
      </c>
      <c r="AA141" s="22">
        <v>-2.1887199999999999E-2</v>
      </c>
      <c r="AB141" s="22">
        <v>131</v>
      </c>
      <c r="AC141" s="22">
        <v>0.18981899999999999</v>
      </c>
      <c r="AD141">
        <f t="shared" si="28"/>
        <v>21.8872</v>
      </c>
      <c r="AE141">
        <f t="shared" si="29"/>
        <v>4.1679794960000001</v>
      </c>
      <c r="AF141" s="9"/>
      <c r="AG141" s="22">
        <v>0.55969199999999997</v>
      </c>
      <c r="AH141" s="22">
        <v>175.096</v>
      </c>
      <c r="AI141" s="22">
        <v>-2.0977800000000001E-2</v>
      </c>
      <c r="AJ141" s="22">
        <v>131</v>
      </c>
      <c r="AK141" s="22">
        <v>0.55889900000000003</v>
      </c>
      <c r="AL141">
        <f t="shared" si="30"/>
        <v>20.977800000000002</v>
      </c>
      <c r="AM141">
        <f t="shared" si="31"/>
        <v>11.7411068376</v>
      </c>
      <c r="AP141" s="9"/>
      <c r="AQ141" s="22">
        <v>0.19042999999999999</v>
      </c>
      <c r="AR141" s="22">
        <v>208.119</v>
      </c>
      <c r="AS141" s="22">
        <v>-2.1957399999999998E-2</v>
      </c>
      <c r="AT141" s="22">
        <v>131</v>
      </c>
      <c r="AU141" s="22">
        <v>0.189301</v>
      </c>
      <c r="AV141">
        <f t="shared" si="32"/>
        <v>21.9574</v>
      </c>
      <c r="AW141">
        <f t="shared" si="33"/>
        <v>4.1813476819999993</v>
      </c>
      <c r="AX141" s="9"/>
      <c r="AY141" s="22">
        <v>0.55969199999999997</v>
      </c>
      <c r="AZ141" s="22">
        <v>277.916</v>
      </c>
      <c r="BA141" s="22">
        <v>-2.0922900000000001E-2</v>
      </c>
      <c r="BB141" s="22">
        <v>131</v>
      </c>
      <c r="BC141" s="22">
        <v>0.55908199999999997</v>
      </c>
      <c r="BD141">
        <f t="shared" si="34"/>
        <v>20.922900000000002</v>
      </c>
      <c r="BE141">
        <f t="shared" si="35"/>
        <v>11.710379746800001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0.185394</v>
      </c>
      <c r="H142" s="22">
        <v>36.707799999999999</v>
      </c>
      <c r="I142" s="22">
        <v>-2.2036699999999999E-2</v>
      </c>
      <c r="J142" s="22">
        <v>132</v>
      </c>
      <c r="K142" s="22">
        <v>0.18551599999999999</v>
      </c>
      <c r="L142">
        <f t="shared" si="24"/>
        <v>22.0367</v>
      </c>
      <c r="M142">
        <f t="shared" si="25"/>
        <v>4.0854719598000004</v>
      </c>
      <c r="N142" s="9"/>
      <c r="O142" s="22">
        <v>0.56472800000000001</v>
      </c>
      <c r="P142" s="22">
        <v>84.851500000000001</v>
      </c>
      <c r="Q142" s="22">
        <v>-2.0565799999999999E-2</v>
      </c>
      <c r="R142" s="22">
        <v>132</v>
      </c>
      <c r="S142" s="22">
        <v>0.56396500000000005</v>
      </c>
      <c r="T142">
        <f t="shared" si="26"/>
        <v>20.565799999999999</v>
      </c>
      <c r="U142">
        <f t="shared" si="27"/>
        <v>11.6140831024</v>
      </c>
      <c r="X142" s="9"/>
      <c r="Y142" s="22">
        <v>0.185394</v>
      </c>
      <c r="Z142" s="22">
        <v>138.42099999999999</v>
      </c>
      <c r="AA142" s="22">
        <v>-2.1893300000000001E-2</v>
      </c>
      <c r="AB142" s="22">
        <v>132</v>
      </c>
      <c r="AC142" s="22">
        <v>0.18493699999999999</v>
      </c>
      <c r="AD142">
        <f t="shared" si="28"/>
        <v>21.8933</v>
      </c>
      <c r="AE142">
        <f t="shared" si="29"/>
        <v>4.0588864602000001</v>
      </c>
      <c r="AF142" s="9"/>
      <c r="AG142" s="22">
        <v>0.56472800000000001</v>
      </c>
      <c r="AH142" s="22">
        <v>175.197</v>
      </c>
      <c r="AI142" s="22">
        <v>-2.09412E-2</v>
      </c>
      <c r="AJ142" s="22">
        <v>132</v>
      </c>
      <c r="AK142" s="22">
        <v>0.56399500000000002</v>
      </c>
      <c r="AL142">
        <f t="shared" si="30"/>
        <v>20.941199999999998</v>
      </c>
      <c r="AM142">
        <f t="shared" si="31"/>
        <v>11.826081993599999</v>
      </c>
      <c r="AP142" s="9"/>
      <c r="AQ142" s="22">
        <v>0.185394</v>
      </c>
      <c r="AR142" s="22">
        <v>208.21899999999999</v>
      </c>
      <c r="AS142" s="22">
        <v>-2.19788E-2</v>
      </c>
      <c r="AT142" s="22">
        <v>132</v>
      </c>
      <c r="AU142" s="22">
        <v>0.18515000000000001</v>
      </c>
      <c r="AV142">
        <f t="shared" si="32"/>
        <v>21.9788</v>
      </c>
      <c r="AW142">
        <f t="shared" si="33"/>
        <v>4.0747376472000001</v>
      </c>
      <c r="AX142" s="9"/>
      <c r="AY142" s="22">
        <v>0.56472800000000001</v>
      </c>
      <c r="AZ142" s="22">
        <v>278.01600000000002</v>
      </c>
      <c r="BA142" s="22">
        <v>-2.0877099999999999E-2</v>
      </c>
      <c r="BB142" s="22">
        <v>132</v>
      </c>
      <c r="BC142" s="22">
        <v>0.56390399999999996</v>
      </c>
      <c r="BD142">
        <f t="shared" si="34"/>
        <v>20.877099999999999</v>
      </c>
      <c r="BE142">
        <f t="shared" si="35"/>
        <v>11.789882928799999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0.18035899999999999</v>
      </c>
      <c r="H143" s="22">
        <v>36.808500000000002</v>
      </c>
      <c r="I143" s="22">
        <v>-2.2036699999999999E-2</v>
      </c>
      <c r="J143" s="22">
        <v>133</v>
      </c>
      <c r="K143" s="22">
        <v>0.17944299999999999</v>
      </c>
      <c r="L143">
        <f t="shared" si="24"/>
        <v>22.0367</v>
      </c>
      <c r="M143">
        <f t="shared" si="25"/>
        <v>3.9745171752999999</v>
      </c>
      <c r="N143" s="9"/>
      <c r="O143" s="22">
        <v>0.56976300000000002</v>
      </c>
      <c r="P143" s="22">
        <v>84.952200000000005</v>
      </c>
      <c r="Q143" s="22">
        <v>-2.05078E-2</v>
      </c>
      <c r="R143" s="22">
        <v>133</v>
      </c>
      <c r="S143" s="22">
        <v>0.56933599999999995</v>
      </c>
      <c r="T143">
        <f t="shared" si="26"/>
        <v>20.5078</v>
      </c>
      <c r="U143">
        <f t="shared" si="27"/>
        <v>11.684585651400001</v>
      </c>
      <c r="X143" s="9"/>
      <c r="Y143" s="22">
        <v>0.18035899999999999</v>
      </c>
      <c r="Z143" s="22">
        <v>138.52199999999999</v>
      </c>
      <c r="AA143" s="22">
        <v>-2.1905500000000001E-2</v>
      </c>
      <c r="AB143" s="22">
        <v>133</v>
      </c>
      <c r="AC143" s="22">
        <v>0.17974899999999999</v>
      </c>
      <c r="AD143">
        <f t="shared" si="28"/>
        <v>21.9055</v>
      </c>
      <c r="AE143">
        <f t="shared" si="29"/>
        <v>3.9508540744999996</v>
      </c>
      <c r="AF143" s="9"/>
      <c r="AG143" s="22">
        <v>0.56976300000000002</v>
      </c>
      <c r="AH143" s="22">
        <v>175.298</v>
      </c>
      <c r="AI143" s="22">
        <v>-2.0904499999999999E-2</v>
      </c>
      <c r="AJ143" s="22">
        <v>133</v>
      </c>
      <c r="AK143" s="22">
        <v>0.568909</v>
      </c>
      <c r="AL143">
        <f t="shared" si="30"/>
        <v>20.904499999999999</v>
      </c>
      <c r="AM143">
        <f t="shared" si="31"/>
        <v>11.910610633499999</v>
      </c>
      <c r="AP143" s="9"/>
      <c r="AQ143" s="22">
        <v>0.18035899999999999</v>
      </c>
      <c r="AR143" s="22">
        <v>208.32</v>
      </c>
      <c r="AS143" s="22">
        <v>-2.1975700000000001E-2</v>
      </c>
      <c r="AT143" s="22">
        <v>133</v>
      </c>
      <c r="AU143" s="22">
        <v>0.18008399999999999</v>
      </c>
      <c r="AV143">
        <f t="shared" si="32"/>
        <v>21.9757</v>
      </c>
      <c r="AW143">
        <f t="shared" si="33"/>
        <v>3.9635152762999999</v>
      </c>
      <c r="AX143" s="9"/>
      <c r="AY143" s="22">
        <v>0.56976300000000002</v>
      </c>
      <c r="AZ143" s="22">
        <v>278.11700000000002</v>
      </c>
      <c r="BA143" s="22">
        <v>-2.0852699999999998E-2</v>
      </c>
      <c r="BB143" s="22">
        <v>133</v>
      </c>
      <c r="BC143" s="22">
        <v>0.56896999999999998</v>
      </c>
      <c r="BD143">
        <f t="shared" si="34"/>
        <v>20.852699999999999</v>
      </c>
      <c r="BE143">
        <f t="shared" si="35"/>
        <v>11.8810969101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0.17532300000000001</v>
      </c>
      <c r="H144" s="22">
        <v>36.909199999999998</v>
      </c>
      <c r="I144" s="22">
        <v>-2.2042800000000001E-2</v>
      </c>
      <c r="J144" s="22">
        <v>134</v>
      </c>
      <c r="K144" s="22">
        <v>0.174622</v>
      </c>
      <c r="L144">
        <f t="shared" si="24"/>
        <v>22.0428</v>
      </c>
      <c r="M144">
        <f t="shared" si="25"/>
        <v>3.8646098244</v>
      </c>
      <c r="N144" s="9"/>
      <c r="O144" s="22">
        <v>0.57479899999999995</v>
      </c>
      <c r="P144" s="22">
        <v>85.052899999999994</v>
      </c>
      <c r="Q144" s="22">
        <v>-2.0440699999999999E-2</v>
      </c>
      <c r="R144" s="22">
        <v>134</v>
      </c>
      <c r="S144" s="22">
        <v>0.57403599999999999</v>
      </c>
      <c r="T144">
        <f t="shared" si="26"/>
        <v>20.4407</v>
      </c>
      <c r="U144">
        <f t="shared" si="27"/>
        <v>11.749293919299999</v>
      </c>
      <c r="X144" s="9"/>
      <c r="Y144" s="22">
        <v>0.17532300000000001</v>
      </c>
      <c r="Z144" s="22">
        <v>138.62299999999999</v>
      </c>
      <c r="AA144" s="22">
        <v>-2.1917699999999998E-2</v>
      </c>
      <c r="AB144" s="22">
        <v>134</v>
      </c>
      <c r="AC144" s="22">
        <v>0.17425499999999999</v>
      </c>
      <c r="AD144">
        <f t="shared" si="28"/>
        <v>21.9177</v>
      </c>
      <c r="AE144">
        <f t="shared" si="29"/>
        <v>3.8426769170999999</v>
      </c>
      <c r="AF144" s="9"/>
      <c r="AG144" s="22">
        <v>0.57479899999999995</v>
      </c>
      <c r="AH144" s="22">
        <v>175.398</v>
      </c>
      <c r="AI144" s="22">
        <v>-2.08588E-2</v>
      </c>
      <c r="AJ144" s="22">
        <v>134</v>
      </c>
      <c r="AK144" s="22">
        <v>0.57403599999999999</v>
      </c>
      <c r="AL144">
        <f t="shared" si="30"/>
        <v>20.858799999999999</v>
      </c>
      <c r="AM144">
        <f t="shared" si="31"/>
        <v>11.989617381199999</v>
      </c>
      <c r="AP144" s="9"/>
      <c r="AQ144" s="22">
        <v>0.17532300000000001</v>
      </c>
      <c r="AR144" s="22">
        <v>208.42099999999999</v>
      </c>
      <c r="AS144" s="22">
        <v>-2.2000100000000002E-2</v>
      </c>
      <c r="AT144" s="22">
        <v>134</v>
      </c>
      <c r="AU144" s="22">
        <v>0.174591</v>
      </c>
      <c r="AV144">
        <f t="shared" si="32"/>
        <v>22.000100000000003</v>
      </c>
      <c r="AW144">
        <f t="shared" si="33"/>
        <v>3.8571235323000006</v>
      </c>
      <c r="AX144" s="9"/>
      <c r="AY144" s="22">
        <v>0.57479899999999995</v>
      </c>
      <c r="AZ144" s="22">
        <v>278.21800000000002</v>
      </c>
      <c r="BA144" s="22">
        <v>-2.0809899999999999E-2</v>
      </c>
      <c r="BB144" s="22">
        <v>134</v>
      </c>
      <c r="BC144" s="22">
        <v>0.57406599999999997</v>
      </c>
      <c r="BD144">
        <f t="shared" si="34"/>
        <v>20.809899999999999</v>
      </c>
      <c r="BE144">
        <f t="shared" si="35"/>
        <v>11.961509710099998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0.17028799999999999</v>
      </c>
      <c r="H145" s="22">
        <v>37.009900000000002</v>
      </c>
      <c r="I145" s="22">
        <v>-2.20459E-2</v>
      </c>
      <c r="J145" s="22">
        <v>135</v>
      </c>
      <c r="K145" s="22">
        <v>0.17013500000000001</v>
      </c>
      <c r="L145">
        <f t="shared" si="24"/>
        <v>22.0459</v>
      </c>
      <c r="M145">
        <f t="shared" si="25"/>
        <v>3.7541522191999999</v>
      </c>
      <c r="N145" s="9"/>
      <c r="O145" s="22">
        <v>0.57983399999999996</v>
      </c>
      <c r="P145" s="22">
        <v>85.153599999999997</v>
      </c>
      <c r="Q145" s="22">
        <v>-2.0352200000000001E-2</v>
      </c>
      <c r="R145" s="22">
        <v>135</v>
      </c>
      <c r="S145" s="22">
        <v>0.57919299999999996</v>
      </c>
      <c r="T145">
        <f t="shared" si="26"/>
        <v>20.3522</v>
      </c>
      <c r="U145">
        <f t="shared" si="27"/>
        <v>11.800897534799999</v>
      </c>
      <c r="X145" s="9"/>
      <c r="Y145" s="22">
        <v>0.17028799999999999</v>
      </c>
      <c r="Z145" s="22">
        <v>138.72300000000001</v>
      </c>
      <c r="AA145" s="22">
        <v>-2.1917699999999998E-2</v>
      </c>
      <c r="AB145" s="22">
        <v>135</v>
      </c>
      <c r="AC145" s="22">
        <v>0.169434</v>
      </c>
      <c r="AD145">
        <f t="shared" si="28"/>
        <v>21.9177</v>
      </c>
      <c r="AE145">
        <f t="shared" si="29"/>
        <v>3.7323212976</v>
      </c>
      <c r="AF145" s="9"/>
      <c r="AG145" s="22">
        <v>0.57983399999999996</v>
      </c>
      <c r="AH145" s="22">
        <v>175.499</v>
      </c>
      <c r="AI145" s="22">
        <v>-2.0813000000000002E-2</v>
      </c>
      <c r="AJ145" s="22">
        <v>135</v>
      </c>
      <c r="AK145" s="22">
        <v>0.57919299999999996</v>
      </c>
      <c r="AL145">
        <f t="shared" si="30"/>
        <v>20.813000000000002</v>
      </c>
      <c r="AM145">
        <f t="shared" si="31"/>
        <v>12.068085042</v>
      </c>
      <c r="AP145" s="9"/>
      <c r="AQ145" s="22">
        <v>0.17028799999999999</v>
      </c>
      <c r="AR145" s="22">
        <v>208.52099999999999</v>
      </c>
      <c r="AS145" s="22">
        <v>-2.1991E-2</v>
      </c>
      <c r="AT145" s="22">
        <v>135</v>
      </c>
      <c r="AU145" s="22">
        <v>0.169373</v>
      </c>
      <c r="AV145">
        <f t="shared" si="32"/>
        <v>21.991</v>
      </c>
      <c r="AW145">
        <f t="shared" si="33"/>
        <v>3.7448034079999997</v>
      </c>
      <c r="AX145" s="9"/>
      <c r="AY145" s="22">
        <v>0.57983399999999996</v>
      </c>
      <c r="AZ145" s="22">
        <v>278.31799999999998</v>
      </c>
      <c r="BA145" s="22">
        <v>-2.0752E-2</v>
      </c>
      <c r="BB145" s="22">
        <v>135</v>
      </c>
      <c r="BC145" s="22">
        <v>0.57901000000000002</v>
      </c>
      <c r="BD145">
        <f t="shared" si="34"/>
        <v>20.751999999999999</v>
      </c>
      <c r="BE145">
        <f t="shared" si="35"/>
        <v>12.032715167999999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0.16525300000000001</v>
      </c>
      <c r="H146" s="22">
        <v>37.110599999999998</v>
      </c>
      <c r="I146" s="22">
        <v>-2.2055100000000001E-2</v>
      </c>
      <c r="J146" s="22">
        <v>136</v>
      </c>
      <c r="K146" s="22">
        <v>0.164825</v>
      </c>
      <c r="L146">
        <f t="shared" si="24"/>
        <v>22.055099999999999</v>
      </c>
      <c r="M146">
        <f t="shared" si="25"/>
        <v>3.6446714403000002</v>
      </c>
      <c r="N146" s="9"/>
      <c r="O146" s="22">
        <v>0.58486899999999997</v>
      </c>
      <c r="P146" s="22">
        <v>85.254300000000001</v>
      </c>
      <c r="Q146" s="22">
        <v>-2.02881E-2</v>
      </c>
      <c r="R146" s="22">
        <v>136</v>
      </c>
      <c r="S146" s="22">
        <v>0.58431999999999995</v>
      </c>
      <c r="T146">
        <f t="shared" si="26"/>
        <v>20.2881</v>
      </c>
      <c r="U146">
        <f t="shared" si="27"/>
        <v>11.865880758899999</v>
      </c>
      <c r="X146" s="9"/>
      <c r="Y146" s="22">
        <v>0.16525300000000001</v>
      </c>
      <c r="Z146" s="22">
        <v>138.82400000000001</v>
      </c>
      <c r="AA146" s="22">
        <v>-2.1920800000000001E-2</v>
      </c>
      <c r="AB146" s="22">
        <v>136</v>
      </c>
      <c r="AC146" s="22">
        <v>0.16467300000000001</v>
      </c>
      <c r="AD146">
        <f t="shared" si="28"/>
        <v>21.9208</v>
      </c>
      <c r="AE146">
        <f t="shared" si="29"/>
        <v>3.6224779624000001</v>
      </c>
      <c r="AF146" s="9"/>
      <c r="AG146" s="22">
        <v>0.58486899999999997</v>
      </c>
      <c r="AH146" s="22">
        <v>175.6</v>
      </c>
      <c r="AI146" s="22">
        <v>-2.0761100000000001E-2</v>
      </c>
      <c r="AJ146" s="22">
        <v>136</v>
      </c>
      <c r="AK146" s="22">
        <v>0.584229</v>
      </c>
      <c r="AL146">
        <f t="shared" si="30"/>
        <v>20.761100000000003</v>
      </c>
      <c r="AM146">
        <f t="shared" si="31"/>
        <v>12.142523795900001</v>
      </c>
      <c r="AP146" s="9"/>
      <c r="AQ146" s="22">
        <v>0.16525300000000001</v>
      </c>
      <c r="AR146" s="22">
        <v>208.62200000000001</v>
      </c>
      <c r="AS146" s="22">
        <v>-2.2012299999999999E-2</v>
      </c>
      <c r="AT146" s="22">
        <v>136</v>
      </c>
      <c r="AU146" s="22">
        <v>0.164215</v>
      </c>
      <c r="AV146">
        <f t="shared" si="32"/>
        <v>22.0123</v>
      </c>
      <c r="AW146">
        <f t="shared" si="33"/>
        <v>3.6375986119000001</v>
      </c>
      <c r="AX146" s="9"/>
      <c r="AY146" s="22">
        <v>0.58486899999999997</v>
      </c>
      <c r="AZ146" s="22">
        <v>278.41899999999998</v>
      </c>
      <c r="BA146" s="22">
        <v>-2.0687899999999999E-2</v>
      </c>
      <c r="BB146" s="22">
        <v>136</v>
      </c>
      <c r="BC146" s="22">
        <v>0.58404500000000004</v>
      </c>
      <c r="BD146">
        <f t="shared" si="34"/>
        <v>20.687899999999999</v>
      </c>
      <c r="BE146">
        <f t="shared" si="35"/>
        <v>12.099711385099999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0.160217</v>
      </c>
      <c r="H147" s="22">
        <v>37.211300000000001</v>
      </c>
      <c r="I147" s="22">
        <v>-2.2055100000000001E-2</v>
      </c>
      <c r="J147" s="22">
        <v>137</v>
      </c>
      <c r="K147" s="22">
        <v>0.15982099999999999</v>
      </c>
      <c r="L147">
        <f t="shared" si="24"/>
        <v>22.055099999999999</v>
      </c>
      <c r="M147">
        <f t="shared" si="25"/>
        <v>3.5336019567000001</v>
      </c>
      <c r="N147" s="9"/>
      <c r="O147" s="22">
        <v>0.58990500000000001</v>
      </c>
      <c r="P147" s="22">
        <v>85.355000000000004</v>
      </c>
      <c r="Q147" s="22">
        <v>-2.0211799999999999E-2</v>
      </c>
      <c r="R147" s="22">
        <v>137</v>
      </c>
      <c r="S147" s="22">
        <v>0.58926400000000001</v>
      </c>
      <c r="T147">
        <f t="shared" si="26"/>
        <v>20.2118</v>
      </c>
      <c r="U147">
        <f t="shared" si="27"/>
        <v>11.923041879000001</v>
      </c>
      <c r="X147" s="9"/>
      <c r="Y147" s="22">
        <v>0.160217</v>
      </c>
      <c r="Z147" s="22">
        <v>138.92500000000001</v>
      </c>
      <c r="AA147" s="22">
        <v>-2.2015400000000001E-2</v>
      </c>
      <c r="AB147" s="22">
        <v>137</v>
      </c>
      <c r="AC147" s="22">
        <v>0.16030900000000001</v>
      </c>
      <c r="AD147">
        <f t="shared" si="28"/>
        <v>22.0154</v>
      </c>
      <c r="AE147">
        <f t="shared" si="29"/>
        <v>3.5272413417999999</v>
      </c>
      <c r="AF147" s="9"/>
      <c r="AG147" s="22">
        <v>0.58990500000000001</v>
      </c>
      <c r="AH147" s="22">
        <v>175.7</v>
      </c>
      <c r="AI147" s="22">
        <v>-2.0709200000000001E-2</v>
      </c>
      <c r="AJ147" s="22">
        <v>137</v>
      </c>
      <c r="AK147" s="22">
        <v>0.58917200000000003</v>
      </c>
      <c r="AL147">
        <f t="shared" si="30"/>
        <v>20.709199999999999</v>
      </c>
      <c r="AM147">
        <f t="shared" si="31"/>
        <v>12.216460626</v>
      </c>
      <c r="AP147" s="9"/>
      <c r="AQ147" s="22">
        <v>0.160217</v>
      </c>
      <c r="AR147" s="22">
        <v>208.72300000000001</v>
      </c>
      <c r="AS147" s="22">
        <v>-2.2027600000000001E-2</v>
      </c>
      <c r="AT147" s="22">
        <v>137</v>
      </c>
      <c r="AU147" s="22">
        <v>0.15972900000000001</v>
      </c>
      <c r="AV147">
        <f t="shared" si="32"/>
        <v>22.0276</v>
      </c>
      <c r="AW147">
        <f t="shared" si="33"/>
        <v>3.5291959891999998</v>
      </c>
      <c r="AX147" s="9"/>
      <c r="AY147" s="22">
        <v>0.58990500000000001</v>
      </c>
      <c r="AZ147" s="22">
        <v>278.52</v>
      </c>
      <c r="BA147" s="22">
        <v>-2.0632899999999999E-2</v>
      </c>
      <c r="BB147" s="22">
        <v>137</v>
      </c>
      <c r="BC147" s="22">
        <v>0.58926400000000001</v>
      </c>
      <c r="BD147">
        <f t="shared" si="34"/>
        <v>20.632899999999999</v>
      </c>
      <c r="BE147">
        <f t="shared" si="35"/>
        <v>12.1714508745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0.15518199999999999</v>
      </c>
      <c r="H148" s="22">
        <v>37.311999999999998</v>
      </c>
      <c r="I148" s="22">
        <v>-2.2079499999999998E-2</v>
      </c>
      <c r="J148" s="22">
        <v>138</v>
      </c>
      <c r="K148" s="22">
        <v>0.15454100000000001</v>
      </c>
      <c r="L148">
        <f t="shared" si="24"/>
        <v>22.079499999999999</v>
      </c>
      <c r="M148">
        <f t="shared" si="25"/>
        <v>3.4263409689999995</v>
      </c>
      <c r="N148" s="9"/>
      <c r="O148" s="22">
        <v>0.59494000000000002</v>
      </c>
      <c r="P148" s="22">
        <v>85.455699999999993</v>
      </c>
      <c r="Q148" s="22">
        <v>-2.0117199999999998E-2</v>
      </c>
      <c r="R148" s="22">
        <v>138</v>
      </c>
      <c r="S148" s="22">
        <v>0.59426900000000005</v>
      </c>
      <c r="T148">
        <f t="shared" si="26"/>
        <v>20.117199999999997</v>
      </c>
      <c r="U148">
        <f t="shared" si="27"/>
        <v>11.968526967999999</v>
      </c>
      <c r="X148" s="9"/>
      <c r="Y148" s="22">
        <v>0.15518199999999999</v>
      </c>
      <c r="Z148" s="22">
        <v>139.02600000000001</v>
      </c>
      <c r="AA148" s="22">
        <v>-2.20734E-2</v>
      </c>
      <c r="AB148" s="22">
        <v>138</v>
      </c>
      <c r="AC148" s="22">
        <v>0.15573100000000001</v>
      </c>
      <c r="AD148">
        <f t="shared" si="28"/>
        <v>22.073399999999999</v>
      </c>
      <c r="AE148">
        <f t="shared" si="29"/>
        <v>3.4253943587999998</v>
      </c>
      <c r="AF148" s="9"/>
      <c r="AG148" s="22">
        <v>0.59494000000000002</v>
      </c>
      <c r="AH148" s="22">
        <v>175.80099999999999</v>
      </c>
      <c r="AI148" s="22">
        <v>-2.0666500000000001E-2</v>
      </c>
      <c r="AJ148" s="22">
        <v>138</v>
      </c>
      <c r="AK148" s="22">
        <v>0.59396400000000005</v>
      </c>
      <c r="AL148">
        <f t="shared" si="30"/>
        <v>20.666499999999999</v>
      </c>
      <c r="AM148">
        <f t="shared" si="31"/>
        <v>12.29532751</v>
      </c>
      <c r="AP148" s="9"/>
      <c r="AQ148" s="22">
        <v>0.15518199999999999</v>
      </c>
      <c r="AR148" s="22">
        <v>208.82300000000001</v>
      </c>
      <c r="AS148" s="22">
        <v>-2.2030600000000001E-2</v>
      </c>
      <c r="AT148" s="22">
        <v>138</v>
      </c>
      <c r="AU148" s="22">
        <v>0.15457199999999999</v>
      </c>
      <c r="AV148">
        <f t="shared" si="32"/>
        <v>22.0306</v>
      </c>
      <c r="AW148">
        <f t="shared" si="33"/>
        <v>3.4187525691999996</v>
      </c>
      <c r="AX148" s="9"/>
      <c r="AY148" s="22">
        <v>0.59494000000000002</v>
      </c>
      <c r="AZ148" s="22">
        <v>278.62099999999998</v>
      </c>
      <c r="BA148" s="22">
        <v>-2.0590199999999999E-2</v>
      </c>
      <c r="BB148" s="22">
        <v>138</v>
      </c>
      <c r="BC148" s="22">
        <v>0.59420799999999996</v>
      </c>
      <c r="BD148">
        <f t="shared" si="34"/>
        <v>20.590199999999999</v>
      </c>
      <c r="BE148">
        <f t="shared" si="35"/>
        <v>12.249933587999999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0.150146</v>
      </c>
      <c r="H149" s="22">
        <v>37.412700000000001</v>
      </c>
      <c r="I149" s="22">
        <v>-2.20886E-2</v>
      </c>
      <c r="J149" s="22">
        <v>139</v>
      </c>
      <c r="K149" s="22">
        <v>0.14965800000000001</v>
      </c>
      <c r="L149">
        <f t="shared" si="24"/>
        <v>22.0886</v>
      </c>
      <c r="M149">
        <f t="shared" si="25"/>
        <v>3.3165149355999999</v>
      </c>
      <c r="N149" s="9"/>
      <c r="O149" s="22">
        <v>0.59997599999999995</v>
      </c>
      <c r="P149" s="22">
        <v>85.556399999999996</v>
      </c>
      <c r="Q149" s="22">
        <v>-2.0049999999999998E-2</v>
      </c>
      <c r="R149" s="22">
        <v>139</v>
      </c>
      <c r="S149" s="22">
        <v>0.59960899999999995</v>
      </c>
      <c r="T149">
        <f t="shared" si="26"/>
        <v>20.049999999999997</v>
      </c>
      <c r="U149">
        <f t="shared" si="27"/>
        <v>12.029518799999998</v>
      </c>
      <c r="X149" s="9"/>
      <c r="Y149" s="22">
        <v>0.150146</v>
      </c>
      <c r="Z149" s="22">
        <v>139.126</v>
      </c>
      <c r="AA149" s="22">
        <v>-2.2070300000000001E-2</v>
      </c>
      <c r="AB149" s="22">
        <v>139</v>
      </c>
      <c r="AC149" s="22">
        <v>0.150452</v>
      </c>
      <c r="AD149">
        <f t="shared" si="28"/>
        <v>22.0703</v>
      </c>
      <c r="AE149">
        <f t="shared" si="29"/>
        <v>3.3137672638</v>
      </c>
      <c r="AF149" s="9"/>
      <c r="AG149" s="22">
        <v>0.59997599999999995</v>
      </c>
      <c r="AH149" s="22">
        <v>175.90199999999999</v>
      </c>
      <c r="AI149" s="22">
        <v>-2.06024E-2</v>
      </c>
      <c r="AJ149" s="22">
        <v>139</v>
      </c>
      <c r="AK149" s="22">
        <v>0.59924299999999997</v>
      </c>
      <c r="AL149">
        <f t="shared" si="30"/>
        <v>20.602399999999999</v>
      </c>
      <c r="AM149">
        <f t="shared" si="31"/>
        <v>12.360945542399998</v>
      </c>
      <c r="AP149" s="9"/>
      <c r="AQ149" s="22">
        <v>0.150146</v>
      </c>
      <c r="AR149" s="22">
        <v>208.92400000000001</v>
      </c>
      <c r="AS149" s="22">
        <v>-2.2058100000000001E-2</v>
      </c>
      <c r="AT149" s="22">
        <v>139</v>
      </c>
      <c r="AU149" s="22">
        <v>0.15023800000000001</v>
      </c>
      <c r="AV149">
        <f t="shared" si="32"/>
        <v>22.0581</v>
      </c>
      <c r="AW149">
        <f t="shared" si="33"/>
        <v>3.3119354826</v>
      </c>
      <c r="AX149" s="9"/>
      <c r="AY149" s="22">
        <v>0.59997599999999995</v>
      </c>
      <c r="AZ149" s="22">
        <v>278.721</v>
      </c>
      <c r="BA149" s="22">
        <v>-2.05322E-2</v>
      </c>
      <c r="BB149" s="22">
        <v>139</v>
      </c>
      <c r="BC149" s="22">
        <v>0.59939600000000004</v>
      </c>
      <c r="BD149">
        <f t="shared" si="34"/>
        <v>20.5322</v>
      </c>
      <c r="BE149">
        <f t="shared" si="35"/>
        <v>12.318827227199998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0.14511099999999999</v>
      </c>
      <c r="H150" s="22">
        <v>37.513399999999997</v>
      </c>
      <c r="I150" s="22">
        <v>-2.2113000000000001E-2</v>
      </c>
      <c r="J150" s="22">
        <v>140</v>
      </c>
      <c r="K150" s="22">
        <v>0.14416499999999999</v>
      </c>
      <c r="L150">
        <f t="shared" si="24"/>
        <v>22.113</v>
      </c>
      <c r="M150">
        <f t="shared" si="25"/>
        <v>3.2088395429999998</v>
      </c>
      <c r="N150" s="9"/>
      <c r="O150" s="22">
        <v>0.60501099999999997</v>
      </c>
      <c r="P150" s="22">
        <v>85.6571</v>
      </c>
      <c r="Q150" s="22">
        <v>-1.99493E-2</v>
      </c>
      <c r="R150" s="22">
        <v>140</v>
      </c>
      <c r="S150" s="22">
        <v>0.60424800000000001</v>
      </c>
      <c r="T150">
        <f t="shared" si="26"/>
        <v>19.949300000000001</v>
      </c>
      <c r="U150">
        <f t="shared" si="27"/>
        <v>12.0695459423</v>
      </c>
      <c r="X150" s="9"/>
      <c r="Y150" s="22">
        <v>0.14511099999999999</v>
      </c>
      <c r="Z150" s="22">
        <v>139.227</v>
      </c>
      <c r="AA150" s="22">
        <v>-2.2097800000000001E-2</v>
      </c>
      <c r="AB150" s="22">
        <v>140</v>
      </c>
      <c r="AC150" s="22">
        <v>0.144318</v>
      </c>
      <c r="AD150">
        <f t="shared" si="28"/>
        <v>22.097799999999999</v>
      </c>
      <c r="AE150">
        <f t="shared" si="29"/>
        <v>3.2066338557999998</v>
      </c>
      <c r="AF150" s="9"/>
      <c r="AG150" s="22">
        <v>0.60501099999999997</v>
      </c>
      <c r="AH150" s="22">
        <v>176.00200000000001</v>
      </c>
      <c r="AI150" s="22">
        <v>-2.0568800000000002E-2</v>
      </c>
      <c r="AJ150" s="22">
        <v>140</v>
      </c>
      <c r="AK150" s="22">
        <v>0.60409500000000005</v>
      </c>
      <c r="AL150">
        <f t="shared" si="30"/>
        <v>20.568800000000003</v>
      </c>
      <c r="AM150">
        <f t="shared" si="31"/>
        <v>12.444350256800002</v>
      </c>
      <c r="AP150" s="9"/>
      <c r="AQ150" s="22">
        <v>0.14511099999999999</v>
      </c>
      <c r="AR150" s="22">
        <v>209.02500000000001</v>
      </c>
      <c r="AS150" s="22">
        <v>-2.20612E-2</v>
      </c>
      <c r="AT150" s="22">
        <v>140</v>
      </c>
      <c r="AU150" s="22">
        <v>0.14471400000000001</v>
      </c>
      <c r="AV150">
        <f t="shared" si="32"/>
        <v>22.061199999999999</v>
      </c>
      <c r="AW150">
        <f t="shared" si="33"/>
        <v>3.2013227931999997</v>
      </c>
      <c r="AX150" s="9"/>
      <c r="AY150" s="22">
        <v>0.60501099999999997</v>
      </c>
      <c r="AZ150" s="22">
        <v>278.822</v>
      </c>
      <c r="BA150" s="22">
        <v>-2.0459000000000001E-2</v>
      </c>
      <c r="BB150" s="22">
        <v>140</v>
      </c>
      <c r="BC150" s="22">
        <v>0.60427900000000001</v>
      </c>
      <c r="BD150">
        <f t="shared" si="34"/>
        <v>20.459000000000003</v>
      </c>
      <c r="BE150">
        <f t="shared" si="35"/>
        <v>12.377920049000002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0.14007600000000001</v>
      </c>
      <c r="H151" s="22">
        <v>37.614100000000001</v>
      </c>
      <c r="I151" s="22">
        <v>-2.21161E-2</v>
      </c>
      <c r="J151" s="22">
        <v>141</v>
      </c>
      <c r="K151" s="22">
        <v>0.13916000000000001</v>
      </c>
      <c r="L151">
        <f t="shared" si="24"/>
        <v>22.116099999999999</v>
      </c>
      <c r="M151">
        <f t="shared" si="25"/>
        <v>3.0979348236000002</v>
      </c>
      <c r="N151" s="9"/>
      <c r="O151" s="22">
        <v>0.61004599999999998</v>
      </c>
      <c r="P151" s="22">
        <v>85.757800000000003</v>
      </c>
      <c r="Q151" s="22">
        <v>-1.9839499999999999E-2</v>
      </c>
      <c r="R151" s="22">
        <v>141</v>
      </c>
      <c r="S151" s="22">
        <v>0.60909999999999997</v>
      </c>
      <c r="T151">
        <f t="shared" si="26"/>
        <v>19.839500000000001</v>
      </c>
      <c r="U151">
        <f t="shared" si="27"/>
        <v>12.103007616999999</v>
      </c>
      <c r="X151" s="9"/>
      <c r="Y151" s="22">
        <v>0.14007600000000001</v>
      </c>
      <c r="Z151" s="22">
        <v>139.328</v>
      </c>
      <c r="AA151" s="22">
        <v>-2.21008E-2</v>
      </c>
      <c r="AB151" s="22">
        <v>141</v>
      </c>
      <c r="AC151" s="22">
        <v>0.13922100000000001</v>
      </c>
      <c r="AD151">
        <f t="shared" si="28"/>
        <v>22.1008</v>
      </c>
      <c r="AE151">
        <f t="shared" si="29"/>
        <v>3.0957916608000002</v>
      </c>
      <c r="AF151" s="9"/>
      <c r="AG151" s="22">
        <v>0.61004599999999998</v>
      </c>
      <c r="AH151" s="22">
        <v>176.10300000000001</v>
      </c>
      <c r="AI151" s="22">
        <v>-2.0517000000000001E-2</v>
      </c>
      <c r="AJ151" s="22">
        <v>141</v>
      </c>
      <c r="AK151" s="22">
        <v>0.60931400000000002</v>
      </c>
      <c r="AL151">
        <f t="shared" si="30"/>
        <v>20.516999999999999</v>
      </c>
      <c r="AM151">
        <f t="shared" si="31"/>
        <v>12.516313781999999</v>
      </c>
      <c r="AP151" s="9"/>
      <c r="AQ151" s="22">
        <v>0.14007600000000001</v>
      </c>
      <c r="AR151" s="22">
        <v>209.126</v>
      </c>
      <c r="AS151" s="22">
        <v>-2.2064199999999999E-2</v>
      </c>
      <c r="AT151" s="22">
        <v>141</v>
      </c>
      <c r="AU151" s="22">
        <v>0.139709</v>
      </c>
      <c r="AV151">
        <f t="shared" si="32"/>
        <v>22.0642</v>
      </c>
      <c r="AW151">
        <f t="shared" si="33"/>
        <v>3.0906648792000002</v>
      </c>
      <c r="AX151" s="9"/>
      <c r="AY151" s="22">
        <v>0.61004599999999998</v>
      </c>
      <c r="AZ151" s="22">
        <v>278.923</v>
      </c>
      <c r="BA151" s="22">
        <v>-2.0407100000000001E-2</v>
      </c>
      <c r="BB151" s="22">
        <v>141</v>
      </c>
      <c r="BC151" s="22">
        <v>0.60922200000000004</v>
      </c>
      <c r="BD151">
        <f t="shared" si="34"/>
        <v>20.4071</v>
      </c>
      <c r="BE151">
        <f t="shared" si="35"/>
        <v>12.449269726599999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0.13503999999999999</v>
      </c>
      <c r="H152" s="22">
        <v>37.714799999999997</v>
      </c>
      <c r="I152" s="22">
        <v>-2.21283E-2</v>
      </c>
      <c r="J152" s="22">
        <v>142</v>
      </c>
      <c r="K152" s="22">
        <v>0.13464400000000001</v>
      </c>
      <c r="L152">
        <f t="shared" si="24"/>
        <v>22.128299999999999</v>
      </c>
      <c r="M152">
        <f t="shared" si="25"/>
        <v>2.9882056319999997</v>
      </c>
      <c r="N152" s="9"/>
      <c r="O152" s="22">
        <v>0.61508200000000002</v>
      </c>
      <c r="P152" s="22">
        <v>85.858599999999996</v>
      </c>
      <c r="Q152" s="22">
        <v>-1.9735699999999998E-2</v>
      </c>
      <c r="R152" s="22">
        <v>142</v>
      </c>
      <c r="S152" s="22">
        <v>0.61444100000000001</v>
      </c>
      <c r="T152">
        <f t="shared" si="26"/>
        <v>19.735699999999998</v>
      </c>
      <c r="U152">
        <f t="shared" si="27"/>
        <v>12.139073827399999</v>
      </c>
      <c r="X152" s="9"/>
      <c r="Y152" s="22">
        <v>0.13503999999999999</v>
      </c>
      <c r="Z152" s="22">
        <v>139.428</v>
      </c>
      <c r="AA152" s="22">
        <v>-2.2106899999999999E-2</v>
      </c>
      <c r="AB152" s="22">
        <v>142</v>
      </c>
      <c r="AC152" s="22">
        <v>0.134491</v>
      </c>
      <c r="AD152">
        <f t="shared" si="28"/>
        <v>22.1069</v>
      </c>
      <c r="AE152">
        <f t="shared" si="29"/>
        <v>2.9853157759999998</v>
      </c>
      <c r="AF152" s="9"/>
      <c r="AG152" s="22">
        <v>0.61508200000000002</v>
      </c>
      <c r="AH152" s="22">
        <v>176.20400000000001</v>
      </c>
      <c r="AI152" s="22">
        <v>-2.0462000000000001E-2</v>
      </c>
      <c r="AJ152" s="22">
        <v>142</v>
      </c>
      <c r="AK152" s="22">
        <v>0.61453199999999997</v>
      </c>
      <c r="AL152">
        <f t="shared" si="30"/>
        <v>20.462</v>
      </c>
      <c r="AM152">
        <f t="shared" si="31"/>
        <v>12.585807883999999</v>
      </c>
      <c r="AP152" s="9"/>
      <c r="AQ152" s="22">
        <v>0.13503999999999999</v>
      </c>
      <c r="AR152" s="22">
        <v>209.226</v>
      </c>
      <c r="AS152" s="22">
        <v>-2.2064199999999999E-2</v>
      </c>
      <c r="AT152" s="22">
        <v>142</v>
      </c>
      <c r="AU152" s="22">
        <v>0.13436899999999999</v>
      </c>
      <c r="AV152">
        <f t="shared" si="32"/>
        <v>22.0642</v>
      </c>
      <c r="AW152">
        <f t="shared" si="33"/>
        <v>2.9795495679999999</v>
      </c>
      <c r="AX152" s="9"/>
      <c r="AY152" s="22">
        <v>0.61508200000000002</v>
      </c>
      <c r="AZ152" s="22">
        <v>279.02300000000002</v>
      </c>
      <c r="BA152" s="22">
        <v>-2.0349099999999998E-2</v>
      </c>
      <c r="BB152" s="22">
        <v>142</v>
      </c>
      <c r="BC152" s="22">
        <v>0.61441000000000001</v>
      </c>
      <c r="BD152">
        <f t="shared" si="34"/>
        <v>20.3491</v>
      </c>
      <c r="BE152">
        <f t="shared" si="35"/>
        <v>12.5163651262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0.13000500000000001</v>
      </c>
      <c r="H153" s="22">
        <v>37.8155</v>
      </c>
      <c r="I153" s="22">
        <v>-2.2110000000000001E-2</v>
      </c>
      <c r="J153" s="22">
        <v>143</v>
      </c>
      <c r="K153" s="22">
        <v>0.129852</v>
      </c>
      <c r="L153">
        <f t="shared" si="24"/>
        <v>22.11</v>
      </c>
      <c r="M153">
        <f t="shared" si="25"/>
        <v>2.8744105500000003</v>
      </c>
      <c r="N153" s="9"/>
      <c r="O153" s="22">
        <v>0.62011700000000003</v>
      </c>
      <c r="P153" s="22">
        <v>85.959299999999999</v>
      </c>
      <c r="Q153" s="22">
        <v>-1.96472E-2</v>
      </c>
      <c r="R153" s="22">
        <v>143</v>
      </c>
      <c r="S153" s="22">
        <v>0.61941500000000005</v>
      </c>
      <c r="T153">
        <f t="shared" si="26"/>
        <v>19.647200000000002</v>
      </c>
      <c r="U153">
        <f t="shared" si="27"/>
        <v>12.183562722400001</v>
      </c>
      <c r="X153" s="9"/>
      <c r="Y153" s="22">
        <v>0.13000500000000001</v>
      </c>
      <c r="Z153" s="22">
        <v>139.529</v>
      </c>
      <c r="AA153" s="22">
        <v>-2.2091699999999999E-2</v>
      </c>
      <c r="AB153" s="22">
        <v>143</v>
      </c>
      <c r="AC153" s="22">
        <v>0.129303</v>
      </c>
      <c r="AD153">
        <f t="shared" si="28"/>
        <v>22.091699999999999</v>
      </c>
      <c r="AE153">
        <f t="shared" si="29"/>
        <v>2.8720314585</v>
      </c>
      <c r="AF153" s="9"/>
      <c r="AG153" s="22">
        <v>0.62011700000000003</v>
      </c>
      <c r="AH153" s="22">
        <v>176.30500000000001</v>
      </c>
      <c r="AI153" s="22">
        <v>-2.03827E-2</v>
      </c>
      <c r="AJ153" s="22">
        <v>143</v>
      </c>
      <c r="AK153" s="22">
        <v>0.61959799999999998</v>
      </c>
      <c r="AL153">
        <f t="shared" si="30"/>
        <v>20.3827</v>
      </c>
      <c r="AM153">
        <f t="shared" si="31"/>
        <v>12.639658775900001</v>
      </c>
      <c r="AP153" s="9"/>
      <c r="AQ153" s="22">
        <v>0.13000500000000001</v>
      </c>
      <c r="AR153" s="22">
        <v>209.327</v>
      </c>
      <c r="AS153" s="22">
        <v>-2.2079499999999998E-2</v>
      </c>
      <c r="AT153" s="22">
        <v>143</v>
      </c>
      <c r="AU153" s="22">
        <v>0.129242</v>
      </c>
      <c r="AV153">
        <f t="shared" si="32"/>
        <v>22.079499999999999</v>
      </c>
      <c r="AW153">
        <f t="shared" si="33"/>
        <v>2.8704453975000002</v>
      </c>
      <c r="AX153" s="9"/>
      <c r="AY153" s="22">
        <v>0.62011700000000003</v>
      </c>
      <c r="AZ153" s="22">
        <v>279.12400000000002</v>
      </c>
      <c r="BA153" s="22">
        <v>-2.0269800000000001E-2</v>
      </c>
      <c r="BB153" s="22">
        <v>143</v>
      </c>
      <c r="BC153" s="22">
        <v>0.61938499999999996</v>
      </c>
      <c r="BD153">
        <f t="shared" si="34"/>
        <v>20.2698</v>
      </c>
      <c r="BE153">
        <f t="shared" si="35"/>
        <v>12.5696475666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0.124969</v>
      </c>
      <c r="H154" s="22">
        <v>37.916200000000003</v>
      </c>
      <c r="I154" s="22">
        <v>-2.21283E-2</v>
      </c>
      <c r="J154" s="22">
        <v>144</v>
      </c>
      <c r="K154" s="22">
        <v>0.124359</v>
      </c>
      <c r="L154">
        <f t="shared" si="24"/>
        <v>22.128299999999999</v>
      </c>
      <c r="M154">
        <f t="shared" si="25"/>
        <v>2.7653515227000001</v>
      </c>
      <c r="N154" s="9"/>
      <c r="O154" s="22">
        <v>0.62515299999999996</v>
      </c>
      <c r="P154" s="22">
        <v>86.06</v>
      </c>
      <c r="Q154" s="22">
        <v>-1.9506800000000001E-2</v>
      </c>
      <c r="R154" s="22">
        <v>144</v>
      </c>
      <c r="S154" s="22">
        <v>0.62423700000000004</v>
      </c>
      <c r="T154">
        <f t="shared" si="26"/>
        <v>19.506800000000002</v>
      </c>
      <c r="U154">
        <f t="shared" si="27"/>
        <v>12.194734540400001</v>
      </c>
      <c r="X154" s="9"/>
      <c r="Y154" s="22">
        <v>0.124969</v>
      </c>
      <c r="Z154" s="22">
        <v>139.63</v>
      </c>
      <c r="AA154" s="22">
        <v>-2.2110000000000001E-2</v>
      </c>
      <c r="AB154" s="22">
        <v>144</v>
      </c>
      <c r="AC154" s="22">
        <v>0.124268</v>
      </c>
      <c r="AD154">
        <f t="shared" si="28"/>
        <v>22.11</v>
      </c>
      <c r="AE154">
        <f t="shared" si="29"/>
        <v>2.7630645899999999</v>
      </c>
      <c r="AF154" s="9"/>
      <c r="AG154" s="22">
        <v>0.62515299999999996</v>
      </c>
      <c r="AH154" s="22">
        <v>176.405</v>
      </c>
      <c r="AI154" s="22">
        <v>-2.0306399999999999E-2</v>
      </c>
      <c r="AJ154" s="22">
        <v>144</v>
      </c>
      <c r="AK154" s="22">
        <v>0.62429800000000002</v>
      </c>
      <c r="AL154">
        <f t="shared" si="30"/>
        <v>20.3064</v>
      </c>
      <c r="AM154">
        <f t="shared" si="31"/>
        <v>12.694606879199998</v>
      </c>
      <c r="AP154" s="9"/>
      <c r="AQ154" s="22">
        <v>0.124969</v>
      </c>
      <c r="AR154" s="22">
        <v>209.428</v>
      </c>
      <c r="AS154" s="22">
        <v>-2.2094699999999998E-2</v>
      </c>
      <c r="AT154" s="22">
        <v>144</v>
      </c>
      <c r="AU154" s="22">
        <v>0.124512</v>
      </c>
      <c r="AV154">
        <f t="shared" si="32"/>
        <v>22.0947</v>
      </c>
      <c r="AW154">
        <f t="shared" si="33"/>
        <v>2.7611525642999997</v>
      </c>
      <c r="AX154" s="9"/>
      <c r="AY154" s="22">
        <v>0.62515299999999996</v>
      </c>
      <c r="AZ154" s="22">
        <v>279.22500000000002</v>
      </c>
      <c r="BA154" s="22">
        <v>-2.0196499999999999E-2</v>
      </c>
      <c r="BB154" s="22">
        <v>144</v>
      </c>
      <c r="BC154" s="22">
        <v>0.62454200000000004</v>
      </c>
      <c r="BD154">
        <f t="shared" si="34"/>
        <v>20.1965</v>
      </c>
      <c r="BE154">
        <f t="shared" si="35"/>
        <v>12.625902564499999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0.119934</v>
      </c>
      <c r="H155" s="22">
        <v>38.017000000000003</v>
      </c>
      <c r="I155" s="22">
        <v>-2.21405E-2</v>
      </c>
      <c r="J155" s="22">
        <v>145</v>
      </c>
      <c r="K155" s="22">
        <v>0.119049</v>
      </c>
      <c r="L155">
        <f t="shared" si="24"/>
        <v>22.140499999999999</v>
      </c>
      <c r="M155">
        <f t="shared" si="25"/>
        <v>2.6553987270000001</v>
      </c>
      <c r="N155" s="9"/>
      <c r="O155" s="22">
        <v>0.63018799999999997</v>
      </c>
      <c r="P155" s="22">
        <v>86.160700000000006</v>
      </c>
      <c r="Q155" s="22">
        <v>-1.9381700000000002E-2</v>
      </c>
      <c r="R155" s="22">
        <v>145</v>
      </c>
      <c r="S155" s="22">
        <v>0.62936400000000003</v>
      </c>
      <c r="T155">
        <f t="shared" si="26"/>
        <v>19.381700000000002</v>
      </c>
      <c r="U155">
        <f t="shared" si="27"/>
        <v>12.214114759600001</v>
      </c>
      <c r="X155" s="9"/>
      <c r="Y155" s="22">
        <v>0.119934</v>
      </c>
      <c r="Z155" s="22">
        <v>139.72999999999999</v>
      </c>
      <c r="AA155" s="22">
        <v>-2.2110000000000001E-2</v>
      </c>
      <c r="AB155" s="22">
        <v>145</v>
      </c>
      <c r="AC155" s="22">
        <v>0.118744</v>
      </c>
      <c r="AD155">
        <f t="shared" si="28"/>
        <v>22.11</v>
      </c>
      <c r="AE155">
        <f t="shared" si="29"/>
        <v>2.6517407399999997</v>
      </c>
      <c r="AF155" s="9"/>
      <c r="AG155" s="22">
        <v>0.63018799999999997</v>
      </c>
      <c r="AH155" s="22">
        <v>176.506</v>
      </c>
      <c r="AI155" s="22">
        <v>-2.0251499999999999E-2</v>
      </c>
      <c r="AJ155" s="22">
        <v>145</v>
      </c>
      <c r="AK155" s="22">
        <v>0.62954699999999997</v>
      </c>
      <c r="AL155">
        <f t="shared" si="30"/>
        <v>20.2515</v>
      </c>
      <c r="AM155">
        <f t="shared" si="31"/>
        <v>12.762252281999999</v>
      </c>
      <c r="AP155" s="9"/>
      <c r="AQ155" s="22">
        <v>0.119934</v>
      </c>
      <c r="AR155" s="22">
        <v>209.52799999999999</v>
      </c>
      <c r="AS155" s="22">
        <v>-2.2106899999999999E-2</v>
      </c>
      <c r="AT155" s="22">
        <v>145</v>
      </c>
      <c r="AU155" s="22">
        <v>0.119537</v>
      </c>
      <c r="AV155">
        <f t="shared" si="32"/>
        <v>22.1069</v>
      </c>
      <c r="AW155">
        <f t="shared" si="33"/>
        <v>2.6513689445999997</v>
      </c>
      <c r="AX155" s="9"/>
      <c r="AY155" s="22">
        <v>0.63018799999999997</v>
      </c>
      <c r="AZ155" s="22">
        <v>279.32600000000002</v>
      </c>
      <c r="BA155" s="22">
        <v>-2.0135500000000001E-2</v>
      </c>
      <c r="BB155" s="22">
        <v>145</v>
      </c>
      <c r="BC155" s="22">
        <v>0.62945600000000002</v>
      </c>
      <c r="BD155">
        <f t="shared" si="34"/>
        <v>20.1355</v>
      </c>
      <c r="BE155">
        <f t="shared" si="35"/>
        <v>12.689150474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0.114899</v>
      </c>
      <c r="H156" s="22">
        <v>38.117699999999999</v>
      </c>
      <c r="I156" s="22">
        <v>-2.21405E-2</v>
      </c>
      <c r="J156" s="22">
        <v>146</v>
      </c>
      <c r="K156" s="22">
        <v>0.114227</v>
      </c>
      <c r="L156">
        <f t="shared" si="24"/>
        <v>22.140499999999999</v>
      </c>
      <c r="M156">
        <f t="shared" si="25"/>
        <v>2.5439213094999999</v>
      </c>
      <c r="N156" s="9"/>
      <c r="O156" s="22">
        <v>0.63522299999999998</v>
      </c>
      <c r="P156" s="22">
        <v>86.261399999999995</v>
      </c>
      <c r="Q156" s="22">
        <v>-1.92932E-2</v>
      </c>
      <c r="R156" s="22">
        <v>146</v>
      </c>
      <c r="S156" s="22">
        <v>0.634521</v>
      </c>
      <c r="T156">
        <f t="shared" si="26"/>
        <v>19.293199999999999</v>
      </c>
      <c r="U156">
        <f t="shared" si="27"/>
        <v>12.255484383599999</v>
      </c>
      <c r="X156" s="9"/>
      <c r="Y156" s="22">
        <v>0.114899</v>
      </c>
      <c r="Z156" s="22">
        <v>139.83099999999999</v>
      </c>
      <c r="AA156" s="22">
        <v>-2.2110000000000001E-2</v>
      </c>
      <c r="AB156" s="22">
        <v>146</v>
      </c>
      <c r="AC156" s="22">
        <v>0.11498999999999999</v>
      </c>
      <c r="AD156">
        <f t="shared" si="28"/>
        <v>22.11</v>
      </c>
      <c r="AE156">
        <f t="shared" si="29"/>
        <v>2.5404168899999999</v>
      </c>
      <c r="AF156" s="9"/>
      <c r="AG156" s="22">
        <v>0.63522299999999998</v>
      </c>
      <c r="AH156" s="22">
        <v>176.607</v>
      </c>
      <c r="AI156" s="22">
        <v>-2.0181299999999999E-2</v>
      </c>
      <c r="AJ156" s="22">
        <v>146</v>
      </c>
      <c r="AK156" s="22">
        <v>0.63430799999999998</v>
      </c>
      <c r="AL156">
        <f t="shared" si="30"/>
        <v>20.1813</v>
      </c>
      <c r="AM156">
        <f t="shared" si="31"/>
        <v>12.819625929899999</v>
      </c>
      <c r="AP156" s="9"/>
      <c r="AQ156" s="22">
        <v>0.114899</v>
      </c>
      <c r="AR156" s="22">
        <v>209.62899999999999</v>
      </c>
      <c r="AS156" s="22">
        <v>-2.2122200000000002E-2</v>
      </c>
      <c r="AT156" s="22">
        <v>146</v>
      </c>
      <c r="AU156" s="22">
        <v>0.114319</v>
      </c>
      <c r="AV156">
        <f t="shared" si="32"/>
        <v>22.122200000000003</v>
      </c>
      <c r="AW156">
        <f t="shared" si="33"/>
        <v>2.5418186578000004</v>
      </c>
      <c r="AX156" s="9"/>
      <c r="AY156" s="22">
        <v>0.63522299999999998</v>
      </c>
      <c r="AZ156" s="22">
        <v>279.42599999999999</v>
      </c>
      <c r="BA156" s="22">
        <v>-2.00409E-2</v>
      </c>
      <c r="BB156" s="22">
        <v>146</v>
      </c>
      <c r="BC156" s="22">
        <v>0.63433799999999996</v>
      </c>
      <c r="BD156">
        <f t="shared" si="34"/>
        <v>20.040900000000001</v>
      </c>
      <c r="BE156">
        <f t="shared" si="35"/>
        <v>12.7304406207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0.109863</v>
      </c>
      <c r="H157" s="22">
        <v>38.218400000000003</v>
      </c>
      <c r="I157" s="22">
        <v>-2.2161899999999998E-2</v>
      </c>
      <c r="J157" s="22">
        <v>147</v>
      </c>
      <c r="K157" s="22">
        <v>0.109222</v>
      </c>
      <c r="L157">
        <f t="shared" si="24"/>
        <v>22.161899999999999</v>
      </c>
      <c r="M157">
        <f t="shared" si="25"/>
        <v>2.4347728197</v>
      </c>
      <c r="N157" s="9"/>
      <c r="O157" s="22">
        <v>0.64025900000000002</v>
      </c>
      <c r="P157" s="22">
        <v>86.362099999999998</v>
      </c>
      <c r="Q157" s="22">
        <v>-1.9149800000000002E-2</v>
      </c>
      <c r="R157" s="22">
        <v>147</v>
      </c>
      <c r="S157" s="22">
        <v>0.63949599999999995</v>
      </c>
      <c r="T157">
        <f t="shared" si="26"/>
        <v>19.149800000000003</v>
      </c>
      <c r="U157">
        <f t="shared" si="27"/>
        <v>12.260831798200002</v>
      </c>
      <c r="X157" s="9"/>
      <c r="Y157" s="22">
        <v>0.109863</v>
      </c>
      <c r="Z157" s="22">
        <v>139.93199999999999</v>
      </c>
      <c r="AA157" s="22">
        <v>-2.21405E-2</v>
      </c>
      <c r="AB157" s="22">
        <v>147</v>
      </c>
      <c r="AC157" s="22">
        <v>0.107941</v>
      </c>
      <c r="AD157">
        <f t="shared" si="28"/>
        <v>22.140499999999999</v>
      </c>
      <c r="AE157">
        <f t="shared" si="29"/>
        <v>2.4324217515000002</v>
      </c>
      <c r="AF157" s="9"/>
      <c r="AG157" s="22">
        <v>0.64025900000000002</v>
      </c>
      <c r="AH157" s="22">
        <v>176.70699999999999</v>
      </c>
      <c r="AI157" s="22">
        <v>-2.0092800000000001E-2</v>
      </c>
      <c r="AJ157" s="22">
        <v>147</v>
      </c>
      <c r="AK157" s="22">
        <v>0.63964799999999999</v>
      </c>
      <c r="AL157">
        <f t="shared" si="30"/>
        <v>20.0928</v>
      </c>
      <c r="AM157">
        <f t="shared" si="31"/>
        <v>12.8645960352</v>
      </c>
      <c r="AP157" s="9"/>
      <c r="AQ157" s="22">
        <v>0.109863</v>
      </c>
      <c r="AR157" s="22">
        <v>209.73</v>
      </c>
      <c r="AS157" s="22">
        <v>-2.2134399999999999E-2</v>
      </c>
      <c r="AT157" s="22">
        <v>147</v>
      </c>
      <c r="AU157" s="22">
        <v>0.10913100000000001</v>
      </c>
      <c r="AV157">
        <f t="shared" si="32"/>
        <v>22.134399999999999</v>
      </c>
      <c r="AW157">
        <f t="shared" si="33"/>
        <v>2.4317515872</v>
      </c>
      <c r="AX157" s="9"/>
      <c r="AY157" s="22">
        <v>0.64025900000000002</v>
      </c>
      <c r="AZ157" s="22">
        <v>279.52699999999999</v>
      </c>
      <c r="BA157" s="22">
        <v>-1.99615E-2</v>
      </c>
      <c r="BB157" s="22">
        <v>147</v>
      </c>
      <c r="BC157" s="22">
        <v>0.639374</v>
      </c>
      <c r="BD157">
        <f t="shared" si="34"/>
        <v>19.961500000000001</v>
      </c>
      <c r="BE157">
        <f t="shared" si="35"/>
        <v>12.780530028500001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0.104828</v>
      </c>
      <c r="H158" s="22">
        <v>38.319099999999999</v>
      </c>
      <c r="I158" s="22">
        <v>-2.2158799999999999E-2</v>
      </c>
      <c r="J158" s="22">
        <v>148</v>
      </c>
      <c r="K158" s="22">
        <v>0.104065</v>
      </c>
      <c r="L158">
        <f t="shared" si="24"/>
        <v>22.158799999999999</v>
      </c>
      <c r="M158">
        <f t="shared" si="25"/>
        <v>2.3228626864000002</v>
      </c>
      <c r="N158" s="9"/>
      <c r="O158" s="22">
        <v>0.64529400000000003</v>
      </c>
      <c r="P158" s="22">
        <v>86.462800000000001</v>
      </c>
      <c r="Q158" s="22">
        <v>-1.9009399999999999E-2</v>
      </c>
      <c r="R158" s="22">
        <v>148</v>
      </c>
      <c r="S158" s="22">
        <v>0.64456199999999997</v>
      </c>
      <c r="T158">
        <f t="shared" si="26"/>
        <v>19.009399999999999</v>
      </c>
      <c r="U158">
        <f t="shared" si="27"/>
        <v>12.266651763600001</v>
      </c>
      <c r="X158" s="9"/>
      <c r="Y158" s="22">
        <v>0.104828</v>
      </c>
      <c r="Z158" s="22">
        <v>140.03299999999999</v>
      </c>
      <c r="AA158" s="22">
        <v>-2.2122200000000002E-2</v>
      </c>
      <c r="AB158" s="22">
        <v>148</v>
      </c>
      <c r="AC158" s="22">
        <v>0.105042</v>
      </c>
      <c r="AD158">
        <f t="shared" si="28"/>
        <v>22.122200000000003</v>
      </c>
      <c r="AE158">
        <f t="shared" si="29"/>
        <v>2.3190259816000003</v>
      </c>
      <c r="AF158" s="9"/>
      <c r="AG158" s="22">
        <v>0.64529400000000003</v>
      </c>
      <c r="AH158" s="22">
        <v>176.80799999999999</v>
      </c>
      <c r="AI158" s="22">
        <v>-2.0010400000000001E-2</v>
      </c>
      <c r="AJ158" s="22">
        <v>148</v>
      </c>
      <c r="AK158" s="22">
        <v>0.64462299999999995</v>
      </c>
      <c r="AL158">
        <f t="shared" si="30"/>
        <v>20.010400000000001</v>
      </c>
      <c r="AM158">
        <f t="shared" si="31"/>
        <v>12.9125910576</v>
      </c>
      <c r="AP158" s="9"/>
      <c r="AQ158" s="22">
        <v>0.104828</v>
      </c>
      <c r="AR158" s="22">
        <v>209.83099999999999</v>
      </c>
      <c r="AS158" s="22">
        <v>-2.2143599999999999E-2</v>
      </c>
      <c r="AT158" s="22">
        <v>148</v>
      </c>
      <c r="AU158" s="22">
        <v>0.10424799999999999</v>
      </c>
      <c r="AV158">
        <f t="shared" si="32"/>
        <v>22.143599999999999</v>
      </c>
      <c r="AW158">
        <f t="shared" si="33"/>
        <v>2.3212693008</v>
      </c>
      <c r="AX158" s="9"/>
      <c r="AY158" s="22">
        <v>0.64529400000000003</v>
      </c>
      <c r="AZ158" s="22">
        <v>279.62799999999999</v>
      </c>
      <c r="BA158" s="22">
        <v>-1.98639E-2</v>
      </c>
      <c r="BB158" s="22">
        <v>148</v>
      </c>
      <c r="BC158" s="22">
        <v>0.64462299999999995</v>
      </c>
      <c r="BD158">
        <f t="shared" si="34"/>
        <v>19.863900000000001</v>
      </c>
      <c r="BE158">
        <f t="shared" si="35"/>
        <v>12.8180554866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9.9792500000000006E-2</v>
      </c>
      <c r="H159" s="22">
        <v>38.419800000000002</v>
      </c>
      <c r="I159" s="22">
        <v>-2.2152700000000001E-2</v>
      </c>
      <c r="J159" s="22">
        <v>149</v>
      </c>
      <c r="K159" s="22">
        <v>9.9334699999999998E-2</v>
      </c>
      <c r="L159">
        <f t="shared" si="24"/>
        <v>22.152699999999999</v>
      </c>
      <c r="M159">
        <f t="shared" si="25"/>
        <v>2.2106733147500002</v>
      </c>
      <c r="N159" s="9"/>
      <c r="O159" s="22">
        <v>0.65032999999999996</v>
      </c>
      <c r="P159" s="22">
        <v>86.563500000000005</v>
      </c>
      <c r="Q159" s="22">
        <v>-1.8859899999999999E-2</v>
      </c>
      <c r="R159" s="22">
        <v>149</v>
      </c>
      <c r="S159" s="22">
        <v>0.64962799999999998</v>
      </c>
      <c r="T159">
        <f t="shared" si="26"/>
        <v>18.8599</v>
      </c>
      <c r="U159">
        <f t="shared" si="27"/>
        <v>12.265158766999999</v>
      </c>
      <c r="X159" s="9"/>
      <c r="Y159" s="22">
        <v>9.9792500000000006E-2</v>
      </c>
      <c r="Z159" s="22">
        <v>140.13300000000001</v>
      </c>
      <c r="AA159" s="22">
        <v>-2.2134399999999999E-2</v>
      </c>
      <c r="AB159" s="22">
        <v>149</v>
      </c>
      <c r="AC159" s="22">
        <v>9.8663299999999995E-2</v>
      </c>
      <c r="AD159">
        <f t="shared" si="28"/>
        <v>22.134399999999999</v>
      </c>
      <c r="AE159">
        <f t="shared" si="29"/>
        <v>2.2088471119999999</v>
      </c>
      <c r="AF159" s="9"/>
      <c r="AG159" s="22">
        <v>0.65032999999999996</v>
      </c>
      <c r="AH159" s="22">
        <v>176.90899999999999</v>
      </c>
      <c r="AI159" s="22">
        <v>-1.9928000000000001E-2</v>
      </c>
      <c r="AJ159" s="22">
        <v>149</v>
      </c>
      <c r="AK159" s="22">
        <v>0.64965799999999996</v>
      </c>
      <c r="AL159">
        <f t="shared" si="30"/>
        <v>19.928000000000001</v>
      </c>
      <c r="AM159">
        <f t="shared" si="31"/>
        <v>12.95977624</v>
      </c>
      <c r="AP159" s="9"/>
      <c r="AQ159" s="22">
        <v>9.9792500000000006E-2</v>
      </c>
      <c r="AR159" s="22">
        <v>209.93100000000001</v>
      </c>
      <c r="AS159" s="22">
        <v>-2.21405E-2</v>
      </c>
      <c r="AT159" s="22">
        <v>149</v>
      </c>
      <c r="AU159" s="22">
        <v>9.9151600000000006E-2</v>
      </c>
      <c r="AV159">
        <f t="shared" si="32"/>
        <v>22.140499999999999</v>
      </c>
      <c r="AW159">
        <f t="shared" si="33"/>
        <v>2.20945584625</v>
      </c>
      <c r="AX159" s="9"/>
      <c r="AY159" s="22">
        <v>0.65032999999999996</v>
      </c>
      <c r="AZ159" s="22">
        <v>279.72800000000001</v>
      </c>
      <c r="BA159" s="22">
        <v>-1.9766200000000001E-2</v>
      </c>
      <c r="BB159" s="22">
        <v>149</v>
      </c>
      <c r="BC159" s="22">
        <v>0.64956700000000001</v>
      </c>
      <c r="BD159">
        <f t="shared" si="34"/>
        <v>19.766200000000001</v>
      </c>
      <c r="BE159">
        <f t="shared" si="35"/>
        <v>12.854552846000001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9.4757099999999997E-2</v>
      </c>
      <c r="H160" s="22">
        <v>38.520499999999998</v>
      </c>
      <c r="I160" s="22">
        <v>-2.2177100000000002E-2</v>
      </c>
      <c r="J160" s="22">
        <v>150</v>
      </c>
      <c r="K160" s="22">
        <v>9.3841599999999997E-2</v>
      </c>
      <c r="L160">
        <f t="shared" si="24"/>
        <v>22.177100000000003</v>
      </c>
      <c r="M160">
        <f t="shared" si="25"/>
        <v>2.1014376824100003</v>
      </c>
      <c r="N160" s="9"/>
      <c r="O160" s="22">
        <v>0.65536499999999998</v>
      </c>
      <c r="P160" s="22">
        <v>86.664199999999994</v>
      </c>
      <c r="Q160" s="22">
        <v>-1.8692E-2</v>
      </c>
      <c r="R160" s="22">
        <v>150</v>
      </c>
      <c r="S160" s="22">
        <v>0.65481599999999995</v>
      </c>
      <c r="T160">
        <f t="shared" si="26"/>
        <v>18.692</v>
      </c>
      <c r="U160">
        <f t="shared" si="27"/>
        <v>12.250082579999999</v>
      </c>
      <c r="X160" s="9"/>
      <c r="Y160" s="22">
        <v>9.4757099999999997E-2</v>
      </c>
      <c r="Z160" s="22">
        <v>140.23400000000001</v>
      </c>
      <c r="AA160" s="22">
        <v>-2.21405E-2</v>
      </c>
      <c r="AB160" s="22">
        <v>150</v>
      </c>
      <c r="AC160" s="22">
        <v>9.3841599999999997E-2</v>
      </c>
      <c r="AD160">
        <f t="shared" si="28"/>
        <v>22.140499999999999</v>
      </c>
      <c r="AE160">
        <f t="shared" si="29"/>
        <v>2.0979695725499998</v>
      </c>
      <c r="AF160" s="9"/>
      <c r="AG160" s="22">
        <v>0.65536499999999998</v>
      </c>
      <c r="AH160" s="22">
        <v>177.01</v>
      </c>
      <c r="AI160" s="22">
        <v>-1.9815099999999999E-2</v>
      </c>
      <c r="AJ160" s="22">
        <v>150</v>
      </c>
      <c r="AK160" s="22">
        <v>0.65457200000000004</v>
      </c>
      <c r="AL160">
        <f t="shared" si="30"/>
        <v>19.815099999999997</v>
      </c>
      <c r="AM160">
        <f t="shared" si="31"/>
        <v>12.986123011499998</v>
      </c>
      <c r="AP160" s="9"/>
      <c r="AQ160" s="22">
        <v>9.4757099999999997E-2</v>
      </c>
      <c r="AR160" s="22">
        <v>210.03200000000001</v>
      </c>
      <c r="AS160" s="22">
        <v>-2.2158799999999999E-2</v>
      </c>
      <c r="AT160" s="22">
        <v>150</v>
      </c>
      <c r="AU160" s="22">
        <v>9.4177200000000003E-2</v>
      </c>
      <c r="AV160">
        <f t="shared" si="32"/>
        <v>22.158799999999999</v>
      </c>
      <c r="AW160">
        <f t="shared" si="33"/>
        <v>2.0997036274799998</v>
      </c>
      <c r="AX160" s="9"/>
      <c r="AY160" s="22">
        <v>0.65536499999999998</v>
      </c>
      <c r="AZ160" s="22">
        <v>279.82900000000001</v>
      </c>
      <c r="BA160" s="22">
        <v>-1.9653299999999999E-2</v>
      </c>
      <c r="BB160" s="22">
        <v>150</v>
      </c>
      <c r="BC160" s="22">
        <v>0.65460200000000002</v>
      </c>
      <c r="BD160">
        <f t="shared" si="34"/>
        <v>19.653299999999998</v>
      </c>
      <c r="BE160">
        <f t="shared" si="35"/>
        <v>12.880084954499997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8.9721700000000001E-2</v>
      </c>
      <c r="H161" s="22">
        <v>38.621200000000002</v>
      </c>
      <c r="I161" s="22">
        <v>-2.2192400000000001E-2</v>
      </c>
      <c r="J161" s="22">
        <v>151</v>
      </c>
      <c r="K161" s="22">
        <v>8.9355500000000004E-2</v>
      </c>
      <c r="L161">
        <f t="shared" si="24"/>
        <v>22.192399999999999</v>
      </c>
      <c r="M161">
        <f t="shared" si="25"/>
        <v>1.9911398550799999</v>
      </c>
      <c r="N161" s="9"/>
      <c r="O161" s="22">
        <v>0.66039999999999999</v>
      </c>
      <c r="P161" s="22">
        <v>86.764899999999997</v>
      </c>
      <c r="Q161" s="22">
        <v>-1.85547E-2</v>
      </c>
      <c r="R161" s="22">
        <v>151</v>
      </c>
      <c r="S161" s="22">
        <v>0.66000400000000004</v>
      </c>
      <c r="T161">
        <f t="shared" si="26"/>
        <v>18.5547</v>
      </c>
      <c r="U161">
        <f t="shared" si="27"/>
        <v>12.253523879999999</v>
      </c>
      <c r="X161" s="9"/>
      <c r="Y161" s="22">
        <v>8.9721700000000001E-2</v>
      </c>
      <c r="Z161" s="22">
        <v>140.33500000000001</v>
      </c>
      <c r="AA161" s="22">
        <v>-2.2152700000000001E-2</v>
      </c>
      <c r="AB161" s="22">
        <v>151</v>
      </c>
      <c r="AC161" s="22">
        <v>8.9202900000000002E-2</v>
      </c>
      <c r="AD161">
        <f t="shared" si="28"/>
        <v>22.152699999999999</v>
      </c>
      <c r="AE161">
        <f t="shared" si="29"/>
        <v>1.9875779035900001</v>
      </c>
      <c r="AF161" s="9"/>
      <c r="AG161" s="22">
        <v>0.66039999999999999</v>
      </c>
      <c r="AH161" s="22">
        <v>177.11</v>
      </c>
      <c r="AI161" s="22">
        <v>-1.97266E-2</v>
      </c>
      <c r="AJ161" s="22">
        <v>151</v>
      </c>
      <c r="AK161" s="22">
        <v>0.65994299999999995</v>
      </c>
      <c r="AL161">
        <f t="shared" si="30"/>
        <v>19.726600000000001</v>
      </c>
      <c r="AM161">
        <f t="shared" si="31"/>
        <v>13.027446640000001</v>
      </c>
      <c r="AP161" s="9"/>
      <c r="AQ161" s="22">
        <v>8.9721700000000001E-2</v>
      </c>
      <c r="AR161" s="22">
        <v>210.13300000000001</v>
      </c>
      <c r="AS161" s="22">
        <v>-2.2161899999999998E-2</v>
      </c>
      <c r="AT161" s="22">
        <v>151</v>
      </c>
      <c r="AU161" s="22">
        <v>8.9080800000000002E-2</v>
      </c>
      <c r="AV161">
        <f t="shared" si="32"/>
        <v>22.161899999999999</v>
      </c>
      <c r="AW161">
        <f t="shared" si="33"/>
        <v>1.9884033432299999</v>
      </c>
      <c r="AX161" s="9"/>
      <c r="AY161" s="22">
        <v>0.66039999999999999</v>
      </c>
      <c r="AZ161" s="22">
        <v>279.93</v>
      </c>
      <c r="BA161" s="22">
        <v>-1.9561800000000001E-2</v>
      </c>
      <c r="BB161" s="22">
        <v>151</v>
      </c>
      <c r="BC161" s="22">
        <v>0.65957600000000005</v>
      </c>
      <c r="BD161">
        <f t="shared" si="34"/>
        <v>19.561800000000002</v>
      </c>
      <c r="BE161">
        <f t="shared" si="35"/>
        <v>12.91861272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8.4686300000000006E-2</v>
      </c>
      <c r="H162" s="22">
        <v>38.721899999999998</v>
      </c>
      <c r="I162" s="22">
        <v>-2.2241199999999999E-2</v>
      </c>
      <c r="J162" s="22">
        <v>152</v>
      </c>
      <c r="K162" s="22">
        <v>8.4197999999999995E-2</v>
      </c>
      <c r="L162">
        <f t="shared" si="24"/>
        <v>22.241199999999999</v>
      </c>
      <c r="M162">
        <f t="shared" si="25"/>
        <v>1.8835249355600001</v>
      </c>
      <c r="N162" s="9"/>
      <c r="O162" s="22">
        <v>0.66543600000000003</v>
      </c>
      <c r="P162" s="22">
        <v>86.865600000000001</v>
      </c>
      <c r="Q162" s="22">
        <v>-1.8398999999999999E-2</v>
      </c>
      <c r="R162" s="22">
        <v>152</v>
      </c>
      <c r="S162" s="22">
        <v>0.66491699999999998</v>
      </c>
      <c r="T162">
        <f t="shared" si="26"/>
        <v>18.398999999999997</v>
      </c>
      <c r="U162">
        <f t="shared" si="27"/>
        <v>12.243356963999998</v>
      </c>
      <c r="X162" s="9"/>
      <c r="Y162" s="22">
        <v>8.4686300000000006E-2</v>
      </c>
      <c r="Z162" s="22">
        <v>140.435</v>
      </c>
      <c r="AA162" s="22">
        <v>-2.2174099999999999E-2</v>
      </c>
      <c r="AB162" s="22">
        <v>152</v>
      </c>
      <c r="AC162" s="22">
        <v>8.3129900000000007E-2</v>
      </c>
      <c r="AD162">
        <f t="shared" si="28"/>
        <v>22.174099999999999</v>
      </c>
      <c r="AE162">
        <f t="shared" si="29"/>
        <v>1.8778424848300002</v>
      </c>
      <c r="AF162" s="9"/>
      <c r="AG162" s="22">
        <v>0.66543600000000003</v>
      </c>
      <c r="AH162" s="22">
        <v>177.21100000000001</v>
      </c>
      <c r="AI162" s="22">
        <v>-1.9628900000000001E-2</v>
      </c>
      <c r="AJ162" s="22">
        <v>152</v>
      </c>
      <c r="AK162" s="22">
        <v>0.66470300000000004</v>
      </c>
      <c r="AL162">
        <f t="shared" si="30"/>
        <v>19.628900000000002</v>
      </c>
      <c r="AM162">
        <f t="shared" si="31"/>
        <v>13.061776700400001</v>
      </c>
      <c r="AP162" s="9"/>
      <c r="AQ162" s="22">
        <v>8.4686300000000006E-2</v>
      </c>
      <c r="AR162" s="22">
        <v>210.233</v>
      </c>
      <c r="AS162" s="22">
        <v>-2.2164900000000001E-2</v>
      </c>
      <c r="AT162" s="22">
        <v>152</v>
      </c>
      <c r="AU162" s="22">
        <v>8.3953899999999998E-2</v>
      </c>
      <c r="AV162">
        <f t="shared" si="32"/>
        <v>22.164900000000003</v>
      </c>
      <c r="AW162">
        <f t="shared" si="33"/>
        <v>1.8770633708700004</v>
      </c>
      <c r="AX162" s="9"/>
      <c r="AY162" s="22">
        <v>0.66543600000000003</v>
      </c>
      <c r="AZ162" s="22">
        <v>280.03100000000001</v>
      </c>
      <c r="BA162" s="22">
        <v>-1.9445799999999999E-2</v>
      </c>
      <c r="BB162" s="22">
        <v>152</v>
      </c>
      <c r="BC162" s="22">
        <v>0.66476400000000002</v>
      </c>
      <c r="BD162">
        <f t="shared" si="34"/>
        <v>19.445799999999998</v>
      </c>
      <c r="BE162">
        <f t="shared" si="35"/>
        <v>12.939935368799999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7.9650899999999997E-2</v>
      </c>
      <c r="H163" s="22">
        <v>38.822600000000001</v>
      </c>
      <c r="I163" s="22">
        <v>-2.22534E-2</v>
      </c>
      <c r="J163" s="22">
        <v>153</v>
      </c>
      <c r="K163" s="22">
        <v>7.9101599999999994E-2</v>
      </c>
      <c r="L163">
        <f t="shared" si="24"/>
        <v>22.253399999999999</v>
      </c>
      <c r="M163">
        <f t="shared" si="25"/>
        <v>1.7725033380599999</v>
      </c>
      <c r="N163" s="9"/>
      <c r="O163" s="22">
        <v>0.67047100000000004</v>
      </c>
      <c r="P163" s="22">
        <v>86.966300000000004</v>
      </c>
      <c r="Q163" s="22">
        <v>-1.8194599999999998E-2</v>
      </c>
      <c r="R163" s="22">
        <v>153</v>
      </c>
      <c r="S163" s="22">
        <v>0.66961700000000002</v>
      </c>
      <c r="T163">
        <f t="shared" si="26"/>
        <v>18.194599999999998</v>
      </c>
      <c r="U163">
        <f t="shared" si="27"/>
        <v>12.198951656599998</v>
      </c>
      <c r="X163" s="9"/>
      <c r="Y163" s="22">
        <v>7.9650899999999997E-2</v>
      </c>
      <c r="Z163" s="22">
        <v>140.536</v>
      </c>
      <c r="AA163" s="22">
        <v>-2.2171E-2</v>
      </c>
      <c r="AB163" s="22">
        <v>153</v>
      </c>
      <c r="AC163" s="22">
        <v>7.8674300000000003E-2</v>
      </c>
      <c r="AD163">
        <f t="shared" si="28"/>
        <v>22.170999999999999</v>
      </c>
      <c r="AE163">
        <f t="shared" si="29"/>
        <v>1.7659401038999998</v>
      </c>
      <c r="AF163" s="9"/>
      <c r="AG163" s="22">
        <v>0.67047100000000004</v>
      </c>
      <c r="AH163" s="22">
        <v>177.31200000000001</v>
      </c>
      <c r="AI163" s="22">
        <v>-1.9519000000000002E-2</v>
      </c>
      <c r="AJ163" s="22">
        <v>153</v>
      </c>
      <c r="AK163" s="22">
        <v>0.66973899999999997</v>
      </c>
      <c r="AL163">
        <f t="shared" si="30"/>
        <v>19.519000000000002</v>
      </c>
      <c r="AM163">
        <f t="shared" si="31"/>
        <v>13.086923449000002</v>
      </c>
      <c r="AP163" s="9"/>
      <c r="AQ163" s="22">
        <v>7.9650899999999997E-2</v>
      </c>
      <c r="AR163" s="22">
        <v>210.334</v>
      </c>
      <c r="AS163" s="22">
        <v>-2.2189299999999999E-2</v>
      </c>
      <c r="AT163" s="22">
        <v>153</v>
      </c>
      <c r="AU163" s="22">
        <v>7.90405E-2</v>
      </c>
      <c r="AV163">
        <f t="shared" si="32"/>
        <v>22.189299999999999</v>
      </c>
      <c r="AW163">
        <f t="shared" si="33"/>
        <v>1.7673977153699998</v>
      </c>
      <c r="AX163" s="9"/>
      <c r="AY163" s="22">
        <v>0.67047100000000004</v>
      </c>
      <c r="AZ163" s="22">
        <v>280.13099999999997</v>
      </c>
      <c r="BA163" s="22">
        <v>-1.9311499999999999E-2</v>
      </c>
      <c r="BB163" s="22">
        <v>153</v>
      </c>
      <c r="BC163" s="22">
        <v>0.66986100000000004</v>
      </c>
      <c r="BD163">
        <f t="shared" si="34"/>
        <v>19.311499999999999</v>
      </c>
      <c r="BE163">
        <f t="shared" si="35"/>
        <v>12.9478007165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7.4615500000000001E-2</v>
      </c>
      <c r="H164" s="22">
        <v>38.923299999999998</v>
      </c>
      <c r="I164" s="22">
        <v>-2.2247300000000001E-2</v>
      </c>
      <c r="J164" s="22">
        <v>154</v>
      </c>
      <c r="K164" s="22">
        <v>7.3791499999999996E-2</v>
      </c>
      <c r="L164">
        <f t="shared" si="24"/>
        <v>22.247300000000003</v>
      </c>
      <c r="M164">
        <f t="shared" si="25"/>
        <v>1.6599934131500003</v>
      </c>
      <c r="N164" s="9"/>
      <c r="O164" s="22">
        <v>0.67550699999999997</v>
      </c>
      <c r="P164" s="22">
        <v>87.067099999999996</v>
      </c>
      <c r="Q164" s="22">
        <v>-1.79962E-2</v>
      </c>
      <c r="R164" s="22">
        <v>154</v>
      </c>
      <c r="S164" s="22">
        <v>0.67471300000000001</v>
      </c>
      <c r="T164">
        <f t="shared" si="26"/>
        <v>17.996200000000002</v>
      </c>
      <c r="U164">
        <f t="shared" si="27"/>
        <v>12.1565590734</v>
      </c>
      <c r="X164" s="9"/>
      <c r="Y164" s="22">
        <v>7.4615500000000001E-2</v>
      </c>
      <c r="Z164" s="22">
        <v>140.637</v>
      </c>
      <c r="AA164" s="22">
        <v>-2.21832E-2</v>
      </c>
      <c r="AB164" s="22">
        <v>154</v>
      </c>
      <c r="AC164" s="22">
        <v>7.3852500000000001E-2</v>
      </c>
      <c r="AD164">
        <f t="shared" si="28"/>
        <v>22.183199999999999</v>
      </c>
      <c r="AE164">
        <f t="shared" si="29"/>
        <v>1.6552105596</v>
      </c>
      <c r="AF164" s="9"/>
      <c r="AG164" s="22">
        <v>0.67550699999999997</v>
      </c>
      <c r="AH164" s="22">
        <v>177.41200000000001</v>
      </c>
      <c r="AI164" s="22">
        <v>-1.93604E-2</v>
      </c>
      <c r="AJ164" s="22">
        <v>154</v>
      </c>
      <c r="AK164" s="22">
        <v>0.67492700000000005</v>
      </c>
      <c r="AL164">
        <f t="shared" si="30"/>
        <v>19.360399999999998</v>
      </c>
      <c r="AM164">
        <f t="shared" si="31"/>
        <v>13.078085722799999</v>
      </c>
      <c r="AP164" s="9"/>
      <c r="AQ164" s="22">
        <v>7.4615500000000001E-2</v>
      </c>
      <c r="AR164" s="22">
        <v>210.435</v>
      </c>
      <c r="AS164" s="22">
        <v>-2.2189299999999999E-2</v>
      </c>
      <c r="AT164" s="22">
        <v>154</v>
      </c>
      <c r="AU164" s="22">
        <v>7.4432399999999996E-2</v>
      </c>
      <c r="AV164">
        <f t="shared" si="32"/>
        <v>22.189299999999999</v>
      </c>
      <c r="AW164">
        <f t="shared" si="33"/>
        <v>1.65566571415</v>
      </c>
      <c r="AX164" s="9"/>
      <c r="AY164" s="22">
        <v>0.67550699999999997</v>
      </c>
      <c r="AZ164" s="22">
        <v>280.23200000000003</v>
      </c>
      <c r="BA164" s="22">
        <v>-1.91833E-2</v>
      </c>
      <c r="BB164" s="22">
        <v>154</v>
      </c>
      <c r="BC164" s="22">
        <v>0.67477399999999998</v>
      </c>
      <c r="BD164">
        <f t="shared" si="34"/>
        <v>19.183299999999999</v>
      </c>
      <c r="BE164">
        <f t="shared" si="35"/>
        <v>12.958453433099999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6.9580100000000006E-2</v>
      </c>
      <c r="H165" s="22">
        <v>39.024000000000001</v>
      </c>
      <c r="I165" s="22">
        <v>-2.22382E-2</v>
      </c>
      <c r="J165" s="22">
        <v>155</v>
      </c>
      <c r="K165" s="22">
        <v>6.8786600000000003E-2</v>
      </c>
      <c r="L165">
        <f t="shared" si="24"/>
        <v>22.238199999999999</v>
      </c>
      <c r="M165">
        <f t="shared" si="25"/>
        <v>1.54733617982</v>
      </c>
      <c r="N165" s="9"/>
      <c r="O165" s="22">
        <v>0.68054199999999998</v>
      </c>
      <c r="P165" s="22">
        <v>87.1678</v>
      </c>
      <c r="Q165" s="22">
        <v>-1.7797899999999998E-2</v>
      </c>
      <c r="R165" s="22">
        <v>155</v>
      </c>
      <c r="S165" s="22">
        <v>0.67996199999999996</v>
      </c>
      <c r="T165">
        <f t="shared" si="26"/>
        <v>17.797899999999998</v>
      </c>
      <c r="U165">
        <f t="shared" si="27"/>
        <v>12.1122184618</v>
      </c>
      <c r="X165" s="9"/>
      <c r="Y165" s="22">
        <v>6.9580100000000006E-2</v>
      </c>
      <c r="Z165" s="22">
        <v>140.738</v>
      </c>
      <c r="AA165" s="22">
        <v>-2.2192400000000001E-2</v>
      </c>
      <c r="AB165" s="22">
        <v>155</v>
      </c>
      <c r="AC165" s="22">
        <v>6.8939200000000006E-2</v>
      </c>
      <c r="AD165">
        <f t="shared" si="28"/>
        <v>22.192399999999999</v>
      </c>
      <c r="AE165">
        <f t="shared" si="29"/>
        <v>1.54414941124</v>
      </c>
      <c r="AF165" s="9"/>
      <c r="AG165" s="22">
        <v>0.68054199999999998</v>
      </c>
      <c r="AH165" s="22">
        <v>177.51300000000001</v>
      </c>
      <c r="AI165" s="22">
        <v>-1.9256599999999999E-2</v>
      </c>
      <c r="AJ165" s="22">
        <v>155</v>
      </c>
      <c r="AK165" s="22">
        <v>0.67996199999999996</v>
      </c>
      <c r="AL165">
        <f t="shared" si="30"/>
        <v>19.256599999999999</v>
      </c>
      <c r="AM165">
        <f t="shared" si="31"/>
        <v>13.104925077199999</v>
      </c>
      <c r="AP165" s="9"/>
      <c r="AQ165" s="22">
        <v>6.9580100000000006E-2</v>
      </c>
      <c r="AR165" s="22">
        <v>210.536</v>
      </c>
      <c r="AS165" s="22">
        <v>-2.2228999999999999E-2</v>
      </c>
      <c r="AT165" s="22">
        <v>155</v>
      </c>
      <c r="AU165" s="22">
        <v>6.7871100000000004E-2</v>
      </c>
      <c r="AV165">
        <f t="shared" si="32"/>
        <v>22.228999999999999</v>
      </c>
      <c r="AW165">
        <f t="shared" si="33"/>
        <v>1.5466960429000001</v>
      </c>
      <c r="AX165" s="9"/>
      <c r="AY165" s="22">
        <v>0.68054199999999998</v>
      </c>
      <c r="AZ165" s="22">
        <v>280.33300000000003</v>
      </c>
      <c r="BA165" s="22">
        <v>-1.9058200000000001E-2</v>
      </c>
      <c r="BB165" s="22">
        <v>155</v>
      </c>
      <c r="BC165" s="22">
        <v>0.67981000000000003</v>
      </c>
      <c r="BD165">
        <f t="shared" si="34"/>
        <v>19.058199999999999</v>
      </c>
      <c r="BE165">
        <f t="shared" si="35"/>
        <v>12.9699055444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6.4544699999999997E-2</v>
      </c>
      <c r="H166" s="22">
        <v>39.124699999999997</v>
      </c>
      <c r="I166" s="22">
        <v>-2.22626E-2</v>
      </c>
      <c r="J166" s="22">
        <v>156</v>
      </c>
      <c r="K166" s="22">
        <v>6.4025899999999997E-2</v>
      </c>
      <c r="L166">
        <f t="shared" si="24"/>
        <v>22.262599999999999</v>
      </c>
      <c r="M166">
        <f t="shared" si="25"/>
        <v>1.43693283822</v>
      </c>
      <c r="N166" s="9"/>
      <c r="O166" s="22">
        <v>0.68557699999999999</v>
      </c>
      <c r="P166" s="22">
        <v>87.268500000000003</v>
      </c>
      <c r="Q166" s="22">
        <v>-1.7572000000000001E-2</v>
      </c>
      <c r="R166" s="22">
        <v>156</v>
      </c>
      <c r="S166" s="22">
        <v>0.68511999999999995</v>
      </c>
      <c r="T166">
        <f t="shared" si="26"/>
        <v>17.571999999999999</v>
      </c>
      <c r="U166">
        <f t="shared" si="27"/>
        <v>12.046959043999999</v>
      </c>
      <c r="X166" s="9"/>
      <c r="Y166" s="22">
        <v>6.4544699999999997E-2</v>
      </c>
      <c r="Z166" s="22">
        <v>140.83799999999999</v>
      </c>
      <c r="AA166" s="22">
        <v>-2.2204600000000001E-2</v>
      </c>
      <c r="AB166" s="22">
        <v>156</v>
      </c>
      <c r="AC166" s="22">
        <v>6.4086900000000002E-2</v>
      </c>
      <c r="AD166">
        <f t="shared" si="28"/>
        <v>22.204600000000003</v>
      </c>
      <c r="AE166">
        <f t="shared" si="29"/>
        <v>1.4331892456200002</v>
      </c>
      <c r="AF166" s="9"/>
      <c r="AG166" s="22">
        <v>0.68557699999999999</v>
      </c>
      <c r="AH166" s="22">
        <v>177.614</v>
      </c>
      <c r="AI166" s="22">
        <v>-1.9110100000000001E-2</v>
      </c>
      <c r="AJ166" s="22">
        <v>156</v>
      </c>
      <c r="AK166" s="22">
        <v>0.68472299999999997</v>
      </c>
      <c r="AL166">
        <f t="shared" si="30"/>
        <v>19.110100000000003</v>
      </c>
      <c r="AM166">
        <f t="shared" si="31"/>
        <v>13.101445027700002</v>
      </c>
      <c r="AP166" s="9"/>
      <c r="AQ166" s="22">
        <v>6.4544699999999997E-2</v>
      </c>
      <c r="AR166" s="22">
        <v>210.636</v>
      </c>
      <c r="AS166" s="22">
        <v>-2.22382E-2</v>
      </c>
      <c r="AT166" s="22">
        <v>156</v>
      </c>
      <c r="AU166" s="22">
        <v>6.3720700000000005E-2</v>
      </c>
      <c r="AV166">
        <f t="shared" si="32"/>
        <v>22.238199999999999</v>
      </c>
      <c r="AW166">
        <f t="shared" si="33"/>
        <v>1.4353579475399998</v>
      </c>
      <c r="AX166" s="9"/>
      <c r="AY166" s="22">
        <v>0.68557699999999999</v>
      </c>
      <c r="AZ166" s="22">
        <v>280.43299999999999</v>
      </c>
      <c r="BA166" s="22">
        <v>-1.88965E-2</v>
      </c>
      <c r="BB166" s="22">
        <v>156</v>
      </c>
      <c r="BC166" s="22">
        <v>0.68478399999999995</v>
      </c>
      <c r="BD166">
        <f t="shared" si="34"/>
        <v>18.8965</v>
      </c>
      <c r="BE166">
        <f t="shared" si="35"/>
        <v>12.955005780499999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5.9509300000000001E-2</v>
      </c>
      <c r="H167" s="22">
        <v>39.225499999999997</v>
      </c>
      <c r="I167" s="22">
        <v>-2.22626E-2</v>
      </c>
      <c r="J167" s="22">
        <v>157</v>
      </c>
      <c r="K167" s="22">
        <v>5.92957E-2</v>
      </c>
      <c r="L167">
        <f t="shared" si="24"/>
        <v>22.262599999999999</v>
      </c>
      <c r="M167">
        <f t="shared" si="25"/>
        <v>1.32483174218</v>
      </c>
      <c r="N167" s="9"/>
      <c r="O167" s="22">
        <v>0.69061300000000003</v>
      </c>
      <c r="P167" s="22">
        <v>87.369200000000006</v>
      </c>
      <c r="Q167" s="22">
        <v>-1.73004E-2</v>
      </c>
      <c r="R167" s="22">
        <v>157</v>
      </c>
      <c r="S167" s="22">
        <v>0.68978899999999999</v>
      </c>
      <c r="T167">
        <f t="shared" si="26"/>
        <v>17.3004</v>
      </c>
      <c r="U167">
        <f t="shared" si="27"/>
        <v>11.9478811452</v>
      </c>
      <c r="X167" s="9"/>
      <c r="Y167" s="22">
        <v>5.9509300000000001E-2</v>
      </c>
      <c r="Z167" s="22">
        <v>140.93899999999999</v>
      </c>
      <c r="AA167" s="22">
        <v>-2.2201499999999999E-2</v>
      </c>
      <c r="AB167" s="22">
        <v>157</v>
      </c>
      <c r="AC167" s="22">
        <v>5.9204100000000003E-2</v>
      </c>
      <c r="AD167">
        <f t="shared" si="28"/>
        <v>22.201499999999999</v>
      </c>
      <c r="AE167">
        <f t="shared" si="29"/>
        <v>1.3211957239500001</v>
      </c>
      <c r="AF167" s="9"/>
      <c r="AG167" s="22">
        <v>0.69061300000000003</v>
      </c>
      <c r="AH167" s="22">
        <v>177.714</v>
      </c>
      <c r="AI167" s="22">
        <v>-1.8972800000000001E-2</v>
      </c>
      <c r="AJ167" s="22">
        <v>157</v>
      </c>
      <c r="AK167" s="22">
        <v>0.68981899999999996</v>
      </c>
      <c r="AL167">
        <f t="shared" si="30"/>
        <v>18.972800000000003</v>
      </c>
      <c r="AM167">
        <f t="shared" si="31"/>
        <v>13.102862326400002</v>
      </c>
      <c r="AP167" s="9"/>
      <c r="AQ167" s="22">
        <v>5.9509300000000001E-2</v>
      </c>
      <c r="AR167" s="22">
        <v>210.73699999999999</v>
      </c>
      <c r="AS167" s="22">
        <v>-2.2241199999999999E-2</v>
      </c>
      <c r="AT167" s="22">
        <v>157</v>
      </c>
      <c r="AU167" s="22">
        <v>5.86548E-2</v>
      </c>
      <c r="AV167">
        <f t="shared" si="32"/>
        <v>22.241199999999999</v>
      </c>
      <c r="AW167">
        <f t="shared" si="33"/>
        <v>1.3235582431599999</v>
      </c>
      <c r="AX167" s="9"/>
      <c r="AY167" s="22">
        <v>0.69061300000000003</v>
      </c>
      <c r="AZ167" s="22">
        <v>280.53399999999999</v>
      </c>
      <c r="BA167" s="22">
        <v>-1.8728600000000001E-2</v>
      </c>
      <c r="BB167" s="22">
        <v>157</v>
      </c>
      <c r="BC167" s="22">
        <v>0.68994100000000003</v>
      </c>
      <c r="BD167">
        <f t="shared" si="34"/>
        <v>18.7286</v>
      </c>
      <c r="BE167">
        <f t="shared" si="35"/>
        <v>12.934214631800002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5.4473899999999999E-2</v>
      </c>
      <c r="H168" s="22">
        <v>39.3262</v>
      </c>
      <c r="I168" s="22">
        <v>-2.22656E-2</v>
      </c>
      <c r="J168" s="22">
        <v>158</v>
      </c>
      <c r="K168" s="22">
        <v>5.3985600000000002E-2</v>
      </c>
      <c r="L168">
        <f t="shared" si="24"/>
        <v>22.265599999999999</v>
      </c>
      <c r="M168">
        <f t="shared" si="25"/>
        <v>1.21289406784</v>
      </c>
      <c r="N168" s="9"/>
      <c r="O168" s="22">
        <v>0.69564800000000004</v>
      </c>
      <c r="P168" s="22">
        <v>87.469899999999996</v>
      </c>
      <c r="Q168" s="22">
        <v>-1.7092900000000001E-2</v>
      </c>
      <c r="R168" s="22">
        <v>158</v>
      </c>
      <c r="S168" s="22">
        <v>0.69488499999999997</v>
      </c>
      <c r="T168">
        <f t="shared" si="26"/>
        <v>17.0929</v>
      </c>
      <c r="U168">
        <f t="shared" si="27"/>
        <v>11.890641699200001</v>
      </c>
      <c r="X168" s="9"/>
      <c r="Y168" s="22">
        <v>5.4473899999999999E-2</v>
      </c>
      <c r="Z168" s="22">
        <v>141.04</v>
      </c>
      <c r="AA168" s="22">
        <v>-2.2219800000000001E-2</v>
      </c>
      <c r="AB168" s="22">
        <v>158</v>
      </c>
      <c r="AC168" s="22">
        <v>5.4229699999999999E-2</v>
      </c>
      <c r="AD168">
        <f t="shared" si="28"/>
        <v>22.219800000000003</v>
      </c>
      <c r="AE168">
        <f t="shared" si="29"/>
        <v>1.2103991632200002</v>
      </c>
      <c r="AF168" s="9"/>
      <c r="AG168" s="22">
        <v>0.69564800000000004</v>
      </c>
      <c r="AH168" s="22">
        <v>177.815</v>
      </c>
      <c r="AI168" s="22">
        <v>-1.8850700000000001E-2</v>
      </c>
      <c r="AJ168" s="22">
        <v>158</v>
      </c>
      <c r="AK168" s="22">
        <v>0.69497699999999996</v>
      </c>
      <c r="AL168">
        <f t="shared" si="30"/>
        <v>18.8507</v>
      </c>
      <c r="AM168">
        <f t="shared" si="31"/>
        <v>13.113451753600001</v>
      </c>
      <c r="AP168" s="9"/>
      <c r="AQ168" s="22">
        <v>5.4473899999999999E-2</v>
      </c>
      <c r="AR168" s="22">
        <v>210.83799999999999</v>
      </c>
      <c r="AS168" s="22">
        <v>-2.2259500000000002E-2</v>
      </c>
      <c r="AT168" s="22">
        <v>158</v>
      </c>
      <c r="AU168" s="22">
        <v>5.3710899999999999E-2</v>
      </c>
      <c r="AV168">
        <f t="shared" si="32"/>
        <v>22.259500000000003</v>
      </c>
      <c r="AW168">
        <f t="shared" si="33"/>
        <v>1.2125617770500001</v>
      </c>
      <c r="AX168" s="9"/>
      <c r="AY168" s="22">
        <v>0.69564800000000004</v>
      </c>
      <c r="AZ168" s="22">
        <v>280.63499999999999</v>
      </c>
      <c r="BA168" s="22">
        <v>-1.8579100000000001E-2</v>
      </c>
      <c r="BB168" s="22">
        <v>158</v>
      </c>
      <c r="BC168" s="22">
        <v>0.69491599999999998</v>
      </c>
      <c r="BD168">
        <f t="shared" si="34"/>
        <v>18.5791</v>
      </c>
      <c r="BE168">
        <f t="shared" si="35"/>
        <v>12.924513756800001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4.9438500000000003E-2</v>
      </c>
      <c r="H169" s="22">
        <v>39.426900000000003</v>
      </c>
      <c r="I169" s="22">
        <v>-2.22626E-2</v>
      </c>
      <c r="J169" s="22">
        <v>159</v>
      </c>
      <c r="K169" s="22">
        <v>4.9270599999999998E-2</v>
      </c>
      <c r="L169">
        <f t="shared" si="24"/>
        <v>22.262599999999999</v>
      </c>
      <c r="M169">
        <f t="shared" si="25"/>
        <v>1.1006295501000001</v>
      </c>
      <c r="N169" s="9"/>
      <c r="O169" s="22">
        <v>0.70068399999999997</v>
      </c>
      <c r="P169" s="22">
        <v>87.570599999999999</v>
      </c>
      <c r="Q169" s="22">
        <v>-1.67999E-2</v>
      </c>
      <c r="R169" s="22">
        <v>159</v>
      </c>
      <c r="S169" s="22">
        <v>0.70010399999999995</v>
      </c>
      <c r="T169">
        <f t="shared" si="26"/>
        <v>16.799900000000001</v>
      </c>
      <c r="U169">
        <f t="shared" si="27"/>
        <v>11.7714211316</v>
      </c>
      <c r="X169" s="9"/>
      <c r="Y169" s="22">
        <v>4.9438500000000003E-2</v>
      </c>
      <c r="Z169" s="22">
        <v>141.13999999999999</v>
      </c>
      <c r="AA169" s="22">
        <v>-2.2225999999999999E-2</v>
      </c>
      <c r="AB169" s="22">
        <v>159</v>
      </c>
      <c r="AC169" s="22">
        <v>5.0094600000000003E-2</v>
      </c>
      <c r="AD169">
        <f t="shared" si="28"/>
        <v>22.225999999999999</v>
      </c>
      <c r="AE169">
        <f t="shared" si="29"/>
        <v>1.098820101</v>
      </c>
      <c r="AF169" s="9"/>
      <c r="AG169" s="22">
        <v>0.70068399999999997</v>
      </c>
      <c r="AH169" s="22">
        <v>177.916</v>
      </c>
      <c r="AI169" s="22">
        <v>-1.8685899999999998E-2</v>
      </c>
      <c r="AJ169" s="22">
        <v>159</v>
      </c>
      <c r="AK169" s="22">
        <v>0.70031699999999997</v>
      </c>
      <c r="AL169">
        <f t="shared" si="30"/>
        <v>18.685899999999997</v>
      </c>
      <c r="AM169">
        <f t="shared" si="31"/>
        <v>13.092911155599998</v>
      </c>
      <c r="AP169" s="9"/>
      <c r="AQ169" s="22">
        <v>4.9438500000000003E-2</v>
      </c>
      <c r="AR169" s="22">
        <v>210.93799999999999</v>
      </c>
      <c r="AS169" s="22">
        <v>-2.2268699999999999E-2</v>
      </c>
      <c r="AT169" s="22">
        <v>159</v>
      </c>
      <c r="AU169" s="22">
        <v>4.9169900000000002E-2</v>
      </c>
      <c r="AV169">
        <f t="shared" si="32"/>
        <v>22.268699999999999</v>
      </c>
      <c r="AW169">
        <f t="shared" si="33"/>
        <v>1.10093112495</v>
      </c>
      <c r="AX169" s="9"/>
      <c r="AY169" s="22">
        <v>0.70068399999999997</v>
      </c>
      <c r="AZ169" s="22">
        <v>280.73500000000001</v>
      </c>
      <c r="BA169" s="22">
        <v>-1.8389900000000001E-2</v>
      </c>
      <c r="BB169" s="22">
        <v>159</v>
      </c>
      <c r="BC169" s="22">
        <v>0.70025599999999999</v>
      </c>
      <c r="BD169">
        <f t="shared" si="34"/>
        <v>18.389900000000001</v>
      </c>
      <c r="BE169">
        <f t="shared" si="35"/>
        <v>12.8855086916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4.4403100000000001E-2</v>
      </c>
      <c r="H170" s="22">
        <v>39.5276</v>
      </c>
      <c r="I170" s="22">
        <v>-2.2287000000000001E-2</v>
      </c>
      <c r="J170" s="22">
        <v>160</v>
      </c>
      <c r="K170" s="22">
        <v>4.4101000000000001E-2</v>
      </c>
      <c r="L170">
        <f t="shared" si="24"/>
        <v>22.287000000000003</v>
      </c>
      <c r="M170">
        <f t="shared" si="25"/>
        <v>0.98961188970000014</v>
      </c>
      <c r="N170" s="9"/>
      <c r="O170" s="22">
        <v>0.70571899999999999</v>
      </c>
      <c r="P170" s="22">
        <v>87.671300000000002</v>
      </c>
      <c r="Q170" s="22">
        <v>-1.6531400000000002E-2</v>
      </c>
      <c r="R170" s="22">
        <v>160</v>
      </c>
      <c r="S170" s="22">
        <v>0.70520000000000005</v>
      </c>
      <c r="T170">
        <f t="shared" si="26"/>
        <v>16.531400000000001</v>
      </c>
      <c r="U170">
        <f t="shared" si="27"/>
        <v>11.666523076600001</v>
      </c>
      <c r="X170" s="9"/>
      <c r="Y170" s="22">
        <v>4.4403100000000001E-2</v>
      </c>
      <c r="Z170" s="22">
        <v>141.24100000000001</v>
      </c>
      <c r="AA170" s="22">
        <v>-2.2232100000000001E-2</v>
      </c>
      <c r="AB170" s="22">
        <v>160</v>
      </c>
      <c r="AC170" s="22">
        <v>4.4686900000000002E-2</v>
      </c>
      <c r="AD170">
        <f t="shared" si="28"/>
        <v>22.232100000000003</v>
      </c>
      <c r="AE170">
        <f t="shared" si="29"/>
        <v>0.98717415951000009</v>
      </c>
      <c r="AF170" s="9"/>
      <c r="AG170" s="22">
        <v>0.70571899999999999</v>
      </c>
      <c r="AH170" s="22">
        <v>178.017</v>
      </c>
      <c r="AI170" s="22">
        <v>-1.8512000000000001E-2</v>
      </c>
      <c r="AJ170" s="22">
        <v>160</v>
      </c>
      <c r="AK170" s="22">
        <v>0.70535300000000001</v>
      </c>
      <c r="AL170">
        <f t="shared" si="30"/>
        <v>18.512</v>
      </c>
      <c r="AM170">
        <f t="shared" si="31"/>
        <v>13.064270128</v>
      </c>
      <c r="AP170" s="9"/>
      <c r="AQ170" s="22">
        <v>4.4403100000000001E-2</v>
      </c>
      <c r="AR170" s="22">
        <v>211.03899999999999</v>
      </c>
      <c r="AS170" s="22">
        <v>-2.2271699999999998E-2</v>
      </c>
      <c r="AT170" s="22">
        <v>160</v>
      </c>
      <c r="AU170" s="22">
        <v>4.4207799999999998E-2</v>
      </c>
      <c r="AV170">
        <f t="shared" si="32"/>
        <v>22.271699999999999</v>
      </c>
      <c r="AW170">
        <f t="shared" si="33"/>
        <v>0.98893252226999995</v>
      </c>
      <c r="AX170" s="9"/>
      <c r="AY170" s="22">
        <v>0.70571899999999999</v>
      </c>
      <c r="AZ170" s="22">
        <v>280.83600000000001</v>
      </c>
      <c r="BA170" s="22">
        <v>-1.8197600000000001E-2</v>
      </c>
      <c r="BB170" s="22">
        <v>160</v>
      </c>
      <c r="BC170" s="22">
        <v>0.70504800000000001</v>
      </c>
      <c r="BD170">
        <f t="shared" si="34"/>
        <v>18.197600000000001</v>
      </c>
      <c r="BE170">
        <f t="shared" si="35"/>
        <v>12.842392074400001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3.9367699999999999E-2</v>
      </c>
      <c r="H171" s="22">
        <v>39.628300000000003</v>
      </c>
      <c r="I171" s="22">
        <v>-2.2299200000000002E-2</v>
      </c>
      <c r="J171" s="22">
        <v>161</v>
      </c>
      <c r="K171" s="22">
        <v>3.9831499999999999E-2</v>
      </c>
      <c r="L171">
        <f t="shared" si="24"/>
        <v>22.299200000000003</v>
      </c>
      <c r="M171">
        <f t="shared" si="25"/>
        <v>0.87786821584000008</v>
      </c>
      <c r="N171" s="9"/>
      <c r="O171" s="22">
        <v>0.710754</v>
      </c>
      <c r="P171" s="22">
        <v>87.772000000000006</v>
      </c>
      <c r="Q171" s="22">
        <v>-1.62384E-2</v>
      </c>
      <c r="R171" s="22">
        <v>161</v>
      </c>
      <c r="S171" s="22">
        <v>0.71011400000000002</v>
      </c>
      <c r="T171">
        <f t="shared" si="26"/>
        <v>16.238399999999999</v>
      </c>
      <c r="U171">
        <f t="shared" si="27"/>
        <v>11.541507753599999</v>
      </c>
      <c r="X171" s="9"/>
      <c r="Y171" s="22">
        <v>3.9367699999999999E-2</v>
      </c>
      <c r="Z171" s="22">
        <v>141.34200000000001</v>
      </c>
      <c r="AA171" s="22">
        <v>-2.22107E-2</v>
      </c>
      <c r="AB171" s="22">
        <v>161</v>
      </c>
      <c r="AC171" s="22">
        <v>3.9724700000000002E-2</v>
      </c>
      <c r="AD171">
        <f t="shared" si="28"/>
        <v>22.210699999999999</v>
      </c>
      <c r="AE171">
        <f t="shared" si="29"/>
        <v>0.87438417438999994</v>
      </c>
      <c r="AF171" s="9"/>
      <c r="AG171" s="22">
        <v>0.710754</v>
      </c>
      <c r="AH171" s="22">
        <v>178.11699999999999</v>
      </c>
      <c r="AI171" s="22">
        <v>-1.8307500000000001E-2</v>
      </c>
      <c r="AJ171" s="22">
        <v>161</v>
      </c>
      <c r="AK171" s="22">
        <v>0.71002200000000004</v>
      </c>
      <c r="AL171">
        <f t="shared" si="30"/>
        <v>18.307500000000001</v>
      </c>
      <c r="AM171">
        <f t="shared" si="31"/>
        <v>13.012128855</v>
      </c>
      <c r="AP171" s="9"/>
      <c r="AQ171" s="22">
        <v>3.9367699999999999E-2</v>
      </c>
      <c r="AR171" s="22">
        <v>211.14</v>
      </c>
      <c r="AS171" s="22">
        <v>-2.2287000000000001E-2</v>
      </c>
      <c r="AT171" s="22">
        <v>161</v>
      </c>
      <c r="AU171" s="22">
        <v>3.9132699999999999E-2</v>
      </c>
      <c r="AV171">
        <f t="shared" si="32"/>
        <v>22.287000000000003</v>
      </c>
      <c r="AW171">
        <f t="shared" si="33"/>
        <v>0.87738792990000003</v>
      </c>
      <c r="AX171" s="9"/>
      <c r="AY171" s="22">
        <v>0.710754</v>
      </c>
      <c r="AZ171" s="22">
        <v>280.93700000000001</v>
      </c>
      <c r="BA171" s="22">
        <v>-1.80237E-2</v>
      </c>
      <c r="BB171" s="22">
        <v>161</v>
      </c>
      <c r="BC171" s="22">
        <v>0.710175</v>
      </c>
      <c r="BD171">
        <f t="shared" si="34"/>
        <v>18.023700000000002</v>
      </c>
      <c r="BE171">
        <f t="shared" si="35"/>
        <v>12.810416869800001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3.4332300000000003E-2</v>
      </c>
      <c r="H172" s="22">
        <v>39.728999999999999</v>
      </c>
      <c r="I172" s="22">
        <v>-2.23053E-2</v>
      </c>
      <c r="J172" s="22">
        <v>162</v>
      </c>
      <c r="K172" s="22">
        <v>3.3548000000000001E-2</v>
      </c>
      <c r="L172">
        <f t="shared" si="24"/>
        <v>22.305299999999999</v>
      </c>
      <c r="M172">
        <f t="shared" si="25"/>
        <v>0.76579225119000005</v>
      </c>
      <c r="N172" s="9"/>
      <c r="O172" s="22">
        <v>0.71579000000000004</v>
      </c>
      <c r="P172" s="22">
        <v>87.872699999999995</v>
      </c>
      <c r="Q172" s="22">
        <v>-1.5853900000000001E-2</v>
      </c>
      <c r="R172" s="22">
        <v>162</v>
      </c>
      <c r="S172" s="22">
        <v>0.71517900000000001</v>
      </c>
      <c r="T172">
        <f t="shared" si="26"/>
        <v>15.853900000000001</v>
      </c>
      <c r="U172">
        <f t="shared" si="27"/>
        <v>11.348063081000001</v>
      </c>
      <c r="X172" s="9"/>
      <c r="Y172" s="22">
        <v>3.4332300000000003E-2</v>
      </c>
      <c r="Z172" s="22">
        <v>141.44300000000001</v>
      </c>
      <c r="AA172" s="22">
        <v>-2.2235100000000001E-2</v>
      </c>
      <c r="AB172" s="22">
        <v>162</v>
      </c>
      <c r="AC172" s="22">
        <v>3.4228500000000002E-2</v>
      </c>
      <c r="AD172">
        <f t="shared" si="28"/>
        <v>22.235099999999999</v>
      </c>
      <c r="AE172">
        <f t="shared" si="29"/>
        <v>0.76338212373000003</v>
      </c>
      <c r="AF172" s="9"/>
      <c r="AG172" s="22">
        <v>0.71579000000000004</v>
      </c>
      <c r="AH172" s="22">
        <v>178.21799999999999</v>
      </c>
      <c r="AI172" s="22">
        <v>-1.8124399999999999E-2</v>
      </c>
      <c r="AJ172" s="22">
        <v>162</v>
      </c>
      <c r="AK172" s="22">
        <v>0.71508799999999995</v>
      </c>
      <c r="AL172">
        <f t="shared" si="30"/>
        <v>18.124399999999998</v>
      </c>
      <c r="AM172">
        <f t="shared" si="31"/>
        <v>12.973264275999998</v>
      </c>
      <c r="AP172" s="9"/>
      <c r="AQ172" s="22">
        <v>3.4332300000000003E-2</v>
      </c>
      <c r="AR172" s="22">
        <v>211.24</v>
      </c>
      <c r="AS172" s="22">
        <v>-2.23053E-2</v>
      </c>
      <c r="AT172" s="22">
        <v>162</v>
      </c>
      <c r="AU172" s="22">
        <v>3.4429899999999999E-2</v>
      </c>
      <c r="AV172">
        <f t="shared" si="32"/>
        <v>22.305299999999999</v>
      </c>
      <c r="AW172">
        <f t="shared" si="33"/>
        <v>0.76579225119000005</v>
      </c>
      <c r="AX172" s="9"/>
      <c r="AY172" s="22">
        <v>0.71579000000000004</v>
      </c>
      <c r="AZ172" s="22">
        <v>281.03800000000001</v>
      </c>
      <c r="BA172" s="22">
        <v>-1.7807E-2</v>
      </c>
      <c r="BB172" s="22">
        <v>162</v>
      </c>
      <c r="BC172" s="22">
        <v>0.71523999999999999</v>
      </c>
      <c r="BD172">
        <f t="shared" si="34"/>
        <v>17.806999999999999</v>
      </c>
      <c r="BE172">
        <f t="shared" si="35"/>
        <v>12.746072529999999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2.9296900000000001E-2</v>
      </c>
      <c r="H173" s="22">
        <v>39.829700000000003</v>
      </c>
      <c r="I173" s="22">
        <v>-2.23328E-2</v>
      </c>
      <c r="J173" s="22">
        <v>163</v>
      </c>
      <c r="K173" s="22">
        <v>2.9208399999999999E-2</v>
      </c>
      <c r="L173">
        <f t="shared" si="24"/>
        <v>22.332799999999999</v>
      </c>
      <c r="M173">
        <f t="shared" si="25"/>
        <v>0.65428180831999994</v>
      </c>
      <c r="N173" s="9"/>
      <c r="O173" s="22">
        <v>0.72082500000000005</v>
      </c>
      <c r="P173" s="22">
        <v>87.973399999999998</v>
      </c>
      <c r="Q173" s="22">
        <v>-1.5472400000000001E-2</v>
      </c>
      <c r="R173" s="22">
        <v>163</v>
      </c>
      <c r="S173" s="22">
        <v>0.72015399999999996</v>
      </c>
      <c r="T173">
        <f t="shared" si="26"/>
        <v>15.4724</v>
      </c>
      <c r="U173">
        <f t="shared" si="27"/>
        <v>11.152892730000001</v>
      </c>
      <c r="X173" s="9"/>
      <c r="Y173" s="22">
        <v>2.9296900000000001E-2</v>
      </c>
      <c r="Z173" s="22">
        <v>141.54300000000001</v>
      </c>
      <c r="AA173" s="22">
        <v>-2.2241199999999999E-2</v>
      </c>
      <c r="AB173" s="22">
        <v>163</v>
      </c>
      <c r="AC173" s="22">
        <v>2.8939800000000002E-2</v>
      </c>
      <c r="AD173">
        <f t="shared" si="28"/>
        <v>22.241199999999999</v>
      </c>
      <c r="AE173">
        <f t="shared" si="29"/>
        <v>0.65159821228000003</v>
      </c>
      <c r="AF173" s="9"/>
      <c r="AG173" s="22">
        <v>0.72082500000000005</v>
      </c>
      <c r="AH173" s="22">
        <v>178.31899999999999</v>
      </c>
      <c r="AI173" s="22">
        <v>-1.7910800000000001E-2</v>
      </c>
      <c r="AJ173" s="22">
        <v>163</v>
      </c>
      <c r="AK173" s="22">
        <v>0.720306</v>
      </c>
      <c r="AL173">
        <f t="shared" si="30"/>
        <v>17.910800000000002</v>
      </c>
      <c r="AM173">
        <f t="shared" si="31"/>
        <v>12.910552410000003</v>
      </c>
      <c r="AP173" s="9"/>
      <c r="AQ173" s="22">
        <v>2.9296900000000001E-2</v>
      </c>
      <c r="AR173" s="22">
        <v>211.34100000000001</v>
      </c>
      <c r="AS173" s="22">
        <v>-2.23083E-2</v>
      </c>
      <c r="AT173" s="22">
        <v>163</v>
      </c>
      <c r="AU173" s="22">
        <v>2.9101599999999998E-2</v>
      </c>
      <c r="AV173">
        <f t="shared" si="32"/>
        <v>22.308299999999999</v>
      </c>
      <c r="AW173">
        <f t="shared" si="33"/>
        <v>0.65356403426999998</v>
      </c>
      <c r="AX173" s="9"/>
      <c r="AY173" s="22">
        <v>0.72082500000000005</v>
      </c>
      <c r="AZ173" s="22">
        <v>281.13799999999998</v>
      </c>
      <c r="BA173" s="22">
        <v>-1.7572000000000001E-2</v>
      </c>
      <c r="BB173" s="22">
        <v>163</v>
      </c>
      <c r="BC173" s="22">
        <v>0.72015399999999996</v>
      </c>
      <c r="BD173">
        <f t="shared" si="34"/>
        <v>17.571999999999999</v>
      </c>
      <c r="BE173">
        <f t="shared" si="35"/>
        <v>12.666336900000001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2.4261499999999998E-2</v>
      </c>
      <c r="H174" s="22">
        <v>39.930399999999999</v>
      </c>
      <c r="I174" s="22">
        <v>-2.2314500000000001E-2</v>
      </c>
      <c r="J174" s="22">
        <v>164</v>
      </c>
      <c r="K174" s="22">
        <v>2.4203499999999999E-2</v>
      </c>
      <c r="L174">
        <f t="shared" si="24"/>
        <v>22.314500000000002</v>
      </c>
      <c r="M174">
        <f t="shared" si="25"/>
        <v>0.54138324175000008</v>
      </c>
      <c r="N174" s="9"/>
      <c r="O174" s="22">
        <v>0.72586099999999998</v>
      </c>
      <c r="P174" s="22">
        <v>88.074100000000001</v>
      </c>
      <c r="Q174" s="22">
        <v>-1.5042099999999999E-2</v>
      </c>
      <c r="R174" s="22">
        <v>164</v>
      </c>
      <c r="S174" s="22">
        <v>0.72497599999999995</v>
      </c>
      <c r="T174">
        <f t="shared" si="26"/>
        <v>15.0421</v>
      </c>
      <c r="U174">
        <f t="shared" si="27"/>
        <v>10.918473748099998</v>
      </c>
      <c r="X174" s="9"/>
      <c r="Y174" s="22">
        <v>2.4261499999999998E-2</v>
      </c>
      <c r="Z174" s="22">
        <v>141.64400000000001</v>
      </c>
      <c r="AA174" s="22">
        <v>-2.22656E-2</v>
      </c>
      <c r="AB174" s="22">
        <v>164</v>
      </c>
      <c r="AC174" s="22">
        <v>2.4887099999999999E-2</v>
      </c>
      <c r="AD174">
        <f t="shared" si="28"/>
        <v>22.265599999999999</v>
      </c>
      <c r="AE174">
        <f t="shared" si="29"/>
        <v>0.54019685439999998</v>
      </c>
      <c r="AF174" s="9"/>
      <c r="AG174" s="22">
        <v>0.72586099999999998</v>
      </c>
      <c r="AH174" s="22">
        <v>178.41900000000001</v>
      </c>
      <c r="AI174" s="22">
        <v>-1.76422E-2</v>
      </c>
      <c r="AJ174" s="22">
        <v>164</v>
      </c>
      <c r="AK174" s="22">
        <v>0.725159</v>
      </c>
      <c r="AL174">
        <f t="shared" si="30"/>
        <v>17.642199999999999</v>
      </c>
      <c r="AM174">
        <f t="shared" si="31"/>
        <v>12.805784934199998</v>
      </c>
      <c r="AP174" s="9"/>
      <c r="AQ174" s="22">
        <v>2.4261499999999998E-2</v>
      </c>
      <c r="AR174" s="22">
        <v>211.44200000000001</v>
      </c>
      <c r="AS174" s="22">
        <v>-2.2329700000000001E-2</v>
      </c>
      <c r="AT174" s="22">
        <v>164</v>
      </c>
      <c r="AU174" s="22">
        <v>2.4026499999999999E-2</v>
      </c>
      <c r="AV174">
        <f t="shared" si="32"/>
        <v>22.329700000000003</v>
      </c>
      <c r="AW174">
        <f t="shared" si="33"/>
        <v>0.54175201655000005</v>
      </c>
      <c r="AX174" s="9"/>
      <c r="AY174" s="22">
        <v>0.72586099999999998</v>
      </c>
      <c r="AZ174" s="22">
        <v>281.23899999999998</v>
      </c>
      <c r="BA174" s="22">
        <v>-1.7333999999999999E-2</v>
      </c>
      <c r="BB174" s="22">
        <v>164</v>
      </c>
      <c r="BC174" s="22">
        <v>0.72491499999999998</v>
      </c>
      <c r="BD174">
        <f t="shared" si="34"/>
        <v>17.334</v>
      </c>
      <c r="BE174">
        <f t="shared" si="35"/>
        <v>12.582074574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1.9226099999999999E-2</v>
      </c>
      <c r="H175" s="22">
        <v>40.031100000000002</v>
      </c>
      <c r="I175" s="22">
        <v>-2.2354099999999998E-2</v>
      </c>
      <c r="J175" s="22">
        <v>165</v>
      </c>
      <c r="K175" s="22">
        <v>1.9180300000000001E-2</v>
      </c>
      <c r="L175">
        <f t="shared" si="24"/>
        <v>22.354099999999999</v>
      </c>
      <c r="M175">
        <f t="shared" si="25"/>
        <v>0.42978216200999997</v>
      </c>
      <c r="N175" s="9"/>
      <c r="O175" s="22">
        <v>0.73089599999999999</v>
      </c>
      <c r="P175" s="22">
        <v>88.174800000000005</v>
      </c>
      <c r="Q175" s="22">
        <v>-1.46698E-2</v>
      </c>
      <c r="R175" s="22">
        <v>165</v>
      </c>
      <c r="S175" s="22">
        <v>0.73037700000000005</v>
      </c>
      <c r="T175">
        <f t="shared" si="26"/>
        <v>14.6698</v>
      </c>
      <c r="U175">
        <f t="shared" si="27"/>
        <v>10.7220981408</v>
      </c>
      <c r="X175" s="9"/>
      <c r="Y175" s="22">
        <v>1.9226099999999999E-2</v>
      </c>
      <c r="Z175" s="22">
        <v>141.745</v>
      </c>
      <c r="AA175" s="22">
        <v>-2.2256499999999999E-2</v>
      </c>
      <c r="AB175" s="22">
        <v>165</v>
      </c>
      <c r="AC175" s="22">
        <v>1.9458E-2</v>
      </c>
      <c r="AD175">
        <f t="shared" si="28"/>
        <v>22.256499999999999</v>
      </c>
      <c r="AE175">
        <f t="shared" si="29"/>
        <v>0.42790569464999995</v>
      </c>
      <c r="AF175" s="9"/>
      <c r="AG175" s="22">
        <v>0.73089599999999999</v>
      </c>
      <c r="AH175" s="22">
        <v>178.52</v>
      </c>
      <c r="AI175" s="22">
        <v>-1.74103E-2</v>
      </c>
      <c r="AJ175" s="22">
        <v>165</v>
      </c>
      <c r="AK175" s="22">
        <v>0.73016400000000004</v>
      </c>
      <c r="AL175">
        <f t="shared" si="30"/>
        <v>17.410299999999999</v>
      </c>
      <c r="AM175">
        <f t="shared" si="31"/>
        <v>12.725118628799999</v>
      </c>
      <c r="AP175" s="9"/>
      <c r="AQ175" s="22">
        <v>1.9226099999999999E-2</v>
      </c>
      <c r="AR175" s="22">
        <v>211.54300000000001</v>
      </c>
      <c r="AS175" s="22">
        <v>-2.2326700000000001E-2</v>
      </c>
      <c r="AT175" s="22">
        <v>165</v>
      </c>
      <c r="AU175" s="22">
        <v>1.8945300000000002E-2</v>
      </c>
      <c r="AV175">
        <f t="shared" si="32"/>
        <v>22.326700000000002</v>
      </c>
      <c r="AW175">
        <f t="shared" si="33"/>
        <v>0.42925536687000004</v>
      </c>
      <c r="AX175" s="9"/>
      <c r="AY175" s="22">
        <v>0.73089599999999999</v>
      </c>
      <c r="AZ175" s="22">
        <v>281.33999999999997</v>
      </c>
      <c r="BA175" s="22">
        <v>-1.70715E-2</v>
      </c>
      <c r="BB175" s="22">
        <v>165</v>
      </c>
      <c r="BC175" s="22">
        <v>0.73019400000000001</v>
      </c>
      <c r="BD175">
        <f t="shared" si="34"/>
        <v>17.0715</v>
      </c>
      <c r="BE175">
        <f t="shared" si="35"/>
        <v>12.477491064000001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1.4190700000000001E-2</v>
      </c>
      <c r="H176" s="22">
        <v>40.131799999999998</v>
      </c>
      <c r="I176" s="22">
        <v>-2.2369400000000001E-2</v>
      </c>
      <c r="J176" s="22">
        <v>166</v>
      </c>
      <c r="K176" s="22">
        <v>1.47247E-2</v>
      </c>
      <c r="L176">
        <f t="shared" si="24"/>
        <v>22.369400000000002</v>
      </c>
      <c r="M176">
        <f t="shared" si="25"/>
        <v>0.31743744458000006</v>
      </c>
      <c r="N176" s="9"/>
      <c r="O176" s="22">
        <v>0.735931</v>
      </c>
      <c r="P176" s="22">
        <v>88.275499999999994</v>
      </c>
      <c r="Q176" s="22">
        <v>-1.4202899999999999E-2</v>
      </c>
      <c r="R176" s="22">
        <v>166</v>
      </c>
      <c r="S176" s="22">
        <v>0.73553500000000005</v>
      </c>
      <c r="T176">
        <f t="shared" si="26"/>
        <v>14.2029</v>
      </c>
      <c r="U176">
        <f t="shared" si="27"/>
        <v>10.452354399899999</v>
      </c>
      <c r="X176" s="9"/>
      <c r="Y176" s="22">
        <v>1.4190700000000001E-2</v>
      </c>
      <c r="Z176" s="22">
        <v>141.845</v>
      </c>
      <c r="AA176" s="22">
        <v>-2.2259500000000002E-2</v>
      </c>
      <c r="AB176" s="22">
        <v>166</v>
      </c>
      <c r="AC176" s="22">
        <v>1.40289E-2</v>
      </c>
      <c r="AD176">
        <f t="shared" si="28"/>
        <v>22.259500000000003</v>
      </c>
      <c r="AE176">
        <f t="shared" si="29"/>
        <v>0.31587788665000005</v>
      </c>
      <c r="AF176" s="9"/>
      <c r="AG176" s="22">
        <v>0.735931</v>
      </c>
      <c r="AH176" s="22">
        <v>178.62100000000001</v>
      </c>
      <c r="AI176" s="22">
        <v>-1.7172199999999999E-2</v>
      </c>
      <c r="AJ176" s="22">
        <v>166</v>
      </c>
      <c r="AK176" s="22">
        <v>0.735321</v>
      </c>
      <c r="AL176">
        <f t="shared" si="30"/>
        <v>17.1722</v>
      </c>
      <c r="AM176">
        <f t="shared" si="31"/>
        <v>12.637554318199999</v>
      </c>
      <c r="AP176" s="9"/>
      <c r="AQ176" s="22">
        <v>1.4190700000000001E-2</v>
      </c>
      <c r="AR176" s="22">
        <v>211.643</v>
      </c>
      <c r="AS176" s="22">
        <v>-2.2341900000000001E-2</v>
      </c>
      <c r="AT176" s="22">
        <v>166</v>
      </c>
      <c r="AU176" s="22">
        <v>1.4086899999999999E-2</v>
      </c>
      <c r="AV176">
        <f t="shared" si="32"/>
        <v>22.341900000000003</v>
      </c>
      <c r="AW176">
        <f t="shared" si="33"/>
        <v>0.31704720033000006</v>
      </c>
      <c r="AX176" s="9"/>
      <c r="AY176" s="22">
        <v>0.735931</v>
      </c>
      <c r="AZ176" s="22">
        <v>281.44</v>
      </c>
      <c r="BA176" s="22">
        <v>-1.6741900000000001E-2</v>
      </c>
      <c r="BB176" s="22">
        <v>166</v>
      </c>
      <c r="BC176" s="22">
        <v>0.73519900000000005</v>
      </c>
      <c r="BD176">
        <f t="shared" si="34"/>
        <v>16.741900000000001</v>
      </c>
      <c r="BE176">
        <f t="shared" si="35"/>
        <v>12.320883208900002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9.1552700000000001E-3</v>
      </c>
      <c r="H177" s="22">
        <v>40.232500000000002</v>
      </c>
      <c r="I177" s="22">
        <v>-2.2384600000000001E-2</v>
      </c>
      <c r="J177" s="22">
        <v>167</v>
      </c>
      <c r="K177" s="22">
        <v>9.2834500000000004E-3</v>
      </c>
      <c r="L177">
        <f t="shared" si="24"/>
        <v>22.384600000000002</v>
      </c>
      <c r="M177">
        <f t="shared" si="25"/>
        <v>0.20493705684200003</v>
      </c>
      <c r="N177" s="9"/>
      <c r="O177" s="22">
        <v>0.74096700000000004</v>
      </c>
      <c r="P177" s="22">
        <v>88.376300000000001</v>
      </c>
      <c r="Q177" s="22">
        <v>-1.3610799999999999E-2</v>
      </c>
      <c r="R177" s="22">
        <v>167</v>
      </c>
      <c r="S177" s="22">
        <v>0.74038700000000002</v>
      </c>
      <c r="T177">
        <f t="shared" si="26"/>
        <v>13.610799999999999</v>
      </c>
      <c r="U177">
        <f t="shared" si="27"/>
        <v>10.0851536436</v>
      </c>
      <c r="X177" s="9"/>
      <c r="Y177" s="22">
        <v>9.1552700000000001E-3</v>
      </c>
      <c r="Z177" s="22">
        <v>141.946</v>
      </c>
      <c r="AA177" s="22">
        <v>-2.22656E-2</v>
      </c>
      <c r="AB177" s="22">
        <v>167</v>
      </c>
      <c r="AC177" s="22">
        <v>9.8297100000000002E-3</v>
      </c>
      <c r="AD177">
        <f t="shared" si="28"/>
        <v>22.265599999999999</v>
      </c>
      <c r="AE177">
        <f t="shared" si="29"/>
        <v>0.20384757971199999</v>
      </c>
      <c r="AF177" s="9"/>
      <c r="AG177" s="22">
        <v>0.74096700000000004</v>
      </c>
      <c r="AH177" s="22">
        <v>178.72200000000001</v>
      </c>
      <c r="AI177" s="22">
        <v>-1.6909799999999999E-2</v>
      </c>
      <c r="AJ177" s="22">
        <v>167</v>
      </c>
      <c r="AK177" s="22">
        <v>0.74026499999999995</v>
      </c>
      <c r="AL177">
        <f t="shared" si="30"/>
        <v>16.909800000000001</v>
      </c>
      <c r="AM177">
        <f t="shared" si="31"/>
        <v>12.529603776600002</v>
      </c>
      <c r="AP177" s="9"/>
      <c r="AQ177" s="22">
        <v>9.1552700000000001E-3</v>
      </c>
      <c r="AR177" s="22">
        <v>211.744</v>
      </c>
      <c r="AS177" s="22">
        <v>-2.2366299999999999E-2</v>
      </c>
      <c r="AT177" s="22">
        <v>167</v>
      </c>
      <c r="AU177" s="22">
        <v>9.4329800000000005E-3</v>
      </c>
      <c r="AV177">
        <f t="shared" si="32"/>
        <v>22.366299999999999</v>
      </c>
      <c r="AW177">
        <f t="shared" si="33"/>
        <v>0.204769515401</v>
      </c>
      <c r="AX177" s="9"/>
      <c r="AY177" s="22">
        <v>0.74096700000000004</v>
      </c>
      <c r="AZ177" s="22">
        <v>281.541</v>
      </c>
      <c r="BA177" s="22">
        <v>-1.6467300000000001E-2</v>
      </c>
      <c r="BB177" s="22">
        <v>167</v>
      </c>
      <c r="BC177" s="22">
        <v>0.74017299999999997</v>
      </c>
      <c r="BD177">
        <f t="shared" si="34"/>
        <v>16.467300000000002</v>
      </c>
      <c r="BE177">
        <f t="shared" si="35"/>
        <v>12.201725879100001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4.1198700000000003E-3</v>
      </c>
      <c r="H178" s="22">
        <v>40.333199999999998</v>
      </c>
      <c r="I178" s="22">
        <v>-2.23999E-2</v>
      </c>
      <c r="J178" s="22">
        <v>168</v>
      </c>
      <c r="K178" s="22">
        <v>4.1290299999999997E-3</v>
      </c>
      <c r="L178">
        <f t="shared" si="24"/>
        <v>22.399899999999999</v>
      </c>
      <c r="M178">
        <f t="shared" si="25"/>
        <v>9.2284676013E-2</v>
      </c>
      <c r="N178" s="9"/>
      <c r="O178" s="22">
        <v>0.74600200000000005</v>
      </c>
      <c r="P178" s="22">
        <v>88.477000000000004</v>
      </c>
      <c r="Q178" s="22">
        <v>-1.3003499999999999E-2</v>
      </c>
      <c r="R178" s="22">
        <v>168</v>
      </c>
      <c r="S178" s="22">
        <v>0.74523899999999998</v>
      </c>
      <c r="T178">
        <f t="shared" si="26"/>
        <v>13.003499999999999</v>
      </c>
      <c r="U178">
        <f t="shared" si="27"/>
        <v>9.7006370069999992</v>
      </c>
      <c r="X178" s="9"/>
      <c r="Y178" s="22">
        <v>4.1198700000000003E-3</v>
      </c>
      <c r="Z178" s="22">
        <v>142.047</v>
      </c>
      <c r="AA178" s="22">
        <v>-2.22656E-2</v>
      </c>
      <c r="AB178" s="22">
        <v>168</v>
      </c>
      <c r="AC178" s="22">
        <v>3.84827E-3</v>
      </c>
      <c r="AD178">
        <f t="shared" si="28"/>
        <v>22.265599999999999</v>
      </c>
      <c r="AE178">
        <f t="shared" si="29"/>
        <v>9.1731377471999997E-2</v>
      </c>
      <c r="AF178" s="9"/>
      <c r="AG178" s="22">
        <v>0.74600200000000005</v>
      </c>
      <c r="AH178" s="22">
        <v>178.822</v>
      </c>
      <c r="AI178" s="22">
        <v>-1.6549700000000001E-2</v>
      </c>
      <c r="AJ178" s="22">
        <v>168</v>
      </c>
      <c r="AK178" s="22">
        <v>0.74560499999999996</v>
      </c>
      <c r="AL178">
        <f t="shared" si="30"/>
        <v>16.549700000000001</v>
      </c>
      <c r="AM178">
        <f t="shared" si="31"/>
        <v>12.346109299400002</v>
      </c>
      <c r="AP178" s="9"/>
      <c r="AQ178" s="22">
        <v>4.1198700000000003E-3</v>
      </c>
      <c r="AR178" s="22">
        <v>211.845</v>
      </c>
      <c r="AS178" s="22">
        <v>-2.2341900000000001E-2</v>
      </c>
      <c r="AT178" s="22">
        <v>168</v>
      </c>
      <c r="AU178" s="22">
        <v>3.9672900000000001E-3</v>
      </c>
      <c r="AV178">
        <f t="shared" si="32"/>
        <v>22.341900000000003</v>
      </c>
      <c r="AW178">
        <f t="shared" si="33"/>
        <v>9.2045723553000017E-2</v>
      </c>
      <c r="AX178" s="9"/>
      <c r="AY178" s="22">
        <v>0.74600200000000005</v>
      </c>
      <c r="AZ178" s="22">
        <v>281.642</v>
      </c>
      <c r="BA178" s="22">
        <v>-1.6146899999999999E-2</v>
      </c>
      <c r="BB178" s="22">
        <v>168</v>
      </c>
      <c r="BC178" s="22">
        <v>0.74542200000000003</v>
      </c>
      <c r="BD178">
        <f t="shared" si="34"/>
        <v>16.146899999999999</v>
      </c>
      <c r="BE178">
        <f t="shared" si="35"/>
        <v>12.045619693799999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-9.1552699999999996E-4</v>
      </c>
      <c r="H179" s="22">
        <v>40.433900000000001</v>
      </c>
      <c r="I179" s="22">
        <v>-2.24304E-2</v>
      </c>
      <c r="J179" s="22">
        <v>169</v>
      </c>
      <c r="K179" s="22">
        <v>-1.31226E-3</v>
      </c>
      <c r="L179">
        <f t="shared" si="24"/>
        <v>22.430399999999999</v>
      </c>
      <c r="M179">
        <f t="shared" si="25"/>
        <v>-2.0535636820799997E-2</v>
      </c>
      <c r="N179" s="9"/>
      <c r="O179" s="22">
        <v>0.75103799999999998</v>
      </c>
      <c r="P179" s="22">
        <v>88.577699999999993</v>
      </c>
      <c r="Q179" s="22">
        <v>-1.2274200000000001E-2</v>
      </c>
      <c r="R179" s="22">
        <v>169</v>
      </c>
      <c r="S179" s="22">
        <v>0.750336</v>
      </c>
      <c r="T179">
        <f t="shared" si="26"/>
        <v>12.2742</v>
      </c>
      <c r="U179">
        <f t="shared" si="27"/>
        <v>9.2183906196000009</v>
      </c>
      <c r="X179" s="9"/>
      <c r="Y179" s="22">
        <v>-9.1552699999999996E-4</v>
      </c>
      <c r="Z179" s="22">
        <v>142.14699999999999</v>
      </c>
      <c r="AA179" s="22">
        <v>-2.2290000000000001E-2</v>
      </c>
      <c r="AB179" s="22">
        <v>169</v>
      </c>
      <c r="AC179" s="22">
        <v>-1.75476E-3</v>
      </c>
      <c r="AD179">
        <f t="shared" si="28"/>
        <v>22.29</v>
      </c>
      <c r="AE179">
        <f t="shared" si="29"/>
        <v>-2.0407096829999999E-2</v>
      </c>
      <c r="AF179" s="9"/>
      <c r="AG179" s="22">
        <v>0.75103799999999998</v>
      </c>
      <c r="AH179" s="22">
        <v>178.923</v>
      </c>
      <c r="AI179" s="22">
        <v>-1.6259800000000001E-2</v>
      </c>
      <c r="AJ179" s="22">
        <v>169</v>
      </c>
      <c r="AK179" s="22">
        <v>0.75024400000000002</v>
      </c>
      <c r="AL179">
        <f t="shared" si="30"/>
        <v>16.259800000000002</v>
      </c>
      <c r="AM179">
        <f t="shared" si="31"/>
        <v>12.211727672400002</v>
      </c>
      <c r="AP179" s="9"/>
      <c r="AQ179" s="22">
        <v>-9.1552699999999996E-4</v>
      </c>
      <c r="AR179" s="22">
        <v>211.94499999999999</v>
      </c>
      <c r="AS179" s="22">
        <v>-2.2348E-2</v>
      </c>
      <c r="AT179" s="22">
        <v>169</v>
      </c>
      <c r="AU179" s="22">
        <v>-1.3732900000000001E-3</v>
      </c>
      <c r="AV179">
        <f t="shared" si="32"/>
        <v>22.347999999999999</v>
      </c>
      <c r="AW179">
        <f t="shared" si="33"/>
        <v>-2.0460197396E-2</v>
      </c>
      <c r="AX179" s="9"/>
      <c r="AY179" s="22">
        <v>0.75103799999999998</v>
      </c>
      <c r="AZ179" s="22">
        <v>281.74299999999999</v>
      </c>
      <c r="BA179" s="22">
        <v>-1.58142E-2</v>
      </c>
      <c r="BB179" s="22">
        <v>169</v>
      </c>
      <c r="BC179" s="22">
        <v>0.75039699999999998</v>
      </c>
      <c r="BD179">
        <f t="shared" si="34"/>
        <v>15.8142</v>
      </c>
      <c r="BE179">
        <f t="shared" si="35"/>
        <v>11.877065139599999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-5.9509300000000001E-3</v>
      </c>
      <c r="H180" s="22">
        <v>40.534700000000001</v>
      </c>
      <c r="I180" s="22">
        <v>-2.24426E-2</v>
      </c>
      <c r="J180" s="22">
        <v>170</v>
      </c>
      <c r="K180" s="22">
        <v>-6.67419E-3</v>
      </c>
      <c r="L180">
        <f t="shared" si="24"/>
        <v>22.442599999999999</v>
      </c>
      <c r="M180">
        <f t="shared" si="25"/>
        <v>-0.13355434161800001</v>
      </c>
      <c r="N180" s="9"/>
      <c r="O180" s="22">
        <v>0.756073</v>
      </c>
      <c r="P180" s="22">
        <v>88.678399999999996</v>
      </c>
      <c r="Q180" s="22">
        <v>-1.13831E-2</v>
      </c>
      <c r="R180" s="22">
        <v>170</v>
      </c>
      <c r="S180" s="22">
        <v>0.75470000000000004</v>
      </c>
      <c r="T180">
        <f t="shared" si="26"/>
        <v>11.383100000000001</v>
      </c>
      <c r="U180">
        <f t="shared" si="27"/>
        <v>8.6064545663000001</v>
      </c>
      <c r="X180" s="9"/>
      <c r="Y180" s="22">
        <v>-5.9509300000000001E-3</v>
      </c>
      <c r="Z180" s="22">
        <v>142.24799999999999</v>
      </c>
      <c r="AA180" s="22">
        <v>-2.2296099999999999E-2</v>
      </c>
      <c r="AB180" s="22">
        <v>170</v>
      </c>
      <c r="AC180" s="22">
        <v>-5.9905999999999996E-3</v>
      </c>
      <c r="AD180">
        <f t="shared" si="28"/>
        <v>22.296099999999999</v>
      </c>
      <c r="AE180">
        <f t="shared" si="29"/>
        <v>-0.13268253037299998</v>
      </c>
      <c r="AF180" s="9"/>
      <c r="AG180" s="22">
        <v>0.756073</v>
      </c>
      <c r="AH180" s="22">
        <v>179.024</v>
      </c>
      <c r="AI180" s="22">
        <v>-1.58722E-2</v>
      </c>
      <c r="AJ180" s="22">
        <v>170</v>
      </c>
      <c r="AK180" s="22">
        <v>0.75500500000000004</v>
      </c>
      <c r="AL180">
        <f t="shared" si="30"/>
        <v>15.872199999999999</v>
      </c>
      <c r="AM180">
        <f t="shared" si="31"/>
        <v>12.000541870599999</v>
      </c>
      <c r="AP180" s="9"/>
      <c r="AQ180" s="22">
        <v>-5.9509300000000001E-3</v>
      </c>
      <c r="AR180" s="22">
        <v>212.04599999999999</v>
      </c>
      <c r="AS180" s="22">
        <v>-2.23602E-2</v>
      </c>
      <c r="AT180" s="22">
        <v>170</v>
      </c>
      <c r="AU180" s="22">
        <v>-6.3476599999999998E-3</v>
      </c>
      <c r="AV180">
        <f t="shared" si="32"/>
        <v>22.360199999999999</v>
      </c>
      <c r="AW180">
        <f t="shared" si="33"/>
        <v>-0.133063984986</v>
      </c>
      <c r="AX180" s="9"/>
      <c r="AY180" s="22">
        <v>0.756073</v>
      </c>
      <c r="AZ180" s="22">
        <v>281.84300000000002</v>
      </c>
      <c r="BA180" s="22">
        <v>-1.54083E-2</v>
      </c>
      <c r="BB180" s="22">
        <v>170</v>
      </c>
      <c r="BC180" s="22">
        <v>0.75470000000000004</v>
      </c>
      <c r="BD180">
        <f t="shared" si="34"/>
        <v>15.408300000000001</v>
      </c>
      <c r="BE180">
        <f t="shared" si="35"/>
        <v>11.6497996059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-1.0986299999999999E-2</v>
      </c>
      <c r="H181" s="22">
        <v>40.635399999999997</v>
      </c>
      <c r="I181" s="22">
        <v>-2.2439600000000001E-2</v>
      </c>
      <c r="J181" s="22">
        <v>171</v>
      </c>
      <c r="K181" s="22">
        <v>-1.06201E-2</v>
      </c>
      <c r="L181">
        <f t="shared" si="24"/>
        <v>22.439600000000002</v>
      </c>
      <c r="M181">
        <f t="shared" si="25"/>
        <v>-0.24652817748</v>
      </c>
      <c r="N181" s="9"/>
      <c r="O181" s="22">
        <v>0.76110800000000001</v>
      </c>
      <c r="P181" s="22">
        <v>88.7791</v>
      </c>
      <c r="Q181" s="22">
        <v>-1.0495000000000001E-2</v>
      </c>
      <c r="R181" s="22">
        <v>171</v>
      </c>
      <c r="S181" s="22">
        <v>0.76049800000000001</v>
      </c>
      <c r="T181">
        <f t="shared" si="26"/>
        <v>10.495000000000001</v>
      </c>
      <c r="U181">
        <f t="shared" si="27"/>
        <v>7.9878284600000011</v>
      </c>
      <c r="X181" s="9"/>
      <c r="Y181" s="22">
        <v>-1.0986299999999999E-2</v>
      </c>
      <c r="Z181" s="22">
        <v>142.34899999999999</v>
      </c>
      <c r="AA181" s="22">
        <v>-2.2299200000000002E-2</v>
      </c>
      <c r="AB181" s="22">
        <v>171</v>
      </c>
      <c r="AC181" s="22">
        <v>-1.1062600000000001E-2</v>
      </c>
      <c r="AD181">
        <f t="shared" si="28"/>
        <v>22.299200000000003</v>
      </c>
      <c r="AE181">
        <f t="shared" si="29"/>
        <v>-0.24498570096</v>
      </c>
      <c r="AF181" s="9"/>
      <c r="AG181" s="22">
        <v>0.76110800000000001</v>
      </c>
      <c r="AH181" s="22">
        <v>179.124</v>
      </c>
      <c r="AI181" s="22">
        <v>-1.55487E-2</v>
      </c>
      <c r="AJ181" s="22">
        <v>171</v>
      </c>
      <c r="AK181" s="22">
        <v>0.76019300000000001</v>
      </c>
      <c r="AL181">
        <f t="shared" si="30"/>
        <v>15.5487</v>
      </c>
      <c r="AM181">
        <f t="shared" si="31"/>
        <v>11.8342399596</v>
      </c>
      <c r="AP181" s="9"/>
      <c r="AQ181" s="22">
        <v>-1.0986299999999999E-2</v>
      </c>
      <c r="AR181" s="22">
        <v>212.14699999999999</v>
      </c>
      <c r="AS181" s="22">
        <v>-2.2369400000000001E-2</v>
      </c>
      <c r="AT181" s="22">
        <v>171</v>
      </c>
      <c r="AU181" s="22">
        <v>-1.0977199999999999E-2</v>
      </c>
      <c r="AV181">
        <f t="shared" si="32"/>
        <v>22.369400000000002</v>
      </c>
      <c r="AW181">
        <f t="shared" si="33"/>
        <v>-0.24575693922</v>
      </c>
      <c r="AX181" s="9"/>
      <c r="AY181" s="22">
        <v>0.76110800000000001</v>
      </c>
      <c r="AZ181" s="22">
        <v>281.94400000000002</v>
      </c>
      <c r="BA181" s="22">
        <v>-1.49017E-2</v>
      </c>
      <c r="BB181" s="22">
        <v>171</v>
      </c>
      <c r="BC181" s="22">
        <v>0.76019300000000001</v>
      </c>
      <c r="BD181">
        <f t="shared" si="34"/>
        <v>14.9017</v>
      </c>
      <c r="BE181">
        <f t="shared" si="35"/>
        <v>11.3418030836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-1.60217E-2</v>
      </c>
      <c r="H182" s="22">
        <v>40.7361</v>
      </c>
      <c r="I182" s="22">
        <v>-2.2445699999999999E-2</v>
      </c>
      <c r="J182" s="22">
        <v>172</v>
      </c>
      <c r="K182" s="22">
        <v>-1.6235400000000001E-2</v>
      </c>
      <c r="L182">
        <f t="shared" si="24"/>
        <v>22.445699999999999</v>
      </c>
      <c r="M182">
        <f t="shared" si="25"/>
        <v>-0.35961827168999999</v>
      </c>
      <c r="N182" s="9"/>
      <c r="O182" s="22">
        <v>0.76614400000000005</v>
      </c>
      <c r="P182" s="22">
        <v>88.879800000000003</v>
      </c>
      <c r="Q182" s="22">
        <v>-9.5977800000000002E-3</v>
      </c>
      <c r="R182" s="22">
        <v>172</v>
      </c>
      <c r="S182" s="22">
        <v>0.76507599999999998</v>
      </c>
      <c r="T182">
        <f t="shared" si="26"/>
        <v>9.5977800000000002</v>
      </c>
      <c r="U182">
        <f t="shared" si="27"/>
        <v>7.353281560320001</v>
      </c>
      <c r="X182" s="9"/>
      <c r="Y182" s="22">
        <v>-1.60217E-2</v>
      </c>
      <c r="Z182" s="22">
        <v>142.44999999999999</v>
      </c>
      <c r="AA182" s="22">
        <v>-2.23083E-2</v>
      </c>
      <c r="AB182" s="22">
        <v>172</v>
      </c>
      <c r="AC182" s="22">
        <v>-1.6259800000000001E-2</v>
      </c>
      <c r="AD182">
        <f t="shared" si="28"/>
        <v>22.308299999999999</v>
      </c>
      <c r="AE182">
        <f t="shared" si="29"/>
        <v>-0.35741689011</v>
      </c>
      <c r="AF182" s="9"/>
      <c r="AG182" s="22">
        <v>0.76614400000000005</v>
      </c>
      <c r="AH182" s="22">
        <v>179.22499999999999</v>
      </c>
      <c r="AI182" s="22">
        <v>-1.5096999999999999E-2</v>
      </c>
      <c r="AJ182" s="22">
        <v>172</v>
      </c>
      <c r="AK182" s="22">
        <v>0.76538099999999998</v>
      </c>
      <c r="AL182">
        <f t="shared" si="30"/>
        <v>15.097</v>
      </c>
      <c r="AM182">
        <f t="shared" si="31"/>
        <v>11.566475968000001</v>
      </c>
      <c r="AP182" s="9"/>
      <c r="AQ182" s="22">
        <v>-1.60217E-2</v>
      </c>
      <c r="AR182" s="22">
        <v>212.24799999999999</v>
      </c>
      <c r="AS182" s="22">
        <v>-2.2378499999999999E-2</v>
      </c>
      <c r="AT182" s="22">
        <v>172</v>
      </c>
      <c r="AU182" s="22">
        <v>-1.5908800000000001E-2</v>
      </c>
      <c r="AV182">
        <f t="shared" si="32"/>
        <v>22.378499999999999</v>
      </c>
      <c r="AW182">
        <f t="shared" si="33"/>
        <v>-0.35854161344999996</v>
      </c>
      <c r="AX182" s="9"/>
      <c r="AY182" s="22">
        <v>0.76614400000000005</v>
      </c>
      <c r="AZ182" s="22">
        <v>282.04500000000002</v>
      </c>
      <c r="BA182" s="22">
        <v>-1.43433E-2</v>
      </c>
      <c r="BB182" s="22">
        <v>172</v>
      </c>
      <c r="BC182" s="22">
        <v>0.76568599999999998</v>
      </c>
      <c r="BD182">
        <f t="shared" si="34"/>
        <v>14.343299999999999</v>
      </c>
      <c r="BE182">
        <f t="shared" si="35"/>
        <v>10.989033235200001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-2.1057099999999999E-2</v>
      </c>
      <c r="H183" s="22">
        <v>40.836799999999997</v>
      </c>
      <c r="I183" s="22">
        <v>-2.24548E-2</v>
      </c>
      <c r="J183" s="22">
        <v>173</v>
      </c>
      <c r="K183" s="22">
        <v>-2.1218899999999999E-2</v>
      </c>
      <c r="L183">
        <f t="shared" si="24"/>
        <v>22.454799999999999</v>
      </c>
      <c r="M183">
        <f t="shared" si="25"/>
        <v>-0.47283296907999994</v>
      </c>
      <c r="N183" s="9"/>
      <c r="O183" s="22">
        <v>0.77117899999999995</v>
      </c>
      <c r="P183" s="22">
        <v>88.980500000000006</v>
      </c>
      <c r="Q183" s="22">
        <v>-8.4167500000000006E-3</v>
      </c>
      <c r="R183" s="22">
        <v>173</v>
      </c>
      <c r="S183" s="22">
        <v>0.76995800000000003</v>
      </c>
      <c r="T183">
        <f t="shared" si="26"/>
        <v>8.4167500000000004</v>
      </c>
      <c r="U183">
        <f t="shared" si="27"/>
        <v>6.4908208482500003</v>
      </c>
      <c r="X183" s="9"/>
      <c r="Y183" s="22">
        <v>-2.1057099999999999E-2</v>
      </c>
      <c r="Z183" s="22">
        <v>142.55000000000001</v>
      </c>
      <c r="AA183" s="22">
        <v>-2.2326700000000001E-2</v>
      </c>
      <c r="AB183" s="22">
        <v>173</v>
      </c>
      <c r="AC183" s="22">
        <v>-2.10663E-2</v>
      </c>
      <c r="AD183">
        <f t="shared" si="28"/>
        <v>22.326700000000002</v>
      </c>
      <c r="AE183">
        <f t="shared" si="29"/>
        <v>-0.47013555457</v>
      </c>
      <c r="AF183" s="9"/>
      <c r="AG183" s="22">
        <v>0.77117899999999995</v>
      </c>
      <c r="AH183" s="22">
        <v>179.32599999999999</v>
      </c>
      <c r="AI183" s="22">
        <v>-1.46149E-2</v>
      </c>
      <c r="AJ183" s="22">
        <v>173</v>
      </c>
      <c r="AK183" s="22">
        <v>0.77026399999999995</v>
      </c>
      <c r="AL183">
        <f t="shared" si="30"/>
        <v>14.6149</v>
      </c>
      <c r="AM183">
        <f t="shared" si="31"/>
        <v>11.270703967099999</v>
      </c>
      <c r="AP183" s="9"/>
      <c r="AQ183" s="22">
        <v>-2.1057099999999999E-2</v>
      </c>
      <c r="AR183" s="22">
        <v>212.34800000000001</v>
      </c>
      <c r="AS183" s="22">
        <v>-2.23877E-2</v>
      </c>
      <c r="AT183" s="22">
        <v>173</v>
      </c>
      <c r="AU183" s="22">
        <v>-2.16919E-2</v>
      </c>
      <c r="AV183">
        <f t="shared" si="32"/>
        <v>22.387699999999999</v>
      </c>
      <c r="AW183">
        <f t="shared" si="33"/>
        <v>-0.47142003766999996</v>
      </c>
      <c r="AX183" s="9"/>
      <c r="AY183" s="22">
        <v>0.77117899999999995</v>
      </c>
      <c r="AZ183" s="22">
        <v>282.14499999999998</v>
      </c>
      <c r="BA183" s="22">
        <v>-1.3736E-2</v>
      </c>
      <c r="BB183" s="22">
        <v>173</v>
      </c>
      <c r="BC183" s="22">
        <v>0.77056899999999995</v>
      </c>
      <c r="BD183">
        <f t="shared" si="34"/>
        <v>13.736000000000001</v>
      </c>
      <c r="BE183">
        <f t="shared" si="35"/>
        <v>10.592914744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-2.6092500000000001E-2</v>
      </c>
      <c r="H184" s="22">
        <v>40.9375</v>
      </c>
      <c r="I184" s="22">
        <v>-2.2485399999999999E-2</v>
      </c>
      <c r="J184" s="22">
        <v>174</v>
      </c>
      <c r="K184" s="22">
        <v>-2.6113899999999999E-2</v>
      </c>
      <c r="L184">
        <f t="shared" si="24"/>
        <v>22.485399999999998</v>
      </c>
      <c r="M184">
        <f t="shared" si="25"/>
        <v>-0.58670029950000002</v>
      </c>
      <c r="N184" s="9"/>
      <c r="O184" s="22">
        <v>0.77621499999999999</v>
      </c>
      <c r="P184" s="22">
        <v>89.081199999999995</v>
      </c>
      <c r="Q184" s="22">
        <v>-6.7657500000000001E-3</v>
      </c>
      <c r="R184" s="22">
        <v>174</v>
      </c>
      <c r="S184" s="22">
        <v>0.774841</v>
      </c>
      <c r="T184">
        <f t="shared" si="26"/>
        <v>6.7657499999999997</v>
      </c>
      <c r="U184">
        <f t="shared" si="27"/>
        <v>5.25167663625</v>
      </c>
      <c r="X184" s="9"/>
      <c r="Y184" s="22">
        <v>-2.6092500000000001E-2</v>
      </c>
      <c r="Z184" s="22">
        <v>142.65100000000001</v>
      </c>
      <c r="AA184" s="22">
        <v>-2.2335799999999999E-2</v>
      </c>
      <c r="AB184" s="22">
        <v>174</v>
      </c>
      <c r="AC184" s="22">
        <v>-2.4560499999999999E-2</v>
      </c>
      <c r="AD184">
        <f t="shared" si="28"/>
        <v>22.335799999999999</v>
      </c>
      <c r="AE184">
        <f t="shared" si="29"/>
        <v>-0.58279686149999999</v>
      </c>
      <c r="AF184" s="9"/>
      <c r="AG184" s="22">
        <v>0.77621499999999999</v>
      </c>
      <c r="AH184" s="22">
        <v>179.42699999999999</v>
      </c>
      <c r="AI184" s="22">
        <v>-1.4190700000000001E-2</v>
      </c>
      <c r="AJ184" s="22">
        <v>174</v>
      </c>
      <c r="AK184" s="22">
        <v>0.77575700000000003</v>
      </c>
      <c r="AL184">
        <f t="shared" si="30"/>
        <v>14.1907</v>
      </c>
      <c r="AM184">
        <f t="shared" si="31"/>
        <v>11.015034200499999</v>
      </c>
      <c r="AP184" s="9"/>
      <c r="AQ184" s="22">
        <v>-2.6092500000000001E-2</v>
      </c>
      <c r="AR184" s="22">
        <v>212.44900000000001</v>
      </c>
      <c r="AS184" s="22">
        <v>-2.2393799999999998E-2</v>
      </c>
      <c r="AT184" s="22">
        <v>174</v>
      </c>
      <c r="AU184" s="22">
        <v>-2.62756E-2</v>
      </c>
      <c r="AV184">
        <f t="shared" si="32"/>
        <v>22.393799999999999</v>
      </c>
      <c r="AW184">
        <f t="shared" si="33"/>
        <v>-0.58431022649999997</v>
      </c>
      <c r="AX184" s="9"/>
      <c r="AY184" s="22">
        <v>0.77621499999999999</v>
      </c>
      <c r="AZ184" s="22">
        <v>282.24599999999998</v>
      </c>
      <c r="BA184" s="22">
        <v>-1.31348E-2</v>
      </c>
      <c r="BB184" s="22">
        <v>174</v>
      </c>
      <c r="BC184" s="22">
        <v>0.77575700000000003</v>
      </c>
      <c r="BD184">
        <f t="shared" si="34"/>
        <v>13.1348</v>
      </c>
      <c r="BE184">
        <f t="shared" si="35"/>
        <v>10.195428782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-3.11279E-2</v>
      </c>
      <c r="H185" s="22">
        <v>41.038200000000003</v>
      </c>
      <c r="I185" s="22">
        <v>-2.2479200000000001E-2</v>
      </c>
      <c r="J185" s="22">
        <v>175</v>
      </c>
      <c r="K185" s="22">
        <v>-3.1271399999999998E-2</v>
      </c>
      <c r="L185">
        <f t="shared" si="24"/>
        <v>22.479200000000002</v>
      </c>
      <c r="M185">
        <f t="shared" si="25"/>
        <v>-0.69973028968000006</v>
      </c>
      <c r="N185" s="9"/>
      <c r="O185" s="22">
        <v>0.78125</v>
      </c>
      <c r="P185" s="22">
        <v>89.181899999999999</v>
      </c>
      <c r="Q185" s="22">
        <v>-5.2429199999999999E-3</v>
      </c>
      <c r="R185" s="22">
        <v>175</v>
      </c>
      <c r="S185" s="22">
        <v>0.78033399999999997</v>
      </c>
      <c r="T185">
        <f t="shared" si="26"/>
        <v>5.2429199999999998</v>
      </c>
      <c r="U185">
        <f t="shared" si="27"/>
        <v>4.0960312500000002</v>
      </c>
      <c r="X185" s="9"/>
      <c r="Y185" s="22">
        <v>-3.11279E-2</v>
      </c>
      <c r="Z185" s="22">
        <v>142.75200000000001</v>
      </c>
      <c r="AA185" s="22">
        <v>-2.2354099999999998E-2</v>
      </c>
      <c r="AB185" s="22">
        <v>175</v>
      </c>
      <c r="AC185" s="22">
        <v>-3.1753499999999997E-2</v>
      </c>
      <c r="AD185">
        <f t="shared" si="28"/>
        <v>22.354099999999999</v>
      </c>
      <c r="AE185">
        <f t="shared" si="29"/>
        <v>-0.69583618938999992</v>
      </c>
      <c r="AF185" s="9"/>
      <c r="AG185" s="22">
        <v>0.78125</v>
      </c>
      <c r="AH185" s="22">
        <v>179.52699999999999</v>
      </c>
      <c r="AI185" s="22">
        <v>-1.36353E-2</v>
      </c>
      <c r="AJ185" s="22">
        <v>175</v>
      </c>
      <c r="AK185" s="22">
        <v>0.78064</v>
      </c>
      <c r="AL185">
        <f t="shared" si="30"/>
        <v>13.635299999999999</v>
      </c>
      <c r="AM185">
        <f t="shared" si="31"/>
        <v>10.652578125</v>
      </c>
      <c r="AP185" s="9"/>
      <c r="AQ185" s="22">
        <v>-3.11279E-2</v>
      </c>
      <c r="AR185" s="22">
        <v>212.55</v>
      </c>
      <c r="AS185" s="22">
        <v>-2.2402999999999999E-2</v>
      </c>
      <c r="AT185" s="22">
        <v>175</v>
      </c>
      <c r="AU185" s="22">
        <v>-3.1390399999999999E-2</v>
      </c>
      <c r="AV185">
        <f t="shared" si="32"/>
        <v>22.402999999999999</v>
      </c>
      <c r="AW185">
        <f t="shared" si="33"/>
        <v>-0.69735834369999994</v>
      </c>
      <c r="AX185" s="9"/>
      <c r="AY185" s="22">
        <v>0.78125</v>
      </c>
      <c r="AZ185" s="22">
        <v>282.34699999999998</v>
      </c>
      <c r="BA185" s="22">
        <v>-1.24878E-2</v>
      </c>
      <c r="BB185" s="22">
        <v>175</v>
      </c>
      <c r="BC185" s="22">
        <v>0.78002899999999997</v>
      </c>
      <c r="BD185">
        <f t="shared" si="34"/>
        <v>12.4878</v>
      </c>
      <c r="BE185">
        <f t="shared" si="35"/>
        <v>9.7560937499999998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-3.6163300000000002E-2</v>
      </c>
      <c r="H186" s="22">
        <v>41.1389</v>
      </c>
      <c r="I186" s="22">
        <v>-2.2506700000000001E-2</v>
      </c>
      <c r="J186" s="22">
        <v>176</v>
      </c>
      <c r="K186" s="22">
        <v>-3.54492E-2</v>
      </c>
      <c r="L186">
        <f t="shared" si="24"/>
        <v>22.506700000000002</v>
      </c>
      <c r="M186">
        <f t="shared" si="25"/>
        <v>-0.81391654411000014</v>
      </c>
      <c r="N186" s="9"/>
      <c r="O186" s="22">
        <v>0.78628500000000001</v>
      </c>
      <c r="P186" s="22">
        <v>89.282600000000002</v>
      </c>
      <c r="Q186" s="22">
        <v>-2.9650900000000001E-3</v>
      </c>
      <c r="R186" s="22">
        <v>176</v>
      </c>
      <c r="S186" s="22">
        <v>0.78552200000000005</v>
      </c>
      <c r="T186">
        <f t="shared" si="26"/>
        <v>2.96509</v>
      </c>
      <c r="U186">
        <f t="shared" si="27"/>
        <v>2.3314057906499999</v>
      </c>
      <c r="X186" s="9"/>
      <c r="Y186" s="22">
        <v>-3.6163300000000002E-2</v>
      </c>
      <c r="Z186" s="22">
        <v>142.852</v>
      </c>
      <c r="AA186" s="22">
        <v>-2.2348E-2</v>
      </c>
      <c r="AB186" s="22">
        <v>176</v>
      </c>
      <c r="AC186" s="22">
        <v>-3.6709600000000002E-2</v>
      </c>
      <c r="AD186">
        <f t="shared" si="28"/>
        <v>22.347999999999999</v>
      </c>
      <c r="AE186">
        <f t="shared" si="29"/>
        <v>-0.80817742840000006</v>
      </c>
      <c r="AF186" s="9"/>
      <c r="AG186" s="22">
        <v>0.78628500000000001</v>
      </c>
      <c r="AH186" s="22">
        <v>179.62799999999999</v>
      </c>
      <c r="AI186" s="22">
        <v>-1.3091999999999999E-2</v>
      </c>
      <c r="AJ186" s="22">
        <v>176</v>
      </c>
      <c r="AK186" s="22">
        <v>0.78521700000000005</v>
      </c>
      <c r="AL186">
        <f t="shared" si="30"/>
        <v>13.091999999999999</v>
      </c>
      <c r="AM186">
        <f t="shared" si="31"/>
        <v>10.294043219999999</v>
      </c>
      <c r="AP186" s="9"/>
      <c r="AQ186" s="22">
        <v>-3.6163300000000002E-2</v>
      </c>
      <c r="AR186" s="22">
        <v>212.65</v>
      </c>
      <c r="AS186" s="22">
        <v>-2.2412100000000001E-2</v>
      </c>
      <c r="AT186" s="22">
        <v>176</v>
      </c>
      <c r="AU186" s="22">
        <v>-3.6239599999999997E-2</v>
      </c>
      <c r="AV186">
        <f t="shared" si="32"/>
        <v>22.412100000000002</v>
      </c>
      <c r="AW186">
        <f t="shared" si="33"/>
        <v>-0.81049549593000014</v>
      </c>
      <c r="AX186" s="9"/>
      <c r="AY186" s="22">
        <v>0.78628500000000001</v>
      </c>
      <c r="AZ186" s="22">
        <v>282.44799999999998</v>
      </c>
      <c r="BA186" s="22">
        <v>-1.1795E-2</v>
      </c>
      <c r="BB186" s="22">
        <v>176</v>
      </c>
      <c r="BC186" s="22">
        <v>0.78521700000000005</v>
      </c>
      <c r="BD186">
        <f t="shared" si="34"/>
        <v>11.795</v>
      </c>
      <c r="BE186">
        <f t="shared" si="35"/>
        <v>9.2742315749999999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-4.1198699999999998E-2</v>
      </c>
      <c r="H187" s="22">
        <v>41.239600000000003</v>
      </c>
      <c r="I187" s="22">
        <v>-2.2479200000000001E-2</v>
      </c>
      <c r="J187" s="22">
        <v>177</v>
      </c>
      <c r="K187" s="22">
        <v>-4.1598499999999997E-2</v>
      </c>
      <c r="L187">
        <f t="shared" si="24"/>
        <v>22.479200000000002</v>
      </c>
      <c r="M187">
        <f t="shared" si="25"/>
        <v>-0.92611381704000006</v>
      </c>
      <c r="N187" s="9"/>
      <c r="O187" s="22">
        <v>0.79132100000000005</v>
      </c>
      <c r="P187" s="22">
        <v>89.383300000000006</v>
      </c>
      <c r="Q187" s="22">
        <v>-6.3018799999999995E-4</v>
      </c>
      <c r="R187" s="22">
        <v>177</v>
      </c>
      <c r="S187" s="22">
        <v>0.79010000000000002</v>
      </c>
      <c r="T187">
        <f t="shared" si="26"/>
        <v>0.63018799999999997</v>
      </c>
      <c r="U187">
        <f t="shared" si="27"/>
        <v>0.498680998348</v>
      </c>
      <c r="X187" s="9"/>
      <c r="Y187" s="22">
        <v>-4.1198699999999998E-2</v>
      </c>
      <c r="Z187" s="22">
        <v>142.953</v>
      </c>
      <c r="AA187" s="22">
        <v>-2.23602E-2</v>
      </c>
      <c r="AB187" s="22">
        <v>177</v>
      </c>
      <c r="AC187" s="22">
        <v>-4.1726699999999999E-2</v>
      </c>
      <c r="AD187">
        <f t="shared" si="28"/>
        <v>22.360199999999999</v>
      </c>
      <c r="AE187">
        <f t="shared" si="29"/>
        <v>-0.92121117173999989</v>
      </c>
      <c r="AF187" s="9"/>
      <c r="AG187" s="22">
        <v>0.79132100000000005</v>
      </c>
      <c r="AH187" s="22">
        <v>179.72900000000001</v>
      </c>
      <c r="AI187" s="22">
        <v>-1.2371800000000001E-2</v>
      </c>
      <c r="AJ187" s="22">
        <v>177</v>
      </c>
      <c r="AK187" s="22">
        <v>0.79040500000000002</v>
      </c>
      <c r="AL187">
        <f t="shared" si="30"/>
        <v>12.3718</v>
      </c>
      <c r="AM187">
        <f t="shared" si="31"/>
        <v>9.7900651478000018</v>
      </c>
      <c r="AP187" s="9"/>
      <c r="AQ187" s="22">
        <v>-4.1198699999999998E-2</v>
      </c>
      <c r="AR187" s="22">
        <v>212.751</v>
      </c>
      <c r="AS187" s="22">
        <v>-2.24274E-2</v>
      </c>
      <c r="AT187" s="22">
        <v>177</v>
      </c>
      <c r="AU187" s="22">
        <v>-4.12567E-2</v>
      </c>
      <c r="AV187">
        <f t="shared" si="32"/>
        <v>22.427399999999999</v>
      </c>
      <c r="AW187">
        <f t="shared" si="33"/>
        <v>-0.92397972437999987</v>
      </c>
      <c r="AX187" s="9"/>
      <c r="AY187" s="22">
        <v>0.79132100000000005</v>
      </c>
      <c r="AZ187" s="22">
        <v>282.548</v>
      </c>
      <c r="BA187" s="22">
        <v>-1.10229E-2</v>
      </c>
      <c r="BB187" s="22">
        <v>177</v>
      </c>
      <c r="BC187" s="22">
        <v>0.79071000000000002</v>
      </c>
      <c r="BD187">
        <f t="shared" si="34"/>
        <v>11.0229</v>
      </c>
      <c r="BE187">
        <f t="shared" si="35"/>
        <v>8.7226522509000013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-4.62341E-2</v>
      </c>
      <c r="H188" s="22">
        <v>41.340299999999999</v>
      </c>
      <c r="I188" s="22">
        <v>-2.2476200000000002E-2</v>
      </c>
      <c r="J188" s="22">
        <v>178</v>
      </c>
      <c r="K188" s="22">
        <v>-4.6630900000000003E-2</v>
      </c>
      <c r="L188">
        <f t="shared" si="24"/>
        <v>22.476200000000002</v>
      </c>
      <c r="M188">
        <f t="shared" si="25"/>
        <v>-1.0391668784200001</v>
      </c>
      <c r="N188" s="9"/>
      <c r="O188" s="22">
        <v>0.79635599999999995</v>
      </c>
      <c r="P188" s="22">
        <v>89.483999999999995</v>
      </c>
      <c r="Q188" s="22">
        <v>2.8421000000000002E-3</v>
      </c>
      <c r="R188" s="22">
        <v>178</v>
      </c>
      <c r="S188" s="22">
        <v>0.79559299999999999</v>
      </c>
      <c r="T188">
        <f t="shared" si="26"/>
        <v>-2.8421000000000003</v>
      </c>
      <c r="U188">
        <f t="shared" si="27"/>
        <v>-2.2633233876000003</v>
      </c>
      <c r="X188" s="9"/>
      <c r="Y188" s="22">
        <v>-4.62341E-2</v>
      </c>
      <c r="Z188" s="22">
        <v>143.054</v>
      </c>
      <c r="AA188" s="22">
        <v>-2.2366299999999999E-2</v>
      </c>
      <c r="AB188" s="22">
        <v>178</v>
      </c>
      <c r="AC188" s="22">
        <v>-4.6591199999999999E-2</v>
      </c>
      <c r="AD188">
        <f t="shared" si="28"/>
        <v>22.366299999999999</v>
      </c>
      <c r="AE188">
        <f t="shared" si="29"/>
        <v>-1.0340857508299999</v>
      </c>
      <c r="AF188" s="9"/>
      <c r="AG188" s="22">
        <v>0.79635599999999995</v>
      </c>
      <c r="AH188" s="22">
        <v>179.82900000000001</v>
      </c>
      <c r="AI188" s="22">
        <v>-1.15967E-2</v>
      </c>
      <c r="AJ188" s="22">
        <v>178</v>
      </c>
      <c r="AK188" s="22">
        <v>0.79528799999999999</v>
      </c>
      <c r="AL188">
        <f t="shared" si="30"/>
        <v>11.5967</v>
      </c>
      <c r="AM188">
        <f t="shared" si="31"/>
        <v>9.2351016252000004</v>
      </c>
      <c r="AP188" s="9"/>
      <c r="AQ188" s="22">
        <v>-4.62341E-2</v>
      </c>
      <c r="AR188" s="22">
        <v>212.852</v>
      </c>
      <c r="AS188" s="22">
        <v>-2.24274E-2</v>
      </c>
      <c r="AT188" s="22">
        <v>178</v>
      </c>
      <c r="AU188" s="22">
        <v>-4.65485E-2</v>
      </c>
      <c r="AV188">
        <f t="shared" si="32"/>
        <v>22.427399999999999</v>
      </c>
      <c r="AW188">
        <f t="shared" si="33"/>
        <v>-1.03691065434</v>
      </c>
      <c r="AX188" s="9"/>
      <c r="AY188" s="22">
        <v>0.79635599999999995</v>
      </c>
      <c r="AZ188" s="22">
        <v>282.649</v>
      </c>
      <c r="BA188" s="22">
        <v>-1.00006E-2</v>
      </c>
      <c r="BB188" s="22">
        <v>178</v>
      </c>
      <c r="BC188" s="22">
        <v>0.794983</v>
      </c>
      <c r="BD188">
        <f t="shared" si="34"/>
        <v>10.0006</v>
      </c>
      <c r="BE188">
        <f t="shared" si="35"/>
        <v>7.9640378136000001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-5.1269500000000003E-2</v>
      </c>
      <c r="H189" s="22">
        <v>41.441000000000003</v>
      </c>
      <c r="I189" s="22">
        <v>-2.2473099999999999E-2</v>
      </c>
      <c r="J189" s="22">
        <v>179</v>
      </c>
      <c r="K189" s="22">
        <v>-5.1788300000000002E-2</v>
      </c>
      <c r="L189">
        <f t="shared" si="24"/>
        <v>22.473099999999999</v>
      </c>
      <c r="M189">
        <f t="shared" si="25"/>
        <v>-1.15218460045</v>
      </c>
      <c r="N189" s="9"/>
      <c r="O189" s="22">
        <v>0.80139199999999999</v>
      </c>
      <c r="P189" s="22">
        <v>89.584800000000001</v>
      </c>
      <c r="Q189" s="22">
        <v>6.5918000000000001E-3</v>
      </c>
      <c r="R189" s="22">
        <v>179</v>
      </c>
      <c r="S189" s="22">
        <v>0.80047599999999997</v>
      </c>
      <c r="T189">
        <f t="shared" si="26"/>
        <v>-6.5918000000000001</v>
      </c>
      <c r="U189">
        <f t="shared" si="27"/>
        <v>-5.2826157856</v>
      </c>
      <c r="X189" s="9"/>
      <c r="Y189" s="22">
        <v>-5.1269500000000003E-2</v>
      </c>
      <c r="Z189" s="22">
        <v>143.155</v>
      </c>
      <c r="AA189" s="22">
        <v>-2.2366299999999999E-2</v>
      </c>
      <c r="AB189" s="22">
        <v>179</v>
      </c>
      <c r="AC189" s="22">
        <v>-5.16357E-2</v>
      </c>
      <c r="AD189">
        <f t="shared" si="28"/>
        <v>22.366299999999999</v>
      </c>
      <c r="AE189">
        <f t="shared" si="29"/>
        <v>-1.1467090178499999</v>
      </c>
      <c r="AF189" s="9"/>
      <c r="AG189" s="22">
        <v>0.80139199999999999</v>
      </c>
      <c r="AH189" s="22">
        <v>179.93</v>
      </c>
      <c r="AI189" s="22">
        <v>-1.0815399999999999E-2</v>
      </c>
      <c r="AJ189" s="22">
        <v>179</v>
      </c>
      <c r="AK189" s="22">
        <v>0.80078099999999997</v>
      </c>
      <c r="AL189">
        <f t="shared" si="30"/>
        <v>10.815399999999999</v>
      </c>
      <c r="AM189">
        <f t="shared" si="31"/>
        <v>8.6673750367999993</v>
      </c>
      <c r="AP189" s="9"/>
      <c r="AQ189" s="22">
        <v>-5.1269500000000003E-2</v>
      </c>
      <c r="AR189" s="22">
        <v>212.953</v>
      </c>
      <c r="AS189" s="22">
        <v>-2.2439600000000001E-2</v>
      </c>
      <c r="AT189" s="22">
        <v>179</v>
      </c>
      <c r="AU189" s="22">
        <v>-5.1849399999999997E-2</v>
      </c>
      <c r="AV189">
        <f t="shared" si="32"/>
        <v>22.439600000000002</v>
      </c>
      <c r="AW189">
        <f t="shared" si="33"/>
        <v>-1.1504670722000001</v>
      </c>
      <c r="AX189" s="9"/>
      <c r="AY189" s="22">
        <v>0.80139199999999999</v>
      </c>
      <c r="AZ189" s="22">
        <v>282.75</v>
      </c>
      <c r="BA189" s="22">
        <v>-8.6273200000000008E-3</v>
      </c>
      <c r="BB189" s="22">
        <v>179</v>
      </c>
      <c r="BC189" s="22">
        <v>0.80047599999999997</v>
      </c>
      <c r="BD189">
        <f t="shared" si="34"/>
        <v>8.627320000000001</v>
      </c>
      <c r="BE189">
        <f t="shared" si="35"/>
        <v>6.9138652294400007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-5.6304899999999998E-2</v>
      </c>
      <c r="H190" s="22">
        <v>41.541699999999999</v>
      </c>
      <c r="I190" s="22">
        <v>-2.2488399999999999E-2</v>
      </c>
      <c r="J190" s="22">
        <v>180</v>
      </c>
      <c r="K190" s="22">
        <v>-5.6854200000000001E-2</v>
      </c>
      <c r="L190">
        <f t="shared" si="24"/>
        <v>22.488399999999999</v>
      </c>
      <c r="M190">
        <f t="shared" si="25"/>
        <v>-1.2662071131599999</v>
      </c>
      <c r="N190" s="9"/>
      <c r="O190" s="22">
        <v>0.806427</v>
      </c>
      <c r="P190" s="22">
        <v>89.685500000000005</v>
      </c>
      <c r="Q190" s="22">
        <v>1.01257E-2</v>
      </c>
      <c r="R190" s="22">
        <v>180</v>
      </c>
      <c r="S190" s="22">
        <v>0.80566400000000005</v>
      </c>
      <c r="T190">
        <f t="shared" si="26"/>
        <v>-10.1257</v>
      </c>
      <c r="U190">
        <f t="shared" si="27"/>
        <v>-8.1656378738999997</v>
      </c>
      <c r="X190" s="9"/>
      <c r="Y190" s="22">
        <v>-5.6304899999999998E-2</v>
      </c>
      <c r="Z190" s="22">
        <v>143.255</v>
      </c>
      <c r="AA190" s="22">
        <v>-2.2369400000000001E-2</v>
      </c>
      <c r="AB190" s="22">
        <v>180</v>
      </c>
      <c r="AC190" s="22">
        <v>-5.6701700000000001E-2</v>
      </c>
      <c r="AD190">
        <f t="shared" si="28"/>
        <v>22.369400000000002</v>
      </c>
      <c r="AE190">
        <f t="shared" si="29"/>
        <v>-1.2595068300600001</v>
      </c>
      <c r="AF190" s="9"/>
      <c r="AG190" s="22">
        <v>0.806427</v>
      </c>
      <c r="AH190" s="22">
        <v>180.03100000000001</v>
      </c>
      <c r="AI190" s="22">
        <v>-9.9761999999999993E-3</v>
      </c>
      <c r="AJ190" s="22">
        <v>180</v>
      </c>
      <c r="AK190" s="22">
        <v>0.80566400000000005</v>
      </c>
      <c r="AL190">
        <f t="shared" si="30"/>
        <v>9.9761999999999986</v>
      </c>
      <c r="AM190">
        <f t="shared" si="31"/>
        <v>8.0450770373999987</v>
      </c>
      <c r="AP190" s="9"/>
      <c r="AQ190" s="22">
        <v>-5.6304899999999998E-2</v>
      </c>
      <c r="AR190" s="22">
        <v>213.053</v>
      </c>
      <c r="AS190" s="22">
        <v>-2.2451800000000001E-2</v>
      </c>
      <c r="AT190" s="22">
        <v>180</v>
      </c>
      <c r="AU190" s="22">
        <v>-5.6732200000000003E-2</v>
      </c>
      <c r="AV190">
        <f t="shared" si="32"/>
        <v>22.451800000000002</v>
      </c>
      <c r="AW190">
        <f t="shared" si="33"/>
        <v>-1.2641463538200002</v>
      </c>
      <c r="AX190" s="9"/>
      <c r="AY190" s="22">
        <v>0.806427</v>
      </c>
      <c r="AZ190" s="22">
        <v>282.85000000000002</v>
      </c>
      <c r="BA190" s="22">
        <v>-7.2906500000000001E-3</v>
      </c>
      <c r="BB190" s="22">
        <v>180</v>
      </c>
      <c r="BC190" s="22">
        <v>0.80596900000000005</v>
      </c>
      <c r="BD190">
        <f t="shared" si="34"/>
        <v>7.2906500000000003</v>
      </c>
      <c r="BE190">
        <f t="shared" si="35"/>
        <v>5.8793770075500005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-6.13403E-2</v>
      </c>
      <c r="H191" s="22">
        <v>41.642400000000002</v>
      </c>
      <c r="I191" s="22">
        <v>-2.2503700000000001E-2</v>
      </c>
      <c r="J191" s="22">
        <v>181</v>
      </c>
      <c r="K191" s="22">
        <v>-6.2347399999999997E-2</v>
      </c>
      <c r="L191">
        <f t="shared" si="24"/>
        <v>22.503700000000002</v>
      </c>
      <c r="M191">
        <f t="shared" si="25"/>
        <v>-1.3803837091100002</v>
      </c>
      <c r="N191" s="9"/>
      <c r="O191" s="22">
        <v>0.81146200000000002</v>
      </c>
      <c r="P191" s="22">
        <v>89.786199999999994</v>
      </c>
      <c r="Q191" s="22">
        <v>1.38855E-2</v>
      </c>
      <c r="R191" s="22">
        <v>181</v>
      </c>
      <c r="S191" s="22">
        <v>0.81115700000000002</v>
      </c>
      <c r="T191">
        <f t="shared" si="26"/>
        <v>-13.8855</v>
      </c>
      <c r="U191">
        <f t="shared" si="27"/>
        <v>-11.267555601</v>
      </c>
      <c r="X191" s="9"/>
      <c r="Y191" s="22">
        <v>-6.13403E-2</v>
      </c>
      <c r="Z191" s="22">
        <v>143.35599999999999</v>
      </c>
      <c r="AA191" s="22">
        <v>-2.2384600000000001E-2</v>
      </c>
      <c r="AB191" s="22">
        <v>181</v>
      </c>
      <c r="AC191" s="22">
        <v>-6.1920200000000002E-2</v>
      </c>
      <c r="AD191">
        <f t="shared" si="28"/>
        <v>22.384600000000002</v>
      </c>
      <c r="AE191">
        <f t="shared" si="29"/>
        <v>-1.3730780793800001</v>
      </c>
      <c r="AF191" s="9"/>
      <c r="AG191" s="22">
        <v>0.81146200000000002</v>
      </c>
      <c r="AH191" s="22">
        <v>180.131</v>
      </c>
      <c r="AI191" s="22">
        <v>-8.7066699999999997E-3</v>
      </c>
      <c r="AJ191" s="22">
        <v>181</v>
      </c>
      <c r="AK191" s="22">
        <v>0.81024200000000002</v>
      </c>
      <c r="AL191">
        <f t="shared" si="30"/>
        <v>8.706669999999999</v>
      </c>
      <c r="AM191">
        <f t="shared" si="31"/>
        <v>7.0651318515399995</v>
      </c>
      <c r="AP191" s="9"/>
      <c r="AQ191" s="22">
        <v>-6.13403E-2</v>
      </c>
      <c r="AR191" s="22">
        <v>213.154</v>
      </c>
      <c r="AS191" s="22">
        <v>-2.2445699999999999E-2</v>
      </c>
      <c r="AT191" s="22">
        <v>181</v>
      </c>
      <c r="AU191" s="22">
        <v>-6.1706499999999997E-2</v>
      </c>
      <c r="AV191">
        <f t="shared" si="32"/>
        <v>22.445699999999999</v>
      </c>
      <c r="AW191">
        <f t="shared" si="33"/>
        <v>-1.37682597171</v>
      </c>
      <c r="AX191" s="9"/>
      <c r="AY191" s="22">
        <v>0.81146200000000002</v>
      </c>
      <c r="AZ191" s="22">
        <v>282.95100000000002</v>
      </c>
      <c r="BA191" s="22">
        <v>-5.4107699999999996E-3</v>
      </c>
      <c r="BB191" s="22">
        <v>181</v>
      </c>
      <c r="BC191" s="22">
        <v>0.81024200000000002</v>
      </c>
      <c r="BD191">
        <f t="shared" si="34"/>
        <v>5.4107699999999994</v>
      </c>
      <c r="BE191">
        <f t="shared" si="35"/>
        <v>4.3906342457399994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-6.6375699999999996E-2</v>
      </c>
      <c r="H192" s="22">
        <v>41.743200000000002</v>
      </c>
      <c r="I192" s="22">
        <v>-2.2500599999999999E-2</v>
      </c>
      <c r="J192" s="22">
        <v>182</v>
      </c>
      <c r="K192" s="22">
        <v>-6.7016599999999996E-2</v>
      </c>
      <c r="L192">
        <f t="shared" si="24"/>
        <v>22.500599999999999</v>
      </c>
      <c r="M192">
        <f t="shared" si="25"/>
        <v>-1.4934930754199998</v>
      </c>
      <c r="N192" s="9"/>
      <c r="O192" s="22">
        <v>0.81649799999999995</v>
      </c>
      <c r="P192" s="22">
        <v>89.886899999999997</v>
      </c>
      <c r="Q192" s="22">
        <v>1.7352300000000001E-2</v>
      </c>
      <c r="R192" s="22">
        <v>182</v>
      </c>
      <c r="S192" s="22">
        <v>0.81542999999999999</v>
      </c>
      <c r="T192">
        <f t="shared" si="26"/>
        <v>-17.3523</v>
      </c>
      <c r="U192">
        <f t="shared" si="27"/>
        <v>-14.168118245399999</v>
      </c>
      <c r="X192" s="9"/>
      <c r="Y192" s="22">
        <v>-6.6375699999999996E-2</v>
      </c>
      <c r="Z192" s="22">
        <v>143.45699999999999</v>
      </c>
      <c r="AA192" s="22">
        <v>-2.23877E-2</v>
      </c>
      <c r="AB192" s="22">
        <v>182</v>
      </c>
      <c r="AC192" s="22">
        <v>-6.7443799999999998E-2</v>
      </c>
      <c r="AD192">
        <f t="shared" si="28"/>
        <v>22.387699999999999</v>
      </c>
      <c r="AE192">
        <f t="shared" si="29"/>
        <v>-1.4859992588899997</v>
      </c>
      <c r="AF192" s="9"/>
      <c r="AG192" s="22">
        <v>0.81649799999999995</v>
      </c>
      <c r="AH192" s="22">
        <v>180.232</v>
      </c>
      <c r="AI192" s="22">
        <v>-7.31506E-3</v>
      </c>
      <c r="AJ192" s="22">
        <v>182</v>
      </c>
      <c r="AK192" s="22">
        <v>0.81634499999999999</v>
      </c>
      <c r="AL192">
        <f t="shared" si="30"/>
        <v>7.3150599999999999</v>
      </c>
      <c r="AM192">
        <f t="shared" si="31"/>
        <v>5.9727318598799997</v>
      </c>
      <c r="AP192" s="9"/>
      <c r="AQ192" s="22">
        <v>-6.6375699999999996E-2</v>
      </c>
      <c r="AR192" s="22">
        <v>213.255</v>
      </c>
      <c r="AS192" s="22">
        <v>-2.2473099999999999E-2</v>
      </c>
      <c r="AT192" s="22">
        <v>182</v>
      </c>
      <c r="AU192" s="22">
        <v>-6.7047099999999998E-2</v>
      </c>
      <c r="AV192">
        <f t="shared" si="32"/>
        <v>22.473099999999999</v>
      </c>
      <c r="AW192">
        <f t="shared" si="33"/>
        <v>-1.4916677436699999</v>
      </c>
      <c r="AX192" s="9"/>
      <c r="AY192" s="22">
        <v>0.81649799999999995</v>
      </c>
      <c r="AZ192" s="22">
        <v>283.05200000000002</v>
      </c>
      <c r="BA192" s="22">
        <v>-3.2983399999999999E-3</v>
      </c>
      <c r="BB192" s="22">
        <v>182</v>
      </c>
      <c r="BC192" s="22">
        <v>0.81512499999999999</v>
      </c>
      <c r="BD192">
        <f t="shared" si="34"/>
        <v>3.29834</v>
      </c>
      <c r="BE192">
        <f t="shared" si="35"/>
        <v>2.6930880133199997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-7.1411100000000005E-2</v>
      </c>
      <c r="H193" s="22">
        <v>41.843899999999998</v>
      </c>
      <c r="I193" s="22">
        <v>-2.2528099999999999E-2</v>
      </c>
      <c r="J193" s="22">
        <v>183</v>
      </c>
      <c r="K193" s="22">
        <v>-7.1746799999999999E-2</v>
      </c>
      <c r="L193">
        <f t="shared" si="24"/>
        <v>22.528099999999998</v>
      </c>
      <c r="M193">
        <f t="shared" si="25"/>
        <v>-1.60875640191</v>
      </c>
      <c r="N193" s="9"/>
      <c r="O193" s="22">
        <v>0.82153299999999996</v>
      </c>
      <c r="P193" s="22">
        <v>89.9876</v>
      </c>
      <c r="Q193" s="22">
        <v>2.2009299999999999E-2</v>
      </c>
      <c r="R193" s="22">
        <v>183</v>
      </c>
      <c r="S193" s="22">
        <v>0.82092299999999996</v>
      </c>
      <c r="T193">
        <f t="shared" si="26"/>
        <v>-22.0093</v>
      </c>
      <c r="U193">
        <f t="shared" si="27"/>
        <v>-18.081366256899997</v>
      </c>
      <c r="X193" s="9"/>
      <c r="Y193" s="22">
        <v>-7.1411100000000005E-2</v>
      </c>
      <c r="Z193" s="22">
        <v>143.55699999999999</v>
      </c>
      <c r="AA193" s="22">
        <v>-2.2396900000000001E-2</v>
      </c>
      <c r="AB193" s="22">
        <v>183</v>
      </c>
      <c r="AC193" s="22">
        <v>-7.2418200000000002E-2</v>
      </c>
      <c r="AD193">
        <f t="shared" si="28"/>
        <v>22.396900000000002</v>
      </c>
      <c r="AE193">
        <f t="shared" si="29"/>
        <v>-1.5993872655900003</v>
      </c>
      <c r="AF193" s="9"/>
      <c r="AG193" s="22">
        <v>0.82153299999999996</v>
      </c>
      <c r="AH193" s="22">
        <v>180.333</v>
      </c>
      <c r="AI193" s="22">
        <v>-5.7647699999999998E-3</v>
      </c>
      <c r="AJ193" s="22">
        <v>183</v>
      </c>
      <c r="AK193" s="22">
        <v>0.82061799999999996</v>
      </c>
      <c r="AL193">
        <f t="shared" si="30"/>
        <v>5.7647699999999995</v>
      </c>
      <c r="AM193">
        <f t="shared" si="31"/>
        <v>4.7359487924099994</v>
      </c>
      <c r="AP193" s="9"/>
      <c r="AQ193" s="22">
        <v>-7.1411100000000005E-2</v>
      </c>
      <c r="AR193" s="22">
        <v>213.35499999999999</v>
      </c>
      <c r="AS193" s="22">
        <v>-2.2476200000000002E-2</v>
      </c>
      <c r="AT193" s="22">
        <v>183</v>
      </c>
      <c r="AU193" s="22">
        <v>-7.2021500000000002E-2</v>
      </c>
      <c r="AV193">
        <f t="shared" si="32"/>
        <v>22.476200000000002</v>
      </c>
      <c r="AW193">
        <f t="shared" si="33"/>
        <v>-1.6050501658200003</v>
      </c>
      <c r="AX193" s="9"/>
      <c r="AY193" s="22">
        <v>0.82153299999999996</v>
      </c>
      <c r="AZ193" s="22">
        <v>283.15199999999999</v>
      </c>
      <c r="BA193" s="22">
        <v>-1.26038E-3</v>
      </c>
      <c r="BB193" s="22">
        <v>183</v>
      </c>
      <c r="BC193" s="22">
        <v>0.82061799999999996</v>
      </c>
      <c r="BD193">
        <f t="shared" si="34"/>
        <v>1.2603800000000001</v>
      </c>
      <c r="BE193">
        <f t="shared" si="35"/>
        <v>1.0354437625399999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-7.6446500000000001E-2</v>
      </c>
      <c r="H194" s="22">
        <v>41.944600000000001</v>
      </c>
      <c r="I194" s="22">
        <v>-2.2546400000000001E-2</v>
      </c>
      <c r="J194" s="22">
        <v>184</v>
      </c>
      <c r="K194" s="22">
        <v>-7.7392600000000006E-2</v>
      </c>
      <c r="L194">
        <f t="shared" si="24"/>
        <v>22.546400000000002</v>
      </c>
      <c r="M194">
        <f t="shared" si="25"/>
        <v>-1.7235933676000001</v>
      </c>
      <c r="N194" s="9"/>
      <c r="O194" s="22">
        <v>0.826569</v>
      </c>
      <c r="P194" s="22">
        <v>90.088300000000004</v>
      </c>
      <c r="Q194" s="22">
        <v>2.56744E-2</v>
      </c>
      <c r="R194" s="22">
        <v>184</v>
      </c>
      <c r="S194" s="22">
        <v>0.82519500000000001</v>
      </c>
      <c r="T194">
        <f t="shared" si="26"/>
        <v>-25.674399999999999</v>
      </c>
      <c r="U194">
        <f t="shared" si="27"/>
        <v>-21.2216631336</v>
      </c>
      <c r="X194" s="9"/>
      <c r="Y194" s="22">
        <v>-7.6446500000000001E-2</v>
      </c>
      <c r="Z194" s="22">
        <v>143.65799999999999</v>
      </c>
      <c r="AA194" s="22">
        <v>-2.24152E-2</v>
      </c>
      <c r="AB194" s="22">
        <v>184</v>
      </c>
      <c r="AC194" s="22">
        <v>-7.6751700000000006E-2</v>
      </c>
      <c r="AD194">
        <f t="shared" si="28"/>
        <v>22.415199999999999</v>
      </c>
      <c r="AE194">
        <f t="shared" si="29"/>
        <v>-1.7135635867999999</v>
      </c>
      <c r="AF194" s="9"/>
      <c r="AG194" s="22">
        <v>0.826569</v>
      </c>
      <c r="AH194" s="22">
        <v>180.434</v>
      </c>
      <c r="AI194" s="22">
        <v>-3.69141E-3</v>
      </c>
      <c r="AJ194" s="22">
        <v>184</v>
      </c>
      <c r="AK194" s="22">
        <v>0.82550000000000001</v>
      </c>
      <c r="AL194">
        <f t="shared" si="30"/>
        <v>3.6914099999999999</v>
      </c>
      <c r="AM194">
        <f t="shared" si="31"/>
        <v>3.0512050722899997</v>
      </c>
      <c r="AP194" s="9"/>
      <c r="AQ194" s="22">
        <v>-7.6446500000000001E-2</v>
      </c>
      <c r="AR194" s="22">
        <v>213.45599999999999</v>
      </c>
      <c r="AS194" s="22">
        <v>-2.2476200000000002E-2</v>
      </c>
      <c r="AT194" s="22">
        <v>184</v>
      </c>
      <c r="AU194" s="22">
        <v>-7.7697799999999997E-2</v>
      </c>
      <c r="AV194">
        <f t="shared" si="32"/>
        <v>22.476200000000002</v>
      </c>
      <c r="AW194">
        <f t="shared" si="33"/>
        <v>-1.7182268233000002</v>
      </c>
      <c r="AX194" s="9"/>
      <c r="AY194" s="22">
        <v>0.826569</v>
      </c>
      <c r="AZ194" s="22">
        <v>283.25299999999999</v>
      </c>
      <c r="BA194" s="22">
        <v>1.85699E-3</v>
      </c>
      <c r="BB194" s="22">
        <v>184</v>
      </c>
      <c r="BC194" s="22">
        <v>0.82550000000000001</v>
      </c>
      <c r="BD194">
        <f t="shared" si="34"/>
        <v>-1.8569899999999999</v>
      </c>
      <c r="BE194">
        <f t="shared" si="35"/>
        <v>-1.5349303673099999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-8.1481899999999996E-2</v>
      </c>
      <c r="H195" s="22">
        <v>42.045299999999997</v>
      </c>
      <c r="I195" s="22">
        <v>-2.2561600000000001E-2</v>
      </c>
      <c r="J195" s="22">
        <v>185</v>
      </c>
      <c r="K195" s="22">
        <v>-8.2153299999999999E-2</v>
      </c>
      <c r="L195">
        <f t="shared" si="24"/>
        <v>22.561600000000002</v>
      </c>
      <c r="M195">
        <f t="shared" si="25"/>
        <v>-1.8383620350400001</v>
      </c>
      <c r="N195" s="9"/>
      <c r="O195" s="22">
        <v>0.83160400000000001</v>
      </c>
      <c r="P195" s="22">
        <v>90.188999999999993</v>
      </c>
      <c r="Q195" s="22">
        <v>2.8433199999999999E-2</v>
      </c>
      <c r="R195" s="22">
        <v>185</v>
      </c>
      <c r="S195" s="22">
        <v>0.83068799999999998</v>
      </c>
      <c r="T195">
        <f t="shared" si="26"/>
        <v>-28.433199999999999</v>
      </c>
      <c r="U195">
        <f t="shared" si="27"/>
        <v>-23.645162852799999</v>
      </c>
      <c r="X195" s="9"/>
      <c r="Y195" s="22">
        <v>-8.1481899999999996E-2</v>
      </c>
      <c r="Z195" s="22">
        <v>143.75899999999999</v>
      </c>
      <c r="AA195" s="22">
        <v>-2.2436500000000002E-2</v>
      </c>
      <c r="AB195" s="22">
        <v>185</v>
      </c>
      <c r="AC195" s="22">
        <v>-8.1390400000000002E-2</v>
      </c>
      <c r="AD195">
        <f t="shared" si="28"/>
        <v>22.436500000000002</v>
      </c>
      <c r="AE195">
        <f t="shared" si="29"/>
        <v>-1.82816864935</v>
      </c>
      <c r="AF195" s="9"/>
      <c r="AG195" s="22">
        <v>0.83160400000000001</v>
      </c>
      <c r="AH195" s="22">
        <v>180.53399999999999</v>
      </c>
      <c r="AI195" s="22">
        <v>-1.67267E-3</v>
      </c>
      <c r="AJ195" s="22">
        <v>185</v>
      </c>
      <c r="AK195" s="22">
        <v>0.83068799999999998</v>
      </c>
      <c r="AL195">
        <f t="shared" si="30"/>
        <v>1.6726700000000001</v>
      </c>
      <c r="AM195">
        <f t="shared" si="31"/>
        <v>1.3909990626800002</v>
      </c>
      <c r="AP195" s="9"/>
      <c r="AQ195" s="22">
        <v>-8.1481899999999996E-2</v>
      </c>
      <c r="AR195" s="22">
        <v>213.55699999999999</v>
      </c>
      <c r="AS195" s="22">
        <v>-2.2473099999999999E-2</v>
      </c>
      <c r="AT195" s="22">
        <v>185</v>
      </c>
      <c r="AU195" s="22">
        <v>-8.1878699999999999E-2</v>
      </c>
      <c r="AV195">
        <f t="shared" si="32"/>
        <v>22.473099999999999</v>
      </c>
      <c r="AW195">
        <f t="shared" si="33"/>
        <v>-1.8311508868899997</v>
      </c>
      <c r="AX195" s="9"/>
      <c r="AY195" s="22">
        <v>0.83160400000000001</v>
      </c>
      <c r="AZ195" s="22">
        <v>283.35399999999998</v>
      </c>
      <c r="BA195" s="22">
        <v>5.7220500000000002E-3</v>
      </c>
      <c r="BB195" s="22">
        <v>185</v>
      </c>
      <c r="BC195" s="22">
        <v>0.83099400000000001</v>
      </c>
      <c r="BD195">
        <f t="shared" si="34"/>
        <v>-5.7220500000000003</v>
      </c>
      <c r="BE195">
        <f t="shared" si="35"/>
        <v>-4.7584796682000006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-8.6517300000000005E-2</v>
      </c>
      <c r="H196" s="22">
        <v>42.146000000000001</v>
      </c>
      <c r="I196" s="22">
        <v>-2.2518900000000001E-2</v>
      </c>
      <c r="J196" s="22">
        <v>186</v>
      </c>
      <c r="K196" s="22">
        <v>-8.6700399999999997E-2</v>
      </c>
      <c r="L196">
        <f t="shared" si="24"/>
        <v>22.518900000000002</v>
      </c>
      <c r="M196">
        <f t="shared" si="25"/>
        <v>-1.9482744269700003</v>
      </c>
      <c r="N196" s="9"/>
      <c r="O196" s="22">
        <v>0.83663900000000002</v>
      </c>
      <c r="P196" s="22">
        <v>90.289699999999996</v>
      </c>
      <c r="Q196" s="22">
        <v>3.2372999999999999E-2</v>
      </c>
      <c r="R196" s="22">
        <v>186</v>
      </c>
      <c r="S196" s="22">
        <v>0.83557099999999995</v>
      </c>
      <c r="T196">
        <f t="shared" si="26"/>
        <v>-32.372999999999998</v>
      </c>
      <c r="U196">
        <f t="shared" si="27"/>
        <v>-27.084514346999999</v>
      </c>
      <c r="X196" s="9"/>
      <c r="Y196" s="22">
        <v>-8.6517300000000005E-2</v>
      </c>
      <c r="Z196" s="22">
        <v>143.86000000000001</v>
      </c>
      <c r="AA196" s="22">
        <v>-2.24304E-2</v>
      </c>
      <c r="AB196" s="22">
        <v>186</v>
      </c>
      <c r="AC196" s="22">
        <v>-8.7371799999999999E-2</v>
      </c>
      <c r="AD196">
        <f t="shared" si="28"/>
        <v>22.430399999999999</v>
      </c>
      <c r="AE196">
        <f t="shared" si="29"/>
        <v>-1.94061764592</v>
      </c>
      <c r="AF196" s="9"/>
      <c r="AG196" s="22">
        <v>0.83663900000000002</v>
      </c>
      <c r="AH196" s="22">
        <v>180.63499999999999</v>
      </c>
      <c r="AI196" s="22">
        <v>6.62231E-4</v>
      </c>
      <c r="AJ196" s="22">
        <v>186</v>
      </c>
      <c r="AK196" s="22">
        <v>0.83526599999999995</v>
      </c>
      <c r="AL196">
        <f t="shared" si="30"/>
        <v>-0.66223100000000001</v>
      </c>
      <c r="AM196">
        <f t="shared" si="31"/>
        <v>-0.55404828160899999</v>
      </c>
      <c r="AP196" s="9"/>
      <c r="AQ196" s="22">
        <v>-8.6517300000000005E-2</v>
      </c>
      <c r="AR196" s="22">
        <v>213.65700000000001</v>
      </c>
      <c r="AS196" s="22">
        <v>-2.24823E-2</v>
      </c>
      <c r="AT196" s="22">
        <v>186</v>
      </c>
      <c r="AU196" s="22">
        <v>-8.7036100000000005E-2</v>
      </c>
      <c r="AV196">
        <f t="shared" si="32"/>
        <v>22.482299999999999</v>
      </c>
      <c r="AW196">
        <f t="shared" si="33"/>
        <v>-1.9451078937899999</v>
      </c>
      <c r="AX196" s="9"/>
      <c r="AY196" s="22">
        <v>0.83663900000000002</v>
      </c>
      <c r="AZ196" s="22">
        <v>283.45499999999998</v>
      </c>
      <c r="BA196" s="22">
        <v>9.6466099999999999E-3</v>
      </c>
      <c r="BB196" s="22">
        <v>186</v>
      </c>
      <c r="BC196" s="22">
        <v>0.83587599999999995</v>
      </c>
      <c r="BD196">
        <f t="shared" si="34"/>
        <v>-9.646609999999999</v>
      </c>
      <c r="BE196">
        <f t="shared" si="35"/>
        <v>-8.0707301437899996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-9.1552700000000001E-2</v>
      </c>
      <c r="H197" s="22">
        <v>42.246699999999997</v>
      </c>
      <c r="I197" s="22">
        <v>-2.25372E-2</v>
      </c>
      <c r="J197" s="22">
        <v>187</v>
      </c>
      <c r="K197" s="22">
        <v>-9.1583300000000006E-2</v>
      </c>
      <c r="L197">
        <f t="shared" si="24"/>
        <v>22.537199999999999</v>
      </c>
      <c r="M197">
        <f t="shared" si="25"/>
        <v>-2.0633415104399999</v>
      </c>
      <c r="N197" s="9"/>
      <c r="O197" s="22">
        <v>0.84167499999999995</v>
      </c>
      <c r="P197" s="22">
        <v>90.3904</v>
      </c>
      <c r="Q197" s="22">
        <v>3.5748299999999997E-2</v>
      </c>
      <c r="R197" s="22">
        <v>187</v>
      </c>
      <c r="S197" s="22">
        <v>0.84075900000000003</v>
      </c>
      <c r="T197">
        <f t="shared" si="26"/>
        <v>-35.748299999999993</v>
      </c>
      <c r="U197">
        <f t="shared" si="27"/>
        <v>-30.088450402499994</v>
      </c>
      <c r="X197" s="9"/>
      <c r="Y197" s="22">
        <v>-9.1552700000000001E-2</v>
      </c>
      <c r="Z197" s="22">
        <v>143.96</v>
      </c>
      <c r="AA197" s="22">
        <v>-2.2448699999999999E-2</v>
      </c>
      <c r="AB197" s="22">
        <v>187</v>
      </c>
      <c r="AC197" s="22">
        <v>-9.2040999999999998E-2</v>
      </c>
      <c r="AD197">
        <f t="shared" si="28"/>
        <v>22.448699999999999</v>
      </c>
      <c r="AE197">
        <f t="shared" si="29"/>
        <v>-2.0552390964899998</v>
      </c>
      <c r="AF197" s="9"/>
      <c r="AG197" s="22">
        <v>0.84167499999999995</v>
      </c>
      <c r="AH197" s="22">
        <v>180.73599999999999</v>
      </c>
      <c r="AI197" s="22">
        <v>4.4601399999999996E-3</v>
      </c>
      <c r="AJ197" s="22">
        <v>187</v>
      </c>
      <c r="AK197" s="22">
        <v>0.84106400000000003</v>
      </c>
      <c r="AL197">
        <f t="shared" si="30"/>
        <v>-4.46014</v>
      </c>
      <c r="AM197">
        <f t="shared" si="31"/>
        <v>-3.7539883344999998</v>
      </c>
      <c r="AP197" s="9"/>
      <c r="AQ197" s="22">
        <v>-9.1552700000000001E-2</v>
      </c>
      <c r="AR197" s="22">
        <v>213.75800000000001</v>
      </c>
      <c r="AS197" s="22">
        <v>-2.2500599999999999E-2</v>
      </c>
      <c r="AT197" s="22">
        <v>187</v>
      </c>
      <c r="AU197" s="22">
        <v>-9.1857900000000006E-2</v>
      </c>
      <c r="AV197">
        <f t="shared" si="32"/>
        <v>22.500599999999999</v>
      </c>
      <c r="AW197">
        <f t="shared" si="33"/>
        <v>-2.05999068162</v>
      </c>
      <c r="AX197" s="9"/>
      <c r="AY197" s="22">
        <v>0.84167499999999995</v>
      </c>
      <c r="AZ197" s="22">
        <v>283.55500000000001</v>
      </c>
      <c r="BA197" s="22">
        <v>1.3693200000000001E-2</v>
      </c>
      <c r="BB197" s="22">
        <v>187</v>
      </c>
      <c r="BC197" s="22">
        <v>0.84075900000000003</v>
      </c>
      <c r="BD197">
        <f t="shared" si="34"/>
        <v>-13.693200000000001</v>
      </c>
      <c r="BE197">
        <f t="shared" si="35"/>
        <v>-11.52522411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-9.6588099999999996E-2</v>
      </c>
      <c r="H198" s="22">
        <v>42.3474</v>
      </c>
      <c r="I198" s="22">
        <v>-2.2534200000000001E-2</v>
      </c>
      <c r="J198" s="22">
        <v>188</v>
      </c>
      <c r="K198" s="22">
        <v>-9.6954299999999993E-2</v>
      </c>
      <c r="L198">
        <f t="shared" si="24"/>
        <v>22.534200000000002</v>
      </c>
      <c r="M198">
        <f t="shared" si="25"/>
        <v>-2.1765355630200003</v>
      </c>
      <c r="N198" s="9"/>
      <c r="O198" s="22">
        <v>0.84670999999999996</v>
      </c>
      <c r="P198" s="22">
        <v>90.491100000000003</v>
      </c>
      <c r="Q198" s="22">
        <v>3.8559000000000003E-2</v>
      </c>
      <c r="R198" s="22">
        <v>188</v>
      </c>
      <c r="S198" s="22">
        <v>0.846252</v>
      </c>
      <c r="T198">
        <f t="shared" si="26"/>
        <v>-38.559000000000005</v>
      </c>
      <c r="U198">
        <f t="shared" si="27"/>
        <v>-32.648290890000006</v>
      </c>
      <c r="X198" s="9"/>
      <c r="Y198" s="22">
        <v>-9.6588099999999996E-2</v>
      </c>
      <c r="Z198" s="22">
        <v>144.06100000000001</v>
      </c>
      <c r="AA198" s="22">
        <v>-2.2460899999999999E-2</v>
      </c>
      <c r="AB198" s="22">
        <v>188</v>
      </c>
      <c r="AC198" s="22">
        <v>-9.7320599999999993E-2</v>
      </c>
      <c r="AD198">
        <f t="shared" si="28"/>
        <v>22.460899999999999</v>
      </c>
      <c r="AE198">
        <f t="shared" si="29"/>
        <v>-2.1694556552899997</v>
      </c>
      <c r="AF198" s="9"/>
      <c r="AG198" s="22">
        <v>0.84670999999999996</v>
      </c>
      <c r="AH198" s="22">
        <v>180.83600000000001</v>
      </c>
      <c r="AI198" s="22">
        <v>8.88977E-3</v>
      </c>
      <c r="AJ198" s="22">
        <v>188</v>
      </c>
      <c r="AK198" s="22">
        <v>0.845947</v>
      </c>
      <c r="AL198">
        <f t="shared" si="30"/>
        <v>-8.8897700000000004</v>
      </c>
      <c r="AM198">
        <f t="shared" si="31"/>
        <v>-7.5270571566999998</v>
      </c>
      <c r="AP198" s="9"/>
      <c r="AQ198" s="22">
        <v>-9.6588099999999996E-2</v>
      </c>
      <c r="AR198" s="22">
        <v>213.85900000000001</v>
      </c>
      <c r="AS198" s="22">
        <v>-2.2506700000000001E-2</v>
      </c>
      <c r="AT198" s="22">
        <v>188</v>
      </c>
      <c r="AU198" s="22">
        <v>-9.7381599999999999E-2</v>
      </c>
      <c r="AV198">
        <f t="shared" si="32"/>
        <v>22.506700000000002</v>
      </c>
      <c r="AW198">
        <f t="shared" si="33"/>
        <v>-2.1738793902700002</v>
      </c>
      <c r="AX198" s="9"/>
      <c r="AY198" s="22">
        <v>0.84670999999999996</v>
      </c>
      <c r="AZ198" s="22">
        <v>283.65600000000001</v>
      </c>
      <c r="BA198" s="22">
        <v>1.7379800000000001E-2</v>
      </c>
      <c r="BB198" s="22">
        <v>188</v>
      </c>
      <c r="BC198" s="22">
        <v>0.845642</v>
      </c>
      <c r="BD198">
        <f t="shared" si="34"/>
        <v>-17.379799999999999</v>
      </c>
      <c r="BE198">
        <f t="shared" si="35"/>
        <v>-14.715650457999999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-0.10162400000000001</v>
      </c>
      <c r="H199" s="22">
        <v>42.448099999999997</v>
      </c>
      <c r="I199" s="22">
        <v>-2.25677E-2</v>
      </c>
      <c r="J199" s="22">
        <v>189</v>
      </c>
      <c r="K199" s="22">
        <v>-0.10202</v>
      </c>
      <c r="L199">
        <f t="shared" si="24"/>
        <v>22.567699999999999</v>
      </c>
      <c r="M199">
        <f t="shared" si="25"/>
        <v>-2.2934199448000001</v>
      </c>
      <c r="N199" s="9"/>
      <c r="O199" s="22">
        <v>0.851746</v>
      </c>
      <c r="P199" s="22">
        <v>90.591800000000006</v>
      </c>
      <c r="Q199" s="22">
        <v>4.0579200000000003E-2</v>
      </c>
      <c r="R199" s="22">
        <v>189</v>
      </c>
      <c r="S199" s="22">
        <v>0.85082999999999998</v>
      </c>
      <c r="T199">
        <f t="shared" si="26"/>
        <v>-40.5792</v>
      </c>
      <c r="U199">
        <f t="shared" si="27"/>
        <v>-34.563171283199999</v>
      </c>
      <c r="X199" s="9"/>
      <c r="Y199" s="22">
        <v>-0.10162400000000001</v>
      </c>
      <c r="Z199" s="22">
        <v>144.16200000000001</v>
      </c>
      <c r="AA199" s="22">
        <v>-2.24548E-2</v>
      </c>
      <c r="AB199" s="22">
        <v>189</v>
      </c>
      <c r="AC199" s="22">
        <v>-0.10150099999999999</v>
      </c>
      <c r="AD199">
        <f t="shared" si="28"/>
        <v>22.454799999999999</v>
      </c>
      <c r="AE199">
        <f t="shared" si="29"/>
        <v>-2.2819465952</v>
      </c>
      <c r="AF199" s="9"/>
      <c r="AG199" s="22">
        <v>0.851746</v>
      </c>
      <c r="AH199" s="22">
        <v>180.93700000000001</v>
      </c>
      <c r="AI199" s="22">
        <v>1.29944E-2</v>
      </c>
      <c r="AJ199" s="22">
        <v>189</v>
      </c>
      <c r="AK199" s="22">
        <v>0.85143999999999997</v>
      </c>
      <c r="AL199">
        <f t="shared" si="30"/>
        <v>-12.994399999999999</v>
      </c>
      <c r="AM199">
        <f t="shared" si="31"/>
        <v>-11.067928222399999</v>
      </c>
      <c r="AP199" s="9"/>
      <c r="AQ199" s="22">
        <v>-0.10162400000000001</v>
      </c>
      <c r="AR199" s="22">
        <v>213.96</v>
      </c>
      <c r="AS199" s="22">
        <v>-2.2503700000000001E-2</v>
      </c>
      <c r="AT199" s="22">
        <v>189</v>
      </c>
      <c r="AU199" s="22">
        <v>-0.102051</v>
      </c>
      <c r="AV199">
        <f t="shared" si="32"/>
        <v>22.503700000000002</v>
      </c>
      <c r="AW199">
        <f t="shared" si="33"/>
        <v>-2.2869160088000005</v>
      </c>
      <c r="AX199" s="9"/>
      <c r="AY199" s="22">
        <v>0.851746</v>
      </c>
      <c r="AZ199" s="22">
        <v>283.75700000000001</v>
      </c>
      <c r="BA199" s="22">
        <v>2.1331800000000001E-2</v>
      </c>
      <c r="BB199" s="22">
        <v>189</v>
      </c>
      <c r="BC199" s="22">
        <v>0.85113499999999997</v>
      </c>
      <c r="BD199">
        <f t="shared" si="34"/>
        <v>-21.331800000000001</v>
      </c>
      <c r="BE199">
        <f t="shared" si="35"/>
        <v>-18.169275322800001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1.7367204493041157</v>
      </c>
      <c r="C3">
        <f ca="1">INDEX(INDIRECT(A3&amp;"!B11"):INDIRECT(A3&amp;"!B21"),MATCH(E3,INDIRECT(A3&amp;"!D11"):INDIRECT(A3&amp;"!D21"),0))</f>
        <v>18.30365404998382</v>
      </c>
      <c r="D3">
        <f ca="1">INDEX(INDIRECT(A3&amp;"!C11"):INDIRECT(A3&amp;"!C21"),MATCH(E3,INDIRECT(A3&amp;"!D11"):INDIRECT(A3&amp;"!D21"),0))</f>
        <v>0.86554720605970958</v>
      </c>
      <c r="E3">
        <f t="shared" ref="E3" ca="1" si="0">MAX(INDIRECT(A3&amp; "!D11"),INDIRECT(A3 &amp; "!D13"),INDIRECT(A3 &amp; "!D15"),INDIRECT(A3 &amp; "!D17"),INDIRECT(A3 &amp; "!D19"),INDIRECT(A3 &amp; "!D21"))</f>
        <v>27.514300464000002</v>
      </c>
      <c r="G3">
        <f ca="1">INDEX(INDIRECT(A3&amp;"!A12"):INDIRECT(A3&amp;"!A22"),MATCH(J3,INDIRECT(A3&amp;"!D12"):INDIRECT(A3&amp;"!D22"),0))</f>
        <v>1.7304456463955862</v>
      </c>
      <c r="H3">
        <f ca="1">INDEX(INDIRECT(A3&amp;"!B12"):INDIRECT(A3&amp;"!B22"),MATCH(J3,INDIRECT(A3&amp;"!D12"):INDIRECT(A3&amp;"!D22"),0))</f>
        <v>18.23161444782076</v>
      </c>
      <c r="I3">
        <f ca="1">INDEX(INDIRECT(A3&amp;"!C12"):INDIRECT(A3&amp;"!C22"),MATCH(J3,INDIRECT(A3&amp;"!D12"):INDIRECT(A3&amp;"!D22"),0))</f>
        <v>0.84687833134446855</v>
      </c>
      <c r="J3">
        <f t="shared" ref="J3" ca="1" si="1">MAX(INDIRECT(A3&amp; "!D12"),INDIRECT(A3 &amp; "!D14"),INDIRECT(A3 &amp; "!D16"),INDIRECT(A3 &amp; "!D18"),INDIRECT(A3 &amp; "!D20"),,INDIRECT(A3 &amp; "!D22"))</f>
        <v>26.718010215000003</v>
      </c>
      <c r="L3">
        <f ca="1">INDEX(INDIRECT(A3&amp;"!E11"):INDIRECT(A3&amp;"!E21"),MATCH(E3,INDIRECT(A3&amp;"!D11"):INDIRECT(A3&amp;"!D21"),0))</f>
        <v>2.8940959267413424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0.80353075869232293</v>
      </c>
      <c r="C4">
        <f ca="1">INDEX(INDIRECT(A4&amp;"!B11"):INDIRECT(A4&amp;"!B21"),MATCH(E4,INDIRECT(A4&amp;"!D11"):INDIRECT(A4&amp;"!D21"),0))</f>
        <v>22.423044404176213</v>
      </c>
      <c r="D4">
        <f ca="1">INDEX(INDIRECT(A4&amp;"!C11"):INDIRECT(A4&amp;"!C21"),MATCH(E4,INDIRECT(A4&amp;"!D11"):INDIRECT(A4&amp;"!D21"),0))</f>
        <v>0.7188776166504437</v>
      </c>
      <c r="E4">
        <f t="shared" ref="E4" ca="1" si="2">MAX(INDIRECT(A4&amp; "!D11"),INDIRECT(A4 &amp; "!D13"),INDIRECT(A4 &amp; "!D15"),INDIRECT(A4 &amp; "!D17"),INDIRECT(A4 &amp; "!D19"),INDIRECT(A4 &amp; "!D21"))</f>
        <v>12.952453574400003</v>
      </c>
      <c r="G4">
        <f ca="1">INDEX(INDIRECT(A4&amp;"!A12"):INDIRECT(A4&amp;"!A22"),MATCH(J4,INDIRECT(A4&amp;"!D12"):INDIRECT(A4&amp;"!D22"),0))</f>
        <v>0.83396757513402064</v>
      </c>
      <c r="H4">
        <f ca="1">INDEX(INDIRECT(A4&amp;"!B12"):INDIRECT(A4&amp;"!B22"),MATCH(J4,INDIRECT(A4&amp;"!D12"):INDIRECT(A4&amp;"!D22"),0))</f>
        <v>22.330490624957541</v>
      </c>
      <c r="I4">
        <f ca="1">INDEX(INDIRECT(A4&amp;"!C12"):INDIRECT(A4&amp;"!C22"),MATCH(J4,INDIRECT(A4&amp;"!D12"):INDIRECT(A4&amp;"!D22"),0))</f>
        <v>0.70415714790335227</v>
      </c>
      <c r="J4">
        <f t="shared" ref="J4" ca="1" si="3">MAX(INDIRECT(A4&amp; "!D12"),INDIRECT(A4 &amp; "!D14"),INDIRECT(A4 &amp; "!D16"),INDIRECT(A4 &amp; "!D18"),INDIRECT(A4 &amp; "!D20"),,INDIRECT(A4 &amp; "!D22"))</f>
        <v>13.113451753600003</v>
      </c>
      <c r="L4">
        <f ca="1">INDEX(INDIRECT(A4&amp;"!E11"):INDIRECT(A4&amp;"!E21"),MATCH(E4,INDIRECT(A4&amp;"!D11"):INDIRECT(A4&amp;"!D21"),0))</f>
        <v>5.2947637052755949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20230201T210000</vt:lpstr>
      <vt:lpstr>20230202T210000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2023-02-02T11:15:28Z</dcterms:modified>
</cp:coreProperties>
</file>