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1"/>
  </bookViews>
  <sheets>
    <sheet name="NEW" sheetId="64" r:id="rId1"/>
    <sheet name="20230205T210000" sheetId="65" r:id="rId2"/>
    <sheet name="Sheet2" sheetId="63" r:id="rId3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5" l="1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 s="1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 s="1"/>
  <c r="BD127" i="65"/>
  <c r="BE127" i="65"/>
  <c r="BD128" i="65"/>
  <c r="BE128" i="65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/>
  <c r="AV98" i="65"/>
  <c r="AW98" i="65"/>
  <c r="AV99" i="65"/>
  <c r="AW99" i="65"/>
  <c r="AV100" i="65"/>
  <c r="AW100" i="65"/>
  <c r="AV101" i="65"/>
  <c r="AW101" i="65"/>
  <c r="AV102" i="65"/>
  <c r="AW102" i="65"/>
  <c r="AV103" i="65"/>
  <c r="AW103" i="65"/>
  <c r="AV104" i="65"/>
  <c r="AW104" i="65"/>
  <c r="AV105" i="65"/>
  <c r="AW105" i="65"/>
  <c r="AV106" i="65"/>
  <c r="AW106" i="65"/>
  <c r="AV107" i="65"/>
  <c r="AW107" i="65"/>
  <c r="AV108" i="65"/>
  <c r="AW108" i="65"/>
  <c r="AV109" i="65"/>
  <c r="AW109" i="65"/>
  <c r="AV110" i="65"/>
  <c r="AW110" i="65"/>
  <c r="AV111" i="65"/>
  <c r="AW111" i="65"/>
  <c r="AV112" i="65"/>
  <c r="AW112" i="65"/>
  <c r="AV113" i="65"/>
  <c r="AW113" i="65"/>
  <c r="AV114" i="65"/>
  <c r="AW114" i="65"/>
  <c r="AV115" i="65"/>
  <c r="AW115" i="65"/>
  <c r="AV116" i="65"/>
  <c r="AW116" i="65"/>
  <c r="AV117" i="65"/>
  <c r="AW117" i="65"/>
  <c r="AV118" i="65"/>
  <c r="AW118" i="65"/>
  <c r="AV119" i="65"/>
  <c r="AW119" i="65"/>
  <c r="AV120" i="65"/>
  <c r="AW120" i="65"/>
  <c r="AV121" i="65"/>
  <c r="AW121" i="65"/>
  <c r="AV122" i="65"/>
  <c r="AW122" i="65"/>
  <c r="AV123" i="65"/>
  <c r="AW123" i="65"/>
  <c r="AV124" i="65"/>
  <c r="AW124" i="65"/>
  <c r="AV125" i="65"/>
  <c r="AW125" i="65"/>
  <c r="AV126" i="65"/>
  <c r="AW126" i="65"/>
  <c r="AV127" i="65"/>
  <c r="AW127" i="65"/>
  <c r="AV128" i="65"/>
  <c r="AW128" i="65"/>
  <c r="AV129" i="65"/>
  <c r="AW129" i="65"/>
  <c r="AV130" i="65"/>
  <c r="AW130" i="65"/>
  <c r="AV131" i="65"/>
  <c r="AW131" i="65"/>
  <c r="AV132" i="65"/>
  <c r="AW132" i="65"/>
  <c r="AV133" i="65"/>
  <c r="AW133" i="65"/>
  <c r="AV134" i="65"/>
  <c r="AW134" i="65"/>
  <c r="AV135" i="65"/>
  <c r="AW135" i="65"/>
  <c r="AV136" i="65"/>
  <c r="AW136" i="65"/>
  <c r="AV137" i="65"/>
  <c r="AW137" i="65"/>
  <c r="AV138" i="65"/>
  <c r="AW138" i="65"/>
  <c r="AV139" i="65"/>
  <c r="AW139" i="65"/>
  <c r="AV140" i="65"/>
  <c r="AW140" i="65"/>
  <c r="AV141" i="65"/>
  <c r="AW141" i="65"/>
  <c r="AV142" i="65"/>
  <c r="AW142" i="65"/>
  <c r="AV143" i="65"/>
  <c r="AW143" i="65"/>
  <c r="AV144" i="65"/>
  <c r="AW144" i="65"/>
  <c r="AV145" i="65"/>
  <c r="AW145" i="65"/>
  <c r="AV146" i="65"/>
  <c r="AW146" i="65"/>
  <c r="AV147" i="65"/>
  <c r="AW147" i="65"/>
  <c r="AV148" i="65"/>
  <c r="AW148" i="65"/>
  <c r="AV149" i="65"/>
  <c r="AW149" i="65"/>
  <c r="AV150" i="65"/>
  <c r="AW150" i="65"/>
  <c r="AV151" i="65"/>
  <c r="AW151" i="65"/>
  <c r="AV152" i="65"/>
  <c r="AW152" i="65"/>
  <c r="AV153" i="65"/>
  <c r="AW153" i="65"/>
  <c r="AV154" i="65"/>
  <c r="AW154" i="65"/>
  <c r="AV155" i="65"/>
  <c r="AW155" i="65"/>
  <c r="AV156" i="65"/>
  <c r="AW156" i="65"/>
  <c r="AV157" i="65"/>
  <c r="AW157" i="65"/>
  <c r="AV158" i="65"/>
  <c r="AW158" i="65"/>
  <c r="AV159" i="65"/>
  <c r="AW159" i="65"/>
  <c r="AV160" i="65"/>
  <c r="AW160" i="65"/>
  <c r="AV161" i="65"/>
  <c r="AW161" i="65"/>
  <c r="AV162" i="65"/>
  <c r="AW162" i="65"/>
  <c r="AV163" i="65"/>
  <c r="AW163" i="65"/>
  <c r="AV164" i="65"/>
  <c r="AW164" i="65"/>
  <c r="AV165" i="65"/>
  <c r="AW165" i="65"/>
  <c r="AV166" i="65"/>
  <c r="AW166" i="65"/>
  <c r="AV167" i="65"/>
  <c r="AW167" i="65"/>
  <c r="AV168" i="65"/>
  <c r="AW168" i="65"/>
  <c r="AV169" i="65"/>
  <c r="AW169" i="65"/>
  <c r="AV170" i="65"/>
  <c r="AW170" i="65"/>
  <c r="AV171" i="65"/>
  <c r="AW171" i="65"/>
  <c r="AV172" i="65"/>
  <c r="AW172" i="65"/>
  <c r="AV173" i="65"/>
  <c r="AW173" i="65"/>
  <c r="AV174" i="65"/>
  <c r="AW174" i="65"/>
  <c r="AV175" i="65"/>
  <c r="AW175" i="65"/>
  <c r="AV176" i="65"/>
  <c r="AW176" i="65"/>
  <c r="AV177" i="65"/>
  <c r="AW177" i="65"/>
  <c r="AV178" i="65"/>
  <c r="AW178" i="65"/>
  <c r="AV179" i="65"/>
  <c r="AW179" i="65"/>
  <c r="AV180" i="65"/>
  <c r="AW180" i="65"/>
  <c r="AV181" i="65"/>
  <c r="AW181" i="65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7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/>
  <c r="AL166" i="65"/>
  <c r="AM166" i="65" s="1"/>
  <c r="AL167" i="65"/>
  <c r="AM167" i="65"/>
  <c r="AL168" i="65"/>
  <c r="AM168" i="65"/>
  <c r="AL169" i="65"/>
  <c r="AM169" i="65"/>
  <c r="AL170" i="65"/>
  <c r="AM170" i="65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 s="1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 s="1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/>
  <c r="T268" i="65"/>
  <c r="U268" i="65"/>
  <c r="T269" i="65"/>
  <c r="U269" i="65"/>
  <c r="T270" i="65"/>
  <c r="U270" i="65"/>
  <c r="T271" i="65"/>
  <c r="U271" i="65"/>
  <c r="T272" i="65"/>
  <c r="U272" i="65"/>
  <c r="T273" i="65"/>
  <c r="U273" i="65"/>
  <c r="T274" i="65"/>
  <c r="U274" i="65"/>
  <c r="T275" i="65"/>
  <c r="U275" i="65"/>
  <c r="T276" i="65"/>
  <c r="U276" i="65"/>
  <c r="T277" i="65"/>
  <c r="U277" i="65"/>
  <c r="T278" i="65"/>
  <c r="U278" i="65"/>
  <c r="T279" i="65"/>
  <c r="U279" i="65"/>
  <c r="T280" i="65"/>
  <c r="U280" i="65"/>
  <c r="T281" i="65"/>
  <c r="U281" i="65"/>
  <c r="T282" i="65"/>
  <c r="U282" i="65"/>
  <c r="T283" i="65"/>
  <c r="U283" i="65"/>
  <c r="T284" i="65"/>
  <c r="U284" i="65"/>
  <c r="T285" i="65"/>
  <c r="U285" i="65"/>
  <c r="T286" i="65"/>
  <c r="U286" i="65"/>
  <c r="T287" i="65"/>
  <c r="U287" i="65"/>
  <c r="T288" i="65"/>
  <c r="U288" i="65"/>
  <c r="T289" i="65"/>
  <c r="U289" i="65"/>
  <c r="T290" i="65"/>
  <c r="U290" i="65"/>
  <c r="T291" i="65"/>
  <c r="U291" i="65"/>
  <c r="T292" i="65"/>
  <c r="U292" i="65"/>
  <c r="T293" i="65"/>
  <c r="U293" i="65"/>
  <c r="T294" i="65"/>
  <c r="U294" i="65"/>
  <c r="T295" i="65"/>
  <c r="U295" i="65"/>
  <c r="T296" i="65"/>
  <c r="U296" i="65"/>
  <c r="T297" i="65"/>
  <c r="U297" i="65"/>
  <c r="T298" i="65"/>
  <c r="U298" i="65"/>
  <c r="T299" i="65"/>
  <c r="U299" i="65"/>
  <c r="T300" i="65"/>
  <c r="U300" i="65"/>
  <c r="T301" i="65"/>
  <c r="U301" i="65"/>
  <c r="T302" i="65"/>
  <c r="U302" i="65"/>
  <c r="T303" i="65"/>
  <c r="U303" i="65"/>
  <c r="T304" i="65"/>
  <c r="U304" i="65"/>
  <c r="T305" i="65"/>
  <c r="U305" i="65"/>
  <c r="T306" i="65"/>
  <c r="U306" i="65"/>
  <c r="T307" i="65"/>
  <c r="U307" i="65"/>
  <c r="T308" i="65"/>
  <c r="U308" i="65"/>
  <c r="T309" i="65"/>
  <c r="U309" i="65"/>
  <c r="T310" i="65"/>
  <c r="U310" i="65"/>
  <c r="T311" i="65"/>
  <c r="U311" i="65"/>
  <c r="T312" i="65"/>
  <c r="U312" i="65"/>
  <c r="T313" i="65"/>
  <c r="U313" i="65"/>
  <c r="T314" i="65"/>
  <c r="U314" i="65"/>
  <c r="T315" i="65"/>
  <c r="U315" i="65"/>
  <c r="T316" i="65"/>
  <c r="U316" i="65"/>
  <c r="T317" i="65"/>
  <c r="U317" i="65" s="1"/>
  <c r="T318" i="65"/>
  <c r="U318" i="65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 s="1"/>
  <c r="L116" i="65"/>
  <c r="M116" i="65"/>
  <c r="L117" i="65"/>
  <c r="M117" i="65"/>
  <c r="L118" i="65"/>
  <c r="M118" i="65"/>
  <c r="L119" i="65"/>
  <c r="M119" i="65"/>
  <c r="L120" i="65"/>
  <c r="M120" i="65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 s="1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 s="1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L387" i="65"/>
  <c r="M387" i="65" s="1"/>
  <c r="L388" i="65"/>
  <c r="M388" i="65" s="1"/>
  <c r="FG11" i="65" l="1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K7" i="65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BI2" i="65" l="1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AI6" i="65" l="1"/>
  <c r="A14" i="65" s="1"/>
  <c r="L9" i="65"/>
  <c r="B11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CI4" i="65" l="1"/>
  <c r="T4" i="65"/>
  <c r="T2" i="65" s="1"/>
  <c r="D12" i="65" s="1"/>
  <c r="O4" i="65"/>
  <c r="BA6" i="65"/>
  <c r="A16" i="65" s="1"/>
  <c r="CX4" i="65"/>
  <c r="BD4" i="65"/>
  <c r="C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2" i="65" l="1"/>
  <c r="D16" i="65" s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L9" i="64"/>
  <c r="B11" i="64" s="1"/>
  <c r="A2" i="63" a="1"/>
  <c r="K3" i="64" l="1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 l="1"/>
  <c r="C2" i="63"/>
  <c r="G3" i="63"/>
  <c r="H3" i="63"/>
  <c r="G2" i="63"/>
  <c r="B3" i="63"/>
  <c r="L3" i="63"/>
  <c r="D2" i="63"/>
  <c r="L2" i="63"/>
  <c r="I3" i="63"/>
  <c r="H2" i="63"/>
  <c r="I2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<sst xmlns="http://schemas.openxmlformats.org/spreadsheetml/2006/main" count="832" uniqueCount="46">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</sst>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activeCell="F2" sqref="F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2" t="e">
        <f>(Q3-Q4)/(S3-S4)*(-S4)+Q4</f>
        <v>#N/A</v>
      </c>
      <c r="R6" s="3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2" t="e">
        <f>(AI3-AI4)/(AK3-AK4)*(-AK4)+AI4</f>
        <v>#N/A</v>
      </c>
      <c r="AJ6" s="3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2" t="e">
        <f>(BA3-BA4)/(BC3-BC4)*(-BC4)+BA4</f>
        <v>#N/A</v>
      </c>
      <c r="BB6" s="3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abSelected="1" workbookViewId="0">
      <selection activeCell="L9" sqref="L9"/>
    </sheetView>
  </sheetViews>
  <sheetFormatPr defaultRowHeight="15"/>
  <cols>
    <col min="6" max="7" width="9.140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13281.645901639356</v>
      </c>
      <c r="H2" s="2"/>
      <c r="I2" s="6" t="s">
        <v>12</v>
      </c>
      <c r="J2" s="2"/>
      <c r="K2" s="7" t="s">
        <v>13</v>
      </c>
      <c r="L2" s="3">
        <f>L4*I6*L9/100*100</f>
        <v>36.875948328000007</v>
      </c>
      <c r="M2" s="8" t="s">
        <v>14</v>
      </c>
      <c r="N2" s="9"/>
      <c r="O2" s="2">
        <f>ABS(S7-S6)/ABS(T7-T6)*1000</f>
        <v>205.97808873720186</v>
      </c>
      <c r="P2" s="2"/>
      <c r="Q2" s="6" t="s">
        <v>15</v>
      </c>
      <c r="R2" s="2"/>
      <c r="S2" s="7" t="s">
        <v>13</v>
      </c>
      <c r="T2" s="3">
        <f>T4*Q6*T9/100*100</f>
        <v>36.169214719000003</v>
      </c>
      <c r="U2" s="8" t="s">
        <v>14</v>
      </c>
      <c r="X2" s="9"/>
      <c r="Y2" s="2">
        <f>ABS(AC7-AC6)/ABS(AD7-AD6)*1000</f>
        <v>564.57608695652937</v>
      </c>
      <c r="Z2" s="2"/>
      <c r="AA2" s="6" t="s">
        <v>12</v>
      </c>
      <c r="AB2" s="2"/>
      <c r="AC2" s="7" t="s">
        <v>13</v>
      </c>
      <c r="AD2" s="3">
        <f>AD4*AA6*AD9/100*100</f>
        <v>36.048353534999997</v>
      </c>
      <c r="AE2" s="8" t="s">
        <v>14</v>
      </c>
      <c r="AF2" s="9"/>
      <c r="AG2" s="2">
        <f>ABS(AK7-AK6)/ABS(AL7-AL6)*1000</f>
        <v>2920.4344262295108</v>
      </c>
      <c r="AH2" s="2"/>
      <c r="AI2" s="6" t="s">
        <v>15</v>
      </c>
      <c r="AJ2" s="2"/>
      <c r="AK2" s="7" t="s">
        <v>13</v>
      </c>
      <c r="AL2" s="3">
        <f>AL4*AI6*AL9/100*100</f>
        <v>35.789189168999997</v>
      </c>
      <c r="AM2" s="8" t="s">
        <v>14</v>
      </c>
      <c r="AP2" s="9"/>
      <c r="AQ2" s="2">
        <f>ABS(AU7-AU6)/ABS(AV7-AV6)*1000</f>
        <v>568.22391304326663</v>
      </c>
      <c r="AR2" s="2"/>
      <c r="AS2" s="6" t="s">
        <v>12</v>
      </c>
      <c r="AT2" s="2"/>
      <c r="AU2" s="7" t="s">
        <v>13</v>
      </c>
      <c r="AV2" s="3">
        <f>AV4*AS6*AV9/100*100</f>
        <v>35.702845375999999</v>
      </c>
      <c r="AW2" s="8" t="s">
        <v>14</v>
      </c>
      <c r="AX2" s="9"/>
      <c r="AY2" s="2">
        <f>ABS(BC7-BC6)/ABS(BD7-BD6)*1000</f>
        <v>538.25000000020373</v>
      </c>
      <c r="AZ2" s="2"/>
      <c r="BA2" s="6" t="s">
        <v>15</v>
      </c>
      <c r="BB2" s="2"/>
      <c r="BC2" s="7" t="s">
        <v>13</v>
      </c>
      <c r="BD2" s="3">
        <f>BD4*BA6*BD9/100*100</f>
        <v>35.754744299999999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1.7687999999999999</v>
      </c>
      <c r="J3" s="2"/>
      <c r="K3" s="10">
        <f>INDEX(L11:L1056,MATCH(I3,K11:K1056,0))</f>
        <v>-3.90442</v>
      </c>
      <c r="L3" s="31" t="s">
        <v>16</v>
      </c>
      <c r="M3" s="11">
        <f>M9</f>
        <v>36.875948328000007</v>
      </c>
      <c r="N3" s="9"/>
      <c r="O3" s="2" t="s">
        <v>44</v>
      </c>
      <c r="P3" s="2"/>
      <c r="Q3" s="2">
        <f>INDEX(S11:S1056,MATCH(0,T11:T1056,-1))</f>
        <v>1.7568999999999999</v>
      </c>
      <c r="R3" s="2"/>
      <c r="S3" s="10">
        <f>INDEX(T11:T1056,MATCH(Q3,S11:S1056,0))</f>
        <v>2.9605099999999998</v>
      </c>
      <c r="T3" s="31" t="s">
        <v>16</v>
      </c>
      <c r="U3" s="11">
        <f>U9</f>
        <v>36.169214718999996</v>
      </c>
      <c r="X3" s="9"/>
      <c r="Y3" s="2" t="s">
        <v>44</v>
      </c>
      <c r="Z3" s="2"/>
      <c r="AA3" s="2">
        <f>INDEX(AC11:AC856,MATCH(0,AD11:AD856,1))</f>
        <v>1.7742899999999999</v>
      </c>
      <c r="AB3" s="2"/>
      <c r="AC3" s="10">
        <f>INDEX(AD11:AD1056,MATCH(AA3,AC11:AC1056,0))</f>
        <v>-7.0770299999999997</v>
      </c>
      <c r="AD3" s="31" t="s">
        <v>16</v>
      </c>
      <c r="AE3" s="11">
        <f>AE9</f>
        <v>36.048353535000004</v>
      </c>
      <c r="AF3" s="9"/>
      <c r="AG3" s="2" t="s">
        <v>44</v>
      </c>
      <c r="AH3" s="2"/>
      <c r="AI3" s="2">
        <f>INDEX(AK11:AK1056,MATCH(0,AL11:AL1056,-1))</f>
        <v>1.7575099999999999</v>
      </c>
      <c r="AJ3" s="2"/>
      <c r="AK3" s="10">
        <f>INDEX(AL11:AL1056,MATCH(AI3,AK11:AK1056,0))</f>
        <v>5.0811799999999998</v>
      </c>
      <c r="AL3" s="31" t="s">
        <v>16</v>
      </c>
      <c r="AM3" s="11">
        <f>AM9</f>
        <v>35.789189168999997</v>
      </c>
      <c r="AP3" s="9"/>
      <c r="AQ3" s="2" t="s">
        <v>44</v>
      </c>
      <c r="AR3" s="2"/>
      <c r="AS3" s="2">
        <f>INDEX(AU11:AU856,MATCH(0,AV11:AV856,1))</f>
        <v>1.7746</v>
      </c>
      <c r="AT3" s="2"/>
      <c r="AU3" s="10">
        <f>INDEX(AV11:AV1056,MATCH(AS3,AU11:AU1056,0))</f>
        <v>-7.6293899999999999</v>
      </c>
      <c r="AV3" s="31" t="s">
        <v>16</v>
      </c>
      <c r="AW3" s="11">
        <f>AW9</f>
        <v>35.702845375999999</v>
      </c>
      <c r="AX3" s="9"/>
      <c r="AY3" s="2" t="s">
        <v>44</v>
      </c>
      <c r="AZ3" s="2"/>
      <c r="BA3" s="2">
        <f>INDEX(BC11:BC1056,MATCH(0,BD11:BD1056,-1))</f>
        <v>1.7575099999999999</v>
      </c>
      <c r="BB3" s="2"/>
      <c r="BC3" s="10">
        <f>INDEX(BD11:BD1056,MATCH(BA3,BC11:BC1056,0))</f>
        <v>5.8349600000000006</v>
      </c>
      <c r="BD3" s="31" t="s">
        <v>16</v>
      </c>
      <c r="BE3" s="11">
        <f>BE9</f>
        <v>35.754744299999999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0.49458707918253053</v>
      </c>
      <c r="H4" s="2"/>
      <c r="I4" s="2">
        <f>INDEX(K11:K1000,1+MATCH(0,L11:L856,1))</f>
        <v>1.7642199999999999</v>
      </c>
      <c r="J4" s="2"/>
      <c r="K4" s="10">
        <f>INDEX(L11:L1056,MATCH(I4,K11:K1056,0))</f>
        <v>5.3558300000000001</v>
      </c>
      <c r="L4" s="30">
        <f>M3/(I6*L9)</f>
        <v>0.82905509941368771</v>
      </c>
      <c r="M4" s="8" t="s">
        <v>17</v>
      </c>
      <c r="N4" s="9"/>
      <c r="O4" s="2">
        <f>ABS(Q3-Q4)/ABS(S3-S4)*1000</f>
        <v>0.58462967064796934</v>
      </c>
      <c r="P4" s="2"/>
      <c r="Q4" s="2">
        <f>INDEX(S11:S856,1+MATCH(0,T11:T856,-1))</f>
        <v>1.7623899999999999</v>
      </c>
      <c r="R4" s="2"/>
      <c r="S4" s="10">
        <f>INDEX(T11:T856,MATCH(Q4,S11:S856,0))</f>
        <v>-6.4300499999999996</v>
      </c>
      <c r="T4" s="30">
        <f>U3/(Q6*T9)</f>
        <v>0.82109773644056261</v>
      </c>
      <c r="U4" s="8" t="s">
        <v>17</v>
      </c>
      <c r="X4" s="9"/>
      <c r="Y4" s="2">
        <f>ABS(AA3-AA4)/ABS(AC3-AC4)*1000</f>
        <v>0.55228665790116938</v>
      </c>
      <c r="Z4" s="2"/>
      <c r="AA4" s="2">
        <f>INDEX(AC11:AC1000,1+MATCH(0,AD11:AD856,1))</f>
        <v>1.7687999999999999</v>
      </c>
      <c r="AB4" s="2"/>
      <c r="AC4" s="10">
        <f>INDEX(AD11:AD1056,MATCH(AA4,AC11:AC1056,0))</f>
        <v>2.8634599999999999</v>
      </c>
      <c r="AD4" s="30">
        <f>AE3/(AA6*AD9)</f>
        <v>0.82400145263051872</v>
      </c>
      <c r="AE4" s="8" t="s">
        <v>17</v>
      </c>
      <c r="AF4" s="9"/>
      <c r="AG4" s="2">
        <f>ABS(AI3-AI4)/ABS(AK3-AK4)*1000</f>
        <v>0.66080893709073818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-2.7728299999999999</v>
      </c>
      <c r="AL4" s="30">
        <f>AM3/(AI6*AL9)</f>
        <v>0.82859906506985059</v>
      </c>
      <c r="AM4" s="8" t="s">
        <v>17</v>
      </c>
      <c r="AP4" s="9"/>
      <c r="AQ4" s="2">
        <f>ABS(AS3-AS4)/ABS(AU3-AU4)*1000</f>
        <v>0.56813603862499307</v>
      </c>
      <c r="AR4" s="2"/>
      <c r="AS4" s="2">
        <f>INDEX(AU11:AU1000,1+MATCH(0,AV11:AV856,1))</f>
        <v>1.7690999999999999</v>
      </c>
      <c r="AT4" s="2"/>
      <c r="AU4" s="10">
        <f>INDEX(AV11:AV1056,MATCH(AS4,AU11:AU1056,0))</f>
        <v>2.05139</v>
      </c>
      <c r="AV4" s="30">
        <f>AW3/(AS6*AV9)</f>
        <v>0.82101370149719699</v>
      </c>
      <c r="AW4" s="8" t="s">
        <v>17</v>
      </c>
      <c r="AX4" s="9"/>
      <c r="AY4" s="2">
        <f>ABS(BA3-BA4)/ABS(BC3-BC4)*1000</f>
        <v>0.6876631378108764</v>
      </c>
      <c r="AZ4" s="2"/>
      <c r="BA4" s="2">
        <f>INDEX(BC11:BC856,1+MATCH(0,BD11:BD856,-1))</f>
        <v>1.7626999999999999</v>
      </c>
      <c r="BB4" s="2"/>
      <c r="BC4" s="10">
        <f>INDEX(BD11:BD856,MATCH(BA4,BC11:BC856,0))</f>
        <v>-1.71234</v>
      </c>
      <c r="BD4" s="30">
        <f>BE3/(BA6*BD9)</f>
        <v>0.82894998336879766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22.711200000000002</v>
      </c>
      <c r="N5" s="9"/>
      <c r="O5" s="2"/>
      <c r="P5" s="2"/>
      <c r="Q5" s="33" t="s">
        <v>18</v>
      </c>
      <c r="R5" s="33"/>
      <c r="S5" s="7" t="s">
        <v>19</v>
      </c>
      <c r="T5" s="6" t="s">
        <v>21</v>
      </c>
      <c r="U5" s="12">
        <f>INDEX(T11:T1056,MATCH(U9,U11:U1056,0))</f>
        <v>22.366299999999999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22.201499999999999</v>
      </c>
      <c r="AF5" s="9"/>
      <c r="AG5" s="2"/>
      <c r="AH5" s="2"/>
      <c r="AI5" s="33" t="s">
        <v>18</v>
      </c>
      <c r="AJ5" s="33"/>
      <c r="AK5" s="7" t="s">
        <v>19</v>
      </c>
      <c r="AL5" s="6" t="s">
        <v>21</v>
      </c>
      <c r="AM5" s="12">
        <f>INDEX(AL11:AL1056,MATCH(AM9,AM11:AM1056,0))</f>
        <v>22.1313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21.9208</v>
      </c>
      <c r="AX5" s="9"/>
      <c r="AY5" s="2"/>
      <c r="AZ5" s="2"/>
      <c r="BA5" s="33" t="s">
        <v>18</v>
      </c>
      <c r="BB5" s="33"/>
      <c r="BC5" s="7" t="s">
        <v>19</v>
      </c>
      <c r="BD5" s="6" t="s">
        <v>21</v>
      </c>
      <c r="BE5" s="12">
        <f>INDEX(BD11:BD1056,MATCH(BE9,BE11:BE1056,0))</f>
        <v>22.11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3" t="s">
        <v>18</v>
      </c>
      <c r="BT5" s="3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3" t="s">
        <v>18</v>
      </c>
      <c r="CL5" s="3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3" t="s">
        <v>18</v>
      </c>
      <c r="DD5" s="3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3" t="s">
        <v>18</v>
      </c>
      <c r="DV5" s="3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3" t="s">
        <v>18</v>
      </c>
      <c r="EN5" s="3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3" t="s">
        <v>18</v>
      </c>
      <c r="FE5" s="3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1.7668689243162981</v>
      </c>
      <c r="J6" s="30"/>
      <c r="K6" s="13">
        <f>INDEX(K11:K1056,MATCH(L6,L11:L1056,0))</f>
        <v>2.4963400000000001E-3</v>
      </c>
      <c r="L6" s="10">
        <f>INDEX(L11:L1056,MATCH(0,K11:K1056,-1))</f>
        <v>25.173999999999999</v>
      </c>
      <c r="M6" s="8" t="s">
        <v>22</v>
      </c>
      <c r="N6" s="9"/>
      <c r="O6" s="2"/>
      <c r="P6" s="2"/>
      <c r="Q6" s="32">
        <f>(Q3-Q4)/(S3-S4)*(-S4)+Q4</f>
        <v>1.75863080198625</v>
      </c>
      <c r="R6" s="32"/>
      <c r="S6" s="13">
        <f>INDEX(S11:S1056,MATCH(T6,T11:T1056,0))</f>
        <v>-4.1809100000000004E-3</v>
      </c>
      <c r="T6" s="10">
        <f>INDEX(T11:T1056,MATCH(0,S11:S1056,1))</f>
        <v>25.0275</v>
      </c>
      <c r="U6" s="8" t="s">
        <v>22</v>
      </c>
      <c r="X6" s="9"/>
      <c r="Y6" s="2"/>
      <c r="Z6" s="2"/>
      <c r="AA6" s="30">
        <f>(AA3-AA4)/(AC3-AC4)*(-AC4)+AA4</f>
        <v>1.7703814507534337</v>
      </c>
      <c r="AB6" s="30"/>
      <c r="AC6" s="13">
        <f>INDEX(AC11:AC1056,MATCH(AD6,AD11:AD1056,0))</f>
        <v>2.2674599999999998E-3</v>
      </c>
      <c r="AD6" s="10">
        <f>INDEX(AD11:AD1056,MATCH(0,AC11:AC1056,-1))</f>
        <v>24.707000000000001</v>
      </c>
      <c r="AE6" s="8" t="s">
        <v>22</v>
      </c>
      <c r="AF6" s="9"/>
      <c r="AG6" s="2"/>
      <c r="AH6" s="2"/>
      <c r="AI6" s="32">
        <f>(AI3-AI4)/(AK3-AK4)*(-AK4)+AI4</f>
        <v>1.7608676891549666</v>
      </c>
      <c r="AJ6" s="32"/>
      <c r="AK6" s="13">
        <f>INDEX(AK11:AK1056,MATCH(AL6,AL11:AL1056,0))</f>
        <v>-6.5277100000000005E-2</v>
      </c>
      <c r="AL6" s="10">
        <f>INDEX(AL11:AL1056,MATCH(0,AK11:AK1056,1))</f>
        <v>24.551400000000001</v>
      </c>
      <c r="AM6" s="8" t="s">
        <v>22</v>
      </c>
      <c r="AP6" s="9"/>
      <c r="AQ6" s="2"/>
      <c r="AR6" s="2"/>
      <c r="AS6" s="30">
        <f>(AS3-AS4)/(AU3-AU4)*(-AU4)+AS4</f>
        <v>1.7702654685882748</v>
      </c>
      <c r="AT6" s="30"/>
      <c r="AU6" s="13">
        <f>INDEX(AU11:AU1056,MATCH(AV6,AV11:AV1056,0))</f>
        <v>2.4688700000000002E-3</v>
      </c>
      <c r="AV6" s="10">
        <f>INDEX(AV11:AV1056,MATCH(0,AU11:AU1056,-1))</f>
        <v>24.560499999999998</v>
      </c>
      <c r="AW6" s="8" t="s">
        <v>22</v>
      </c>
      <c r="AX6" s="9"/>
      <c r="AY6" s="2"/>
      <c r="AZ6" s="2"/>
      <c r="BA6" s="32">
        <f>(BA3-BA4)/(BC3-BC4)*(-BC4)+BA4</f>
        <v>1.7615224869026009</v>
      </c>
      <c r="BB6" s="32"/>
      <c r="BC6" s="13">
        <f>INDEX(BC11:BC1056,MATCH(BD6,BD11:BD1056,0))</f>
        <v>-4.0039100000000003E-3</v>
      </c>
      <c r="BD6" s="10">
        <f>INDEX(BD11:BD1056,MATCH(0,BC11:BC1056,1))</f>
        <v>24.493399999999998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2" t="e">
        <f>(BS3-BS4)/(BU3-BU4)*(-BU4)+BS4</f>
        <v>#N/A</v>
      </c>
      <c r="BT6" s="3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2" t="e">
        <f>(CK3-CK4)/(CM3-CM4)*(-CM4)+CK4</f>
        <v>#N/A</v>
      </c>
      <c r="CL6" s="3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2" t="e">
        <f>(DC3-DC4)/(DE3-DE4)*(-DE4)+DC4</f>
        <v>#N/A</v>
      </c>
      <c r="DD6" s="3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2" t="e">
        <f>(DU3-DU4)/(DW3-DW4)*(-DW4)+DU4</f>
        <v>#N/A</v>
      </c>
      <c r="DV6" s="3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2" t="e">
        <f>(EM3-EM4)/(EO3-EO4)*(-EO4)+EM4</f>
        <v>#N/A</v>
      </c>
      <c r="EN6" s="3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2" t="e">
        <f>(FD3-FD4)/(FF3-FF4)*(-FF4)+FD4</f>
        <v>#N/A</v>
      </c>
      <c r="FE6" s="3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-7.85217E-2</v>
      </c>
      <c r="L7" s="10">
        <f>INDEX(L11:L856,1+MATCH(0,K11:K856,-1))</f>
        <v>25.180099999999999</v>
      </c>
      <c r="M7" s="12">
        <f>INDEX(K11:K1056,MATCH(M9,M11:M1056,0))</f>
        <v>1.62323</v>
      </c>
      <c r="N7" s="9"/>
      <c r="O7" s="2"/>
      <c r="P7" s="2"/>
      <c r="Q7" s="2"/>
      <c r="R7" s="2"/>
      <c r="S7" s="13">
        <f>INDEX(S11:S1056,MATCH(T7,T11:T1056,0))</f>
        <v>-3.4356699999999997E-2</v>
      </c>
      <c r="T7" s="10">
        <f>INDEX(T11:T1056,1+MATCH(0,S11:S1056,1))</f>
        <v>24.881</v>
      </c>
      <c r="U7" s="12">
        <f>INDEX(S11:S1056,MATCH(U9,U11:U1056,0))</f>
        <v>1.6162099999999999</v>
      </c>
      <c r="X7" s="9"/>
      <c r="Y7" s="2"/>
      <c r="Z7" s="2"/>
      <c r="AA7" s="2"/>
      <c r="AB7" s="2"/>
      <c r="AC7" s="13">
        <f>INDEX(AC11:AC856,MATCH(AD7,AD11:AD856,1))</f>
        <v>-2.9266399999999999E-3</v>
      </c>
      <c r="AD7" s="10">
        <f>INDEX(AD11:AD856,1+MATCH(0,AC11:AC856,-1))</f>
        <v>24.716200000000001</v>
      </c>
      <c r="AE7" s="12">
        <f>INDEX(AC11:AC1056,MATCH(AE9,AE11:AE1056,0))</f>
        <v>1.62323</v>
      </c>
      <c r="AF7" s="9"/>
      <c r="AG7" s="2"/>
      <c r="AH7" s="2"/>
      <c r="AI7" s="2"/>
      <c r="AJ7" s="2"/>
      <c r="AK7" s="13">
        <f>INDEX(AK11:AK1056,MATCH(AL7,AL11:AL1056,0))</f>
        <v>-2.9647799999999998E-2</v>
      </c>
      <c r="AL7" s="10">
        <f>INDEX(AL11:AL1056,2+MATCH(0,AK11:AK1056,1))</f>
        <v>24.539200000000001</v>
      </c>
      <c r="AM7" s="12">
        <f>INDEX(AK11:AK1056,MATCH(AM9,AM11:AM1056,0))</f>
        <v>1.6168199999999999</v>
      </c>
      <c r="AP7" s="9"/>
      <c r="AQ7" s="2"/>
      <c r="AR7" s="2"/>
      <c r="AS7" s="2"/>
      <c r="AT7" s="2"/>
      <c r="AU7" s="13">
        <f>INDEX(AU11:AU856,MATCH(AV7,AV11:AV856,1))</f>
        <v>-2.7587900000000001E-3</v>
      </c>
      <c r="AV7" s="10">
        <f>INDEX(AV11:AV856,1+MATCH(0,AU11:AU856,-1))</f>
        <v>24.569700000000001</v>
      </c>
      <c r="AW7" s="12">
        <f>INDEX(AU11:AU1056,MATCH(AW9,AW11:AW1056,0))</f>
        <v>1.62842</v>
      </c>
      <c r="AX7" s="9"/>
      <c r="AY7" s="2"/>
      <c r="AZ7" s="2"/>
      <c r="BA7" s="2"/>
      <c r="BB7" s="2"/>
      <c r="BC7" s="13">
        <f>INDEX(BC11:BC1056,MATCH(BD7,BD11:BD1056,0))</f>
        <v>8.9416500000000004E-4</v>
      </c>
      <c r="BD7" s="10">
        <f>INDEX(BD11:BD1056,1+MATCH(0,BC11:BC1056,1))</f>
        <v>24.484300000000001</v>
      </c>
      <c r="BE7" s="12">
        <f>INDEX(BC11:BC1056,MATCH(BE9,BE11:BE1056,0))</f>
        <v>1.6162099999999999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1.9165164315608374</v>
      </c>
      <c r="J9" s="2"/>
      <c r="K9" s="2"/>
      <c r="L9" s="3">
        <f>(L6-L7)/(K6-K7)*(-K7)+L7</f>
        <v>25.17418795411491</v>
      </c>
      <c r="M9" s="16">
        <f>MAX(M11:M1056)</f>
        <v>36.875948328000007</v>
      </c>
      <c r="N9" s="9"/>
      <c r="O9" s="2"/>
      <c r="P9" s="2"/>
      <c r="Q9" s="2"/>
      <c r="R9" s="2"/>
      <c r="S9" s="2"/>
      <c r="T9" s="3">
        <f>(T6-T7)/(S6-S7)*(-S7)+T7</f>
        <v>25.047797838598427</v>
      </c>
      <c r="U9" s="16">
        <f>MAX(U11:U1056)</f>
        <v>36.169214718999996</v>
      </c>
      <c r="X9" s="9"/>
      <c r="Y9" s="2"/>
      <c r="Z9" s="2"/>
      <c r="AA9" s="15">
        <f>(MAX(AD2,AL2)-MIN(AD2,AL2))/MAX(AD2,AL2)%</f>
        <v>0.71893537592049217</v>
      </c>
      <c r="AB9" s="2"/>
      <c r="AC9" s="2"/>
      <c r="AD9" s="3">
        <f>(AD6-AD7)/(AC6-AC7)*(-AC7)+AD7</f>
        <v>24.711016216861438</v>
      </c>
      <c r="AE9" s="16">
        <f>MAX(AE11:AE1056)</f>
        <v>36.048353535000004</v>
      </c>
      <c r="AF9" s="9"/>
      <c r="AG9" s="2"/>
      <c r="AH9" s="2"/>
      <c r="AI9" s="2"/>
      <c r="AJ9" s="2"/>
      <c r="AK9" s="2"/>
      <c r="AL9" s="3">
        <f>(AL6-AL7)/(AK6-AK7)*(-AK7)+AL7</f>
        <v>24.529048154187706</v>
      </c>
      <c r="AM9" s="16">
        <f>MAX(AM11:AM1056)</f>
        <v>35.789189168999997</v>
      </c>
      <c r="AP9" s="9"/>
      <c r="AQ9" s="2"/>
      <c r="AR9" s="2"/>
      <c r="AS9" s="15">
        <f>(MAX(AV2,BD2)-MIN(AV2,BD2))/MAX(AV2,BD2)%</f>
        <v>0.14515255252433626</v>
      </c>
      <c r="AT9" s="2"/>
      <c r="AU9" s="2"/>
      <c r="AV9" s="3">
        <f>(AV6-AV7)/(AU6-AU7)*(-AU7)+AV7</f>
        <v>24.564844889300375</v>
      </c>
      <c r="AW9" s="16">
        <f>MAX(AW11:AW1056)</f>
        <v>35.702845375999999</v>
      </c>
      <c r="AX9" s="9"/>
      <c r="AY9" s="2"/>
      <c r="AZ9" s="2"/>
      <c r="BA9" s="2"/>
      <c r="BB9" s="2"/>
      <c r="BC9" s="2"/>
      <c r="BD9" s="3">
        <f>(BD6-BD7)/(BC6-BC7)*(-BC7)+BD7</f>
        <v>24.485961244774732</v>
      </c>
      <c r="BE9" s="16">
        <f>MAX(BE11:BE1056)</f>
        <v>35.754744299999999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1.7668689243162981</v>
      </c>
      <c r="B11" s="19">
        <f>IFERROR(L9,0)</f>
        <v>25.17418795411491</v>
      </c>
      <c r="C11" s="20">
        <f>IFERROR(L4,0)</f>
        <v>0.82905509941368771</v>
      </c>
      <c r="D11" s="21">
        <f>IFERROR(L2,0)</f>
        <v>36.875948328000007</v>
      </c>
      <c r="E11" s="21">
        <f>IFERROR(I9,0)</f>
        <v>1.9165164315608374</v>
      </c>
      <c r="F11" s="9"/>
      <c r="G11" s="22">
        <v>1.7948900000000001</v>
      </c>
      <c r="H11" s="22">
        <v>56.107599999999998</v>
      </c>
      <c r="I11" s="22">
        <v>6.1676000000000002E-2</v>
      </c>
      <c r="J11" s="22">
        <v>1</v>
      </c>
      <c r="K11" s="22">
        <v>1.79443</v>
      </c>
      <c r="L11">
        <f>-I11/$F$2*1000</f>
        <v>-61.676000000000002</v>
      </c>
      <c r="M11">
        <f>L11*G11</f>
        <v>-110.70163564000001</v>
      </c>
      <c r="N11" s="9"/>
      <c r="O11" s="22">
        <v>-9.49097E-2</v>
      </c>
      <c r="P11" s="22">
        <v>145.42500000000001</v>
      </c>
      <c r="Q11" s="22">
        <v>-2.4929799999999998E-2</v>
      </c>
      <c r="R11" s="22">
        <v>1</v>
      </c>
      <c r="S11" s="22">
        <v>-9.4970700000000005E-2</v>
      </c>
      <c r="T11">
        <f>-Q11/$F$2*1000</f>
        <v>24.9298</v>
      </c>
      <c r="U11">
        <f>T11*O11</f>
        <v>-2.3660798390600002</v>
      </c>
      <c r="V11" s="23"/>
      <c r="W11" s="24"/>
      <c r="X11" s="9"/>
      <c r="Y11" s="22">
        <v>1.7948900000000001</v>
      </c>
      <c r="Z11" s="22">
        <v>269.387</v>
      </c>
      <c r="AA11" s="22">
        <v>5.1727299999999997E-2</v>
      </c>
      <c r="AB11" s="22">
        <v>1</v>
      </c>
      <c r="AC11" s="22">
        <v>1.79443</v>
      </c>
      <c r="AD11">
        <f>-AA11/$F$2*1000</f>
        <v>-51.7273</v>
      </c>
      <c r="AE11">
        <f>AD11*Y11</f>
        <v>-92.844813497000004</v>
      </c>
      <c r="AF11" s="9"/>
      <c r="AG11" s="22">
        <v>-9.49097E-2</v>
      </c>
      <c r="AH11" s="22">
        <v>375.26600000000002</v>
      </c>
      <c r="AI11" s="22">
        <v>-2.4575799999999998E-2</v>
      </c>
      <c r="AJ11" s="22">
        <v>1</v>
      </c>
      <c r="AK11" s="22">
        <v>-9.5153799999999997E-2</v>
      </c>
      <c r="AL11">
        <f>-AI11/$F$2*1000</f>
        <v>24.575799999999997</v>
      </c>
      <c r="AM11">
        <f>AL11*AG11</f>
        <v>-2.3324818052599996</v>
      </c>
      <c r="AP11" s="9"/>
      <c r="AQ11" s="22">
        <v>1.7948900000000001</v>
      </c>
      <c r="AR11" s="22">
        <v>463.65600000000001</v>
      </c>
      <c r="AS11" s="22">
        <v>5.0018300000000002E-2</v>
      </c>
      <c r="AT11" s="22">
        <v>1</v>
      </c>
      <c r="AU11" s="22">
        <v>1.79474</v>
      </c>
      <c r="AV11">
        <f>-AS11/$F$2*1000</f>
        <v>-50.018300000000004</v>
      </c>
      <c r="AW11">
        <f>AV11*AQ11</f>
        <v>-89.777346487000017</v>
      </c>
      <c r="AX11" s="9"/>
      <c r="AY11" s="22">
        <v>-9.49097E-2</v>
      </c>
      <c r="AZ11" s="22">
        <v>574.53499999999997</v>
      </c>
      <c r="BA11" s="22">
        <v>-2.4563600000000001E-2</v>
      </c>
      <c r="BB11" s="22">
        <v>1</v>
      </c>
      <c r="BC11" s="22">
        <v>-9.5459000000000002E-2</v>
      </c>
      <c r="BD11">
        <f>-BA11/$F$2*1000</f>
        <v>24.563600000000001</v>
      </c>
      <c r="BE11">
        <f>BD11*AY11</f>
        <v>-2.3313239069200002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1.75863080198625</v>
      </c>
      <c r="B12" s="19">
        <f>IFERROR(T9,0)</f>
        <v>25.047797838598427</v>
      </c>
      <c r="C12" s="20">
        <f>IFERROR(T4,0)</f>
        <v>0.82109773644056261</v>
      </c>
      <c r="D12" s="21">
        <f>IFERROR(T2,0)</f>
        <v>36.169214719000003</v>
      </c>
      <c r="E12" s="21"/>
      <c r="F12" s="9"/>
      <c r="G12" s="22">
        <v>1.78986</v>
      </c>
      <c r="H12" s="22">
        <v>56.208300000000001</v>
      </c>
      <c r="I12" s="22">
        <v>5.0048799999999997E-2</v>
      </c>
      <c r="J12" s="22">
        <v>2</v>
      </c>
      <c r="K12" s="22">
        <v>1.78894</v>
      </c>
      <c r="L12">
        <f t="shared" ref="L12:L75" si="0">-I12/$F$2*1000</f>
        <v>-50.0488</v>
      </c>
      <c r="M12">
        <f t="shared" ref="M12:M75" si="1">L12*G12</f>
        <v>-89.580345167999994</v>
      </c>
      <c r="N12" s="9"/>
      <c r="O12" s="22">
        <v>-8.9874300000000004E-2</v>
      </c>
      <c r="P12" s="22">
        <v>145.52600000000001</v>
      </c>
      <c r="Q12" s="22">
        <v>-2.4917600000000002E-2</v>
      </c>
      <c r="R12" s="22">
        <v>2</v>
      </c>
      <c r="S12" s="22">
        <v>-8.9874300000000004E-2</v>
      </c>
      <c r="T12">
        <f t="shared" ref="T12:T75" si="2">-Q12/$F$2*1000</f>
        <v>24.9176</v>
      </c>
      <c r="U12">
        <f t="shared" ref="U12:U75" si="3">T12*O12</f>
        <v>-2.2394518576800002</v>
      </c>
      <c r="V12" s="23"/>
      <c r="W12" s="24"/>
      <c r="X12" s="9"/>
      <c r="Y12" s="22">
        <v>1.78986</v>
      </c>
      <c r="Z12" s="22">
        <v>269.488</v>
      </c>
      <c r="AA12" s="22">
        <v>4.0502900000000001E-2</v>
      </c>
      <c r="AB12" s="22">
        <v>2</v>
      </c>
      <c r="AC12" s="22">
        <v>1.78894</v>
      </c>
      <c r="AD12">
        <f t="shared" ref="AD12:AD75" si="4">-AA12/$F$2*1000</f>
        <v>-40.502900000000004</v>
      </c>
      <c r="AE12">
        <f t="shared" ref="AE12:AE75" si="5">AD12*Y12</f>
        <v>-72.494520594000008</v>
      </c>
      <c r="AF12" s="9"/>
      <c r="AG12" s="22">
        <v>-8.9874300000000004E-2</v>
      </c>
      <c r="AH12" s="22">
        <v>375.36700000000002</v>
      </c>
      <c r="AI12" s="22">
        <v>-2.4560499999999999E-2</v>
      </c>
      <c r="AJ12" s="22">
        <v>2</v>
      </c>
      <c r="AK12" s="22">
        <v>-9.0209999999999999E-2</v>
      </c>
      <c r="AL12">
        <f t="shared" ref="AL12:AL75" si="6">-AI12/$F$2*1000</f>
        <v>24.560499999999998</v>
      </c>
      <c r="AM12">
        <f t="shared" ref="AM12:AM75" si="7">AL12*AG12</f>
        <v>-2.2073577451499999</v>
      </c>
      <c r="AP12" s="9"/>
      <c r="AQ12" s="22">
        <v>1.78986</v>
      </c>
      <c r="AR12" s="22">
        <v>463.75700000000001</v>
      </c>
      <c r="AS12" s="22">
        <v>3.9352400000000003E-2</v>
      </c>
      <c r="AT12" s="22">
        <v>2</v>
      </c>
      <c r="AU12" s="22">
        <v>1.78955</v>
      </c>
      <c r="AV12">
        <f t="shared" ref="AV12:AV75" si="8">-AS12/$F$2*1000</f>
        <v>-39.352400000000003</v>
      </c>
      <c r="AW12">
        <f t="shared" ref="AW12:AW75" si="9">AV12*AQ12</f>
        <v>-70.435286664000003</v>
      </c>
      <c r="AX12" s="9"/>
      <c r="AY12" s="22">
        <v>-8.9874300000000004E-2</v>
      </c>
      <c r="AZ12" s="22">
        <v>574.63599999999997</v>
      </c>
      <c r="BA12" s="22">
        <v>-2.4551400000000001E-2</v>
      </c>
      <c r="BB12" s="22">
        <v>2</v>
      </c>
      <c r="BC12" s="22">
        <v>-9.0301500000000007E-2</v>
      </c>
      <c r="BD12">
        <f t="shared" ref="BD12:BD75" si="10">-BA12/$F$2*1000</f>
        <v>24.551400000000001</v>
      </c>
      <c r="BE12">
        <f t="shared" ref="BE12:BE75" si="11">BD12*AY12</f>
        <v>-2.2065398890200001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1.7703814507534337</v>
      </c>
      <c r="B13" s="19">
        <f>IFERROR(AD9,0)</f>
        <v>24.711016216861438</v>
      </c>
      <c r="C13" s="20">
        <f>IFERROR(AD4,0)</f>
        <v>0.82400145263051872</v>
      </c>
      <c r="D13" s="21">
        <f>IFERROR(AD2,0)</f>
        <v>36.048353534999997</v>
      </c>
      <c r="E13" s="21">
        <f>IFERROR(AA9,0)</f>
        <v>0.71893537592049217</v>
      </c>
      <c r="F13" s="9"/>
      <c r="G13" s="22">
        <v>1.7848200000000001</v>
      </c>
      <c r="H13" s="22">
        <v>56.308999999999997</v>
      </c>
      <c r="I13" s="22">
        <v>3.8485699999999998E-2</v>
      </c>
      <c r="J13" s="22">
        <v>3</v>
      </c>
      <c r="K13" s="22">
        <v>1.78406</v>
      </c>
      <c r="L13">
        <f t="shared" si="0"/>
        <v>-38.485699999999994</v>
      </c>
      <c r="M13">
        <f t="shared" si="1"/>
        <v>-68.690047073999992</v>
      </c>
      <c r="N13" s="9"/>
      <c r="O13" s="22">
        <v>-8.4838899999999995E-2</v>
      </c>
      <c r="P13" s="22">
        <v>145.62700000000001</v>
      </c>
      <c r="Q13" s="22">
        <v>-2.49237E-2</v>
      </c>
      <c r="R13" s="22">
        <v>3</v>
      </c>
      <c r="S13" s="22">
        <v>-8.5357699999999995E-2</v>
      </c>
      <c r="T13">
        <f t="shared" si="2"/>
        <v>24.9237</v>
      </c>
      <c r="U13">
        <f t="shared" si="3"/>
        <v>-2.1144992919300001</v>
      </c>
      <c r="V13" s="23"/>
      <c r="W13" s="24"/>
      <c r="X13" s="9"/>
      <c r="Y13" s="22">
        <v>1.7848200000000001</v>
      </c>
      <c r="Z13" s="22">
        <v>269.589</v>
      </c>
      <c r="AA13" s="22">
        <v>2.91656E-2</v>
      </c>
      <c r="AB13" s="22">
        <v>3</v>
      </c>
      <c r="AC13" s="22">
        <v>1.78467</v>
      </c>
      <c r="AD13">
        <f t="shared" si="4"/>
        <v>-29.165600000000001</v>
      </c>
      <c r="AE13">
        <f t="shared" si="5"/>
        <v>-52.055346192000002</v>
      </c>
      <c r="AF13" s="9"/>
      <c r="AG13" s="22">
        <v>-8.4838899999999995E-2</v>
      </c>
      <c r="AH13" s="22">
        <v>375.46699999999998</v>
      </c>
      <c r="AI13" s="22">
        <v>-2.4554400000000001E-2</v>
      </c>
      <c r="AJ13" s="22">
        <v>3</v>
      </c>
      <c r="AK13" s="22">
        <v>-8.4960900000000006E-2</v>
      </c>
      <c r="AL13">
        <f t="shared" si="6"/>
        <v>24.554400000000001</v>
      </c>
      <c r="AM13">
        <f t="shared" si="7"/>
        <v>-2.0831682861599998</v>
      </c>
      <c r="AP13" s="9"/>
      <c r="AQ13" s="22">
        <v>1.7848200000000001</v>
      </c>
      <c r="AR13" s="22">
        <v>463.858</v>
      </c>
      <c r="AS13" s="22">
        <v>2.8762800000000002E-2</v>
      </c>
      <c r="AT13" s="22">
        <v>3</v>
      </c>
      <c r="AU13" s="22">
        <v>1.7843599999999999</v>
      </c>
      <c r="AV13">
        <f t="shared" si="8"/>
        <v>-28.762800000000002</v>
      </c>
      <c r="AW13">
        <f t="shared" si="9"/>
        <v>-51.336420696000005</v>
      </c>
      <c r="AX13" s="9"/>
      <c r="AY13" s="22">
        <v>-8.4838899999999995E-2</v>
      </c>
      <c r="AZ13" s="22">
        <v>574.73699999999997</v>
      </c>
      <c r="BA13" s="22">
        <v>-2.4545299999999999E-2</v>
      </c>
      <c r="BB13" s="22">
        <v>3</v>
      </c>
      <c r="BC13" s="22">
        <v>-8.5571300000000003E-2</v>
      </c>
      <c r="BD13">
        <f t="shared" si="10"/>
        <v>24.545299999999997</v>
      </c>
      <c r="BE13">
        <f t="shared" si="11"/>
        <v>-2.0823962521699997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1.7608676891549666</v>
      </c>
      <c r="B14" s="19">
        <f>IFERROR(AL9,0)</f>
        <v>24.529048154187706</v>
      </c>
      <c r="C14" s="20">
        <f>IFERROR(AL4,0)</f>
        <v>0.82859906506985059</v>
      </c>
      <c r="D14" s="21">
        <f>IFERROR(AL2,0)</f>
        <v>35.789189168999997</v>
      </c>
      <c r="E14" s="21"/>
      <c r="F14" s="9"/>
      <c r="G14" s="22">
        <v>1.77979</v>
      </c>
      <c r="H14" s="22">
        <v>56.409700000000001</v>
      </c>
      <c r="I14" s="22">
        <v>2.68433E-2</v>
      </c>
      <c r="J14" s="22">
        <v>4</v>
      </c>
      <c r="K14" s="22">
        <v>1.7791699999999999</v>
      </c>
      <c r="L14">
        <f t="shared" si="0"/>
        <v>-26.843299999999999</v>
      </c>
      <c r="M14">
        <f t="shared" si="1"/>
        <v>-47.775436907</v>
      </c>
      <c r="N14" s="9"/>
      <c r="O14" s="22">
        <v>-7.9803499999999999E-2</v>
      </c>
      <c r="P14" s="22">
        <v>145.727</v>
      </c>
      <c r="Q14" s="22">
        <v>-2.49237E-2</v>
      </c>
      <c r="R14" s="22">
        <v>4</v>
      </c>
      <c r="S14" s="22">
        <v>-8.0413799999999994E-2</v>
      </c>
      <c r="T14">
        <f t="shared" si="2"/>
        <v>24.9237</v>
      </c>
      <c r="U14">
        <f t="shared" si="3"/>
        <v>-1.98899849295</v>
      </c>
      <c r="V14" s="23"/>
      <c r="W14" s="24"/>
      <c r="X14" s="9"/>
      <c r="Y14" s="22">
        <v>1.77979</v>
      </c>
      <c r="Z14" s="22">
        <v>269.68900000000002</v>
      </c>
      <c r="AA14" s="22">
        <v>1.7984E-2</v>
      </c>
      <c r="AB14" s="22">
        <v>4</v>
      </c>
      <c r="AC14" s="22">
        <v>1.77887</v>
      </c>
      <c r="AD14">
        <f t="shared" si="4"/>
        <v>-17.984000000000002</v>
      </c>
      <c r="AE14">
        <f t="shared" si="5"/>
        <v>-32.007743360000006</v>
      </c>
      <c r="AF14" s="9"/>
      <c r="AG14" s="22">
        <v>-7.9803499999999999E-2</v>
      </c>
      <c r="AH14" s="22">
        <v>375.56799999999998</v>
      </c>
      <c r="AI14" s="22">
        <v>-2.4560499999999999E-2</v>
      </c>
      <c r="AJ14" s="22">
        <v>4</v>
      </c>
      <c r="AK14" s="22">
        <v>-8.0474900000000002E-2</v>
      </c>
      <c r="AL14">
        <f t="shared" si="6"/>
        <v>24.560499999999998</v>
      </c>
      <c r="AM14">
        <f t="shared" si="7"/>
        <v>-1.9600138617499998</v>
      </c>
      <c r="AP14" s="9"/>
      <c r="AQ14" s="22">
        <v>1.77979</v>
      </c>
      <c r="AR14" s="22">
        <v>463.959</v>
      </c>
      <c r="AS14" s="22">
        <v>1.8096899999999999E-2</v>
      </c>
      <c r="AT14" s="22">
        <v>4</v>
      </c>
      <c r="AU14" s="22">
        <v>1.77948</v>
      </c>
      <c r="AV14">
        <f t="shared" si="8"/>
        <v>-18.096899999999998</v>
      </c>
      <c r="AW14">
        <f t="shared" si="9"/>
        <v>-32.208681650999999</v>
      </c>
      <c r="AX14" s="9"/>
      <c r="AY14" s="22">
        <v>-7.9803499999999999E-2</v>
      </c>
      <c r="AZ14" s="22">
        <v>574.83799999999997</v>
      </c>
      <c r="BA14" s="22">
        <v>-2.4539200000000001E-2</v>
      </c>
      <c r="BB14" s="22">
        <v>4</v>
      </c>
      <c r="BC14" s="22">
        <v>-8.0291699999999994E-2</v>
      </c>
      <c r="BD14">
        <f t="shared" si="10"/>
        <v>24.539200000000001</v>
      </c>
      <c r="BE14">
        <f t="shared" si="11"/>
        <v>-1.9583140472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1.7702654685882748</v>
      </c>
      <c r="B15" s="19">
        <f>IFERROR(AV9,0)</f>
        <v>24.564844889300375</v>
      </c>
      <c r="C15" s="20">
        <f>IFERROR(AV4,0)</f>
        <v>0.82101370149719699</v>
      </c>
      <c r="D15" s="21">
        <f>IFERROR(AV2,0)</f>
        <v>35.702845375999999</v>
      </c>
      <c r="E15" s="21">
        <f>IFERROR(AS9,0)</f>
        <v>0.14515255252433626</v>
      </c>
      <c r="F15" s="9"/>
      <c r="G15" s="22">
        <v>1.77475</v>
      </c>
      <c r="H15" s="22">
        <v>56.510399999999997</v>
      </c>
      <c r="I15" s="22">
        <v>1.5374799999999999E-2</v>
      </c>
      <c r="J15" s="22">
        <v>5</v>
      </c>
      <c r="K15" s="22">
        <v>1.7746</v>
      </c>
      <c r="L15">
        <f t="shared" si="0"/>
        <v>-15.374799999999999</v>
      </c>
      <c r="M15">
        <f t="shared" si="1"/>
        <v>-27.286426299999999</v>
      </c>
      <c r="N15" s="9"/>
      <c r="O15" s="22">
        <v>-7.4768100000000004E-2</v>
      </c>
      <c r="P15" s="22">
        <v>145.828</v>
      </c>
      <c r="Q15" s="22">
        <v>-2.49207E-2</v>
      </c>
      <c r="R15" s="22">
        <v>5</v>
      </c>
      <c r="S15" s="22">
        <v>-7.5134300000000001E-2</v>
      </c>
      <c r="T15">
        <f t="shared" si="2"/>
        <v>24.9207</v>
      </c>
      <c r="U15">
        <f t="shared" si="3"/>
        <v>-1.86327338967</v>
      </c>
      <c r="V15" s="23"/>
      <c r="W15" s="24"/>
      <c r="X15" s="9"/>
      <c r="Y15" s="22">
        <v>1.77475</v>
      </c>
      <c r="Z15" s="22">
        <v>269.79000000000002</v>
      </c>
      <c r="AA15" s="22">
        <v>7.0770299999999998E-3</v>
      </c>
      <c r="AB15" s="22">
        <v>5</v>
      </c>
      <c r="AC15" s="22">
        <v>1.7742899999999999</v>
      </c>
      <c r="AD15">
        <f t="shared" si="4"/>
        <v>-7.0770299999999997</v>
      </c>
      <c r="AE15">
        <f t="shared" si="5"/>
        <v>-12.5599589925</v>
      </c>
      <c r="AF15" s="9"/>
      <c r="AG15" s="22">
        <v>-7.4768100000000004E-2</v>
      </c>
      <c r="AH15" s="22">
        <v>375.66899999999998</v>
      </c>
      <c r="AI15" s="22">
        <v>-2.4548299999999999E-2</v>
      </c>
      <c r="AJ15" s="22">
        <v>5</v>
      </c>
      <c r="AK15" s="22">
        <v>-7.5103799999999998E-2</v>
      </c>
      <c r="AL15">
        <f t="shared" si="6"/>
        <v>24.548299999999998</v>
      </c>
      <c r="AM15">
        <f t="shared" si="7"/>
        <v>-1.83542974923</v>
      </c>
      <c r="AP15" s="9"/>
      <c r="AQ15" s="22">
        <v>1.77475</v>
      </c>
      <c r="AR15" s="22">
        <v>464.05900000000003</v>
      </c>
      <c r="AS15" s="22">
        <v>7.6293899999999998E-3</v>
      </c>
      <c r="AT15" s="22">
        <v>5</v>
      </c>
      <c r="AU15" s="22">
        <v>1.7746</v>
      </c>
      <c r="AV15">
        <f t="shared" si="8"/>
        <v>-7.6293899999999999</v>
      </c>
      <c r="AW15">
        <f t="shared" si="9"/>
        <v>-13.540259902500001</v>
      </c>
      <c r="AX15" s="9"/>
      <c r="AY15" s="22">
        <v>-7.4768100000000004E-2</v>
      </c>
      <c r="AZ15" s="22">
        <v>574.93799999999999</v>
      </c>
      <c r="BA15" s="22">
        <v>-2.4533099999999999E-2</v>
      </c>
      <c r="BB15" s="22">
        <v>5</v>
      </c>
      <c r="BC15" s="22">
        <v>-7.4951199999999996E-2</v>
      </c>
      <c r="BD15">
        <f t="shared" si="10"/>
        <v>24.533099999999997</v>
      </c>
      <c r="BE15">
        <f t="shared" si="11"/>
        <v>-1.83429327411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1.7615224869026009</v>
      </c>
      <c r="B16" s="19">
        <f>IFERROR(BD9,0)</f>
        <v>24.485961244774732</v>
      </c>
      <c r="C16" s="20">
        <f>IFERROR(BD4,0)</f>
        <v>0.82894998336879766</v>
      </c>
      <c r="D16" s="21">
        <f>IFERROR(BD2,0)</f>
        <v>35.754744299999999</v>
      </c>
      <c r="E16" s="21"/>
      <c r="F16" s="9"/>
      <c r="G16" s="22">
        <v>1.7697099999999999</v>
      </c>
      <c r="H16" s="22">
        <v>56.6111</v>
      </c>
      <c r="I16" s="22">
        <v>3.90442E-3</v>
      </c>
      <c r="J16" s="22">
        <v>6</v>
      </c>
      <c r="K16" s="22">
        <v>1.7687999999999999</v>
      </c>
      <c r="L16">
        <f t="shared" si="0"/>
        <v>-3.90442</v>
      </c>
      <c r="M16">
        <f t="shared" si="1"/>
        <v>-6.9096911181999996</v>
      </c>
      <c r="N16" s="9"/>
      <c r="O16" s="22">
        <v>-6.9732699999999995E-2</v>
      </c>
      <c r="P16" s="22">
        <v>145.929</v>
      </c>
      <c r="Q16" s="22">
        <v>-2.4914599999999999E-2</v>
      </c>
      <c r="R16" s="22">
        <v>6</v>
      </c>
      <c r="S16" s="22">
        <v>-7.0281999999999997E-2</v>
      </c>
      <c r="T16">
        <f t="shared" si="2"/>
        <v>24.9146</v>
      </c>
      <c r="U16">
        <f t="shared" si="3"/>
        <v>-1.7373623274199999</v>
      </c>
      <c r="V16" s="23"/>
      <c r="W16" s="24"/>
      <c r="X16" s="9"/>
      <c r="Y16" s="22">
        <v>1.7697099999999999</v>
      </c>
      <c r="Z16" s="22">
        <v>269.89100000000002</v>
      </c>
      <c r="AA16" s="22">
        <v>-2.86346E-3</v>
      </c>
      <c r="AB16" s="22">
        <v>6</v>
      </c>
      <c r="AC16" s="22">
        <v>1.7687999999999999</v>
      </c>
      <c r="AD16">
        <f t="shared" si="4"/>
        <v>2.8634599999999999</v>
      </c>
      <c r="AE16">
        <f t="shared" si="5"/>
        <v>5.0674937965999991</v>
      </c>
      <c r="AF16" s="9"/>
      <c r="AG16" s="22">
        <v>-6.9732699999999995E-2</v>
      </c>
      <c r="AH16" s="22">
        <v>375.77</v>
      </c>
      <c r="AI16" s="22">
        <v>-2.4554400000000001E-2</v>
      </c>
      <c r="AJ16" s="22">
        <v>6</v>
      </c>
      <c r="AK16" s="22">
        <v>-6.92749E-2</v>
      </c>
      <c r="AL16">
        <f t="shared" si="6"/>
        <v>24.554400000000001</v>
      </c>
      <c r="AM16">
        <f t="shared" si="7"/>
        <v>-1.7122446088799999</v>
      </c>
      <c r="AP16" s="9"/>
      <c r="AQ16" s="22">
        <v>1.7697099999999999</v>
      </c>
      <c r="AR16" s="22">
        <v>464.16</v>
      </c>
      <c r="AS16" s="22">
        <v>-2.0513900000000002E-3</v>
      </c>
      <c r="AT16" s="22">
        <v>6</v>
      </c>
      <c r="AU16" s="22">
        <v>1.7690999999999999</v>
      </c>
      <c r="AV16">
        <f t="shared" si="8"/>
        <v>2.05139</v>
      </c>
      <c r="AW16">
        <f t="shared" si="9"/>
        <v>3.6303653968999998</v>
      </c>
      <c r="AX16" s="9"/>
      <c r="AY16" s="22">
        <v>-6.9732699999999995E-2</v>
      </c>
      <c r="AZ16" s="22">
        <v>575.03899999999999</v>
      </c>
      <c r="BA16" s="22">
        <v>-2.4536100000000002E-2</v>
      </c>
      <c r="BB16" s="22">
        <v>6</v>
      </c>
      <c r="BC16" s="22">
        <v>-6.96716E-2</v>
      </c>
      <c r="BD16">
        <f t="shared" si="10"/>
        <v>24.536100000000001</v>
      </c>
      <c r="BE16">
        <f t="shared" si="11"/>
        <v>-1.7109685004699999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56.7119</v>
      </c>
      <c r="I17" s="22">
        <v>-5.3558299999999998E-3</v>
      </c>
      <c r="J17" s="22">
        <v>7</v>
      </c>
      <c r="K17" s="22">
        <v>1.7642199999999999</v>
      </c>
      <c r="L17">
        <f t="shared" si="0"/>
        <v>5.3558300000000001</v>
      </c>
      <c r="M17">
        <f t="shared" si="1"/>
        <v>9.4513260843999998</v>
      </c>
      <c r="N17" s="9"/>
      <c r="O17" s="22">
        <v>-6.4697299999999999E-2</v>
      </c>
      <c r="P17" s="22">
        <v>146.029</v>
      </c>
      <c r="Q17" s="22">
        <v>-2.4899299999999999E-2</v>
      </c>
      <c r="R17" s="22">
        <v>7</v>
      </c>
      <c r="S17" s="22">
        <v>-6.4941399999999996E-2</v>
      </c>
      <c r="T17">
        <f t="shared" si="2"/>
        <v>24.8993</v>
      </c>
      <c r="U17">
        <f t="shared" si="3"/>
        <v>-1.6109174818900001</v>
      </c>
      <c r="V17" s="23"/>
      <c r="W17" s="24"/>
      <c r="X17" s="9"/>
      <c r="Y17" s="22">
        <v>1.76468</v>
      </c>
      <c r="Z17" s="22">
        <v>269.99099999999999</v>
      </c>
      <c r="AA17" s="22">
        <v>-8.9263899999999993E-3</v>
      </c>
      <c r="AB17" s="22">
        <v>7</v>
      </c>
      <c r="AC17" s="22">
        <v>1.7645299999999999</v>
      </c>
      <c r="AD17">
        <f t="shared" si="4"/>
        <v>8.9263899999999996</v>
      </c>
      <c r="AE17">
        <f t="shared" si="5"/>
        <v>15.752221905199999</v>
      </c>
      <c r="AF17" s="9"/>
      <c r="AG17" s="22">
        <v>-6.4697299999999999E-2</v>
      </c>
      <c r="AH17" s="22">
        <v>375.87</v>
      </c>
      <c r="AI17" s="22">
        <v>-2.4551400000000001E-2</v>
      </c>
      <c r="AJ17" s="22">
        <v>7</v>
      </c>
      <c r="AK17" s="22">
        <v>-6.5277100000000005E-2</v>
      </c>
      <c r="AL17">
        <f t="shared" si="6"/>
        <v>24.551400000000001</v>
      </c>
      <c r="AM17">
        <f t="shared" si="7"/>
        <v>-1.5884092912200001</v>
      </c>
      <c r="AP17" s="9"/>
      <c r="AQ17" s="22">
        <v>1.76468</v>
      </c>
      <c r="AR17" s="22">
        <v>464.26100000000002</v>
      </c>
      <c r="AS17" s="22">
        <v>-8.2275400000000002E-3</v>
      </c>
      <c r="AT17" s="22">
        <v>7</v>
      </c>
      <c r="AU17" s="22">
        <v>1.7639199999999999</v>
      </c>
      <c r="AV17">
        <f t="shared" si="8"/>
        <v>8.2275399999999994</v>
      </c>
      <c r="AW17">
        <f t="shared" si="9"/>
        <v>14.5189752872</v>
      </c>
      <c r="AX17" s="9"/>
      <c r="AY17" s="22">
        <v>-6.4697299999999999E-2</v>
      </c>
      <c r="AZ17" s="22">
        <v>575.14</v>
      </c>
      <c r="BA17" s="22">
        <v>-2.4536100000000002E-2</v>
      </c>
      <c r="BB17" s="22">
        <v>7</v>
      </c>
      <c r="BC17" s="22">
        <v>-6.4575199999999999E-2</v>
      </c>
      <c r="BD17">
        <f t="shared" si="10"/>
        <v>24.536100000000001</v>
      </c>
      <c r="BE17">
        <f t="shared" si="11"/>
        <v>-1.58741942253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56.812600000000003</v>
      </c>
      <c r="I18" s="22">
        <v>-1.03546E-2</v>
      </c>
      <c r="J18" s="22">
        <v>8</v>
      </c>
      <c r="K18" s="22">
        <v>1.7584200000000001</v>
      </c>
      <c r="L18">
        <f t="shared" si="0"/>
        <v>10.3546</v>
      </c>
      <c r="M18">
        <f t="shared" si="1"/>
        <v>18.220368344000001</v>
      </c>
      <c r="N18" s="9"/>
      <c r="O18" s="22">
        <v>-5.9661899999999997E-2</v>
      </c>
      <c r="P18" s="22">
        <v>146.13</v>
      </c>
      <c r="Q18" s="22">
        <v>-2.4905400000000001E-2</v>
      </c>
      <c r="R18" s="22">
        <v>8</v>
      </c>
      <c r="S18" s="22">
        <v>-6.0089099999999999E-2</v>
      </c>
      <c r="T18">
        <f t="shared" si="2"/>
        <v>24.9054</v>
      </c>
      <c r="U18">
        <f t="shared" si="3"/>
        <v>-1.4859034842599999</v>
      </c>
      <c r="V18" s="23"/>
      <c r="W18" s="24"/>
      <c r="X18" s="9"/>
      <c r="Y18" s="22">
        <v>1.7596400000000001</v>
      </c>
      <c r="Z18" s="22">
        <v>270.09199999999998</v>
      </c>
      <c r="AA18" s="22">
        <v>-1.19934E-2</v>
      </c>
      <c r="AB18" s="22">
        <v>8</v>
      </c>
      <c r="AC18" s="22">
        <v>1.7587299999999999</v>
      </c>
      <c r="AD18">
        <f t="shared" si="4"/>
        <v>11.993399999999999</v>
      </c>
      <c r="AE18">
        <f t="shared" si="5"/>
        <v>21.104066375999999</v>
      </c>
      <c r="AF18" s="9"/>
      <c r="AG18" s="22">
        <v>-5.9661899999999997E-2</v>
      </c>
      <c r="AH18" s="22">
        <v>375.971</v>
      </c>
      <c r="AI18" s="22">
        <v>-2.4545299999999999E-2</v>
      </c>
      <c r="AJ18" s="22">
        <v>8</v>
      </c>
      <c r="AK18" s="22">
        <v>-5.9936499999999997E-2</v>
      </c>
      <c r="AL18">
        <f t="shared" si="6"/>
        <v>24.545299999999997</v>
      </c>
      <c r="AM18">
        <f t="shared" si="7"/>
        <v>-1.4644192340699997</v>
      </c>
      <c r="AP18" s="9"/>
      <c r="AQ18" s="22">
        <v>1.7596400000000001</v>
      </c>
      <c r="AR18" s="22">
        <v>464.36099999999999</v>
      </c>
      <c r="AS18" s="22">
        <v>-1.13831E-2</v>
      </c>
      <c r="AT18" s="22">
        <v>8</v>
      </c>
      <c r="AU18" s="22">
        <v>1.7596400000000001</v>
      </c>
      <c r="AV18">
        <f t="shared" si="8"/>
        <v>11.383100000000001</v>
      </c>
      <c r="AW18">
        <f t="shared" si="9"/>
        <v>20.030158084000004</v>
      </c>
      <c r="AX18" s="9"/>
      <c r="AY18" s="22">
        <v>-5.9661899999999997E-2</v>
      </c>
      <c r="AZ18" s="22">
        <v>575.24</v>
      </c>
      <c r="BA18" s="22">
        <v>-2.4523900000000001E-2</v>
      </c>
      <c r="BB18" s="22">
        <v>8</v>
      </c>
      <c r="BC18" s="22">
        <v>-6.0028100000000001E-2</v>
      </c>
      <c r="BD18">
        <f t="shared" si="10"/>
        <v>24.523900000000001</v>
      </c>
      <c r="BE18">
        <f t="shared" si="11"/>
        <v>-1.4631424694099999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56.9133</v>
      </c>
      <c r="I19" s="22">
        <v>-1.30615E-2</v>
      </c>
      <c r="J19" s="22">
        <v>9</v>
      </c>
      <c r="K19" s="22">
        <v>1.7538499999999999</v>
      </c>
      <c r="L19">
        <f t="shared" si="0"/>
        <v>13.061500000000001</v>
      </c>
      <c r="M19">
        <f t="shared" si="1"/>
        <v>22.917838515</v>
      </c>
      <c r="N19" s="9"/>
      <c r="O19" s="22">
        <v>-5.4626500000000001E-2</v>
      </c>
      <c r="P19" s="22">
        <v>146.23099999999999</v>
      </c>
      <c r="Q19" s="22">
        <v>-2.48962E-2</v>
      </c>
      <c r="R19" s="22">
        <v>9</v>
      </c>
      <c r="S19" s="22">
        <v>-5.48096E-2</v>
      </c>
      <c r="T19">
        <f t="shared" si="2"/>
        <v>24.8962</v>
      </c>
      <c r="U19">
        <f t="shared" si="3"/>
        <v>-1.3599922692999999</v>
      </c>
      <c r="V19" s="23"/>
      <c r="W19" s="24"/>
      <c r="X19" s="9"/>
      <c r="Y19" s="22">
        <v>1.75461</v>
      </c>
      <c r="Z19" s="22">
        <v>270.19299999999998</v>
      </c>
      <c r="AA19" s="22">
        <v>-1.39404E-2</v>
      </c>
      <c r="AB19" s="22">
        <v>9</v>
      </c>
      <c r="AC19" s="22">
        <v>1.7535400000000001</v>
      </c>
      <c r="AD19">
        <f t="shared" si="4"/>
        <v>13.9404</v>
      </c>
      <c r="AE19">
        <f t="shared" si="5"/>
        <v>24.459965243999999</v>
      </c>
      <c r="AF19" s="9"/>
      <c r="AG19" s="22">
        <v>-5.4626500000000001E-2</v>
      </c>
      <c r="AH19" s="22">
        <v>376.072</v>
      </c>
      <c r="AI19" s="22">
        <v>-2.4536100000000002E-2</v>
      </c>
      <c r="AJ19" s="22">
        <v>9</v>
      </c>
      <c r="AK19" s="22">
        <v>-5.5175799999999997E-2</v>
      </c>
      <c r="AL19">
        <f t="shared" si="6"/>
        <v>24.536100000000001</v>
      </c>
      <c r="AM19">
        <f t="shared" si="7"/>
        <v>-1.3403212666500002</v>
      </c>
      <c r="AP19" s="9"/>
      <c r="AQ19" s="22">
        <v>1.75461</v>
      </c>
      <c r="AR19" s="22">
        <v>464.46199999999999</v>
      </c>
      <c r="AS19" s="22">
        <v>-1.3424699999999999E-2</v>
      </c>
      <c r="AT19" s="22">
        <v>9</v>
      </c>
      <c r="AU19" s="22">
        <v>1.7532300000000001</v>
      </c>
      <c r="AV19">
        <f t="shared" si="8"/>
        <v>13.4247</v>
      </c>
      <c r="AW19">
        <f t="shared" si="9"/>
        <v>23.555112866999998</v>
      </c>
      <c r="AX19" s="9"/>
      <c r="AY19" s="22">
        <v>-5.4626500000000001E-2</v>
      </c>
      <c r="AZ19" s="22">
        <v>575.34100000000001</v>
      </c>
      <c r="BA19" s="22">
        <v>-2.45148E-2</v>
      </c>
      <c r="BB19" s="22">
        <v>9</v>
      </c>
      <c r="BC19" s="22">
        <v>-5.4962200000000003E-2</v>
      </c>
      <c r="BD19">
        <f t="shared" si="10"/>
        <v>24.514800000000001</v>
      </c>
      <c r="BE19">
        <f t="shared" si="11"/>
        <v>-1.3391577222000002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57.014000000000003</v>
      </c>
      <c r="I20" s="22">
        <v>-1.48621E-2</v>
      </c>
      <c r="J20" s="22">
        <v>10</v>
      </c>
      <c r="K20" s="22">
        <v>1.7498800000000001</v>
      </c>
      <c r="L20">
        <f t="shared" si="0"/>
        <v>14.8621</v>
      </c>
      <c r="M20">
        <f t="shared" si="1"/>
        <v>26.002284296999999</v>
      </c>
      <c r="N20" s="9"/>
      <c r="O20" s="22">
        <v>-4.9591099999999999E-2</v>
      </c>
      <c r="P20" s="22">
        <v>146.33099999999999</v>
      </c>
      <c r="Q20" s="22">
        <v>-2.48962E-2</v>
      </c>
      <c r="R20" s="22">
        <v>10</v>
      </c>
      <c r="S20" s="22">
        <v>-4.9987799999999999E-2</v>
      </c>
      <c r="T20">
        <f t="shared" si="2"/>
        <v>24.8962</v>
      </c>
      <c r="U20">
        <f t="shared" si="3"/>
        <v>-1.2346299438199999</v>
      </c>
      <c r="V20" s="23"/>
      <c r="W20" s="24"/>
      <c r="X20" s="9"/>
      <c r="Y20" s="22">
        <v>1.7495700000000001</v>
      </c>
      <c r="Z20" s="22">
        <v>270.29399999999998</v>
      </c>
      <c r="AA20" s="22">
        <v>-1.5295400000000001E-2</v>
      </c>
      <c r="AB20" s="22">
        <v>10</v>
      </c>
      <c r="AC20" s="22">
        <v>1.7489600000000001</v>
      </c>
      <c r="AD20">
        <f t="shared" si="4"/>
        <v>15.295400000000001</v>
      </c>
      <c r="AE20">
        <f t="shared" si="5"/>
        <v>26.760372978000003</v>
      </c>
      <c r="AF20" s="9"/>
      <c r="AG20" s="22">
        <v>-4.9591099999999999E-2</v>
      </c>
      <c r="AH20" s="22">
        <v>376.17200000000003</v>
      </c>
      <c r="AI20" s="22">
        <v>-2.45422E-2</v>
      </c>
      <c r="AJ20" s="22">
        <v>10</v>
      </c>
      <c r="AK20" s="22">
        <v>-4.9896200000000002E-2</v>
      </c>
      <c r="AL20">
        <f t="shared" si="6"/>
        <v>24.542200000000001</v>
      </c>
      <c r="AM20">
        <f t="shared" si="7"/>
        <v>-1.2170746944199999</v>
      </c>
      <c r="AP20" s="9"/>
      <c r="AQ20" s="22">
        <v>1.7495700000000001</v>
      </c>
      <c r="AR20" s="22">
        <v>464.56299999999999</v>
      </c>
      <c r="AS20" s="22">
        <v>-1.4804100000000001E-2</v>
      </c>
      <c r="AT20" s="22">
        <v>10</v>
      </c>
      <c r="AU20" s="22">
        <v>1.7486600000000001</v>
      </c>
      <c r="AV20">
        <f t="shared" si="8"/>
        <v>14.8041</v>
      </c>
      <c r="AW20">
        <f t="shared" si="9"/>
        <v>25.900809237000001</v>
      </c>
      <c r="AX20" s="9"/>
      <c r="AY20" s="22">
        <v>-4.9591099999999999E-2</v>
      </c>
      <c r="AZ20" s="22">
        <v>575.44200000000001</v>
      </c>
      <c r="BA20" s="22">
        <v>-2.4517799999999999E-2</v>
      </c>
      <c r="BB20" s="22">
        <v>10</v>
      </c>
      <c r="BC20" s="22">
        <v>-5.03235E-2</v>
      </c>
      <c r="BD20">
        <f t="shared" si="10"/>
        <v>24.517799999999998</v>
      </c>
      <c r="BE20">
        <f t="shared" si="11"/>
        <v>-1.2158646715799999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57.114699999999999</v>
      </c>
      <c r="I21" s="22">
        <v>-1.6146899999999999E-2</v>
      </c>
      <c r="J21" s="22">
        <v>11</v>
      </c>
      <c r="K21" s="22">
        <v>1.7440800000000001</v>
      </c>
      <c r="L21">
        <f t="shared" si="0"/>
        <v>16.146899999999999</v>
      </c>
      <c r="M21">
        <f t="shared" si="1"/>
        <v>28.168912925999997</v>
      </c>
      <c r="N21" s="9"/>
      <c r="O21" s="22">
        <v>-4.4555699999999997E-2</v>
      </c>
      <c r="P21" s="22">
        <v>146.43199999999999</v>
      </c>
      <c r="Q21" s="22">
        <v>-2.4887099999999999E-2</v>
      </c>
      <c r="R21" s="22">
        <v>11</v>
      </c>
      <c r="S21" s="22">
        <v>-4.4772300000000001E-2</v>
      </c>
      <c r="T21">
        <f t="shared" si="2"/>
        <v>24.8871</v>
      </c>
      <c r="U21">
        <f t="shared" si="3"/>
        <v>-1.1088621614699998</v>
      </c>
      <c r="V21" s="23"/>
      <c r="W21" s="24"/>
      <c r="X21" s="9"/>
      <c r="Y21" s="22">
        <v>1.74454</v>
      </c>
      <c r="Z21" s="22">
        <v>270.39400000000001</v>
      </c>
      <c r="AA21" s="22">
        <v>-1.6314700000000001E-2</v>
      </c>
      <c r="AB21" s="22">
        <v>11</v>
      </c>
      <c r="AC21" s="22">
        <v>1.74316</v>
      </c>
      <c r="AD21">
        <f t="shared" si="4"/>
        <v>16.314700000000002</v>
      </c>
      <c r="AE21">
        <f t="shared" si="5"/>
        <v>28.461646738000002</v>
      </c>
      <c r="AF21" s="9"/>
      <c r="AG21" s="22">
        <v>-4.4555699999999997E-2</v>
      </c>
      <c r="AH21" s="22">
        <v>376.27300000000002</v>
      </c>
      <c r="AI21" s="22">
        <v>-2.4548299999999999E-2</v>
      </c>
      <c r="AJ21" s="22">
        <v>11</v>
      </c>
      <c r="AK21" s="22">
        <v>-4.4635000000000001E-2</v>
      </c>
      <c r="AL21">
        <f t="shared" si="6"/>
        <v>24.548299999999998</v>
      </c>
      <c r="AM21">
        <f t="shared" si="7"/>
        <v>-1.0937666903099998</v>
      </c>
      <c r="AP21" s="9"/>
      <c r="AQ21" s="22">
        <v>1.74454</v>
      </c>
      <c r="AR21" s="22">
        <v>464.66399999999999</v>
      </c>
      <c r="AS21" s="22">
        <v>-1.58417E-2</v>
      </c>
      <c r="AT21" s="22">
        <v>11</v>
      </c>
      <c r="AU21" s="22">
        <v>1.7440800000000001</v>
      </c>
      <c r="AV21">
        <f t="shared" si="8"/>
        <v>15.841699999999999</v>
      </c>
      <c r="AW21">
        <f t="shared" si="9"/>
        <v>27.636479317999999</v>
      </c>
      <c r="AX21" s="9"/>
      <c r="AY21" s="22">
        <v>-4.4555699999999997E-2</v>
      </c>
      <c r="AZ21" s="22">
        <v>575.54200000000003</v>
      </c>
      <c r="BA21" s="22">
        <v>-2.45148E-2</v>
      </c>
      <c r="BB21" s="22">
        <v>11</v>
      </c>
      <c r="BC21" s="22">
        <v>-4.4457999999999998E-2</v>
      </c>
      <c r="BD21">
        <f t="shared" si="10"/>
        <v>24.514800000000001</v>
      </c>
      <c r="BE21">
        <f t="shared" si="11"/>
        <v>-1.0922740743599999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57.215400000000002</v>
      </c>
      <c r="I22" s="22">
        <v>-1.7077599999999998E-2</v>
      </c>
      <c r="J22" s="22">
        <v>12</v>
      </c>
      <c r="K22" s="22">
        <v>1.73889</v>
      </c>
      <c r="L22">
        <f t="shared" si="0"/>
        <v>17.077599999999997</v>
      </c>
      <c r="M22">
        <f t="shared" si="1"/>
        <v>29.706485199999996</v>
      </c>
      <c r="N22" s="9"/>
      <c r="O22" s="22">
        <v>-3.9520300000000001E-2</v>
      </c>
      <c r="P22" s="22">
        <v>146.53299999999999</v>
      </c>
      <c r="Q22" s="22">
        <v>-2.4890099999999998E-2</v>
      </c>
      <c r="R22" s="22">
        <v>12</v>
      </c>
      <c r="S22" s="22">
        <v>-3.9099099999999998E-2</v>
      </c>
      <c r="T22">
        <f t="shared" si="2"/>
        <v>24.890099999999997</v>
      </c>
      <c r="U22">
        <f t="shared" si="3"/>
        <v>-0.9836642190299999</v>
      </c>
      <c r="V22" s="23"/>
      <c r="W22" s="24"/>
      <c r="X22" s="9"/>
      <c r="Y22" s="22">
        <v>1.7395</v>
      </c>
      <c r="Z22" s="22">
        <v>270.495</v>
      </c>
      <c r="AA22" s="22">
        <v>-1.71234E-2</v>
      </c>
      <c r="AB22" s="22">
        <v>12</v>
      </c>
      <c r="AC22" s="22">
        <v>1.7395</v>
      </c>
      <c r="AD22">
        <f t="shared" si="4"/>
        <v>17.1234</v>
      </c>
      <c r="AE22">
        <f t="shared" si="5"/>
        <v>29.7861543</v>
      </c>
      <c r="AF22" s="9"/>
      <c r="AG22" s="22">
        <v>-3.9520300000000001E-2</v>
      </c>
      <c r="AH22" s="22">
        <v>376.37400000000002</v>
      </c>
      <c r="AI22" s="22">
        <v>-2.4551400000000001E-2</v>
      </c>
      <c r="AJ22" s="22">
        <v>12</v>
      </c>
      <c r="AK22" s="22">
        <v>-3.94592E-2</v>
      </c>
      <c r="AL22">
        <f t="shared" si="6"/>
        <v>24.551400000000001</v>
      </c>
      <c r="AM22">
        <f t="shared" si="7"/>
        <v>-0.97027869342000006</v>
      </c>
      <c r="AP22" s="9"/>
      <c r="AQ22" s="22">
        <v>1.7395</v>
      </c>
      <c r="AR22" s="22">
        <v>464.76400000000001</v>
      </c>
      <c r="AS22" s="22">
        <v>-1.6656500000000001E-2</v>
      </c>
      <c r="AT22" s="22">
        <v>12</v>
      </c>
      <c r="AU22" s="22">
        <v>1.73889</v>
      </c>
      <c r="AV22">
        <f t="shared" si="8"/>
        <v>16.656500000000001</v>
      </c>
      <c r="AW22">
        <f t="shared" si="9"/>
        <v>28.973981750000004</v>
      </c>
      <c r="AX22" s="9"/>
      <c r="AY22" s="22">
        <v>-3.9520300000000001E-2</v>
      </c>
      <c r="AZ22" s="22">
        <v>575.64300000000003</v>
      </c>
      <c r="BA22" s="22">
        <v>-2.4505599999999999E-2</v>
      </c>
      <c r="BB22" s="22">
        <v>12</v>
      </c>
      <c r="BC22" s="22">
        <v>-3.9495799999999998E-2</v>
      </c>
      <c r="BD22">
        <f t="shared" si="10"/>
        <v>24.505599999999998</v>
      </c>
      <c r="BE22">
        <f t="shared" si="11"/>
        <v>-0.96846866367999995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57.316099999999999</v>
      </c>
      <c r="I23" s="22">
        <v>-1.7840600000000002E-2</v>
      </c>
      <c r="J23" s="22">
        <v>13</v>
      </c>
      <c r="K23" s="22">
        <v>1.7337</v>
      </c>
      <c r="L23">
        <f t="shared" si="0"/>
        <v>17.840600000000002</v>
      </c>
      <c r="M23">
        <f t="shared" si="1"/>
        <v>30.943985482000002</v>
      </c>
      <c r="N23" s="9"/>
      <c r="O23" s="22">
        <v>-3.4484899999999999E-2</v>
      </c>
      <c r="P23" s="22">
        <v>146.63399999999999</v>
      </c>
      <c r="Q23" s="22">
        <v>-2.4881E-2</v>
      </c>
      <c r="R23" s="22">
        <v>13</v>
      </c>
      <c r="S23" s="22">
        <v>-3.4356699999999997E-2</v>
      </c>
      <c r="T23">
        <f t="shared" si="2"/>
        <v>24.881</v>
      </c>
      <c r="U23">
        <f t="shared" si="3"/>
        <v>-0.85801879689999994</v>
      </c>
      <c r="V23" s="23"/>
      <c r="W23" s="24"/>
      <c r="X23" s="9"/>
      <c r="Y23" s="22">
        <v>1.73447</v>
      </c>
      <c r="Z23" s="22">
        <v>270.596</v>
      </c>
      <c r="AA23" s="22">
        <v>-1.77795E-2</v>
      </c>
      <c r="AB23" s="22">
        <v>13</v>
      </c>
      <c r="AC23" s="22">
        <v>1.7334000000000001</v>
      </c>
      <c r="AD23">
        <f t="shared" si="4"/>
        <v>17.779499999999999</v>
      </c>
      <c r="AE23">
        <f t="shared" si="5"/>
        <v>30.838009364999998</v>
      </c>
      <c r="AF23" s="9"/>
      <c r="AG23" s="22">
        <v>-3.4484899999999999E-2</v>
      </c>
      <c r="AH23" s="22">
        <v>376.47500000000002</v>
      </c>
      <c r="AI23" s="22">
        <v>-2.45697E-2</v>
      </c>
      <c r="AJ23" s="22">
        <v>13</v>
      </c>
      <c r="AK23" s="22">
        <v>-3.4176600000000001E-2</v>
      </c>
      <c r="AL23">
        <f t="shared" si="6"/>
        <v>24.569700000000001</v>
      </c>
      <c r="AM23">
        <f t="shared" si="7"/>
        <v>-0.84728364752999996</v>
      </c>
      <c r="AP23" s="9"/>
      <c r="AQ23" s="22">
        <v>1.73447</v>
      </c>
      <c r="AR23" s="22">
        <v>464.86500000000001</v>
      </c>
      <c r="AS23" s="22">
        <v>-1.73004E-2</v>
      </c>
      <c r="AT23" s="22">
        <v>13</v>
      </c>
      <c r="AU23" s="22">
        <v>1.7337</v>
      </c>
      <c r="AV23">
        <f t="shared" si="8"/>
        <v>17.3004</v>
      </c>
      <c r="AW23">
        <f t="shared" si="9"/>
        <v>30.007024787999999</v>
      </c>
      <c r="AX23" s="9"/>
      <c r="AY23" s="22">
        <v>-3.4484899999999999E-2</v>
      </c>
      <c r="AZ23" s="22">
        <v>575.74400000000003</v>
      </c>
      <c r="BA23" s="22">
        <v>-2.45148E-2</v>
      </c>
      <c r="BB23" s="22">
        <v>13</v>
      </c>
      <c r="BC23" s="22">
        <v>-3.4506200000000001E-2</v>
      </c>
      <c r="BD23">
        <f t="shared" si="10"/>
        <v>24.514800000000001</v>
      </c>
      <c r="BE23">
        <f t="shared" si="11"/>
        <v>-0.84539042651999996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57.416800000000002</v>
      </c>
      <c r="I24" s="22">
        <v>-1.8481399999999999E-2</v>
      </c>
      <c r="J24" s="22">
        <v>14</v>
      </c>
      <c r="K24" s="22">
        <v>1.72821</v>
      </c>
      <c r="L24">
        <f t="shared" si="0"/>
        <v>18.481399999999997</v>
      </c>
      <c r="M24">
        <f t="shared" si="1"/>
        <v>31.962287601999996</v>
      </c>
      <c r="N24" s="9"/>
      <c r="O24" s="22">
        <v>-2.94495E-2</v>
      </c>
      <c r="P24" s="22">
        <v>146.73400000000001</v>
      </c>
      <c r="Q24" s="22">
        <v>-2.4884E-2</v>
      </c>
      <c r="R24" s="22">
        <v>14</v>
      </c>
      <c r="S24" s="22">
        <v>-2.9422E-2</v>
      </c>
      <c r="T24">
        <f t="shared" si="2"/>
        <v>24.884</v>
      </c>
      <c r="U24">
        <f t="shared" si="3"/>
        <v>-0.73282135800000003</v>
      </c>
      <c r="V24" s="23"/>
      <c r="W24" s="24"/>
      <c r="X24" s="9"/>
      <c r="Y24" s="22">
        <v>1.72943</v>
      </c>
      <c r="Z24" s="22">
        <v>270.69600000000003</v>
      </c>
      <c r="AA24" s="22">
        <v>-1.8335000000000001E-2</v>
      </c>
      <c r="AB24" s="22">
        <v>14</v>
      </c>
      <c r="AC24" s="22">
        <v>1.72882</v>
      </c>
      <c r="AD24">
        <f t="shared" si="4"/>
        <v>18.335000000000001</v>
      </c>
      <c r="AE24">
        <f t="shared" si="5"/>
        <v>31.709099050000003</v>
      </c>
      <c r="AF24" s="9"/>
      <c r="AG24" s="22">
        <v>-2.94495E-2</v>
      </c>
      <c r="AH24" s="22">
        <v>376.57499999999999</v>
      </c>
      <c r="AI24" s="22">
        <v>-2.4539200000000001E-2</v>
      </c>
      <c r="AJ24" s="22">
        <v>14</v>
      </c>
      <c r="AK24" s="22">
        <v>-2.9647799999999998E-2</v>
      </c>
      <c r="AL24">
        <f t="shared" si="6"/>
        <v>24.539200000000001</v>
      </c>
      <c r="AM24">
        <f t="shared" si="7"/>
        <v>-0.72266717040000006</v>
      </c>
      <c r="AP24" s="9"/>
      <c r="AQ24" s="22">
        <v>1.72943</v>
      </c>
      <c r="AR24" s="22">
        <v>464.96600000000001</v>
      </c>
      <c r="AS24" s="22">
        <v>-1.79291E-2</v>
      </c>
      <c r="AT24" s="22">
        <v>14</v>
      </c>
      <c r="AU24" s="22">
        <v>1.72882</v>
      </c>
      <c r="AV24">
        <f t="shared" si="8"/>
        <v>17.929099999999998</v>
      </c>
      <c r="AW24">
        <f t="shared" si="9"/>
        <v>31.007123412999999</v>
      </c>
      <c r="AX24" s="9"/>
      <c r="AY24" s="22">
        <v>-2.94495E-2</v>
      </c>
      <c r="AZ24" s="22">
        <v>575.84500000000003</v>
      </c>
      <c r="BA24" s="22">
        <v>-2.45148E-2</v>
      </c>
      <c r="BB24" s="22">
        <v>14</v>
      </c>
      <c r="BC24" s="22">
        <v>-2.9583700000000001E-2</v>
      </c>
      <c r="BD24">
        <f t="shared" si="10"/>
        <v>24.514800000000001</v>
      </c>
      <c r="BE24">
        <f t="shared" si="11"/>
        <v>-0.72194860260000004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57.517499999999998</v>
      </c>
      <c r="I25" s="22">
        <v>-1.9024699999999999E-2</v>
      </c>
      <c r="J25" s="22">
        <v>15</v>
      </c>
      <c r="K25" s="22">
        <v>1.72394</v>
      </c>
      <c r="L25">
        <f t="shared" si="0"/>
        <v>19.024699999999999</v>
      </c>
      <c r="M25">
        <f t="shared" si="1"/>
        <v>32.806192679999995</v>
      </c>
      <c r="N25" s="9"/>
      <c r="O25" s="22">
        <v>-2.4414100000000001E-2</v>
      </c>
      <c r="P25" s="22">
        <v>146.83500000000001</v>
      </c>
      <c r="Q25" s="22">
        <v>-2.4877900000000001E-2</v>
      </c>
      <c r="R25" s="22">
        <v>15</v>
      </c>
      <c r="S25" s="22">
        <v>-2.4749799999999999E-2</v>
      </c>
      <c r="T25">
        <f t="shared" si="2"/>
        <v>24.8779</v>
      </c>
      <c r="U25">
        <f t="shared" si="3"/>
        <v>-0.60737153839000002</v>
      </c>
      <c r="V25" s="23"/>
      <c r="W25" s="24"/>
      <c r="X25" s="9"/>
      <c r="Y25" s="22">
        <v>1.7243999999999999</v>
      </c>
      <c r="Z25" s="22">
        <v>270.79700000000003</v>
      </c>
      <c r="AA25" s="22">
        <v>-1.8768300000000002E-2</v>
      </c>
      <c r="AB25" s="22">
        <v>15</v>
      </c>
      <c r="AC25" s="22">
        <v>1.72363</v>
      </c>
      <c r="AD25">
        <f t="shared" si="4"/>
        <v>18.7683</v>
      </c>
      <c r="AE25">
        <f t="shared" si="5"/>
        <v>32.364056519999998</v>
      </c>
      <c r="AF25" s="9"/>
      <c r="AG25" s="22">
        <v>-2.4414100000000001E-2</v>
      </c>
      <c r="AH25" s="22">
        <v>376.67599999999999</v>
      </c>
      <c r="AI25" s="22">
        <v>-2.4545299999999999E-2</v>
      </c>
      <c r="AJ25" s="22">
        <v>15</v>
      </c>
      <c r="AK25" s="22">
        <v>-2.43652E-2</v>
      </c>
      <c r="AL25">
        <f t="shared" si="6"/>
        <v>24.545299999999997</v>
      </c>
      <c r="AM25">
        <f t="shared" si="7"/>
        <v>-0.59925140872999993</v>
      </c>
      <c r="AP25" s="9"/>
      <c r="AQ25" s="22">
        <v>1.7243999999999999</v>
      </c>
      <c r="AR25" s="22">
        <v>465.06599999999997</v>
      </c>
      <c r="AS25" s="22">
        <v>-1.8402100000000001E-2</v>
      </c>
      <c r="AT25" s="22">
        <v>15</v>
      </c>
      <c r="AU25" s="22">
        <v>1.72363</v>
      </c>
      <c r="AV25">
        <f t="shared" si="8"/>
        <v>18.402100000000001</v>
      </c>
      <c r="AW25">
        <f t="shared" si="9"/>
        <v>31.732581240000002</v>
      </c>
      <c r="AX25" s="9"/>
      <c r="AY25" s="22">
        <v>-2.4414100000000001E-2</v>
      </c>
      <c r="AZ25" s="22">
        <v>575.94500000000005</v>
      </c>
      <c r="BA25" s="22">
        <v>-2.4508700000000001E-2</v>
      </c>
      <c r="BB25" s="22">
        <v>15</v>
      </c>
      <c r="BC25" s="22">
        <v>-2.43225E-2</v>
      </c>
      <c r="BD25">
        <f t="shared" si="10"/>
        <v>24.508700000000001</v>
      </c>
      <c r="BE25">
        <f t="shared" si="11"/>
        <v>-0.59835785267000008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57.618200000000002</v>
      </c>
      <c r="I26" s="22">
        <v>-1.9476299999999998E-2</v>
      </c>
      <c r="J26" s="22">
        <v>16</v>
      </c>
      <c r="K26" s="22">
        <v>1.71814</v>
      </c>
      <c r="L26">
        <f t="shared" si="0"/>
        <v>19.476299999999998</v>
      </c>
      <c r="M26">
        <f t="shared" si="1"/>
        <v>33.486771167999997</v>
      </c>
      <c r="N26" s="9"/>
      <c r="O26" s="22">
        <v>-1.9378699999999999E-2</v>
      </c>
      <c r="P26" s="22">
        <v>146.93600000000001</v>
      </c>
      <c r="Q26" s="22">
        <v>-2.4871799999999999E-2</v>
      </c>
      <c r="R26" s="22">
        <v>16</v>
      </c>
      <c r="S26" s="22">
        <v>-1.93878E-2</v>
      </c>
      <c r="T26">
        <f t="shared" si="2"/>
        <v>24.8718</v>
      </c>
      <c r="U26">
        <f t="shared" si="3"/>
        <v>-0.48198315065999997</v>
      </c>
      <c r="V26" s="23"/>
      <c r="W26" s="24"/>
      <c r="X26" s="9"/>
      <c r="Y26" s="22">
        <v>1.71936</v>
      </c>
      <c r="Z26" s="22">
        <v>270.89800000000002</v>
      </c>
      <c r="AA26" s="22">
        <v>-1.9189500000000002E-2</v>
      </c>
      <c r="AB26" s="22">
        <v>16</v>
      </c>
      <c r="AC26" s="22">
        <v>1.71875</v>
      </c>
      <c r="AD26">
        <f t="shared" si="4"/>
        <v>19.189500000000002</v>
      </c>
      <c r="AE26">
        <f t="shared" si="5"/>
        <v>32.993658720000006</v>
      </c>
      <c r="AF26" s="9"/>
      <c r="AG26" s="22">
        <v>-1.9378699999999999E-2</v>
      </c>
      <c r="AH26" s="22">
        <v>376.77699999999999</v>
      </c>
      <c r="AI26" s="22">
        <v>-2.4554400000000001E-2</v>
      </c>
      <c r="AJ26" s="22">
        <v>16</v>
      </c>
      <c r="AK26" s="22">
        <v>-1.9351199999999999E-2</v>
      </c>
      <c r="AL26">
        <f t="shared" si="6"/>
        <v>24.554400000000001</v>
      </c>
      <c r="AM26">
        <f t="shared" si="7"/>
        <v>-0.47583235128000001</v>
      </c>
      <c r="AP26" s="9"/>
      <c r="AQ26" s="22">
        <v>1.71936</v>
      </c>
      <c r="AR26" s="22">
        <v>465.16699999999997</v>
      </c>
      <c r="AS26" s="22">
        <v>-1.8820199999999999E-2</v>
      </c>
      <c r="AT26" s="22">
        <v>16</v>
      </c>
      <c r="AU26" s="22">
        <v>1.71814</v>
      </c>
      <c r="AV26">
        <f t="shared" si="8"/>
        <v>18.8202</v>
      </c>
      <c r="AW26">
        <f t="shared" si="9"/>
        <v>32.358699072</v>
      </c>
      <c r="AX26" s="9"/>
      <c r="AY26" s="22">
        <v>-1.9378699999999999E-2</v>
      </c>
      <c r="AZ26" s="22">
        <v>576.04600000000005</v>
      </c>
      <c r="BA26" s="22">
        <v>-2.4508700000000001E-2</v>
      </c>
      <c r="BB26" s="22">
        <v>16</v>
      </c>
      <c r="BC26" s="22">
        <v>-1.93359E-2</v>
      </c>
      <c r="BD26">
        <f t="shared" si="10"/>
        <v>24.508700000000001</v>
      </c>
      <c r="BE26">
        <f t="shared" si="11"/>
        <v>-0.47494674468999998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57.718899999999998</v>
      </c>
      <c r="I27" s="22">
        <v>-1.9842499999999999E-2</v>
      </c>
      <c r="J27" s="22">
        <v>17</v>
      </c>
      <c r="K27" s="22">
        <v>1.71326</v>
      </c>
      <c r="L27">
        <f t="shared" si="0"/>
        <v>19.842499999999998</v>
      </c>
      <c r="M27">
        <f t="shared" si="1"/>
        <v>34.016394599999998</v>
      </c>
      <c r="N27" s="9"/>
      <c r="O27" s="22">
        <v>-1.43433E-2</v>
      </c>
      <c r="P27" s="22">
        <v>147.036</v>
      </c>
      <c r="Q27" s="22">
        <v>-2.4853500000000001E-2</v>
      </c>
      <c r="R27" s="22">
        <v>17</v>
      </c>
      <c r="S27" s="22">
        <v>-1.4251700000000001E-2</v>
      </c>
      <c r="T27">
        <f t="shared" si="2"/>
        <v>24.8535</v>
      </c>
      <c r="U27">
        <f t="shared" si="3"/>
        <v>-0.35648120654999998</v>
      </c>
      <c r="X27" s="9"/>
      <c r="Y27" s="22">
        <v>1.7143200000000001</v>
      </c>
      <c r="Z27" s="22">
        <v>270.99900000000002</v>
      </c>
      <c r="AA27" s="22">
        <v>-1.9534300000000001E-2</v>
      </c>
      <c r="AB27" s="22">
        <v>17</v>
      </c>
      <c r="AC27" s="22">
        <v>1.71356</v>
      </c>
      <c r="AD27">
        <f t="shared" si="4"/>
        <v>19.534300000000002</v>
      </c>
      <c r="AE27">
        <f t="shared" si="5"/>
        <v>33.488041176000003</v>
      </c>
      <c r="AF27" s="9"/>
      <c r="AG27" s="22">
        <v>-1.43433E-2</v>
      </c>
      <c r="AH27" s="22">
        <v>376.87700000000001</v>
      </c>
      <c r="AI27" s="22">
        <v>-2.4545299999999999E-2</v>
      </c>
      <c r="AJ27" s="22">
        <v>17</v>
      </c>
      <c r="AK27" s="22">
        <v>-1.44104E-2</v>
      </c>
      <c r="AL27">
        <f t="shared" si="6"/>
        <v>24.545299999999997</v>
      </c>
      <c r="AM27">
        <f t="shared" si="7"/>
        <v>-0.35206060148999996</v>
      </c>
      <c r="AP27" s="9"/>
      <c r="AQ27" s="22">
        <v>1.7143200000000001</v>
      </c>
      <c r="AR27" s="22">
        <v>465.26799999999997</v>
      </c>
      <c r="AS27" s="22">
        <v>-1.91589E-2</v>
      </c>
      <c r="AT27" s="22">
        <v>17</v>
      </c>
      <c r="AU27" s="22">
        <v>1.71326</v>
      </c>
      <c r="AV27">
        <f t="shared" si="8"/>
        <v>19.158899999999999</v>
      </c>
      <c r="AW27">
        <f t="shared" si="9"/>
        <v>32.844485448</v>
      </c>
      <c r="AX27" s="9"/>
      <c r="AY27" s="22">
        <v>-1.43433E-2</v>
      </c>
      <c r="AZ27" s="22">
        <v>576.14700000000005</v>
      </c>
      <c r="BA27" s="22">
        <v>-2.4502599999999999E-2</v>
      </c>
      <c r="BB27" s="22">
        <v>17</v>
      </c>
      <c r="BC27" s="22">
        <v>-1.46759E-2</v>
      </c>
      <c r="BD27">
        <f t="shared" si="10"/>
        <v>24.502600000000001</v>
      </c>
      <c r="BE27">
        <f t="shared" si="11"/>
        <v>-0.35144814258000001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57.819600000000001</v>
      </c>
      <c r="I28" s="22">
        <v>-2.01782E-2</v>
      </c>
      <c r="J28" s="22">
        <v>18</v>
      </c>
      <c r="K28" s="22">
        <v>1.7089799999999999</v>
      </c>
      <c r="L28">
        <f t="shared" si="0"/>
        <v>20.1782</v>
      </c>
      <c r="M28">
        <f t="shared" si="1"/>
        <v>34.490395478000003</v>
      </c>
      <c r="N28" s="9"/>
      <c r="O28" s="22">
        <v>-9.3078599999999994E-3</v>
      </c>
      <c r="P28" s="22">
        <v>147.137</v>
      </c>
      <c r="Q28" s="22">
        <v>-2.5036599999999999E-2</v>
      </c>
      <c r="R28" s="22">
        <v>18</v>
      </c>
      <c r="S28" s="22">
        <v>-9.3109100000000004E-3</v>
      </c>
      <c r="T28">
        <f t="shared" si="2"/>
        <v>25.0366</v>
      </c>
      <c r="U28">
        <f t="shared" si="3"/>
        <v>-0.233037167676</v>
      </c>
      <c r="X28" s="9"/>
      <c r="Y28" s="22">
        <v>1.70929</v>
      </c>
      <c r="Z28" s="22">
        <v>271.09899999999999</v>
      </c>
      <c r="AA28" s="22">
        <v>-1.9827299999999999E-2</v>
      </c>
      <c r="AB28" s="22">
        <v>18</v>
      </c>
      <c r="AC28" s="22">
        <v>1.70868</v>
      </c>
      <c r="AD28">
        <f t="shared" si="4"/>
        <v>19.827299999999997</v>
      </c>
      <c r="AE28">
        <f t="shared" si="5"/>
        <v>33.890605616999999</v>
      </c>
      <c r="AF28" s="9"/>
      <c r="AG28" s="22">
        <v>-9.3078599999999994E-3</v>
      </c>
      <c r="AH28" s="22">
        <v>376.97800000000001</v>
      </c>
      <c r="AI28" s="22">
        <v>-2.4557499999999999E-2</v>
      </c>
      <c r="AJ28" s="22">
        <v>18</v>
      </c>
      <c r="AK28" s="22">
        <v>-9.5214800000000006E-3</v>
      </c>
      <c r="AL28">
        <f t="shared" si="6"/>
        <v>24.557500000000001</v>
      </c>
      <c r="AM28">
        <f t="shared" si="7"/>
        <v>-0.22857777195000001</v>
      </c>
      <c r="AP28" s="9"/>
      <c r="AQ28" s="22">
        <v>1.70929</v>
      </c>
      <c r="AR28" s="22">
        <v>465.36900000000003</v>
      </c>
      <c r="AS28" s="22">
        <v>-1.9610599999999999E-2</v>
      </c>
      <c r="AT28" s="22">
        <v>18</v>
      </c>
      <c r="AU28" s="22">
        <v>1.70868</v>
      </c>
      <c r="AV28">
        <f t="shared" si="8"/>
        <v>19.610599999999998</v>
      </c>
      <c r="AW28">
        <f t="shared" si="9"/>
        <v>33.520202473999994</v>
      </c>
      <c r="AX28" s="9"/>
      <c r="AY28" s="22">
        <v>-9.3078599999999994E-3</v>
      </c>
      <c r="AZ28" s="22">
        <v>576.24699999999996</v>
      </c>
      <c r="BA28" s="22">
        <v>-2.4496500000000001E-2</v>
      </c>
      <c r="BB28" s="22">
        <v>18</v>
      </c>
      <c r="BC28" s="22">
        <v>-9.3353299999999993E-3</v>
      </c>
      <c r="BD28">
        <f t="shared" si="10"/>
        <v>24.496500000000001</v>
      </c>
      <c r="BE28">
        <f t="shared" si="11"/>
        <v>-0.22800999249000001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57.920400000000001</v>
      </c>
      <c r="I29" s="22">
        <v>-2.04803E-2</v>
      </c>
      <c r="J29" s="22">
        <v>19</v>
      </c>
      <c r="K29" s="22">
        <v>1.7034899999999999</v>
      </c>
      <c r="L29">
        <f t="shared" si="0"/>
        <v>20.4803</v>
      </c>
      <c r="M29">
        <f t="shared" si="1"/>
        <v>34.903551274999998</v>
      </c>
      <c r="N29" s="9"/>
      <c r="O29" s="22">
        <v>-4.2724599999999996E-3</v>
      </c>
      <c r="P29" s="22">
        <v>147.238</v>
      </c>
      <c r="Q29" s="22">
        <v>-2.5027500000000001E-2</v>
      </c>
      <c r="R29" s="22">
        <v>19</v>
      </c>
      <c r="S29" s="22">
        <v>-4.1809100000000004E-3</v>
      </c>
      <c r="T29">
        <f t="shared" si="2"/>
        <v>25.0275</v>
      </c>
      <c r="U29">
        <f t="shared" si="3"/>
        <v>-0.10692899264999998</v>
      </c>
      <c r="X29" s="9"/>
      <c r="Y29" s="22">
        <v>1.70425</v>
      </c>
      <c r="Z29" s="22">
        <v>271.2</v>
      </c>
      <c r="AA29" s="22">
        <v>-2.0114099999999999E-2</v>
      </c>
      <c r="AB29" s="22">
        <v>19</v>
      </c>
      <c r="AC29" s="22">
        <v>1.7034899999999999</v>
      </c>
      <c r="AD29">
        <f t="shared" si="4"/>
        <v>20.114100000000001</v>
      </c>
      <c r="AE29">
        <f t="shared" si="5"/>
        <v>34.279454925000003</v>
      </c>
      <c r="AF29" s="9"/>
      <c r="AG29" s="22">
        <v>-4.2724599999999996E-3</v>
      </c>
      <c r="AH29" s="22">
        <v>377.07900000000001</v>
      </c>
      <c r="AI29" s="22">
        <v>-2.4551400000000001E-2</v>
      </c>
      <c r="AJ29" s="22">
        <v>19</v>
      </c>
      <c r="AK29" s="22">
        <v>-3.57056E-3</v>
      </c>
      <c r="AL29">
        <f t="shared" si="6"/>
        <v>24.551400000000001</v>
      </c>
      <c r="AM29">
        <f t="shared" si="7"/>
        <v>-0.10489487444399999</v>
      </c>
      <c r="AP29" s="9"/>
      <c r="AQ29" s="22">
        <v>1.70425</v>
      </c>
      <c r="AR29" s="22">
        <v>465.46899999999999</v>
      </c>
      <c r="AS29" s="22">
        <v>-1.9885300000000002E-2</v>
      </c>
      <c r="AT29" s="22">
        <v>19</v>
      </c>
      <c r="AU29" s="22">
        <v>1.7038</v>
      </c>
      <c r="AV29">
        <f t="shared" si="8"/>
        <v>19.885300000000001</v>
      </c>
      <c r="AW29">
        <f t="shared" si="9"/>
        <v>33.889522525000004</v>
      </c>
      <c r="AX29" s="9"/>
      <c r="AY29" s="22">
        <v>-4.2724599999999996E-3</v>
      </c>
      <c r="AZ29" s="22">
        <v>576.34799999999996</v>
      </c>
      <c r="BA29" s="22">
        <v>-2.4493399999999999E-2</v>
      </c>
      <c r="BB29" s="22">
        <v>19</v>
      </c>
      <c r="BC29" s="22">
        <v>-4.0039100000000003E-3</v>
      </c>
      <c r="BD29">
        <f t="shared" si="10"/>
        <v>24.493399999999998</v>
      </c>
      <c r="BE29">
        <f t="shared" si="11"/>
        <v>-0.10464707176399998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58.021099999999997</v>
      </c>
      <c r="I30" s="22">
        <v>-2.0761100000000001E-2</v>
      </c>
      <c r="J30" s="22">
        <v>20</v>
      </c>
      <c r="K30" s="22">
        <v>1.69922</v>
      </c>
      <c r="L30">
        <f t="shared" si="0"/>
        <v>20.761100000000003</v>
      </c>
      <c r="M30">
        <f t="shared" si="1"/>
        <v>35.277676342000007</v>
      </c>
      <c r="N30" s="9"/>
      <c r="O30" s="22">
        <v>7.6293900000000002E-4</v>
      </c>
      <c r="P30" s="22">
        <v>147.339</v>
      </c>
      <c r="Q30" s="22">
        <v>-2.4881E-2</v>
      </c>
      <c r="R30" s="22">
        <v>20</v>
      </c>
      <c r="S30" s="22">
        <v>1.0894800000000001E-3</v>
      </c>
      <c r="T30">
        <f t="shared" si="2"/>
        <v>24.881</v>
      </c>
      <c r="U30">
        <f t="shared" si="3"/>
        <v>1.8982685259000001E-2</v>
      </c>
      <c r="X30" s="9"/>
      <c r="Y30" s="22">
        <v>1.69922</v>
      </c>
      <c r="Z30" s="22">
        <v>271.30099999999999</v>
      </c>
      <c r="AA30" s="22">
        <v>-2.034E-2</v>
      </c>
      <c r="AB30" s="22">
        <v>20</v>
      </c>
      <c r="AC30" s="22">
        <v>1.69861</v>
      </c>
      <c r="AD30">
        <f t="shared" si="4"/>
        <v>20.34</v>
      </c>
      <c r="AE30">
        <f t="shared" si="5"/>
        <v>34.562134799999995</v>
      </c>
      <c r="AF30" s="9"/>
      <c r="AG30" s="22">
        <v>7.6293900000000002E-4</v>
      </c>
      <c r="AH30" s="22">
        <v>377.17899999999997</v>
      </c>
      <c r="AI30" s="22">
        <v>-2.4551400000000001E-2</v>
      </c>
      <c r="AJ30" s="22">
        <v>20</v>
      </c>
      <c r="AK30" s="22">
        <v>8.0566399999999999E-4</v>
      </c>
      <c r="AL30">
        <f t="shared" si="6"/>
        <v>24.551400000000001</v>
      </c>
      <c r="AM30">
        <f t="shared" si="7"/>
        <v>1.8731220564600002E-2</v>
      </c>
      <c r="AP30" s="9"/>
      <c r="AQ30" s="22">
        <v>1.69922</v>
      </c>
      <c r="AR30" s="22">
        <v>465.57</v>
      </c>
      <c r="AS30" s="22">
        <v>-2.01233E-2</v>
      </c>
      <c r="AT30" s="22">
        <v>20</v>
      </c>
      <c r="AU30" s="22">
        <v>1.69861</v>
      </c>
      <c r="AV30">
        <f t="shared" si="8"/>
        <v>20.1233</v>
      </c>
      <c r="AW30">
        <f t="shared" si="9"/>
        <v>34.193913825999999</v>
      </c>
      <c r="AX30" s="9"/>
      <c r="AY30" s="22">
        <v>7.6293900000000002E-4</v>
      </c>
      <c r="AZ30" s="22">
        <v>576.44899999999996</v>
      </c>
      <c r="BA30" s="22">
        <v>-2.4484300000000001E-2</v>
      </c>
      <c r="BB30" s="22">
        <v>20</v>
      </c>
      <c r="BC30" s="22">
        <v>8.9416500000000004E-4</v>
      </c>
      <c r="BD30">
        <f t="shared" si="10"/>
        <v>24.484300000000001</v>
      </c>
      <c r="BE30">
        <f t="shared" si="11"/>
        <v>1.86800273577E-2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58.1218</v>
      </c>
      <c r="I31" s="22">
        <v>-2.0990000000000002E-2</v>
      </c>
      <c r="J31" s="22">
        <v>21</v>
      </c>
      <c r="K31" s="22">
        <v>1.6934199999999999</v>
      </c>
      <c r="L31">
        <f t="shared" si="0"/>
        <v>20.990000000000002</v>
      </c>
      <c r="M31">
        <f t="shared" si="1"/>
        <v>35.560838200000006</v>
      </c>
      <c r="N31" s="9"/>
      <c r="O31" s="22">
        <v>5.7983399999999999E-3</v>
      </c>
      <c r="P31" s="22">
        <v>147.43899999999999</v>
      </c>
      <c r="Q31" s="22">
        <v>-2.4945100000000001E-2</v>
      </c>
      <c r="R31" s="22">
        <v>21</v>
      </c>
      <c r="S31" s="22">
        <v>5.3832999999999997E-3</v>
      </c>
      <c r="T31">
        <f t="shared" si="2"/>
        <v>24.9451</v>
      </c>
      <c r="U31">
        <f t="shared" si="3"/>
        <v>0.14464017113399999</v>
      </c>
      <c r="X31" s="9"/>
      <c r="Y31" s="22">
        <v>1.69418</v>
      </c>
      <c r="Z31" s="22">
        <v>271.40100000000001</v>
      </c>
      <c r="AA31" s="22">
        <v>-2.0571900000000001E-2</v>
      </c>
      <c r="AB31" s="22">
        <v>21</v>
      </c>
      <c r="AC31" s="22">
        <v>1.6934199999999999</v>
      </c>
      <c r="AD31">
        <f t="shared" si="4"/>
        <v>20.571899999999999</v>
      </c>
      <c r="AE31">
        <f t="shared" si="5"/>
        <v>34.852501541999999</v>
      </c>
      <c r="AF31" s="9"/>
      <c r="AG31" s="22">
        <v>5.7983399999999999E-3</v>
      </c>
      <c r="AH31" s="22">
        <v>377.28</v>
      </c>
      <c r="AI31" s="22">
        <v>-2.4539200000000001E-2</v>
      </c>
      <c r="AJ31" s="22">
        <v>21</v>
      </c>
      <c r="AK31" s="22">
        <v>5.8654800000000002E-3</v>
      </c>
      <c r="AL31">
        <f t="shared" si="6"/>
        <v>24.539200000000001</v>
      </c>
      <c r="AM31">
        <f t="shared" si="7"/>
        <v>0.14228662492800001</v>
      </c>
      <c r="AP31" s="9"/>
      <c r="AQ31" s="22">
        <v>1.69418</v>
      </c>
      <c r="AR31" s="22">
        <v>465.67099999999999</v>
      </c>
      <c r="AS31" s="22">
        <v>-2.0333899999999999E-2</v>
      </c>
      <c r="AT31" s="22">
        <v>21</v>
      </c>
      <c r="AU31" s="22">
        <v>1.69373</v>
      </c>
      <c r="AV31">
        <f t="shared" si="8"/>
        <v>20.3339</v>
      </c>
      <c r="AW31">
        <f t="shared" si="9"/>
        <v>34.449286702000002</v>
      </c>
      <c r="AX31" s="9"/>
      <c r="AY31" s="22">
        <v>5.7983399999999999E-3</v>
      </c>
      <c r="AZ31" s="22">
        <v>576.54999999999995</v>
      </c>
      <c r="BA31" s="22">
        <v>-2.4490399999999999E-2</v>
      </c>
      <c r="BB31" s="22">
        <v>21</v>
      </c>
      <c r="BC31" s="22">
        <v>5.9814500000000001E-3</v>
      </c>
      <c r="BD31">
        <f t="shared" si="10"/>
        <v>24.490399999999998</v>
      </c>
      <c r="BE31">
        <f t="shared" si="11"/>
        <v>0.14200366593599997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58.222499999999997</v>
      </c>
      <c r="I32" s="22">
        <v>-2.1194500000000002E-2</v>
      </c>
      <c r="J32" s="22">
        <v>22</v>
      </c>
      <c r="K32" s="22">
        <v>1.6888399999999999</v>
      </c>
      <c r="L32">
        <f t="shared" si="0"/>
        <v>21.194500000000001</v>
      </c>
      <c r="M32">
        <f t="shared" si="1"/>
        <v>35.800689675000001</v>
      </c>
      <c r="N32" s="9"/>
      <c r="O32" s="22">
        <v>1.08337E-2</v>
      </c>
      <c r="P32" s="22">
        <v>147.54</v>
      </c>
      <c r="Q32" s="22">
        <v>-2.4932900000000001E-2</v>
      </c>
      <c r="R32" s="22">
        <v>22</v>
      </c>
      <c r="S32" s="22">
        <v>1.06628E-2</v>
      </c>
      <c r="T32">
        <f t="shared" si="2"/>
        <v>24.9329</v>
      </c>
      <c r="U32">
        <f t="shared" si="3"/>
        <v>0.27011555872999998</v>
      </c>
      <c r="X32" s="9"/>
      <c r="Y32" s="22">
        <v>1.6891499999999999</v>
      </c>
      <c r="Z32" s="22">
        <v>271.50200000000001</v>
      </c>
      <c r="AA32" s="22">
        <v>-2.0758100000000002E-2</v>
      </c>
      <c r="AB32" s="22">
        <v>22</v>
      </c>
      <c r="AC32" s="22">
        <v>1.6882299999999999</v>
      </c>
      <c r="AD32">
        <f t="shared" si="4"/>
        <v>20.758100000000002</v>
      </c>
      <c r="AE32">
        <f t="shared" si="5"/>
        <v>35.063544615000005</v>
      </c>
      <c r="AF32" s="9"/>
      <c r="AG32" s="22">
        <v>1.08337E-2</v>
      </c>
      <c r="AH32" s="22">
        <v>377.38099999999997</v>
      </c>
      <c r="AI32" s="22">
        <v>-2.453E-2</v>
      </c>
      <c r="AJ32" s="22">
        <v>22</v>
      </c>
      <c r="AK32" s="22">
        <v>1.10992E-2</v>
      </c>
      <c r="AL32">
        <f t="shared" si="6"/>
        <v>24.53</v>
      </c>
      <c r="AM32">
        <f t="shared" si="7"/>
        <v>0.265750661</v>
      </c>
      <c r="AP32" s="9"/>
      <c r="AQ32" s="22">
        <v>1.6891499999999999</v>
      </c>
      <c r="AR32" s="22">
        <v>465.77100000000002</v>
      </c>
      <c r="AS32" s="22">
        <v>-2.0544400000000001E-2</v>
      </c>
      <c r="AT32" s="22">
        <v>22</v>
      </c>
      <c r="AU32" s="22">
        <v>1.6885399999999999</v>
      </c>
      <c r="AV32">
        <f t="shared" si="8"/>
        <v>20.5444</v>
      </c>
      <c r="AW32">
        <f t="shared" si="9"/>
        <v>34.702573260000001</v>
      </c>
      <c r="AX32" s="9"/>
      <c r="AY32" s="22">
        <v>1.08337E-2</v>
      </c>
      <c r="AZ32" s="22">
        <v>576.65</v>
      </c>
      <c r="BA32" s="22">
        <v>-2.4493399999999999E-2</v>
      </c>
      <c r="BB32" s="22">
        <v>22</v>
      </c>
      <c r="BC32" s="22">
        <v>1.07971E-2</v>
      </c>
      <c r="BD32">
        <f t="shared" si="10"/>
        <v>24.493399999999998</v>
      </c>
      <c r="BE32">
        <f t="shared" si="11"/>
        <v>0.26535414757999998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58.3232</v>
      </c>
      <c r="I33" s="22">
        <v>-2.1386700000000002E-2</v>
      </c>
      <c r="J33" s="22">
        <v>23</v>
      </c>
      <c r="K33" s="22">
        <v>1.6830400000000001</v>
      </c>
      <c r="L33">
        <f t="shared" si="0"/>
        <v>21.386700000000001</v>
      </c>
      <c r="M33">
        <f t="shared" si="1"/>
        <v>36.017555337000005</v>
      </c>
      <c r="N33" s="9"/>
      <c r="O33" s="22">
        <v>1.5869100000000001E-2</v>
      </c>
      <c r="P33" s="22">
        <v>147.64099999999999</v>
      </c>
      <c r="Q33" s="22">
        <v>-2.49359E-2</v>
      </c>
      <c r="R33" s="22">
        <v>23</v>
      </c>
      <c r="S33" s="22">
        <v>1.60217E-2</v>
      </c>
      <c r="T33">
        <f t="shared" si="2"/>
        <v>24.9359</v>
      </c>
      <c r="U33">
        <f t="shared" si="3"/>
        <v>0.39571029069000002</v>
      </c>
      <c r="X33" s="9"/>
      <c r="Y33" s="22">
        <v>1.68411</v>
      </c>
      <c r="Z33" s="22">
        <v>271.60300000000001</v>
      </c>
      <c r="AA33" s="22">
        <v>-2.0929E-2</v>
      </c>
      <c r="AB33" s="22">
        <v>23</v>
      </c>
      <c r="AC33" s="22">
        <v>1.6836500000000001</v>
      </c>
      <c r="AD33">
        <f t="shared" si="4"/>
        <v>20.928999999999998</v>
      </c>
      <c r="AE33">
        <f t="shared" si="5"/>
        <v>35.246738189999995</v>
      </c>
      <c r="AF33" s="9"/>
      <c r="AG33" s="22">
        <v>1.5869100000000001E-2</v>
      </c>
      <c r="AH33" s="22">
        <v>377.48200000000003</v>
      </c>
      <c r="AI33" s="22">
        <v>-2.453E-2</v>
      </c>
      <c r="AJ33" s="22">
        <v>23</v>
      </c>
      <c r="AK33" s="22">
        <v>1.5817299999999999E-2</v>
      </c>
      <c r="AL33">
        <f t="shared" si="6"/>
        <v>24.53</v>
      </c>
      <c r="AM33">
        <f t="shared" si="7"/>
        <v>0.38926902300000005</v>
      </c>
      <c r="AP33" s="9"/>
      <c r="AQ33" s="22">
        <v>1.68411</v>
      </c>
      <c r="AR33" s="22">
        <v>465.87200000000001</v>
      </c>
      <c r="AS33" s="22">
        <v>-2.0715299999999999E-2</v>
      </c>
      <c r="AT33" s="22">
        <v>23</v>
      </c>
      <c r="AU33" s="22">
        <v>1.6839599999999999</v>
      </c>
      <c r="AV33">
        <f t="shared" si="8"/>
        <v>20.715299999999999</v>
      </c>
      <c r="AW33">
        <f t="shared" si="9"/>
        <v>34.886843882999997</v>
      </c>
      <c r="AX33" s="9"/>
      <c r="AY33" s="22">
        <v>1.5869100000000001E-2</v>
      </c>
      <c r="AZ33" s="22">
        <v>576.75099999999998</v>
      </c>
      <c r="BA33" s="22">
        <v>-2.4484300000000001E-2</v>
      </c>
      <c r="BB33" s="22">
        <v>23</v>
      </c>
      <c r="BC33" s="22">
        <v>1.5985099999999999E-2</v>
      </c>
      <c r="BD33">
        <f t="shared" si="10"/>
        <v>24.484300000000001</v>
      </c>
      <c r="BE33">
        <f t="shared" si="11"/>
        <v>0.38854380513000003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58.423900000000003</v>
      </c>
      <c r="I34" s="22">
        <v>-2.1560699999999999E-2</v>
      </c>
      <c r="J34" s="22">
        <v>24</v>
      </c>
      <c r="K34" s="22">
        <v>1.6784699999999999</v>
      </c>
      <c r="L34">
        <f t="shared" si="0"/>
        <v>21.560699999999997</v>
      </c>
      <c r="M34">
        <f t="shared" si="1"/>
        <v>36.202140155999992</v>
      </c>
      <c r="N34" s="9"/>
      <c r="O34" s="22">
        <v>2.0904499999999999E-2</v>
      </c>
      <c r="P34" s="22">
        <v>147.74100000000001</v>
      </c>
      <c r="Q34" s="22">
        <v>-2.4938999999999999E-2</v>
      </c>
      <c r="R34" s="22">
        <v>24</v>
      </c>
      <c r="S34" s="22">
        <v>2.10114E-2</v>
      </c>
      <c r="T34">
        <f t="shared" si="2"/>
        <v>24.939</v>
      </c>
      <c r="U34">
        <f t="shared" si="3"/>
        <v>0.5213373255</v>
      </c>
      <c r="X34" s="9"/>
      <c r="Y34" s="22">
        <v>1.6790799999999999</v>
      </c>
      <c r="Z34" s="22">
        <v>271.70400000000001</v>
      </c>
      <c r="AA34" s="22">
        <v>-2.1087600000000001E-2</v>
      </c>
      <c r="AB34" s="22">
        <v>24</v>
      </c>
      <c r="AC34" s="22">
        <v>1.6784699999999999</v>
      </c>
      <c r="AD34">
        <f t="shared" si="4"/>
        <v>21.087600000000002</v>
      </c>
      <c r="AE34">
        <f t="shared" si="5"/>
        <v>35.407767407999998</v>
      </c>
      <c r="AF34" s="9"/>
      <c r="AG34" s="22">
        <v>2.0904499999999999E-2</v>
      </c>
      <c r="AH34" s="22">
        <v>377.58199999999999</v>
      </c>
      <c r="AI34" s="22">
        <v>-2.4520900000000002E-2</v>
      </c>
      <c r="AJ34" s="22">
        <v>24</v>
      </c>
      <c r="AK34" s="22">
        <v>2.0346099999999999E-2</v>
      </c>
      <c r="AL34">
        <f t="shared" si="6"/>
        <v>24.520900000000001</v>
      </c>
      <c r="AM34">
        <f t="shared" si="7"/>
        <v>0.51259715405000006</v>
      </c>
      <c r="AP34" s="9"/>
      <c r="AQ34" s="22">
        <v>1.6790799999999999</v>
      </c>
      <c r="AR34" s="22">
        <v>465.97300000000001</v>
      </c>
      <c r="AS34" s="22">
        <v>-2.0874E-2</v>
      </c>
      <c r="AT34" s="22">
        <v>24</v>
      </c>
      <c r="AU34" s="22">
        <v>1.6784699999999999</v>
      </c>
      <c r="AV34">
        <f t="shared" si="8"/>
        <v>20.873999999999999</v>
      </c>
      <c r="AW34">
        <f t="shared" si="9"/>
        <v>35.049115919999998</v>
      </c>
      <c r="AX34" s="9"/>
      <c r="AY34" s="22">
        <v>2.0904499999999999E-2</v>
      </c>
      <c r="AZ34" s="22">
        <v>576.85199999999998</v>
      </c>
      <c r="BA34" s="22">
        <v>-2.4484300000000001E-2</v>
      </c>
      <c r="BB34" s="22">
        <v>24</v>
      </c>
      <c r="BC34" s="22">
        <v>2.0935100000000002E-2</v>
      </c>
      <c r="BD34">
        <f t="shared" si="10"/>
        <v>24.484300000000001</v>
      </c>
      <c r="BE34">
        <f t="shared" si="11"/>
        <v>0.51183204935000004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58.5246</v>
      </c>
      <c r="I35" s="22">
        <v>-2.1713300000000001E-2</v>
      </c>
      <c r="J35" s="22">
        <v>25</v>
      </c>
      <c r="K35" s="22">
        <v>1.6738900000000001</v>
      </c>
      <c r="L35">
        <f t="shared" si="0"/>
        <v>21.7133</v>
      </c>
      <c r="M35">
        <f t="shared" si="1"/>
        <v>36.348932732000002</v>
      </c>
      <c r="N35" s="9"/>
      <c r="O35" s="22">
        <v>2.5939899999999998E-2</v>
      </c>
      <c r="P35" s="22">
        <v>147.84200000000001</v>
      </c>
      <c r="Q35" s="22">
        <v>-2.4945100000000001E-2</v>
      </c>
      <c r="R35" s="22">
        <v>25</v>
      </c>
      <c r="S35" s="22">
        <v>2.6180999999999999E-2</v>
      </c>
      <c r="T35">
        <f t="shared" si="2"/>
        <v>24.9451</v>
      </c>
      <c r="U35">
        <f t="shared" si="3"/>
        <v>0.64707339948999998</v>
      </c>
      <c r="X35" s="9"/>
      <c r="Y35" s="22">
        <v>1.67404</v>
      </c>
      <c r="Z35" s="22">
        <v>271.80399999999997</v>
      </c>
      <c r="AA35" s="22">
        <v>-2.1237200000000001E-2</v>
      </c>
      <c r="AB35" s="22">
        <v>25</v>
      </c>
      <c r="AC35" s="22">
        <v>1.6732800000000001</v>
      </c>
      <c r="AD35">
        <f t="shared" si="4"/>
        <v>21.237200000000001</v>
      </c>
      <c r="AE35">
        <f t="shared" si="5"/>
        <v>35.551922288</v>
      </c>
      <c r="AF35" s="9"/>
      <c r="AG35" s="22">
        <v>2.5939899999999998E-2</v>
      </c>
      <c r="AH35" s="22">
        <v>377.68299999999999</v>
      </c>
      <c r="AI35" s="22">
        <v>-2.4539200000000001E-2</v>
      </c>
      <c r="AJ35" s="22">
        <v>25</v>
      </c>
      <c r="AK35" s="22">
        <v>2.61505E-2</v>
      </c>
      <c r="AL35">
        <f t="shared" si="6"/>
        <v>24.539200000000001</v>
      </c>
      <c r="AM35">
        <f t="shared" si="7"/>
        <v>0.63654439407999996</v>
      </c>
      <c r="AP35" s="9"/>
      <c r="AQ35" s="22">
        <v>1.67404</v>
      </c>
      <c r="AR35" s="22">
        <v>466.07299999999998</v>
      </c>
      <c r="AS35" s="22">
        <v>-2.1029699999999998E-2</v>
      </c>
      <c r="AT35" s="22">
        <v>25</v>
      </c>
      <c r="AU35" s="22">
        <v>1.6735800000000001</v>
      </c>
      <c r="AV35">
        <f t="shared" si="8"/>
        <v>21.029699999999998</v>
      </c>
      <c r="AW35">
        <f t="shared" si="9"/>
        <v>35.204558987999995</v>
      </c>
      <c r="AX35" s="9"/>
      <c r="AY35" s="22">
        <v>2.5939899999999998E-2</v>
      </c>
      <c r="AZ35" s="22">
        <v>576.952</v>
      </c>
      <c r="BA35" s="22">
        <v>-2.4462899999999999E-2</v>
      </c>
      <c r="BB35" s="22">
        <v>25</v>
      </c>
      <c r="BC35" s="22">
        <v>2.60284E-2</v>
      </c>
      <c r="BD35">
        <f t="shared" si="10"/>
        <v>24.462899999999998</v>
      </c>
      <c r="BE35">
        <f t="shared" si="11"/>
        <v>0.63456517970999993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58.625300000000003</v>
      </c>
      <c r="I36" s="22">
        <v>-2.1862800000000002E-2</v>
      </c>
      <c r="J36" s="22">
        <v>26</v>
      </c>
      <c r="K36" s="22">
        <v>1.6687000000000001</v>
      </c>
      <c r="L36">
        <f t="shared" si="0"/>
        <v>21.8628</v>
      </c>
      <c r="M36">
        <f t="shared" si="1"/>
        <v>36.489231828000001</v>
      </c>
      <c r="N36" s="9"/>
      <c r="O36" s="22">
        <v>3.0975300000000001E-2</v>
      </c>
      <c r="P36" s="22">
        <v>147.94300000000001</v>
      </c>
      <c r="Q36" s="22">
        <v>-2.4941999999999999E-2</v>
      </c>
      <c r="R36" s="22">
        <v>26</v>
      </c>
      <c r="S36" s="22">
        <v>3.1497200000000003E-2</v>
      </c>
      <c r="T36">
        <f t="shared" si="2"/>
        <v>24.942</v>
      </c>
      <c r="U36">
        <f t="shared" si="3"/>
        <v>0.77258593259999997</v>
      </c>
      <c r="X36" s="9"/>
      <c r="Y36" s="22">
        <v>1.6690100000000001</v>
      </c>
      <c r="Z36" s="22">
        <v>271.90499999999997</v>
      </c>
      <c r="AA36" s="22">
        <v>-2.1371500000000002E-2</v>
      </c>
      <c r="AB36" s="22">
        <v>26</v>
      </c>
      <c r="AC36" s="22">
        <v>1.6690100000000001</v>
      </c>
      <c r="AD36">
        <f t="shared" si="4"/>
        <v>21.371500000000001</v>
      </c>
      <c r="AE36">
        <f t="shared" si="5"/>
        <v>35.669247215000006</v>
      </c>
      <c r="AF36" s="9"/>
      <c r="AG36" s="22">
        <v>3.0975300000000001E-2</v>
      </c>
      <c r="AH36" s="22">
        <v>377.78399999999999</v>
      </c>
      <c r="AI36" s="22">
        <v>-2.4536100000000002E-2</v>
      </c>
      <c r="AJ36" s="22">
        <v>26</v>
      </c>
      <c r="AK36" s="22">
        <v>3.1036399999999999E-2</v>
      </c>
      <c r="AL36">
        <f t="shared" si="6"/>
        <v>24.536100000000001</v>
      </c>
      <c r="AM36">
        <f t="shared" si="7"/>
        <v>0.7600130583300001</v>
      </c>
      <c r="AP36" s="9"/>
      <c r="AQ36" s="22">
        <v>1.6690100000000001</v>
      </c>
      <c r="AR36" s="22">
        <v>466.17399999999998</v>
      </c>
      <c r="AS36" s="22">
        <v>-2.1148699999999999E-2</v>
      </c>
      <c r="AT36" s="22">
        <v>26</v>
      </c>
      <c r="AU36" s="22">
        <v>1.6680900000000001</v>
      </c>
      <c r="AV36">
        <f t="shared" si="8"/>
        <v>21.148699999999998</v>
      </c>
      <c r="AW36">
        <f t="shared" si="9"/>
        <v>35.297391787000002</v>
      </c>
      <c r="AX36" s="9"/>
      <c r="AY36" s="22">
        <v>3.0975300000000001E-2</v>
      </c>
      <c r="AZ36" s="22">
        <v>577.053</v>
      </c>
      <c r="BA36" s="22">
        <v>-2.4472000000000001E-2</v>
      </c>
      <c r="BB36" s="22">
        <v>26</v>
      </c>
      <c r="BC36" s="22">
        <v>3.0932600000000001E-2</v>
      </c>
      <c r="BD36">
        <f t="shared" si="10"/>
        <v>24.472000000000001</v>
      </c>
      <c r="BE36">
        <f t="shared" si="11"/>
        <v>0.75802754160000008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58.725999999999999</v>
      </c>
      <c r="I37" s="22">
        <v>-2.1981799999999999E-2</v>
      </c>
      <c r="J37" s="22">
        <v>27</v>
      </c>
      <c r="K37" s="22">
        <v>1.6632100000000001</v>
      </c>
      <c r="L37">
        <f t="shared" si="0"/>
        <v>21.9818</v>
      </c>
      <c r="M37">
        <f t="shared" si="1"/>
        <v>36.577055745999999</v>
      </c>
      <c r="N37" s="9"/>
      <c r="O37" s="22">
        <v>3.60107E-2</v>
      </c>
      <c r="P37" s="22">
        <v>148.04300000000001</v>
      </c>
      <c r="Q37" s="22">
        <v>-2.4932900000000001E-2</v>
      </c>
      <c r="R37" s="22">
        <v>27</v>
      </c>
      <c r="S37" s="22">
        <v>3.6056499999999998E-2</v>
      </c>
      <c r="T37">
        <f t="shared" si="2"/>
        <v>24.9329</v>
      </c>
      <c r="U37">
        <f t="shared" si="3"/>
        <v>0.89785118203000003</v>
      </c>
      <c r="X37" s="9"/>
      <c r="Y37" s="22">
        <v>1.6639699999999999</v>
      </c>
      <c r="Z37" s="22">
        <v>272.00599999999997</v>
      </c>
      <c r="AA37" s="22">
        <v>-2.1496600000000001E-2</v>
      </c>
      <c r="AB37" s="22">
        <v>27</v>
      </c>
      <c r="AC37" s="22">
        <v>1.6632100000000001</v>
      </c>
      <c r="AD37">
        <f t="shared" si="4"/>
        <v>21.496600000000001</v>
      </c>
      <c r="AE37">
        <f t="shared" si="5"/>
        <v>35.769697502</v>
      </c>
      <c r="AF37" s="9"/>
      <c r="AG37" s="22">
        <v>3.60107E-2</v>
      </c>
      <c r="AH37" s="22">
        <v>377.88400000000001</v>
      </c>
      <c r="AI37" s="22">
        <v>-2.4523900000000001E-2</v>
      </c>
      <c r="AJ37" s="22">
        <v>27</v>
      </c>
      <c r="AK37" s="22">
        <v>3.6209100000000001E-2</v>
      </c>
      <c r="AL37">
        <f t="shared" si="6"/>
        <v>24.523900000000001</v>
      </c>
      <c r="AM37">
        <f t="shared" si="7"/>
        <v>0.88312280573000002</v>
      </c>
      <c r="AP37" s="9"/>
      <c r="AQ37" s="22">
        <v>1.6639699999999999</v>
      </c>
      <c r="AR37" s="22">
        <v>466.27499999999998</v>
      </c>
      <c r="AS37" s="22">
        <v>-2.1283E-2</v>
      </c>
      <c r="AT37" s="22">
        <v>27</v>
      </c>
      <c r="AU37" s="22">
        <v>1.66351</v>
      </c>
      <c r="AV37">
        <f t="shared" si="8"/>
        <v>21.283000000000001</v>
      </c>
      <c r="AW37">
        <f t="shared" si="9"/>
        <v>35.414273510000001</v>
      </c>
      <c r="AX37" s="9"/>
      <c r="AY37" s="22">
        <v>3.60107E-2</v>
      </c>
      <c r="AZ37" s="22">
        <v>577.154</v>
      </c>
      <c r="BA37" s="22">
        <v>-2.4478099999999999E-2</v>
      </c>
      <c r="BB37" s="22">
        <v>27</v>
      </c>
      <c r="BC37" s="22">
        <v>3.6303700000000001E-2</v>
      </c>
      <c r="BD37">
        <f t="shared" si="10"/>
        <v>24.478099999999998</v>
      </c>
      <c r="BE37">
        <f t="shared" si="11"/>
        <v>0.88147351566999987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58.826700000000002</v>
      </c>
      <c r="I38" s="22">
        <v>-2.2097800000000001E-2</v>
      </c>
      <c r="J38" s="22">
        <v>28</v>
      </c>
      <c r="K38" s="22">
        <v>1.65863</v>
      </c>
      <c r="L38">
        <f t="shared" si="0"/>
        <v>22.097799999999999</v>
      </c>
      <c r="M38">
        <f t="shared" si="1"/>
        <v>36.658924331999998</v>
      </c>
      <c r="N38" s="9"/>
      <c r="O38" s="22">
        <v>4.1046100000000002E-2</v>
      </c>
      <c r="P38" s="22">
        <v>148.14400000000001</v>
      </c>
      <c r="Q38" s="22">
        <v>-2.49359E-2</v>
      </c>
      <c r="R38" s="22">
        <v>28</v>
      </c>
      <c r="S38" s="22">
        <v>4.1293299999999998E-2</v>
      </c>
      <c r="T38">
        <f t="shared" si="2"/>
        <v>24.9359</v>
      </c>
      <c r="U38">
        <f t="shared" si="3"/>
        <v>1.0235214449900001</v>
      </c>
      <c r="X38" s="9"/>
      <c r="Y38" s="22">
        <v>1.6589400000000001</v>
      </c>
      <c r="Z38" s="22">
        <v>272.10599999999999</v>
      </c>
      <c r="AA38" s="22">
        <v>-2.1618700000000001E-2</v>
      </c>
      <c r="AB38" s="22">
        <v>28</v>
      </c>
      <c r="AC38" s="22">
        <v>1.65802</v>
      </c>
      <c r="AD38">
        <f t="shared" si="4"/>
        <v>21.6187</v>
      </c>
      <c r="AE38">
        <f t="shared" si="5"/>
        <v>35.864126177999999</v>
      </c>
      <c r="AF38" s="9"/>
      <c r="AG38" s="22">
        <v>4.1046100000000002E-2</v>
      </c>
      <c r="AH38" s="22">
        <v>377.98500000000001</v>
      </c>
      <c r="AI38" s="22">
        <v>-2.44324E-2</v>
      </c>
      <c r="AJ38" s="22">
        <v>28</v>
      </c>
      <c r="AK38" s="22">
        <v>4.1149900000000003E-2</v>
      </c>
      <c r="AL38">
        <f t="shared" si="6"/>
        <v>24.432400000000001</v>
      </c>
      <c r="AM38">
        <f t="shared" si="7"/>
        <v>1.00285473364</v>
      </c>
      <c r="AP38" s="9"/>
      <c r="AQ38" s="22">
        <v>1.6589400000000001</v>
      </c>
      <c r="AR38" s="22">
        <v>466.37599999999998</v>
      </c>
      <c r="AS38" s="22">
        <v>-2.1395899999999999E-2</v>
      </c>
      <c r="AT38" s="22">
        <v>28</v>
      </c>
      <c r="AU38" s="22">
        <v>1.6583300000000001</v>
      </c>
      <c r="AV38">
        <f t="shared" si="8"/>
        <v>21.395899999999997</v>
      </c>
      <c r="AW38">
        <f t="shared" si="9"/>
        <v>35.494514345999995</v>
      </c>
      <c r="AX38" s="9"/>
      <c r="AY38" s="22">
        <v>4.1046100000000002E-2</v>
      </c>
      <c r="AZ38" s="22">
        <v>577.255</v>
      </c>
      <c r="BA38" s="22">
        <v>-2.4465899999999999E-2</v>
      </c>
      <c r="BB38" s="22">
        <v>28</v>
      </c>
      <c r="BC38" s="22">
        <v>4.1095E-2</v>
      </c>
      <c r="BD38">
        <f t="shared" si="10"/>
        <v>24.465899999999998</v>
      </c>
      <c r="BE38">
        <f t="shared" si="11"/>
        <v>1.00422977799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58.927399999999999</v>
      </c>
      <c r="I39" s="22">
        <v>-2.2198499999999999E-2</v>
      </c>
      <c r="J39" s="22">
        <v>29</v>
      </c>
      <c r="K39" s="22">
        <v>1.6531400000000001</v>
      </c>
      <c r="L39">
        <f t="shared" si="0"/>
        <v>22.198499999999999</v>
      </c>
      <c r="M39">
        <f t="shared" si="1"/>
        <v>36.714099149999996</v>
      </c>
      <c r="N39" s="9"/>
      <c r="O39" s="22">
        <v>4.6081499999999997E-2</v>
      </c>
      <c r="P39" s="22">
        <v>148.245</v>
      </c>
      <c r="Q39" s="22">
        <v>-2.4926799999999999E-2</v>
      </c>
      <c r="R39" s="22">
        <v>29</v>
      </c>
      <c r="S39" s="22">
        <v>4.57703E-2</v>
      </c>
      <c r="T39">
        <f t="shared" si="2"/>
        <v>24.9268</v>
      </c>
      <c r="U39">
        <f t="shared" si="3"/>
        <v>1.1486643342</v>
      </c>
      <c r="X39" s="9"/>
      <c r="Y39" s="22">
        <v>1.6538999999999999</v>
      </c>
      <c r="Z39" s="22">
        <v>272.20699999999999</v>
      </c>
      <c r="AA39" s="22">
        <v>-2.1725499999999998E-2</v>
      </c>
      <c r="AB39" s="22">
        <v>29</v>
      </c>
      <c r="AC39" s="22">
        <v>1.6531400000000001</v>
      </c>
      <c r="AD39">
        <f t="shared" si="4"/>
        <v>21.725499999999997</v>
      </c>
      <c r="AE39">
        <f t="shared" si="5"/>
        <v>35.931804449999994</v>
      </c>
      <c r="AF39" s="9"/>
      <c r="AG39" s="22">
        <v>4.6081499999999997E-2</v>
      </c>
      <c r="AH39" s="22">
        <v>378.08600000000001</v>
      </c>
      <c r="AI39" s="22">
        <v>-2.4426300000000001E-2</v>
      </c>
      <c r="AJ39" s="22">
        <v>29</v>
      </c>
      <c r="AK39" s="22">
        <v>4.6935999999999999E-2</v>
      </c>
      <c r="AL39">
        <f t="shared" si="6"/>
        <v>24.426300000000001</v>
      </c>
      <c r="AM39">
        <f t="shared" si="7"/>
        <v>1.12560054345</v>
      </c>
      <c r="AP39" s="9"/>
      <c r="AQ39" s="22">
        <v>1.6538999999999999</v>
      </c>
      <c r="AR39" s="22">
        <v>466.476</v>
      </c>
      <c r="AS39" s="22">
        <v>-2.1490499999999999E-2</v>
      </c>
      <c r="AT39" s="22">
        <v>29</v>
      </c>
      <c r="AU39" s="22">
        <v>1.65283</v>
      </c>
      <c r="AV39">
        <f t="shared" si="8"/>
        <v>21.490500000000001</v>
      </c>
      <c r="AW39">
        <f t="shared" si="9"/>
        <v>35.543137950000002</v>
      </c>
      <c r="AX39" s="9"/>
      <c r="AY39" s="22">
        <v>4.6081499999999997E-2</v>
      </c>
      <c r="AZ39" s="22">
        <v>577.35500000000002</v>
      </c>
      <c r="BA39" s="22">
        <v>-2.4465899999999999E-2</v>
      </c>
      <c r="BB39" s="22">
        <v>29</v>
      </c>
      <c r="BC39" s="22">
        <v>4.6273799999999997E-2</v>
      </c>
      <c r="BD39">
        <f t="shared" si="10"/>
        <v>24.465899999999998</v>
      </c>
      <c r="BE39">
        <f t="shared" si="11"/>
        <v>1.1274253708499999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59.028100000000002</v>
      </c>
      <c r="I40" s="22">
        <v>-2.2299200000000002E-2</v>
      </c>
      <c r="J40" s="22">
        <v>30</v>
      </c>
      <c r="K40" s="22">
        <v>1.64764</v>
      </c>
      <c r="L40">
        <f t="shared" si="0"/>
        <v>22.299200000000003</v>
      </c>
      <c r="M40">
        <f t="shared" si="1"/>
        <v>36.768258912000007</v>
      </c>
      <c r="N40" s="9"/>
      <c r="O40" s="22">
        <v>5.11169E-2</v>
      </c>
      <c r="P40" s="22">
        <v>148.346</v>
      </c>
      <c r="Q40" s="22">
        <v>-2.4917600000000002E-2</v>
      </c>
      <c r="R40" s="22">
        <v>30</v>
      </c>
      <c r="S40" s="22">
        <v>5.1178000000000001E-2</v>
      </c>
      <c r="T40">
        <f t="shared" si="2"/>
        <v>24.9176</v>
      </c>
      <c r="U40">
        <f t="shared" si="3"/>
        <v>1.2737104674399999</v>
      </c>
      <c r="X40" s="9"/>
      <c r="Y40" s="22">
        <v>1.64886</v>
      </c>
      <c r="Z40" s="22">
        <v>272.30799999999999</v>
      </c>
      <c r="AA40" s="22">
        <v>-2.1817E-2</v>
      </c>
      <c r="AB40" s="22">
        <v>30</v>
      </c>
      <c r="AC40" s="22">
        <v>1.64764</v>
      </c>
      <c r="AD40">
        <f t="shared" si="4"/>
        <v>21.817</v>
      </c>
      <c r="AE40">
        <f t="shared" si="5"/>
        <v>35.973178619999999</v>
      </c>
      <c r="AF40" s="9"/>
      <c r="AG40" s="22">
        <v>5.11169E-2</v>
      </c>
      <c r="AH40" s="22">
        <v>378.18700000000001</v>
      </c>
      <c r="AI40" s="22">
        <v>-2.44476E-2</v>
      </c>
      <c r="AJ40" s="22">
        <v>30</v>
      </c>
      <c r="AK40" s="22">
        <v>5.1214599999999999E-2</v>
      </c>
      <c r="AL40">
        <f t="shared" si="6"/>
        <v>24.447600000000001</v>
      </c>
      <c r="AM40">
        <f t="shared" si="7"/>
        <v>1.24968552444</v>
      </c>
      <c r="AP40" s="9"/>
      <c r="AQ40" s="22">
        <v>1.64886</v>
      </c>
      <c r="AR40" s="22">
        <v>466.577</v>
      </c>
      <c r="AS40" s="22">
        <v>-2.1594200000000001E-2</v>
      </c>
      <c r="AT40" s="22">
        <v>30</v>
      </c>
      <c r="AU40" s="22">
        <v>1.64886</v>
      </c>
      <c r="AV40">
        <f t="shared" si="8"/>
        <v>21.594200000000001</v>
      </c>
      <c r="AW40">
        <f t="shared" si="9"/>
        <v>35.605812612000001</v>
      </c>
      <c r="AX40" s="9"/>
      <c r="AY40" s="22">
        <v>5.11169E-2</v>
      </c>
      <c r="AZ40" s="22">
        <v>577.45600000000002</v>
      </c>
      <c r="BA40" s="22">
        <v>-2.4465899999999999E-2</v>
      </c>
      <c r="BB40" s="22">
        <v>30</v>
      </c>
      <c r="BC40" s="22">
        <v>5.1065100000000002E-2</v>
      </c>
      <c r="BD40">
        <f t="shared" si="10"/>
        <v>24.465899999999998</v>
      </c>
      <c r="BE40">
        <f t="shared" si="11"/>
        <v>1.2506209637099999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59.128799999999998</v>
      </c>
      <c r="I41" s="22">
        <v>-2.2384600000000001E-2</v>
      </c>
      <c r="J41" s="22">
        <v>31</v>
      </c>
      <c r="K41" s="22">
        <v>1.64276</v>
      </c>
      <c r="L41">
        <f t="shared" si="0"/>
        <v>22.384600000000002</v>
      </c>
      <c r="M41">
        <f t="shared" si="1"/>
        <v>36.796477018000004</v>
      </c>
      <c r="N41" s="9"/>
      <c r="O41" s="22">
        <v>5.6152300000000002E-2</v>
      </c>
      <c r="P41" s="22">
        <v>148.446</v>
      </c>
      <c r="Q41" s="22">
        <v>-2.4917600000000002E-2</v>
      </c>
      <c r="R41" s="22">
        <v>31</v>
      </c>
      <c r="S41" s="22">
        <v>5.5755600000000002E-2</v>
      </c>
      <c r="T41">
        <f t="shared" si="2"/>
        <v>24.9176</v>
      </c>
      <c r="U41">
        <f t="shared" si="3"/>
        <v>1.3991805504800001</v>
      </c>
      <c r="X41" s="9"/>
      <c r="Y41" s="22">
        <v>1.6438299999999999</v>
      </c>
      <c r="Z41" s="22">
        <v>272.40800000000002</v>
      </c>
      <c r="AA41" s="22">
        <v>-2.1899399999999999E-2</v>
      </c>
      <c r="AB41" s="22">
        <v>31</v>
      </c>
      <c r="AC41" s="22">
        <v>1.64276</v>
      </c>
      <c r="AD41">
        <f t="shared" si="4"/>
        <v>21.8994</v>
      </c>
      <c r="AE41">
        <f t="shared" si="5"/>
        <v>35.998890701999997</v>
      </c>
      <c r="AF41" s="9"/>
      <c r="AG41" s="22">
        <v>5.6152300000000002E-2</v>
      </c>
      <c r="AH41" s="22">
        <v>378.28699999999998</v>
      </c>
      <c r="AI41" s="22">
        <v>-2.4441500000000001E-2</v>
      </c>
      <c r="AJ41" s="22">
        <v>31</v>
      </c>
      <c r="AK41" s="22">
        <v>5.5755600000000002E-2</v>
      </c>
      <c r="AL41">
        <f t="shared" si="6"/>
        <v>24.441500000000001</v>
      </c>
      <c r="AM41">
        <f t="shared" si="7"/>
        <v>1.3724464404500001</v>
      </c>
      <c r="AP41" s="9"/>
      <c r="AQ41" s="22">
        <v>1.6438299999999999</v>
      </c>
      <c r="AR41" s="22">
        <v>466.678</v>
      </c>
      <c r="AS41" s="22">
        <v>-2.1685800000000002E-2</v>
      </c>
      <c r="AT41" s="22">
        <v>31</v>
      </c>
      <c r="AU41" s="22">
        <v>1.64276</v>
      </c>
      <c r="AV41">
        <f t="shared" si="8"/>
        <v>21.6858</v>
      </c>
      <c r="AW41">
        <f t="shared" si="9"/>
        <v>35.647768614</v>
      </c>
      <c r="AX41" s="9"/>
      <c r="AY41" s="22">
        <v>5.6152300000000002E-2</v>
      </c>
      <c r="AZ41" s="22">
        <v>577.55700000000002</v>
      </c>
      <c r="BA41" s="22">
        <v>-2.4465899999999999E-2</v>
      </c>
      <c r="BB41" s="22">
        <v>31</v>
      </c>
      <c r="BC41" s="22">
        <v>5.5542000000000001E-2</v>
      </c>
      <c r="BD41">
        <f t="shared" si="10"/>
        <v>24.465899999999998</v>
      </c>
      <c r="BE41">
        <f t="shared" si="11"/>
        <v>1.37381655657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59.229599999999998</v>
      </c>
      <c r="I42" s="22">
        <v>-2.2485399999999999E-2</v>
      </c>
      <c r="J42" s="22">
        <v>32</v>
      </c>
      <c r="K42" s="22">
        <v>1.63818</v>
      </c>
      <c r="L42">
        <f t="shared" si="0"/>
        <v>22.485399999999998</v>
      </c>
      <c r="M42">
        <f t="shared" si="1"/>
        <v>36.848848665999995</v>
      </c>
      <c r="N42" s="9"/>
      <c r="O42" s="22">
        <v>6.1187699999999998E-2</v>
      </c>
      <c r="P42" s="22">
        <v>148.547</v>
      </c>
      <c r="Q42" s="22">
        <v>-2.49115E-2</v>
      </c>
      <c r="R42" s="22">
        <v>32</v>
      </c>
      <c r="S42" s="22">
        <v>6.0607899999999999E-2</v>
      </c>
      <c r="T42">
        <f t="shared" si="2"/>
        <v>24.9115</v>
      </c>
      <c r="U42">
        <f t="shared" si="3"/>
        <v>1.5242773885500001</v>
      </c>
      <c r="X42" s="9"/>
      <c r="Y42" s="22">
        <v>1.63879</v>
      </c>
      <c r="Z42" s="22">
        <v>272.50900000000001</v>
      </c>
      <c r="AA42" s="22">
        <v>-2.1981799999999999E-2</v>
      </c>
      <c r="AB42" s="22">
        <v>32</v>
      </c>
      <c r="AC42" s="22">
        <v>1.63818</v>
      </c>
      <c r="AD42">
        <f t="shared" si="4"/>
        <v>21.9818</v>
      </c>
      <c r="AE42">
        <f t="shared" si="5"/>
        <v>36.023554021999999</v>
      </c>
      <c r="AF42" s="9"/>
      <c r="AG42" s="22">
        <v>6.1187699999999998E-2</v>
      </c>
      <c r="AH42" s="22">
        <v>378.38799999999998</v>
      </c>
      <c r="AI42" s="22">
        <v>-2.4441500000000001E-2</v>
      </c>
      <c r="AJ42" s="22">
        <v>32</v>
      </c>
      <c r="AK42" s="22">
        <v>6.1157200000000002E-2</v>
      </c>
      <c r="AL42">
        <f t="shared" si="6"/>
        <v>24.441500000000001</v>
      </c>
      <c r="AM42">
        <f t="shared" si="7"/>
        <v>1.4955191695500001</v>
      </c>
      <c r="AP42" s="9"/>
      <c r="AQ42" s="22">
        <v>1.63879</v>
      </c>
      <c r="AR42" s="22">
        <v>466.77800000000002</v>
      </c>
      <c r="AS42" s="22">
        <v>-2.17621E-2</v>
      </c>
      <c r="AT42" s="22">
        <v>32</v>
      </c>
      <c r="AU42" s="22">
        <v>1.63879</v>
      </c>
      <c r="AV42">
        <f t="shared" si="8"/>
        <v>21.7621</v>
      </c>
      <c r="AW42">
        <f t="shared" si="9"/>
        <v>35.663511858999996</v>
      </c>
      <c r="AX42" s="9"/>
      <c r="AY42" s="22">
        <v>6.1187699999999998E-2</v>
      </c>
      <c r="AZ42" s="22">
        <v>577.65700000000004</v>
      </c>
      <c r="BA42" s="22">
        <v>-2.44598E-2</v>
      </c>
      <c r="BB42" s="22">
        <v>32</v>
      </c>
      <c r="BC42" s="22">
        <v>6.0607899999999999E-2</v>
      </c>
      <c r="BD42">
        <f t="shared" si="10"/>
        <v>24.459800000000001</v>
      </c>
      <c r="BE42">
        <f t="shared" si="11"/>
        <v>1.4966389044599999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59.330300000000001</v>
      </c>
      <c r="I43" s="22">
        <v>-2.25525E-2</v>
      </c>
      <c r="J43" s="22">
        <v>33</v>
      </c>
      <c r="K43" s="22">
        <v>1.6333</v>
      </c>
      <c r="L43">
        <f t="shared" si="0"/>
        <v>22.552499999999998</v>
      </c>
      <c r="M43">
        <f t="shared" si="1"/>
        <v>36.845372400000002</v>
      </c>
      <c r="N43" s="9"/>
      <c r="O43" s="22">
        <v>6.6223099999999993E-2</v>
      </c>
      <c r="P43" s="22">
        <v>148.648</v>
      </c>
      <c r="Q43" s="22">
        <v>-2.4908400000000001E-2</v>
      </c>
      <c r="R43" s="22">
        <v>33</v>
      </c>
      <c r="S43" s="22">
        <v>6.5948499999999993E-2</v>
      </c>
      <c r="T43">
        <f t="shared" si="2"/>
        <v>24.9084</v>
      </c>
      <c r="U43">
        <f t="shared" si="3"/>
        <v>1.6495114640399999</v>
      </c>
      <c r="X43" s="9"/>
      <c r="Y43" s="22">
        <v>1.6337600000000001</v>
      </c>
      <c r="Z43" s="22">
        <v>272.61</v>
      </c>
      <c r="AA43" s="22">
        <v>-2.2048999999999999E-2</v>
      </c>
      <c r="AB43" s="22">
        <v>33</v>
      </c>
      <c r="AC43" s="22">
        <v>1.6333</v>
      </c>
      <c r="AD43">
        <f t="shared" si="4"/>
        <v>22.048999999999999</v>
      </c>
      <c r="AE43">
        <f t="shared" si="5"/>
        <v>36.022774240000004</v>
      </c>
      <c r="AF43" s="9"/>
      <c r="AG43" s="22">
        <v>6.6223099999999993E-2</v>
      </c>
      <c r="AH43" s="22">
        <v>378.48899999999998</v>
      </c>
      <c r="AI43" s="22">
        <v>-2.4441500000000001E-2</v>
      </c>
      <c r="AJ43" s="22">
        <v>33</v>
      </c>
      <c r="AK43" s="22">
        <v>6.6101099999999996E-2</v>
      </c>
      <c r="AL43">
        <f t="shared" si="6"/>
        <v>24.441500000000001</v>
      </c>
      <c r="AM43">
        <f t="shared" si="7"/>
        <v>1.6185918986499999</v>
      </c>
      <c r="AP43" s="9"/>
      <c r="AQ43" s="22">
        <v>1.6337600000000001</v>
      </c>
      <c r="AR43" s="22">
        <v>466.87900000000002</v>
      </c>
      <c r="AS43" s="22">
        <v>-2.1835299999999998E-2</v>
      </c>
      <c r="AT43" s="22">
        <v>33</v>
      </c>
      <c r="AU43" s="22">
        <v>1.6333</v>
      </c>
      <c r="AV43">
        <f t="shared" si="8"/>
        <v>21.8353</v>
      </c>
      <c r="AW43">
        <f t="shared" si="9"/>
        <v>35.673639728000005</v>
      </c>
      <c r="AX43" s="9"/>
      <c r="AY43" s="22">
        <v>6.6223099999999993E-2</v>
      </c>
      <c r="AZ43" s="22">
        <v>577.75800000000004</v>
      </c>
      <c r="BA43" s="22">
        <v>-2.4453699999999998E-2</v>
      </c>
      <c r="BB43" s="22">
        <v>33</v>
      </c>
      <c r="BC43" s="22">
        <v>6.5765400000000002E-2</v>
      </c>
      <c r="BD43">
        <f t="shared" si="10"/>
        <v>24.453699999999998</v>
      </c>
      <c r="BE43">
        <f t="shared" si="11"/>
        <v>1.6193998204699998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59.430999999999997</v>
      </c>
      <c r="I44" s="22">
        <v>-2.2641000000000001E-2</v>
      </c>
      <c r="J44" s="22">
        <v>34</v>
      </c>
      <c r="K44" s="22">
        <v>1.6281099999999999</v>
      </c>
      <c r="L44">
        <f t="shared" si="0"/>
        <v>22.641000000000002</v>
      </c>
      <c r="M44">
        <f t="shared" si="1"/>
        <v>36.875849520000003</v>
      </c>
      <c r="N44" s="9"/>
      <c r="O44" s="22">
        <v>7.1258500000000002E-2</v>
      </c>
      <c r="P44" s="22">
        <v>148.74799999999999</v>
      </c>
      <c r="Q44" s="22">
        <v>-2.4902299999999999E-2</v>
      </c>
      <c r="R44" s="22">
        <v>34</v>
      </c>
      <c r="S44" s="22">
        <v>7.0892300000000005E-2</v>
      </c>
      <c r="T44">
        <f t="shared" si="2"/>
        <v>24.9023</v>
      </c>
      <c r="U44">
        <f t="shared" si="3"/>
        <v>1.7745005445500002</v>
      </c>
      <c r="X44" s="9"/>
      <c r="Y44" s="22">
        <v>1.6287199999999999</v>
      </c>
      <c r="Z44" s="22">
        <v>272.71100000000001</v>
      </c>
      <c r="AA44" s="22">
        <v>-2.2125200000000001E-2</v>
      </c>
      <c r="AB44" s="22">
        <v>34</v>
      </c>
      <c r="AC44" s="22">
        <v>1.6281099999999999</v>
      </c>
      <c r="AD44">
        <f t="shared" si="4"/>
        <v>22.1252</v>
      </c>
      <c r="AE44">
        <f t="shared" si="5"/>
        <v>36.035755743999999</v>
      </c>
      <c r="AF44" s="9"/>
      <c r="AG44" s="22">
        <v>7.1258500000000002E-2</v>
      </c>
      <c r="AH44" s="22">
        <v>378.589</v>
      </c>
      <c r="AI44" s="22">
        <v>-2.4438499999999998E-2</v>
      </c>
      <c r="AJ44" s="22">
        <v>34</v>
      </c>
      <c r="AK44" s="22">
        <v>7.08313E-2</v>
      </c>
      <c r="AL44">
        <f t="shared" si="6"/>
        <v>24.438499999999998</v>
      </c>
      <c r="AM44">
        <f t="shared" si="7"/>
        <v>1.7414508522499998</v>
      </c>
      <c r="AP44" s="9"/>
      <c r="AQ44" s="22">
        <v>1.6287199999999999</v>
      </c>
      <c r="AR44" s="22">
        <v>466.98</v>
      </c>
      <c r="AS44" s="22">
        <v>-2.1920800000000001E-2</v>
      </c>
      <c r="AT44" s="22">
        <v>34</v>
      </c>
      <c r="AU44" s="22">
        <v>1.62842</v>
      </c>
      <c r="AV44">
        <f t="shared" si="8"/>
        <v>21.9208</v>
      </c>
      <c r="AW44">
        <f t="shared" si="9"/>
        <v>35.702845375999999</v>
      </c>
      <c r="AX44" s="9"/>
      <c r="AY44" s="22">
        <v>7.1258500000000002E-2</v>
      </c>
      <c r="AZ44" s="22">
        <v>577.85900000000004</v>
      </c>
      <c r="BA44" s="22">
        <v>-2.4456800000000001E-2</v>
      </c>
      <c r="BB44" s="22">
        <v>34</v>
      </c>
      <c r="BC44" s="22">
        <v>7.0770299999999994E-2</v>
      </c>
      <c r="BD44">
        <f t="shared" si="10"/>
        <v>24.456800000000001</v>
      </c>
      <c r="BE44">
        <f t="shared" si="11"/>
        <v>1.7427548828000001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59.531700000000001</v>
      </c>
      <c r="I45" s="22">
        <v>-2.2711200000000001E-2</v>
      </c>
      <c r="J45" s="22">
        <v>35</v>
      </c>
      <c r="K45" s="22">
        <v>1.62323</v>
      </c>
      <c r="L45">
        <f t="shared" si="0"/>
        <v>22.711200000000002</v>
      </c>
      <c r="M45">
        <f t="shared" si="1"/>
        <v>36.875948328000007</v>
      </c>
      <c r="N45" s="9"/>
      <c r="O45" s="22">
        <v>7.6293899999999998E-2</v>
      </c>
      <c r="P45" s="22">
        <v>148.84899999999999</v>
      </c>
      <c r="Q45" s="22">
        <v>-2.4905400000000001E-2</v>
      </c>
      <c r="R45" s="22">
        <v>35</v>
      </c>
      <c r="S45" s="22">
        <v>7.5988799999999995E-2</v>
      </c>
      <c r="T45">
        <f t="shared" si="2"/>
        <v>24.9054</v>
      </c>
      <c r="U45">
        <f t="shared" si="3"/>
        <v>1.9001300970599999</v>
      </c>
      <c r="X45" s="9"/>
      <c r="Y45" s="22">
        <v>1.6236900000000001</v>
      </c>
      <c r="Z45" s="22">
        <v>272.81099999999998</v>
      </c>
      <c r="AA45" s="22">
        <v>-2.2201499999999999E-2</v>
      </c>
      <c r="AB45" s="22">
        <v>35</v>
      </c>
      <c r="AC45" s="22">
        <v>1.62323</v>
      </c>
      <c r="AD45">
        <f t="shared" si="4"/>
        <v>22.201499999999999</v>
      </c>
      <c r="AE45">
        <f t="shared" si="5"/>
        <v>36.048353535000004</v>
      </c>
      <c r="AF45" s="9"/>
      <c r="AG45" s="22">
        <v>7.6293899999999998E-2</v>
      </c>
      <c r="AH45" s="22">
        <v>378.69</v>
      </c>
      <c r="AI45" s="22">
        <v>-2.44324E-2</v>
      </c>
      <c r="AJ45" s="22">
        <v>35</v>
      </c>
      <c r="AK45" s="22">
        <v>7.5866699999999995E-2</v>
      </c>
      <c r="AL45">
        <f t="shared" si="6"/>
        <v>24.432400000000001</v>
      </c>
      <c r="AM45">
        <f t="shared" si="7"/>
        <v>1.86404308236</v>
      </c>
      <c r="AP45" s="9"/>
      <c r="AQ45" s="22">
        <v>1.6236900000000001</v>
      </c>
      <c r="AR45" s="22">
        <v>467.08100000000002</v>
      </c>
      <c r="AS45" s="22">
        <v>-2.1981799999999999E-2</v>
      </c>
      <c r="AT45" s="22">
        <v>35</v>
      </c>
      <c r="AU45" s="22">
        <v>1.62323</v>
      </c>
      <c r="AV45">
        <f t="shared" si="8"/>
        <v>21.9818</v>
      </c>
      <c r="AW45">
        <f t="shared" si="9"/>
        <v>35.691628842</v>
      </c>
      <c r="AX45" s="9"/>
      <c r="AY45" s="22">
        <v>7.6293899999999998E-2</v>
      </c>
      <c r="AZ45" s="22">
        <v>577.95899999999995</v>
      </c>
      <c r="BA45" s="22">
        <v>-2.4456800000000001E-2</v>
      </c>
      <c r="BB45" s="22">
        <v>35</v>
      </c>
      <c r="BC45" s="22">
        <v>7.5836200000000006E-2</v>
      </c>
      <c r="BD45">
        <f t="shared" si="10"/>
        <v>24.456800000000001</v>
      </c>
      <c r="BE45">
        <f t="shared" si="11"/>
        <v>1.8659046535200001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59.632399999999997</v>
      </c>
      <c r="I46" s="22">
        <v>-2.2756999999999999E-2</v>
      </c>
      <c r="J46" s="22">
        <v>36</v>
      </c>
      <c r="K46" s="22">
        <v>1.61774</v>
      </c>
      <c r="L46">
        <f t="shared" si="0"/>
        <v>22.756999999999998</v>
      </c>
      <c r="M46">
        <f t="shared" si="1"/>
        <v>36.835618049999994</v>
      </c>
      <c r="N46" s="9"/>
      <c r="O46" s="22">
        <v>8.1329299999999993E-2</v>
      </c>
      <c r="P46" s="22">
        <v>148.94999999999999</v>
      </c>
      <c r="Q46" s="22">
        <v>-2.4893200000000001E-2</v>
      </c>
      <c r="R46" s="22">
        <v>36</v>
      </c>
      <c r="S46" s="22">
        <v>8.0902100000000005E-2</v>
      </c>
      <c r="T46">
        <f t="shared" si="2"/>
        <v>24.8932</v>
      </c>
      <c r="U46">
        <f t="shared" si="3"/>
        <v>2.0245465307599999</v>
      </c>
      <c r="X46" s="9"/>
      <c r="Y46" s="22">
        <v>1.6186499999999999</v>
      </c>
      <c r="Z46" s="22">
        <v>272.91199999999998</v>
      </c>
      <c r="AA46" s="22">
        <v>-2.22626E-2</v>
      </c>
      <c r="AB46" s="22">
        <v>36</v>
      </c>
      <c r="AC46" s="22">
        <v>1.61774</v>
      </c>
      <c r="AD46">
        <f t="shared" si="4"/>
        <v>22.262599999999999</v>
      </c>
      <c r="AE46">
        <f t="shared" si="5"/>
        <v>36.035357489999996</v>
      </c>
      <c r="AF46" s="9"/>
      <c r="AG46" s="22">
        <v>8.1329299999999993E-2</v>
      </c>
      <c r="AH46" s="22">
        <v>378.791</v>
      </c>
      <c r="AI46" s="22">
        <v>-2.4429300000000001E-2</v>
      </c>
      <c r="AJ46" s="22">
        <v>36</v>
      </c>
      <c r="AK46" s="22">
        <v>8.0810499999999993E-2</v>
      </c>
      <c r="AL46">
        <f t="shared" si="6"/>
        <v>24.429300000000001</v>
      </c>
      <c r="AM46">
        <f t="shared" si="7"/>
        <v>1.98681786849</v>
      </c>
      <c r="AP46" s="9"/>
      <c r="AQ46" s="22">
        <v>1.6186499999999999</v>
      </c>
      <c r="AR46" s="22">
        <v>467.18099999999998</v>
      </c>
      <c r="AS46" s="22">
        <v>-2.2039799999999998E-2</v>
      </c>
      <c r="AT46" s="22">
        <v>36</v>
      </c>
      <c r="AU46" s="22">
        <v>1.61835</v>
      </c>
      <c r="AV46">
        <f t="shared" si="8"/>
        <v>22.0398</v>
      </c>
      <c r="AW46">
        <f t="shared" si="9"/>
        <v>35.674722269999997</v>
      </c>
      <c r="AX46" s="9"/>
      <c r="AY46" s="22">
        <v>8.1329299999999993E-2</v>
      </c>
      <c r="AZ46" s="22">
        <v>578.05999999999995</v>
      </c>
      <c r="BA46" s="22">
        <v>-2.4456800000000001E-2</v>
      </c>
      <c r="BB46" s="22">
        <v>36</v>
      </c>
      <c r="BC46" s="22">
        <v>8.0871600000000002E-2</v>
      </c>
      <c r="BD46">
        <f t="shared" si="10"/>
        <v>24.456800000000001</v>
      </c>
      <c r="BE46">
        <f t="shared" si="11"/>
        <v>1.9890544242399999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59.7331</v>
      </c>
      <c r="I47" s="22">
        <v>-2.28119E-2</v>
      </c>
      <c r="J47" s="22">
        <v>37</v>
      </c>
      <c r="K47" s="22">
        <v>1.6128499999999999</v>
      </c>
      <c r="L47">
        <f t="shared" si="0"/>
        <v>22.811899999999998</v>
      </c>
      <c r="M47">
        <f t="shared" si="1"/>
        <v>36.809738077999995</v>
      </c>
      <c r="N47" s="9"/>
      <c r="O47" s="22">
        <v>8.6364700000000003E-2</v>
      </c>
      <c r="P47" s="22">
        <v>149.05099999999999</v>
      </c>
      <c r="Q47" s="22">
        <v>-2.4893200000000001E-2</v>
      </c>
      <c r="R47" s="22">
        <v>37</v>
      </c>
      <c r="S47" s="22">
        <v>8.5968000000000003E-2</v>
      </c>
      <c r="T47">
        <f t="shared" si="2"/>
        <v>24.8932</v>
      </c>
      <c r="U47">
        <f t="shared" si="3"/>
        <v>2.1498937500399999</v>
      </c>
      <c r="X47" s="9"/>
      <c r="Y47" s="22">
        <v>1.6136200000000001</v>
      </c>
      <c r="Z47" s="22">
        <v>273.01299999999998</v>
      </c>
      <c r="AA47" s="22">
        <v>-2.2311399999999999E-2</v>
      </c>
      <c r="AB47" s="22">
        <v>37</v>
      </c>
      <c r="AC47" s="22">
        <v>1.6122399999999999</v>
      </c>
      <c r="AD47">
        <f t="shared" si="4"/>
        <v>22.311399999999999</v>
      </c>
      <c r="AE47">
        <f t="shared" si="5"/>
        <v>36.002121267999996</v>
      </c>
      <c r="AF47" s="9"/>
      <c r="AG47" s="22">
        <v>8.6364700000000003E-2</v>
      </c>
      <c r="AH47" s="22">
        <v>378.892</v>
      </c>
      <c r="AI47" s="22">
        <v>-2.44049E-2</v>
      </c>
      <c r="AJ47" s="22">
        <v>37</v>
      </c>
      <c r="AK47" s="22">
        <v>8.64563E-2</v>
      </c>
      <c r="AL47">
        <f t="shared" si="6"/>
        <v>24.404900000000001</v>
      </c>
      <c r="AM47">
        <f t="shared" si="7"/>
        <v>2.10772186703</v>
      </c>
      <c r="AP47" s="9"/>
      <c r="AQ47" s="22">
        <v>1.6136200000000001</v>
      </c>
      <c r="AR47" s="22">
        <v>467.28199999999998</v>
      </c>
      <c r="AS47" s="22">
        <v>-2.21008E-2</v>
      </c>
      <c r="AT47" s="22">
        <v>37</v>
      </c>
      <c r="AU47" s="22">
        <v>1.6128499999999999</v>
      </c>
      <c r="AV47">
        <f t="shared" si="8"/>
        <v>22.1008</v>
      </c>
      <c r="AW47">
        <f t="shared" si="9"/>
        <v>35.662292896000004</v>
      </c>
      <c r="AX47" s="9"/>
      <c r="AY47" s="22">
        <v>8.6364700000000003E-2</v>
      </c>
      <c r="AZ47" s="22">
        <v>578.16099999999994</v>
      </c>
      <c r="BA47" s="22">
        <v>-2.4453699999999998E-2</v>
      </c>
      <c r="BB47" s="22">
        <v>37</v>
      </c>
      <c r="BC47" s="22">
        <v>8.5845900000000003E-2</v>
      </c>
      <c r="BD47">
        <f t="shared" si="10"/>
        <v>24.453699999999998</v>
      </c>
      <c r="BE47">
        <f t="shared" si="11"/>
        <v>2.1119364643899998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59.833799999999997</v>
      </c>
      <c r="I48" s="22">
        <v>-2.2869899999999999E-2</v>
      </c>
      <c r="J48" s="22">
        <v>38</v>
      </c>
      <c r="K48" s="22">
        <v>1.6082799999999999</v>
      </c>
      <c r="L48">
        <f t="shared" si="0"/>
        <v>22.869899999999998</v>
      </c>
      <c r="M48">
        <f t="shared" si="1"/>
        <v>36.788063741999991</v>
      </c>
      <c r="N48" s="9"/>
      <c r="O48" s="22">
        <v>9.1400099999999998E-2</v>
      </c>
      <c r="P48" s="22">
        <v>149.15100000000001</v>
      </c>
      <c r="Q48" s="22">
        <v>-2.4881E-2</v>
      </c>
      <c r="R48" s="22">
        <v>38</v>
      </c>
      <c r="S48" s="22">
        <v>9.1156000000000001E-2</v>
      </c>
      <c r="T48">
        <f t="shared" si="2"/>
        <v>24.881</v>
      </c>
      <c r="U48">
        <f t="shared" si="3"/>
        <v>2.2741258880999999</v>
      </c>
      <c r="X48" s="9"/>
      <c r="Y48" s="22">
        <v>1.6085799999999999</v>
      </c>
      <c r="Z48" s="22">
        <v>273.113</v>
      </c>
      <c r="AA48" s="22">
        <v>-2.2345E-2</v>
      </c>
      <c r="AB48" s="22">
        <v>38</v>
      </c>
      <c r="AC48" s="22">
        <v>1.6079699999999999</v>
      </c>
      <c r="AD48">
        <f t="shared" si="4"/>
        <v>22.344999999999999</v>
      </c>
      <c r="AE48">
        <f t="shared" si="5"/>
        <v>35.943720099999993</v>
      </c>
      <c r="AF48" s="9"/>
      <c r="AG48" s="22">
        <v>9.1400099999999998E-2</v>
      </c>
      <c r="AH48" s="22">
        <v>378.99200000000002</v>
      </c>
      <c r="AI48" s="22">
        <v>-2.4414100000000001E-2</v>
      </c>
      <c r="AJ48" s="22">
        <v>38</v>
      </c>
      <c r="AK48" s="22">
        <v>9.0850799999999995E-2</v>
      </c>
      <c r="AL48">
        <f t="shared" si="6"/>
        <v>24.414100000000001</v>
      </c>
      <c r="AM48">
        <f t="shared" si="7"/>
        <v>2.2314511814100002</v>
      </c>
      <c r="AP48" s="9"/>
      <c r="AQ48" s="22">
        <v>1.6085799999999999</v>
      </c>
      <c r="AR48" s="22">
        <v>467.38299999999998</v>
      </c>
      <c r="AS48" s="22">
        <v>-2.2149700000000001E-2</v>
      </c>
      <c r="AT48" s="22">
        <v>38</v>
      </c>
      <c r="AU48" s="22">
        <v>1.6079699999999999</v>
      </c>
      <c r="AV48">
        <f t="shared" si="8"/>
        <v>22.149700000000003</v>
      </c>
      <c r="AW48">
        <f t="shared" si="9"/>
        <v>35.629564426000002</v>
      </c>
      <c r="AX48" s="9"/>
      <c r="AY48" s="22">
        <v>9.1400099999999998E-2</v>
      </c>
      <c r="AZ48" s="22">
        <v>578.26199999999994</v>
      </c>
      <c r="BA48" s="22">
        <v>-2.4441500000000001E-2</v>
      </c>
      <c r="BB48" s="22">
        <v>38</v>
      </c>
      <c r="BC48" s="22">
        <v>9.1125499999999998E-2</v>
      </c>
      <c r="BD48">
        <f t="shared" si="10"/>
        <v>24.441500000000001</v>
      </c>
      <c r="BE48">
        <f t="shared" si="11"/>
        <v>2.2339555441500001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59.9345</v>
      </c>
      <c r="I49" s="22">
        <v>-2.2912600000000002E-2</v>
      </c>
      <c r="J49" s="22">
        <v>39</v>
      </c>
      <c r="K49" s="22">
        <v>1.6027800000000001</v>
      </c>
      <c r="L49">
        <f t="shared" si="0"/>
        <v>22.912600000000001</v>
      </c>
      <c r="M49">
        <f t="shared" si="1"/>
        <v>36.741499730000001</v>
      </c>
      <c r="N49" s="9"/>
      <c r="O49" s="22">
        <v>9.6435499999999993E-2</v>
      </c>
      <c r="P49" s="22">
        <v>149.25200000000001</v>
      </c>
      <c r="Q49" s="22">
        <v>-2.4874899999999998E-2</v>
      </c>
      <c r="R49" s="22">
        <v>39</v>
      </c>
      <c r="S49" s="22">
        <v>9.6038799999999994E-2</v>
      </c>
      <c r="T49">
        <f t="shared" si="2"/>
        <v>24.874899999999997</v>
      </c>
      <c r="U49">
        <f t="shared" si="3"/>
        <v>2.3988234189499997</v>
      </c>
      <c r="X49" s="9"/>
      <c r="Y49" s="22">
        <v>1.60355</v>
      </c>
      <c r="Z49" s="22">
        <v>273.214</v>
      </c>
      <c r="AA49" s="22">
        <v>-2.2393799999999998E-2</v>
      </c>
      <c r="AB49" s="22">
        <v>39</v>
      </c>
      <c r="AC49" s="22">
        <v>1.6033900000000001</v>
      </c>
      <c r="AD49">
        <f t="shared" si="4"/>
        <v>22.393799999999999</v>
      </c>
      <c r="AE49">
        <f t="shared" si="5"/>
        <v>35.909577989999995</v>
      </c>
      <c r="AF49" s="9"/>
      <c r="AG49" s="22">
        <v>9.6435499999999993E-2</v>
      </c>
      <c r="AH49" s="22">
        <v>379.09300000000002</v>
      </c>
      <c r="AI49" s="22">
        <v>-2.4414100000000001E-2</v>
      </c>
      <c r="AJ49" s="22">
        <v>39</v>
      </c>
      <c r="AK49" s="22">
        <v>9.6099900000000002E-2</v>
      </c>
      <c r="AL49">
        <f t="shared" si="6"/>
        <v>24.414100000000001</v>
      </c>
      <c r="AM49">
        <f t="shared" si="7"/>
        <v>2.3543859405499998</v>
      </c>
      <c r="AP49" s="9"/>
      <c r="AQ49" s="22">
        <v>1.60355</v>
      </c>
      <c r="AR49" s="22">
        <v>467.483</v>
      </c>
      <c r="AS49" s="22">
        <v>-2.2204600000000001E-2</v>
      </c>
      <c r="AT49" s="22">
        <v>39</v>
      </c>
      <c r="AU49" s="22">
        <v>1.6036999999999999</v>
      </c>
      <c r="AV49">
        <f t="shared" si="8"/>
        <v>22.204600000000003</v>
      </c>
      <c r="AW49">
        <f t="shared" si="9"/>
        <v>35.606186330000007</v>
      </c>
      <c r="AX49" s="9"/>
      <c r="AY49" s="22">
        <v>9.6435499999999993E-2</v>
      </c>
      <c r="AZ49" s="22">
        <v>578.36199999999997</v>
      </c>
      <c r="BA49" s="22">
        <v>-2.4438499999999998E-2</v>
      </c>
      <c r="BB49" s="22">
        <v>39</v>
      </c>
      <c r="BC49" s="22">
        <v>9.6252400000000002E-2</v>
      </c>
      <c r="BD49">
        <f t="shared" si="10"/>
        <v>24.438499999999998</v>
      </c>
      <c r="BE49">
        <f t="shared" si="11"/>
        <v>2.3567389667499996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60.035200000000003</v>
      </c>
      <c r="I50" s="22">
        <v>-2.29462E-2</v>
      </c>
      <c r="J50" s="22">
        <v>40</v>
      </c>
      <c r="K50" s="22">
        <v>1.5975999999999999</v>
      </c>
      <c r="L50">
        <f t="shared" si="0"/>
        <v>22.946200000000001</v>
      </c>
      <c r="M50">
        <f t="shared" si="1"/>
        <v>36.679730162000006</v>
      </c>
      <c r="N50" s="9"/>
      <c r="O50" s="22">
        <v>0.10147100000000001</v>
      </c>
      <c r="P50" s="22">
        <v>149.35300000000001</v>
      </c>
      <c r="Q50" s="22">
        <v>-2.48688E-2</v>
      </c>
      <c r="R50" s="22">
        <v>40</v>
      </c>
      <c r="S50" s="22">
        <v>0.100983</v>
      </c>
      <c r="T50">
        <f t="shared" si="2"/>
        <v>24.8688</v>
      </c>
      <c r="U50">
        <f t="shared" si="3"/>
        <v>2.5234620048000003</v>
      </c>
      <c r="X50" s="9"/>
      <c r="Y50" s="22">
        <v>1.5985100000000001</v>
      </c>
      <c r="Z50" s="22">
        <v>273.315</v>
      </c>
      <c r="AA50" s="22">
        <v>-2.2424300000000001E-2</v>
      </c>
      <c r="AB50" s="22">
        <v>40</v>
      </c>
      <c r="AC50" s="22">
        <v>1.5979000000000001</v>
      </c>
      <c r="AD50">
        <f t="shared" si="4"/>
        <v>22.424300000000002</v>
      </c>
      <c r="AE50">
        <f t="shared" si="5"/>
        <v>35.845467793000005</v>
      </c>
      <c r="AF50" s="9"/>
      <c r="AG50" s="22">
        <v>0.10147100000000001</v>
      </c>
      <c r="AH50" s="22">
        <v>379.19400000000002</v>
      </c>
      <c r="AI50" s="22">
        <v>-2.4407999999999999E-2</v>
      </c>
      <c r="AJ50" s="22">
        <v>40</v>
      </c>
      <c r="AK50" s="22">
        <v>0.101074</v>
      </c>
      <c r="AL50">
        <f t="shared" si="6"/>
        <v>24.407999999999998</v>
      </c>
      <c r="AM50">
        <f t="shared" si="7"/>
        <v>2.4767041679999999</v>
      </c>
      <c r="AP50" s="9"/>
      <c r="AQ50" s="22">
        <v>1.5985100000000001</v>
      </c>
      <c r="AR50" s="22">
        <v>467.584</v>
      </c>
      <c r="AS50" s="22">
        <v>-2.2244300000000002E-2</v>
      </c>
      <c r="AT50" s="22">
        <v>40</v>
      </c>
      <c r="AU50" s="22">
        <v>1.5979000000000001</v>
      </c>
      <c r="AV50">
        <f t="shared" si="8"/>
        <v>22.244300000000003</v>
      </c>
      <c r="AW50">
        <f t="shared" si="9"/>
        <v>35.557735993000009</v>
      </c>
      <c r="AX50" s="9"/>
      <c r="AY50" s="22">
        <v>0.10147100000000001</v>
      </c>
      <c r="AZ50" s="22">
        <v>578.46299999999997</v>
      </c>
      <c r="BA50" s="22">
        <v>-2.4438499999999998E-2</v>
      </c>
      <c r="BB50" s="22">
        <v>40</v>
      </c>
      <c r="BC50" s="22">
        <v>0.10119599999999999</v>
      </c>
      <c r="BD50">
        <f t="shared" si="10"/>
        <v>24.438499999999998</v>
      </c>
      <c r="BE50">
        <f t="shared" si="11"/>
        <v>2.4797990335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60.135899999999999</v>
      </c>
      <c r="I51" s="22">
        <v>-2.2995000000000002E-2</v>
      </c>
      <c r="J51" s="22">
        <v>41</v>
      </c>
      <c r="K51" s="22">
        <v>1.5930200000000001</v>
      </c>
      <c r="L51">
        <f t="shared" si="0"/>
        <v>22.995000000000001</v>
      </c>
      <c r="M51">
        <f t="shared" si="1"/>
        <v>36.642072599999999</v>
      </c>
      <c r="N51" s="9"/>
      <c r="O51" s="22">
        <v>0.106506</v>
      </c>
      <c r="P51" s="22">
        <v>149.453</v>
      </c>
      <c r="Q51" s="22">
        <v>-2.4871799999999999E-2</v>
      </c>
      <c r="R51" s="22">
        <v>41</v>
      </c>
      <c r="S51" s="22">
        <v>0.106201</v>
      </c>
      <c r="T51">
        <f t="shared" si="2"/>
        <v>24.8718</v>
      </c>
      <c r="U51">
        <f t="shared" si="3"/>
        <v>2.6489959308</v>
      </c>
      <c r="X51" s="9"/>
      <c r="Y51" s="22">
        <v>1.59348</v>
      </c>
      <c r="Z51" s="22">
        <v>273.416</v>
      </c>
      <c r="AA51" s="22">
        <v>-2.2467000000000001E-2</v>
      </c>
      <c r="AB51" s="22">
        <v>41</v>
      </c>
      <c r="AC51" s="22">
        <v>1.5927100000000001</v>
      </c>
      <c r="AD51">
        <f t="shared" si="4"/>
        <v>22.467000000000002</v>
      </c>
      <c r="AE51">
        <f t="shared" si="5"/>
        <v>35.800715160000003</v>
      </c>
      <c r="AF51" s="9"/>
      <c r="AG51" s="22">
        <v>0.106506</v>
      </c>
      <c r="AH51" s="22">
        <v>379.29399999999998</v>
      </c>
      <c r="AI51" s="22">
        <v>-2.4410999999999999E-2</v>
      </c>
      <c r="AJ51" s="22">
        <v>41</v>
      </c>
      <c r="AK51" s="22">
        <v>0.106049</v>
      </c>
      <c r="AL51">
        <f t="shared" si="6"/>
        <v>24.410999999999998</v>
      </c>
      <c r="AM51">
        <f t="shared" si="7"/>
        <v>2.599917966</v>
      </c>
      <c r="AP51" s="9"/>
      <c r="AQ51" s="22">
        <v>1.59348</v>
      </c>
      <c r="AR51" s="22">
        <v>467.685</v>
      </c>
      <c r="AS51" s="22">
        <v>-2.2268699999999999E-2</v>
      </c>
      <c r="AT51" s="22">
        <v>41</v>
      </c>
      <c r="AU51" s="22">
        <v>1.5930200000000001</v>
      </c>
      <c r="AV51">
        <f t="shared" si="8"/>
        <v>22.268699999999999</v>
      </c>
      <c r="AW51">
        <f t="shared" si="9"/>
        <v>35.484728075999996</v>
      </c>
      <c r="AX51" s="9"/>
      <c r="AY51" s="22">
        <v>0.106506</v>
      </c>
      <c r="AZ51" s="22">
        <v>578.56399999999996</v>
      </c>
      <c r="BA51" s="22">
        <v>-2.4435399999999999E-2</v>
      </c>
      <c r="BB51" s="22">
        <v>41</v>
      </c>
      <c r="BC51" s="22">
        <v>0.10607900000000001</v>
      </c>
      <c r="BD51">
        <f t="shared" si="10"/>
        <v>24.435399999999998</v>
      </c>
      <c r="BE51">
        <f t="shared" si="11"/>
        <v>2.6025167123999999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60.236600000000003</v>
      </c>
      <c r="I52" s="22">
        <v>-2.30286E-2</v>
      </c>
      <c r="J52" s="22">
        <v>42</v>
      </c>
      <c r="K52" s="22">
        <v>1.5878300000000001</v>
      </c>
      <c r="L52">
        <f t="shared" si="0"/>
        <v>23.028600000000001</v>
      </c>
      <c r="M52">
        <f t="shared" si="1"/>
        <v>36.579549384000003</v>
      </c>
      <c r="N52" s="9"/>
      <c r="O52" s="22">
        <v>0.111542</v>
      </c>
      <c r="P52" s="22">
        <v>149.554</v>
      </c>
      <c r="Q52" s="22">
        <v>-2.4871799999999999E-2</v>
      </c>
      <c r="R52" s="22">
        <v>42</v>
      </c>
      <c r="S52" s="22">
        <v>0.111237</v>
      </c>
      <c r="T52">
        <f t="shared" si="2"/>
        <v>24.8718</v>
      </c>
      <c r="U52">
        <f t="shared" si="3"/>
        <v>2.7742503156000002</v>
      </c>
      <c r="X52" s="9"/>
      <c r="Y52" s="22">
        <v>1.5884400000000001</v>
      </c>
      <c r="Z52" s="22">
        <v>273.51600000000002</v>
      </c>
      <c r="AA52" s="22">
        <v>-2.2500599999999999E-2</v>
      </c>
      <c r="AB52" s="22">
        <v>42</v>
      </c>
      <c r="AC52" s="22">
        <v>1.5878300000000001</v>
      </c>
      <c r="AD52">
        <f t="shared" si="4"/>
        <v>22.500599999999999</v>
      </c>
      <c r="AE52">
        <f t="shared" si="5"/>
        <v>35.740853064</v>
      </c>
      <c r="AF52" s="9"/>
      <c r="AG52" s="22">
        <v>0.111542</v>
      </c>
      <c r="AH52" s="22">
        <v>379.39499999999998</v>
      </c>
      <c r="AI52" s="22">
        <v>-2.44049E-2</v>
      </c>
      <c r="AJ52" s="22">
        <v>42</v>
      </c>
      <c r="AK52" s="22">
        <v>0.11129799999999999</v>
      </c>
      <c r="AL52">
        <f t="shared" si="6"/>
        <v>24.404900000000001</v>
      </c>
      <c r="AM52">
        <f t="shared" si="7"/>
        <v>2.7221713558</v>
      </c>
      <c r="AP52" s="9"/>
      <c r="AQ52" s="22">
        <v>1.5884400000000001</v>
      </c>
      <c r="AR52" s="22">
        <v>467.786</v>
      </c>
      <c r="AS52" s="22">
        <v>-2.2311399999999999E-2</v>
      </c>
      <c r="AT52" s="22">
        <v>42</v>
      </c>
      <c r="AU52" s="22">
        <v>1.5878300000000001</v>
      </c>
      <c r="AV52">
        <f t="shared" si="8"/>
        <v>22.311399999999999</v>
      </c>
      <c r="AW52">
        <f t="shared" si="9"/>
        <v>35.440320216000003</v>
      </c>
      <c r="AX52" s="9"/>
      <c r="AY52" s="22">
        <v>0.111542</v>
      </c>
      <c r="AZ52" s="22">
        <v>578.66399999999999</v>
      </c>
      <c r="BA52" s="22">
        <v>-2.4429300000000001E-2</v>
      </c>
      <c r="BB52" s="22">
        <v>42</v>
      </c>
      <c r="BC52" s="22">
        <v>0.111237</v>
      </c>
      <c r="BD52">
        <f t="shared" si="10"/>
        <v>24.429300000000001</v>
      </c>
      <c r="BE52">
        <f t="shared" si="11"/>
        <v>2.7248929806000004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60.337299999999999</v>
      </c>
      <c r="I53" s="22">
        <v>-2.30438E-2</v>
      </c>
      <c r="J53" s="22">
        <v>43</v>
      </c>
      <c r="K53" s="22">
        <v>1.5829500000000001</v>
      </c>
      <c r="L53">
        <f t="shared" si="0"/>
        <v>23.043800000000001</v>
      </c>
      <c r="M53">
        <f t="shared" si="1"/>
        <v>36.487552919999999</v>
      </c>
      <c r="N53" s="9"/>
      <c r="O53" s="22">
        <v>0.116577</v>
      </c>
      <c r="P53" s="22">
        <v>149.655</v>
      </c>
      <c r="Q53" s="22">
        <v>-2.4862700000000001E-2</v>
      </c>
      <c r="R53" s="22">
        <v>43</v>
      </c>
      <c r="S53" s="22">
        <v>0.116302</v>
      </c>
      <c r="T53">
        <f t="shared" si="2"/>
        <v>24.8627</v>
      </c>
      <c r="U53">
        <f t="shared" si="3"/>
        <v>2.8984189779</v>
      </c>
      <c r="X53" s="9"/>
      <c r="Y53" s="22">
        <v>1.5833999999999999</v>
      </c>
      <c r="Z53" s="22">
        <v>273.61700000000002</v>
      </c>
      <c r="AA53" s="22">
        <v>-2.2534200000000001E-2</v>
      </c>
      <c r="AB53" s="22">
        <v>43</v>
      </c>
      <c r="AC53" s="22">
        <v>1.58264</v>
      </c>
      <c r="AD53">
        <f t="shared" si="4"/>
        <v>22.534200000000002</v>
      </c>
      <c r="AE53">
        <f t="shared" si="5"/>
        <v>35.680652280000004</v>
      </c>
      <c r="AF53" s="9"/>
      <c r="AG53" s="22">
        <v>0.116577</v>
      </c>
      <c r="AH53" s="22">
        <v>379.49599999999998</v>
      </c>
      <c r="AI53" s="22">
        <v>-2.4407999999999999E-2</v>
      </c>
      <c r="AJ53" s="22">
        <v>43</v>
      </c>
      <c r="AK53" s="22">
        <v>0.11633300000000001</v>
      </c>
      <c r="AL53">
        <f t="shared" si="6"/>
        <v>24.407999999999998</v>
      </c>
      <c r="AM53">
        <f t="shared" si="7"/>
        <v>2.8454114159999997</v>
      </c>
      <c r="AP53" s="9"/>
      <c r="AQ53" s="22">
        <v>1.5833999999999999</v>
      </c>
      <c r="AR53" s="22">
        <v>467.88600000000002</v>
      </c>
      <c r="AS53" s="22">
        <v>-2.2348E-2</v>
      </c>
      <c r="AT53" s="22">
        <v>43</v>
      </c>
      <c r="AU53" s="22">
        <v>1.58264</v>
      </c>
      <c r="AV53">
        <f t="shared" si="8"/>
        <v>22.347999999999999</v>
      </c>
      <c r="AW53">
        <f t="shared" si="9"/>
        <v>35.385823199999997</v>
      </c>
      <c r="AX53" s="9"/>
      <c r="AY53" s="22">
        <v>0.116577</v>
      </c>
      <c r="AZ53" s="22">
        <v>578.76499999999999</v>
      </c>
      <c r="BA53" s="22">
        <v>-2.4438499999999998E-2</v>
      </c>
      <c r="BB53" s="22">
        <v>43</v>
      </c>
      <c r="BC53" s="22">
        <v>0.115997</v>
      </c>
      <c r="BD53">
        <f t="shared" si="10"/>
        <v>24.438499999999998</v>
      </c>
      <c r="BE53">
        <f t="shared" si="11"/>
        <v>2.8489670144999999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60.438099999999999</v>
      </c>
      <c r="I54" s="22">
        <v>-2.3071299999999999E-2</v>
      </c>
      <c r="J54" s="22">
        <v>44</v>
      </c>
      <c r="K54" s="22">
        <v>1.57806</v>
      </c>
      <c r="L54">
        <f t="shared" si="0"/>
        <v>23.071300000000001</v>
      </c>
      <c r="M54">
        <f t="shared" si="1"/>
        <v>36.415047781000006</v>
      </c>
      <c r="N54" s="9"/>
      <c r="O54" s="22">
        <v>0.121613</v>
      </c>
      <c r="P54" s="22">
        <v>149.756</v>
      </c>
      <c r="Q54" s="22">
        <v>-2.4862700000000001E-2</v>
      </c>
      <c r="R54" s="22">
        <v>44</v>
      </c>
      <c r="S54" s="22">
        <v>0.121216</v>
      </c>
      <c r="T54">
        <f t="shared" si="2"/>
        <v>24.8627</v>
      </c>
      <c r="U54">
        <f t="shared" si="3"/>
        <v>3.0236275351000002</v>
      </c>
      <c r="X54" s="9"/>
      <c r="Y54" s="22">
        <v>1.5783700000000001</v>
      </c>
      <c r="Z54" s="22">
        <v>273.71800000000002</v>
      </c>
      <c r="AA54" s="22">
        <v>-2.25647E-2</v>
      </c>
      <c r="AB54" s="22">
        <v>44</v>
      </c>
      <c r="AC54" s="22">
        <v>1.57806</v>
      </c>
      <c r="AD54">
        <f t="shared" si="4"/>
        <v>22.564699999999998</v>
      </c>
      <c r="AE54">
        <f t="shared" si="5"/>
        <v>35.615445539</v>
      </c>
      <c r="AF54" s="9"/>
      <c r="AG54" s="22">
        <v>0.121613</v>
      </c>
      <c r="AH54" s="22">
        <v>379.596</v>
      </c>
      <c r="AI54" s="22">
        <v>-2.43927E-2</v>
      </c>
      <c r="AJ54" s="22">
        <v>44</v>
      </c>
      <c r="AK54" s="22">
        <v>0.121368</v>
      </c>
      <c r="AL54">
        <f t="shared" si="6"/>
        <v>24.392700000000001</v>
      </c>
      <c r="AM54">
        <f t="shared" si="7"/>
        <v>2.9664694251000001</v>
      </c>
      <c r="AP54" s="9"/>
      <c r="AQ54" s="22">
        <v>1.5783700000000001</v>
      </c>
      <c r="AR54" s="22">
        <v>467.98700000000002</v>
      </c>
      <c r="AS54" s="22">
        <v>-2.23877E-2</v>
      </c>
      <c r="AT54" s="22">
        <v>44</v>
      </c>
      <c r="AU54" s="22">
        <v>1.5777600000000001</v>
      </c>
      <c r="AV54">
        <f t="shared" si="8"/>
        <v>22.387699999999999</v>
      </c>
      <c r="AW54">
        <f t="shared" si="9"/>
        <v>35.336074048999997</v>
      </c>
      <c r="AX54" s="9"/>
      <c r="AY54" s="22">
        <v>0.121613</v>
      </c>
      <c r="AZ54" s="22">
        <v>578.86599999999999</v>
      </c>
      <c r="BA54" s="22">
        <v>-2.4426300000000001E-2</v>
      </c>
      <c r="BB54" s="22">
        <v>44</v>
      </c>
      <c r="BC54" s="22">
        <v>0.121521</v>
      </c>
      <c r="BD54">
        <f t="shared" si="10"/>
        <v>24.426300000000001</v>
      </c>
      <c r="BE54">
        <f t="shared" si="11"/>
        <v>2.9705556219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60.538800000000002</v>
      </c>
      <c r="I55" s="22">
        <v>-2.3098799999999999E-2</v>
      </c>
      <c r="J55" s="22">
        <v>45</v>
      </c>
      <c r="K55" s="22">
        <v>1.5728800000000001</v>
      </c>
      <c r="L55">
        <f t="shared" si="0"/>
        <v>23.098800000000001</v>
      </c>
      <c r="M55">
        <f t="shared" si="1"/>
        <v>36.342035003999996</v>
      </c>
      <c r="N55" s="9"/>
      <c r="O55" s="22">
        <v>0.12664800000000001</v>
      </c>
      <c r="P55" s="22">
        <v>149.85599999999999</v>
      </c>
      <c r="Q55" s="22">
        <v>-2.4853500000000001E-2</v>
      </c>
      <c r="R55" s="22">
        <v>45</v>
      </c>
      <c r="S55" s="22">
        <v>0.12585399999999999</v>
      </c>
      <c r="T55">
        <f t="shared" si="2"/>
        <v>24.8535</v>
      </c>
      <c r="U55">
        <f t="shared" si="3"/>
        <v>3.1476460680000002</v>
      </c>
      <c r="X55" s="9"/>
      <c r="Y55" s="22">
        <v>1.5733299999999999</v>
      </c>
      <c r="Z55" s="22">
        <v>273.81799999999998</v>
      </c>
      <c r="AA55" s="22">
        <v>-2.2586100000000001E-2</v>
      </c>
      <c r="AB55" s="22">
        <v>45</v>
      </c>
      <c r="AC55" s="22">
        <v>1.5728800000000001</v>
      </c>
      <c r="AD55">
        <f t="shared" si="4"/>
        <v>22.586100000000002</v>
      </c>
      <c r="AE55">
        <f t="shared" si="5"/>
        <v>35.535388713000003</v>
      </c>
      <c r="AF55" s="9"/>
      <c r="AG55" s="22">
        <v>0.12664800000000001</v>
      </c>
      <c r="AH55" s="22">
        <v>379.697</v>
      </c>
      <c r="AI55" s="22">
        <v>-2.4383499999999999E-2</v>
      </c>
      <c r="AJ55" s="22">
        <v>45</v>
      </c>
      <c r="AK55" s="22">
        <v>0.126495</v>
      </c>
      <c r="AL55">
        <f t="shared" si="6"/>
        <v>24.383499999999998</v>
      </c>
      <c r="AM55">
        <f t="shared" si="7"/>
        <v>3.088121508</v>
      </c>
      <c r="AP55" s="9"/>
      <c r="AQ55" s="22">
        <v>1.5733299999999999</v>
      </c>
      <c r="AR55" s="22">
        <v>468.08800000000002</v>
      </c>
      <c r="AS55" s="22">
        <v>-2.24274E-2</v>
      </c>
      <c r="AT55" s="22">
        <v>45</v>
      </c>
      <c r="AU55" s="22">
        <v>1.5728800000000001</v>
      </c>
      <c r="AV55">
        <f t="shared" si="8"/>
        <v>22.427399999999999</v>
      </c>
      <c r="AW55">
        <f t="shared" si="9"/>
        <v>35.285701241999995</v>
      </c>
      <c r="AX55" s="9"/>
      <c r="AY55" s="22">
        <v>0.12664800000000001</v>
      </c>
      <c r="AZ55" s="22">
        <v>578.96699999999998</v>
      </c>
      <c r="BA55" s="22">
        <v>-2.4438499999999998E-2</v>
      </c>
      <c r="BB55" s="22">
        <v>45</v>
      </c>
      <c r="BC55" s="22">
        <v>0.126251</v>
      </c>
      <c r="BD55">
        <f t="shared" si="10"/>
        <v>24.438499999999998</v>
      </c>
      <c r="BE55">
        <f t="shared" si="11"/>
        <v>3.0950871480000002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60.639499999999998</v>
      </c>
      <c r="I56" s="22">
        <v>-2.3117100000000002E-2</v>
      </c>
      <c r="J56" s="22">
        <v>46</v>
      </c>
      <c r="K56" s="22">
        <v>1.56708</v>
      </c>
      <c r="L56">
        <f t="shared" si="0"/>
        <v>23.117100000000001</v>
      </c>
      <c r="M56">
        <f t="shared" si="1"/>
        <v>36.254547930000001</v>
      </c>
      <c r="N56" s="9"/>
      <c r="O56" s="22">
        <v>0.13168299999999999</v>
      </c>
      <c r="P56" s="22">
        <v>149.95699999999999</v>
      </c>
      <c r="Q56" s="22">
        <v>-2.4850500000000001E-2</v>
      </c>
      <c r="R56" s="22">
        <v>46</v>
      </c>
      <c r="S56" s="22">
        <v>0.13134799999999999</v>
      </c>
      <c r="T56">
        <f t="shared" si="2"/>
        <v>24.8505</v>
      </c>
      <c r="U56">
        <f t="shared" si="3"/>
        <v>3.2723883914999998</v>
      </c>
      <c r="X56" s="9"/>
      <c r="Y56" s="22">
        <v>1.5683</v>
      </c>
      <c r="Z56" s="22">
        <v>273.91899999999998</v>
      </c>
      <c r="AA56" s="22">
        <v>-2.2613500000000002E-2</v>
      </c>
      <c r="AB56" s="22">
        <v>46</v>
      </c>
      <c r="AC56" s="22">
        <v>1.56769</v>
      </c>
      <c r="AD56">
        <f t="shared" si="4"/>
        <v>22.613500000000002</v>
      </c>
      <c r="AE56">
        <f t="shared" si="5"/>
        <v>35.464752050000001</v>
      </c>
      <c r="AF56" s="9"/>
      <c r="AG56" s="22">
        <v>0.13168299999999999</v>
      </c>
      <c r="AH56" s="22">
        <v>379.798</v>
      </c>
      <c r="AI56" s="22">
        <v>-2.4383499999999999E-2</v>
      </c>
      <c r="AJ56" s="22">
        <v>46</v>
      </c>
      <c r="AK56" s="22">
        <v>0.131409</v>
      </c>
      <c r="AL56">
        <f t="shared" si="6"/>
        <v>24.383499999999998</v>
      </c>
      <c r="AM56">
        <f t="shared" si="7"/>
        <v>3.2108924304999995</v>
      </c>
      <c r="AP56" s="9"/>
      <c r="AQ56" s="22">
        <v>1.5683</v>
      </c>
      <c r="AR56" s="22">
        <v>468.18799999999999</v>
      </c>
      <c r="AS56" s="22">
        <v>-2.2460899999999999E-2</v>
      </c>
      <c r="AT56" s="22">
        <v>46</v>
      </c>
      <c r="AU56" s="22">
        <v>1.56738</v>
      </c>
      <c r="AV56">
        <f t="shared" si="8"/>
        <v>22.460899999999999</v>
      </c>
      <c r="AW56">
        <f t="shared" si="9"/>
        <v>35.225429470000002</v>
      </c>
      <c r="AX56" s="9"/>
      <c r="AY56" s="22">
        <v>0.13168299999999999</v>
      </c>
      <c r="AZ56" s="22">
        <v>579.06700000000001</v>
      </c>
      <c r="BA56" s="22">
        <v>-2.44324E-2</v>
      </c>
      <c r="BB56" s="22">
        <v>46</v>
      </c>
      <c r="BC56" s="22">
        <v>0.13131699999999999</v>
      </c>
      <c r="BD56">
        <f t="shared" si="10"/>
        <v>24.432400000000001</v>
      </c>
      <c r="BE56">
        <f t="shared" si="11"/>
        <v>3.2173317292000001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60.740200000000002</v>
      </c>
      <c r="I57" s="22">
        <v>-2.31384E-2</v>
      </c>
      <c r="J57" s="22">
        <v>47</v>
      </c>
      <c r="K57" s="22">
        <v>1.56281</v>
      </c>
      <c r="L57">
        <f t="shared" si="0"/>
        <v>23.138400000000001</v>
      </c>
      <c r="M57">
        <f t="shared" si="1"/>
        <v>36.171335184</v>
      </c>
      <c r="N57" s="9"/>
      <c r="O57" s="22">
        <v>0.13671900000000001</v>
      </c>
      <c r="P57" s="22">
        <v>150.05799999999999</v>
      </c>
      <c r="Q57" s="22">
        <v>-2.48413E-2</v>
      </c>
      <c r="R57" s="22">
        <v>47</v>
      </c>
      <c r="S57" s="22">
        <v>0.13647500000000001</v>
      </c>
      <c r="T57">
        <f t="shared" si="2"/>
        <v>24.8413</v>
      </c>
      <c r="U57">
        <f t="shared" si="3"/>
        <v>3.3962776947000002</v>
      </c>
      <c r="X57" s="9"/>
      <c r="Y57" s="22">
        <v>1.5632600000000001</v>
      </c>
      <c r="Z57" s="22">
        <v>274.02</v>
      </c>
      <c r="AA57" s="22">
        <v>-2.2625699999999999E-2</v>
      </c>
      <c r="AB57" s="22">
        <v>47</v>
      </c>
      <c r="AC57" s="22">
        <v>1.56281</v>
      </c>
      <c r="AD57">
        <f t="shared" si="4"/>
        <v>22.625699999999998</v>
      </c>
      <c r="AE57">
        <f t="shared" si="5"/>
        <v>35.369851781999998</v>
      </c>
      <c r="AF57" s="9"/>
      <c r="AG57" s="22">
        <v>0.13671900000000001</v>
      </c>
      <c r="AH57" s="22">
        <v>379.899</v>
      </c>
      <c r="AI57" s="22">
        <v>-2.4374400000000001E-2</v>
      </c>
      <c r="AJ57" s="22">
        <v>47</v>
      </c>
      <c r="AK57" s="22">
        <v>0.13641400000000001</v>
      </c>
      <c r="AL57">
        <f t="shared" si="6"/>
        <v>24.374400000000001</v>
      </c>
      <c r="AM57">
        <f t="shared" si="7"/>
        <v>3.3324435936000003</v>
      </c>
      <c r="AP57" s="9"/>
      <c r="AQ57" s="22">
        <v>1.5632600000000001</v>
      </c>
      <c r="AR57" s="22">
        <v>468.28899999999999</v>
      </c>
      <c r="AS57" s="22">
        <v>-2.24823E-2</v>
      </c>
      <c r="AT57" s="22">
        <v>47</v>
      </c>
      <c r="AU57" s="22">
        <v>1.56219</v>
      </c>
      <c r="AV57">
        <f t="shared" si="8"/>
        <v>22.482299999999999</v>
      </c>
      <c r="AW57">
        <f t="shared" si="9"/>
        <v>35.145680298000002</v>
      </c>
      <c r="AX57" s="9"/>
      <c r="AY57" s="22">
        <v>0.13671900000000001</v>
      </c>
      <c r="AZ57" s="22">
        <v>579.16800000000001</v>
      </c>
      <c r="BA57" s="22">
        <v>-2.4426300000000001E-2</v>
      </c>
      <c r="BB57" s="22">
        <v>47</v>
      </c>
      <c r="BC57" s="22">
        <v>0.136292</v>
      </c>
      <c r="BD57">
        <f t="shared" si="10"/>
        <v>24.426300000000001</v>
      </c>
      <c r="BE57">
        <f t="shared" si="11"/>
        <v>3.3395393097000001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60.840899999999998</v>
      </c>
      <c r="I58" s="22">
        <v>-2.31659E-2</v>
      </c>
      <c r="J58" s="22">
        <v>48</v>
      </c>
      <c r="K58" s="22">
        <v>1.55762</v>
      </c>
      <c r="L58">
        <f t="shared" si="0"/>
        <v>23.165900000000001</v>
      </c>
      <c r="M58">
        <f t="shared" si="1"/>
        <v>36.097800357000004</v>
      </c>
      <c r="N58" s="9"/>
      <c r="O58" s="22">
        <v>0.14175399999999999</v>
      </c>
      <c r="P58" s="22">
        <v>150.15799999999999</v>
      </c>
      <c r="Q58" s="22">
        <v>-2.4835200000000002E-2</v>
      </c>
      <c r="R58" s="22">
        <v>48</v>
      </c>
      <c r="S58" s="22">
        <v>0.141296</v>
      </c>
      <c r="T58">
        <f t="shared" si="2"/>
        <v>24.8352</v>
      </c>
      <c r="U58">
        <f t="shared" si="3"/>
        <v>3.5204889408</v>
      </c>
      <c r="X58" s="9"/>
      <c r="Y58" s="22">
        <v>1.55823</v>
      </c>
      <c r="Z58" s="22">
        <v>274.12099999999998</v>
      </c>
      <c r="AA58" s="22">
        <v>-2.2656300000000001E-2</v>
      </c>
      <c r="AB58" s="22">
        <v>48</v>
      </c>
      <c r="AC58" s="22">
        <v>1.55823</v>
      </c>
      <c r="AD58">
        <f t="shared" si="4"/>
        <v>22.656300000000002</v>
      </c>
      <c r="AE58">
        <f t="shared" si="5"/>
        <v>35.303726349000002</v>
      </c>
      <c r="AF58" s="9"/>
      <c r="AG58" s="22">
        <v>0.14175399999999999</v>
      </c>
      <c r="AH58" s="22">
        <v>379.99900000000002</v>
      </c>
      <c r="AI58" s="22">
        <v>-2.4374400000000001E-2</v>
      </c>
      <c r="AJ58" s="22">
        <v>48</v>
      </c>
      <c r="AK58" s="22">
        <v>0.14163200000000001</v>
      </c>
      <c r="AL58">
        <f t="shared" si="6"/>
        <v>24.374400000000001</v>
      </c>
      <c r="AM58">
        <f t="shared" si="7"/>
        <v>3.4551686976</v>
      </c>
      <c r="AP58" s="9"/>
      <c r="AQ58" s="22">
        <v>1.55823</v>
      </c>
      <c r="AR58" s="22">
        <v>468.39</v>
      </c>
      <c r="AS58" s="22">
        <v>-2.2476200000000002E-2</v>
      </c>
      <c r="AT58" s="22">
        <v>48</v>
      </c>
      <c r="AU58" s="22">
        <v>1.55792</v>
      </c>
      <c r="AV58">
        <f t="shared" si="8"/>
        <v>22.476200000000002</v>
      </c>
      <c r="AW58">
        <f t="shared" si="9"/>
        <v>35.023089126000002</v>
      </c>
      <c r="AX58" s="9"/>
      <c r="AY58" s="22">
        <v>0.14175399999999999</v>
      </c>
      <c r="AZ58" s="22">
        <v>579.26900000000001</v>
      </c>
      <c r="BA58" s="22">
        <v>-2.44202E-2</v>
      </c>
      <c r="BB58" s="22">
        <v>48</v>
      </c>
      <c r="BC58" s="22">
        <v>0.14141799999999999</v>
      </c>
      <c r="BD58">
        <f t="shared" si="10"/>
        <v>24.420200000000001</v>
      </c>
      <c r="BE58">
        <f t="shared" si="11"/>
        <v>3.4616610307999998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60.941600000000001</v>
      </c>
      <c r="I59" s="22">
        <v>-2.3214700000000001E-2</v>
      </c>
      <c r="J59" s="22">
        <v>49</v>
      </c>
      <c r="K59" s="22">
        <v>1.5533399999999999</v>
      </c>
      <c r="L59">
        <f t="shared" si="0"/>
        <v>23.214700000000001</v>
      </c>
      <c r="M59">
        <f t="shared" si="1"/>
        <v>36.056839893000003</v>
      </c>
      <c r="N59" s="9"/>
      <c r="O59" s="22">
        <v>0.14679</v>
      </c>
      <c r="P59" s="22">
        <v>150.25899999999999</v>
      </c>
      <c r="Q59" s="22">
        <v>-2.4826000000000001E-2</v>
      </c>
      <c r="R59" s="22">
        <v>49</v>
      </c>
      <c r="S59" s="22">
        <v>0.14654500000000001</v>
      </c>
      <c r="T59">
        <f t="shared" si="2"/>
        <v>24.826000000000001</v>
      </c>
      <c r="U59">
        <f t="shared" si="3"/>
        <v>3.6442085400000002</v>
      </c>
      <c r="X59" s="9"/>
      <c r="Y59" s="22">
        <v>1.5531900000000001</v>
      </c>
      <c r="Z59" s="22">
        <v>274.221</v>
      </c>
      <c r="AA59" s="22">
        <v>-2.2680700000000002E-2</v>
      </c>
      <c r="AB59" s="22">
        <v>49</v>
      </c>
      <c r="AC59" s="22">
        <v>1.55304</v>
      </c>
      <c r="AD59">
        <f t="shared" si="4"/>
        <v>22.680700000000002</v>
      </c>
      <c r="AE59">
        <f t="shared" si="5"/>
        <v>35.227436433000001</v>
      </c>
      <c r="AF59" s="9"/>
      <c r="AG59" s="22">
        <v>0.14679</v>
      </c>
      <c r="AH59" s="22">
        <v>380.1</v>
      </c>
      <c r="AI59" s="22">
        <v>-2.4371299999999999E-2</v>
      </c>
      <c r="AJ59" s="22">
        <v>49</v>
      </c>
      <c r="AK59" s="22">
        <v>0.14636199999999999</v>
      </c>
      <c r="AL59">
        <f t="shared" si="6"/>
        <v>24.371299999999998</v>
      </c>
      <c r="AM59">
        <f t="shared" si="7"/>
        <v>3.5774631269999997</v>
      </c>
      <c r="AP59" s="9"/>
      <c r="AQ59" s="22">
        <v>1.5531900000000001</v>
      </c>
      <c r="AR59" s="22">
        <v>468.49</v>
      </c>
      <c r="AS59" s="22">
        <v>-2.2500599999999999E-2</v>
      </c>
      <c r="AT59" s="22">
        <v>49</v>
      </c>
      <c r="AU59" s="22">
        <v>1.5533399999999999</v>
      </c>
      <c r="AV59">
        <f t="shared" si="8"/>
        <v>22.500599999999999</v>
      </c>
      <c r="AW59">
        <f t="shared" si="9"/>
        <v>34.947706914000001</v>
      </c>
      <c r="AX59" s="9"/>
      <c r="AY59" s="22">
        <v>0.14679</v>
      </c>
      <c r="AZ59" s="22">
        <v>579.36900000000003</v>
      </c>
      <c r="BA59" s="22">
        <v>-2.4417100000000001E-2</v>
      </c>
      <c r="BB59" s="22">
        <v>49</v>
      </c>
      <c r="BC59" s="22">
        <v>0.146423</v>
      </c>
      <c r="BD59">
        <f t="shared" si="10"/>
        <v>24.417100000000001</v>
      </c>
      <c r="BE59">
        <f t="shared" si="11"/>
        <v>3.5841861090000005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61.042299999999997</v>
      </c>
      <c r="I60" s="22">
        <v>-2.3226900000000002E-2</v>
      </c>
      <c r="J60" s="22">
        <v>50</v>
      </c>
      <c r="K60" s="22">
        <v>1.54755</v>
      </c>
      <c r="L60">
        <f t="shared" si="0"/>
        <v>23.226900000000001</v>
      </c>
      <c r="M60">
        <f t="shared" si="1"/>
        <v>35.958957503999997</v>
      </c>
      <c r="N60" s="9"/>
      <c r="O60" s="22">
        <v>0.15182499999999999</v>
      </c>
      <c r="P60" s="22">
        <v>150.36000000000001</v>
      </c>
      <c r="Q60" s="22">
        <v>-2.4823000000000001E-2</v>
      </c>
      <c r="R60" s="22">
        <v>50</v>
      </c>
      <c r="S60" s="22">
        <v>0.15158099999999999</v>
      </c>
      <c r="T60">
        <f t="shared" si="2"/>
        <v>24.823</v>
      </c>
      <c r="U60">
        <f t="shared" si="3"/>
        <v>3.7687519749999998</v>
      </c>
      <c r="X60" s="9"/>
      <c r="Y60" s="22">
        <v>1.54816</v>
      </c>
      <c r="Z60" s="22">
        <v>274.322</v>
      </c>
      <c r="AA60" s="22">
        <v>-2.2708099999999998E-2</v>
      </c>
      <c r="AB60" s="22">
        <v>50</v>
      </c>
      <c r="AC60" s="22">
        <v>1.54755</v>
      </c>
      <c r="AD60">
        <f t="shared" si="4"/>
        <v>22.708099999999998</v>
      </c>
      <c r="AE60">
        <f t="shared" si="5"/>
        <v>35.155772096</v>
      </c>
      <c r="AF60" s="9"/>
      <c r="AG60" s="22">
        <v>0.15182499999999999</v>
      </c>
      <c r="AH60" s="22">
        <v>380.20100000000002</v>
      </c>
      <c r="AI60" s="22">
        <v>-2.4362200000000001E-2</v>
      </c>
      <c r="AJ60" s="22">
        <v>50</v>
      </c>
      <c r="AK60" s="22">
        <v>0.151398</v>
      </c>
      <c r="AL60">
        <f t="shared" si="6"/>
        <v>24.362200000000001</v>
      </c>
      <c r="AM60">
        <f t="shared" si="7"/>
        <v>3.6987910149999998</v>
      </c>
      <c r="AP60" s="9"/>
      <c r="AQ60" s="22">
        <v>1.54816</v>
      </c>
      <c r="AR60" s="22">
        <v>468.59100000000001</v>
      </c>
      <c r="AS60" s="22">
        <v>-2.2528099999999999E-2</v>
      </c>
      <c r="AT60" s="22">
        <v>50</v>
      </c>
      <c r="AU60" s="22">
        <v>1.5478499999999999</v>
      </c>
      <c r="AV60">
        <f t="shared" si="8"/>
        <v>22.528099999999998</v>
      </c>
      <c r="AW60">
        <f t="shared" si="9"/>
        <v>34.877103295999994</v>
      </c>
      <c r="AX60" s="9"/>
      <c r="AY60" s="22">
        <v>0.15182499999999999</v>
      </c>
      <c r="AZ60" s="22">
        <v>579.47</v>
      </c>
      <c r="BA60" s="22">
        <v>-2.4417100000000001E-2</v>
      </c>
      <c r="BB60" s="22">
        <v>50</v>
      </c>
      <c r="BC60" s="22">
        <v>0.15151999999999999</v>
      </c>
      <c r="BD60">
        <f t="shared" si="10"/>
        <v>24.417100000000001</v>
      </c>
      <c r="BE60">
        <f t="shared" si="11"/>
        <v>3.7071262075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61.143000000000001</v>
      </c>
      <c r="I61" s="22">
        <v>-2.3242200000000001E-2</v>
      </c>
      <c r="J61" s="22">
        <v>51</v>
      </c>
      <c r="K61" s="22">
        <v>1.5426599999999999</v>
      </c>
      <c r="L61">
        <f t="shared" si="0"/>
        <v>23.2422</v>
      </c>
      <c r="M61">
        <f t="shared" si="1"/>
        <v>35.865503664000002</v>
      </c>
      <c r="N61" s="9"/>
      <c r="O61" s="22">
        <v>0.15686</v>
      </c>
      <c r="P61" s="22">
        <v>150.46</v>
      </c>
      <c r="Q61" s="22">
        <v>-2.4826000000000001E-2</v>
      </c>
      <c r="R61" s="22">
        <v>51</v>
      </c>
      <c r="S61" s="22">
        <v>0.15634200000000001</v>
      </c>
      <c r="T61">
        <f t="shared" si="2"/>
        <v>24.826000000000001</v>
      </c>
      <c r="U61">
        <f t="shared" si="3"/>
        <v>3.8942063600000001</v>
      </c>
      <c r="X61" s="9"/>
      <c r="Y61" s="22">
        <v>1.54312</v>
      </c>
      <c r="Z61" s="22">
        <v>274.423</v>
      </c>
      <c r="AA61" s="22">
        <v>-2.2711200000000001E-2</v>
      </c>
      <c r="AB61" s="22">
        <v>51</v>
      </c>
      <c r="AC61" s="22">
        <v>1.54297</v>
      </c>
      <c r="AD61">
        <f t="shared" si="4"/>
        <v>22.711200000000002</v>
      </c>
      <c r="AE61">
        <f t="shared" si="5"/>
        <v>35.046106944000002</v>
      </c>
      <c r="AF61" s="9"/>
      <c r="AG61" s="22">
        <v>0.15686</v>
      </c>
      <c r="AH61" s="22">
        <v>380.30099999999999</v>
      </c>
      <c r="AI61" s="22">
        <v>-2.4362200000000001E-2</v>
      </c>
      <c r="AJ61" s="22">
        <v>51</v>
      </c>
      <c r="AK61" s="22">
        <v>0.156555</v>
      </c>
      <c r="AL61">
        <f t="shared" si="6"/>
        <v>24.362200000000001</v>
      </c>
      <c r="AM61">
        <f t="shared" si="7"/>
        <v>3.8214546920000001</v>
      </c>
      <c r="AP61" s="9"/>
      <c r="AQ61" s="22">
        <v>1.54312</v>
      </c>
      <c r="AR61" s="22">
        <v>468.69200000000001</v>
      </c>
      <c r="AS61" s="22">
        <v>-2.2540299999999999E-2</v>
      </c>
      <c r="AT61" s="22">
        <v>51</v>
      </c>
      <c r="AU61" s="22">
        <v>1.54236</v>
      </c>
      <c r="AV61">
        <f t="shared" si="8"/>
        <v>22.540299999999998</v>
      </c>
      <c r="AW61">
        <f t="shared" si="9"/>
        <v>34.782387735999997</v>
      </c>
      <c r="AX61" s="9"/>
      <c r="AY61" s="22">
        <v>0.15686</v>
      </c>
      <c r="AZ61" s="22">
        <v>579.57100000000003</v>
      </c>
      <c r="BA61" s="22">
        <v>-2.4407999999999999E-2</v>
      </c>
      <c r="BB61" s="22">
        <v>51</v>
      </c>
      <c r="BC61" s="22">
        <v>0.156891</v>
      </c>
      <c r="BD61">
        <f t="shared" si="10"/>
        <v>24.407999999999998</v>
      </c>
      <c r="BE61">
        <f t="shared" si="11"/>
        <v>3.8286388799999997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61.243699999999997</v>
      </c>
      <c r="I62" s="22">
        <v>-2.3263499999999999E-2</v>
      </c>
      <c r="J62" s="22">
        <v>52</v>
      </c>
      <c r="K62" s="22">
        <v>1.53748</v>
      </c>
      <c r="L62">
        <f t="shared" si="0"/>
        <v>23.263500000000001</v>
      </c>
      <c r="M62">
        <f t="shared" si="1"/>
        <v>35.781356715000001</v>
      </c>
      <c r="N62" s="9"/>
      <c r="O62" s="22">
        <v>0.16189600000000001</v>
      </c>
      <c r="P62" s="22">
        <v>150.56100000000001</v>
      </c>
      <c r="Q62" s="22">
        <v>-2.48138E-2</v>
      </c>
      <c r="R62" s="22">
        <v>52</v>
      </c>
      <c r="S62" s="22">
        <v>0.16140699999999999</v>
      </c>
      <c r="T62">
        <f t="shared" si="2"/>
        <v>24.813800000000001</v>
      </c>
      <c r="U62">
        <f t="shared" si="3"/>
        <v>4.0172549648000002</v>
      </c>
      <c r="X62" s="9"/>
      <c r="Y62" s="22">
        <v>1.53809</v>
      </c>
      <c r="Z62" s="22">
        <v>274.52300000000002</v>
      </c>
      <c r="AA62" s="22">
        <v>-2.2726400000000001E-2</v>
      </c>
      <c r="AB62" s="22">
        <v>52</v>
      </c>
      <c r="AC62" s="22">
        <v>1.5377799999999999</v>
      </c>
      <c r="AD62">
        <f t="shared" si="4"/>
        <v>22.726400000000002</v>
      </c>
      <c r="AE62">
        <f t="shared" si="5"/>
        <v>34.955248576000002</v>
      </c>
      <c r="AF62" s="9"/>
      <c r="AG62" s="22">
        <v>0.16189600000000001</v>
      </c>
      <c r="AH62" s="22">
        <v>380.40199999999999</v>
      </c>
      <c r="AI62" s="22">
        <v>-2.4353E-2</v>
      </c>
      <c r="AJ62" s="22">
        <v>52</v>
      </c>
      <c r="AK62" s="22">
        <v>0.161469</v>
      </c>
      <c r="AL62">
        <f t="shared" si="6"/>
        <v>24.352999999999998</v>
      </c>
      <c r="AM62">
        <f t="shared" si="7"/>
        <v>3.9426532879999998</v>
      </c>
      <c r="AP62" s="9"/>
      <c r="AQ62" s="22">
        <v>1.53809</v>
      </c>
      <c r="AR62" s="22">
        <v>468.79300000000001</v>
      </c>
      <c r="AS62" s="22">
        <v>-2.25525E-2</v>
      </c>
      <c r="AT62" s="22">
        <v>52</v>
      </c>
      <c r="AU62" s="22">
        <v>1.5377799999999999</v>
      </c>
      <c r="AV62">
        <f t="shared" si="8"/>
        <v>22.552499999999998</v>
      </c>
      <c r="AW62">
        <f t="shared" si="9"/>
        <v>34.687774724999997</v>
      </c>
      <c r="AX62" s="9"/>
      <c r="AY62" s="22">
        <v>0.16189600000000001</v>
      </c>
      <c r="AZ62" s="22">
        <v>579.67100000000005</v>
      </c>
      <c r="BA62" s="22">
        <v>-2.44049E-2</v>
      </c>
      <c r="BB62" s="22">
        <v>52</v>
      </c>
      <c r="BC62" s="22">
        <v>0.16162099999999999</v>
      </c>
      <c r="BD62">
        <f t="shared" si="10"/>
        <v>24.404900000000001</v>
      </c>
      <c r="BE62">
        <f t="shared" si="11"/>
        <v>3.9510556904000005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61.3444</v>
      </c>
      <c r="I63" s="22">
        <v>-2.3269700000000001E-2</v>
      </c>
      <c r="J63" s="22">
        <v>53</v>
      </c>
      <c r="K63" s="22">
        <v>1.5328999999999999</v>
      </c>
      <c r="L63">
        <f t="shared" si="0"/>
        <v>23.2697</v>
      </c>
      <c r="M63">
        <f t="shared" si="1"/>
        <v>35.673613584999998</v>
      </c>
      <c r="N63" s="9"/>
      <c r="O63" s="22">
        <v>0.166931</v>
      </c>
      <c r="P63" s="22">
        <v>150.66200000000001</v>
      </c>
      <c r="Q63" s="22">
        <v>-2.48138E-2</v>
      </c>
      <c r="R63" s="22">
        <v>53</v>
      </c>
      <c r="S63" s="22">
        <v>0.16656499999999999</v>
      </c>
      <c r="T63">
        <f t="shared" si="2"/>
        <v>24.813800000000001</v>
      </c>
      <c r="U63">
        <f t="shared" si="3"/>
        <v>4.1421924478000003</v>
      </c>
      <c r="X63" s="9"/>
      <c r="Y63" s="22">
        <v>1.53305</v>
      </c>
      <c r="Z63" s="22">
        <v>274.62400000000002</v>
      </c>
      <c r="AA63" s="22">
        <v>-2.2735600000000002E-2</v>
      </c>
      <c r="AB63" s="22">
        <v>53</v>
      </c>
      <c r="AC63" s="22">
        <v>1.5325899999999999</v>
      </c>
      <c r="AD63">
        <f t="shared" si="4"/>
        <v>22.735600000000002</v>
      </c>
      <c r="AE63">
        <f t="shared" si="5"/>
        <v>34.854811580000003</v>
      </c>
      <c r="AF63" s="9"/>
      <c r="AG63" s="22">
        <v>0.166931</v>
      </c>
      <c r="AH63" s="22">
        <v>380.50299999999999</v>
      </c>
      <c r="AI63" s="22">
        <v>-2.435E-2</v>
      </c>
      <c r="AJ63" s="22">
        <v>53</v>
      </c>
      <c r="AK63" s="22">
        <v>0.16653399999999999</v>
      </c>
      <c r="AL63">
        <f t="shared" si="6"/>
        <v>24.35</v>
      </c>
      <c r="AM63">
        <f t="shared" si="7"/>
        <v>4.0647698500000002</v>
      </c>
      <c r="AP63" s="9"/>
      <c r="AQ63" s="22">
        <v>1.53305</v>
      </c>
      <c r="AR63" s="22">
        <v>468.89299999999997</v>
      </c>
      <c r="AS63" s="22">
        <v>-2.25769E-2</v>
      </c>
      <c r="AT63" s="22">
        <v>53</v>
      </c>
      <c r="AU63" s="22">
        <v>1.5328999999999999</v>
      </c>
      <c r="AV63">
        <f t="shared" si="8"/>
        <v>22.576900000000002</v>
      </c>
      <c r="AW63">
        <f t="shared" si="9"/>
        <v>34.611516545000001</v>
      </c>
      <c r="AX63" s="9"/>
      <c r="AY63" s="22">
        <v>0.166931</v>
      </c>
      <c r="AZ63" s="22">
        <v>579.77200000000005</v>
      </c>
      <c r="BA63" s="22">
        <v>-2.4398799999999998E-2</v>
      </c>
      <c r="BB63" s="22">
        <v>53</v>
      </c>
      <c r="BC63" s="22">
        <v>0.16628999999999999</v>
      </c>
      <c r="BD63">
        <f t="shared" si="10"/>
        <v>24.398799999999998</v>
      </c>
      <c r="BE63">
        <f t="shared" si="11"/>
        <v>4.0729160827999999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61.445099999999996</v>
      </c>
      <c r="I64" s="22">
        <v>-2.3281900000000001E-2</v>
      </c>
      <c r="J64" s="22">
        <v>54</v>
      </c>
      <c r="K64" s="22">
        <v>1.5274000000000001</v>
      </c>
      <c r="L64">
        <f t="shared" si="0"/>
        <v>23.2819</v>
      </c>
      <c r="M64">
        <f t="shared" si="1"/>
        <v>35.575208838000002</v>
      </c>
      <c r="N64" s="9"/>
      <c r="O64" s="22">
        <v>0.17196700000000001</v>
      </c>
      <c r="P64" s="22">
        <v>150.76300000000001</v>
      </c>
      <c r="Q64" s="22">
        <v>-2.4804699999999999E-2</v>
      </c>
      <c r="R64" s="22">
        <v>54</v>
      </c>
      <c r="S64" s="22">
        <v>0.171875</v>
      </c>
      <c r="T64">
        <f t="shared" si="2"/>
        <v>24.8047</v>
      </c>
      <c r="U64">
        <f t="shared" si="3"/>
        <v>4.2655898449</v>
      </c>
      <c r="X64" s="9"/>
      <c r="Y64" s="22">
        <v>1.5280199999999999</v>
      </c>
      <c r="Z64" s="22">
        <v>274.72500000000002</v>
      </c>
      <c r="AA64" s="22">
        <v>-2.2750900000000001E-2</v>
      </c>
      <c r="AB64" s="22">
        <v>54</v>
      </c>
      <c r="AC64" s="22">
        <v>1.5274000000000001</v>
      </c>
      <c r="AD64">
        <f t="shared" si="4"/>
        <v>22.750900000000001</v>
      </c>
      <c r="AE64">
        <f t="shared" si="5"/>
        <v>34.763830218000003</v>
      </c>
      <c r="AF64" s="9"/>
      <c r="AG64" s="22">
        <v>0.17196700000000001</v>
      </c>
      <c r="AH64" s="22">
        <v>380.60399999999998</v>
      </c>
      <c r="AI64" s="22">
        <v>-2.4346900000000001E-2</v>
      </c>
      <c r="AJ64" s="22">
        <v>54</v>
      </c>
      <c r="AK64" s="22">
        <v>0.17132600000000001</v>
      </c>
      <c r="AL64">
        <f t="shared" si="6"/>
        <v>24.346900000000002</v>
      </c>
      <c r="AM64">
        <f t="shared" si="7"/>
        <v>4.1868633523000005</v>
      </c>
      <c r="AP64" s="9"/>
      <c r="AQ64" s="22">
        <v>1.5280199999999999</v>
      </c>
      <c r="AR64" s="22">
        <v>468.99400000000003</v>
      </c>
      <c r="AS64" s="22">
        <v>-2.2582999999999999E-2</v>
      </c>
      <c r="AT64" s="22">
        <v>54</v>
      </c>
      <c r="AU64" s="22">
        <v>1.5277099999999999</v>
      </c>
      <c r="AV64">
        <f t="shared" si="8"/>
        <v>22.582999999999998</v>
      </c>
      <c r="AW64">
        <f t="shared" si="9"/>
        <v>34.507275659999998</v>
      </c>
      <c r="AX64" s="9"/>
      <c r="AY64" s="22">
        <v>0.17196700000000001</v>
      </c>
      <c r="AZ64" s="22">
        <v>579.87300000000005</v>
      </c>
      <c r="BA64" s="22">
        <v>-2.4389600000000001E-2</v>
      </c>
      <c r="BB64" s="22">
        <v>54</v>
      </c>
      <c r="BC64" s="22">
        <v>0.17132600000000001</v>
      </c>
      <c r="BD64">
        <f t="shared" si="10"/>
        <v>24.389600000000002</v>
      </c>
      <c r="BE64">
        <f t="shared" si="11"/>
        <v>4.1942063432000003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61.5458</v>
      </c>
      <c r="I65" s="22">
        <v>-2.3297100000000001E-2</v>
      </c>
      <c r="J65" s="22">
        <v>55</v>
      </c>
      <c r="K65" s="22">
        <v>1.5216099999999999</v>
      </c>
      <c r="L65">
        <f t="shared" si="0"/>
        <v>23.2971</v>
      </c>
      <c r="M65">
        <f t="shared" si="1"/>
        <v>35.481017358000003</v>
      </c>
      <c r="N65" s="9"/>
      <c r="O65" s="22">
        <v>0.17700199999999999</v>
      </c>
      <c r="P65" s="22">
        <v>150.863</v>
      </c>
      <c r="Q65" s="22">
        <v>-2.4798600000000001E-2</v>
      </c>
      <c r="R65" s="22">
        <v>55</v>
      </c>
      <c r="S65" s="22">
        <v>0.176819</v>
      </c>
      <c r="T65">
        <f t="shared" si="2"/>
        <v>24.7986</v>
      </c>
      <c r="U65">
        <f t="shared" si="3"/>
        <v>4.3894017971999997</v>
      </c>
      <c r="X65" s="9"/>
      <c r="Y65" s="22">
        <v>1.52298</v>
      </c>
      <c r="Z65" s="22">
        <v>274.82499999999999</v>
      </c>
      <c r="AA65" s="22">
        <v>-2.2763100000000001E-2</v>
      </c>
      <c r="AB65" s="22">
        <v>55</v>
      </c>
      <c r="AC65" s="22">
        <v>1.5222199999999999</v>
      </c>
      <c r="AD65">
        <f t="shared" si="4"/>
        <v>22.763100000000001</v>
      </c>
      <c r="AE65">
        <f t="shared" si="5"/>
        <v>34.667746038000004</v>
      </c>
      <c r="AF65" s="9"/>
      <c r="AG65" s="22">
        <v>0.17700199999999999</v>
      </c>
      <c r="AH65" s="22">
        <v>380.70400000000001</v>
      </c>
      <c r="AI65" s="22">
        <v>-2.4368299999999999E-2</v>
      </c>
      <c r="AJ65" s="22">
        <v>55</v>
      </c>
      <c r="AK65" s="22">
        <v>0.17660500000000001</v>
      </c>
      <c r="AL65">
        <f t="shared" si="6"/>
        <v>24.368299999999998</v>
      </c>
      <c r="AM65">
        <f t="shared" si="7"/>
        <v>4.313237836599999</v>
      </c>
      <c r="AP65" s="9"/>
      <c r="AQ65" s="22">
        <v>1.52298</v>
      </c>
      <c r="AR65" s="22">
        <v>469.09500000000003</v>
      </c>
      <c r="AS65" s="22">
        <v>-2.26044E-2</v>
      </c>
      <c r="AT65" s="22">
        <v>55</v>
      </c>
      <c r="AU65" s="22">
        <v>1.5225200000000001</v>
      </c>
      <c r="AV65">
        <f t="shared" si="8"/>
        <v>22.604400000000002</v>
      </c>
      <c r="AW65">
        <f t="shared" si="9"/>
        <v>34.426049112000001</v>
      </c>
      <c r="AX65" s="9"/>
      <c r="AY65" s="22">
        <v>0.17700199999999999</v>
      </c>
      <c r="AZ65" s="22">
        <v>579.97400000000005</v>
      </c>
      <c r="BA65" s="22">
        <v>-2.4389600000000001E-2</v>
      </c>
      <c r="BB65" s="22">
        <v>55</v>
      </c>
      <c r="BC65" s="22">
        <v>0.176422</v>
      </c>
      <c r="BD65">
        <f t="shared" si="10"/>
        <v>24.389600000000002</v>
      </c>
      <c r="BE65">
        <f t="shared" si="11"/>
        <v>4.3170079792000005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61.646500000000003</v>
      </c>
      <c r="I66" s="22">
        <v>-2.33154E-2</v>
      </c>
      <c r="J66" s="22">
        <v>56</v>
      </c>
      <c r="K66" s="22">
        <v>1.5176400000000001</v>
      </c>
      <c r="L66">
        <f t="shared" si="0"/>
        <v>23.3154</v>
      </c>
      <c r="M66">
        <f t="shared" si="1"/>
        <v>35.391378276000005</v>
      </c>
      <c r="N66" s="9"/>
      <c r="O66" s="22">
        <v>0.182037</v>
      </c>
      <c r="P66" s="22">
        <v>150.964</v>
      </c>
      <c r="Q66" s="22">
        <v>-2.4792499999999999E-2</v>
      </c>
      <c r="R66" s="22">
        <v>56</v>
      </c>
      <c r="S66" s="22">
        <v>0.18148800000000001</v>
      </c>
      <c r="T66">
        <f t="shared" si="2"/>
        <v>24.792499999999997</v>
      </c>
      <c r="U66">
        <f t="shared" si="3"/>
        <v>4.5131523224999999</v>
      </c>
      <c r="X66" s="9"/>
      <c r="Y66" s="22">
        <v>1.5179400000000001</v>
      </c>
      <c r="Z66" s="22">
        <v>274.92599999999999</v>
      </c>
      <c r="AA66" s="22">
        <v>-2.27814E-2</v>
      </c>
      <c r="AB66" s="22">
        <v>56</v>
      </c>
      <c r="AC66" s="22">
        <v>1.5179400000000001</v>
      </c>
      <c r="AD66">
        <f t="shared" si="4"/>
        <v>22.781400000000001</v>
      </c>
      <c r="AE66">
        <f t="shared" si="5"/>
        <v>34.580798316000006</v>
      </c>
      <c r="AF66" s="9"/>
      <c r="AG66" s="22">
        <v>0.182037</v>
      </c>
      <c r="AH66" s="22">
        <v>380.80500000000001</v>
      </c>
      <c r="AI66" s="22">
        <v>-2.43652E-2</v>
      </c>
      <c r="AJ66" s="22">
        <v>56</v>
      </c>
      <c r="AK66" s="22">
        <v>0.18160999999999999</v>
      </c>
      <c r="AL66">
        <f t="shared" si="6"/>
        <v>24.365200000000002</v>
      </c>
      <c r="AM66">
        <f t="shared" si="7"/>
        <v>4.4353679124000003</v>
      </c>
      <c r="AP66" s="9"/>
      <c r="AQ66" s="22">
        <v>1.5179400000000001</v>
      </c>
      <c r="AR66" s="22">
        <v>469.19499999999999</v>
      </c>
      <c r="AS66" s="22">
        <v>-2.2628800000000001E-2</v>
      </c>
      <c r="AT66" s="22">
        <v>56</v>
      </c>
      <c r="AU66" s="22">
        <v>1.5170300000000001</v>
      </c>
      <c r="AV66">
        <f t="shared" si="8"/>
        <v>22.628800000000002</v>
      </c>
      <c r="AW66">
        <f t="shared" si="9"/>
        <v>34.349160672000004</v>
      </c>
      <c r="AX66" s="9"/>
      <c r="AY66" s="22">
        <v>0.182037</v>
      </c>
      <c r="AZ66" s="22">
        <v>580.07399999999996</v>
      </c>
      <c r="BA66" s="22">
        <v>-2.4383499999999999E-2</v>
      </c>
      <c r="BB66" s="22">
        <v>56</v>
      </c>
      <c r="BC66" s="22">
        <v>0.182007</v>
      </c>
      <c r="BD66">
        <f t="shared" si="10"/>
        <v>24.383499999999998</v>
      </c>
      <c r="BE66">
        <f t="shared" si="11"/>
        <v>4.4386991894999994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61.747300000000003</v>
      </c>
      <c r="I67" s="22">
        <v>-2.33124E-2</v>
      </c>
      <c r="J67" s="22">
        <v>57</v>
      </c>
      <c r="K67" s="22">
        <v>1.5121500000000001</v>
      </c>
      <c r="L67">
        <f t="shared" si="0"/>
        <v>23.3124</v>
      </c>
      <c r="M67">
        <f t="shared" si="1"/>
        <v>35.269563083999998</v>
      </c>
      <c r="N67" s="9"/>
      <c r="O67" s="22">
        <v>0.18707299999999999</v>
      </c>
      <c r="P67" s="22">
        <v>151.065</v>
      </c>
      <c r="Q67" s="22">
        <v>-2.4792499999999999E-2</v>
      </c>
      <c r="R67" s="22">
        <v>57</v>
      </c>
      <c r="S67" s="22">
        <v>0.186554</v>
      </c>
      <c r="T67">
        <f t="shared" si="2"/>
        <v>24.792499999999997</v>
      </c>
      <c r="U67">
        <f t="shared" si="3"/>
        <v>4.638007352499999</v>
      </c>
      <c r="X67" s="9"/>
      <c r="Y67" s="22">
        <v>1.51291</v>
      </c>
      <c r="Z67" s="22">
        <v>275.02699999999999</v>
      </c>
      <c r="AA67" s="22">
        <v>-2.27814E-2</v>
      </c>
      <c r="AB67" s="22">
        <v>57</v>
      </c>
      <c r="AC67" s="22">
        <v>1.5118400000000001</v>
      </c>
      <c r="AD67">
        <f t="shared" si="4"/>
        <v>22.781400000000001</v>
      </c>
      <c r="AE67">
        <f t="shared" si="5"/>
        <v>34.466207873999998</v>
      </c>
      <c r="AF67" s="9"/>
      <c r="AG67" s="22">
        <v>0.18707299999999999</v>
      </c>
      <c r="AH67" s="22">
        <v>380.90600000000001</v>
      </c>
      <c r="AI67" s="22">
        <v>-2.4356099999999999E-2</v>
      </c>
      <c r="AJ67" s="22">
        <v>57</v>
      </c>
      <c r="AK67" s="22">
        <v>0.18689</v>
      </c>
      <c r="AL67">
        <f t="shared" si="6"/>
        <v>24.356099999999998</v>
      </c>
      <c r="AM67">
        <f t="shared" si="7"/>
        <v>4.5563686952999998</v>
      </c>
      <c r="AP67" s="9"/>
      <c r="AQ67" s="22">
        <v>1.51291</v>
      </c>
      <c r="AR67" s="22">
        <v>469.29599999999999</v>
      </c>
      <c r="AS67" s="22">
        <v>-2.26196E-2</v>
      </c>
      <c r="AT67" s="22">
        <v>57</v>
      </c>
      <c r="AU67" s="22">
        <v>1.5124500000000001</v>
      </c>
      <c r="AV67">
        <f t="shared" si="8"/>
        <v>22.619599999999998</v>
      </c>
      <c r="AW67">
        <f t="shared" si="9"/>
        <v>34.221419036</v>
      </c>
      <c r="AX67" s="9"/>
      <c r="AY67" s="22">
        <v>0.18707299999999999</v>
      </c>
      <c r="AZ67" s="22">
        <v>580.17499999999995</v>
      </c>
      <c r="BA67" s="22">
        <v>-2.43774E-2</v>
      </c>
      <c r="BB67" s="22">
        <v>57</v>
      </c>
      <c r="BC67" s="22">
        <v>0.186554</v>
      </c>
      <c r="BD67">
        <f t="shared" si="10"/>
        <v>24.377400000000002</v>
      </c>
      <c r="BE67">
        <f t="shared" si="11"/>
        <v>4.5603533501999998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61.847999999999999</v>
      </c>
      <c r="I68" s="22">
        <v>-2.3333699999999999E-2</v>
      </c>
      <c r="J68" s="22">
        <v>58</v>
      </c>
      <c r="K68" s="22">
        <v>1.5075700000000001</v>
      </c>
      <c r="L68">
        <f t="shared" si="0"/>
        <v>23.3337</v>
      </c>
      <c r="M68">
        <f t="shared" si="1"/>
        <v>35.184186219000004</v>
      </c>
      <c r="N68" s="9"/>
      <c r="O68" s="22">
        <v>0.192108</v>
      </c>
      <c r="P68" s="22">
        <v>151.16499999999999</v>
      </c>
      <c r="Q68" s="22">
        <v>-2.47864E-2</v>
      </c>
      <c r="R68" s="22">
        <v>58</v>
      </c>
      <c r="S68" s="22">
        <v>0.19168099999999999</v>
      </c>
      <c r="T68">
        <f t="shared" si="2"/>
        <v>24.7864</v>
      </c>
      <c r="U68">
        <f t="shared" si="3"/>
        <v>4.7616657311999999</v>
      </c>
      <c r="X68" s="9"/>
      <c r="Y68" s="22">
        <v>1.50787</v>
      </c>
      <c r="Z68" s="22">
        <v>275.12799999999999</v>
      </c>
      <c r="AA68" s="22">
        <v>-2.27966E-2</v>
      </c>
      <c r="AB68" s="22">
        <v>58</v>
      </c>
      <c r="AC68" s="22">
        <v>1.50726</v>
      </c>
      <c r="AD68">
        <f t="shared" si="4"/>
        <v>22.796600000000002</v>
      </c>
      <c r="AE68">
        <f t="shared" si="5"/>
        <v>34.374309242000002</v>
      </c>
      <c r="AF68" s="9"/>
      <c r="AG68" s="22">
        <v>0.192108</v>
      </c>
      <c r="AH68" s="22">
        <v>381.00599999999997</v>
      </c>
      <c r="AI68" s="22">
        <v>-2.4359100000000002E-2</v>
      </c>
      <c r="AJ68" s="22">
        <v>58</v>
      </c>
      <c r="AK68" s="22">
        <v>0.19189500000000001</v>
      </c>
      <c r="AL68">
        <f t="shared" si="6"/>
        <v>24.359100000000002</v>
      </c>
      <c r="AM68">
        <f t="shared" si="7"/>
        <v>4.6795779828000006</v>
      </c>
      <c r="AP68" s="9"/>
      <c r="AQ68" s="22">
        <v>1.50787</v>
      </c>
      <c r="AR68" s="22">
        <v>469.39699999999999</v>
      </c>
      <c r="AS68" s="22">
        <v>-2.2641000000000001E-2</v>
      </c>
      <c r="AT68" s="22">
        <v>58</v>
      </c>
      <c r="AU68" s="22">
        <v>1.50726</v>
      </c>
      <c r="AV68">
        <f t="shared" si="8"/>
        <v>22.641000000000002</v>
      </c>
      <c r="AW68">
        <f t="shared" si="9"/>
        <v>34.139684670000001</v>
      </c>
      <c r="AX68" s="9"/>
      <c r="AY68" s="22">
        <v>0.192108</v>
      </c>
      <c r="AZ68" s="22">
        <v>580.27599999999995</v>
      </c>
      <c r="BA68" s="22">
        <v>-2.4374400000000001E-2</v>
      </c>
      <c r="BB68" s="22">
        <v>58</v>
      </c>
      <c r="BC68" s="22">
        <v>0.19192500000000001</v>
      </c>
      <c r="BD68">
        <f t="shared" si="10"/>
        <v>24.374400000000001</v>
      </c>
      <c r="BE68">
        <f t="shared" si="11"/>
        <v>4.6825172352000006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61.948700000000002</v>
      </c>
      <c r="I69" s="22">
        <v>-2.3345899999999999E-2</v>
      </c>
      <c r="J69" s="22">
        <v>59</v>
      </c>
      <c r="K69" s="22">
        <v>1.5026900000000001</v>
      </c>
      <c r="L69">
        <f t="shared" si="0"/>
        <v>23.3459</v>
      </c>
      <c r="M69">
        <f t="shared" si="1"/>
        <v>35.085152356000002</v>
      </c>
      <c r="N69" s="9"/>
      <c r="O69" s="22">
        <v>0.19714400000000001</v>
      </c>
      <c r="P69" s="22">
        <v>151.26599999999999</v>
      </c>
      <c r="Q69" s="22">
        <v>-2.47864E-2</v>
      </c>
      <c r="R69" s="22">
        <v>59</v>
      </c>
      <c r="S69" s="22">
        <v>0.19656399999999999</v>
      </c>
      <c r="T69">
        <f t="shared" si="2"/>
        <v>24.7864</v>
      </c>
      <c r="U69">
        <f t="shared" si="3"/>
        <v>4.8864900416000001</v>
      </c>
      <c r="X69" s="9"/>
      <c r="Y69" s="22">
        <v>1.50284</v>
      </c>
      <c r="Z69" s="22">
        <v>275.22800000000001</v>
      </c>
      <c r="AA69" s="22">
        <v>-2.2802699999999999E-2</v>
      </c>
      <c r="AB69" s="22">
        <v>59</v>
      </c>
      <c r="AC69" s="22">
        <v>1.50238</v>
      </c>
      <c r="AD69">
        <f t="shared" si="4"/>
        <v>22.802699999999998</v>
      </c>
      <c r="AE69">
        <f t="shared" si="5"/>
        <v>34.268809667999996</v>
      </c>
      <c r="AF69" s="9"/>
      <c r="AG69" s="22">
        <v>0.19714400000000001</v>
      </c>
      <c r="AH69" s="22">
        <v>381.10700000000003</v>
      </c>
      <c r="AI69" s="22">
        <v>-2.4414100000000001E-2</v>
      </c>
      <c r="AJ69" s="22">
        <v>59</v>
      </c>
      <c r="AK69" s="22">
        <v>0.19680800000000001</v>
      </c>
      <c r="AL69">
        <f t="shared" si="6"/>
        <v>24.414100000000001</v>
      </c>
      <c r="AM69">
        <f t="shared" si="7"/>
        <v>4.813093330400001</v>
      </c>
      <c r="AP69" s="9"/>
      <c r="AQ69" s="22">
        <v>1.50284</v>
      </c>
      <c r="AR69" s="22">
        <v>469.49799999999999</v>
      </c>
      <c r="AS69" s="22">
        <v>-2.26471E-2</v>
      </c>
      <c r="AT69" s="22">
        <v>59</v>
      </c>
      <c r="AU69" s="22">
        <v>1.5020800000000001</v>
      </c>
      <c r="AV69">
        <f t="shared" si="8"/>
        <v>22.647099999999998</v>
      </c>
      <c r="AW69">
        <f t="shared" si="9"/>
        <v>34.034967763999994</v>
      </c>
      <c r="AX69" s="9"/>
      <c r="AY69" s="22">
        <v>0.19714400000000001</v>
      </c>
      <c r="AZ69" s="22">
        <v>580.37599999999998</v>
      </c>
      <c r="BA69" s="22">
        <v>-2.4371299999999999E-2</v>
      </c>
      <c r="BB69" s="22">
        <v>59</v>
      </c>
      <c r="BC69" s="22">
        <v>0.19674700000000001</v>
      </c>
      <c r="BD69">
        <f t="shared" si="10"/>
        <v>24.371299999999998</v>
      </c>
      <c r="BE69">
        <f t="shared" si="11"/>
        <v>4.8046555672000002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62.049399999999999</v>
      </c>
      <c r="I70" s="22">
        <v>-2.3358199999999999E-2</v>
      </c>
      <c r="J70" s="22">
        <v>60</v>
      </c>
      <c r="K70" s="22">
        <v>1.4975000000000001</v>
      </c>
      <c r="L70">
        <f t="shared" si="0"/>
        <v>23.3582</v>
      </c>
      <c r="M70">
        <f t="shared" si="1"/>
        <v>34.985911960000003</v>
      </c>
      <c r="N70" s="9"/>
      <c r="O70" s="22">
        <v>0.202179</v>
      </c>
      <c r="P70" s="22">
        <v>151.36699999999999</v>
      </c>
      <c r="Q70" s="22">
        <v>-2.4783300000000001E-2</v>
      </c>
      <c r="R70" s="22">
        <v>60</v>
      </c>
      <c r="S70" s="22">
        <v>0.20163</v>
      </c>
      <c r="T70">
        <f t="shared" si="2"/>
        <v>24.783300000000001</v>
      </c>
      <c r="U70">
        <f t="shared" si="3"/>
        <v>5.0106628107000004</v>
      </c>
      <c r="X70" s="9"/>
      <c r="Y70" s="22">
        <v>1.4978</v>
      </c>
      <c r="Z70" s="22">
        <v>275.32900000000001</v>
      </c>
      <c r="AA70" s="22">
        <v>-2.2814899999999999E-2</v>
      </c>
      <c r="AB70" s="22">
        <v>60</v>
      </c>
      <c r="AC70" s="22">
        <v>1.49719</v>
      </c>
      <c r="AD70">
        <f t="shared" si="4"/>
        <v>22.814899999999998</v>
      </c>
      <c r="AE70">
        <f t="shared" si="5"/>
        <v>34.172157219999995</v>
      </c>
      <c r="AF70" s="9"/>
      <c r="AG70" s="22">
        <v>0.202179</v>
      </c>
      <c r="AH70" s="22">
        <v>381.20800000000003</v>
      </c>
      <c r="AI70" s="22">
        <v>-2.4407999999999999E-2</v>
      </c>
      <c r="AJ70" s="22">
        <v>60</v>
      </c>
      <c r="AK70" s="22">
        <v>0.201599</v>
      </c>
      <c r="AL70">
        <f t="shared" si="6"/>
        <v>24.407999999999998</v>
      </c>
      <c r="AM70">
        <f t="shared" si="7"/>
        <v>4.9347850319999997</v>
      </c>
      <c r="AP70" s="9"/>
      <c r="AQ70" s="22">
        <v>1.4978</v>
      </c>
      <c r="AR70" s="22">
        <v>469.59800000000001</v>
      </c>
      <c r="AS70" s="22">
        <v>-2.2656300000000001E-2</v>
      </c>
      <c r="AT70" s="22">
        <v>60</v>
      </c>
      <c r="AU70" s="22">
        <v>1.49719</v>
      </c>
      <c r="AV70">
        <f t="shared" si="8"/>
        <v>22.656300000000002</v>
      </c>
      <c r="AW70">
        <f t="shared" si="9"/>
        <v>33.93460614</v>
      </c>
      <c r="AX70" s="9"/>
      <c r="AY70" s="22">
        <v>0.202179</v>
      </c>
      <c r="AZ70" s="22">
        <v>580.47699999999998</v>
      </c>
      <c r="BA70" s="22">
        <v>-2.43774E-2</v>
      </c>
      <c r="BB70" s="22">
        <v>60</v>
      </c>
      <c r="BC70" s="22">
        <v>0.20196500000000001</v>
      </c>
      <c r="BD70">
        <f t="shared" si="10"/>
        <v>24.377400000000002</v>
      </c>
      <c r="BE70">
        <f t="shared" si="11"/>
        <v>4.9285983546000001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62.150100000000002</v>
      </c>
      <c r="I71" s="22">
        <v>-2.3364300000000001E-2</v>
      </c>
      <c r="J71" s="22">
        <v>61</v>
      </c>
      <c r="K71" s="22">
        <v>1.492</v>
      </c>
      <c r="L71">
        <f t="shared" si="0"/>
        <v>23.3643</v>
      </c>
      <c r="M71">
        <f t="shared" si="1"/>
        <v>34.877526111000002</v>
      </c>
      <c r="N71" s="9"/>
      <c r="O71" s="22">
        <v>0.20721400000000001</v>
      </c>
      <c r="P71" s="22">
        <v>151.46799999999999</v>
      </c>
      <c r="Q71" s="22">
        <v>-2.47742E-2</v>
      </c>
      <c r="R71" s="22">
        <v>61</v>
      </c>
      <c r="S71" s="22">
        <v>0.206818</v>
      </c>
      <c r="T71">
        <f t="shared" si="2"/>
        <v>24.7742</v>
      </c>
      <c r="U71">
        <f t="shared" si="3"/>
        <v>5.1335610788000006</v>
      </c>
      <c r="X71" s="9"/>
      <c r="Y71" s="22">
        <v>1.4927699999999999</v>
      </c>
      <c r="Z71" s="22">
        <v>275.43</v>
      </c>
      <c r="AA71" s="22">
        <v>-2.2805800000000001E-2</v>
      </c>
      <c r="AB71" s="22">
        <v>61</v>
      </c>
      <c r="AC71" s="22">
        <v>1.492</v>
      </c>
      <c r="AD71">
        <f t="shared" si="4"/>
        <v>22.805800000000001</v>
      </c>
      <c r="AE71">
        <f t="shared" si="5"/>
        <v>34.043814066000003</v>
      </c>
      <c r="AF71" s="9"/>
      <c r="AG71" s="22">
        <v>0.20721400000000001</v>
      </c>
      <c r="AH71" s="22">
        <v>381.30900000000003</v>
      </c>
      <c r="AI71" s="22">
        <v>-2.4410999999999999E-2</v>
      </c>
      <c r="AJ71" s="22">
        <v>61</v>
      </c>
      <c r="AK71" s="22">
        <v>0.206787</v>
      </c>
      <c r="AL71">
        <f t="shared" si="6"/>
        <v>24.410999999999998</v>
      </c>
      <c r="AM71">
        <f t="shared" si="7"/>
        <v>5.0583009539999999</v>
      </c>
      <c r="AP71" s="9"/>
      <c r="AQ71" s="22">
        <v>1.4927699999999999</v>
      </c>
      <c r="AR71" s="22">
        <v>469.69900000000001</v>
      </c>
      <c r="AS71" s="22">
        <v>-2.2671500000000001E-2</v>
      </c>
      <c r="AT71" s="22">
        <v>61</v>
      </c>
      <c r="AU71" s="22">
        <v>1.49231</v>
      </c>
      <c r="AV71">
        <f t="shared" si="8"/>
        <v>22.671500000000002</v>
      </c>
      <c r="AW71">
        <f t="shared" si="9"/>
        <v>33.843335055000004</v>
      </c>
      <c r="AX71" s="9"/>
      <c r="AY71" s="22">
        <v>0.20721400000000001</v>
      </c>
      <c r="AZ71" s="22">
        <v>580.57799999999997</v>
      </c>
      <c r="BA71" s="22">
        <v>-2.4368299999999999E-2</v>
      </c>
      <c r="BB71" s="22">
        <v>61</v>
      </c>
      <c r="BC71" s="22">
        <v>0.206482</v>
      </c>
      <c r="BD71">
        <f t="shared" si="10"/>
        <v>24.368299999999998</v>
      </c>
      <c r="BE71">
        <f t="shared" si="11"/>
        <v>5.0494529161999999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62.250799999999998</v>
      </c>
      <c r="I72" s="22">
        <v>-2.3367300000000001E-2</v>
      </c>
      <c r="J72" s="22">
        <v>62</v>
      </c>
      <c r="K72" s="22">
        <v>1.48712</v>
      </c>
      <c r="L72">
        <f t="shared" si="0"/>
        <v>23.3673</v>
      </c>
      <c r="M72">
        <f t="shared" si="1"/>
        <v>34.764233228999998</v>
      </c>
      <c r="N72" s="9"/>
      <c r="O72" s="22">
        <v>0.21224999999999999</v>
      </c>
      <c r="P72" s="22">
        <v>151.56800000000001</v>
      </c>
      <c r="Q72" s="22">
        <v>-2.47742E-2</v>
      </c>
      <c r="R72" s="22">
        <v>62</v>
      </c>
      <c r="S72" s="22">
        <v>0.211426</v>
      </c>
      <c r="T72">
        <f t="shared" si="2"/>
        <v>24.7742</v>
      </c>
      <c r="U72">
        <f t="shared" si="3"/>
        <v>5.2583239500000003</v>
      </c>
      <c r="X72" s="9"/>
      <c r="Y72" s="22">
        <v>1.48773</v>
      </c>
      <c r="Z72" s="22">
        <v>275.52999999999997</v>
      </c>
      <c r="AA72" s="22">
        <v>-2.2848500000000001E-2</v>
      </c>
      <c r="AB72" s="22">
        <v>62</v>
      </c>
      <c r="AC72" s="22">
        <v>1.48712</v>
      </c>
      <c r="AD72">
        <f t="shared" si="4"/>
        <v>22.848500000000001</v>
      </c>
      <c r="AE72">
        <f t="shared" si="5"/>
        <v>33.992398905000002</v>
      </c>
      <c r="AF72" s="9"/>
      <c r="AG72" s="22">
        <v>0.21224999999999999</v>
      </c>
      <c r="AH72" s="22">
        <v>381.40899999999999</v>
      </c>
      <c r="AI72" s="22">
        <v>-2.4401900000000001E-2</v>
      </c>
      <c r="AJ72" s="22">
        <v>62</v>
      </c>
      <c r="AK72" s="22">
        <v>0.21179200000000001</v>
      </c>
      <c r="AL72">
        <f t="shared" si="6"/>
        <v>24.401900000000001</v>
      </c>
      <c r="AM72">
        <f t="shared" si="7"/>
        <v>5.1793032750000005</v>
      </c>
      <c r="AP72" s="9"/>
      <c r="AQ72" s="22">
        <v>1.48773</v>
      </c>
      <c r="AR72" s="22">
        <v>469.8</v>
      </c>
      <c r="AS72" s="22">
        <v>-2.2680700000000002E-2</v>
      </c>
      <c r="AT72" s="22">
        <v>62</v>
      </c>
      <c r="AU72" s="22">
        <v>1.48712</v>
      </c>
      <c r="AV72">
        <f t="shared" si="8"/>
        <v>22.680700000000002</v>
      </c>
      <c r="AW72">
        <f t="shared" si="9"/>
        <v>33.742757811000004</v>
      </c>
      <c r="AX72" s="9"/>
      <c r="AY72" s="22">
        <v>0.21224999999999999</v>
      </c>
      <c r="AZ72" s="22">
        <v>580.67899999999997</v>
      </c>
      <c r="BA72" s="22">
        <v>-2.4362200000000001E-2</v>
      </c>
      <c r="BB72" s="22">
        <v>62</v>
      </c>
      <c r="BC72" s="22">
        <v>0.21157799999999999</v>
      </c>
      <c r="BD72">
        <f t="shared" si="10"/>
        <v>24.362200000000001</v>
      </c>
      <c r="BE72">
        <f t="shared" si="11"/>
        <v>5.1708769500000002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62.351500000000001</v>
      </c>
      <c r="I73" s="22">
        <v>-2.33948E-2</v>
      </c>
      <c r="J73" s="22">
        <v>63</v>
      </c>
      <c r="K73" s="22">
        <v>1.48193</v>
      </c>
      <c r="L73">
        <f t="shared" si="0"/>
        <v>23.3948</v>
      </c>
      <c r="M73">
        <f t="shared" si="1"/>
        <v>34.687469960000001</v>
      </c>
      <c r="N73" s="9"/>
      <c r="O73" s="22">
        <v>0.21728500000000001</v>
      </c>
      <c r="P73" s="22">
        <v>151.66900000000001</v>
      </c>
      <c r="Q73" s="22">
        <v>-2.4768100000000001E-2</v>
      </c>
      <c r="R73" s="22">
        <v>63</v>
      </c>
      <c r="S73" s="22">
        <v>0.21652199999999999</v>
      </c>
      <c r="T73">
        <f t="shared" si="2"/>
        <v>24.7681</v>
      </c>
      <c r="U73">
        <f t="shared" si="3"/>
        <v>5.3817366085000007</v>
      </c>
      <c r="X73" s="9"/>
      <c r="Y73" s="22">
        <v>1.4826999999999999</v>
      </c>
      <c r="Z73" s="22">
        <v>275.63099999999997</v>
      </c>
      <c r="AA73" s="22">
        <v>-2.28516E-2</v>
      </c>
      <c r="AB73" s="22">
        <v>63</v>
      </c>
      <c r="AC73" s="22">
        <v>1.48224</v>
      </c>
      <c r="AD73">
        <f t="shared" si="4"/>
        <v>22.851600000000001</v>
      </c>
      <c r="AE73">
        <f t="shared" si="5"/>
        <v>33.882067319999997</v>
      </c>
      <c r="AF73" s="9"/>
      <c r="AG73" s="22">
        <v>0.21728500000000001</v>
      </c>
      <c r="AH73" s="22">
        <v>381.51</v>
      </c>
      <c r="AI73" s="22">
        <v>-2.44049E-2</v>
      </c>
      <c r="AJ73" s="22">
        <v>63</v>
      </c>
      <c r="AK73" s="22">
        <v>0.21646099999999999</v>
      </c>
      <c r="AL73">
        <f t="shared" si="6"/>
        <v>24.404900000000001</v>
      </c>
      <c r="AM73">
        <f t="shared" si="7"/>
        <v>5.3028186965000002</v>
      </c>
      <c r="AP73" s="9"/>
      <c r="AQ73" s="22">
        <v>1.4826999999999999</v>
      </c>
      <c r="AR73" s="22">
        <v>469.9</v>
      </c>
      <c r="AS73" s="22">
        <v>-2.2699E-2</v>
      </c>
      <c r="AT73" s="22">
        <v>63</v>
      </c>
      <c r="AU73" s="22">
        <v>1.48315</v>
      </c>
      <c r="AV73">
        <f t="shared" si="8"/>
        <v>22.699000000000002</v>
      </c>
      <c r="AW73">
        <f t="shared" si="9"/>
        <v>33.655807299999999</v>
      </c>
      <c r="AX73" s="9"/>
      <c r="AY73" s="22">
        <v>0.21728500000000001</v>
      </c>
      <c r="AZ73" s="22">
        <v>580.779</v>
      </c>
      <c r="BA73" s="22">
        <v>-2.4356099999999999E-2</v>
      </c>
      <c r="BB73" s="22">
        <v>63</v>
      </c>
      <c r="BC73" s="22">
        <v>0.21670500000000001</v>
      </c>
      <c r="BD73">
        <f t="shared" si="10"/>
        <v>24.356099999999998</v>
      </c>
      <c r="BE73">
        <f t="shared" si="11"/>
        <v>5.2922151884999993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62.452199999999998</v>
      </c>
      <c r="I74" s="22">
        <v>-2.3400899999999999E-2</v>
      </c>
      <c r="J74" s="22">
        <v>64</v>
      </c>
      <c r="K74" s="22">
        <v>1.47766</v>
      </c>
      <c r="L74">
        <f t="shared" si="0"/>
        <v>23.4009</v>
      </c>
      <c r="M74">
        <f t="shared" si="1"/>
        <v>34.578573894000002</v>
      </c>
      <c r="N74" s="9"/>
      <c r="O74" s="22">
        <v>0.22232099999999999</v>
      </c>
      <c r="P74" s="22">
        <v>151.77000000000001</v>
      </c>
      <c r="Q74" s="22">
        <v>-2.4761999999999999E-2</v>
      </c>
      <c r="R74" s="22">
        <v>64</v>
      </c>
      <c r="S74" s="22">
        <v>0.22195400000000001</v>
      </c>
      <c r="T74">
        <f t="shared" si="2"/>
        <v>24.762</v>
      </c>
      <c r="U74">
        <f t="shared" si="3"/>
        <v>5.5051126019999996</v>
      </c>
      <c r="X74" s="9"/>
      <c r="Y74" s="22">
        <v>1.47766</v>
      </c>
      <c r="Z74" s="22">
        <v>275.73200000000003</v>
      </c>
      <c r="AA74" s="22">
        <v>-2.2860700000000001E-2</v>
      </c>
      <c r="AB74" s="22">
        <v>64</v>
      </c>
      <c r="AC74" s="22">
        <v>1.47644</v>
      </c>
      <c r="AD74">
        <f t="shared" si="4"/>
        <v>22.860700000000001</v>
      </c>
      <c r="AE74">
        <f t="shared" si="5"/>
        <v>33.780341962000001</v>
      </c>
      <c r="AF74" s="9"/>
      <c r="AG74" s="22">
        <v>0.22232099999999999</v>
      </c>
      <c r="AH74" s="22">
        <v>381.61099999999999</v>
      </c>
      <c r="AI74" s="22">
        <v>-2.4401900000000001E-2</v>
      </c>
      <c r="AJ74" s="22">
        <v>64</v>
      </c>
      <c r="AK74" s="22">
        <v>0.221863</v>
      </c>
      <c r="AL74">
        <f t="shared" si="6"/>
        <v>24.401900000000001</v>
      </c>
      <c r="AM74">
        <f t="shared" si="7"/>
        <v>5.4250548098999998</v>
      </c>
      <c r="AP74" s="9"/>
      <c r="AQ74" s="22">
        <v>1.47766</v>
      </c>
      <c r="AR74" s="22">
        <v>470.00099999999998</v>
      </c>
      <c r="AS74" s="22">
        <v>-2.26898E-2</v>
      </c>
      <c r="AT74" s="22">
        <v>64</v>
      </c>
      <c r="AU74" s="22">
        <v>1.47736</v>
      </c>
      <c r="AV74">
        <f t="shared" si="8"/>
        <v>22.689799999999998</v>
      </c>
      <c r="AW74">
        <f t="shared" si="9"/>
        <v>33.527809867999999</v>
      </c>
      <c r="AX74" s="9"/>
      <c r="AY74" s="22">
        <v>0.22232099999999999</v>
      </c>
      <c r="AZ74" s="22">
        <v>580.88</v>
      </c>
      <c r="BA74" s="22">
        <v>-2.435E-2</v>
      </c>
      <c r="BB74" s="22">
        <v>64</v>
      </c>
      <c r="BC74" s="22">
        <v>0.22192400000000001</v>
      </c>
      <c r="BD74">
        <f t="shared" si="10"/>
        <v>24.35</v>
      </c>
      <c r="BE74">
        <f t="shared" si="11"/>
        <v>5.4135163500000001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62.552900000000001</v>
      </c>
      <c r="I75" s="22">
        <v>-2.33948E-2</v>
      </c>
      <c r="J75" s="22">
        <v>65</v>
      </c>
      <c r="K75" s="22">
        <v>1.47217</v>
      </c>
      <c r="L75">
        <f t="shared" si="0"/>
        <v>23.3948</v>
      </c>
      <c r="M75">
        <f t="shared" si="1"/>
        <v>34.451884324000005</v>
      </c>
      <c r="N75" s="9"/>
      <c r="O75" s="22">
        <v>0.227356</v>
      </c>
      <c r="P75" s="22">
        <v>151.87</v>
      </c>
      <c r="Q75" s="22">
        <v>-2.4755900000000001E-2</v>
      </c>
      <c r="R75" s="22">
        <v>65</v>
      </c>
      <c r="S75" s="22">
        <v>0.22702</v>
      </c>
      <c r="T75">
        <f t="shared" si="2"/>
        <v>24.7559</v>
      </c>
      <c r="U75">
        <f t="shared" si="3"/>
        <v>5.6284024003999997</v>
      </c>
      <c r="X75" s="9"/>
      <c r="Y75" s="22">
        <v>1.4726300000000001</v>
      </c>
      <c r="Z75" s="22">
        <v>275.83300000000003</v>
      </c>
      <c r="AA75" s="22">
        <v>-2.2872900000000002E-2</v>
      </c>
      <c r="AB75" s="22">
        <v>65</v>
      </c>
      <c r="AC75" s="22">
        <v>1.4718599999999999</v>
      </c>
      <c r="AD75">
        <f t="shared" si="4"/>
        <v>22.872900000000001</v>
      </c>
      <c r="AE75">
        <f t="shared" si="5"/>
        <v>33.683318727000007</v>
      </c>
      <c r="AF75" s="9"/>
      <c r="AG75" s="22">
        <v>0.227356</v>
      </c>
      <c r="AH75" s="22">
        <v>381.71100000000001</v>
      </c>
      <c r="AI75" s="22">
        <v>-2.4395799999999999E-2</v>
      </c>
      <c r="AJ75" s="22">
        <v>65</v>
      </c>
      <c r="AK75" s="22">
        <v>0.22702</v>
      </c>
      <c r="AL75">
        <f t="shared" si="6"/>
        <v>24.395799999999998</v>
      </c>
      <c r="AM75">
        <f t="shared" si="7"/>
        <v>5.5465315047999999</v>
      </c>
      <c r="AP75" s="9"/>
      <c r="AQ75" s="22">
        <v>1.4726300000000001</v>
      </c>
      <c r="AR75" s="22">
        <v>470.10199999999998</v>
      </c>
      <c r="AS75" s="22">
        <v>-2.2702E-2</v>
      </c>
      <c r="AT75" s="22">
        <v>65</v>
      </c>
      <c r="AU75" s="22">
        <v>1.47217</v>
      </c>
      <c r="AV75">
        <f t="shared" si="8"/>
        <v>22.701999999999998</v>
      </c>
      <c r="AW75">
        <f t="shared" si="9"/>
        <v>33.431646260000001</v>
      </c>
      <c r="AX75" s="9"/>
      <c r="AY75" s="22">
        <v>0.227356</v>
      </c>
      <c r="AZ75" s="22">
        <v>580.98099999999999</v>
      </c>
      <c r="BA75" s="22">
        <v>-2.435E-2</v>
      </c>
      <c r="BB75" s="22">
        <v>65</v>
      </c>
      <c r="BC75" s="22">
        <v>0.22662399999999999</v>
      </c>
      <c r="BD75">
        <f t="shared" si="10"/>
        <v>24.35</v>
      </c>
      <c r="BE75">
        <f t="shared" si="11"/>
        <v>5.5361186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62.653599999999997</v>
      </c>
      <c r="I76" s="22">
        <v>-2.3403899999999998E-2</v>
      </c>
      <c r="J76" s="22">
        <v>66</v>
      </c>
      <c r="K76" s="22">
        <v>1.46759</v>
      </c>
      <c r="L76">
        <f t="shared" ref="L76:L139" si="12">-I76/$F$2*1000</f>
        <v>23.403899999999997</v>
      </c>
      <c r="M76">
        <f t="shared" ref="M76:M139" si="13">L76*G76</f>
        <v>34.347329600999991</v>
      </c>
      <c r="N76" s="9"/>
      <c r="O76" s="22">
        <v>0.23239099999999999</v>
      </c>
      <c r="P76" s="22">
        <v>151.971</v>
      </c>
      <c r="Q76" s="22">
        <v>-2.4752799999999998E-2</v>
      </c>
      <c r="R76" s="22">
        <v>66</v>
      </c>
      <c r="S76" s="22">
        <v>0.231964</v>
      </c>
      <c r="T76">
        <f t="shared" ref="T76:T139" si="14">-Q76/$F$2*1000</f>
        <v>24.752799999999997</v>
      </c>
      <c r="U76">
        <f t="shared" ref="U76:U139" si="15">T76*O76</f>
        <v>5.7523279447999993</v>
      </c>
      <c r="X76" s="9"/>
      <c r="Y76" s="22">
        <v>1.46759</v>
      </c>
      <c r="Z76" s="22">
        <v>275.93299999999999</v>
      </c>
      <c r="AA76" s="22">
        <v>-2.28912E-2</v>
      </c>
      <c r="AB76" s="22">
        <v>66</v>
      </c>
      <c r="AC76" s="22">
        <v>1.4666699999999999</v>
      </c>
      <c r="AD76">
        <f t="shared" ref="AD76:AD139" si="16">-AA76/$F$2*1000</f>
        <v>22.891200000000001</v>
      </c>
      <c r="AE76">
        <f t="shared" ref="AE76:AE139" si="17">AD76*Y76</f>
        <v>33.594896208000002</v>
      </c>
      <c r="AF76" s="9"/>
      <c r="AG76" s="22">
        <v>0.23239099999999999</v>
      </c>
      <c r="AH76" s="22">
        <v>381.81200000000001</v>
      </c>
      <c r="AI76" s="22">
        <v>-2.4398799999999998E-2</v>
      </c>
      <c r="AJ76" s="22">
        <v>66</v>
      </c>
      <c r="AK76" s="22">
        <v>0.23214699999999999</v>
      </c>
      <c r="AL76">
        <f t="shared" ref="AL76:AL139" si="18">-AI76/$F$2*1000</f>
        <v>24.398799999999998</v>
      </c>
      <c r="AM76">
        <f t="shared" ref="AM76:AM139" si="19">AL76*AG76</f>
        <v>5.6700615307999991</v>
      </c>
      <c r="AP76" s="9"/>
      <c r="AQ76" s="22">
        <v>1.46759</v>
      </c>
      <c r="AR76" s="22">
        <v>470.20299999999997</v>
      </c>
      <c r="AS76" s="22">
        <v>-2.27142E-2</v>
      </c>
      <c r="AT76" s="22">
        <v>66</v>
      </c>
      <c r="AU76" s="22">
        <v>1.46759</v>
      </c>
      <c r="AV76">
        <f t="shared" ref="AV76:AV139" si="20">-AS76/$F$2*1000</f>
        <v>22.714200000000002</v>
      </c>
      <c r="AW76">
        <f t="shared" ref="AW76:AW139" si="21">AV76*AQ76</f>
        <v>33.335132778000002</v>
      </c>
      <c r="AX76" s="9"/>
      <c r="AY76" s="22">
        <v>0.23239099999999999</v>
      </c>
      <c r="AZ76" s="22">
        <v>581.08100000000002</v>
      </c>
      <c r="BA76" s="22">
        <v>-2.4340799999999999E-2</v>
      </c>
      <c r="BB76" s="22">
        <v>66</v>
      </c>
      <c r="BC76" s="22">
        <v>0.23208599999999999</v>
      </c>
      <c r="BD76">
        <f t="shared" ref="BD76:BD139" si="22">-BA76/$F$2*1000</f>
        <v>24.340799999999998</v>
      </c>
      <c r="BE76">
        <f t="shared" ref="BE76:BE139" si="23">BD76*AY76</f>
        <v>5.6565828527999988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62.754300000000001</v>
      </c>
      <c r="I77" s="22">
        <v>-2.3416099999999999E-2</v>
      </c>
      <c r="J77" s="22">
        <v>67</v>
      </c>
      <c r="K77" s="22">
        <v>1.4617899999999999</v>
      </c>
      <c r="L77">
        <f t="shared" si="12"/>
        <v>23.4161</v>
      </c>
      <c r="M77">
        <f t="shared" si="13"/>
        <v>34.247217055</v>
      </c>
      <c r="N77" s="9"/>
      <c r="O77" s="22">
        <v>0.237427</v>
      </c>
      <c r="P77" s="22">
        <v>152.072</v>
      </c>
      <c r="Q77" s="22">
        <v>-2.47437E-2</v>
      </c>
      <c r="R77" s="22">
        <v>67</v>
      </c>
      <c r="S77" s="22">
        <v>0.23690800000000001</v>
      </c>
      <c r="T77">
        <f t="shared" si="14"/>
        <v>24.7437</v>
      </c>
      <c r="U77">
        <f t="shared" si="15"/>
        <v>5.8748224598999998</v>
      </c>
      <c r="X77" s="9"/>
      <c r="Y77" s="22">
        <v>1.46255</v>
      </c>
      <c r="Z77" s="22">
        <v>276.03399999999999</v>
      </c>
      <c r="AA77" s="22">
        <v>-2.2897299999999999E-2</v>
      </c>
      <c r="AB77" s="22">
        <v>67</v>
      </c>
      <c r="AC77" s="22">
        <v>1.4617899999999999</v>
      </c>
      <c r="AD77">
        <f t="shared" si="16"/>
        <v>22.897299999999998</v>
      </c>
      <c r="AE77">
        <f t="shared" si="17"/>
        <v>33.488446114999995</v>
      </c>
      <c r="AF77" s="9"/>
      <c r="AG77" s="22">
        <v>0.237427</v>
      </c>
      <c r="AH77" s="22">
        <v>381.91300000000001</v>
      </c>
      <c r="AI77" s="22">
        <v>-2.43225E-2</v>
      </c>
      <c r="AJ77" s="22">
        <v>67</v>
      </c>
      <c r="AK77" s="22">
        <v>0.236786</v>
      </c>
      <c r="AL77">
        <f t="shared" si="18"/>
        <v>24.322500000000002</v>
      </c>
      <c r="AM77">
        <f t="shared" si="19"/>
        <v>5.7748182075000001</v>
      </c>
      <c r="AP77" s="9"/>
      <c r="AQ77" s="22">
        <v>1.46255</v>
      </c>
      <c r="AR77" s="22">
        <v>470.303</v>
      </c>
      <c r="AS77" s="22">
        <v>-2.2723400000000001E-2</v>
      </c>
      <c r="AT77" s="22">
        <v>67</v>
      </c>
      <c r="AU77" s="22">
        <v>1.4621</v>
      </c>
      <c r="AV77">
        <f t="shared" si="20"/>
        <v>22.723400000000002</v>
      </c>
      <c r="AW77">
        <f t="shared" si="21"/>
        <v>33.234108670000005</v>
      </c>
      <c r="AX77" s="9"/>
      <c r="AY77" s="22">
        <v>0.237427</v>
      </c>
      <c r="AZ77" s="22">
        <v>581.18200000000002</v>
      </c>
      <c r="BA77" s="22">
        <v>-2.4340799999999999E-2</v>
      </c>
      <c r="BB77" s="22">
        <v>67</v>
      </c>
      <c r="BC77" s="22">
        <v>0.236847</v>
      </c>
      <c r="BD77">
        <f t="shared" si="22"/>
        <v>24.340799999999998</v>
      </c>
      <c r="BE77">
        <f t="shared" si="23"/>
        <v>5.7791631215999999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62.854999999999997</v>
      </c>
      <c r="I78" s="22">
        <v>-2.3413099999999999E-2</v>
      </c>
      <c r="J78" s="22">
        <v>68</v>
      </c>
      <c r="K78" s="22">
        <v>1.4569099999999999</v>
      </c>
      <c r="L78">
        <f t="shared" si="12"/>
        <v>23.4131</v>
      </c>
      <c r="M78">
        <f t="shared" si="13"/>
        <v>34.125061511999995</v>
      </c>
      <c r="N78" s="9"/>
      <c r="O78" s="22">
        <v>0.24246200000000001</v>
      </c>
      <c r="P78" s="22">
        <v>152.173</v>
      </c>
      <c r="Q78" s="22">
        <v>-2.4740600000000001E-2</v>
      </c>
      <c r="R78" s="22">
        <v>68</v>
      </c>
      <c r="S78" s="22">
        <v>0.242065</v>
      </c>
      <c r="T78">
        <f t="shared" si="14"/>
        <v>24.740600000000001</v>
      </c>
      <c r="U78">
        <f t="shared" si="15"/>
        <v>5.9986553572000005</v>
      </c>
      <c r="X78" s="9"/>
      <c r="Y78" s="22">
        <v>1.4575199999999999</v>
      </c>
      <c r="Z78" s="22">
        <v>276.13499999999999</v>
      </c>
      <c r="AA78" s="22">
        <v>-2.2903400000000001E-2</v>
      </c>
      <c r="AB78" s="22">
        <v>68</v>
      </c>
      <c r="AC78" s="22">
        <v>1.4565999999999999</v>
      </c>
      <c r="AD78">
        <f t="shared" si="16"/>
        <v>22.903400000000001</v>
      </c>
      <c r="AE78">
        <f t="shared" si="17"/>
        <v>33.382163568000003</v>
      </c>
      <c r="AF78" s="9"/>
      <c r="AG78" s="22">
        <v>0.24246200000000001</v>
      </c>
      <c r="AH78" s="22">
        <v>382.01299999999998</v>
      </c>
      <c r="AI78" s="22">
        <v>-2.43103E-2</v>
      </c>
      <c r="AJ78" s="22">
        <v>68</v>
      </c>
      <c r="AK78" s="22">
        <v>0.242035</v>
      </c>
      <c r="AL78">
        <f t="shared" si="18"/>
        <v>24.310300000000002</v>
      </c>
      <c r="AM78">
        <f t="shared" si="19"/>
        <v>5.8943239586000002</v>
      </c>
      <c r="AP78" s="9"/>
      <c r="AQ78" s="22">
        <v>1.4575199999999999</v>
      </c>
      <c r="AR78" s="22">
        <v>470.404</v>
      </c>
      <c r="AS78" s="22">
        <v>-2.2732499999999999E-2</v>
      </c>
      <c r="AT78" s="22">
        <v>68</v>
      </c>
      <c r="AU78" s="22">
        <v>1.4569099999999999</v>
      </c>
      <c r="AV78">
        <f t="shared" si="20"/>
        <v>22.732499999999998</v>
      </c>
      <c r="AW78">
        <f t="shared" si="21"/>
        <v>33.133073399999994</v>
      </c>
      <c r="AX78" s="9"/>
      <c r="AY78" s="22">
        <v>0.24246200000000001</v>
      </c>
      <c r="AZ78" s="22">
        <v>581.28300000000002</v>
      </c>
      <c r="BA78" s="22">
        <v>-2.4328599999999999E-2</v>
      </c>
      <c r="BB78" s="22">
        <v>68</v>
      </c>
      <c r="BC78" s="22">
        <v>0.24218799999999999</v>
      </c>
      <c r="BD78">
        <f t="shared" si="22"/>
        <v>24.328599999999998</v>
      </c>
      <c r="BE78">
        <f t="shared" si="23"/>
        <v>5.8987610131999997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62.955800000000004</v>
      </c>
      <c r="I79" s="22">
        <v>-2.34253E-2</v>
      </c>
      <c r="J79" s="22">
        <v>69</v>
      </c>
      <c r="K79" s="22">
        <v>1.4517199999999999</v>
      </c>
      <c r="L79">
        <f t="shared" si="12"/>
        <v>23.4253</v>
      </c>
      <c r="M79">
        <f t="shared" si="13"/>
        <v>34.024779744</v>
      </c>
      <c r="N79" s="9"/>
      <c r="O79" s="22">
        <v>0.247498</v>
      </c>
      <c r="P79" s="22">
        <v>152.273</v>
      </c>
      <c r="Q79" s="22">
        <v>-2.47589E-2</v>
      </c>
      <c r="R79" s="22">
        <v>69</v>
      </c>
      <c r="S79" s="22">
        <v>0.24777199999999999</v>
      </c>
      <c r="T79">
        <f t="shared" si="14"/>
        <v>24.758900000000001</v>
      </c>
      <c r="U79">
        <f t="shared" si="15"/>
        <v>6.1277782321999998</v>
      </c>
      <c r="X79" s="9"/>
      <c r="Y79" s="22">
        <v>1.45248</v>
      </c>
      <c r="Z79" s="22">
        <v>276.23500000000001</v>
      </c>
      <c r="AA79" s="22">
        <v>-2.2915600000000001E-2</v>
      </c>
      <c r="AB79" s="22">
        <v>69</v>
      </c>
      <c r="AC79" s="22">
        <v>1.4523299999999999</v>
      </c>
      <c r="AD79">
        <f t="shared" si="16"/>
        <v>22.915600000000001</v>
      </c>
      <c r="AE79">
        <f t="shared" si="17"/>
        <v>33.284450688</v>
      </c>
      <c r="AF79" s="9"/>
      <c r="AG79" s="22">
        <v>0.247498</v>
      </c>
      <c r="AH79" s="22">
        <v>382.11399999999998</v>
      </c>
      <c r="AI79" s="22">
        <v>-2.43103E-2</v>
      </c>
      <c r="AJ79" s="22">
        <v>69</v>
      </c>
      <c r="AK79" s="22">
        <v>0.246918</v>
      </c>
      <c r="AL79">
        <f t="shared" si="18"/>
        <v>24.310300000000002</v>
      </c>
      <c r="AM79">
        <f t="shared" si="19"/>
        <v>6.0167506294000006</v>
      </c>
      <c r="AP79" s="9"/>
      <c r="AQ79" s="22">
        <v>1.45248</v>
      </c>
      <c r="AR79" s="22">
        <v>470.505</v>
      </c>
      <c r="AS79" s="22">
        <v>-2.2735600000000002E-2</v>
      </c>
      <c r="AT79" s="22">
        <v>69</v>
      </c>
      <c r="AU79" s="22">
        <v>1.4523299999999999</v>
      </c>
      <c r="AV79">
        <f t="shared" si="20"/>
        <v>22.735600000000002</v>
      </c>
      <c r="AW79">
        <f t="shared" si="21"/>
        <v>33.023004288000003</v>
      </c>
      <c r="AX79" s="9"/>
      <c r="AY79" s="22">
        <v>0.247498</v>
      </c>
      <c r="AZ79" s="22">
        <v>581.38400000000001</v>
      </c>
      <c r="BA79" s="22">
        <v>-2.4328599999999999E-2</v>
      </c>
      <c r="BB79" s="22">
        <v>69</v>
      </c>
      <c r="BC79" s="22">
        <v>0.24710099999999999</v>
      </c>
      <c r="BD79">
        <f t="shared" si="22"/>
        <v>24.328599999999998</v>
      </c>
      <c r="BE79">
        <f t="shared" si="23"/>
        <v>6.0212798427999994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63.0565</v>
      </c>
      <c r="I80" s="22">
        <v>-2.3434400000000001E-2</v>
      </c>
      <c r="J80" s="22">
        <v>70</v>
      </c>
      <c r="K80" s="22">
        <v>1.4468399999999999</v>
      </c>
      <c r="L80">
        <f t="shared" si="12"/>
        <v>23.4344</v>
      </c>
      <c r="M80">
        <f t="shared" si="13"/>
        <v>33.920122280000001</v>
      </c>
      <c r="N80" s="9"/>
      <c r="O80" s="22">
        <v>0.25253300000000001</v>
      </c>
      <c r="P80" s="22">
        <v>152.374</v>
      </c>
      <c r="Q80" s="22">
        <v>-2.4749799999999999E-2</v>
      </c>
      <c r="R80" s="22">
        <v>70</v>
      </c>
      <c r="S80" s="22">
        <v>0.252197</v>
      </c>
      <c r="T80">
        <f t="shared" si="14"/>
        <v>24.7498</v>
      </c>
      <c r="U80">
        <f t="shared" si="15"/>
        <v>6.2501412433999999</v>
      </c>
      <c r="X80" s="9"/>
      <c r="Y80" s="22">
        <v>1.4474499999999999</v>
      </c>
      <c r="Z80" s="22">
        <v>276.33600000000001</v>
      </c>
      <c r="AA80" s="22">
        <v>-2.2927900000000001E-2</v>
      </c>
      <c r="AB80" s="22">
        <v>70</v>
      </c>
      <c r="AC80" s="22">
        <v>1.4471400000000001</v>
      </c>
      <c r="AD80">
        <f t="shared" si="16"/>
        <v>22.927900000000001</v>
      </c>
      <c r="AE80">
        <f t="shared" si="17"/>
        <v>33.186988855000003</v>
      </c>
      <c r="AF80" s="9"/>
      <c r="AG80" s="22">
        <v>0.25253300000000001</v>
      </c>
      <c r="AH80" s="22">
        <v>382.21499999999997</v>
      </c>
      <c r="AI80" s="22">
        <v>-2.43103E-2</v>
      </c>
      <c r="AJ80" s="22">
        <v>70</v>
      </c>
      <c r="AK80" s="22">
        <v>0.25228899999999999</v>
      </c>
      <c r="AL80">
        <f t="shared" si="18"/>
        <v>24.310300000000002</v>
      </c>
      <c r="AM80">
        <f t="shared" si="19"/>
        <v>6.1391529899000004</v>
      </c>
      <c r="AP80" s="9"/>
      <c r="AQ80" s="22">
        <v>1.4474499999999999</v>
      </c>
      <c r="AR80" s="22">
        <v>470.60500000000002</v>
      </c>
      <c r="AS80" s="22">
        <v>-2.2753900000000001E-2</v>
      </c>
      <c r="AT80" s="22">
        <v>70</v>
      </c>
      <c r="AU80" s="22">
        <v>1.4471400000000001</v>
      </c>
      <c r="AV80">
        <f t="shared" si="20"/>
        <v>22.753900000000002</v>
      </c>
      <c r="AW80">
        <f t="shared" si="21"/>
        <v>32.935132555000003</v>
      </c>
      <c r="AX80" s="9"/>
      <c r="AY80" s="22">
        <v>0.25253300000000001</v>
      </c>
      <c r="AZ80" s="22">
        <v>581.48400000000004</v>
      </c>
      <c r="BA80" s="22">
        <v>-2.4319500000000001E-2</v>
      </c>
      <c r="BB80" s="22">
        <v>70</v>
      </c>
      <c r="BC80" s="22">
        <v>0.25213600000000003</v>
      </c>
      <c r="BD80">
        <f t="shared" si="22"/>
        <v>24.319500000000001</v>
      </c>
      <c r="BE80">
        <f t="shared" si="23"/>
        <v>6.1414762935000002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63.157200000000003</v>
      </c>
      <c r="I81" s="22">
        <v>-2.3443599999999998E-2</v>
      </c>
      <c r="J81" s="22">
        <v>71</v>
      </c>
      <c r="K81" s="22">
        <v>1.4413499999999999</v>
      </c>
      <c r="L81">
        <f t="shared" si="12"/>
        <v>23.4436</v>
      </c>
      <c r="M81">
        <f t="shared" si="13"/>
        <v>33.815283076</v>
      </c>
      <c r="N81" s="9"/>
      <c r="O81" s="22">
        <v>0.25756800000000002</v>
      </c>
      <c r="P81" s="22">
        <v>152.47499999999999</v>
      </c>
      <c r="Q81" s="22">
        <v>-2.4740600000000001E-2</v>
      </c>
      <c r="R81" s="22">
        <v>71</v>
      </c>
      <c r="S81" s="22">
        <v>0.257019</v>
      </c>
      <c r="T81">
        <f t="shared" si="14"/>
        <v>24.740600000000001</v>
      </c>
      <c r="U81">
        <f t="shared" si="15"/>
        <v>6.3723868608000007</v>
      </c>
      <c r="X81" s="9"/>
      <c r="Y81" s="22">
        <v>1.44241</v>
      </c>
      <c r="Z81" s="22">
        <v>276.43700000000001</v>
      </c>
      <c r="AA81" s="22">
        <v>-2.2930900000000001E-2</v>
      </c>
      <c r="AB81" s="22">
        <v>71</v>
      </c>
      <c r="AC81" s="22">
        <v>1.4419599999999999</v>
      </c>
      <c r="AD81">
        <f t="shared" si="16"/>
        <v>22.930900000000001</v>
      </c>
      <c r="AE81">
        <f t="shared" si="17"/>
        <v>33.075759468999998</v>
      </c>
      <c r="AF81" s="9"/>
      <c r="AG81" s="22">
        <v>0.25756800000000002</v>
      </c>
      <c r="AH81" s="22">
        <v>382.31599999999997</v>
      </c>
      <c r="AI81" s="22">
        <v>-2.4313399999999999E-2</v>
      </c>
      <c r="AJ81" s="22">
        <v>71</v>
      </c>
      <c r="AK81" s="22">
        <v>0.25695800000000002</v>
      </c>
      <c r="AL81">
        <f t="shared" si="18"/>
        <v>24.313399999999998</v>
      </c>
      <c r="AM81">
        <f t="shared" si="19"/>
        <v>6.2623538111999997</v>
      </c>
      <c r="AP81" s="9"/>
      <c r="AQ81" s="22">
        <v>1.44241</v>
      </c>
      <c r="AR81" s="22">
        <v>470.70600000000002</v>
      </c>
      <c r="AS81" s="22">
        <v>-2.2747799999999999E-2</v>
      </c>
      <c r="AT81" s="22">
        <v>71</v>
      </c>
      <c r="AU81" s="22">
        <v>1.4419599999999999</v>
      </c>
      <c r="AV81">
        <f t="shared" si="20"/>
        <v>22.747799999999998</v>
      </c>
      <c r="AW81">
        <f t="shared" si="21"/>
        <v>32.811654197999999</v>
      </c>
      <c r="AX81" s="9"/>
      <c r="AY81" s="22">
        <v>0.25756800000000002</v>
      </c>
      <c r="AZ81" s="22">
        <v>581.58500000000004</v>
      </c>
      <c r="BA81" s="22">
        <v>-2.4325599999999999E-2</v>
      </c>
      <c r="BB81" s="22">
        <v>71</v>
      </c>
      <c r="BC81" s="22">
        <v>0.25692700000000002</v>
      </c>
      <c r="BD81">
        <f t="shared" si="22"/>
        <v>24.325599999999998</v>
      </c>
      <c r="BE81">
        <f t="shared" si="23"/>
        <v>6.2654961407999998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63.257899999999999</v>
      </c>
      <c r="I82" s="22">
        <v>-2.34497E-2</v>
      </c>
      <c r="J82" s="22">
        <v>72</v>
      </c>
      <c r="K82" s="22">
        <v>1.4367700000000001</v>
      </c>
      <c r="L82">
        <f t="shared" si="12"/>
        <v>23.4497</v>
      </c>
      <c r="M82">
        <f t="shared" si="13"/>
        <v>33.706129786000005</v>
      </c>
      <c r="N82" s="9"/>
      <c r="O82" s="22">
        <v>0.262604</v>
      </c>
      <c r="P82" s="22">
        <v>152.57499999999999</v>
      </c>
      <c r="Q82" s="22">
        <v>-2.4737499999999999E-2</v>
      </c>
      <c r="R82" s="22">
        <v>72</v>
      </c>
      <c r="S82" s="22">
        <v>0.26171899999999998</v>
      </c>
      <c r="T82">
        <f t="shared" si="14"/>
        <v>24.737500000000001</v>
      </c>
      <c r="U82">
        <f t="shared" si="15"/>
        <v>6.4961664500000005</v>
      </c>
      <c r="X82" s="9"/>
      <c r="Y82" s="22">
        <v>1.4373800000000001</v>
      </c>
      <c r="Z82" s="22">
        <v>276.53699999999998</v>
      </c>
      <c r="AA82" s="22">
        <v>-2.2936999999999999E-2</v>
      </c>
      <c r="AB82" s="22">
        <v>72</v>
      </c>
      <c r="AC82" s="22">
        <v>1.4370700000000001</v>
      </c>
      <c r="AD82">
        <f t="shared" si="16"/>
        <v>22.936999999999998</v>
      </c>
      <c r="AE82">
        <f t="shared" si="17"/>
        <v>32.969185060000001</v>
      </c>
      <c r="AF82" s="9"/>
      <c r="AG82" s="22">
        <v>0.262604</v>
      </c>
      <c r="AH82" s="22">
        <v>382.416</v>
      </c>
      <c r="AI82" s="22">
        <v>-2.42981E-2</v>
      </c>
      <c r="AJ82" s="22">
        <v>72</v>
      </c>
      <c r="AK82" s="22">
        <v>0.26199299999999998</v>
      </c>
      <c r="AL82">
        <f t="shared" si="18"/>
        <v>24.298099999999998</v>
      </c>
      <c r="AM82">
        <f t="shared" si="19"/>
        <v>6.3807782523999999</v>
      </c>
      <c r="AP82" s="9"/>
      <c r="AQ82" s="22">
        <v>1.4373800000000001</v>
      </c>
      <c r="AR82" s="22">
        <v>470.80700000000002</v>
      </c>
      <c r="AS82" s="22">
        <v>-2.27814E-2</v>
      </c>
      <c r="AT82" s="22">
        <v>72</v>
      </c>
      <c r="AU82" s="22">
        <v>1.4364600000000001</v>
      </c>
      <c r="AV82">
        <f t="shared" si="20"/>
        <v>22.781400000000001</v>
      </c>
      <c r="AW82">
        <f t="shared" si="21"/>
        <v>32.745528732000004</v>
      </c>
      <c r="AX82" s="9"/>
      <c r="AY82" s="22">
        <v>0.262604</v>
      </c>
      <c r="AZ82" s="22">
        <v>581.68600000000004</v>
      </c>
      <c r="BA82" s="22">
        <v>-2.43225E-2</v>
      </c>
      <c r="BB82" s="22">
        <v>72</v>
      </c>
      <c r="BC82" s="22">
        <v>0.26187100000000002</v>
      </c>
      <c r="BD82">
        <f t="shared" si="22"/>
        <v>24.322500000000002</v>
      </c>
      <c r="BE82">
        <f t="shared" si="23"/>
        <v>6.3871857900000002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63.358600000000003</v>
      </c>
      <c r="I83" s="22">
        <v>-2.3452799999999999E-2</v>
      </c>
      <c r="J83" s="22">
        <v>73</v>
      </c>
      <c r="K83" s="22">
        <v>1.4315800000000001</v>
      </c>
      <c r="L83">
        <f t="shared" si="12"/>
        <v>23.4528</v>
      </c>
      <c r="M83">
        <f t="shared" si="13"/>
        <v>33.592383552000001</v>
      </c>
      <c r="N83" s="9"/>
      <c r="O83" s="22">
        <v>0.26763900000000002</v>
      </c>
      <c r="P83" s="22">
        <v>152.67599999999999</v>
      </c>
      <c r="Q83" s="22">
        <v>-2.4731400000000001E-2</v>
      </c>
      <c r="R83" s="22">
        <v>73</v>
      </c>
      <c r="S83" s="22">
        <v>0.26690700000000001</v>
      </c>
      <c r="T83">
        <f t="shared" si="14"/>
        <v>24.731400000000001</v>
      </c>
      <c r="U83">
        <f t="shared" si="15"/>
        <v>6.6190871646000007</v>
      </c>
      <c r="X83" s="9"/>
      <c r="Y83" s="22">
        <v>1.4323399999999999</v>
      </c>
      <c r="Z83" s="22">
        <v>276.63799999999998</v>
      </c>
      <c r="AA83" s="22">
        <v>-2.2930900000000001E-2</v>
      </c>
      <c r="AB83" s="22">
        <v>73</v>
      </c>
      <c r="AC83" s="22">
        <v>1.43188</v>
      </c>
      <c r="AD83">
        <f t="shared" si="16"/>
        <v>22.930900000000001</v>
      </c>
      <c r="AE83">
        <f t="shared" si="17"/>
        <v>32.844845306000003</v>
      </c>
      <c r="AF83" s="9"/>
      <c r="AG83" s="22">
        <v>0.26763900000000002</v>
      </c>
      <c r="AH83" s="22">
        <v>382.517</v>
      </c>
      <c r="AI83" s="22">
        <v>-2.4301099999999999E-2</v>
      </c>
      <c r="AJ83" s="22">
        <v>73</v>
      </c>
      <c r="AK83" s="22">
        <v>0.26748699999999997</v>
      </c>
      <c r="AL83">
        <f t="shared" si="18"/>
        <v>24.301099999999998</v>
      </c>
      <c r="AM83">
        <f t="shared" si="19"/>
        <v>6.5039221028999998</v>
      </c>
      <c r="AP83" s="9"/>
      <c r="AQ83" s="22">
        <v>1.4323399999999999</v>
      </c>
      <c r="AR83" s="22">
        <v>470.90699999999998</v>
      </c>
      <c r="AS83" s="22">
        <v>-2.2790500000000002E-2</v>
      </c>
      <c r="AT83" s="22">
        <v>73</v>
      </c>
      <c r="AU83" s="22">
        <v>1.4321900000000001</v>
      </c>
      <c r="AV83">
        <f t="shared" si="20"/>
        <v>22.790500000000002</v>
      </c>
      <c r="AW83">
        <f t="shared" si="21"/>
        <v>32.643744769999998</v>
      </c>
      <c r="AX83" s="9"/>
      <c r="AY83" s="22">
        <v>0.26763900000000002</v>
      </c>
      <c r="AZ83" s="22">
        <v>581.78599999999994</v>
      </c>
      <c r="BA83" s="22">
        <v>-2.4316399999999998E-2</v>
      </c>
      <c r="BB83" s="22">
        <v>73</v>
      </c>
      <c r="BC83" s="22">
        <v>0.26678499999999999</v>
      </c>
      <c r="BD83">
        <f t="shared" si="22"/>
        <v>24.316399999999998</v>
      </c>
      <c r="BE83">
        <f t="shared" si="23"/>
        <v>6.5080169795999998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63.459299999999999</v>
      </c>
      <c r="I84" s="22">
        <v>-2.3465E-2</v>
      </c>
      <c r="J84" s="22">
        <v>74</v>
      </c>
      <c r="K84" s="22">
        <v>1.4267000000000001</v>
      </c>
      <c r="L84">
        <f t="shared" si="12"/>
        <v>23.465</v>
      </c>
      <c r="M84">
        <f t="shared" si="13"/>
        <v>33.491829150000001</v>
      </c>
      <c r="N84" s="9"/>
      <c r="O84" s="22">
        <v>0.272675</v>
      </c>
      <c r="P84" s="22">
        <v>152.77699999999999</v>
      </c>
      <c r="Q84" s="22">
        <v>-2.4731400000000001E-2</v>
      </c>
      <c r="R84" s="22">
        <v>74</v>
      </c>
      <c r="S84" s="22">
        <v>0.27185100000000001</v>
      </c>
      <c r="T84">
        <f t="shared" si="14"/>
        <v>24.731400000000001</v>
      </c>
      <c r="U84">
        <f t="shared" si="15"/>
        <v>6.7436344950000002</v>
      </c>
      <c r="X84" s="9"/>
      <c r="Y84" s="22">
        <v>1.4273100000000001</v>
      </c>
      <c r="Z84" s="22">
        <v>276.73899999999998</v>
      </c>
      <c r="AA84" s="22">
        <v>-2.2934E-2</v>
      </c>
      <c r="AB84" s="22">
        <v>74</v>
      </c>
      <c r="AC84" s="22">
        <v>1.42639</v>
      </c>
      <c r="AD84">
        <f t="shared" si="16"/>
        <v>22.934000000000001</v>
      </c>
      <c r="AE84">
        <f t="shared" si="17"/>
        <v>32.733927540000003</v>
      </c>
      <c r="AF84" s="9"/>
      <c r="AG84" s="22">
        <v>0.272675</v>
      </c>
      <c r="AH84" s="22">
        <v>382.61799999999999</v>
      </c>
      <c r="AI84" s="22">
        <v>-2.4285899999999999E-2</v>
      </c>
      <c r="AJ84" s="22">
        <v>74</v>
      </c>
      <c r="AK84" s="22">
        <v>0.27212500000000001</v>
      </c>
      <c r="AL84">
        <f t="shared" si="18"/>
        <v>24.285899999999998</v>
      </c>
      <c r="AM84">
        <f t="shared" si="19"/>
        <v>6.6221577824999995</v>
      </c>
      <c r="AP84" s="9"/>
      <c r="AQ84" s="22">
        <v>1.4273100000000001</v>
      </c>
      <c r="AR84" s="22">
        <v>471.00799999999998</v>
      </c>
      <c r="AS84" s="22">
        <v>-2.2802699999999999E-2</v>
      </c>
      <c r="AT84" s="22">
        <v>74</v>
      </c>
      <c r="AU84" s="22">
        <v>1.4273100000000001</v>
      </c>
      <c r="AV84">
        <f t="shared" si="20"/>
        <v>22.802699999999998</v>
      </c>
      <c r="AW84">
        <f t="shared" si="21"/>
        <v>32.546521736999999</v>
      </c>
      <c r="AX84" s="9"/>
      <c r="AY84" s="22">
        <v>0.272675</v>
      </c>
      <c r="AZ84" s="22">
        <v>581.88699999999994</v>
      </c>
      <c r="BA84" s="22">
        <v>-2.43103E-2</v>
      </c>
      <c r="BB84" s="22">
        <v>74</v>
      </c>
      <c r="BC84" s="22">
        <v>0.27191199999999999</v>
      </c>
      <c r="BD84">
        <f t="shared" si="22"/>
        <v>24.310300000000002</v>
      </c>
      <c r="BE84">
        <f t="shared" si="23"/>
        <v>6.6288110525000006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63.56</v>
      </c>
      <c r="I85" s="22">
        <v>-2.3474100000000001E-2</v>
      </c>
      <c r="J85" s="22">
        <v>75</v>
      </c>
      <c r="K85" s="22">
        <v>1.42181</v>
      </c>
      <c r="L85">
        <f t="shared" si="12"/>
        <v>23.4741</v>
      </c>
      <c r="M85">
        <f t="shared" si="13"/>
        <v>33.386508206999999</v>
      </c>
      <c r="N85" s="9"/>
      <c r="O85" s="22">
        <v>0.27771000000000001</v>
      </c>
      <c r="P85" s="22">
        <v>152.87700000000001</v>
      </c>
      <c r="Q85" s="22">
        <v>-2.4722299999999999E-2</v>
      </c>
      <c r="R85" s="22">
        <v>75</v>
      </c>
      <c r="S85" s="22">
        <v>0.27716099999999999</v>
      </c>
      <c r="T85">
        <f t="shared" si="14"/>
        <v>24.722300000000001</v>
      </c>
      <c r="U85">
        <f t="shared" si="15"/>
        <v>6.8656299330000001</v>
      </c>
      <c r="X85" s="9"/>
      <c r="Y85" s="22">
        <v>1.4222699999999999</v>
      </c>
      <c r="Z85" s="22">
        <v>276.83999999999997</v>
      </c>
      <c r="AA85" s="22">
        <v>-2.29584E-2</v>
      </c>
      <c r="AB85" s="22">
        <v>75</v>
      </c>
      <c r="AC85" s="22">
        <v>1.42181</v>
      </c>
      <c r="AD85">
        <f t="shared" si="16"/>
        <v>22.958400000000001</v>
      </c>
      <c r="AE85">
        <f t="shared" si="17"/>
        <v>32.653043568000001</v>
      </c>
      <c r="AF85" s="9"/>
      <c r="AG85" s="22">
        <v>0.27771000000000001</v>
      </c>
      <c r="AH85" s="22">
        <v>382.71800000000002</v>
      </c>
      <c r="AI85" s="22">
        <v>-2.4288899999999999E-2</v>
      </c>
      <c r="AJ85" s="22">
        <v>75</v>
      </c>
      <c r="AK85" s="22">
        <v>0.27740500000000001</v>
      </c>
      <c r="AL85">
        <f t="shared" si="18"/>
        <v>24.288899999999998</v>
      </c>
      <c r="AM85">
        <f t="shared" si="19"/>
        <v>6.7452704189999997</v>
      </c>
      <c r="AP85" s="9"/>
      <c r="AQ85" s="22">
        <v>1.4222699999999999</v>
      </c>
      <c r="AR85" s="22">
        <v>471.10899999999998</v>
      </c>
      <c r="AS85" s="22">
        <v>-2.2805800000000001E-2</v>
      </c>
      <c r="AT85" s="22">
        <v>75</v>
      </c>
      <c r="AU85" s="22">
        <v>1.4215100000000001</v>
      </c>
      <c r="AV85">
        <f t="shared" si="20"/>
        <v>22.805800000000001</v>
      </c>
      <c r="AW85">
        <f t="shared" si="21"/>
        <v>32.436005166000001</v>
      </c>
      <c r="AX85" s="9"/>
      <c r="AY85" s="22">
        <v>0.27771000000000001</v>
      </c>
      <c r="AZ85" s="22">
        <v>581.98800000000006</v>
      </c>
      <c r="BA85" s="22">
        <v>-2.4301099999999999E-2</v>
      </c>
      <c r="BB85" s="22">
        <v>75</v>
      </c>
      <c r="BC85" s="22">
        <v>0.27712999999999999</v>
      </c>
      <c r="BD85">
        <f t="shared" si="22"/>
        <v>24.301099999999998</v>
      </c>
      <c r="BE85">
        <f t="shared" si="23"/>
        <v>6.7486584809999997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63.660699999999999</v>
      </c>
      <c r="I86" s="22">
        <v>-2.34772E-2</v>
      </c>
      <c r="J86" s="22">
        <v>76</v>
      </c>
      <c r="K86" s="22">
        <v>1.4166300000000001</v>
      </c>
      <c r="L86">
        <f t="shared" si="12"/>
        <v>23.4772</v>
      </c>
      <c r="M86">
        <f t="shared" si="13"/>
        <v>33.272826928000001</v>
      </c>
      <c r="N86" s="9"/>
      <c r="O86" s="22">
        <v>0.28274500000000002</v>
      </c>
      <c r="P86" s="22">
        <v>152.97800000000001</v>
      </c>
      <c r="Q86" s="22">
        <v>-2.4716200000000001E-2</v>
      </c>
      <c r="R86" s="22">
        <v>76</v>
      </c>
      <c r="S86" s="22">
        <v>0.282196</v>
      </c>
      <c r="T86">
        <f t="shared" si="14"/>
        <v>24.716200000000001</v>
      </c>
      <c r="U86">
        <f t="shared" si="15"/>
        <v>6.9883819690000006</v>
      </c>
      <c r="X86" s="9"/>
      <c r="Y86" s="22">
        <v>1.4172400000000001</v>
      </c>
      <c r="Z86" s="22">
        <v>276.94</v>
      </c>
      <c r="AA86" s="22">
        <v>-2.29614E-2</v>
      </c>
      <c r="AB86" s="22">
        <v>76</v>
      </c>
      <c r="AC86" s="22">
        <v>1.4166300000000001</v>
      </c>
      <c r="AD86">
        <f t="shared" si="16"/>
        <v>22.961400000000001</v>
      </c>
      <c r="AE86">
        <f t="shared" si="17"/>
        <v>32.541814536000004</v>
      </c>
      <c r="AF86" s="9"/>
      <c r="AG86" s="22">
        <v>0.28274500000000002</v>
      </c>
      <c r="AH86" s="22">
        <v>382.81900000000002</v>
      </c>
      <c r="AI86" s="22">
        <v>-2.42828E-2</v>
      </c>
      <c r="AJ86" s="22">
        <v>76</v>
      </c>
      <c r="AK86" s="22">
        <v>0.28210400000000002</v>
      </c>
      <c r="AL86">
        <f t="shared" si="18"/>
        <v>24.282800000000002</v>
      </c>
      <c r="AM86">
        <f t="shared" si="19"/>
        <v>6.865840286000001</v>
      </c>
      <c r="AP86" s="9"/>
      <c r="AQ86" s="22">
        <v>1.4172400000000001</v>
      </c>
      <c r="AR86" s="22">
        <v>471.21</v>
      </c>
      <c r="AS86" s="22">
        <v>-2.28119E-2</v>
      </c>
      <c r="AT86" s="22">
        <v>76</v>
      </c>
      <c r="AU86" s="22">
        <v>1.41632</v>
      </c>
      <c r="AV86">
        <f t="shared" si="20"/>
        <v>22.811899999999998</v>
      </c>
      <c r="AW86">
        <f t="shared" si="21"/>
        <v>32.329937156</v>
      </c>
      <c r="AX86" s="9"/>
      <c r="AY86" s="22">
        <v>0.28274500000000002</v>
      </c>
      <c r="AZ86" s="22">
        <v>582.08799999999997</v>
      </c>
      <c r="BA86" s="22">
        <v>-2.4292000000000001E-2</v>
      </c>
      <c r="BB86" s="22">
        <v>76</v>
      </c>
      <c r="BC86" s="22">
        <v>0.28234900000000002</v>
      </c>
      <c r="BD86">
        <f t="shared" si="22"/>
        <v>24.292000000000002</v>
      </c>
      <c r="BE86">
        <f t="shared" si="23"/>
        <v>6.868441540000001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63.761400000000002</v>
      </c>
      <c r="I87" s="22">
        <v>-2.3486300000000002E-2</v>
      </c>
      <c r="J87" s="22">
        <v>77</v>
      </c>
      <c r="K87" s="22">
        <v>1.41144</v>
      </c>
      <c r="L87">
        <f t="shared" si="12"/>
        <v>23.4863</v>
      </c>
      <c r="M87">
        <f t="shared" si="13"/>
        <v>33.167352859999994</v>
      </c>
      <c r="N87" s="9"/>
      <c r="O87" s="22">
        <v>0.28778100000000001</v>
      </c>
      <c r="P87" s="22">
        <v>153.07900000000001</v>
      </c>
      <c r="Q87" s="22">
        <v>-2.4710099999999999E-2</v>
      </c>
      <c r="R87" s="22">
        <v>77</v>
      </c>
      <c r="S87" s="22">
        <v>0.28738399999999997</v>
      </c>
      <c r="T87">
        <f t="shared" si="14"/>
        <v>24.710099999999997</v>
      </c>
      <c r="U87">
        <f t="shared" si="15"/>
        <v>7.111097288099999</v>
      </c>
      <c r="X87" s="9"/>
      <c r="Y87" s="22">
        <v>1.4121999999999999</v>
      </c>
      <c r="Z87" s="22">
        <v>277.041</v>
      </c>
      <c r="AA87" s="22">
        <v>-2.2967499999999998E-2</v>
      </c>
      <c r="AB87" s="22">
        <v>77</v>
      </c>
      <c r="AC87" s="22">
        <v>1.41144</v>
      </c>
      <c r="AD87">
        <f t="shared" si="16"/>
        <v>22.967499999999998</v>
      </c>
      <c r="AE87">
        <f t="shared" si="17"/>
        <v>32.434703499999998</v>
      </c>
      <c r="AF87" s="9"/>
      <c r="AG87" s="22">
        <v>0.28778100000000001</v>
      </c>
      <c r="AH87" s="22">
        <v>382.92</v>
      </c>
      <c r="AI87" s="22">
        <v>-2.4273699999999999E-2</v>
      </c>
      <c r="AJ87" s="22">
        <v>77</v>
      </c>
      <c r="AK87" s="22">
        <v>0.28753699999999999</v>
      </c>
      <c r="AL87">
        <f t="shared" si="18"/>
        <v>24.273699999999998</v>
      </c>
      <c r="AM87">
        <f t="shared" si="19"/>
        <v>6.9855096596999999</v>
      </c>
      <c r="AP87" s="9"/>
      <c r="AQ87" s="22">
        <v>1.4121999999999999</v>
      </c>
      <c r="AR87" s="22">
        <v>471.31</v>
      </c>
      <c r="AS87" s="22">
        <v>-2.2818000000000001E-2</v>
      </c>
      <c r="AT87" s="22">
        <v>77</v>
      </c>
      <c r="AU87" s="22">
        <v>1.41113</v>
      </c>
      <c r="AV87">
        <f t="shared" si="20"/>
        <v>22.818000000000001</v>
      </c>
      <c r="AW87">
        <f t="shared" si="21"/>
        <v>32.223579600000001</v>
      </c>
      <c r="AX87" s="9"/>
      <c r="AY87" s="22">
        <v>0.28778100000000001</v>
      </c>
      <c r="AZ87" s="22">
        <v>582.18899999999996</v>
      </c>
      <c r="BA87" s="22">
        <v>-2.42981E-2</v>
      </c>
      <c r="BB87" s="22">
        <v>77</v>
      </c>
      <c r="BC87" s="22">
        <v>0.28726200000000002</v>
      </c>
      <c r="BD87">
        <f t="shared" si="22"/>
        <v>24.298099999999998</v>
      </c>
      <c r="BE87">
        <f t="shared" si="23"/>
        <v>6.9925315160999997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63.862099999999998</v>
      </c>
      <c r="I88" s="22">
        <v>-2.3495499999999999E-2</v>
      </c>
      <c r="J88" s="22">
        <v>78</v>
      </c>
      <c r="K88" s="22">
        <v>1.40656</v>
      </c>
      <c r="L88">
        <f t="shared" si="12"/>
        <v>23.4955</v>
      </c>
      <c r="M88">
        <f t="shared" si="13"/>
        <v>33.062162735000001</v>
      </c>
      <c r="N88" s="9"/>
      <c r="O88" s="22">
        <v>0.29281600000000002</v>
      </c>
      <c r="P88" s="22">
        <v>153.18</v>
      </c>
      <c r="Q88" s="22">
        <v>-2.4710099999999999E-2</v>
      </c>
      <c r="R88" s="22">
        <v>78</v>
      </c>
      <c r="S88" s="22">
        <v>0.29235800000000001</v>
      </c>
      <c r="T88">
        <f t="shared" si="14"/>
        <v>24.710099999999997</v>
      </c>
      <c r="U88">
        <f t="shared" si="15"/>
        <v>7.2355126415999997</v>
      </c>
      <c r="X88" s="9"/>
      <c r="Y88" s="22">
        <v>1.40717</v>
      </c>
      <c r="Z88" s="22">
        <v>277.142</v>
      </c>
      <c r="AA88" s="22">
        <v>-2.2979699999999999E-2</v>
      </c>
      <c r="AB88" s="22">
        <v>78</v>
      </c>
      <c r="AC88" s="22">
        <v>1.40686</v>
      </c>
      <c r="AD88">
        <f t="shared" si="16"/>
        <v>22.979699999999998</v>
      </c>
      <c r="AE88">
        <f t="shared" si="17"/>
        <v>32.336344448999995</v>
      </c>
      <c r="AF88" s="9"/>
      <c r="AG88" s="22">
        <v>0.29281600000000002</v>
      </c>
      <c r="AH88" s="22">
        <v>383.02100000000002</v>
      </c>
      <c r="AI88" s="22">
        <v>-2.4264500000000001E-2</v>
      </c>
      <c r="AJ88" s="22">
        <v>78</v>
      </c>
      <c r="AK88" s="22">
        <v>0.29235800000000001</v>
      </c>
      <c r="AL88">
        <f t="shared" si="18"/>
        <v>24.264500000000002</v>
      </c>
      <c r="AM88">
        <f t="shared" si="19"/>
        <v>7.105033832000001</v>
      </c>
      <c r="AP88" s="9"/>
      <c r="AQ88" s="22">
        <v>1.40717</v>
      </c>
      <c r="AR88" s="22">
        <v>471.411</v>
      </c>
      <c r="AS88" s="22">
        <v>-2.2821000000000001E-2</v>
      </c>
      <c r="AT88" s="22">
        <v>78</v>
      </c>
      <c r="AU88" s="22">
        <v>1.40717</v>
      </c>
      <c r="AV88">
        <f t="shared" si="20"/>
        <v>22.821000000000002</v>
      </c>
      <c r="AW88">
        <f t="shared" si="21"/>
        <v>32.113026570000002</v>
      </c>
      <c r="AX88" s="9"/>
      <c r="AY88" s="22">
        <v>0.29281600000000002</v>
      </c>
      <c r="AZ88" s="22">
        <v>582.29</v>
      </c>
      <c r="BA88" s="22">
        <v>-2.4295000000000001E-2</v>
      </c>
      <c r="BB88" s="22">
        <v>78</v>
      </c>
      <c r="BC88" s="22">
        <v>0.29263299999999998</v>
      </c>
      <c r="BD88">
        <f t="shared" si="22"/>
        <v>24.295000000000002</v>
      </c>
      <c r="BE88">
        <f t="shared" si="23"/>
        <v>7.1139647200000011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63.962800000000001</v>
      </c>
      <c r="I89" s="22">
        <v>-2.3498499999999999E-2</v>
      </c>
      <c r="J89" s="22">
        <v>79</v>
      </c>
      <c r="K89" s="22">
        <v>1.40106</v>
      </c>
      <c r="L89">
        <f t="shared" si="12"/>
        <v>23.4985</v>
      </c>
      <c r="M89">
        <f t="shared" si="13"/>
        <v>32.947951805000002</v>
      </c>
      <c r="N89" s="9"/>
      <c r="O89" s="22">
        <v>0.29785200000000001</v>
      </c>
      <c r="P89" s="22">
        <v>153.28</v>
      </c>
      <c r="Q89" s="22">
        <v>-2.4697899999999998E-2</v>
      </c>
      <c r="R89" s="22">
        <v>79</v>
      </c>
      <c r="S89" s="22">
        <v>0.29724099999999998</v>
      </c>
      <c r="T89">
        <f t="shared" si="14"/>
        <v>24.697899999999997</v>
      </c>
      <c r="U89">
        <f t="shared" si="15"/>
        <v>7.3563189107999989</v>
      </c>
      <c r="X89" s="9"/>
      <c r="Y89" s="22">
        <v>1.4021300000000001</v>
      </c>
      <c r="Z89" s="22">
        <v>277.24200000000002</v>
      </c>
      <c r="AA89" s="22">
        <v>-2.2979699999999999E-2</v>
      </c>
      <c r="AB89" s="22">
        <v>79</v>
      </c>
      <c r="AC89" s="22">
        <v>1.40137</v>
      </c>
      <c r="AD89">
        <f t="shared" si="16"/>
        <v>22.979699999999998</v>
      </c>
      <c r="AE89">
        <f t="shared" si="17"/>
        <v>32.220526761000002</v>
      </c>
      <c r="AF89" s="9"/>
      <c r="AG89" s="22">
        <v>0.29785200000000001</v>
      </c>
      <c r="AH89" s="22">
        <v>383.12099999999998</v>
      </c>
      <c r="AI89" s="22">
        <v>-2.4261499999999998E-2</v>
      </c>
      <c r="AJ89" s="22">
        <v>79</v>
      </c>
      <c r="AK89" s="22">
        <v>0.29754599999999998</v>
      </c>
      <c r="AL89">
        <f t="shared" si="18"/>
        <v>24.261499999999998</v>
      </c>
      <c r="AM89">
        <f t="shared" si="19"/>
        <v>7.2263362979999997</v>
      </c>
      <c r="AP89" s="9"/>
      <c r="AQ89" s="22">
        <v>1.4021300000000001</v>
      </c>
      <c r="AR89" s="22">
        <v>471.512</v>
      </c>
      <c r="AS89" s="22">
        <v>-2.2827099999999999E-2</v>
      </c>
      <c r="AT89" s="22">
        <v>79</v>
      </c>
      <c r="AU89" s="22">
        <v>1.40106</v>
      </c>
      <c r="AV89">
        <f t="shared" si="20"/>
        <v>22.827099999999998</v>
      </c>
      <c r="AW89">
        <f t="shared" si="21"/>
        <v>32.006561722999997</v>
      </c>
      <c r="AX89" s="9"/>
      <c r="AY89" s="22">
        <v>0.29785200000000001</v>
      </c>
      <c r="AZ89" s="22">
        <v>582.39099999999996</v>
      </c>
      <c r="BA89" s="22">
        <v>-2.4288899999999999E-2</v>
      </c>
      <c r="BB89" s="22">
        <v>79</v>
      </c>
      <c r="BC89" s="22">
        <v>0.29733300000000001</v>
      </c>
      <c r="BD89">
        <f t="shared" si="22"/>
        <v>24.288899999999998</v>
      </c>
      <c r="BE89">
        <f t="shared" si="23"/>
        <v>7.2344974427999995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64.063500000000005</v>
      </c>
      <c r="I90" s="22">
        <v>-2.3510699999999999E-2</v>
      </c>
      <c r="J90" s="22">
        <v>80</v>
      </c>
      <c r="K90" s="22">
        <v>1.3964799999999999</v>
      </c>
      <c r="L90">
        <f t="shared" si="12"/>
        <v>23.5107</v>
      </c>
      <c r="M90">
        <f t="shared" si="13"/>
        <v>32.846563863</v>
      </c>
      <c r="N90" s="9"/>
      <c r="O90" s="22">
        <v>0.30288700000000002</v>
      </c>
      <c r="P90" s="22">
        <v>153.381</v>
      </c>
      <c r="Q90" s="22">
        <v>-2.46918E-2</v>
      </c>
      <c r="R90" s="22">
        <v>80</v>
      </c>
      <c r="S90" s="22">
        <v>0.30255100000000001</v>
      </c>
      <c r="T90">
        <f t="shared" si="14"/>
        <v>24.691800000000001</v>
      </c>
      <c r="U90">
        <f t="shared" si="15"/>
        <v>7.4788252266000006</v>
      </c>
      <c r="X90" s="9"/>
      <c r="Y90" s="22">
        <v>1.3970899999999999</v>
      </c>
      <c r="Z90" s="22">
        <v>277.34300000000002</v>
      </c>
      <c r="AA90" s="22">
        <v>-2.29889E-2</v>
      </c>
      <c r="AB90" s="22">
        <v>80</v>
      </c>
      <c r="AC90" s="22">
        <v>1.3964799999999999</v>
      </c>
      <c r="AD90">
        <f t="shared" si="16"/>
        <v>22.988900000000001</v>
      </c>
      <c r="AE90">
        <f t="shared" si="17"/>
        <v>32.117562301</v>
      </c>
      <c r="AF90" s="9"/>
      <c r="AG90" s="22">
        <v>0.30288700000000002</v>
      </c>
      <c r="AH90" s="22">
        <v>383.22199999999998</v>
      </c>
      <c r="AI90" s="22">
        <v>-2.4264500000000001E-2</v>
      </c>
      <c r="AJ90" s="22">
        <v>80</v>
      </c>
      <c r="AK90" s="22">
        <v>0.302338</v>
      </c>
      <c r="AL90">
        <f t="shared" si="18"/>
        <v>24.264500000000002</v>
      </c>
      <c r="AM90">
        <f t="shared" si="19"/>
        <v>7.3494016115000012</v>
      </c>
      <c r="AP90" s="9"/>
      <c r="AQ90" s="22">
        <v>1.3970899999999999</v>
      </c>
      <c r="AR90" s="22">
        <v>471.61200000000002</v>
      </c>
      <c r="AS90" s="22">
        <v>-2.2827099999999999E-2</v>
      </c>
      <c r="AT90" s="22">
        <v>80</v>
      </c>
      <c r="AU90" s="22">
        <v>1.39679</v>
      </c>
      <c r="AV90">
        <f t="shared" si="20"/>
        <v>22.827099999999998</v>
      </c>
      <c r="AW90">
        <f t="shared" si="21"/>
        <v>31.891513138999997</v>
      </c>
      <c r="AX90" s="9"/>
      <c r="AY90" s="22">
        <v>0.30288700000000002</v>
      </c>
      <c r="AZ90" s="22">
        <v>582.49099999999999</v>
      </c>
      <c r="BA90" s="22">
        <v>-2.4285899999999999E-2</v>
      </c>
      <c r="BB90" s="22">
        <v>80</v>
      </c>
      <c r="BC90" s="22">
        <v>0.30246000000000001</v>
      </c>
      <c r="BD90">
        <f t="shared" si="22"/>
        <v>24.285899999999998</v>
      </c>
      <c r="BE90">
        <f t="shared" si="23"/>
        <v>7.3558833933000001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64.164199999999994</v>
      </c>
      <c r="I91" s="22">
        <v>-2.3516800000000001E-2</v>
      </c>
      <c r="J91" s="22">
        <v>81</v>
      </c>
      <c r="K91" s="22">
        <v>1.39191</v>
      </c>
      <c r="L91">
        <f t="shared" si="12"/>
        <v>23.5168</v>
      </c>
      <c r="M91">
        <f t="shared" si="13"/>
        <v>32.736796607999999</v>
      </c>
      <c r="N91" s="9"/>
      <c r="O91" s="22">
        <v>0.30792199999999997</v>
      </c>
      <c r="P91" s="22">
        <v>153.482</v>
      </c>
      <c r="Q91" s="22">
        <v>-2.4688700000000001E-2</v>
      </c>
      <c r="R91" s="22">
        <v>81</v>
      </c>
      <c r="S91" s="22">
        <v>0.30731199999999997</v>
      </c>
      <c r="T91">
        <f t="shared" si="14"/>
        <v>24.688700000000001</v>
      </c>
      <c r="U91">
        <f t="shared" si="15"/>
        <v>7.6021938813999999</v>
      </c>
      <c r="X91" s="9"/>
      <c r="Y91" s="22">
        <v>1.3920600000000001</v>
      </c>
      <c r="Z91" s="22">
        <v>277.44400000000002</v>
      </c>
      <c r="AA91" s="22">
        <v>-2.2991899999999999E-2</v>
      </c>
      <c r="AB91" s="22">
        <v>81</v>
      </c>
      <c r="AC91" s="22">
        <v>1.39191</v>
      </c>
      <c r="AD91">
        <f t="shared" si="16"/>
        <v>22.991899999999998</v>
      </c>
      <c r="AE91">
        <f t="shared" si="17"/>
        <v>32.006104313999998</v>
      </c>
      <c r="AF91" s="9"/>
      <c r="AG91" s="22">
        <v>0.30792199999999997</v>
      </c>
      <c r="AH91" s="22">
        <v>383.32299999999998</v>
      </c>
      <c r="AI91" s="22">
        <v>-2.4261499999999998E-2</v>
      </c>
      <c r="AJ91" s="22">
        <v>81</v>
      </c>
      <c r="AK91" s="22">
        <v>0.30734299999999998</v>
      </c>
      <c r="AL91">
        <f t="shared" si="18"/>
        <v>24.261499999999998</v>
      </c>
      <c r="AM91">
        <f t="shared" si="19"/>
        <v>7.4706496029999991</v>
      </c>
      <c r="AP91" s="9"/>
      <c r="AQ91" s="22">
        <v>1.3920600000000001</v>
      </c>
      <c r="AR91" s="22">
        <v>471.71300000000002</v>
      </c>
      <c r="AS91" s="22">
        <v>-2.2842399999999999E-2</v>
      </c>
      <c r="AT91" s="22">
        <v>81</v>
      </c>
      <c r="AU91" s="22">
        <v>1.39191</v>
      </c>
      <c r="AV91">
        <f t="shared" si="20"/>
        <v>22.842399999999998</v>
      </c>
      <c r="AW91">
        <f t="shared" si="21"/>
        <v>31.797991344</v>
      </c>
      <c r="AX91" s="9"/>
      <c r="AY91" s="22">
        <v>0.30792199999999997</v>
      </c>
      <c r="AZ91" s="22">
        <v>582.59199999999998</v>
      </c>
      <c r="BA91" s="22">
        <v>-2.42828E-2</v>
      </c>
      <c r="BB91" s="22">
        <v>81</v>
      </c>
      <c r="BC91" s="22">
        <v>0.30749500000000002</v>
      </c>
      <c r="BD91">
        <f t="shared" si="22"/>
        <v>24.282800000000002</v>
      </c>
      <c r="BE91">
        <f t="shared" si="23"/>
        <v>7.4772083415999999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64.265000000000001</v>
      </c>
      <c r="I92" s="22">
        <v>-2.3516800000000001E-2</v>
      </c>
      <c r="J92" s="22">
        <v>82</v>
      </c>
      <c r="K92" s="22">
        <v>1.3864099999999999</v>
      </c>
      <c r="L92">
        <f t="shared" si="12"/>
        <v>23.5168</v>
      </c>
      <c r="M92">
        <f t="shared" si="13"/>
        <v>32.618271935999999</v>
      </c>
      <c r="N92" s="9"/>
      <c r="O92" s="22">
        <v>0.31295800000000001</v>
      </c>
      <c r="P92" s="22">
        <v>153.58199999999999</v>
      </c>
      <c r="Q92" s="22">
        <v>-2.4682599999999999E-2</v>
      </c>
      <c r="R92" s="22">
        <v>82</v>
      </c>
      <c r="S92" s="22">
        <v>0.31256099999999998</v>
      </c>
      <c r="T92">
        <f t="shared" si="14"/>
        <v>24.682600000000001</v>
      </c>
      <c r="U92">
        <f t="shared" si="15"/>
        <v>7.7246171308000005</v>
      </c>
      <c r="X92" s="9"/>
      <c r="Y92" s="22">
        <v>1.3870199999999999</v>
      </c>
      <c r="Z92" s="22">
        <v>277.54500000000002</v>
      </c>
      <c r="AA92" s="22">
        <v>-2.2995000000000002E-2</v>
      </c>
      <c r="AB92" s="22">
        <v>82</v>
      </c>
      <c r="AC92" s="22">
        <v>1.3857999999999999</v>
      </c>
      <c r="AD92">
        <f t="shared" si="16"/>
        <v>22.995000000000001</v>
      </c>
      <c r="AE92">
        <f t="shared" si="17"/>
        <v>31.8945249</v>
      </c>
      <c r="AF92" s="9"/>
      <c r="AG92" s="22">
        <v>0.31295800000000001</v>
      </c>
      <c r="AH92" s="22">
        <v>383.423</v>
      </c>
      <c r="AI92" s="22">
        <v>-2.4249300000000001E-2</v>
      </c>
      <c r="AJ92" s="22">
        <v>82</v>
      </c>
      <c r="AK92" s="22">
        <v>0.31259199999999998</v>
      </c>
      <c r="AL92">
        <f t="shared" si="18"/>
        <v>24.249300000000002</v>
      </c>
      <c r="AM92">
        <f t="shared" si="19"/>
        <v>7.5890124294000012</v>
      </c>
      <c r="AP92" s="9"/>
      <c r="AQ92" s="22">
        <v>1.3870199999999999</v>
      </c>
      <c r="AR92" s="22">
        <v>471.81400000000002</v>
      </c>
      <c r="AS92" s="22">
        <v>-2.2860700000000001E-2</v>
      </c>
      <c r="AT92" s="22">
        <v>82</v>
      </c>
      <c r="AU92" s="22">
        <v>1.3857999999999999</v>
      </c>
      <c r="AV92">
        <f t="shared" si="20"/>
        <v>22.860700000000001</v>
      </c>
      <c r="AW92">
        <f t="shared" si="21"/>
        <v>31.708248114</v>
      </c>
      <c r="AX92" s="9"/>
      <c r="AY92" s="22">
        <v>0.31295800000000001</v>
      </c>
      <c r="AZ92" s="22">
        <v>582.69299999999998</v>
      </c>
      <c r="BA92" s="22">
        <v>-2.4276699999999998E-2</v>
      </c>
      <c r="BB92" s="22">
        <v>82</v>
      </c>
      <c r="BC92" s="22">
        <v>0.31289699999999998</v>
      </c>
      <c r="BD92">
        <f t="shared" si="22"/>
        <v>24.276699999999998</v>
      </c>
      <c r="BE92">
        <f t="shared" si="23"/>
        <v>7.5975874785999995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64.365700000000004</v>
      </c>
      <c r="I93" s="22">
        <v>-2.3525999999999998E-2</v>
      </c>
      <c r="J93" s="22">
        <v>83</v>
      </c>
      <c r="K93" s="22">
        <v>1.3815299999999999</v>
      </c>
      <c r="L93">
        <f t="shared" si="12"/>
        <v>23.526</v>
      </c>
      <c r="M93">
        <f t="shared" si="13"/>
        <v>32.512696740000003</v>
      </c>
      <c r="N93" s="9"/>
      <c r="O93" s="22">
        <v>0.31799300000000003</v>
      </c>
      <c r="P93" s="22">
        <v>153.68299999999999</v>
      </c>
      <c r="Q93" s="22">
        <v>-2.4670399999999999E-2</v>
      </c>
      <c r="R93" s="22">
        <v>83</v>
      </c>
      <c r="S93" s="22">
        <v>0.31753500000000001</v>
      </c>
      <c r="T93">
        <f t="shared" si="14"/>
        <v>24.670399999999997</v>
      </c>
      <c r="U93">
        <f t="shared" si="15"/>
        <v>7.8450145072000002</v>
      </c>
      <c r="X93" s="9"/>
      <c r="Y93" s="22">
        <v>1.3819900000000001</v>
      </c>
      <c r="Z93" s="22">
        <v>277.64499999999998</v>
      </c>
      <c r="AA93" s="22">
        <v>-2.3007199999999998E-2</v>
      </c>
      <c r="AB93" s="22">
        <v>83</v>
      </c>
      <c r="AC93" s="22">
        <v>1.3809199999999999</v>
      </c>
      <c r="AD93">
        <f t="shared" si="16"/>
        <v>23.007199999999997</v>
      </c>
      <c r="AE93">
        <f t="shared" si="17"/>
        <v>31.795720327999998</v>
      </c>
      <c r="AF93" s="9"/>
      <c r="AG93" s="22">
        <v>0.31799300000000003</v>
      </c>
      <c r="AH93" s="22">
        <v>383.524</v>
      </c>
      <c r="AI93" s="22">
        <v>-2.4243199999999999E-2</v>
      </c>
      <c r="AJ93" s="22">
        <v>83</v>
      </c>
      <c r="AK93" s="22">
        <v>0.31723000000000001</v>
      </c>
      <c r="AL93">
        <f t="shared" si="18"/>
        <v>24.243199999999998</v>
      </c>
      <c r="AM93">
        <f t="shared" si="19"/>
        <v>7.7091678976000004</v>
      </c>
      <c r="AP93" s="9"/>
      <c r="AQ93" s="22">
        <v>1.3819900000000001</v>
      </c>
      <c r="AR93" s="22">
        <v>471.91500000000002</v>
      </c>
      <c r="AS93" s="22">
        <v>-2.2854599999999999E-2</v>
      </c>
      <c r="AT93" s="22">
        <v>83</v>
      </c>
      <c r="AU93" s="22">
        <v>1.3809199999999999</v>
      </c>
      <c r="AV93">
        <f t="shared" si="20"/>
        <v>22.854599999999998</v>
      </c>
      <c r="AW93">
        <f t="shared" si="21"/>
        <v>31.584828653999999</v>
      </c>
      <c r="AX93" s="9"/>
      <c r="AY93" s="22">
        <v>0.31799300000000003</v>
      </c>
      <c r="AZ93" s="22">
        <v>582.79300000000001</v>
      </c>
      <c r="BA93" s="22">
        <v>-2.42676E-2</v>
      </c>
      <c r="BB93" s="22">
        <v>83</v>
      </c>
      <c r="BC93" s="22">
        <v>0.317413</v>
      </c>
      <c r="BD93">
        <f t="shared" si="22"/>
        <v>24.267600000000002</v>
      </c>
      <c r="BE93">
        <f t="shared" si="23"/>
        <v>7.7169269268000011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64.466399999999993</v>
      </c>
      <c r="I94" s="22">
        <v>-2.35321E-2</v>
      </c>
      <c r="J94" s="22">
        <v>84</v>
      </c>
      <c r="K94" s="22">
        <v>1.3772599999999999</v>
      </c>
      <c r="L94">
        <f t="shared" si="12"/>
        <v>23.5321</v>
      </c>
      <c r="M94">
        <f t="shared" si="13"/>
        <v>32.402525094999994</v>
      </c>
      <c r="N94" s="9"/>
      <c r="O94" s="22">
        <v>0.32302900000000001</v>
      </c>
      <c r="P94" s="22">
        <v>153.78399999999999</v>
      </c>
      <c r="Q94" s="22">
        <v>-2.4658200000000002E-2</v>
      </c>
      <c r="R94" s="22">
        <v>84</v>
      </c>
      <c r="S94" s="22">
        <v>0.32251000000000002</v>
      </c>
      <c r="T94">
        <f t="shared" si="14"/>
        <v>24.658200000000001</v>
      </c>
      <c r="U94">
        <f t="shared" si="15"/>
        <v>7.9653136878000002</v>
      </c>
      <c r="X94" s="9"/>
      <c r="Y94" s="22">
        <v>1.3769499999999999</v>
      </c>
      <c r="Z94" s="22">
        <v>277.74599999999998</v>
      </c>
      <c r="AA94" s="22">
        <v>-2.3016399999999999E-2</v>
      </c>
      <c r="AB94" s="22">
        <v>84</v>
      </c>
      <c r="AC94" s="22">
        <v>1.3763399999999999</v>
      </c>
      <c r="AD94">
        <f t="shared" si="16"/>
        <v>23.016400000000001</v>
      </c>
      <c r="AE94">
        <f t="shared" si="17"/>
        <v>31.692431979999999</v>
      </c>
      <c r="AF94" s="9"/>
      <c r="AG94" s="22">
        <v>0.32302900000000001</v>
      </c>
      <c r="AH94" s="22">
        <v>383.625</v>
      </c>
      <c r="AI94" s="22">
        <v>-2.4240100000000001E-2</v>
      </c>
      <c r="AJ94" s="22">
        <v>84</v>
      </c>
      <c r="AK94" s="22">
        <v>0.32229600000000003</v>
      </c>
      <c r="AL94">
        <f t="shared" si="18"/>
        <v>24.240100000000002</v>
      </c>
      <c r="AM94">
        <f t="shared" si="19"/>
        <v>7.8302552629000006</v>
      </c>
      <c r="AP94" s="9"/>
      <c r="AQ94" s="22">
        <v>1.3769499999999999</v>
      </c>
      <c r="AR94" s="22">
        <v>472.01499999999999</v>
      </c>
      <c r="AS94" s="22">
        <v>-2.2860700000000001E-2</v>
      </c>
      <c r="AT94" s="22">
        <v>84</v>
      </c>
      <c r="AU94" s="22">
        <v>1.3763399999999999</v>
      </c>
      <c r="AV94">
        <f t="shared" si="20"/>
        <v>22.860700000000001</v>
      </c>
      <c r="AW94">
        <f t="shared" si="21"/>
        <v>31.478040865000001</v>
      </c>
      <c r="AX94" s="9"/>
      <c r="AY94" s="22">
        <v>0.32302900000000001</v>
      </c>
      <c r="AZ94" s="22">
        <v>582.89400000000001</v>
      </c>
      <c r="BA94" s="22">
        <v>-2.4264500000000001E-2</v>
      </c>
      <c r="BB94" s="22">
        <v>84</v>
      </c>
      <c r="BC94" s="22">
        <v>0.32253999999999999</v>
      </c>
      <c r="BD94">
        <f t="shared" si="22"/>
        <v>24.264500000000002</v>
      </c>
      <c r="BE94">
        <f t="shared" si="23"/>
        <v>7.8381371705000005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64.567099999999996</v>
      </c>
      <c r="I95" s="22">
        <v>-2.3541300000000001E-2</v>
      </c>
      <c r="J95" s="22">
        <v>85</v>
      </c>
      <c r="K95" s="22">
        <v>1.3711500000000001</v>
      </c>
      <c r="L95">
        <f t="shared" si="12"/>
        <v>23.5413</v>
      </c>
      <c r="M95">
        <f t="shared" si="13"/>
        <v>32.296780296000001</v>
      </c>
      <c r="N95" s="9"/>
      <c r="O95" s="22">
        <v>0.32806400000000002</v>
      </c>
      <c r="P95" s="22">
        <v>153.88499999999999</v>
      </c>
      <c r="Q95" s="22">
        <v>-2.4649000000000001E-2</v>
      </c>
      <c r="R95" s="22">
        <v>85</v>
      </c>
      <c r="S95" s="22">
        <v>0.32760600000000001</v>
      </c>
      <c r="T95">
        <f t="shared" si="14"/>
        <v>24.649000000000001</v>
      </c>
      <c r="U95">
        <f t="shared" si="15"/>
        <v>8.0864495360000017</v>
      </c>
      <c r="X95" s="9"/>
      <c r="Y95" s="22">
        <v>1.37192</v>
      </c>
      <c r="Z95" s="22">
        <v>277.84699999999998</v>
      </c>
      <c r="AA95" s="22">
        <v>-2.3010300000000001E-2</v>
      </c>
      <c r="AB95" s="22">
        <v>85</v>
      </c>
      <c r="AC95" s="22">
        <v>1.3714599999999999</v>
      </c>
      <c r="AD95">
        <f t="shared" si="16"/>
        <v>23.010300000000001</v>
      </c>
      <c r="AE95">
        <f t="shared" si="17"/>
        <v>31.568290776000001</v>
      </c>
      <c r="AF95" s="9"/>
      <c r="AG95" s="22">
        <v>0.32806400000000002</v>
      </c>
      <c r="AH95" s="22">
        <v>383.72500000000002</v>
      </c>
      <c r="AI95" s="22">
        <v>-2.4230999999999999E-2</v>
      </c>
      <c r="AJ95" s="22">
        <v>85</v>
      </c>
      <c r="AK95" s="22">
        <v>0.32788099999999998</v>
      </c>
      <c r="AL95">
        <f t="shared" si="18"/>
        <v>24.230999999999998</v>
      </c>
      <c r="AM95">
        <f t="shared" si="19"/>
        <v>7.9493187839999999</v>
      </c>
      <c r="AP95" s="9"/>
      <c r="AQ95" s="22">
        <v>1.37192</v>
      </c>
      <c r="AR95" s="22">
        <v>472.11599999999999</v>
      </c>
      <c r="AS95" s="22">
        <v>-2.28668E-2</v>
      </c>
      <c r="AT95" s="22">
        <v>85</v>
      </c>
      <c r="AU95" s="22">
        <v>1.3714599999999999</v>
      </c>
      <c r="AV95">
        <f t="shared" si="20"/>
        <v>22.866800000000001</v>
      </c>
      <c r="AW95">
        <f t="shared" si="21"/>
        <v>31.371420256000004</v>
      </c>
      <c r="AX95" s="9"/>
      <c r="AY95" s="22">
        <v>0.32806400000000002</v>
      </c>
      <c r="AZ95" s="22">
        <v>582.995</v>
      </c>
      <c r="BA95" s="22">
        <v>-2.4252300000000001E-2</v>
      </c>
      <c r="BB95" s="22">
        <v>85</v>
      </c>
      <c r="BC95" s="22">
        <v>0.32736199999999999</v>
      </c>
      <c r="BD95">
        <f t="shared" si="22"/>
        <v>24.252300000000002</v>
      </c>
      <c r="BE95">
        <f t="shared" si="23"/>
        <v>7.9563065472000014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64.6678</v>
      </c>
      <c r="I96" s="22">
        <v>-2.3538199999999999E-2</v>
      </c>
      <c r="J96" s="22">
        <v>86</v>
      </c>
      <c r="K96" s="22">
        <v>1.3659699999999999</v>
      </c>
      <c r="L96">
        <f t="shared" si="12"/>
        <v>23.5382</v>
      </c>
      <c r="M96">
        <f t="shared" si="13"/>
        <v>32.173894816000001</v>
      </c>
      <c r="N96" s="9"/>
      <c r="O96" s="22">
        <v>0.33309899999999998</v>
      </c>
      <c r="P96" s="22">
        <v>153.98500000000001</v>
      </c>
      <c r="Q96" s="22">
        <v>-2.4649000000000001E-2</v>
      </c>
      <c r="R96" s="22">
        <v>86</v>
      </c>
      <c r="S96" s="22">
        <v>0.33258100000000002</v>
      </c>
      <c r="T96">
        <f t="shared" si="14"/>
        <v>24.649000000000001</v>
      </c>
      <c r="U96">
        <f t="shared" si="15"/>
        <v>8.2105572509999991</v>
      </c>
      <c r="X96" s="9"/>
      <c r="Y96" s="22">
        <v>1.3668800000000001</v>
      </c>
      <c r="Z96" s="22">
        <v>277.947</v>
      </c>
      <c r="AA96" s="22">
        <v>-2.3053000000000001E-2</v>
      </c>
      <c r="AB96" s="22">
        <v>86</v>
      </c>
      <c r="AC96" s="22">
        <v>1.3659699999999999</v>
      </c>
      <c r="AD96">
        <f t="shared" si="16"/>
        <v>23.053000000000001</v>
      </c>
      <c r="AE96">
        <f t="shared" si="17"/>
        <v>31.510684640000004</v>
      </c>
      <c r="AF96" s="9"/>
      <c r="AG96" s="22">
        <v>0.33309899999999998</v>
      </c>
      <c r="AH96" s="22">
        <v>383.82600000000002</v>
      </c>
      <c r="AI96" s="22">
        <v>-2.4221800000000002E-2</v>
      </c>
      <c r="AJ96" s="22">
        <v>86</v>
      </c>
      <c r="AK96" s="22">
        <v>0.33251999999999998</v>
      </c>
      <c r="AL96">
        <f t="shared" si="18"/>
        <v>24.221800000000002</v>
      </c>
      <c r="AM96">
        <f t="shared" si="19"/>
        <v>8.0682573582000003</v>
      </c>
      <c r="AP96" s="9"/>
      <c r="AQ96" s="22">
        <v>1.3668800000000001</v>
      </c>
      <c r="AR96" s="22">
        <v>472.21699999999998</v>
      </c>
      <c r="AS96" s="22">
        <v>-2.28638E-2</v>
      </c>
      <c r="AT96" s="22">
        <v>86</v>
      </c>
      <c r="AU96" s="22">
        <v>1.3665799999999999</v>
      </c>
      <c r="AV96">
        <f t="shared" si="20"/>
        <v>22.863800000000001</v>
      </c>
      <c r="AW96">
        <f t="shared" si="21"/>
        <v>31.252070944000003</v>
      </c>
      <c r="AX96" s="9"/>
      <c r="AY96" s="22">
        <v>0.33309899999999998</v>
      </c>
      <c r="AZ96" s="22">
        <v>583.096</v>
      </c>
      <c r="BA96" s="22">
        <v>-2.42554E-2</v>
      </c>
      <c r="BB96" s="22">
        <v>86</v>
      </c>
      <c r="BC96" s="22">
        <v>0.33251999999999998</v>
      </c>
      <c r="BD96">
        <f t="shared" si="22"/>
        <v>24.255400000000002</v>
      </c>
      <c r="BE96">
        <f t="shared" si="23"/>
        <v>8.0794494845999996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64.768500000000003</v>
      </c>
      <c r="I97" s="22">
        <v>-2.3550399999999999E-2</v>
      </c>
      <c r="J97" s="22">
        <v>87</v>
      </c>
      <c r="K97" s="22">
        <v>1.3613900000000001</v>
      </c>
      <c r="L97">
        <f t="shared" si="12"/>
        <v>23.5504</v>
      </c>
      <c r="M97">
        <f t="shared" si="13"/>
        <v>32.072112240000003</v>
      </c>
      <c r="N97" s="9"/>
      <c r="O97" s="22">
        <v>0.33813500000000002</v>
      </c>
      <c r="P97" s="22">
        <v>154.08600000000001</v>
      </c>
      <c r="Q97" s="22">
        <v>-2.4639899999999999E-2</v>
      </c>
      <c r="R97" s="22">
        <v>87</v>
      </c>
      <c r="S97" s="22">
        <v>0.33740199999999998</v>
      </c>
      <c r="T97">
        <f t="shared" si="14"/>
        <v>24.639900000000001</v>
      </c>
      <c r="U97">
        <f t="shared" si="15"/>
        <v>8.3316125865000004</v>
      </c>
      <c r="X97" s="9"/>
      <c r="Y97" s="22">
        <v>1.36185</v>
      </c>
      <c r="Z97" s="22">
        <v>278.048</v>
      </c>
      <c r="AA97" s="22">
        <v>-2.3062099999999999E-2</v>
      </c>
      <c r="AB97" s="22">
        <v>87</v>
      </c>
      <c r="AC97" s="22">
        <v>1.3610800000000001</v>
      </c>
      <c r="AD97">
        <f t="shared" si="16"/>
        <v>23.062099999999997</v>
      </c>
      <c r="AE97">
        <f t="shared" si="17"/>
        <v>31.407120884999998</v>
      </c>
      <c r="AF97" s="9"/>
      <c r="AG97" s="22">
        <v>0.33813500000000002</v>
      </c>
      <c r="AH97" s="22">
        <v>383.92700000000002</v>
      </c>
      <c r="AI97" s="22">
        <v>-2.4224900000000001E-2</v>
      </c>
      <c r="AJ97" s="22">
        <v>87</v>
      </c>
      <c r="AK97" s="22">
        <v>0.33792100000000003</v>
      </c>
      <c r="AL97">
        <f t="shared" si="18"/>
        <v>24.224900000000002</v>
      </c>
      <c r="AM97">
        <f t="shared" si="19"/>
        <v>8.1912865615000019</v>
      </c>
      <c r="AP97" s="9"/>
      <c r="AQ97" s="22">
        <v>1.36185</v>
      </c>
      <c r="AR97" s="22">
        <v>472.31700000000001</v>
      </c>
      <c r="AS97" s="22">
        <v>-2.2885099999999998E-2</v>
      </c>
      <c r="AT97" s="22">
        <v>87</v>
      </c>
      <c r="AU97" s="22">
        <v>1.3613900000000001</v>
      </c>
      <c r="AV97">
        <f t="shared" si="20"/>
        <v>22.885099999999998</v>
      </c>
      <c r="AW97">
        <f t="shared" si="21"/>
        <v>31.166073434999998</v>
      </c>
      <c r="AX97" s="9"/>
      <c r="AY97" s="22">
        <v>0.33813500000000002</v>
      </c>
      <c r="AZ97" s="22">
        <v>583.19600000000003</v>
      </c>
      <c r="BA97" s="22">
        <v>-2.4246199999999999E-2</v>
      </c>
      <c r="BB97" s="22">
        <v>87</v>
      </c>
      <c r="BC97" s="22">
        <v>0.33801300000000001</v>
      </c>
      <c r="BD97">
        <f t="shared" si="22"/>
        <v>24.246199999999998</v>
      </c>
      <c r="BE97">
        <f t="shared" si="23"/>
        <v>8.1984888369999993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64.869200000000006</v>
      </c>
      <c r="I98" s="22">
        <v>-2.3550399999999999E-2</v>
      </c>
      <c r="J98" s="22">
        <v>88</v>
      </c>
      <c r="K98" s="22">
        <v>1.3559000000000001</v>
      </c>
      <c r="L98">
        <f t="shared" si="12"/>
        <v>23.5504</v>
      </c>
      <c r="M98">
        <f t="shared" si="13"/>
        <v>31.953418224</v>
      </c>
      <c r="N98" s="9"/>
      <c r="O98" s="22">
        <v>0.34316999999999998</v>
      </c>
      <c r="P98" s="22">
        <v>154.18700000000001</v>
      </c>
      <c r="Q98" s="22">
        <v>-2.4630699999999998E-2</v>
      </c>
      <c r="R98" s="22">
        <v>88</v>
      </c>
      <c r="S98" s="22">
        <v>0.34265099999999998</v>
      </c>
      <c r="T98">
        <f t="shared" si="14"/>
        <v>24.630699999999997</v>
      </c>
      <c r="U98">
        <f t="shared" si="15"/>
        <v>8.4525173189999983</v>
      </c>
      <c r="X98" s="9"/>
      <c r="Y98" s="22">
        <v>1.3568100000000001</v>
      </c>
      <c r="Z98" s="22">
        <v>278.149</v>
      </c>
      <c r="AA98" s="22">
        <v>-2.3071299999999999E-2</v>
      </c>
      <c r="AB98" s="22">
        <v>88</v>
      </c>
      <c r="AC98" s="22">
        <v>1.3568100000000001</v>
      </c>
      <c r="AD98">
        <f t="shared" si="16"/>
        <v>23.071300000000001</v>
      </c>
      <c r="AE98">
        <f t="shared" si="17"/>
        <v>31.303370553000004</v>
      </c>
      <c r="AF98" s="9"/>
      <c r="AG98" s="22">
        <v>0.34316999999999998</v>
      </c>
      <c r="AH98" s="22">
        <v>384.02800000000002</v>
      </c>
      <c r="AI98" s="22">
        <v>-2.4218799999999999E-2</v>
      </c>
      <c r="AJ98" s="22">
        <v>88</v>
      </c>
      <c r="AK98" s="22">
        <v>0.34292600000000001</v>
      </c>
      <c r="AL98">
        <f t="shared" si="18"/>
        <v>24.218799999999998</v>
      </c>
      <c r="AM98">
        <f t="shared" si="19"/>
        <v>8.3111655959999986</v>
      </c>
      <c r="AP98" s="9"/>
      <c r="AQ98" s="22">
        <v>1.3568100000000001</v>
      </c>
      <c r="AR98" s="22">
        <v>472.41800000000001</v>
      </c>
      <c r="AS98" s="22">
        <v>-2.2894299999999999E-2</v>
      </c>
      <c r="AT98" s="22">
        <v>88</v>
      </c>
      <c r="AU98" s="22">
        <v>1.3562000000000001</v>
      </c>
      <c r="AV98">
        <f t="shared" si="20"/>
        <v>22.894299999999998</v>
      </c>
      <c r="AW98">
        <f t="shared" si="21"/>
        <v>31.063215182999997</v>
      </c>
      <c r="AX98" s="9"/>
      <c r="AY98" s="22">
        <v>0.34316999999999998</v>
      </c>
      <c r="AZ98" s="22">
        <v>583.29700000000003</v>
      </c>
      <c r="BA98" s="22">
        <v>-2.4243199999999999E-2</v>
      </c>
      <c r="BB98" s="22">
        <v>88</v>
      </c>
      <c r="BC98" s="22">
        <v>0.34252899999999997</v>
      </c>
      <c r="BD98">
        <f t="shared" si="22"/>
        <v>24.243199999999998</v>
      </c>
      <c r="BE98">
        <f t="shared" si="23"/>
        <v>8.3195389439999996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64.969899999999996</v>
      </c>
      <c r="I99" s="22">
        <v>-2.3556500000000001E-2</v>
      </c>
      <c r="J99" s="22">
        <v>89</v>
      </c>
      <c r="K99" s="22">
        <v>1.35101</v>
      </c>
      <c r="L99">
        <f t="shared" si="12"/>
        <v>23.5565</v>
      </c>
      <c r="M99">
        <f t="shared" si="13"/>
        <v>31.843205569999999</v>
      </c>
      <c r="N99" s="9"/>
      <c r="O99" s="22">
        <v>0.34820600000000002</v>
      </c>
      <c r="P99" s="22">
        <v>154.28700000000001</v>
      </c>
      <c r="Q99" s="22">
        <v>-2.46246E-2</v>
      </c>
      <c r="R99" s="22">
        <v>89</v>
      </c>
      <c r="S99" s="22">
        <v>0.347748</v>
      </c>
      <c r="T99">
        <f t="shared" si="14"/>
        <v>24.624600000000001</v>
      </c>
      <c r="U99">
        <f t="shared" si="15"/>
        <v>8.5744334676000005</v>
      </c>
      <c r="X99" s="9"/>
      <c r="Y99" s="22">
        <v>1.35178</v>
      </c>
      <c r="Z99" s="22">
        <v>278.25</v>
      </c>
      <c r="AA99" s="22">
        <v>-2.3077400000000001E-2</v>
      </c>
      <c r="AB99" s="22">
        <v>89</v>
      </c>
      <c r="AC99" s="22">
        <v>1.35101</v>
      </c>
      <c r="AD99">
        <f t="shared" si="16"/>
        <v>23.077400000000001</v>
      </c>
      <c r="AE99">
        <f t="shared" si="17"/>
        <v>31.195567772</v>
      </c>
      <c r="AF99" s="9"/>
      <c r="AG99" s="22">
        <v>0.34820600000000002</v>
      </c>
      <c r="AH99" s="22">
        <v>384.12799999999999</v>
      </c>
      <c r="AI99" s="22">
        <v>-2.42157E-2</v>
      </c>
      <c r="AJ99" s="22">
        <v>89</v>
      </c>
      <c r="AK99" s="22">
        <v>0.34826699999999999</v>
      </c>
      <c r="AL99">
        <f t="shared" si="18"/>
        <v>24.215699999999998</v>
      </c>
      <c r="AM99">
        <f t="shared" si="19"/>
        <v>8.4320520341999998</v>
      </c>
      <c r="AP99" s="9"/>
      <c r="AQ99" s="22">
        <v>1.35178</v>
      </c>
      <c r="AR99" s="22">
        <v>472.51900000000001</v>
      </c>
      <c r="AS99" s="22">
        <v>-2.2903400000000001E-2</v>
      </c>
      <c r="AT99" s="22">
        <v>89</v>
      </c>
      <c r="AU99" s="22">
        <v>1.35101</v>
      </c>
      <c r="AV99">
        <f t="shared" si="20"/>
        <v>22.903400000000001</v>
      </c>
      <c r="AW99">
        <f t="shared" si="21"/>
        <v>30.960358052</v>
      </c>
      <c r="AX99" s="9"/>
      <c r="AY99" s="22">
        <v>0.34820600000000002</v>
      </c>
      <c r="AZ99" s="22">
        <v>583.39800000000002</v>
      </c>
      <c r="BA99" s="22">
        <v>-2.4237100000000001E-2</v>
      </c>
      <c r="BB99" s="22">
        <v>89</v>
      </c>
      <c r="BC99" s="22">
        <v>0.347717</v>
      </c>
      <c r="BD99">
        <f t="shared" si="22"/>
        <v>24.237100000000002</v>
      </c>
      <c r="BE99">
        <f t="shared" si="23"/>
        <v>8.4395036426000001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65.070599999999999</v>
      </c>
      <c r="I100" s="22">
        <v>-2.3565699999999998E-2</v>
      </c>
      <c r="J100" s="22">
        <v>90</v>
      </c>
      <c r="K100" s="22">
        <v>1.34552</v>
      </c>
      <c r="L100">
        <f t="shared" si="12"/>
        <v>23.5657</v>
      </c>
      <c r="M100">
        <f t="shared" si="13"/>
        <v>31.736870818</v>
      </c>
      <c r="N100" s="9"/>
      <c r="O100" s="22">
        <v>0.35324100000000003</v>
      </c>
      <c r="P100" s="22">
        <v>154.38800000000001</v>
      </c>
      <c r="Q100" s="22">
        <v>-2.46246E-2</v>
      </c>
      <c r="R100" s="22">
        <v>90</v>
      </c>
      <c r="S100" s="22">
        <v>0.35284399999999999</v>
      </c>
      <c r="T100">
        <f t="shared" si="14"/>
        <v>24.624600000000001</v>
      </c>
      <c r="U100">
        <f t="shared" si="15"/>
        <v>8.6984183286000007</v>
      </c>
      <c r="X100" s="9"/>
      <c r="Y100" s="22">
        <v>1.34674</v>
      </c>
      <c r="Z100" s="22">
        <v>278.35000000000002</v>
      </c>
      <c r="AA100" s="22">
        <v>-2.3086499999999999E-2</v>
      </c>
      <c r="AB100" s="22">
        <v>90</v>
      </c>
      <c r="AC100" s="22">
        <v>1.34552</v>
      </c>
      <c r="AD100">
        <f t="shared" si="16"/>
        <v>23.086500000000001</v>
      </c>
      <c r="AE100">
        <f t="shared" si="17"/>
        <v>31.091513010000003</v>
      </c>
      <c r="AF100" s="9"/>
      <c r="AG100" s="22">
        <v>0.35324100000000003</v>
      </c>
      <c r="AH100" s="22">
        <v>384.22899999999998</v>
      </c>
      <c r="AI100" s="22">
        <v>-2.42004E-2</v>
      </c>
      <c r="AJ100" s="22">
        <v>90</v>
      </c>
      <c r="AK100" s="22">
        <v>0.353271</v>
      </c>
      <c r="AL100">
        <f t="shared" si="18"/>
        <v>24.200400000000002</v>
      </c>
      <c r="AM100">
        <f t="shared" si="19"/>
        <v>8.5485734964000013</v>
      </c>
      <c r="AP100" s="9"/>
      <c r="AQ100" s="22">
        <v>1.34674</v>
      </c>
      <c r="AR100" s="22">
        <v>472.62</v>
      </c>
      <c r="AS100" s="22">
        <v>-2.2915600000000001E-2</v>
      </c>
      <c r="AT100" s="22">
        <v>90</v>
      </c>
      <c r="AU100" s="22">
        <v>1.3464400000000001</v>
      </c>
      <c r="AV100">
        <f t="shared" si="20"/>
        <v>22.915600000000001</v>
      </c>
      <c r="AW100">
        <f t="shared" si="21"/>
        <v>30.861355144000004</v>
      </c>
      <c r="AX100" s="9"/>
      <c r="AY100" s="22">
        <v>0.35324100000000003</v>
      </c>
      <c r="AZ100" s="22">
        <v>583.49800000000005</v>
      </c>
      <c r="BA100" s="22">
        <v>-2.42279E-2</v>
      </c>
      <c r="BB100" s="22">
        <v>90</v>
      </c>
      <c r="BC100" s="22">
        <v>0.35217300000000001</v>
      </c>
      <c r="BD100">
        <f t="shared" si="22"/>
        <v>24.227900000000002</v>
      </c>
      <c r="BE100">
        <f t="shared" si="23"/>
        <v>8.5582876239000019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65.171300000000002</v>
      </c>
      <c r="I101" s="22">
        <v>-2.35718E-2</v>
      </c>
      <c r="J101" s="22">
        <v>91</v>
      </c>
      <c r="K101" s="22">
        <v>1.3418600000000001</v>
      </c>
      <c r="L101">
        <f t="shared" si="12"/>
        <v>23.5718</v>
      </c>
      <c r="M101">
        <f t="shared" si="13"/>
        <v>31.626519777999999</v>
      </c>
      <c r="N101" s="9"/>
      <c r="O101" s="22">
        <v>0.35827599999999998</v>
      </c>
      <c r="P101" s="22">
        <v>154.489</v>
      </c>
      <c r="Q101" s="22">
        <v>-2.46216E-2</v>
      </c>
      <c r="R101" s="22">
        <v>91</v>
      </c>
      <c r="S101" s="22">
        <v>0.35778799999999999</v>
      </c>
      <c r="T101">
        <f t="shared" si="14"/>
        <v>24.621600000000001</v>
      </c>
      <c r="U101">
        <f t="shared" si="15"/>
        <v>8.8213283615999991</v>
      </c>
      <c r="X101" s="9"/>
      <c r="Y101" s="22">
        <v>1.34171</v>
      </c>
      <c r="Z101" s="22">
        <v>278.45100000000002</v>
      </c>
      <c r="AA101" s="22">
        <v>-2.3080400000000001E-2</v>
      </c>
      <c r="AB101" s="22">
        <v>91</v>
      </c>
      <c r="AC101" s="22">
        <v>1.3418600000000001</v>
      </c>
      <c r="AD101">
        <f t="shared" si="16"/>
        <v>23.080400000000001</v>
      </c>
      <c r="AE101">
        <f t="shared" si="17"/>
        <v>30.967203483999999</v>
      </c>
      <c r="AF101" s="9"/>
      <c r="AG101" s="22">
        <v>0.35827599999999998</v>
      </c>
      <c r="AH101" s="22">
        <v>384.33</v>
      </c>
      <c r="AI101" s="22">
        <v>-2.4197400000000001E-2</v>
      </c>
      <c r="AJ101" s="22">
        <v>91</v>
      </c>
      <c r="AK101" s="22">
        <v>0.35775800000000002</v>
      </c>
      <c r="AL101">
        <f t="shared" si="18"/>
        <v>24.197400000000002</v>
      </c>
      <c r="AM101">
        <f t="shared" si="19"/>
        <v>8.6693476823999998</v>
      </c>
      <c r="AP101" s="9"/>
      <c r="AQ101" s="22">
        <v>1.34171</v>
      </c>
      <c r="AR101" s="22">
        <v>472.72</v>
      </c>
      <c r="AS101" s="22">
        <v>-2.2924799999999999E-2</v>
      </c>
      <c r="AT101" s="22">
        <v>91</v>
      </c>
      <c r="AU101" s="22">
        <v>1.34094</v>
      </c>
      <c r="AV101">
        <f t="shared" si="20"/>
        <v>22.924799999999998</v>
      </c>
      <c r="AW101">
        <f t="shared" si="21"/>
        <v>30.758433407999995</v>
      </c>
      <c r="AX101" s="9"/>
      <c r="AY101" s="22">
        <v>0.35827599999999998</v>
      </c>
      <c r="AZ101" s="22">
        <v>583.59900000000005</v>
      </c>
      <c r="BA101" s="22">
        <v>-2.4233999999999999E-2</v>
      </c>
      <c r="BB101" s="22">
        <v>91</v>
      </c>
      <c r="BC101" s="22">
        <v>0.35772700000000002</v>
      </c>
      <c r="BD101">
        <f t="shared" si="22"/>
        <v>24.233999999999998</v>
      </c>
      <c r="BE101">
        <f t="shared" si="23"/>
        <v>8.6824605839999993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65.272000000000006</v>
      </c>
      <c r="I102" s="22">
        <v>-2.3587E-2</v>
      </c>
      <c r="J102" s="22">
        <v>92</v>
      </c>
      <c r="K102" s="22">
        <v>1.33636</v>
      </c>
      <c r="L102">
        <f t="shared" si="12"/>
        <v>23.587</v>
      </c>
      <c r="M102">
        <f t="shared" si="13"/>
        <v>31.528035290000002</v>
      </c>
      <c r="N102" s="9"/>
      <c r="O102" s="22">
        <v>0.36331200000000002</v>
      </c>
      <c r="P102" s="22">
        <v>154.59</v>
      </c>
      <c r="Q102" s="22">
        <v>-2.46124E-2</v>
      </c>
      <c r="R102" s="22">
        <v>92</v>
      </c>
      <c r="S102" s="22">
        <v>0.36233500000000002</v>
      </c>
      <c r="T102">
        <f t="shared" si="14"/>
        <v>24.612400000000001</v>
      </c>
      <c r="U102">
        <f t="shared" si="15"/>
        <v>8.9419802688000001</v>
      </c>
      <c r="X102" s="9"/>
      <c r="Y102" s="22">
        <v>1.33667</v>
      </c>
      <c r="Z102" s="22">
        <v>278.55200000000002</v>
      </c>
      <c r="AA102" s="22">
        <v>-2.3080400000000001E-2</v>
      </c>
      <c r="AB102" s="22">
        <v>92</v>
      </c>
      <c r="AC102" s="22">
        <v>1.33667</v>
      </c>
      <c r="AD102">
        <f t="shared" si="16"/>
        <v>23.080400000000001</v>
      </c>
      <c r="AE102">
        <f t="shared" si="17"/>
        <v>30.850878268000002</v>
      </c>
      <c r="AF102" s="9"/>
      <c r="AG102" s="22">
        <v>0.36331200000000002</v>
      </c>
      <c r="AH102" s="22">
        <v>384.43</v>
      </c>
      <c r="AI102" s="22">
        <v>-2.4194299999999998E-2</v>
      </c>
      <c r="AJ102" s="22">
        <v>92</v>
      </c>
      <c r="AK102" s="22">
        <v>0.36276199999999997</v>
      </c>
      <c r="AL102">
        <f t="shared" si="18"/>
        <v>24.194299999999998</v>
      </c>
      <c r="AM102">
        <f t="shared" si="19"/>
        <v>8.7900795215999992</v>
      </c>
      <c r="AP102" s="9"/>
      <c r="AQ102" s="22">
        <v>1.33667</v>
      </c>
      <c r="AR102" s="22">
        <v>472.82100000000003</v>
      </c>
      <c r="AS102" s="22">
        <v>-2.2927900000000001E-2</v>
      </c>
      <c r="AT102" s="22">
        <v>92</v>
      </c>
      <c r="AU102" s="22">
        <v>1.33514</v>
      </c>
      <c r="AV102">
        <f t="shared" si="20"/>
        <v>22.927900000000001</v>
      </c>
      <c r="AW102">
        <f t="shared" si="21"/>
        <v>30.647036093000001</v>
      </c>
      <c r="AX102" s="9"/>
      <c r="AY102" s="22">
        <v>0.36331200000000002</v>
      </c>
      <c r="AZ102" s="22">
        <v>583.70000000000005</v>
      </c>
      <c r="BA102" s="22">
        <v>-2.42279E-2</v>
      </c>
      <c r="BB102" s="22">
        <v>92</v>
      </c>
      <c r="BC102" s="22">
        <v>0.36291499999999999</v>
      </c>
      <c r="BD102">
        <f t="shared" si="22"/>
        <v>24.227900000000002</v>
      </c>
      <c r="BE102">
        <f t="shared" si="23"/>
        <v>8.8022868048000014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65.372699999999995</v>
      </c>
      <c r="I103" s="22">
        <v>-2.3580899999999998E-2</v>
      </c>
      <c r="J103" s="22">
        <v>93</v>
      </c>
      <c r="K103" s="22">
        <v>1.33057</v>
      </c>
      <c r="L103">
        <f t="shared" si="12"/>
        <v>23.5809</v>
      </c>
      <c r="M103">
        <f t="shared" si="13"/>
        <v>31.401033867000002</v>
      </c>
      <c r="N103" s="9"/>
      <c r="O103" s="22">
        <v>0.36834699999999998</v>
      </c>
      <c r="P103" s="22">
        <v>154.69</v>
      </c>
      <c r="Q103" s="22">
        <v>-2.4603300000000002E-2</v>
      </c>
      <c r="R103" s="22">
        <v>93</v>
      </c>
      <c r="S103" s="22">
        <v>0.36779800000000001</v>
      </c>
      <c r="T103">
        <f t="shared" si="14"/>
        <v>24.603300000000001</v>
      </c>
      <c r="U103">
        <f t="shared" si="15"/>
        <v>9.0625517451000004</v>
      </c>
      <c r="X103" s="9"/>
      <c r="Y103" s="22">
        <v>1.3316300000000001</v>
      </c>
      <c r="Z103" s="22">
        <v>278.65199999999999</v>
      </c>
      <c r="AA103" s="22">
        <v>-2.3092700000000001E-2</v>
      </c>
      <c r="AB103" s="22">
        <v>93</v>
      </c>
      <c r="AC103" s="22">
        <v>1.33057</v>
      </c>
      <c r="AD103">
        <f t="shared" si="16"/>
        <v>23.092700000000001</v>
      </c>
      <c r="AE103">
        <f t="shared" si="17"/>
        <v>30.750932101000004</v>
      </c>
      <c r="AF103" s="9"/>
      <c r="AG103" s="22">
        <v>0.36834699999999998</v>
      </c>
      <c r="AH103" s="22">
        <v>384.53100000000001</v>
      </c>
      <c r="AI103" s="22">
        <v>-2.4194299999999998E-2</v>
      </c>
      <c r="AJ103" s="22">
        <v>93</v>
      </c>
      <c r="AK103" s="22">
        <v>0.36807299999999998</v>
      </c>
      <c r="AL103">
        <f t="shared" si="18"/>
        <v>24.194299999999998</v>
      </c>
      <c r="AM103">
        <f t="shared" si="19"/>
        <v>8.9118978220999985</v>
      </c>
      <c r="AP103" s="9"/>
      <c r="AQ103" s="22">
        <v>1.3316300000000001</v>
      </c>
      <c r="AR103" s="22">
        <v>472.92200000000003</v>
      </c>
      <c r="AS103" s="22">
        <v>-2.2940100000000001E-2</v>
      </c>
      <c r="AT103" s="22">
        <v>93</v>
      </c>
      <c r="AU103" s="22">
        <v>1.33148</v>
      </c>
      <c r="AV103">
        <f t="shared" si="20"/>
        <v>22.940100000000001</v>
      </c>
      <c r="AW103">
        <f t="shared" si="21"/>
        <v>30.547725363000005</v>
      </c>
      <c r="AX103" s="9"/>
      <c r="AY103" s="22">
        <v>0.36834699999999998</v>
      </c>
      <c r="AZ103" s="22">
        <v>583.80100000000004</v>
      </c>
      <c r="BA103" s="22">
        <v>-2.42157E-2</v>
      </c>
      <c r="BB103" s="22">
        <v>93</v>
      </c>
      <c r="BC103" s="22">
        <v>0.36779800000000001</v>
      </c>
      <c r="BD103">
        <f t="shared" si="22"/>
        <v>24.215699999999998</v>
      </c>
      <c r="BE103">
        <f t="shared" si="23"/>
        <v>8.9197804478999991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65.473500000000001</v>
      </c>
      <c r="I104" s="22">
        <v>-2.3596200000000001E-2</v>
      </c>
      <c r="J104" s="22">
        <v>94</v>
      </c>
      <c r="K104" s="22">
        <v>1.32568</v>
      </c>
      <c r="L104">
        <f t="shared" si="12"/>
        <v>23.5962</v>
      </c>
      <c r="M104">
        <f t="shared" si="13"/>
        <v>31.30271892</v>
      </c>
      <c r="N104" s="9"/>
      <c r="O104" s="22">
        <v>0.37338300000000002</v>
      </c>
      <c r="P104" s="22">
        <v>154.791</v>
      </c>
      <c r="Q104" s="22">
        <v>-2.4600199999999999E-2</v>
      </c>
      <c r="R104" s="22">
        <v>94</v>
      </c>
      <c r="S104" s="22">
        <v>0.37332199999999999</v>
      </c>
      <c r="T104">
        <f t="shared" si="14"/>
        <v>24.600199999999997</v>
      </c>
      <c r="U104">
        <f t="shared" si="15"/>
        <v>9.1852964765999996</v>
      </c>
      <c r="X104" s="9"/>
      <c r="Y104" s="22">
        <v>1.3266</v>
      </c>
      <c r="Z104" s="22">
        <v>278.75299999999999</v>
      </c>
      <c r="AA104" s="22">
        <v>-2.3107900000000001E-2</v>
      </c>
      <c r="AB104" s="22">
        <v>94</v>
      </c>
      <c r="AC104" s="22">
        <v>1.32599</v>
      </c>
      <c r="AD104">
        <f t="shared" si="16"/>
        <v>23.107900000000001</v>
      </c>
      <c r="AE104">
        <f t="shared" si="17"/>
        <v>30.654940140000001</v>
      </c>
      <c r="AF104" s="9"/>
      <c r="AG104" s="22">
        <v>0.37338300000000002</v>
      </c>
      <c r="AH104" s="22">
        <v>384.63200000000001</v>
      </c>
      <c r="AI104" s="22">
        <v>-2.41882E-2</v>
      </c>
      <c r="AJ104" s="22">
        <v>94</v>
      </c>
      <c r="AK104" s="22">
        <v>0.37286399999999997</v>
      </c>
      <c r="AL104">
        <f t="shared" si="18"/>
        <v>24.188199999999998</v>
      </c>
      <c r="AM104">
        <f t="shared" si="19"/>
        <v>9.0314626806000007</v>
      </c>
      <c r="AP104" s="9"/>
      <c r="AQ104" s="22">
        <v>1.3266</v>
      </c>
      <c r="AR104" s="22">
        <v>473.02199999999999</v>
      </c>
      <c r="AS104" s="22">
        <v>-2.2936999999999999E-2</v>
      </c>
      <c r="AT104" s="22">
        <v>94</v>
      </c>
      <c r="AU104" s="22">
        <v>1.32599</v>
      </c>
      <c r="AV104">
        <f t="shared" si="20"/>
        <v>22.936999999999998</v>
      </c>
      <c r="AW104">
        <f t="shared" si="21"/>
        <v>30.428224199999995</v>
      </c>
      <c r="AX104" s="9"/>
      <c r="AY104" s="22">
        <v>0.37338300000000002</v>
      </c>
      <c r="AZ104" s="22">
        <v>583.90099999999995</v>
      </c>
      <c r="BA104" s="22">
        <v>-2.4218799999999999E-2</v>
      </c>
      <c r="BB104" s="22">
        <v>94</v>
      </c>
      <c r="BC104" s="22">
        <v>0.37292500000000001</v>
      </c>
      <c r="BD104">
        <f t="shared" si="22"/>
        <v>24.218799999999998</v>
      </c>
      <c r="BE104">
        <f t="shared" si="23"/>
        <v>9.0428882004000002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65.574200000000005</v>
      </c>
      <c r="I105" s="22">
        <v>-2.3599200000000001E-2</v>
      </c>
      <c r="J105" s="22">
        <v>95</v>
      </c>
      <c r="K105" s="22">
        <v>1.3205</v>
      </c>
      <c r="L105">
        <f t="shared" si="12"/>
        <v>23.5992</v>
      </c>
      <c r="M105">
        <f t="shared" si="13"/>
        <v>31.187758752000001</v>
      </c>
      <c r="N105" s="9"/>
      <c r="O105" s="22">
        <v>0.37841799999999998</v>
      </c>
      <c r="P105" s="22">
        <v>154.892</v>
      </c>
      <c r="Q105" s="22">
        <v>-2.4584999999999999E-2</v>
      </c>
      <c r="R105" s="22">
        <v>95</v>
      </c>
      <c r="S105" s="22">
        <v>0.37789899999999998</v>
      </c>
      <c r="T105">
        <f t="shared" si="14"/>
        <v>24.585000000000001</v>
      </c>
      <c r="U105">
        <f t="shared" si="15"/>
        <v>9.3034065300000002</v>
      </c>
      <c r="X105" s="9"/>
      <c r="Y105" s="22">
        <v>1.3215600000000001</v>
      </c>
      <c r="Z105" s="22">
        <v>278.85399999999998</v>
      </c>
      <c r="AA105" s="22">
        <v>-2.3120100000000001E-2</v>
      </c>
      <c r="AB105" s="22">
        <v>95</v>
      </c>
      <c r="AC105" s="22">
        <v>1.32111</v>
      </c>
      <c r="AD105">
        <f t="shared" si="16"/>
        <v>23.120100000000001</v>
      </c>
      <c r="AE105">
        <f t="shared" si="17"/>
        <v>30.554599356000004</v>
      </c>
      <c r="AF105" s="9"/>
      <c r="AG105" s="22">
        <v>0.37841799999999998</v>
      </c>
      <c r="AH105" s="22">
        <v>384.733</v>
      </c>
      <c r="AI105" s="22">
        <v>-2.4182100000000002E-2</v>
      </c>
      <c r="AJ105" s="22">
        <v>95</v>
      </c>
      <c r="AK105" s="22">
        <v>0.37826500000000002</v>
      </c>
      <c r="AL105">
        <f t="shared" si="18"/>
        <v>24.182100000000002</v>
      </c>
      <c r="AM105">
        <f t="shared" si="19"/>
        <v>9.1509419178000009</v>
      </c>
      <c r="AP105" s="9"/>
      <c r="AQ105" s="22">
        <v>1.3215600000000001</v>
      </c>
      <c r="AR105" s="22">
        <v>473.12299999999999</v>
      </c>
      <c r="AS105" s="22">
        <v>-2.2943100000000001E-2</v>
      </c>
      <c r="AT105" s="22">
        <v>95</v>
      </c>
      <c r="AU105" s="22">
        <v>1.32111</v>
      </c>
      <c r="AV105">
        <f t="shared" si="20"/>
        <v>22.943100000000001</v>
      </c>
      <c r="AW105">
        <f t="shared" si="21"/>
        <v>30.320683236000004</v>
      </c>
      <c r="AX105" s="9"/>
      <c r="AY105" s="22">
        <v>0.37841799999999998</v>
      </c>
      <c r="AZ105" s="22">
        <v>584.00199999999995</v>
      </c>
      <c r="BA105" s="22">
        <v>-2.4206499999999999E-2</v>
      </c>
      <c r="BB105" s="22">
        <v>95</v>
      </c>
      <c r="BC105" s="22">
        <v>0.37722800000000001</v>
      </c>
      <c r="BD105">
        <f t="shared" si="22"/>
        <v>24.206499999999998</v>
      </c>
      <c r="BE105">
        <f t="shared" si="23"/>
        <v>9.1601753169999984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65.674899999999994</v>
      </c>
      <c r="I106" s="22">
        <v>-2.3611500000000001E-2</v>
      </c>
      <c r="J106" s="22">
        <v>96</v>
      </c>
      <c r="K106" s="22">
        <v>1.31531</v>
      </c>
      <c r="L106">
        <f t="shared" si="12"/>
        <v>23.611499999999999</v>
      </c>
      <c r="M106">
        <f t="shared" si="13"/>
        <v>31.085248094999997</v>
      </c>
      <c r="N106" s="9"/>
      <c r="O106" s="22">
        <v>0.38345299999999999</v>
      </c>
      <c r="P106" s="22">
        <v>154.99199999999999</v>
      </c>
      <c r="Q106" s="22">
        <v>-2.4587999999999999E-2</v>
      </c>
      <c r="R106" s="22">
        <v>96</v>
      </c>
      <c r="S106" s="22">
        <v>0.38266</v>
      </c>
      <c r="T106">
        <f t="shared" si="14"/>
        <v>24.587999999999997</v>
      </c>
      <c r="U106">
        <f t="shared" si="15"/>
        <v>9.4283423639999988</v>
      </c>
      <c r="X106" s="9"/>
      <c r="Y106" s="22">
        <v>1.31653</v>
      </c>
      <c r="Z106" s="22">
        <v>278.95400000000001</v>
      </c>
      <c r="AA106" s="22">
        <v>-2.3132300000000001E-2</v>
      </c>
      <c r="AB106" s="22">
        <v>96</v>
      </c>
      <c r="AC106" s="22">
        <v>1.3162199999999999</v>
      </c>
      <c r="AD106">
        <f t="shared" si="16"/>
        <v>23.132300000000001</v>
      </c>
      <c r="AE106">
        <f t="shared" si="17"/>
        <v>30.454366919000002</v>
      </c>
      <c r="AF106" s="9"/>
      <c r="AG106" s="22">
        <v>0.38345299999999999</v>
      </c>
      <c r="AH106" s="22">
        <v>384.83300000000003</v>
      </c>
      <c r="AI106" s="22">
        <v>-2.4179099999999999E-2</v>
      </c>
      <c r="AJ106" s="22">
        <v>96</v>
      </c>
      <c r="AK106" s="22">
        <v>0.382965</v>
      </c>
      <c r="AL106">
        <f t="shared" si="18"/>
        <v>24.179099999999998</v>
      </c>
      <c r="AM106">
        <f t="shared" si="19"/>
        <v>9.2715484322999995</v>
      </c>
      <c r="AP106" s="9"/>
      <c r="AQ106" s="22">
        <v>1.31653</v>
      </c>
      <c r="AR106" s="22">
        <v>473.22399999999999</v>
      </c>
      <c r="AS106" s="22">
        <v>-2.2952299999999998E-2</v>
      </c>
      <c r="AT106" s="22">
        <v>96</v>
      </c>
      <c r="AU106" s="22">
        <v>1.31531</v>
      </c>
      <c r="AV106">
        <f t="shared" si="20"/>
        <v>22.952299999999997</v>
      </c>
      <c r="AW106">
        <f t="shared" si="21"/>
        <v>30.217391518999996</v>
      </c>
      <c r="AX106" s="9"/>
      <c r="AY106" s="22">
        <v>0.38345299999999999</v>
      </c>
      <c r="AZ106" s="22">
        <v>584.10299999999995</v>
      </c>
      <c r="BA106" s="22">
        <v>-2.4203499999999999E-2</v>
      </c>
      <c r="BB106" s="22">
        <v>96</v>
      </c>
      <c r="BC106" s="22">
        <v>0.38284299999999999</v>
      </c>
      <c r="BD106">
        <f t="shared" si="22"/>
        <v>24.203499999999998</v>
      </c>
      <c r="BE106">
        <f t="shared" si="23"/>
        <v>9.2809046854999995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65.775599999999997</v>
      </c>
      <c r="I107" s="22">
        <v>-2.3620599999999999E-2</v>
      </c>
      <c r="J107" s="22">
        <v>97</v>
      </c>
      <c r="K107" s="22">
        <v>1.31104</v>
      </c>
      <c r="L107">
        <f t="shared" si="12"/>
        <v>23.6206</v>
      </c>
      <c r="M107">
        <f t="shared" si="13"/>
        <v>30.978180693999999</v>
      </c>
      <c r="N107" s="9"/>
      <c r="O107" s="22">
        <v>0.38848899999999997</v>
      </c>
      <c r="P107" s="22">
        <v>155.09299999999999</v>
      </c>
      <c r="Q107" s="22">
        <v>-2.4584999999999999E-2</v>
      </c>
      <c r="R107" s="22">
        <v>97</v>
      </c>
      <c r="S107" s="22">
        <v>0.38775599999999999</v>
      </c>
      <c r="T107">
        <f t="shared" si="14"/>
        <v>24.585000000000001</v>
      </c>
      <c r="U107">
        <f t="shared" si="15"/>
        <v>9.5510020650000005</v>
      </c>
      <c r="X107" s="9"/>
      <c r="Y107" s="22">
        <v>1.31149</v>
      </c>
      <c r="Z107" s="22">
        <v>279.05500000000001</v>
      </c>
      <c r="AA107" s="22">
        <v>-2.3129299999999998E-2</v>
      </c>
      <c r="AB107" s="22">
        <v>97</v>
      </c>
      <c r="AC107" s="22">
        <v>1.31104</v>
      </c>
      <c r="AD107">
        <f t="shared" si="16"/>
        <v>23.129299999999997</v>
      </c>
      <c r="AE107">
        <f t="shared" si="17"/>
        <v>30.333845656999998</v>
      </c>
      <c r="AF107" s="9"/>
      <c r="AG107" s="22">
        <v>0.38848899999999997</v>
      </c>
      <c r="AH107" s="22">
        <v>384.93400000000003</v>
      </c>
      <c r="AI107" s="22">
        <v>-2.4173E-2</v>
      </c>
      <c r="AJ107" s="22">
        <v>97</v>
      </c>
      <c r="AK107" s="22">
        <v>0.38793899999999998</v>
      </c>
      <c r="AL107">
        <f t="shared" si="18"/>
        <v>24.173000000000002</v>
      </c>
      <c r="AM107">
        <f t="shared" si="19"/>
        <v>9.3909445970000007</v>
      </c>
      <c r="AP107" s="9"/>
      <c r="AQ107" s="22">
        <v>1.31149</v>
      </c>
      <c r="AR107" s="22">
        <v>473.32400000000001</v>
      </c>
      <c r="AS107" s="22">
        <v>-2.2967499999999998E-2</v>
      </c>
      <c r="AT107" s="22">
        <v>97</v>
      </c>
      <c r="AU107" s="22">
        <v>1.31073</v>
      </c>
      <c r="AV107">
        <f t="shared" si="20"/>
        <v>22.967499999999998</v>
      </c>
      <c r="AW107">
        <f t="shared" si="21"/>
        <v>30.121646574999996</v>
      </c>
      <c r="AX107" s="9"/>
      <c r="AY107" s="22">
        <v>0.38848899999999997</v>
      </c>
      <c r="AZ107" s="22">
        <v>584.20299999999997</v>
      </c>
      <c r="BA107" s="22">
        <v>-2.4203499999999999E-2</v>
      </c>
      <c r="BB107" s="22">
        <v>97</v>
      </c>
      <c r="BC107" s="22">
        <v>0.38796999999999998</v>
      </c>
      <c r="BD107">
        <f t="shared" si="22"/>
        <v>24.203499999999998</v>
      </c>
      <c r="BE107">
        <f t="shared" si="23"/>
        <v>9.4027935114999988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65.876300000000001</v>
      </c>
      <c r="I108" s="22">
        <v>-2.36267E-2</v>
      </c>
      <c r="J108" s="22">
        <v>98</v>
      </c>
      <c r="K108" s="22">
        <v>1.30646</v>
      </c>
      <c r="L108">
        <f t="shared" si="12"/>
        <v>23.6267</v>
      </c>
      <c r="M108">
        <f t="shared" si="13"/>
        <v>30.867338481999997</v>
      </c>
      <c r="N108" s="9"/>
      <c r="O108" s="22">
        <v>0.39352399999999998</v>
      </c>
      <c r="P108" s="22">
        <v>155.19399999999999</v>
      </c>
      <c r="Q108" s="22">
        <v>-2.4578900000000001E-2</v>
      </c>
      <c r="R108" s="22">
        <v>98</v>
      </c>
      <c r="S108" s="22">
        <v>0.39267000000000002</v>
      </c>
      <c r="T108">
        <f t="shared" si="14"/>
        <v>24.578900000000001</v>
      </c>
      <c r="U108">
        <f t="shared" si="15"/>
        <v>9.6723870436000006</v>
      </c>
      <c r="X108" s="9"/>
      <c r="Y108" s="22">
        <v>1.30646</v>
      </c>
      <c r="Z108" s="22">
        <v>279.15600000000001</v>
      </c>
      <c r="AA108" s="22">
        <v>-2.31384E-2</v>
      </c>
      <c r="AB108" s="22">
        <v>98</v>
      </c>
      <c r="AC108" s="22">
        <v>1.30524</v>
      </c>
      <c r="AD108">
        <f t="shared" si="16"/>
        <v>23.138400000000001</v>
      </c>
      <c r="AE108">
        <f t="shared" si="17"/>
        <v>30.229394064000001</v>
      </c>
      <c r="AF108" s="9"/>
      <c r="AG108" s="22">
        <v>0.39352399999999998</v>
      </c>
      <c r="AH108" s="22">
        <v>385.03500000000003</v>
      </c>
      <c r="AI108" s="22">
        <v>-2.4169900000000001E-2</v>
      </c>
      <c r="AJ108" s="22">
        <v>98</v>
      </c>
      <c r="AK108" s="22">
        <v>0.39288299999999998</v>
      </c>
      <c r="AL108">
        <f t="shared" si="18"/>
        <v>24.169900000000002</v>
      </c>
      <c r="AM108">
        <f t="shared" si="19"/>
        <v>9.5114357276000003</v>
      </c>
      <c r="AP108" s="9"/>
      <c r="AQ108" s="22">
        <v>1.30646</v>
      </c>
      <c r="AR108" s="22">
        <v>473.42500000000001</v>
      </c>
      <c r="AS108" s="22">
        <v>-2.2976699999999999E-2</v>
      </c>
      <c r="AT108" s="22">
        <v>98</v>
      </c>
      <c r="AU108" s="22">
        <v>1.30585</v>
      </c>
      <c r="AV108">
        <f t="shared" si="20"/>
        <v>22.976699999999997</v>
      </c>
      <c r="AW108">
        <f t="shared" si="21"/>
        <v>30.018139481999995</v>
      </c>
      <c r="AX108" s="9"/>
      <c r="AY108" s="22">
        <v>0.39352399999999998</v>
      </c>
      <c r="AZ108" s="22">
        <v>584.30399999999997</v>
      </c>
      <c r="BA108" s="22">
        <v>-2.41852E-2</v>
      </c>
      <c r="BB108" s="22">
        <v>98</v>
      </c>
      <c r="BC108" s="22">
        <v>0.392822</v>
      </c>
      <c r="BD108">
        <f t="shared" si="22"/>
        <v>24.185200000000002</v>
      </c>
      <c r="BE108">
        <f t="shared" si="23"/>
        <v>9.5174566448000011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65.977000000000004</v>
      </c>
      <c r="I109" s="22">
        <v>-2.36267E-2</v>
      </c>
      <c r="J109" s="22">
        <v>99</v>
      </c>
      <c r="K109" s="22">
        <v>1.3006599999999999</v>
      </c>
      <c r="L109">
        <f t="shared" si="12"/>
        <v>23.6267</v>
      </c>
      <c r="M109">
        <f t="shared" si="13"/>
        <v>30.748259913999998</v>
      </c>
      <c r="N109" s="9"/>
      <c r="O109" s="22">
        <v>0.39856000000000003</v>
      </c>
      <c r="P109" s="22">
        <v>155.29400000000001</v>
      </c>
      <c r="Q109" s="22">
        <v>-2.45697E-2</v>
      </c>
      <c r="R109" s="22">
        <v>99</v>
      </c>
      <c r="S109" s="22">
        <v>0.39807100000000001</v>
      </c>
      <c r="T109">
        <f t="shared" si="14"/>
        <v>24.569700000000001</v>
      </c>
      <c r="U109">
        <f t="shared" si="15"/>
        <v>9.7924996320000002</v>
      </c>
      <c r="X109" s="9"/>
      <c r="Y109" s="22">
        <v>1.30142</v>
      </c>
      <c r="Z109" s="22">
        <v>279.25700000000001</v>
      </c>
      <c r="AA109" s="22">
        <v>-2.31506E-2</v>
      </c>
      <c r="AB109" s="22">
        <v>99</v>
      </c>
      <c r="AC109" s="22">
        <v>1.3009599999999999</v>
      </c>
      <c r="AD109">
        <f t="shared" si="16"/>
        <v>23.150600000000001</v>
      </c>
      <c r="AE109">
        <f t="shared" si="17"/>
        <v>30.128653852000003</v>
      </c>
      <c r="AF109" s="9"/>
      <c r="AG109" s="22">
        <v>0.39856000000000003</v>
      </c>
      <c r="AH109" s="22">
        <v>385.13499999999999</v>
      </c>
      <c r="AI109" s="22">
        <v>-2.41608E-2</v>
      </c>
      <c r="AJ109" s="22">
        <v>99</v>
      </c>
      <c r="AK109" s="22">
        <v>0.398254</v>
      </c>
      <c r="AL109">
        <f t="shared" si="18"/>
        <v>24.160799999999998</v>
      </c>
      <c r="AM109">
        <f t="shared" si="19"/>
        <v>9.6295284480000003</v>
      </c>
      <c r="AP109" s="9"/>
      <c r="AQ109" s="22">
        <v>1.30142</v>
      </c>
      <c r="AR109" s="22">
        <v>473.52600000000001</v>
      </c>
      <c r="AS109" s="22">
        <v>-2.2979699999999999E-2</v>
      </c>
      <c r="AT109" s="22">
        <v>99</v>
      </c>
      <c r="AU109" s="22">
        <v>1.3018799999999999</v>
      </c>
      <c r="AV109">
        <f t="shared" si="20"/>
        <v>22.979699999999998</v>
      </c>
      <c r="AW109">
        <f t="shared" si="21"/>
        <v>29.906241173999998</v>
      </c>
      <c r="AX109" s="9"/>
      <c r="AY109" s="22">
        <v>0.39856000000000003</v>
      </c>
      <c r="AZ109" s="22">
        <v>584.40499999999997</v>
      </c>
      <c r="BA109" s="22">
        <v>-2.4182100000000002E-2</v>
      </c>
      <c r="BB109" s="22">
        <v>99</v>
      </c>
      <c r="BC109" s="22">
        <v>0.397949</v>
      </c>
      <c r="BD109">
        <f t="shared" si="22"/>
        <v>24.182100000000002</v>
      </c>
      <c r="BE109">
        <f t="shared" si="23"/>
        <v>9.6380177760000016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66.077699999999993</v>
      </c>
      <c r="I110" s="22">
        <v>-2.3632799999999999E-2</v>
      </c>
      <c r="J110" s="22">
        <v>100</v>
      </c>
      <c r="K110" s="22">
        <v>1.2960799999999999</v>
      </c>
      <c r="L110">
        <f t="shared" si="12"/>
        <v>23.6328</v>
      </c>
      <c r="M110">
        <f t="shared" si="13"/>
        <v>30.637325591999996</v>
      </c>
      <c r="N110" s="9"/>
      <c r="O110" s="22">
        <v>0.40359499999999998</v>
      </c>
      <c r="P110" s="22">
        <v>155.39500000000001</v>
      </c>
      <c r="Q110" s="22">
        <v>-2.4563600000000001E-2</v>
      </c>
      <c r="R110" s="22">
        <v>100</v>
      </c>
      <c r="S110" s="22">
        <v>0.40307599999999999</v>
      </c>
      <c r="T110">
        <f t="shared" si="14"/>
        <v>24.563600000000001</v>
      </c>
      <c r="U110">
        <f t="shared" si="15"/>
        <v>9.9137461420000008</v>
      </c>
      <c r="X110" s="9"/>
      <c r="Y110" s="22">
        <v>1.2963899999999999</v>
      </c>
      <c r="Z110" s="22">
        <v>279.35700000000003</v>
      </c>
      <c r="AA110" s="22">
        <v>-2.3147600000000001E-2</v>
      </c>
      <c r="AB110" s="22">
        <v>100</v>
      </c>
      <c r="AC110" s="22">
        <v>1.2954699999999999</v>
      </c>
      <c r="AD110">
        <f t="shared" si="16"/>
        <v>23.147600000000001</v>
      </c>
      <c r="AE110">
        <f t="shared" si="17"/>
        <v>30.008317163999997</v>
      </c>
      <c r="AF110" s="9"/>
      <c r="AG110" s="22">
        <v>0.40359499999999998</v>
      </c>
      <c r="AH110" s="22">
        <v>385.23599999999999</v>
      </c>
      <c r="AI110" s="22">
        <v>-2.4154700000000001E-2</v>
      </c>
      <c r="AJ110" s="22">
        <v>100</v>
      </c>
      <c r="AK110" s="22">
        <v>0.403229</v>
      </c>
      <c r="AL110">
        <f t="shared" si="18"/>
        <v>24.154700000000002</v>
      </c>
      <c r="AM110">
        <f t="shared" si="19"/>
        <v>9.7487161464999996</v>
      </c>
      <c r="AP110" s="9"/>
      <c r="AQ110" s="22">
        <v>1.2963899999999999</v>
      </c>
      <c r="AR110" s="22">
        <v>473.62700000000001</v>
      </c>
      <c r="AS110" s="22">
        <v>-2.2982800000000001E-2</v>
      </c>
      <c r="AT110" s="22">
        <v>100</v>
      </c>
      <c r="AU110" s="22">
        <v>1.2960799999999999</v>
      </c>
      <c r="AV110">
        <f t="shared" si="20"/>
        <v>22.982800000000001</v>
      </c>
      <c r="AW110">
        <f t="shared" si="21"/>
        <v>29.794672091999999</v>
      </c>
      <c r="AX110" s="9"/>
      <c r="AY110" s="22">
        <v>0.40359499999999998</v>
      </c>
      <c r="AZ110" s="22">
        <v>584.505</v>
      </c>
      <c r="BA110" s="22">
        <v>-2.4182100000000002E-2</v>
      </c>
      <c r="BB110" s="22">
        <v>100</v>
      </c>
      <c r="BC110" s="22">
        <v>0.40310699999999999</v>
      </c>
      <c r="BD110">
        <f t="shared" si="22"/>
        <v>24.182100000000002</v>
      </c>
      <c r="BE110">
        <f t="shared" si="23"/>
        <v>9.7597746495000006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66.178399999999996</v>
      </c>
      <c r="I111" s="22">
        <v>-2.3651100000000001E-2</v>
      </c>
      <c r="J111" s="22">
        <v>101</v>
      </c>
      <c r="K111" s="22">
        <v>1.2911999999999999</v>
      </c>
      <c r="L111">
        <f t="shared" si="12"/>
        <v>23.6511</v>
      </c>
      <c r="M111">
        <f t="shared" si="13"/>
        <v>30.541847985</v>
      </c>
      <c r="N111" s="9"/>
      <c r="O111" s="22">
        <v>0.40862999999999999</v>
      </c>
      <c r="P111" s="22">
        <v>155.49600000000001</v>
      </c>
      <c r="Q111" s="22">
        <v>-2.4560499999999999E-2</v>
      </c>
      <c r="R111" s="22">
        <v>101</v>
      </c>
      <c r="S111" s="22">
        <v>0.408051</v>
      </c>
      <c r="T111">
        <f t="shared" si="14"/>
        <v>24.560499999999998</v>
      </c>
      <c r="U111">
        <f t="shared" si="15"/>
        <v>10.036157114999998</v>
      </c>
      <c r="X111" s="9"/>
      <c r="Y111" s="22">
        <v>1.29135</v>
      </c>
      <c r="Z111" s="22">
        <v>279.45800000000003</v>
      </c>
      <c r="AA111" s="22">
        <v>-2.3159800000000001E-2</v>
      </c>
      <c r="AB111" s="22">
        <v>101</v>
      </c>
      <c r="AC111" s="22">
        <v>1.2908900000000001</v>
      </c>
      <c r="AD111">
        <f t="shared" si="16"/>
        <v>23.159800000000001</v>
      </c>
      <c r="AE111">
        <f t="shared" si="17"/>
        <v>29.907407729999999</v>
      </c>
      <c r="AF111" s="9"/>
      <c r="AG111" s="22">
        <v>0.40862999999999999</v>
      </c>
      <c r="AH111" s="22">
        <v>385.33699999999999</v>
      </c>
      <c r="AI111" s="22">
        <v>-2.4154700000000001E-2</v>
      </c>
      <c r="AJ111" s="22">
        <v>101</v>
      </c>
      <c r="AK111" s="22">
        <v>0.408051</v>
      </c>
      <c r="AL111">
        <f t="shared" si="18"/>
        <v>24.154700000000002</v>
      </c>
      <c r="AM111">
        <f t="shared" si="19"/>
        <v>9.8703350610000005</v>
      </c>
      <c r="AP111" s="9"/>
      <c r="AQ111" s="22">
        <v>1.29135</v>
      </c>
      <c r="AR111" s="22">
        <v>473.72699999999998</v>
      </c>
      <c r="AS111" s="22">
        <v>-2.30011E-2</v>
      </c>
      <c r="AT111" s="22">
        <v>101</v>
      </c>
      <c r="AU111" s="22">
        <v>1.2905899999999999</v>
      </c>
      <c r="AV111">
        <f t="shared" si="20"/>
        <v>23.001100000000001</v>
      </c>
      <c r="AW111">
        <f t="shared" si="21"/>
        <v>29.702470485000003</v>
      </c>
      <c r="AX111" s="9"/>
      <c r="AY111" s="22">
        <v>0.40862999999999999</v>
      </c>
      <c r="AZ111" s="22">
        <v>584.60599999999999</v>
      </c>
      <c r="BA111" s="22">
        <v>-2.4182100000000002E-2</v>
      </c>
      <c r="BB111" s="22">
        <v>101</v>
      </c>
      <c r="BC111" s="22">
        <v>0.408356</v>
      </c>
      <c r="BD111">
        <f t="shared" si="22"/>
        <v>24.182100000000002</v>
      </c>
      <c r="BE111">
        <f t="shared" si="23"/>
        <v>9.8815315230000014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66.2791</v>
      </c>
      <c r="I112" s="22">
        <v>-2.3644999999999999E-2</v>
      </c>
      <c r="J112" s="22">
        <v>102</v>
      </c>
      <c r="K112" s="22">
        <v>1.2857099999999999</v>
      </c>
      <c r="L112">
        <f t="shared" si="12"/>
        <v>23.645</v>
      </c>
      <c r="M112">
        <f t="shared" si="13"/>
        <v>30.415036399999998</v>
      </c>
      <c r="N112" s="9"/>
      <c r="O112" s="22">
        <v>0.41366599999999998</v>
      </c>
      <c r="P112" s="22">
        <v>155.59700000000001</v>
      </c>
      <c r="Q112" s="22">
        <v>-2.4557499999999999E-2</v>
      </c>
      <c r="R112" s="22">
        <v>102</v>
      </c>
      <c r="S112" s="22">
        <v>0.41308600000000001</v>
      </c>
      <c r="T112">
        <f t="shared" si="14"/>
        <v>24.557500000000001</v>
      </c>
      <c r="U112">
        <f t="shared" si="15"/>
        <v>10.158602795</v>
      </c>
      <c r="X112" s="9"/>
      <c r="Y112" s="22">
        <v>1.2863199999999999</v>
      </c>
      <c r="Z112" s="22">
        <v>279.55900000000003</v>
      </c>
      <c r="AA112" s="22">
        <v>-2.3159800000000001E-2</v>
      </c>
      <c r="AB112" s="22">
        <v>102</v>
      </c>
      <c r="AC112" s="22">
        <v>1.2860100000000001</v>
      </c>
      <c r="AD112">
        <f t="shared" si="16"/>
        <v>23.159800000000001</v>
      </c>
      <c r="AE112">
        <f t="shared" si="17"/>
        <v>29.790913935999999</v>
      </c>
      <c r="AF112" s="9"/>
      <c r="AG112" s="22">
        <v>0.41366599999999998</v>
      </c>
      <c r="AH112" s="22">
        <v>385.43799999999999</v>
      </c>
      <c r="AI112" s="22">
        <v>-2.41455E-2</v>
      </c>
      <c r="AJ112" s="22">
        <v>102</v>
      </c>
      <c r="AK112" s="22">
        <v>0.412964</v>
      </c>
      <c r="AL112">
        <f t="shared" si="18"/>
        <v>24.145500000000002</v>
      </c>
      <c r="AM112">
        <f t="shared" si="19"/>
        <v>9.9881724030000001</v>
      </c>
      <c r="AP112" s="9"/>
      <c r="AQ112" s="22">
        <v>1.2863199999999999</v>
      </c>
      <c r="AR112" s="22">
        <v>473.82799999999997</v>
      </c>
      <c r="AS112" s="22">
        <v>-2.3004199999999999E-2</v>
      </c>
      <c r="AT112" s="22">
        <v>102</v>
      </c>
      <c r="AU112" s="22">
        <v>1.2854000000000001</v>
      </c>
      <c r="AV112">
        <f t="shared" si="20"/>
        <v>23.004199999999997</v>
      </c>
      <c r="AW112">
        <f t="shared" si="21"/>
        <v>29.590762543999993</v>
      </c>
      <c r="AX112" s="9"/>
      <c r="AY112" s="22">
        <v>0.41366599999999998</v>
      </c>
      <c r="AZ112" s="22">
        <v>584.70699999999999</v>
      </c>
      <c r="BA112" s="22">
        <v>-2.4169900000000001E-2</v>
      </c>
      <c r="BB112" s="22">
        <v>102</v>
      </c>
      <c r="BC112" s="22">
        <v>0.41302499999999998</v>
      </c>
      <c r="BD112">
        <f t="shared" si="22"/>
        <v>24.169900000000002</v>
      </c>
      <c r="BE112">
        <f t="shared" si="23"/>
        <v>9.9982658533999995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66.379800000000003</v>
      </c>
      <c r="I113" s="22">
        <v>-2.36572E-2</v>
      </c>
      <c r="J113" s="22">
        <v>103</v>
      </c>
      <c r="K113" s="22">
        <v>1.2802100000000001</v>
      </c>
      <c r="L113">
        <f t="shared" si="12"/>
        <v>23.6572</v>
      </c>
      <c r="M113">
        <f t="shared" si="13"/>
        <v>30.311497215999999</v>
      </c>
      <c r="N113" s="9"/>
      <c r="O113" s="22">
        <v>0.41870099999999999</v>
      </c>
      <c r="P113" s="22">
        <v>155.697</v>
      </c>
      <c r="Q113" s="22">
        <v>-2.4548299999999999E-2</v>
      </c>
      <c r="R113" s="22">
        <v>103</v>
      </c>
      <c r="S113" s="22">
        <v>0.418182</v>
      </c>
      <c r="T113">
        <f t="shared" si="14"/>
        <v>24.548299999999998</v>
      </c>
      <c r="U113">
        <f t="shared" si="15"/>
        <v>10.278397758299999</v>
      </c>
      <c r="X113" s="9"/>
      <c r="Y113" s="22">
        <v>1.28128</v>
      </c>
      <c r="Z113" s="22">
        <v>279.65899999999999</v>
      </c>
      <c r="AA113" s="22">
        <v>-2.31659E-2</v>
      </c>
      <c r="AB113" s="22">
        <v>103</v>
      </c>
      <c r="AC113" s="22">
        <v>1.2808200000000001</v>
      </c>
      <c r="AD113">
        <f t="shared" si="16"/>
        <v>23.165900000000001</v>
      </c>
      <c r="AE113">
        <f t="shared" si="17"/>
        <v>29.682004352</v>
      </c>
      <c r="AF113" s="9"/>
      <c r="AG113" s="22">
        <v>0.41870099999999999</v>
      </c>
      <c r="AH113" s="22">
        <v>385.53800000000001</v>
      </c>
      <c r="AI113" s="22">
        <v>-2.4136399999999999E-2</v>
      </c>
      <c r="AJ113" s="22">
        <v>103</v>
      </c>
      <c r="AK113" s="22">
        <v>0.41772500000000001</v>
      </c>
      <c r="AL113">
        <f t="shared" si="18"/>
        <v>24.136399999999998</v>
      </c>
      <c r="AM113">
        <f t="shared" si="19"/>
        <v>10.1059348164</v>
      </c>
      <c r="AP113" s="9"/>
      <c r="AQ113" s="22">
        <v>1.28128</v>
      </c>
      <c r="AR113" s="22">
        <v>473.92899999999997</v>
      </c>
      <c r="AS113" s="22">
        <v>-2.3010300000000001E-2</v>
      </c>
      <c r="AT113" s="22">
        <v>103</v>
      </c>
      <c r="AU113" s="22">
        <v>1.2808200000000001</v>
      </c>
      <c r="AV113">
        <f t="shared" si="20"/>
        <v>23.010300000000001</v>
      </c>
      <c r="AW113">
        <f t="shared" si="21"/>
        <v>29.482637184000001</v>
      </c>
      <c r="AX113" s="9"/>
      <c r="AY113" s="22">
        <v>0.41870099999999999</v>
      </c>
      <c r="AZ113" s="22">
        <v>584.80799999999999</v>
      </c>
      <c r="BA113" s="22">
        <v>-2.4166900000000002E-2</v>
      </c>
      <c r="BB113" s="22">
        <v>103</v>
      </c>
      <c r="BC113" s="22">
        <v>0.41815200000000002</v>
      </c>
      <c r="BD113">
        <f t="shared" si="22"/>
        <v>24.166900000000002</v>
      </c>
      <c r="BE113">
        <f t="shared" si="23"/>
        <v>10.118705196900001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66.480500000000006</v>
      </c>
      <c r="I114" s="22">
        <v>-2.3663300000000002E-2</v>
      </c>
      <c r="J114" s="22">
        <v>104</v>
      </c>
      <c r="K114" s="22">
        <v>1.27563</v>
      </c>
      <c r="L114">
        <f t="shared" si="12"/>
        <v>23.663300000000003</v>
      </c>
      <c r="M114">
        <f t="shared" si="13"/>
        <v>30.200286625000007</v>
      </c>
      <c r="N114" s="9"/>
      <c r="O114" s="22">
        <v>0.42373699999999997</v>
      </c>
      <c r="P114" s="22">
        <v>155.798</v>
      </c>
      <c r="Q114" s="22">
        <v>-2.4548299999999999E-2</v>
      </c>
      <c r="R114" s="22">
        <v>104</v>
      </c>
      <c r="S114" s="22">
        <v>0.42404199999999997</v>
      </c>
      <c r="T114">
        <f t="shared" si="14"/>
        <v>24.548299999999998</v>
      </c>
      <c r="U114">
        <f t="shared" si="15"/>
        <v>10.402022997099998</v>
      </c>
      <c r="X114" s="9"/>
      <c r="Y114" s="22">
        <v>1.2762500000000001</v>
      </c>
      <c r="Z114" s="22">
        <v>279.76</v>
      </c>
      <c r="AA114" s="22">
        <v>-2.3172000000000002E-2</v>
      </c>
      <c r="AB114" s="22">
        <v>104</v>
      </c>
      <c r="AC114" s="22">
        <v>1.2762500000000001</v>
      </c>
      <c r="AD114">
        <f t="shared" si="16"/>
        <v>23.172000000000001</v>
      </c>
      <c r="AE114">
        <f t="shared" si="17"/>
        <v>29.573265000000003</v>
      </c>
      <c r="AF114" s="9"/>
      <c r="AG114" s="22">
        <v>0.42373699999999997</v>
      </c>
      <c r="AH114" s="22">
        <v>385.63900000000001</v>
      </c>
      <c r="AI114" s="22">
        <v>-2.41333E-2</v>
      </c>
      <c r="AJ114" s="22">
        <v>104</v>
      </c>
      <c r="AK114" s="22">
        <v>0.42364499999999999</v>
      </c>
      <c r="AL114">
        <f t="shared" si="18"/>
        <v>24.133299999999998</v>
      </c>
      <c r="AM114">
        <f t="shared" si="19"/>
        <v>10.226172142099999</v>
      </c>
      <c r="AP114" s="9"/>
      <c r="AQ114" s="22">
        <v>1.2762500000000001</v>
      </c>
      <c r="AR114" s="22">
        <v>474.029</v>
      </c>
      <c r="AS114" s="22">
        <v>-2.3019399999999999E-2</v>
      </c>
      <c r="AT114" s="22">
        <v>104</v>
      </c>
      <c r="AU114" s="22">
        <v>1.27563</v>
      </c>
      <c r="AV114">
        <f t="shared" si="20"/>
        <v>23.019399999999997</v>
      </c>
      <c r="AW114">
        <f t="shared" si="21"/>
        <v>29.37850925</v>
      </c>
      <c r="AX114" s="9"/>
      <c r="AY114" s="22">
        <v>0.42373699999999997</v>
      </c>
      <c r="AZ114" s="22">
        <v>584.90800000000002</v>
      </c>
      <c r="BA114" s="22">
        <v>-2.4154700000000001E-2</v>
      </c>
      <c r="BB114" s="22">
        <v>104</v>
      </c>
      <c r="BC114" s="22">
        <v>0.42330899999999999</v>
      </c>
      <c r="BD114">
        <f t="shared" si="22"/>
        <v>24.154700000000002</v>
      </c>
      <c r="BE114">
        <f t="shared" si="23"/>
        <v>10.2352401139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66.581199999999995</v>
      </c>
      <c r="I115" s="22">
        <v>-2.3663300000000002E-2</v>
      </c>
      <c r="J115" s="22">
        <v>105</v>
      </c>
      <c r="K115" s="22">
        <v>1.2710600000000001</v>
      </c>
      <c r="L115">
        <f t="shared" si="12"/>
        <v>23.663300000000003</v>
      </c>
      <c r="M115">
        <f t="shared" si="13"/>
        <v>30.081023593000001</v>
      </c>
      <c r="N115" s="9"/>
      <c r="O115" s="22">
        <v>0.42877199999999999</v>
      </c>
      <c r="P115" s="22">
        <v>155.899</v>
      </c>
      <c r="Q115" s="22">
        <v>-2.4548299999999999E-2</v>
      </c>
      <c r="R115" s="22">
        <v>105</v>
      </c>
      <c r="S115" s="22">
        <v>0.42813099999999998</v>
      </c>
      <c r="T115">
        <f t="shared" si="14"/>
        <v>24.548299999999998</v>
      </c>
      <c r="U115">
        <f t="shared" si="15"/>
        <v>10.525623687599998</v>
      </c>
      <c r="X115" s="9"/>
      <c r="Y115" s="22">
        <v>1.27121</v>
      </c>
      <c r="Z115" s="22">
        <v>279.86099999999999</v>
      </c>
      <c r="AA115" s="22">
        <v>-2.31781E-2</v>
      </c>
      <c r="AB115" s="22">
        <v>105</v>
      </c>
      <c r="AC115" s="22">
        <v>1.2704500000000001</v>
      </c>
      <c r="AD115">
        <f t="shared" si="16"/>
        <v>23.178100000000001</v>
      </c>
      <c r="AE115">
        <f t="shared" si="17"/>
        <v>29.464232500999998</v>
      </c>
      <c r="AF115" s="9"/>
      <c r="AG115" s="22">
        <v>0.42877199999999999</v>
      </c>
      <c r="AH115" s="22">
        <v>385.74</v>
      </c>
      <c r="AI115" s="22">
        <v>-2.41333E-2</v>
      </c>
      <c r="AJ115" s="22">
        <v>105</v>
      </c>
      <c r="AK115" s="22">
        <v>0.42819200000000002</v>
      </c>
      <c r="AL115">
        <f t="shared" si="18"/>
        <v>24.133299999999998</v>
      </c>
      <c r="AM115">
        <f t="shared" si="19"/>
        <v>10.347683307599999</v>
      </c>
      <c r="AP115" s="9"/>
      <c r="AQ115" s="22">
        <v>1.27121</v>
      </c>
      <c r="AR115" s="22">
        <v>474.13</v>
      </c>
      <c r="AS115" s="22">
        <v>-2.3025500000000001E-2</v>
      </c>
      <c r="AT115" s="22">
        <v>105</v>
      </c>
      <c r="AU115" s="22">
        <v>1.2704500000000001</v>
      </c>
      <c r="AV115">
        <f t="shared" si="20"/>
        <v>23.025500000000001</v>
      </c>
      <c r="AW115">
        <f t="shared" si="21"/>
        <v>29.270245854999999</v>
      </c>
      <c r="AX115" s="9"/>
      <c r="AY115" s="22">
        <v>0.42877199999999999</v>
      </c>
      <c r="AZ115" s="22">
        <v>585.00900000000001</v>
      </c>
      <c r="BA115" s="22">
        <v>-2.4163799999999999E-2</v>
      </c>
      <c r="BB115" s="22">
        <v>105</v>
      </c>
      <c r="BC115" s="22">
        <v>0.42788700000000002</v>
      </c>
      <c r="BD115">
        <f t="shared" si="22"/>
        <v>24.163799999999998</v>
      </c>
      <c r="BE115">
        <f t="shared" si="23"/>
        <v>10.360760853599999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66.681899999999999</v>
      </c>
      <c r="I116" s="22">
        <v>-2.3672499999999999E-2</v>
      </c>
      <c r="J116" s="22">
        <v>106</v>
      </c>
      <c r="K116" s="22">
        <v>1.26556</v>
      </c>
      <c r="L116">
        <f t="shared" si="12"/>
        <v>23.672499999999999</v>
      </c>
      <c r="M116">
        <f t="shared" si="13"/>
        <v>29.973409324999999</v>
      </c>
      <c r="N116" s="9"/>
      <c r="O116" s="22">
        <v>0.433807</v>
      </c>
      <c r="P116" s="22">
        <v>155.999</v>
      </c>
      <c r="Q116" s="22">
        <v>-2.45422E-2</v>
      </c>
      <c r="R116" s="22">
        <v>106</v>
      </c>
      <c r="S116" s="22">
        <v>0.43365500000000001</v>
      </c>
      <c r="T116">
        <f t="shared" si="14"/>
        <v>24.542200000000001</v>
      </c>
      <c r="U116">
        <f t="shared" si="15"/>
        <v>10.6465781554</v>
      </c>
      <c r="X116" s="9"/>
      <c r="Y116" s="22">
        <v>1.26617</v>
      </c>
      <c r="Z116" s="22">
        <v>279.96199999999999</v>
      </c>
      <c r="AA116" s="22">
        <v>-2.3196399999999999E-2</v>
      </c>
      <c r="AB116" s="22">
        <v>106</v>
      </c>
      <c r="AC116" s="22">
        <v>1.2652600000000001</v>
      </c>
      <c r="AD116">
        <f t="shared" si="16"/>
        <v>23.196400000000001</v>
      </c>
      <c r="AE116">
        <f t="shared" si="17"/>
        <v>29.370585788</v>
      </c>
      <c r="AF116" s="9"/>
      <c r="AG116" s="22">
        <v>0.433807</v>
      </c>
      <c r="AH116" s="22">
        <v>385.84</v>
      </c>
      <c r="AI116" s="22">
        <v>-2.4127200000000001E-2</v>
      </c>
      <c r="AJ116" s="22">
        <v>106</v>
      </c>
      <c r="AK116" s="22">
        <v>0.43359399999999998</v>
      </c>
      <c r="AL116">
        <f t="shared" si="18"/>
        <v>24.127200000000002</v>
      </c>
      <c r="AM116">
        <f t="shared" si="19"/>
        <v>10.466548250400001</v>
      </c>
      <c r="AP116" s="9"/>
      <c r="AQ116" s="22">
        <v>1.26617</v>
      </c>
      <c r="AR116" s="22">
        <v>474.23099999999999</v>
      </c>
      <c r="AS116" s="22">
        <v>-2.3031599999999999E-2</v>
      </c>
      <c r="AT116" s="22">
        <v>106</v>
      </c>
      <c r="AU116" s="22">
        <v>1.2652600000000001</v>
      </c>
      <c r="AV116">
        <f t="shared" si="20"/>
        <v>23.031600000000001</v>
      </c>
      <c r="AW116">
        <f t="shared" si="21"/>
        <v>29.161920972000001</v>
      </c>
      <c r="AX116" s="9"/>
      <c r="AY116" s="22">
        <v>0.433807</v>
      </c>
      <c r="AZ116" s="22">
        <v>585.11</v>
      </c>
      <c r="BA116" s="22">
        <v>-2.4148599999999999E-2</v>
      </c>
      <c r="BB116" s="22">
        <v>106</v>
      </c>
      <c r="BC116" s="22">
        <v>0.43298300000000001</v>
      </c>
      <c r="BD116">
        <f t="shared" si="22"/>
        <v>24.148599999999998</v>
      </c>
      <c r="BE116">
        <f t="shared" si="23"/>
        <v>10.475831720199999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66.782700000000006</v>
      </c>
      <c r="I117" s="22">
        <v>-2.3675499999999999E-2</v>
      </c>
      <c r="J117" s="22">
        <v>107</v>
      </c>
      <c r="K117" s="22">
        <v>1.2609900000000001</v>
      </c>
      <c r="L117">
        <f t="shared" si="12"/>
        <v>23.6755</v>
      </c>
      <c r="M117">
        <f t="shared" si="13"/>
        <v>29.858120069999998</v>
      </c>
      <c r="N117" s="9"/>
      <c r="O117" s="22">
        <v>0.43884299999999998</v>
      </c>
      <c r="P117" s="22">
        <v>156.1</v>
      </c>
      <c r="Q117" s="22">
        <v>-2.4527E-2</v>
      </c>
      <c r="R117" s="22">
        <v>107</v>
      </c>
      <c r="S117" s="22">
        <v>0.43835400000000002</v>
      </c>
      <c r="T117">
        <f t="shared" si="14"/>
        <v>24.527000000000001</v>
      </c>
      <c r="U117">
        <f t="shared" si="15"/>
        <v>10.763502260999999</v>
      </c>
      <c r="X117" s="9"/>
      <c r="Y117" s="22">
        <v>1.2611399999999999</v>
      </c>
      <c r="Z117" s="22">
        <v>280.06200000000001</v>
      </c>
      <c r="AA117" s="22">
        <v>-2.3202500000000001E-2</v>
      </c>
      <c r="AB117" s="22">
        <v>107</v>
      </c>
      <c r="AC117" s="22">
        <v>1.2603800000000001</v>
      </c>
      <c r="AD117">
        <f t="shared" si="16"/>
        <v>23.202500000000001</v>
      </c>
      <c r="AE117">
        <f t="shared" si="17"/>
        <v>29.261600850000001</v>
      </c>
      <c r="AF117" s="9"/>
      <c r="AG117" s="22">
        <v>0.43884299999999998</v>
      </c>
      <c r="AH117" s="22">
        <v>385.94099999999997</v>
      </c>
      <c r="AI117" s="22">
        <v>-2.4115000000000001E-2</v>
      </c>
      <c r="AJ117" s="22">
        <v>107</v>
      </c>
      <c r="AK117" s="22">
        <v>0.43823200000000001</v>
      </c>
      <c r="AL117">
        <f t="shared" si="18"/>
        <v>24.115000000000002</v>
      </c>
      <c r="AM117">
        <f t="shared" si="19"/>
        <v>10.582698945000001</v>
      </c>
      <c r="AP117" s="9"/>
      <c r="AQ117" s="22">
        <v>1.2611399999999999</v>
      </c>
      <c r="AR117" s="22">
        <v>474.33199999999999</v>
      </c>
      <c r="AS117" s="22">
        <v>-2.3031599999999999E-2</v>
      </c>
      <c r="AT117" s="22">
        <v>107</v>
      </c>
      <c r="AU117" s="22">
        <v>1.2603800000000001</v>
      </c>
      <c r="AV117">
        <f t="shared" si="20"/>
        <v>23.031600000000001</v>
      </c>
      <c r="AW117">
        <f t="shared" si="21"/>
        <v>29.046072024000001</v>
      </c>
      <c r="AX117" s="9"/>
      <c r="AY117" s="22">
        <v>0.43884299999999998</v>
      </c>
      <c r="AZ117" s="22">
        <v>585.21</v>
      </c>
      <c r="BA117" s="22">
        <v>-2.4148599999999999E-2</v>
      </c>
      <c r="BB117" s="22">
        <v>107</v>
      </c>
      <c r="BC117" s="22">
        <v>0.43853799999999998</v>
      </c>
      <c r="BD117">
        <f t="shared" si="22"/>
        <v>24.148599999999998</v>
      </c>
      <c r="BE117">
        <f t="shared" si="23"/>
        <v>10.597444069799998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66.883399999999995</v>
      </c>
      <c r="I118" s="22">
        <v>-2.3687699999999999E-2</v>
      </c>
      <c r="J118" s="22">
        <v>108</v>
      </c>
      <c r="K118" s="22">
        <v>1.25549</v>
      </c>
      <c r="L118">
        <f t="shared" si="12"/>
        <v>23.6877</v>
      </c>
      <c r="M118">
        <f t="shared" si="13"/>
        <v>29.754119969999998</v>
      </c>
      <c r="N118" s="9"/>
      <c r="O118" s="22">
        <v>0.44387799999999999</v>
      </c>
      <c r="P118" s="22">
        <v>156.20099999999999</v>
      </c>
      <c r="Q118" s="22">
        <v>-2.4523900000000001E-2</v>
      </c>
      <c r="R118" s="22">
        <v>108</v>
      </c>
      <c r="S118" s="22">
        <v>0.44345099999999998</v>
      </c>
      <c r="T118">
        <f t="shared" si="14"/>
        <v>24.523900000000001</v>
      </c>
      <c r="U118">
        <f t="shared" si="15"/>
        <v>10.8856196842</v>
      </c>
      <c r="X118" s="9"/>
      <c r="Y118" s="22">
        <v>1.2561</v>
      </c>
      <c r="Z118" s="22">
        <v>280.16300000000001</v>
      </c>
      <c r="AA118" s="22">
        <v>-2.3193399999999999E-2</v>
      </c>
      <c r="AB118" s="22">
        <v>108</v>
      </c>
      <c r="AC118" s="22">
        <v>1.2561</v>
      </c>
      <c r="AD118">
        <f t="shared" si="16"/>
        <v>23.1934</v>
      </c>
      <c r="AE118">
        <f t="shared" si="17"/>
        <v>29.133229740000001</v>
      </c>
      <c r="AF118" s="9"/>
      <c r="AG118" s="22">
        <v>0.44387799999999999</v>
      </c>
      <c r="AH118" s="22">
        <v>386.04199999999997</v>
      </c>
      <c r="AI118" s="22">
        <v>-2.4108899999999999E-2</v>
      </c>
      <c r="AJ118" s="22">
        <v>108</v>
      </c>
      <c r="AK118" s="22">
        <v>0.442749</v>
      </c>
      <c r="AL118">
        <f t="shared" si="18"/>
        <v>24.108899999999998</v>
      </c>
      <c r="AM118">
        <f t="shared" si="19"/>
        <v>10.701410314199999</v>
      </c>
      <c r="AP118" s="9"/>
      <c r="AQ118" s="22">
        <v>1.2561</v>
      </c>
      <c r="AR118" s="22">
        <v>474.43200000000002</v>
      </c>
      <c r="AS118" s="22">
        <v>-2.30438E-2</v>
      </c>
      <c r="AT118" s="22">
        <v>108</v>
      </c>
      <c r="AU118" s="22">
        <v>1.25549</v>
      </c>
      <c r="AV118">
        <f t="shared" si="20"/>
        <v>23.043800000000001</v>
      </c>
      <c r="AW118">
        <f t="shared" si="21"/>
        <v>28.94531718</v>
      </c>
      <c r="AX118" s="9"/>
      <c r="AY118" s="22">
        <v>0.44387799999999999</v>
      </c>
      <c r="AZ118" s="22">
        <v>585.31100000000004</v>
      </c>
      <c r="BA118" s="22">
        <v>-2.41455E-2</v>
      </c>
      <c r="BB118" s="22">
        <v>108</v>
      </c>
      <c r="BC118" s="22">
        <v>0.44314599999999998</v>
      </c>
      <c r="BD118">
        <f t="shared" si="22"/>
        <v>24.145500000000002</v>
      </c>
      <c r="BE118">
        <f t="shared" si="23"/>
        <v>10.717656249000001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66.984099999999998</v>
      </c>
      <c r="I119" s="22">
        <v>-2.3687699999999999E-2</v>
      </c>
      <c r="J119" s="22">
        <v>109</v>
      </c>
      <c r="K119" s="22">
        <v>1.25</v>
      </c>
      <c r="L119">
        <f t="shared" si="12"/>
        <v>23.6877</v>
      </c>
      <c r="M119">
        <f t="shared" si="13"/>
        <v>29.634970838999998</v>
      </c>
      <c r="N119" s="9"/>
      <c r="O119" s="22">
        <v>0.44891399999999998</v>
      </c>
      <c r="P119" s="22">
        <v>156.30199999999999</v>
      </c>
      <c r="Q119" s="22">
        <v>-2.4517799999999999E-2</v>
      </c>
      <c r="R119" s="22">
        <v>109</v>
      </c>
      <c r="S119" s="22">
        <v>0.44860800000000001</v>
      </c>
      <c r="T119">
        <f t="shared" si="14"/>
        <v>24.517799999999998</v>
      </c>
      <c r="U119">
        <f t="shared" si="15"/>
        <v>11.006383669199998</v>
      </c>
      <c r="X119" s="9"/>
      <c r="Y119" s="22">
        <v>1.2510699999999999</v>
      </c>
      <c r="Z119" s="22">
        <v>280.26400000000001</v>
      </c>
      <c r="AA119" s="22">
        <v>-2.3208599999999999E-2</v>
      </c>
      <c r="AB119" s="22">
        <v>109</v>
      </c>
      <c r="AC119" s="22">
        <v>1.25031</v>
      </c>
      <c r="AD119">
        <f t="shared" si="16"/>
        <v>23.208600000000001</v>
      </c>
      <c r="AE119">
        <f t="shared" si="17"/>
        <v>29.035583201999998</v>
      </c>
      <c r="AF119" s="9"/>
      <c r="AG119" s="22">
        <v>0.44891399999999998</v>
      </c>
      <c r="AH119" s="22">
        <v>386.142</v>
      </c>
      <c r="AI119" s="22">
        <v>-2.4108899999999999E-2</v>
      </c>
      <c r="AJ119" s="22">
        <v>109</v>
      </c>
      <c r="AK119" s="22">
        <v>0.44833400000000001</v>
      </c>
      <c r="AL119">
        <f t="shared" si="18"/>
        <v>24.108899999999998</v>
      </c>
      <c r="AM119">
        <f t="shared" si="19"/>
        <v>10.822822734599999</v>
      </c>
      <c r="AP119" s="9"/>
      <c r="AQ119" s="22">
        <v>1.2510699999999999</v>
      </c>
      <c r="AR119" s="22">
        <v>474.53300000000002</v>
      </c>
      <c r="AS119" s="22">
        <v>-2.3049900000000002E-2</v>
      </c>
      <c r="AT119" s="22">
        <v>109</v>
      </c>
      <c r="AU119" s="22">
        <v>1.25</v>
      </c>
      <c r="AV119">
        <f t="shared" si="20"/>
        <v>23.049900000000001</v>
      </c>
      <c r="AW119">
        <f t="shared" si="21"/>
        <v>28.837038393</v>
      </c>
      <c r="AX119" s="9"/>
      <c r="AY119" s="22">
        <v>0.44891399999999998</v>
      </c>
      <c r="AZ119" s="22">
        <v>585.41200000000003</v>
      </c>
      <c r="BA119" s="22">
        <v>-2.4136399999999999E-2</v>
      </c>
      <c r="BB119" s="22">
        <v>109</v>
      </c>
      <c r="BC119" s="22">
        <v>0.44900499999999999</v>
      </c>
      <c r="BD119">
        <f t="shared" si="22"/>
        <v>24.136399999999998</v>
      </c>
      <c r="BE119">
        <f t="shared" si="23"/>
        <v>10.835167869599999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67.084800000000001</v>
      </c>
      <c r="I120" s="22">
        <v>-2.3699999999999999E-2</v>
      </c>
      <c r="J120" s="22">
        <v>110</v>
      </c>
      <c r="K120" s="22">
        <v>1.24573</v>
      </c>
      <c r="L120">
        <f t="shared" si="12"/>
        <v>23.7</v>
      </c>
      <c r="M120">
        <f t="shared" si="13"/>
        <v>29.530911</v>
      </c>
      <c r="N120" s="9"/>
      <c r="O120" s="22">
        <v>0.45394899999999999</v>
      </c>
      <c r="P120" s="22">
        <v>156.40199999999999</v>
      </c>
      <c r="Q120" s="22">
        <v>-2.4511700000000001E-2</v>
      </c>
      <c r="R120" s="22">
        <v>110</v>
      </c>
      <c r="S120" s="22">
        <v>0.45352199999999998</v>
      </c>
      <c r="T120">
        <f t="shared" si="14"/>
        <v>24.511700000000001</v>
      </c>
      <c r="U120">
        <f t="shared" si="15"/>
        <v>11.127061703300001</v>
      </c>
      <c r="X120" s="9"/>
      <c r="Y120" s="22">
        <v>1.24603</v>
      </c>
      <c r="Z120" s="22">
        <v>280.36399999999998</v>
      </c>
      <c r="AA120" s="22">
        <v>-2.32056E-2</v>
      </c>
      <c r="AB120" s="22">
        <v>110</v>
      </c>
      <c r="AC120" s="22">
        <v>1.24542</v>
      </c>
      <c r="AD120">
        <f t="shared" si="16"/>
        <v>23.2056</v>
      </c>
      <c r="AE120">
        <f t="shared" si="17"/>
        <v>28.914873768</v>
      </c>
      <c r="AF120" s="9"/>
      <c r="AG120" s="22">
        <v>0.45394899999999999</v>
      </c>
      <c r="AH120" s="22">
        <v>386.24299999999999</v>
      </c>
      <c r="AI120" s="22">
        <v>-2.41058E-2</v>
      </c>
      <c r="AJ120" s="22">
        <v>110</v>
      </c>
      <c r="AK120" s="22">
        <v>0.45343</v>
      </c>
      <c r="AL120">
        <f t="shared" si="18"/>
        <v>24.105799999999999</v>
      </c>
      <c r="AM120">
        <f t="shared" si="19"/>
        <v>10.942803804199999</v>
      </c>
      <c r="AP120" s="9"/>
      <c r="AQ120" s="22">
        <v>1.24603</v>
      </c>
      <c r="AR120" s="22">
        <v>474.63400000000001</v>
      </c>
      <c r="AS120" s="22">
        <v>-2.3053000000000001E-2</v>
      </c>
      <c r="AT120" s="22">
        <v>110</v>
      </c>
      <c r="AU120" s="22">
        <v>1.24542</v>
      </c>
      <c r="AV120">
        <f t="shared" si="20"/>
        <v>23.053000000000001</v>
      </c>
      <c r="AW120">
        <f t="shared" si="21"/>
        <v>28.724729589999999</v>
      </c>
      <c r="AX120" s="9"/>
      <c r="AY120" s="22">
        <v>0.45394899999999999</v>
      </c>
      <c r="AZ120" s="22">
        <v>585.51300000000003</v>
      </c>
      <c r="BA120" s="22">
        <v>-2.4127200000000001E-2</v>
      </c>
      <c r="BB120" s="22">
        <v>110</v>
      </c>
      <c r="BC120" s="22">
        <v>0.45297199999999999</v>
      </c>
      <c r="BD120">
        <f t="shared" si="22"/>
        <v>24.127200000000002</v>
      </c>
      <c r="BE120">
        <f t="shared" si="23"/>
        <v>10.952518312800001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67.185500000000005</v>
      </c>
      <c r="I121" s="22">
        <v>-2.3712199999999999E-2</v>
      </c>
      <c r="J121" s="22">
        <v>111</v>
      </c>
      <c r="K121" s="22">
        <v>1.24054</v>
      </c>
      <c r="L121">
        <f t="shared" si="12"/>
        <v>23.712199999999999</v>
      </c>
      <c r="M121">
        <f t="shared" si="13"/>
        <v>29.426840200000001</v>
      </c>
      <c r="N121" s="9"/>
      <c r="O121" s="22">
        <v>0.458984</v>
      </c>
      <c r="P121" s="22">
        <v>156.50299999999999</v>
      </c>
      <c r="Q121" s="22">
        <v>-2.4508700000000001E-2</v>
      </c>
      <c r="R121" s="22">
        <v>111</v>
      </c>
      <c r="S121" s="22">
        <v>0.45861800000000003</v>
      </c>
      <c r="T121">
        <f t="shared" si="14"/>
        <v>24.508700000000001</v>
      </c>
      <c r="U121">
        <f t="shared" si="15"/>
        <v>11.2491011608</v>
      </c>
      <c r="X121" s="9"/>
      <c r="Y121" s="22">
        <v>1.2410000000000001</v>
      </c>
      <c r="Z121" s="22">
        <v>280.46499999999997</v>
      </c>
      <c r="AA121" s="22">
        <v>-2.3208599999999999E-2</v>
      </c>
      <c r="AB121" s="22">
        <v>111</v>
      </c>
      <c r="AC121" s="22">
        <v>1.23993</v>
      </c>
      <c r="AD121">
        <f t="shared" si="16"/>
        <v>23.208600000000001</v>
      </c>
      <c r="AE121">
        <f t="shared" si="17"/>
        <v>28.801872600000003</v>
      </c>
      <c r="AF121" s="9"/>
      <c r="AG121" s="22">
        <v>0.458984</v>
      </c>
      <c r="AH121" s="22">
        <v>386.34399999999999</v>
      </c>
      <c r="AI121" s="22">
        <v>-2.4099700000000002E-2</v>
      </c>
      <c r="AJ121" s="22">
        <v>111</v>
      </c>
      <c r="AK121" s="22">
        <v>0.458679</v>
      </c>
      <c r="AL121">
        <f t="shared" si="18"/>
        <v>24.099700000000002</v>
      </c>
      <c r="AM121">
        <f t="shared" si="19"/>
        <v>11.061376704800001</v>
      </c>
      <c r="AP121" s="9"/>
      <c r="AQ121" s="22">
        <v>1.2410000000000001</v>
      </c>
      <c r="AR121" s="22">
        <v>474.73399999999998</v>
      </c>
      <c r="AS121" s="22">
        <v>-2.3062099999999999E-2</v>
      </c>
      <c r="AT121" s="22">
        <v>111</v>
      </c>
      <c r="AU121" s="22">
        <v>1.24054</v>
      </c>
      <c r="AV121">
        <f t="shared" si="20"/>
        <v>23.062099999999997</v>
      </c>
      <c r="AW121">
        <f t="shared" si="21"/>
        <v>28.620066099999999</v>
      </c>
      <c r="AX121" s="9"/>
      <c r="AY121" s="22">
        <v>0.458984</v>
      </c>
      <c r="AZ121" s="22">
        <v>585.61300000000006</v>
      </c>
      <c r="BA121" s="22">
        <v>-2.4127200000000001E-2</v>
      </c>
      <c r="BB121" s="22">
        <v>111</v>
      </c>
      <c r="BC121" s="22">
        <v>0.45840500000000001</v>
      </c>
      <c r="BD121">
        <f t="shared" si="22"/>
        <v>24.127200000000002</v>
      </c>
      <c r="BE121">
        <f t="shared" si="23"/>
        <v>11.073998764800001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67.286199999999994</v>
      </c>
      <c r="I122" s="22">
        <v>-2.37091E-2</v>
      </c>
      <c r="J122" s="22">
        <v>112</v>
      </c>
      <c r="K122" s="22">
        <v>1.2353499999999999</v>
      </c>
      <c r="L122">
        <f t="shared" si="12"/>
        <v>23.709099999999999</v>
      </c>
      <c r="M122">
        <f t="shared" si="13"/>
        <v>29.303499235999997</v>
      </c>
      <c r="N122" s="9"/>
      <c r="O122" s="22">
        <v>0.46401999999999999</v>
      </c>
      <c r="P122" s="22">
        <v>156.60400000000001</v>
      </c>
      <c r="Q122" s="22">
        <v>-2.44995E-2</v>
      </c>
      <c r="R122" s="22">
        <v>112</v>
      </c>
      <c r="S122" s="22">
        <v>0.46346999999999999</v>
      </c>
      <c r="T122">
        <f t="shared" si="14"/>
        <v>24.499500000000001</v>
      </c>
      <c r="U122">
        <f t="shared" si="15"/>
        <v>11.36825799</v>
      </c>
      <c r="X122" s="9"/>
      <c r="Y122" s="22">
        <v>1.2359599999999999</v>
      </c>
      <c r="Z122" s="22">
        <v>280.56599999999997</v>
      </c>
      <c r="AA122" s="22">
        <v>-2.32178E-2</v>
      </c>
      <c r="AB122" s="22">
        <v>112</v>
      </c>
      <c r="AC122" s="22">
        <v>1.2347399999999999</v>
      </c>
      <c r="AD122">
        <f t="shared" si="16"/>
        <v>23.2178</v>
      </c>
      <c r="AE122">
        <f t="shared" si="17"/>
        <v>28.696272088000001</v>
      </c>
      <c r="AF122" s="9"/>
      <c r="AG122" s="22">
        <v>0.46401999999999999</v>
      </c>
      <c r="AH122" s="22">
        <v>386.44499999999999</v>
      </c>
      <c r="AI122" s="22">
        <v>-2.40906E-2</v>
      </c>
      <c r="AJ122" s="22">
        <v>112</v>
      </c>
      <c r="AK122" s="22">
        <v>0.46340900000000002</v>
      </c>
      <c r="AL122">
        <f t="shared" si="18"/>
        <v>24.090599999999998</v>
      </c>
      <c r="AM122">
        <f t="shared" si="19"/>
        <v>11.178520211999999</v>
      </c>
      <c r="AP122" s="9"/>
      <c r="AQ122" s="22">
        <v>1.2359599999999999</v>
      </c>
      <c r="AR122" s="22">
        <v>474.83499999999998</v>
      </c>
      <c r="AS122" s="22">
        <v>-2.3065200000000001E-2</v>
      </c>
      <c r="AT122" s="22">
        <v>112</v>
      </c>
      <c r="AU122" s="22">
        <v>1.2359599999999999</v>
      </c>
      <c r="AV122">
        <f t="shared" si="20"/>
        <v>23.065200000000001</v>
      </c>
      <c r="AW122">
        <f t="shared" si="21"/>
        <v>28.507664592000001</v>
      </c>
      <c r="AX122" s="9"/>
      <c r="AY122" s="22">
        <v>0.46401999999999999</v>
      </c>
      <c r="AZ122" s="22">
        <v>585.71400000000006</v>
      </c>
      <c r="BA122" s="22">
        <v>-2.4111899999999999E-2</v>
      </c>
      <c r="BB122" s="22">
        <v>112</v>
      </c>
      <c r="BC122" s="22">
        <v>0.46334799999999998</v>
      </c>
      <c r="BD122">
        <f t="shared" si="22"/>
        <v>24.111899999999999</v>
      </c>
      <c r="BE122">
        <f t="shared" si="23"/>
        <v>11.188403837999999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67.386899999999997</v>
      </c>
      <c r="I123" s="22">
        <v>-2.3721300000000001E-2</v>
      </c>
      <c r="J123" s="22">
        <v>113</v>
      </c>
      <c r="K123" s="22">
        <v>1.2301599999999999</v>
      </c>
      <c r="L123">
        <f t="shared" si="12"/>
        <v>23.721299999999999</v>
      </c>
      <c r="M123">
        <f t="shared" si="13"/>
        <v>29.199259809000001</v>
      </c>
      <c r="N123" s="9"/>
      <c r="O123" s="22">
        <v>0.469055</v>
      </c>
      <c r="P123" s="22">
        <v>156.70400000000001</v>
      </c>
      <c r="Q123" s="22">
        <v>-2.4493399999999999E-2</v>
      </c>
      <c r="R123" s="22">
        <v>113</v>
      </c>
      <c r="S123" s="22">
        <v>0.46884199999999998</v>
      </c>
      <c r="T123">
        <f t="shared" si="14"/>
        <v>24.493399999999998</v>
      </c>
      <c r="U123">
        <f t="shared" si="15"/>
        <v>11.488751736999999</v>
      </c>
      <c r="X123" s="9"/>
      <c r="Y123" s="22">
        <v>1.2309300000000001</v>
      </c>
      <c r="Z123" s="22">
        <v>280.66699999999997</v>
      </c>
      <c r="AA123" s="22">
        <v>-2.3223899999999999E-2</v>
      </c>
      <c r="AB123" s="22">
        <v>113</v>
      </c>
      <c r="AC123" s="22">
        <v>1.23047</v>
      </c>
      <c r="AD123">
        <f t="shared" si="16"/>
        <v>23.2239</v>
      </c>
      <c r="AE123">
        <f t="shared" si="17"/>
        <v>28.586995227000003</v>
      </c>
      <c r="AF123" s="9"/>
      <c r="AG123" s="22">
        <v>0.469055</v>
      </c>
      <c r="AH123" s="22">
        <v>386.54500000000002</v>
      </c>
      <c r="AI123" s="22">
        <v>-2.40906E-2</v>
      </c>
      <c r="AJ123" s="22">
        <v>113</v>
      </c>
      <c r="AK123" s="22">
        <v>0.46856700000000001</v>
      </c>
      <c r="AL123">
        <f t="shared" si="18"/>
        <v>24.090599999999998</v>
      </c>
      <c r="AM123">
        <f t="shared" si="19"/>
        <v>11.299816383</v>
      </c>
      <c r="AP123" s="9"/>
      <c r="AQ123" s="22">
        <v>1.2309300000000001</v>
      </c>
      <c r="AR123" s="22">
        <v>474.93599999999998</v>
      </c>
      <c r="AS123" s="22">
        <v>-2.3068200000000001E-2</v>
      </c>
      <c r="AT123" s="22">
        <v>113</v>
      </c>
      <c r="AU123" s="22">
        <v>1.22986</v>
      </c>
      <c r="AV123">
        <f t="shared" si="20"/>
        <v>23.068200000000001</v>
      </c>
      <c r="AW123">
        <f t="shared" si="21"/>
        <v>28.395339426000003</v>
      </c>
      <c r="AX123" s="9"/>
      <c r="AY123" s="22">
        <v>0.469055</v>
      </c>
      <c r="AZ123" s="22">
        <v>585.81500000000005</v>
      </c>
      <c r="BA123" s="22">
        <v>-2.4118000000000001E-2</v>
      </c>
      <c r="BB123" s="22">
        <v>113</v>
      </c>
      <c r="BC123" s="22">
        <v>0.46835300000000002</v>
      </c>
      <c r="BD123">
        <f t="shared" si="22"/>
        <v>24.118000000000002</v>
      </c>
      <c r="BE123">
        <f t="shared" si="23"/>
        <v>11.312668490000002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67.4876</v>
      </c>
      <c r="I124" s="22">
        <v>-2.3727399999999999E-2</v>
      </c>
      <c r="J124" s="22">
        <v>114</v>
      </c>
      <c r="K124" s="22">
        <v>1.2252799999999999</v>
      </c>
      <c r="L124">
        <f t="shared" si="12"/>
        <v>23.727399999999999</v>
      </c>
      <c r="M124">
        <f t="shared" si="13"/>
        <v>29.087182385999999</v>
      </c>
      <c r="N124" s="9"/>
      <c r="O124" s="22">
        <v>0.47409099999999998</v>
      </c>
      <c r="P124" s="22">
        <v>156.80500000000001</v>
      </c>
      <c r="Q124" s="22">
        <v>-2.4490399999999999E-2</v>
      </c>
      <c r="R124" s="22">
        <v>114</v>
      </c>
      <c r="S124" s="22">
        <v>0.473694</v>
      </c>
      <c r="T124">
        <f t="shared" si="14"/>
        <v>24.490399999999998</v>
      </c>
      <c r="U124">
        <f t="shared" si="15"/>
        <v>11.610678226399999</v>
      </c>
      <c r="X124" s="9"/>
      <c r="Y124" s="22">
        <v>1.2258899999999999</v>
      </c>
      <c r="Z124" s="22">
        <v>280.767</v>
      </c>
      <c r="AA124" s="22">
        <v>-2.3223899999999999E-2</v>
      </c>
      <c r="AB124" s="22">
        <v>114</v>
      </c>
      <c r="AC124" s="22">
        <v>1.2252799999999999</v>
      </c>
      <c r="AD124">
        <f t="shared" si="16"/>
        <v>23.2239</v>
      </c>
      <c r="AE124">
        <f t="shared" si="17"/>
        <v>28.469946771</v>
      </c>
      <c r="AF124" s="9"/>
      <c r="AG124" s="22">
        <v>0.47409099999999998</v>
      </c>
      <c r="AH124" s="22">
        <v>386.64600000000002</v>
      </c>
      <c r="AI124" s="22">
        <v>-2.40784E-2</v>
      </c>
      <c r="AJ124" s="22">
        <v>114</v>
      </c>
      <c r="AK124" s="22">
        <v>0.47348000000000001</v>
      </c>
      <c r="AL124">
        <f t="shared" si="18"/>
        <v>24.078399999999998</v>
      </c>
      <c r="AM124">
        <f t="shared" si="19"/>
        <v>11.415352734399999</v>
      </c>
      <c r="AP124" s="9"/>
      <c r="AQ124" s="22">
        <v>1.2258899999999999</v>
      </c>
      <c r="AR124" s="22">
        <v>475.03699999999998</v>
      </c>
      <c r="AS124" s="22">
        <v>-2.3071299999999999E-2</v>
      </c>
      <c r="AT124" s="22">
        <v>114</v>
      </c>
      <c r="AU124" s="22">
        <v>1.22498</v>
      </c>
      <c r="AV124">
        <f t="shared" si="20"/>
        <v>23.071300000000001</v>
      </c>
      <c r="AW124">
        <f t="shared" si="21"/>
        <v>28.282875956999998</v>
      </c>
      <c r="AX124" s="9"/>
      <c r="AY124" s="22">
        <v>0.47409099999999998</v>
      </c>
      <c r="AZ124" s="22">
        <v>585.91499999999996</v>
      </c>
      <c r="BA124" s="22">
        <v>-2.4108899999999999E-2</v>
      </c>
      <c r="BB124" s="22">
        <v>114</v>
      </c>
      <c r="BC124" s="22">
        <v>0.47341899999999998</v>
      </c>
      <c r="BD124">
        <f t="shared" si="22"/>
        <v>24.108899999999998</v>
      </c>
      <c r="BE124">
        <f t="shared" si="23"/>
        <v>11.4298125099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67.588300000000004</v>
      </c>
      <c r="I125" s="22">
        <v>-2.37244E-2</v>
      </c>
      <c r="J125" s="22">
        <v>115</v>
      </c>
      <c r="K125" s="22">
        <v>1.2197899999999999</v>
      </c>
      <c r="L125">
        <f t="shared" si="12"/>
        <v>23.724399999999999</v>
      </c>
      <c r="M125">
        <f t="shared" si="13"/>
        <v>28.964170983999999</v>
      </c>
      <c r="N125" s="9"/>
      <c r="O125" s="22">
        <v>0.479126</v>
      </c>
      <c r="P125" s="22">
        <v>156.90600000000001</v>
      </c>
      <c r="Q125" s="22">
        <v>-2.4481200000000002E-2</v>
      </c>
      <c r="R125" s="22">
        <v>115</v>
      </c>
      <c r="S125" s="22">
        <v>0.47842400000000002</v>
      </c>
      <c r="T125">
        <f t="shared" si="14"/>
        <v>24.481200000000001</v>
      </c>
      <c r="U125">
        <f t="shared" si="15"/>
        <v>11.729579431200001</v>
      </c>
      <c r="X125" s="9"/>
      <c r="Y125" s="22">
        <v>1.2208600000000001</v>
      </c>
      <c r="Z125" s="22">
        <v>280.86799999999999</v>
      </c>
      <c r="AA125" s="22">
        <v>-2.3226900000000002E-2</v>
      </c>
      <c r="AB125" s="22">
        <v>115</v>
      </c>
      <c r="AC125" s="22">
        <v>1.2197899999999999</v>
      </c>
      <c r="AD125">
        <f t="shared" si="16"/>
        <v>23.226900000000001</v>
      </c>
      <c r="AE125">
        <f t="shared" si="17"/>
        <v>28.356793134000004</v>
      </c>
      <c r="AF125" s="9"/>
      <c r="AG125" s="22">
        <v>0.479126</v>
      </c>
      <c r="AH125" s="22">
        <v>386.74700000000001</v>
      </c>
      <c r="AI125" s="22">
        <v>-2.4072300000000001E-2</v>
      </c>
      <c r="AJ125" s="22">
        <v>115</v>
      </c>
      <c r="AK125" s="22">
        <v>0.478516</v>
      </c>
      <c r="AL125">
        <f t="shared" si="18"/>
        <v>24.072300000000002</v>
      </c>
      <c r="AM125">
        <f t="shared" si="19"/>
        <v>11.533664809800001</v>
      </c>
      <c r="AP125" s="9"/>
      <c r="AQ125" s="22">
        <v>1.2208600000000001</v>
      </c>
      <c r="AR125" s="22">
        <v>475.137</v>
      </c>
      <c r="AS125" s="22">
        <v>-2.3089599999999998E-2</v>
      </c>
      <c r="AT125" s="22">
        <v>115</v>
      </c>
      <c r="AU125" s="22">
        <v>1.2200899999999999</v>
      </c>
      <c r="AV125">
        <f t="shared" si="20"/>
        <v>23.089599999999997</v>
      </c>
      <c r="AW125">
        <f t="shared" si="21"/>
        <v>28.189169055999997</v>
      </c>
      <c r="AX125" s="9"/>
      <c r="AY125" s="22">
        <v>0.479126</v>
      </c>
      <c r="AZ125" s="22">
        <v>586.01599999999996</v>
      </c>
      <c r="BA125" s="22">
        <v>-2.41058E-2</v>
      </c>
      <c r="BB125" s="22">
        <v>115</v>
      </c>
      <c r="BC125" s="22">
        <v>0.47802699999999998</v>
      </c>
      <c r="BD125">
        <f t="shared" si="22"/>
        <v>24.105799999999999</v>
      </c>
      <c r="BE125">
        <f t="shared" si="23"/>
        <v>11.549715530799999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67.688999999999993</v>
      </c>
      <c r="I126" s="22">
        <v>-2.37396E-2</v>
      </c>
      <c r="J126" s="22">
        <v>116</v>
      </c>
      <c r="K126" s="22">
        <v>1.2152099999999999</v>
      </c>
      <c r="L126">
        <f t="shared" si="12"/>
        <v>23.739599999999999</v>
      </c>
      <c r="M126">
        <f t="shared" si="13"/>
        <v>28.863080471999996</v>
      </c>
      <c r="N126" s="9"/>
      <c r="O126" s="22">
        <v>0.48416100000000001</v>
      </c>
      <c r="P126" s="22">
        <v>157.00700000000001</v>
      </c>
      <c r="Q126" s="22">
        <v>-2.4465899999999999E-2</v>
      </c>
      <c r="R126" s="22">
        <v>116</v>
      </c>
      <c r="S126" s="22">
        <v>0.48352099999999998</v>
      </c>
      <c r="T126">
        <f t="shared" si="14"/>
        <v>24.465899999999998</v>
      </c>
      <c r="U126">
        <f t="shared" si="15"/>
        <v>11.8454346099</v>
      </c>
      <c r="X126" s="9"/>
      <c r="Y126" s="22">
        <v>1.2158199999999999</v>
      </c>
      <c r="Z126" s="22">
        <v>280.96899999999999</v>
      </c>
      <c r="AA126" s="22">
        <v>-2.3236099999999999E-2</v>
      </c>
      <c r="AB126" s="22">
        <v>116</v>
      </c>
      <c r="AC126" s="22">
        <v>1.2158199999999999</v>
      </c>
      <c r="AD126">
        <f t="shared" si="16"/>
        <v>23.2361</v>
      </c>
      <c r="AE126">
        <f t="shared" si="17"/>
        <v>28.250915101999997</v>
      </c>
      <c r="AF126" s="9"/>
      <c r="AG126" s="22">
        <v>0.48416100000000001</v>
      </c>
      <c r="AH126" s="22">
        <v>386.84699999999998</v>
      </c>
      <c r="AI126" s="22">
        <v>-2.4075300000000001E-2</v>
      </c>
      <c r="AJ126" s="22">
        <v>116</v>
      </c>
      <c r="AK126" s="22">
        <v>0.48364299999999999</v>
      </c>
      <c r="AL126">
        <f t="shared" si="18"/>
        <v>24.075300000000002</v>
      </c>
      <c r="AM126">
        <f t="shared" si="19"/>
        <v>11.656321323300002</v>
      </c>
      <c r="AP126" s="9"/>
      <c r="AQ126" s="22">
        <v>1.2158199999999999</v>
      </c>
      <c r="AR126" s="22">
        <v>475.238</v>
      </c>
      <c r="AS126" s="22">
        <v>-2.3098799999999999E-2</v>
      </c>
      <c r="AT126" s="22">
        <v>116</v>
      </c>
      <c r="AU126" s="22">
        <v>1.2152099999999999</v>
      </c>
      <c r="AV126">
        <f t="shared" si="20"/>
        <v>23.098800000000001</v>
      </c>
      <c r="AW126">
        <f t="shared" si="21"/>
        <v>28.083983015999998</v>
      </c>
      <c r="AX126" s="9"/>
      <c r="AY126" s="22">
        <v>0.48416100000000001</v>
      </c>
      <c r="AZ126" s="22">
        <v>586.11699999999996</v>
      </c>
      <c r="BA126" s="22">
        <v>-2.4102800000000001E-2</v>
      </c>
      <c r="BB126" s="22">
        <v>116</v>
      </c>
      <c r="BC126" s="22">
        <v>0.48382599999999998</v>
      </c>
      <c r="BD126">
        <f t="shared" si="22"/>
        <v>24.102800000000002</v>
      </c>
      <c r="BE126">
        <f t="shared" si="23"/>
        <v>11.669635750800001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67.789699999999996</v>
      </c>
      <c r="I127" s="22">
        <v>-2.3754899999999999E-2</v>
      </c>
      <c r="J127" s="22">
        <v>117</v>
      </c>
      <c r="K127" s="22">
        <v>1.2106300000000001</v>
      </c>
      <c r="L127">
        <f t="shared" si="12"/>
        <v>23.754899999999999</v>
      </c>
      <c r="M127">
        <f t="shared" si="13"/>
        <v>28.761957821999999</v>
      </c>
      <c r="N127" s="9"/>
      <c r="O127" s="22">
        <v>0.48919699999999999</v>
      </c>
      <c r="P127" s="22">
        <v>157.107</v>
      </c>
      <c r="Q127" s="22">
        <v>-2.4484300000000001E-2</v>
      </c>
      <c r="R127" s="22">
        <v>117</v>
      </c>
      <c r="S127" s="22">
        <v>0.488068</v>
      </c>
      <c r="T127">
        <f t="shared" si="14"/>
        <v>24.484300000000001</v>
      </c>
      <c r="U127">
        <f t="shared" si="15"/>
        <v>11.9776461071</v>
      </c>
      <c r="X127" s="9"/>
      <c r="Y127" s="22">
        <v>1.21078</v>
      </c>
      <c r="Z127" s="22">
        <v>281.06900000000002</v>
      </c>
      <c r="AA127" s="22">
        <v>-2.3254400000000001E-2</v>
      </c>
      <c r="AB127" s="22">
        <v>117</v>
      </c>
      <c r="AC127" s="22">
        <v>1.2106300000000001</v>
      </c>
      <c r="AD127">
        <f t="shared" si="16"/>
        <v>23.2544</v>
      </c>
      <c r="AE127">
        <f t="shared" si="17"/>
        <v>28.155962431999999</v>
      </c>
      <c r="AF127" s="9"/>
      <c r="AG127" s="22">
        <v>0.48919699999999999</v>
      </c>
      <c r="AH127" s="22">
        <v>386.94799999999998</v>
      </c>
      <c r="AI127" s="22">
        <v>-2.4069199999999999E-2</v>
      </c>
      <c r="AJ127" s="22">
        <v>117</v>
      </c>
      <c r="AK127" s="22">
        <v>0.488983</v>
      </c>
      <c r="AL127">
        <f t="shared" si="18"/>
        <v>24.069199999999999</v>
      </c>
      <c r="AM127">
        <f t="shared" si="19"/>
        <v>11.774580432399999</v>
      </c>
      <c r="AP127" s="9"/>
      <c r="AQ127" s="22">
        <v>1.21078</v>
      </c>
      <c r="AR127" s="22">
        <v>475.339</v>
      </c>
      <c r="AS127" s="22">
        <v>-2.3101799999999999E-2</v>
      </c>
      <c r="AT127" s="22">
        <v>117</v>
      </c>
      <c r="AU127" s="22">
        <v>1.2103299999999999</v>
      </c>
      <c r="AV127">
        <f t="shared" si="20"/>
        <v>23.101799999999997</v>
      </c>
      <c r="AW127">
        <f t="shared" si="21"/>
        <v>27.971197403999994</v>
      </c>
      <c r="AX127" s="9"/>
      <c r="AY127" s="22">
        <v>0.48919699999999999</v>
      </c>
      <c r="AZ127" s="22">
        <v>586.21799999999996</v>
      </c>
      <c r="BA127" s="22">
        <v>-2.40936E-2</v>
      </c>
      <c r="BB127" s="22">
        <v>117</v>
      </c>
      <c r="BC127" s="22">
        <v>0.48861700000000002</v>
      </c>
      <c r="BD127">
        <f t="shared" si="22"/>
        <v>24.093599999999999</v>
      </c>
      <c r="BE127">
        <f t="shared" si="23"/>
        <v>11.786516839199999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67.8904</v>
      </c>
      <c r="I128" s="22">
        <v>-2.37488E-2</v>
      </c>
      <c r="J128" s="22">
        <v>118</v>
      </c>
      <c r="K128" s="22">
        <v>1.2045300000000001</v>
      </c>
      <c r="L128">
        <f t="shared" si="12"/>
        <v>23.748799999999999</v>
      </c>
      <c r="M128">
        <f t="shared" si="13"/>
        <v>28.635115600000002</v>
      </c>
      <c r="N128" s="9"/>
      <c r="O128" s="22">
        <v>0.494232</v>
      </c>
      <c r="P128" s="22">
        <v>157.208</v>
      </c>
      <c r="Q128" s="22">
        <v>-2.4493399999999999E-2</v>
      </c>
      <c r="R128" s="22">
        <v>118</v>
      </c>
      <c r="S128" s="22">
        <v>0.49404900000000002</v>
      </c>
      <c r="T128">
        <f t="shared" si="14"/>
        <v>24.493399999999998</v>
      </c>
      <c r="U128">
        <f t="shared" si="15"/>
        <v>12.105422068799999</v>
      </c>
      <c r="X128" s="9"/>
      <c r="Y128" s="22">
        <v>1.2057500000000001</v>
      </c>
      <c r="Z128" s="22">
        <v>281.17</v>
      </c>
      <c r="AA128" s="22">
        <v>-2.3257400000000001E-2</v>
      </c>
      <c r="AB128" s="22">
        <v>118</v>
      </c>
      <c r="AC128" s="22">
        <v>1.2048300000000001</v>
      </c>
      <c r="AD128">
        <f t="shared" si="16"/>
        <v>23.257400000000001</v>
      </c>
      <c r="AE128">
        <f t="shared" si="17"/>
        <v>28.042610050000004</v>
      </c>
      <c r="AF128" s="9"/>
      <c r="AG128" s="22">
        <v>0.494232</v>
      </c>
      <c r="AH128" s="22">
        <v>387.04899999999998</v>
      </c>
      <c r="AI128" s="22">
        <v>-2.4060100000000001E-2</v>
      </c>
      <c r="AJ128" s="22">
        <v>118</v>
      </c>
      <c r="AK128" s="22">
        <v>0.49404900000000002</v>
      </c>
      <c r="AL128">
        <f t="shared" si="18"/>
        <v>24.060100000000002</v>
      </c>
      <c r="AM128">
        <f t="shared" si="19"/>
        <v>11.891271343200001</v>
      </c>
      <c r="AP128" s="9"/>
      <c r="AQ128" s="22">
        <v>1.2057500000000001</v>
      </c>
      <c r="AR128" s="22">
        <v>475.43900000000002</v>
      </c>
      <c r="AS128" s="22">
        <v>-2.3117100000000002E-2</v>
      </c>
      <c r="AT128" s="22">
        <v>118</v>
      </c>
      <c r="AU128" s="22">
        <v>1.2051400000000001</v>
      </c>
      <c r="AV128">
        <f t="shared" si="20"/>
        <v>23.117100000000001</v>
      </c>
      <c r="AW128">
        <f t="shared" si="21"/>
        <v>27.873443325000004</v>
      </c>
      <c r="AX128" s="9"/>
      <c r="AY128" s="22">
        <v>0.494232</v>
      </c>
      <c r="AZ128" s="22">
        <v>586.31799999999998</v>
      </c>
      <c r="BA128" s="22">
        <v>-2.40906E-2</v>
      </c>
      <c r="BB128" s="22">
        <v>118</v>
      </c>
      <c r="BC128" s="22">
        <v>0.49349999999999999</v>
      </c>
      <c r="BD128">
        <f t="shared" si="22"/>
        <v>24.090599999999998</v>
      </c>
      <c r="BE128">
        <f t="shared" si="23"/>
        <v>11.906345419199999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67.991200000000006</v>
      </c>
      <c r="I129" s="22">
        <v>-2.3757899999999998E-2</v>
      </c>
      <c r="J129" s="22">
        <v>119</v>
      </c>
      <c r="K129" s="22">
        <v>1.1999500000000001</v>
      </c>
      <c r="L129">
        <f t="shared" si="12"/>
        <v>23.757899999999999</v>
      </c>
      <c r="M129">
        <f t="shared" si="13"/>
        <v>28.526348108999997</v>
      </c>
      <c r="N129" s="9"/>
      <c r="O129" s="22">
        <v>0.49926799999999999</v>
      </c>
      <c r="P129" s="22">
        <v>157.309</v>
      </c>
      <c r="Q129" s="22">
        <v>-2.4481200000000002E-2</v>
      </c>
      <c r="R129" s="22">
        <v>119</v>
      </c>
      <c r="S129" s="22">
        <v>0.49853500000000001</v>
      </c>
      <c r="T129">
        <f t="shared" si="14"/>
        <v>24.481200000000001</v>
      </c>
      <c r="U129">
        <f t="shared" si="15"/>
        <v>12.2226797616</v>
      </c>
      <c r="X129" s="9"/>
      <c r="Y129" s="22">
        <v>1.2007099999999999</v>
      </c>
      <c r="Z129" s="22">
        <v>281.27100000000002</v>
      </c>
      <c r="AA129" s="22">
        <v>-2.3266599999999998E-2</v>
      </c>
      <c r="AB129" s="22">
        <v>119</v>
      </c>
      <c r="AC129" s="22">
        <v>1.2002600000000001</v>
      </c>
      <c r="AD129">
        <f t="shared" si="16"/>
        <v>23.266599999999997</v>
      </c>
      <c r="AE129">
        <f t="shared" si="17"/>
        <v>27.936439285999995</v>
      </c>
      <c r="AF129" s="9"/>
      <c r="AG129" s="22">
        <v>0.49926799999999999</v>
      </c>
      <c r="AH129" s="22">
        <v>387.15</v>
      </c>
      <c r="AI129" s="22">
        <v>-2.40509E-2</v>
      </c>
      <c r="AJ129" s="22">
        <v>119</v>
      </c>
      <c r="AK129" s="22">
        <v>0.49880999999999998</v>
      </c>
      <c r="AL129">
        <f t="shared" si="18"/>
        <v>24.050899999999999</v>
      </c>
      <c r="AM129">
        <f t="shared" si="19"/>
        <v>12.0078447412</v>
      </c>
      <c r="AP129" s="9"/>
      <c r="AQ129" s="22">
        <v>1.2007099999999999</v>
      </c>
      <c r="AR129" s="22">
        <v>475.54</v>
      </c>
      <c r="AS129" s="22">
        <v>-2.3120100000000001E-2</v>
      </c>
      <c r="AT129" s="22">
        <v>119</v>
      </c>
      <c r="AU129" s="22">
        <v>1.2002600000000001</v>
      </c>
      <c r="AV129">
        <f t="shared" si="20"/>
        <v>23.120100000000001</v>
      </c>
      <c r="AW129">
        <f t="shared" si="21"/>
        <v>27.760535270999998</v>
      </c>
      <c r="AX129" s="9"/>
      <c r="AY129" s="22">
        <v>0.49926799999999999</v>
      </c>
      <c r="AZ129" s="22">
        <v>586.41899999999998</v>
      </c>
      <c r="BA129" s="22">
        <v>-2.4087500000000001E-2</v>
      </c>
      <c r="BB129" s="22">
        <v>119</v>
      </c>
      <c r="BC129" s="22">
        <v>0.49893199999999999</v>
      </c>
      <c r="BD129">
        <f t="shared" si="22"/>
        <v>24.087500000000002</v>
      </c>
      <c r="BE129">
        <f t="shared" si="23"/>
        <v>12.026117950000001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68.091899999999995</v>
      </c>
      <c r="I130" s="22">
        <v>-2.3761000000000001E-2</v>
      </c>
      <c r="J130" s="22">
        <v>120</v>
      </c>
      <c r="K130" s="22">
        <v>1.19476</v>
      </c>
      <c r="L130">
        <f t="shared" si="12"/>
        <v>23.760999999999999</v>
      </c>
      <c r="M130">
        <f t="shared" si="13"/>
        <v>28.41055248</v>
      </c>
      <c r="N130" s="9"/>
      <c r="O130" s="22">
        <v>0.50430299999999995</v>
      </c>
      <c r="P130" s="22">
        <v>157.40899999999999</v>
      </c>
      <c r="Q130" s="22">
        <v>-2.4469000000000001E-2</v>
      </c>
      <c r="R130" s="22">
        <v>120</v>
      </c>
      <c r="S130" s="22">
        <v>0.50360099999999997</v>
      </c>
      <c r="T130">
        <f t="shared" si="14"/>
        <v>24.469000000000001</v>
      </c>
      <c r="U130">
        <f t="shared" si="15"/>
        <v>12.339790106999999</v>
      </c>
      <c r="X130" s="9"/>
      <c r="Y130" s="22">
        <v>1.1956800000000001</v>
      </c>
      <c r="Z130" s="22">
        <v>281.37099999999998</v>
      </c>
      <c r="AA130" s="22">
        <v>-2.3263499999999999E-2</v>
      </c>
      <c r="AB130" s="22">
        <v>120</v>
      </c>
      <c r="AC130" s="22">
        <v>1.1950700000000001</v>
      </c>
      <c r="AD130">
        <f t="shared" si="16"/>
        <v>23.263500000000001</v>
      </c>
      <c r="AE130">
        <f t="shared" si="17"/>
        <v>27.815701680000004</v>
      </c>
      <c r="AF130" s="9"/>
      <c r="AG130" s="22">
        <v>0.50430299999999995</v>
      </c>
      <c r="AH130" s="22">
        <v>387.25</v>
      </c>
      <c r="AI130" s="22">
        <v>-2.40509E-2</v>
      </c>
      <c r="AJ130" s="22">
        <v>120</v>
      </c>
      <c r="AK130" s="22">
        <v>0.50344800000000001</v>
      </c>
      <c r="AL130">
        <f t="shared" si="18"/>
        <v>24.050899999999999</v>
      </c>
      <c r="AM130">
        <f t="shared" si="19"/>
        <v>12.128941022699998</v>
      </c>
      <c r="AP130" s="9"/>
      <c r="AQ130" s="22">
        <v>1.1956800000000001</v>
      </c>
      <c r="AR130" s="22">
        <v>475.64100000000002</v>
      </c>
      <c r="AS130" s="22">
        <v>-2.3117100000000002E-2</v>
      </c>
      <c r="AT130" s="22">
        <v>120</v>
      </c>
      <c r="AU130" s="22">
        <v>1.1950700000000001</v>
      </c>
      <c r="AV130">
        <f t="shared" si="20"/>
        <v>23.117100000000001</v>
      </c>
      <c r="AW130">
        <f t="shared" si="21"/>
        <v>27.640654128000001</v>
      </c>
      <c r="AX130" s="9"/>
      <c r="AY130" s="22">
        <v>0.50430299999999995</v>
      </c>
      <c r="AZ130" s="22">
        <v>586.52</v>
      </c>
      <c r="BA130" s="22">
        <v>-2.4084499999999998E-2</v>
      </c>
      <c r="BB130" s="22">
        <v>120</v>
      </c>
      <c r="BC130" s="22">
        <v>0.50372300000000003</v>
      </c>
      <c r="BD130">
        <f t="shared" si="22"/>
        <v>24.084499999999998</v>
      </c>
      <c r="BE130">
        <f t="shared" si="23"/>
        <v>12.145885603499998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68.192599999999999</v>
      </c>
      <c r="I131" s="22">
        <v>-2.3767099999999999E-2</v>
      </c>
      <c r="J131" s="22">
        <v>121</v>
      </c>
      <c r="K131" s="22">
        <v>1.1895800000000001</v>
      </c>
      <c r="L131">
        <f t="shared" si="12"/>
        <v>23.767099999999999</v>
      </c>
      <c r="M131">
        <f t="shared" si="13"/>
        <v>28.298059943999998</v>
      </c>
      <c r="N131" s="9"/>
      <c r="O131" s="22">
        <v>0.50933799999999996</v>
      </c>
      <c r="P131" s="22">
        <v>157.51</v>
      </c>
      <c r="Q131" s="22">
        <v>-2.4453699999999998E-2</v>
      </c>
      <c r="R131" s="22">
        <v>121</v>
      </c>
      <c r="S131" s="22">
        <v>0.50872799999999996</v>
      </c>
      <c r="T131">
        <f t="shared" si="14"/>
        <v>24.453699999999998</v>
      </c>
      <c r="U131">
        <f t="shared" si="15"/>
        <v>12.455198650599998</v>
      </c>
      <c r="X131" s="9"/>
      <c r="Y131" s="22">
        <v>1.1906399999999999</v>
      </c>
      <c r="Z131" s="22">
        <v>281.47199999999998</v>
      </c>
      <c r="AA131" s="22">
        <v>-2.3275799999999999E-2</v>
      </c>
      <c r="AB131" s="22">
        <v>121</v>
      </c>
      <c r="AC131" s="22">
        <v>1.19049</v>
      </c>
      <c r="AD131">
        <f t="shared" si="16"/>
        <v>23.2758</v>
      </c>
      <c r="AE131">
        <f t="shared" si="17"/>
        <v>27.713098511999998</v>
      </c>
      <c r="AF131" s="9"/>
      <c r="AG131" s="22">
        <v>0.50933799999999996</v>
      </c>
      <c r="AH131" s="22">
        <v>387.351</v>
      </c>
      <c r="AI131" s="22">
        <v>-2.4032600000000001E-2</v>
      </c>
      <c r="AJ131" s="22">
        <v>121</v>
      </c>
      <c r="AK131" s="22">
        <v>0.50900299999999998</v>
      </c>
      <c r="AL131">
        <f t="shared" si="18"/>
        <v>24.032600000000002</v>
      </c>
      <c r="AM131">
        <f t="shared" si="19"/>
        <v>12.2407164188</v>
      </c>
      <c r="AP131" s="9"/>
      <c r="AQ131" s="22">
        <v>1.1906399999999999</v>
      </c>
      <c r="AR131" s="22">
        <v>475.74099999999999</v>
      </c>
      <c r="AS131" s="22">
        <v>-2.3129299999999998E-2</v>
      </c>
      <c r="AT131" s="22">
        <v>121</v>
      </c>
      <c r="AU131" s="22">
        <v>1.18988</v>
      </c>
      <c r="AV131">
        <f t="shared" si="20"/>
        <v>23.129299999999997</v>
      </c>
      <c r="AW131">
        <f t="shared" si="21"/>
        <v>27.538669751999993</v>
      </c>
      <c r="AX131" s="9"/>
      <c r="AY131" s="22">
        <v>0.50933799999999996</v>
      </c>
      <c r="AZ131" s="22">
        <v>586.62</v>
      </c>
      <c r="BA131" s="22">
        <v>-2.4075300000000001E-2</v>
      </c>
      <c r="BB131" s="22">
        <v>121</v>
      </c>
      <c r="BC131" s="22">
        <v>0.50970499999999996</v>
      </c>
      <c r="BD131">
        <f t="shared" si="22"/>
        <v>24.075300000000002</v>
      </c>
      <c r="BE131">
        <f t="shared" si="23"/>
        <v>12.262465151400001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68.293300000000002</v>
      </c>
      <c r="I132" s="22">
        <v>-2.37793E-2</v>
      </c>
      <c r="J132" s="22">
        <v>122</v>
      </c>
      <c r="K132" s="22">
        <v>1.1850000000000001</v>
      </c>
      <c r="L132">
        <f t="shared" si="12"/>
        <v>23.779299999999999</v>
      </c>
      <c r="M132">
        <f t="shared" si="13"/>
        <v>28.192975873000002</v>
      </c>
      <c r="N132" s="9"/>
      <c r="O132" s="22">
        <v>0.514374</v>
      </c>
      <c r="P132" s="22">
        <v>157.61099999999999</v>
      </c>
      <c r="Q132" s="22">
        <v>-2.4450699999999999E-2</v>
      </c>
      <c r="R132" s="22">
        <v>122</v>
      </c>
      <c r="S132" s="22">
        <v>0.51361100000000004</v>
      </c>
      <c r="T132">
        <f t="shared" si="14"/>
        <v>24.450699999999998</v>
      </c>
      <c r="U132">
        <f t="shared" si="15"/>
        <v>12.576804361799999</v>
      </c>
      <c r="X132" s="9"/>
      <c r="Y132" s="22">
        <v>1.1856100000000001</v>
      </c>
      <c r="Z132" s="22">
        <v>281.57299999999998</v>
      </c>
      <c r="AA132" s="22">
        <v>-2.3281900000000001E-2</v>
      </c>
      <c r="AB132" s="22">
        <v>122</v>
      </c>
      <c r="AC132" s="22">
        <v>1.1856100000000001</v>
      </c>
      <c r="AD132">
        <f t="shared" si="16"/>
        <v>23.2819</v>
      </c>
      <c r="AE132">
        <f t="shared" si="17"/>
        <v>27.603253459000001</v>
      </c>
      <c r="AF132" s="9"/>
      <c r="AG132" s="22">
        <v>0.514374</v>
      </c>
      <c r="AH132" s="22">
        <v>387.452</v>
      </c>
      <c r="AI132" s="22">
        <v>-2.4029499999999999E-2</v>
      </c>
      <c r="AJ132" s="22">
        <v>122</v>
      </c>
      <c r="AK132" s="22">
        <v>0.51376299999999997</v>
      </c>
      <c r="AL132">
        <f t="shared" si="18"/>
        <v>24.029499999999999</v>
      </c>
      <c r="AM132">
        <f t="shared" si="19"/>
        <v>12.360150033</v>
      </c>
      <c r="AP132" s="9"/>
      <c r="AQ132" s="22">
        <v>1.1856100000000001</v>
      </c>
      <c r="AR132" s="22">
        <v>475.84199999999998</v>
      </c>
      <c r="AS132" s="22">
        <v>-2.31354E-2</v>
      </c>
      <c r="AT132" s="22">
        <v>122</v>
      </c>
      <c r="AU132" s="22">
        <v>1.1850000000000001</v>
      </c>
      <c r="AV132">
        <f t="shared" si="20"/>
        <v>23.135400000000001</v>
      </c>
      <c r="AW132">
        <f t="shared" si="21"/>
        <v>27.429561594000003</v>
      </c>
      <c r="AX132" s="9"/>
      <c r="AY132" s="22">
        <v>0.514374</v>
      </c>
      <c r="AZ132" s="22">
        <v>586.721</v>
      </c>
      <c r="BA132" s="22">
        <v>-2.4075300000000001E-2</v>
      </c>
      <c r="BB132" s="22">
        <v>122</v>
      </c>
      <c r="BC132" s="22">
        <v>0.51382399999999995</v>
      </c>
      <c r="BD132">
        <f t="shared" si="22"/>
        <v>24.075300000000002</v>
      </c>
      <c r="BE132">
        <f t="shared" si="23"/>
        <v>12.383708362200002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68.394000000000005</v>
      </c>
      <c r="I133" s="22">
        <v>-2.37793E-2</v>
      </c>
      <c r="J133" s="22">
        <v>123</v>
      </c>
      <c r="K133" s="22">
        <v>1.1795</v>
      </c>
      <c r="L133">
        <f t="shared" si="12"/>
        <v>23.779299999999999</v>
      </c>
      <c r="M133">
        <f t="shared" si="13"/>
        <v>28.073128200999996</v>
      </c>
      <c r="N133" s="9"/>
      <c r="O133" s="22">
        <v>0.51940900000000001</v>
      </c>
      <c r="P133" s="22">
        <v>157.71100000000001</v>
      </c>
      <c r="Q133" s="22">
        <v>-2.44476E-2</v>
      </c>
      <c r="R133" s="22">
        <v>123</v>
      </c>
      <c r="S133" s="22">
        <v>0.51879900000000001</v>
      </c>
      <c r="T133">
        <f t="shared" si="14"/>
        <v>24.447600000000001</v>
      </c>
      <c r="U133">
        <f t="shared" si="15"/>
        <v>12.698303468400001</v>
      </c>
      <c r="X133" s="9"/>
      <c r="Y133" s="22">
        <v>1.1805699999999999</v>
      </c>
      <c r="Z133" s="22">
        <v>281.67399999999998</v>
      </c>
      <c r="AA133" s="22">
        <v>-2.3275799999999999E-2</v>
      </c>
      <c r="AB133" s="22">
        <v>123</v>
      </c>
      <c r="AC133" s="22">
        <v>1.17981</v>
      </c>
      <c r="AD133">
        <f t="shared" si="16"/>
        <v>23.2758</v>
      </c>
      <c r="AE133">
        <f t="shared" si="17"/>
        <v>27.478711205999996</v>
      </c>
      <c r="AF133" s="9"/>
      <c r="AG133" s="22">
        <v>0.51940900000000001</v>
      </c>
      <c r="AH133" s="22">
        <v>387.55200000000002</v>
      </c>
      <c r="AI133" s="22">
        <v>-2.40387E-2</v>
      </c>
      <c r="AJ133" s="22">
        <v>123</v>
      </c>
      <c r="AK133" s="22">
        <v>0.51882899999999998</v>
      </c>
      <c r="AL133">
        <f t="shared" si="18"/>
        <v>24.038699999999999</v>
      </c>
      <c r="AM133">
        <f t="shared" si="19"/>
        <v>12.485917128299999</v>
      </c>
      <c r="AP133" s="9"/>
      <c r="AQ133" s="22">
        <v>1.1805699999999999</v>
      </c>
      <c r="AR133" s="22">
        <v>475.94299999999998</v>
      </c>
      <c r="AS133" s="22">
        <v>-2.31506E-2</v>
      </c>
      <c r="AT133" s="22">
        <v>123</v>
      </c>
      <c r="AU133" s="22">
        <v>1.17981</v>
      </c>
      <c r="AV133">
        <f t="shared" si="20"/>
        <v>23.150600000000001</v>
      </c>
      <c r="AW133">
        <f t="shared" si="21"/>
        <v>27.330903841999998</v>
      </c>
      <c r="AX133" s="9"/>
      <c r="AY133" s="22">
        <v>0.51940900000000001</v>
      </c>
      <c r="AZ133" s="22">
        <v>586.822</v>
      </c>
      <c r="BA133" s="22">
        <v>-2.4066199999999999E-2</v>
      </c>
      <c r="BB133" s="22">
        <v>123</v>
      </c>
      <c r="BC133" s="22">
        <v>0.51867700000000005</v>
      </c>
      <c r="BD133">
        <f t="shared" si="22"/>
        <v>24.066199999999998</v>
      </c>
      <c r="BE133">
        <f t="shared" si="23"/>
        <v>12.500200875799999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68.494699999999995</v>
      </c>
      <c r="I134" s="22">
        <v>-2.3782299999999999E-2</v>
      </c>
      <c r="J134" s="22">
        <v>124</v>
      </c>
      <c r="K134" s="22">
        <v>1.17462</v>
      </c>
      <c r="L134">
        <f t="shared" si="12"/>
        <v>23.782299999999999</v>
      </c>
      <c r="M134">
        <f t="shared" si="13"/>
        <v>27.957044942</v>
      </c>
      <c r="N134" s="9"/>
      <c r="O134" s="22">
        <v>0.52444500000000005</v>
      </c>
      <c r="P134" s="22">
        <v>157.81200000000001</v>
      </c>
      <c r="Q134" s="22">
        <v>-2.44446E-2</v>
      </c>
      <c r="R134" s="22">
        <v>124</v>
      </c>
      <c r="S134" s="22">
        <v>0.52380400000000005</v>
      </c>
      <c r="T134">
        <f t="shared" si="14"/>
        <v>24.444600000000001</v>
      </c>
      <c r="U134">
        <f t="shared" si="15"/>
        <v>12.819848247000001</v>
      </c>
      <c r="X134" s="9"/>
      <c r="Y134" s="22">
        <v>1.17554</v>
      </c>
      <c r="Z134" s="22">
        <v>281.774</v>
      </c>
      <c r="AA134" s="22">
        <v>-2.3284900000000001E-2</v>
      </c>
      <c r="AB134" s="22">
        <v>124</v>
      </c>
      <c r="AC134" s="22">
        <v>1.17493</v>
      </c>
      <c r="AD134">
        <f t="shared" si="16"/>
        <v>23.2849</v>
      </c>
      <c r="AE134">
        <f t="shared" si="17"/>
        <v>27.372331346000003</v>
      </c>
      <c r="AF134" s="9"/>
      <c r="AG134" s="22">
        <v>0.52444500000000005</v>
      </c>
      <c r="AH134" s="22">
        <v>387.65300000000002</v>
      </c>
      <c r="AI134" s="22">
        <v>-2.4032600000000001E-2</v>
      </c>
      <c r="AJ134" s="22">
        <v>124</v>
      </c>
      <c r="AK134" s="22">
        <v>0.52374299999999996</v>
      </c>
      <c r="AL134">
        <f t="shared" si="18"/>
        <v>24.032600000000002</v>
      </c>
      <c r="AM134">
        <f t="shared" si="19"/>
        <v>12.603776907000002</v>
      </c>
      <c r="AP134" s="9"/>
      <c r="AQ134" s="22">
        <v>1.17554</v>
      </c>
      <c r="AR134" s="22">
        <v>476.04399999999998</v>
      </c>
      <c r="AS134" s="22">
        <v>-2.31506E-2</v>
      </c>
      <c r="AT134" s="22">
        <v>124</v>
      </c>
      <c r="AU134" s="22">
        <v>1.17493</v>
      </c>
      <c r="AV134">
        <f t="shared" si="20"/>
        <v>23.150600000000001</v>
      </c>
      <c r="AW134">
        <f t="shared" si="21"/>
        <v>27.214456324</v>
      </c>
      <c r="AX134" s="9"/>
      <c r="AY134" s="22">
        <v>0.52444500000000005</v>
      </c>
      <c r="AZ134" s="22">
        <v>586.92200000000003</v>
      </c>
      <c r="BA134" s="22">
        <v>-2.4066199999999999E-2</v>
      </c>
      <c r="BB134" s="22">
        <v>124</v>
      </c>
      <c r="BC134" s="22">
        <v>0.52380400000000005</v>
      </c>
      <c r="BD134">
        <f t="shared" si="22"/>
        <v>24.066199999999998</v>
      </c>
      <c r="BE134">
        <f t="shared" si="23"/>
        <v>12.621398259000001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68.595399999999998</v>
      </c>
      <c r="I135" s="22">
        <v>-2.3785400000000002E-2</v>
      </c>
      <c r="J135" s="22">
        <v>125</v>
      </c>
      <c r="K135" s="22">
        <v>1.16943</v>
      </c>
      <c r="L135">
        <f t="shared" si="12"/>
        <v>23.785400000000003</v>
      </c>
      <c r="M135">
        <f t="shared" si="13"/>
        <v>27.840810700000006</v>
      </c>
      <c r="N135" s="9"/>
      <c r="O135" s="22">
        <v>0.52947999999999995</v>
      </c>
      <c r="P135" s="22">
        <v>157.91300000000001</v>
      </c>
      <c r="Q135" s="22">
        <v>-2.4429300000000001E-2</v>
      </c>
      <c r="R135" s="22">
        <v>125</v>
      </c>
      <c r="S135" s="22">
        <v>0.52847299999999997</v>
      </c>
      <c r="T135">
        <f t="shared" si="14"/>
        <v>24.429300000000001</v>
      </c>
      <c r="U135">
        <f t="shared" si="15"/>
        <v>12.934825763999999</v>
      </c>
      <c r="X135" s="9"/>
      <c r="Y135" s="22">
        <v>1.1705000000000001</v>
      </c>
      <c r="Z135" s="22">
        <v>281.875</v>
      </c>
      <c r="AA135" s="22">
        <v>-2.33002E-2</v>
      </c>
      <c r="AB135" s="22">
        <v>125</v>
      </c>
      <c r="AC135" s="22">
        <v>1.16974</v>
      </c>
      <c r="AD135">
        <f t="shared" si="16"/>
        <v>23.3002</v>
      </c>
      <c r="AE135">
        <f t="shared" si="17"/>
        <v>27.272884100000002</v>
      </c>
      <c r="AF135" s="9"/>
      <c r="AG135" s="22">
        <v>0.52947999999999995</v>
      </c>
      <c r="AH135" s="22">
        <v>387.75400000000002</v>
      </c>
      <c r="AI135" s="22">
        <v>-2.4029499999999999E-2</v>
      </c>
      <c r="AJ135" s="22">
        <v>125</v>
      </c>
      <c r="AK135" s="22">
        <v>0.52902199999999999</v>
      </c>
      <c r="AL135">
        <f t="shared" si="18"/>
        <v>24.029499999999999</v>
      </c>
      <c r="AM135">
        <f t="shared" si="19"/>
        <v>12.723139659999998</v>
      </c>
      <c r="AP135" s="9"/>
      <c r="AQ135" s="22">
        <v>1.1705000000000001</v>
      </c>
      <c r="AR135" s="22">
        <v>476.14400000000001</v>
      </c>
      <c r="AS135" s="22">
        <v>-2.3159800000000001E-2</v>
      </c>
      <c r="AT135" s="22">
        <v>125</v>
      </c>
      <c r="AU135" s="22">
        <v>1.16913</v>
      </c>
      <c r="AV135">
        <f t="shared" si="20"/>
        <v>23.159800000000001</v>
      </c>
      <c r="AW135">
        <f t="shared" si="21"/>
        <v>27.108545900000003</v>
      </c>
      <c r="AX135" s="9"/>
      <c r="AY135" s="22">
        <v>0.52947999999999995</v>
      </c>
      <c r="AZ135" s="22">
        <v>587.02300000000002</v>
      </c>
      <c r="BA135" s="22">
        <v>-2.4053999999999999E-2</v>
      </c>
      <c r="BB135" s="22">
        <v>125</v>
      </c>
      <c r="BC135" s="22">
        <v>0.52886999999999995</v>
      </c>
      <c r="BD135">
        <f t="shared" si="22"/>
        <v>24.053999999999998</v>
      </c>
      <c r="BE135">
        <f t="shared" si="23"/>
        <v>12.736111919999997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68.696100000000001</v>
      </c>
      <c r="I136" s="22">
        <v>-2.3803700000000001E-2</v>
      </c>
      <c r="J136" s="22">
        <v>126</v>
      </c>
      <c r="K136" s="22">
        <v>1.16516</v>
      </c>
      <c r="L136">
        <f t="shared" si="12"/>
        <v>23.803699999999999</v>
      </c>
      <c r="M136">
        <f t="shared" si="13"/>
        <v>27.742498239</v>
      </c>
      <c r="N136" s="9"/>
      <c r="O136" s="22">
        <v>0.53451499999999996</v>
      </c>
      <c r="P136" s="22">
        <v>158.01400000000001</v>
      </c>
      <c r="Q136" s="22">
        <v>-2.44202E-2</v>
      </c>
      <c r="R136" s="22">
        <v>126</v>
      </c>
      <c r="S136" s="22">
        <v>0.53399700000000005</v>
      </c>
      <c r="T136">
        <f t="shared" si="14"/>
        <v>24.420200000000001</v>
      </c>
      <c r="U136">
        <f t="shared" si="15"/>
        <v>13.052963202999999</v>
      </c>
      <c r="X136" s="9"/>
      <c r="Y136" s="22">
        <v>1.16547</v>
      </c>
      <c r="Z136" s="22">
        <v>281.976</v>
      </c>
      <c r="AA136" s="22">
        <v>-2.33154E-2</v>
      </c>
      <c r="AB136" s="22">
        <v>126</v>
      </c>
      <c r="AC136" s="22">
        <v>1.16486</v>
      </c>
      <c r="AD136">
        <f t="shared" si="16"/>
        <v>23.3154</v>
      </c>
      <c r="AE136">
        <f t="shared" si="17"/>
        <v>27.173399238000002</v>
      </c>
      <c r="AF136" s="9"/>
      <c r="AG136" s="22">
        <v>0.53451499999999996</v>
      </c>
      <c r="AH136" s="22">
        <v>387.85500000000002</v>
      </c>
      <c r="AI136" s="22">
        <v>-2.4014299999999999E-2</v>
      </c>
      <c r="AJ136" s="22">
        <v>126</v>
      </c>
      <c r="AK136" s="22">
        <v>0.53433200000000003</v>
      </c>
      <c r="AL136">
        <f t="shared" si="18"/>
        <v>24.014299999999999</v>
      </c>
      <c r="AM136">
        <f t="shared" si="19"/>
        <v>12.836003564499999</v>
      </c>
      <c r="AP136" s="9"/>
      <c r="AQ136" s="22">
        <v>1.16547</v>
      </c>
      <c r="AR136" s="22">
        <v>476.245</v>
      </c>
      <c r="AS136" s="22">
        <v>-2.3159800000000001E-2</v>
      </c>
      <c r="AT136" s="22">
        <v>126</v>
      </c>
      <c r="AU136" s="22">
        <v>1.16455</v>
      </c>
      <c r="AV136">
        <f t="shared" si="20"/>
        <v>23.159800000000001</v>
      </c>
      <c r="AW136">
        <f t="shared" si="21"/>
        <v>26.992052105999999</v>
      </c>
      <c r="AX136" s="9"/>
      <c r="AY136" s="22">
        <v>0.53451499999999996</v>
      </c>
      <c r="AZ136" s="22">
        <v>587.12400000000002</v>
      </c>
      <c r="BA136" s="22">
        <v>-2.40509E-2</v>
      </c>
      <c r="BB136" s="22">
        <v>126</v>
      </c>
      <c r="BC136" s="22">
        <v>0.53417999999999999</v>
      </c>
      <c r="BD136">
        <f t="shared" si="22"/>
        <v>24.050899999999999</v>
      </c>
      <c r="BE136">
        <f t="shared" si="23"/>
        <v>12.855566813499998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68.796800000000005</v>
      </c>
      <c r="I137" s="22">
        <v>-2.3800700000000001E-2</v>
      </c>
      <c r="J137" s="22">
        <v>127</v>
      </c>
      <c r="K137" s="22">
        <v>1.15967</v>
      </c>
      <c r="L137">
        <f t="shared" si="12"/>
        <v>23.800700000000003</v>
      </c>
      <c r="M137">
        <f t="shared" si="13"/>
        <v>27.619046301000004</v>
      </c>
      <c r="N137" s="9"/>
      <c r="O137" s="22">
        <v>0.539551</v>
      </c>
      <c r="P137" s="22">
        <v>158.114</v>
      </c>
      <c r="Q137" s="22">
        <v>-2.4417100000000001E-2</v>
      </c>
      <c r="R137" s="22">
        <v>127</v>
      </c>
      <c r="S137" s="22">
        <v>0.53903199999999996</v>
      </c>
      <c r="T137">
        <f t="shared" si="14"/>
        <v>24.417100000000001</v>
      </c>
      <c r="U137">
        <f t="shared" si="15"/>
        <v>13.174270722100001</v>
      </c>
      <c r="X137" s="9"/>
      <c r="Y137" s="22">
        <v>1.1604300000000001</v>
      </c>
      <c r="Z137" s="22">
        <v>282.07600000000002</v>
      </c>
      <c r="AA137" s="22">
        <v>-2.33124E-2</v>
      </c>
      <c r="AB137" s="22">
        <v>127</v>
      </c>
      <c r="AC137" s="22">
        <v>1.15967</v>
      </c>
      <c r="AD137">
        <f t="shared" si="16"/>
        <v>23.3124</v>
      </c>
      <c r="AE137">
        <f t="shared" si="17"/>
        <v>27.052408332000002</v>
      </c>
      <c r="AF137" s="9"/>
      <c r="AG137" s="22">
        <v>0.539551</v>
      </c>
      <c r="AH137" s="22">
        <v>387.95499999999998</v>
      </c>
      <c r="AI137" s="22">
        <v>-2.40112E-2</v>
      </c>
      <c r="AJ137" s="22">
        <v>127</v>
      </c>
      <c r="AK137" s="22">
        <v>0.539551</v>
      </c>
      <c r="AL137">
        <f t="shared" si="18"/>
        <v>24.011199999999999</v>
      </c>
      <c r="AM137">
        <f t="shared" si="19"/>
        <v>12.955266971199999</v>
      </c>
      <c r="AP137" s="9"/>
      <c r="AQ137" s="22">
        <v>1.1604300000000001</v>
      </c>
      <c r="AR137" s="22">
        <v>476.346</v>
      </c>
      <c r="AS137" s="22">
        <v>-2.3168899999999999E-2</v>
      </c>
      <c r="AT137" s="22">
        <v>127</v>
      </c>
      <c r="AU137" s="22">
        <v>1.16028</v>
      </c>
      <c r="AV137">
        <f t="shared" si="20"/>
        <v>23.168900000000001</v>
      </c>
      <c r="AW137">
        <f t="shared" si="21"/>
        <v>26.885886627000001</v>
      </c>
      <c r="AX137" s="9"/>
      <c r="AY137" s="22">
        <v>0.539551</v>
      </c>
      <c r="AZ137" s="22">
        <v>587.22500000000002</v>
      </c>
      <c r="BA137" s="22">
        <v>-2.40387E-2</v>
      </c>
      <c r="BB137" s="22">
        <v>127</v>
      </c>
      <c r="BC137" s="22">
        <v>0.53915400000000002</v>
      </c>
      <c r="BD137">
        <f t="shared" si="22"/>
        <v>24.038699999999999</v>
      </c>
      <c r="BE137">
        <f t="shared" si="23"/>
        <v>12.970104623699999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68.897499999999994</v>
      </c>
      <c r="I138" s="22">
        <v>-2.3806799999999999E-2</v>
      </c>
      <c r="J138" s="22">
        <v>128</v>
      </c>
      <c r="K138" s="22">
        <v>1.1541699999999999</v>
      </c>
      <c r="L138">
        <f t="shared" si="12"/>
        <v>23.806799999999999</v>
      </c>
      <c r="M138">
        <f t="shared" si="13"/>
        <v>27.506376719999999</v>
      </c>
      <c r="N138" s="9"/>
      <c r="O138" s="22">
        <v>0.54458600000000001</v>
      </c>
      <c r="P138" s="22">
        <v>158.215</v>
      </c>
      <c r="Q138" s="22">
        <v>-2.4417100000000001E-2</v>
      </c>
      <c r="R138" s="22">
        <v>128</v>
      </c>
      <c r="S138" s="22">
        <v>0.54367100000000002</v>
      </c>
      <c r="T138">
        <f t="shared" si="14"/>
        <v>24.417100000000001</v>
      </c>
      <c r="U138">
        <f t="shared" si="15"/>
        <v>13.297210820600002</v>
      </c>
      <c r="X138" s="9"/>
      <c r="Y138" s="22">
        <v>1.1554</v>
      </c>
      <c r="Z138" s="22">
        <v>282.17700000000002</v>
      </c>
      <c r="AA138" s="22">
        <v>-2.3324600000000001E-2</v>
      </c>
      <c r="AB138" s="22">
        <v>128</v>
      </c>
      <c r="AC138" s="22">
        <v>1.15448</v>
      </c>
      <c r="AD138">
        <f t="shared" si="16"/>
        <v>23.3246</v>
      </c>
      <c r="AE138">
        <f t="shared" si="17"/>
        <v>26.94924284</v>
      </c>
      <c r="AF138" s="9"/>
      <c r="AG138" s="22">
        <v>0.54458600000000001</v>
      </c>
      <c r="AH138" s="22">
        <v>388.05599999999998</v>
      </c>
      <c r="AI138" s="22">
        <v>-2.40112E-2</v>
      </c>
      <c r="AJ138" s="22">
        <v>128</v>
      </c>
      <c r="AK138" s="22">
        <v>0.54446399999999995</v>
      </c>
      <c r="AL138">
        <f t="shared" si="18"/>
        <v>24.011199999999999</v>
      </c>
      <c r="AM138">
        <f t="shared" si="19"/>
        <v>13.076163363199999</v>
      </c>
      <c r="AP138" s="9"/>
      <c r="AQ138" s="22">
        <v>1.1554</v>
      </c>
      <c r="AR138" s="22">
        <v>476.44600000000003</v>
      </c>
      <c r="AS138" s="22">
        <v>-2.3168899999999999E-2</v>
      </c>
      <c r="AT138" s="22">
        <v>128</v>
      </c>
      <c r="AU138" s="22">
        <v>1.15448</v>
      </c>
      <c r="AV138">
        <f t="shared" si="20"/>
        <v>23.168900000000001</v>
      </c>
      <c r="AW138">
        <f t="shared" si="21"/>
        <v>26.769347060000001</v>
      </c>
      <c r="AX138" s="9"/>
      <c r="AY138" s="22">
        <v>0.54458600000000001</v>
      </c>
      <c r="AZ138" s="22">
        <v>587.32500000000005</v>
      </c>
      <c r="BA138" s="22">
        <v>-2.4035600000000001E-2</v>
      </c>
      <c r="BB138" s="22">
        <v>128</v>
      </c>
      <c r="BC138" s="22">
        <v>0.54403699999999999</v>
      </c>
      <c r="BD138">
        <f t="shared" si="22"/>
        <v>24.035600000000002</v>
      </c>
      <c r="BE138">
        <f t="shared" si="23"/>
        <v>13.089451261600001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68.998199999999997</v>
      </c>
      <c r="I139" s="22">
        <v>-2.3812900000000001E-2</v>
      </c>
      <c r="J139" s="22">
        <v>129</v>
      </c>
      <c r="K139" s="22">
        <v>1.14899</v>
      </c>
      <c r="L139">
        <f t="shared" si="12"/>
        <v>23.812900000000003</v>
      </c>
      <c r="M139">
        <f t="shared" si="13"/>
        <v>27.393407644000003</v>
      </c>
      <c r="N139" s="9"/>
      <c r="O139" s="22">
        <v>0.54962200000000005</v>
      </c>
      <c r="P139" s="22">
        <v>158.316</v>
      </c>
      <c r="Q139" s="22">
        <v>-2.44049E-2</v>
      </c>
      <c r="R139" s="22">
        <v>129</v>
      </c>
      <c r="S139" s="22">
        <v>0.54898100000000005</v>
      </c>
      <c r="T139">
        <f t="shared" si="14"/>
        <v>24.404900000000001</v>
      </c>
      <c r="U139">
        <f t="shared" si="15"/>
        <v>13.413469947800001</v>
      </c>
      <c r="X139" s="9"/>
      <c r="Y139" s="22">
        <v>1.15036</v>
      </c>
      <c r="Z139" s="22">
        <v>282.27800000000002</v>
      </c>
      <c r="AA139" s="22">
        <v>-2.3330699999999999E-2</v>
      </c>
      <c r="AB139" s="22">
        <v>129</v>
      </c>
      <c r="AC139" s="22">
        <v>1.1496</v>
      </c>
      <c r="AD139">
        <f t="shared" si="16"/>
        <v>23.3307</v>
      </c>
      <c r="AE139">
        <f t="shared" si="17"/>
        <v>26.838704052000001</v>
      </c>
      <c r="AF139" s="9"/>
      <c r="AG139" s="22">
        <v>0.54962200000000005</v>
      </c>
      <c r="AH139" s="22">
        <v>388.15699999999998</v>
      </c>
      <c r="AI139" s="22">
        <v>-2.4002099999999998E-2</v>
      </c>
      <c r="AJ139" s="22">
        <v>129</v>
      </c>
      <c r="AK139" s="22">
        <v>0.54901100000000003</v>
      </c>
      <c r="AL139">
        <f t="shared" si="18"/>
        <v>24.002099999999999</v>
      </c>
      <c r="AM139">
        <f t="shared" si="19"/>
        <v>13.1920822062</v>
      </c>
      <c r="AP139" s="9"/>
      <c r="AQ139" s="22">
        <v>1.15036</v>
      </c>
      <c r="AR139" s="22">
        <v>476.54700000000003</v>
      </c>
      <c r="AS139" s="22">
        <v>-2.3181199999999999E-2</v>
      </c>
      <c r="AT139" s="22">
        <v>129</v>
      </c>
      <c r="AU139" s="22">
        <v>1.1492899999999999</v>
      </c>
      <c r="AV139">
        <f t="shared" si="20"/>
        <v>23.1812</v>
      </c>
      <c r="AW139">
        <f t="shared" si="21"/>
        <v>26.666725232000001</v>
      </c>
      <c r="AX139" s="9"/>
      <c r="AY139" s="22">
        <v>0.54962200000000005</v>
      </c>
      <c r="AZ139" s="22">
        <v>587.42600000000004</v>
      </c>
      <c r="BA139" s="22">
        <v>-2.4032600000000001E-2</v>
      </c>
      <c r="BB139" s="22">
        <v>129</v>
      </c>
      <c r="BC139" s="22">
        <v>0.54931600000000003</v>
      </c>
      <c r="BD139">
        <f t="shared" si="22"/>
        <v>24.032600000000002</v>
      </c>
      <c r="BE139">
        <f t="shared" si="23"/>
        <v>13.208845677200003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69.0989</v>
      </c>
      <c r="I140" s="22">
        <v>-2.3812900000000001E-2</v>
      </c>
      <c r="J140" s="22">
        <v>130</v>
      </c>
      <c r="K140" s="22">
        <v>1.1450199999999999</v>
      </c>
      <c r="L140">
        <f t="shared" ref="L140:L203" si="24">-I140/$F$2*1000</f>
        <v>23.812900000000003</v>
      </c>
      <c r="M140">
        <f t="shared" ref="M140:M203" si="25">L140*G140</f>
        <v>27.273390628000001</v>
      </c>
      <c r="N140" s="9"/>
      <c r="O140" s="22">
        <v>0.55465699999999996</v>
      </c>
      <c r="P140" s="22">
        <v>158.416</v>
      </c>
      <c r="Q140" s="22">
        <v>-2.4398799999999998E-2</v>
      </c>
      <c r="R140" s="22">
        <v>130</v>
      </c>
      <c r="S140" s="22">
        <v>0.55435199999999996</v>
      </c>
      <c r="T140">
        <f t="shared" ref="T140:T203" si="26">-Q140/$F$2*1000</f>
        <v>24.398799999999998</v>
      </c>
      <c r="U140">
        <f t="shared" ref="U140:U203" si="27">T140*O140</f>
        <v>13.532965211599997</v>
      </c>
      <c r="X140" s="9"/>
      <c r="Y140" s="22">
        <v>1.1453199999999999</v>
      </c>
      <c r="Z140" s="22">
        <v>282.37900000000002</v>
      </c>
      <c r="AA140" s="22">
        <v>-2.3333699999999999E-2</v>
      </c>
      <c r="AB140" s="22">
        <v>130</v>
      </c>
      <c r="AC140" s="22">
        <v>1.1447099999999999</v>
      </c>
      <c r="AD140">
        <f t="shared" ref="AD140:AD203" si="28">-AA140/$F$2*1000</f>
        <v>23.3337</v>
      </c>
      <c r="AE140">
        <f t="shared" ref="AE140:AE203" si="29">AD140*Y140</f>
        <v>26.724553283999999</v>
      </c>
      <c r="AF140" s="9"/>
      <c r="AG140" s="22">
        <v>0.55465699999999996</v>
      </c>
      <c r="AH140" s="22">
        <v>388.25700000000001</v>
      </c>
      <c r="AI140" s="22">
        <v>-2.3992900000000001E-2</v>
      </c>
      <c r="AJ140" s="22">
        <v>130</v>
      </c>
      <c r="AK140" s="22">
        <v>0.55413800000000002</v>
      </c>
      <c r="AL140">
        <f t="shared" ref="AL140:AL203" si="30">-AI140/$F$2*1000</f>
        <v>23.992900000000002</v>
      </c>
      <c r="AM140">
        <f t="shared" ref="AM140:AM203" si="31">AL140*AG140</f>
        <v>13.307829935300001</v>
      </c>
      <c r="AP140" s="9"/>
      <c r="AQ140" s="22">
        <v>1.1453199999999999</v>
      </c>
      <c r="AR140" s="22">
        <v>476.64800000000002</v>
      </c>
      <c r="AS140" s="22">
        <v>-2.3187300000000001E-2</v>
      </c>
      <c r="AT140" s="22">
        <v>130</v>
      </c>
      <c r="AU140" s="22">
        <v>1.1440999999999999</v>
      </c>
      <c r="AV140">
        <f t="shared" ref="AV140:AV203" si="32">-AS140/$F$2*1000</f>
        <v>23.1873</v>
      </c>
      <c r="AW140">
        <f t="shared" ref="AW140:AW203" si="33">AV140*AQ140</f>
        <v>26.556878435999998</v>
      </c>
      <c r="AX140" s="9"/>
      <c r="AY140" s="22">
        <v>0.55465699999999996</v>
      </c>
      <c r="AZ140" s="22">
        <v>587.52700000000004</v>
      </c>
      <c r="BA140" s="22">
        <v>-2.4026499999999999E-2</v>
      </c>
      <c r="BB140" s="22">
        <v>130</v>
      </c>
      <c r="BC140" s="22">
        <v>0.55413800000000002</v>
      </c>
      <c r="BD140">
        <f t="shared" ref="BD140:BD203" si="34">-BA140/$F$2*1000</f>
        <v>24.026499999999999</v>
      </c>
      <c r="BE140">
        <f t="shared" ref="BE140:BE203" si="35">BD140*AY140</f>
        <v>13.326466410499998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69.199600000000004</v>
      </c>
      <c r="I141" s="22">
        <v>-2.38312E-2</v>
      </c>
      <c r="J141" s="22">
        <v>131</v>
      </c>
      <c r="K141" s="22">
        <v>1.1392199999999999</v>
      </c>
      <c r="L141">
        <f t="shared" si="24"/>
        <v>23.831199999999999</v>
      </c>
      <c r="M141">
        <f t="shared" si="25"/>
        <v>27.174479047999998</v>
      </c>
      <c r="N141" s="9"/>
      <c r="O141" s="22">
        <v>0.55969199999999997</v>
      </c>
      <c r="P141" s="22">
        <v>158.517</v>
      </c>
      <c r="Q141" s="22">
        <v>-2.4502599999999999E-2</v>
      </c>
      <c r="R141" s="22">
        <v>131</v>
      </c>
      <c r="S141" s="22">
        <v>0.55932599999999999</v>
      </c>
      <c r="T141">
        <f t="shared" si="26"/>
        <v>24.502600000000001</v>
      </c>
      <c r="U141">
        <f t="shared" si="27"/>
        <v>13.7139091992</v>
      </c>
      <c r="X141" s="9"/>
      <c r="Y141" s="22">
        <v>1.14029</v>
      </c>
      <c r="Z141" s="22">
        <v>282.47899999999998</v>
      </c>
      <c r="AA141" s="22">
        <v>-2.3349000000000002E-2</v>
      </c>
      <c r="AB141" s="22">
        <v>131</v>
      </c>
      <c r="AC141" s="22">
        <v>1.1398299999999999</v>
      </c>
      <c r="AD141">
        <f t="shared" si="28"/>
        <v>23.349</v>
      </c>
      <c r="AE141">
        <f t="shared" si="29"/>
        <v>26.62463121</v>
      </c>
      <c r="AF141" s="9"/>
      <c r="AG141" s="22">
        <v>0.55969199999999997</v>
      </c>
      <c r="AH141" s="22">
        <v>388.358</v>
      </c>
      <c r="AI141" s="22">
        <v>-2.3996E-2</v>
      </c>
      <c r="AJ141" s="22">
        <v>131</v>
      </c>
      <c r="AK141" s="22">
        <v>0.55905199999999999</v>
      </c>
      <c r="AL141">
        <f t="shared" si="30"/>
        <v>23.995999999999999</v>
      </c>
      <c r="AM141">
        <f t="shared" si="31"/>
        <v>13.430369231999999</v>
      </c>
      <c r="AP141" s="9"/>
      <c r="AQ141" s="22">
        <v>1.14029</v>
      </c>
      <c r="AR141" s="22">
        <v>476.74900000000002</v>
      </c>
      <c r="AS141" s="22">
        <v>-2.3199500000000001E-2</v>
      </c>
      <c r="AT141" s="22">
        <v>131</v>
      </c>
      <c r="AU141" s="22">
        <v>1.1392199999999999</v>
      </c>
      <c r="AV141">
        <f t="shared" si="32"/>
        <v>23.1995</v>
      </c>
      <c r="AW141">
        <f t="shared" si="33"/>
        <v>26.454157855000002</v>
      </c>
      <c r="AX141" s="9"/>
      <c r="AY141" s="22">
        <v>0.55969199999999997</v>
      </c>
      <c r="AZ141" s="22">
        <v>587.62699999999995</v>
      </c>
      <c r="BA141" s="22">
        <v>-2.4020400000000001E-2</v>
      </c>
      <c r="BB141" s="22">
        <v>131</v>
      </c>
      <c r="BC141" s="22">
        <v>0.55908199999999997</v>
      </c>
      <c r="BD141">
        <f t="shared" si="34"/>
        <v>24.020400000000002</v>
      </c>
      <c r="BE141">
        <f t="shared" si="35"/>
        <v>13.444025716800001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69.300399999999996</v>
      </c>
      <c r="I142" s="22">
        <v>-2.38342E-2</v>
      </c>
      <c r="J142" s="22">
        <v>132</v>
      </c>
      <c r="K142" s="22">
        <v>1.1349499999999999</v>
      </c>
      <c r="L142">
        <f t="shared" si="24"/>
        <v>23.834199999999999</v>
      </c>
      <c r="M142">
        <f t="shared" si="25"/>
        <v>27.057775550000002</v>
      </c>
      <c r="N142" s="9"/>
      <c r="O142" s="22">
        <v>0.56472800000000001</v>
      </c>
      <c r="P142" s="22">
        <v>158.61799999999999</v>
      </c>
      <c r="Q142" s="22">
        <v>-2.4496500000000001E-2</v>
      </c>
      <c r="R142" s="22">
        <v>132</v>
      </c>
      <c r="S142" s="22">
        <v>0.56433100000000003</v>
      </c>
      <c r="T142">
        <f t="shared" si="26"/>
        <v>24.496500000000001</v>
      </c>
      <c r="U142">
        <f t="shared" si="27"/>
        <v>13.833859452</v>
      </c>
      <c r="X142" s="9"/>
      <c r="Y142" s="22">
        <v>1.1352500000000001</v>
      </c>
      <c r="Z142" s="22">
        <v>282.58</v>
      </c>
      <c r="AA142" s="22">
        <v>-2.3358199999999999E-2</v>
      </c>
      <c r="AB142" s="22">
        <v>132</v>
      </c>
      <c r="AC142" s="22">
        <v>1.1349499999999999</v>
      </c>
      <c r="AD142">
        <f t="shared" si="28"/>
        <v>23.3582</v>
      </c>
      <c r="AE142">
        <f t="shared" si="29"/>
        <v>26.517396550000001</v>
      </c>
      <c r="AF142" s="9"/>
      <c r="AG142" s="22">
        <v>0.56472800000000001</v>
      </c>
      <c r="AH142" s="22">
        <v>388.459</v>
      </c>
      <c r="AI142" s="22">
        <v>-2.3989900000000002E-2</v>
      </c>
      <c r="AJ142" s="22">
        <v>132</v>
      </c>
      <c r="AK142" s="22">
        <v>0.56484999999999996</v>
      </c>
      <c r="AL142">
        <f t="shared" si="30"/>
        <v>23.989900000000002</v>
      </c>
      <c r="AM142">
        <f t="shared" si="31"/>
        <v>13.547768247200002</v>
      </c>
      <c r="AP142" s="9"/>
      <c r="AQ142" s="22">
        <v>1.1352500000000001</v>
      </c>
      <c r="AR142" s="22">
        <v>476.84899999999999</v>
      </c>
      <c r="AS142" s="22">
        <v>-2.32056E-2</v>
      </c>
      <c r="AT142" s="22">
        <v>132</v>
      </c>
      <c r="AU142" s="22">
        <v>1.1349499999999999</v>
      </c>
      <c r="AV142">
        <f t="shared" si="32"/>
        <v>23.2056</v>
      </c>
      <c r="AW142">
        <f t="shared" si="33"/>
        <v>26.344157400000004</v>
      </c>
      <c r="AX142" s="9"/>
      <c r="AY142" s="22">
        <v>0.56472800000000001</v>
      </c>
      <c r="AZ142" s="22">
        <v>587.72799999999995</v>
      </c>
      <c r="BA142" s="22">
        <v>-2.4017299999999998E-2</v>
      </c>
      <c r="BB142" s="22">
        <v>132</v>
      </c>
      <c r="BC142" s="22">
        <v>0.56387299999999996</v>
      </c>
      <c r="BD142">
        <f t="shared" si="34"/>
        <v>24.017299999999999</v>
      </c>
      <c r="BE142">
        <f t="shared" si="35"/>
        <v>13.5632417944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69.4011</v>
      </c>
      <c r="I143" s="22">
        <v>-2.3837299999999999E-2</v>
      </c>
      <c r="J143" s="22">
        <v>133</v>
      </c>
      <c r="K143" s="22">
        <v>1.1288499999999999</v>
      </c>
      <c r="L143">
        <f t="shared" si="24"/>
        <v>23.837299999999999</v>
      </c>
      <c r="M143">
        <f t="shared" si="25"/>
        <v>26.941393205999997</v>
      </c>
      <c r="N143" s="9"/>
      <c r="O143" s="22">
        <v>0.56976300000000002</v>
      </c>
      <c r="P143" s="22">
        <v>158.71899999999999</v>
      </c>
      <c r="Q143" s="22">
        <v>-2.4490399999999999E-2</v>
      </c>
      <c r="R143" s="22">
        <v>133</v>
      </c>
      <c r="S143" s="22">
        <v>0.56915300000000002</v>
      </c>
      <c r="T143">
        <f t="shared" si="26"/>
        <v>24.490399999999998</v>
      </c>
      <c r="U143">
        <f t="shared" si="27"/>
        <v>13.953723775199999</v>
      </c>
      <c r="X143" s="9"/>
      <c r="Y143" s="22">
        <v>1.13022</v>
      </c>
      <c r="Z143" s="22">
        <v>282.68099999999998</v>
      </c>
      <c r="AA143" s="22">
        <v>-2.3364300000000001E-2</v>
      </c>
      <c r="AB143" s="22">
        <v>133</v>
      </c>
      <c r="AC143" s="22">
        <v>1.1294599999999999</v>
      </c>
      <c r="AD143">
        <f t="shared" si="28"/>
        <v>23.3643</v>
      </c>
      <c r="AE143">
        <f t="shared" si="29"/>
        <v>26.406799146000001</v>
      </c>
      <c r="AF143" s="9"/>
      <c r="AG143" s="22">
        <v>0.56976300000000002</v>
      </c>
      <c r="AH143" s="22">
        <v>388.55900000000003</v>
      </c>
      <c r="AI143" s="22">
        <v>-2.3980700000000001E-2</v>
      </c>
      <c r="AJ143" s="22">
        <v>133</v>
      </c>
      <c r="AK143" s="22">
        <v>0.56939700000000004</v>
      </c>
      <c r="AL143">
        <f t="shared" si="30"/>
        <v>23.980700000000002</v>
      </c>
      <c r="AM143">
        <f t="shared" si="31"/>
        <v>13.663315574100002</v>
      </c>
      <c r="AP143" s="9"/>
      <c r="AQ143" s="22">
        <v>1.13022</v>
      </c>
      <c r="AR143" s="22">
        <v>476.95</v>
      </c>
      <c r="AS143" s="22">
        <v>-2.3208599999999999E-2</v>
      </c>
      <c r="AT143" s="22">
        <v>133</v>
      </c>
      <c r="AU143" s="22">
        <v>1.1294599999999999</v>
      </c>
      <c r="AV143">
        <f t="shared" si="32"/>
        <v>23.208600000000001</v>
      </c>
      <c r="AW143">
        <f t="shared" si="33"/>
        <v>26.230823892</v>
      </c>
      <c r="AX143" s="9"/>
      <c r="AY143" s="22">
        <v>0.56976300000000002</v>
      </c>
      <c r="AZ143" s="22">
        <v>587.82899999999995</v>
      </c>
      <c r="BA143" s="22">
        <v>-2.40112E-2</v>
      </c>
      <c r="BB143" s="22">
        <v>133</v>
      </c>
      <c r="BC143" s="22">
        <v>0.56915300000000002</v>
      </c>
      <c r="BD143">
        <f t="shared" si="34"/>
        <v>24.011199999999999</v>
      </c>
      <c r="BE143">
        <f t="shared" si="35"/>
        <v>13.6806933456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69.501800000000003</v>
      </c>
      <c r="I144" s="22">
        <v>-2.3840299999999998E-2</v>
      </c>
      <c r="J144" s="22">
        <v>134</v>
      </c>
      <c r="K144" s="22">
        <v>1.1248800000000001</v>
      </c>
      <c r="L144">
        <f t="shared" si="24"/>
        <v>23.840299999999999</v>
      </c>
      <c r="M144">
        <f t="shared" si="25"/>
        <v>26.824628753999999</v>
      </c>
      <c r="N144" s="9"/>
      <c r="O144" s="22">
        <v>0.57479899999999995</v>
      </c>
      <c r="P144" s="22">
        <v>158.81899999999999</v>
      </c>
      <c r="Q144" s="22">
        <v>-2.4481200000000002E-2</v>
      </c>
      <c r="R144" s="22">
        <v>134</v>
      </c>
      <c r="S144" s="22">
        <v>0.57418800000000003</v>
      </c>
      <c r="T144">
        <f t="shared" si="26"/>
        <v>24.481200000000001</v>
      </c>
      <c r="U144">
        <f t="shared" si="27"/>
        <v>14.0717692788</v>
      </c>
      <c r="X144" s="9"/>
      <c r="Y144" s="22">
        <v>1.1251800000000001</v>
      </c>
      <c r="Z144" s="22">
        <v>282.78100000000001</v>
      </c>
      <c r="AA144" s="22">
        <v>-2.3376500000000001E-2</v>
      </c>
      <c r="AB144" s="22">
        <v>134</v>
      </c>
      <c r="AC144" s="22">
        <v>1.1248800000000001</v>
      </c>
      <c r="AD144">
        <f t="shared" si="28"/>
        <v>23.3765</v>
      </c>
      <c r="AE144">
        <f t="shared" si="29"/>
        <v>26.302770270000003</v>
      </c>
      <c r="AF144" s="9"/>
      <c r="AG144" s="22">
        <v>0.57479899999999995</v>
      </c>
      <c r="AH144" s="22">
        <v>388.66</v>
      </c>
      <c r="AI144" s="22">
        <v>-2.3962399999999998E-2</v>
      </c>
      <c r="AJ144" s="22">
        <v>134</v>
      </c>
      <c r="AK144" s="22">
        <v>0.57467699999999999</v>
      </c>
      <c r="AL144">
        <f t="shared" si="30"/>
        <v>23.962399999999999</v>
      </c>
      <c r="AM144">
        <f t="shared" si="31"/>
        <v>13.773563557599998</v>
      </c>
      <c r="AP144" s="9"/>
      <c r="AQ144" s="22">
        <v>1.1251800000000001</v>
      </c>
      <c r="AR144" s="22">
        <v>477.05099999999999</v>
      </c>
      <c r="AS144" s="22">
        <v>-2.32178E-2</v>
      </c>
      <c r="AT144" s="22">
        <v>134</v>
      </c>
      <c r="AU144" s="22">
        <v>1.1245700000000001</v>
      </c>
      <c r="AV144">
        <f t="shared" si="32"/>
        <v>23.2178</v>
      </c>
      <c r="AW144">
        <f t="shared" si="33"/>
        <v>26.124204204000002</v>
      </c>
      <c r="AX144" s="9"/>
      <c r="AY144" s="22">
        <v>0.57479899999999995</v>
      </c>
      <c r="AZ144" s="22">
        <v>587.92999999999995</v>
      </c>
      <c r="BA144" s="22">
        <v>-2.40082E-2</v>
      </c>
      <c r="BB144" s="22">
        <v>134</v>
      </c>
      <c r="BC144" s="22">
        <v>0.57406599999999997</v>
      </c>
      <c r="BD144">
        <f t="shared" si="34"/>
        <v>24.008199999999999</v>
      </c>
      <c r="BE144">
        <f t="shared" si="35"/>
        <v>13.799889351799997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69.602500000000006</v>
      </c>
      <c r="I145" s="22">
        <v>-2.3855600000000001E-2</v>
      </c>
      <c r="J145" s="22">
        <v>135</v>
      </c>
      <c r="K145" s="22">
        <v>1.11938</v>
      </c>
      <c r="L145">
        <f t="shared" si="24"/>
        <v>23.855600000000003</v>
      </c>
      <c r="M145">
        <f t="shared" si="25"/>
        <v>26.721850340000003</v>
      </c>
      <c r="N145" s="9"/>
      <c r="O145" s="22">
        <v>0.57983399999999996</v>
      </c>
      <c r="P145" s="22">
        <v>158.91999999999999</v>
      </c>
      <c r="Q145" s="22">
        <v>-2.4478099999999999E-2</v>
      </c>
      <c r="R145" s="22">
        <v>135</v>
      </c>
      <c r="S145" s="22">
        <v>0.57897900000000002</v>
      </c>
      <c r="T145">
        <f t="shared" si="26"/>
        <v>24.478099999999998</v>
      </c>
      <c r="U145">
        <f t="shared" si="27"/>
        <v>14.193234635399998</v>
      </c>
      <c r="X145" s="9"/>
      <c r="Y145" s="22">
        <v>1.12015</v>
      </c>
      <c r="Z145" s="22">
        <v>282.88200000000001</v>
      </c>
      <c r="AA145" s="22">
        <v>-2.33704E-2</v>
      </c>
      <c r="AB145" s="22">
        <v>135</v>
      </c>
      <c r="AC145" s="22">
        <v>1.1190800000000001</v>
      </c>
      <c r="AD145">
        <f t="shared" si="28"/>
        <v>23.3704</v>
      </c>
      <c r="AE145">
        <f t="shared" si="29"/>
        <v>26.178353559999998</v>
      </c>
      <c r="AF145" s="9"/>
      <c r="AG145" s="22">
        <v>0.57983399999999996</v>
      </c>
      <c r="AH145" s="22">
        <v>388.76100000000002</v>
      </c>
      <c r="AI145" s="22">
        <v>-2.39685E-2</v>
      </c>
      <c r="AJ145" s="22">
        <v>135</v>
      </c>
      <c r="AK145" s="22">
        <v>0.57894900000000005</v>
      </c>
      <c r="AL145">
        <f t="shared" si="30"/>
        <v>23.968499999999999</v>
      </c>
      <c r="AM145">
        <f t="shared" si="31"/>
        <v>13.897751228999999</v>
      </c>
      <c r="AP145" s="9"/>
      <c r="AQ145" s="22">
        <v>1.12015</v>
      </c>
      <c r="AR145" s="22">
        <v>477.15100000000001</v>
      </c>
      <c r="AS145" s="22">
        <v>-2.3230000000000001E-2</v>
      </c>
      <c r="AT145" s="22">
        <v>135</v>
      </c>
      <c r="AU145" s="22">
        <v>1.1190800000000001</v>
      </c>
      <c r="AV145">
        <f t="shared" si="32"/>
        <v>23.23</v>
      </c>
      <c r="AW145">
        <f t="shared" si="33"/>
        <v>26.021084500000001</v>
      </c>
      <c r="AX145" s="9"/>
      <c r="AY145" s="22">
        <v>0.57983399999999996</v>
      </c>
      <c r="AZ145" s="22">
        <v>588.03</v>
      </c>
      <c r="BA145" s="22">
        <v>-2.3998999999999999E-2</v>
      </c>
      <c r="BB145" s="22">
        <v>135</v>
      </c>
      <c r="BC145" s="22">
        <v>0.57922399999999996</v>
      </c>
      <c r="BD145">
        <f t="shared" si="34"/>
        <v>23.998999999999999</v>
      </c>
      <c r="BE145">
        <f t="shared" si="35"/>
        <v>13.915436165999999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69.703199999999995</v>
      </c>
      <c r="I146" s="22">
        <v>-2.3858600000000001E-2</v>
      </c>
      <c r="J146" s="22">
        <v>136</v>
      </c>
      <c r="K146" s="22">
        <v>1.1145</v>
      </c>
      <c r="L146">
        <f t="shared" si="24"/>
        <v>23.858599999999999</v>
      </c>
      <c r="M146">
        <f t="shared" si="25"/>
        <v>26.604963445999999</v>
      </c>
      <c r="N146" s="9"/>
      <c r="O146" s="22">
        <v>0.58486899999999997</v>
      </c>
      <c r="P146" s="22">
        <v>159.02099999999999</v>
      </c>
      <c r="Q146" s="22">
        <v>-2.4465899999999999E-2</v>
      </c>
      <c r="R146" s="22">
        <v>136</v>
      </c>
      <c r="S146" s="22">
        <v>0.58435099999999995</v>
      </c>
      <c r="T146">
        <f t="shared" si="26"/>
        <v>24.465899999999998</v>
      </c>
      <c r="U146">
        <f t="shared" si="27"/>
        <v>14.309346467099997</v>
      </c>
      <c r="X146" s="9"/>
      <c r="Y146" s="22">
        <v>1.11511</v>
      </c>
      <c r="Z146" s="22">
        <v>282.983</v>
      </c>
      <c r="AA146" s="22">
        <v>-2.33704E-2</v>
      </c>
      <c r="AB146" s="22">
        <v>136</v>
      </c>
      <c r="AC146" s="22">
        <v>1.1148100000000001</v>
      </c>
      <c r="AD146">
        <f t="shared" si="28"/>
        <v>23.3704</v>
      </c>
      <c r="AE146">
        <f t="shared" si="29"/>
        <v>26.060566744000003</v>
      </c>
      <c r="AF146" s="9"/>
      <c r="AG146" s="22">
        <v>0.58486899999999997</v>
      </c>
      <c r="AH146" s="22">
        <v>388.86200000000002</v>
      </c>
      <c r="AI146" s="22">
        <v>-2.3962399999999998E-2</v>
      </c>
      <c r="AJ146" s="22">
        <v>136</v>
      </c>
      <c r="AK146" s="22">
        <v>0.58471700000000004</v>
      </c>
      <c r="AL146">
        <f t="shared" si="30"/>
        <v>23.962399999999999</v>
      </c>
      <c r="AM146">
        <f t="shared" si="31"/>
        <v>14.0148649256</v>
      </c>
      <c r="AP146" s="9"/>
      <c r="AQ146" s="22">
        <v>1.11511</v>
      </c>
      <c r="AR146" s="22">
        <v>477.25200000000001</v>
      </c>
      <c r="AS146" s="22">
        <v>-2.3233E-2</v>
      </c>
      <c r="AT146" s="22">
        <v>136</v>
      </c>
      <c r="AU146" s="22">
        <v>1.1142000000000001</v>
      </c>
      <c r="AV146">
        <f t="shared" si="32"/>
        <v>23.233000000000001</v>
      </c>
      <c r="AW146">
        <f t="shared" si="33"/>
        <v>25.907350630000003</v>
      </c>
      <c r="AX146" s="9"/>
      <c r="AY146" s="22">
        <v>0.58486899999999997</v>
      </c>
      <c r="AZ146" s="22">
        <v>588.13099999999997</v>
      </c>
      <c r="BA146" s="22">
        <v>-2.3992900000000001E-2</v>
      </c>
      <c r="BB146" s="22">
        <v>136</v>
      </c>
      <c r="BC146" s="22">
        <v>0.584534</v>
      </c>
      <c r="BD146">
        <f t="shared" si="34"/>
        <v>23.992900000000002</v>
      </c>
      <c r="BE146">
        <f t="shared" si="35"/>
        <v>14.032703430100002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69.803899999999999</v>
      </c>
      <c r="I147" s="22">
        <v>-2.38617E-2</v>
      </c>
      <c r="J147" s="22">
        <v>137</v>
      </c>
      <c r="K147" s="22">
        <v>1.1084000000000001</v>
      </c>
      <c r="L147">
        <f t="shared" si="24"/>
        <v>23.861699999999999</v>
      </c>
      <c r="M147">
        <f t="shared" si="25"/>
        <v>26.488395935999996</v>
      </c>
      <c r="N147" s="9"/>
      <c r="O147" s="22">
        <v>0.58990500000000001</v>
      </c>
      <c r="P147" s="22">
        <v>159.12100000000001</v>
      </c>
      <c r="Q147" s="22">
        <v>-2.44598E-2</v>
      </c>
      <c r="R147" s="22">
        <v>137</v>
      </c>
      <c r="S147" s="22">
        <v>0.58947799999999995</v>
      </c>
      <c r="T147">
        <f t="shared" si="26"/>
        <v>24.459800000000001</v>
      </c>
      <c r="U147">
        <f t="shared" si="27"/>
        <v>14.428958319000001</v>
      </c>
      <c r="X147" s="9"/>
      <c r="Y147" s="22">
        <v>1.11008</v>
      </c>
      <c r="Z147" s="22">
        <v>283.084</v>
      </c>
      <c r="AA147" s="22">
        <v>-2.33826E-2</v>
      </c>
      <c r="AB147" s="22">
        <v>137</v>
      </c>
      <c r="AC147" s="22">
        <v>1.1087</v>
      </c>
      <c r="AD147">
        <f t="shared" si="28"/>
        <v>23.3826</v>
      </c>
      <c r="AE147">
        <f t="shared" si="29"/>
        <v>25.956556608</v>
      </c>
      <c r="AF147" s="9"/>
      <c r="AG147" s="22">
        <v>0.58990500000000001</v>
      </c>
      <c r="AH147" s="22">
        <v>388.96199999999999</v>
      </c>
      <c r="AI147" s="22">
        <v>-2.39563E-2</v>
      </c>
      <c r="AJ147" s="22">
        <v>137</v>
      </c>
      <c r="AK147" s="22">
        <v>0.58956900000000001</v>
      </c>
      <c r="AL147">
        <f t="shared" si="30"/>
        <v>23.956299999999999</v>
      </c>
      <c r="AM147">
        <f t="shared" si="31"/>
        <v>14.1319411515</v>
      </c>
      <c r="AP147" s="9"/>
      <c r="AQ147" s="22">
        <v>1.11008</v>
      </c>
      <c r="AR147" s="22">
        <v>477.35300000000001</v>
      </c>
      <c r="AS147" s="22">
        <v>-2.3230000000000001E-2</v>
      </c>
      <c r="AT147" s="22">
        <v>137</v>
      </c>
      <c r="AU147" s="22">
        <v>1.1087</v>
      </c>
      <c r="AV147">
        <f t="shared" si="32"/>
        <v>23.23</v>
      </c>
      <c r="AW147">
        <f t="shared" si="33"/>
        <v>25.787158399999999</v>
      </c>
      <c r="AX147" s="9"/>
      <c r="AY147" s="22">
        <v>0.58990500000000001</v>
      </c>
      <c r="AZ147" s="22">
        <v>588.23199999999997</v>
      </c>
      <c r="BA147" s="22">
        <v>-2.39838E-2</v>
      </c>
      <c r="BB147" s="22">
        <v>137</v>
      </c>
      <c r="BC147" s="22">
        <v>0.58972199999999997</v>
      </c>
      <c r="BD147">
        <f t="shared" si="34"/>
        <v>23.983799999999999</v>
      </c>
      <c r="BE147">
        <f t="shared" si="35"/>
        <v>14.148163538999999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69.904600000000002</v>
      </c>
      <c r="I148" s="22">
        <v>-2.3870800000000001E-2</v>
      </c>
      <c r="J148" s="22">
        <v>138</v>
      </c>
      <c r="K148" s="22">
        <v>1.1047400000000001</v>
      </c>
      <c r="L148">
        <f t="shared" si="24"/>
        <v>23.870800000000003</v>
      </c>
      <c r="M148">
        <f t="shared" si="25"/>
        <v>26.378188832000003</v>
      </c>
      <c r="N148" s="9"/>
      <c r="O148" s="22">
        <v>0.59494000000000002</v>
      </c>
      <c r="P148" s="22">
        <v>159.22200000000001</v>
      </c>
      <c r="Q148" s="22">
        <v>-2.4450699999999999E-2</v>
      </c>
      <c r="R148" s="22">
        <v>138</v>
      </c>
      <c r="S148" s="22">
        <v>0.594696</v>
      </c>
      <c r="T148">
        <f t="shared" si="26"/>
        <v>24.450699999999998</v>
      </c>
      <c r="U148">
        <f t="shared" si="27"/>
        <v>14.546699457999999</v>
      </c>
      <c r="X148" s="9"/>
      <c r="Y148" s="22">
        <v>1.10504</v>
      </c>
      <c r="Z148" s="22">
        <v>283.18400000000003</v>
      </c>
      <c r="AA148" s="22">
        <v>-2.33826E-2</v>
      </c>
      <c r="AB148" s="22">
        <v>138</v>
      </c>
      <c r="AC148" s="22">
        <v>1.10504</v>
      </c>
      <c r="AD148">
        <f t="shared" si="28"/>
        <v>23.3826</v>
      </c>
      <c r="AE148">
        <f t="shared" si="29"/>
        <v>25.838708304000001</v>
      </c>
      <c r="AF148" s="9"/>
      <c r="AG148" s="22">
        <v>0.59494000000000002</v>
      </c>
      <c r="AH148" s="22">
        <v>389.06299999999999</v>
      </c>
      <c r="AI148" s="22">
        <v>-2.3950200000000001E-2</v>
      </c>
      <c r="AJ148" s="22">
        <v>138</v>
      </c>
      <c r="AK148" s="22">
        <v>0.59429900000000002</v>
      </c>
      <c r="AL148">
        <f t="shared" si="30"/>
        <v>23.950200000000002</v>
      </c>
      <c r="AM148">
        <f t="shared" si="31"/>
        <v>14.248931988000002</v>
      </c>
      <c r="AP148" s="9"/>
      <c r="AQ148" s="22">
        <v>1.10504</v>
      </c>
      <c r="AR148" s="22">
        <v>477.45299999999997</v>
      </c>
      <c r="AS148" s="22">
        <v>-2.3239099999999999E-2</v>
      </c>
      <c r="AT148" s="22">
        <v>138</v>
      </c>
      <c r="AU148" s="22">
        <v>1.10443</v>
      </c>
      <c r="AV148">
        <f t="shared" si="32"/>
        <v>23.239099999999997</v>
      </c>
      <c r="AW148">
        <f t="shared" si="33"/>
        <v>25.680135063999998</v>
      </c>
      <c r="AX148" s="9"/>
      <c r="AY148" s="22">
        <v>0.59494000000000002</v>
      </c>
      <c r="AZ148" s="22">
        <v>588.33199999999999</v>
      </c>
      <c r="BA148" s="22">
        <v>-2.3977700000000001E-2</v>
      </c>
      <c r="BB148" s="22">
        <v>138</v>
      </c>
      <c r="BC148" s="22">
        <v>0.59429900000000002</v>
      </c>
      <c r="BD148">
        <f t="shared" si="34"/>
        <v>23.977700000000002</v>
      </c>
      <c r="BE148">
        <f t="shared" si="35"/>
        <v>14.265292838000002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70.005300000000005</v>
      </c>
      <c r="I149" s="22">
        <v>-2.3883100000000001E-2</v>
      </c>
      <c r="J149" s="22">
        <v>139</v>
      </c>
      <c r="K149" s="22">
        <v>1.09924</v>
      </c>
      <c r="L149">
        <f t="shared" si="24"/>
        <v>23.883100000000002</v>
      </c>
      <c r="M149">
        <f t="shared" si="25"/>
        <v>26.271648831</v>
      </c>
      <c r="N149" s="9"/>
      <c r="O149" s="22">
        <v>0.59997599999999995</v>
      </c>
      <c r="P149" s="22">
        <v>159.32300000000001</v>
      </c>
      <c r="Q149" s="22">
        <v>-2.4450699999999999E-2</v>
      </c>
      <c r="R149" s="22">
        <v>139</v>
      </c>
      <c r="S149" s="22">
        <v>0.59909100000000004</v>
      </c>
      <c r="T149">
        <f t="shared" si="26"/>
        <v>24.450699999999998</v>
      </c>
      <c r="U149">
        <f t="shared" si="27"/>
        <v>14.669833183199998</v>
      </c>
      <c r="X149" s="9"/>
      <c r="Y149" s="22">
        <v>1.1000099999999999</v>
      </c>
      <c r="Z149" s="22">
        <v>283.28500000000003</v>
      </c>
      <c r="AA149" s="22">
        <v>-2.33948E-2</v>
      </c>
      <c r="AB149" s="22">
        <v>139</v>
      </c>
      <c r="AC149" s="22">
        <v>1.09894</v>
      </c>
      <c r="AD149">
        <f t="shared" si="28"/>
        <v>23.3948</v>
      </c>
      <c r="AE149">
        <f t="shared" si="29"/>
        <v>25.734513948</v>
      </c>
      <c r="AF149" s="9"/>
      <c r="AG149" s="22">
        <v>0.59997599999999995</v>
      </c>
      <c r="AH149" s="22">
        <v>389.16399999999999</v>
      </c>
      <c r="AI149" s="22">
        <v>-2.3947099999999999E-2</v>
      </c>
      <c r="AJ149" s="22">
        <v>139</v>
      </c>
      <c r="AK149" s="22">
        <v>0.59927399999999997</v>
      </c>
      <c r="AL149">
        <f t="shared" si="30"/>
        <v>23.947099999999999</v>
      </c>
      <c r="AM149">
        <f t="shared" si="31"/>
        <v>14.367685269599999</v>
      </c>
      <c r="AP149" s="9"/>
      <c r="AQ149" s="22">
        <v>1.1000099999999999</v>
      </c>
      <c r="AR149" s="22">
        <v>477.55399999999997</v>
      </c>
      <c r="AS149" s="22">
        <v>-2.3245200000000001E-2</v>
      </c>
      <c r="AT149" s="22">
        <v>139</v>
      </c>
      <c r="AU149" s="22">
        <v>1.09894</v>
      </c>
      <c r="AV149">
        <f t="shared" si="32"/>
        <v>23.245200000000001</v>
      </c>
      <c r="AW149">
        <f t="shared" si="33"/>
        <v>25.569952451999999</v>
      </c>
      <c r="AX149" s="9"/>
      <c r="AY149" s="22">
        <v>0.59997599999999995</v>
      </c>
      <c r="AZ149" s="22">
        <v>588.43299999999999</v>
      </c>
      <c r="BA149" s="22">
        <v>-2.3971599999999999E-2</v>
      </c>
      <c r="BB149" s="22">
        <v>139</v>
      </c>
      <c r="BC149" s="22">
        <v>0.59988399999999997</v>
      </c>
      <c r="BD149">
        <f t="shared" si="34"/>
        <v>23.971599999999999</v>
      </c>
      <c r="BE149">
        <f t="shared" si="35"/>
        <v>14.382384681599998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70.105999999999995</v>
      </c>
      <c r="I150" s="22">
        <v>-2.38861E-2</v>
      </c>
      <c r="J150" s="22">
        <v>140</v>
      </c>
      <c r="K150" s="22">
        <v>1.09375</v>
      </c>
      <c r="L150">
        <f t="shared" si="24"/>
        <v>23.886099999999999</v>
      </c>
      <c r="M150">
        <f t="shared" si="25"/>
        <v>26.154562917</v>
      </c>
      <c r="N150" s="9"/>
      <c r="O150" s="22">
        <v>0.60501099999999997</v>
      </c>
      <c r="P150" s="22">
        <v>159.42400000000001</v>
      </c>
      <c r="Q150" s="22">
        <v>-2.4453699999999998E-2</v>
      </c>
      <c r="R150" s="22">
        <v>140</v>
      </c>
      <c r="S150" s="22">
        <v>0.60452300000000003</v>
      </c>
      <c r="T150">
        <f t="shared" si="26"/>
        <v>24.453699999999998</v>
      </c>
      <c r="U150">
        <f t="shared" si="27"/>
        <v>14.794757490699999</v>
      </c>
      <c r="X150" s="9"/>
      <c r="Y150" s="22">
        <v>1.09497</v>
      </c>
      <c r="Z150" s="22">
        <v>283.38600000000002</v>
      </c>
      <c r="AA150" s="22">
        <v>-2.33948E-2</v>
      </c>
      <c r="AB150" s="22">
        <v>140</v>
      </c>
      <c r="AC150" s="22">
        <v>1.09406</v>
      </c>
      <c r="AD150">
        <f t="shared" si="28"/>
        <v>23.3948</v>
      </c>
      <c r="AE150">
        <f t="shared" si="29"/>
        <v>25.616604156000001</v>
      </c>
      <c r="AF150" s="9"/>
      <c r="AG150" s="22">
        <v>0.60501099999999997</v>
      </c>
      <c r="AH150" s="22">
        <v>389.26400000000001</v>
      </c>
      <c r="AI150" s="22">
        <v>-2.3947099999999999E-2</v>
      </c>
      <c r="AJ150" s="22">
        <v>140</v>
      </c>
      <c r="AK150" s="22">
        <v>0.60427900000000001</v>
      </c>
      <c r="AL150">
        <f t="shared" si="30"/>
        <v>23.947099999999999</v>
      </c>
      <c r="AM150">
        <f t="shared" si="31"/>
        <v>14.488258918099998</v>
      </c>
      <c r="AP150" s="9"/>
      <c r="AQ150" s="22">
        <v>1.09497</v>
      </c>
      <c r="AR150" s="22">
        <v>477.65499999999997</v>
      </c>
      <c r="AS150" s="22">
        <v>-2.3254400000000001E-2</v>
      </c>
      <c r="AT150" s="22">
        <v>140</v>
      </c>
      <c r="AU150" s="22">
        <v>1.09406</v>
      </c>
      <c r="AV150">
        <f t="shared" si="32"/>
        <v>23.2544</v>
      </c>
      <c r="AW150">
        <f t="shared" si="33"/>
        <v>25.462870368000001</v>
      </c>
      <c r="AX150" s="9"/>
      <c r="AY150" s="22">
        <v>0.60501099999999997</v>
      </c>
      <c r="AZ150" s="22">
        <v>588.53399999999999</v>
      </c>
      <c r="BA150" s="22">
        <v>-2.3965500000000001E-2</v>
      </c>
      <c r="BB150" s="22">
        <v>140</v>
      </c>
      <c r="BC150" s="22">
        <v>0.60443100000000005</v>
      </c>
      <c r="BD150">
        <f t="shared" si="34"/>
        <v>23.965500000000002</v>
      </c>
      <c r="BE150">
        <f t="shared" si="35"/>
        <v>14.4993911205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70.206699999999998</v>
      </c>
      <c r="I151" s="22">
        <v>-2.3892199999999999E-2</v>
      </c>
      <c r="J151" s="22">
        <v>141</v>
      </c>
      <c r="K151" s="22">
        <v>1.08917</v>
      </c>
      <c r="L151">
        <f t="shared" si="24"/>
        <v>23.892199999999999</v>
      </c>
      <c r="M151">
        <f t="shared" si="25"/>
        <v>26.041064467999998</v>
      </c>
      <c r="N151" s="9"/>
      <c r="O151" s="22">
        <v>0.61004599999999998</v>
      </c>
      <c r="P151" s="22">
        <v>159.524</v>
      </c>
      <c r="Q151" s="22">
        <v>-2.44446E-2</v>
      </c>
      <c r="R151" s="22">
        <v>141</v>
      </c>
      <c r="S151" s="22">
        <v>0.609375</v>
      </c>
      <c r="T151">
        <f t="shared" si="26"/>
        <v>24.444600000000001</v>
      </c>
      <c r="U151">
        <f t="shared" si="27"/>
        <v>14.912330451600001</v>
      </c>
      <c r="X151" s="9"/>
      <c r="Y151" s="22">
        <v>1.0899399999999999</v>
      </c>
      <c r="Z151" s="22">
        <v>283.48599999999999</v>
      </c>
      <c r="AA151" s="22">
        <v>-2.3403899999999998E-2</v>
      </c>
      <c r="AB151" s="22">
        <v>141</v>
      </c>
      <c r="AC151" s="22">
        <v>1.08948</v>
      </c>
      <c r="AD151">
        <f t="shared" si="28"/>
        <v>23.403899999999997</v>
      </c>
      <c r="AE151">
        <f t="shared" si="29"/>
        <v>25.508846765999994</v>
      </c>
      <c r="AF151" s="9"/>
      <c r="AG151" s="22">
        <v>0.61004599999999998</v>
      </c>
      <c r="AH151" s="22">
        <v>389.36500000000001</v>
      </c>
      <c r="AI151" s="22">
        <v>-2.3931899999999999E-2</v>
      </c>
      <c r="AJ151" s="22">
        <v>141</v>
      </c>
      <c r="AK151" s="22">
        <v>0.609406</v>
      </c>
      <c r="AL151">
        <f t="shared" si="30"/>
        <v>23.931899999999999</v>
      </c>
      <c r="AM151">
        <f t="shared" si="31"/>
        <v>14.599559867399998</v>
      </c>
      <c r="AP151" s="9"/>
      <c r="AQ151" s="22">
        <v>1.0899399999999999</v>
      </c>
      <c r="AR151" s="22">
        <v>477.75599999999997</v>
      </c>
      <c r="AS151" s="22">
        <v>-2.3263499999999999E-2</v>
      </c>
      <c r="AT151" s="22">
        <v>141</v>
      </c>
      <c r="AU151" s="22">
        <v>1.08948</v>
      </c>
      <c r="AV151">
        <f t="shared" si="32"/>
        <v>23.263500000000001</v>
      </c>
      <c r="AW151">
        <f t="shared" si="33"/>
        <v>25.355819189999998</v>
      </c>
      <c r="AX151" s="9"/>
      <c r="AY151" s="22">
        <v>0.61004599999999998</v>
      </c>
      <c r="AZ151" s="22">
        <v>588.63499999999999</v>
      </c>
      <c r="BA151" s="22">
        <v>-2.3962399999999998E-2</v>
      </c>
      <c r="BB151" s="22">
        <v>141</v>
      </c>
      <c r="BC151" s="22">
        <v>0.60928300000000002</v>
      </c>
      <c r="BD151">
        <f t="shared" si="34"/>
        <v>23.962399999999999</v>
      </c>
      <c r="BE151">
        <f t="shared" si="35"/>
        <v>14.618166270399998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70.307400000000001</v>
      </c>
      <c r="I152" s="22">
        <v>-2.3898300000000001E-2</v>
      </c>
      <c r="J152" s="22">
        <v>142</v>
      </c>
      <c r="K152" s="22">
        <v>1.0849</v>
      </c>
      <c r="L152">
        <f t="shared" si="24"/>
        <v>23.898300000000003</v>
      </c>
      <c r="M152">
        <f t="shared" si="25"/>
        <v>25.927265670000001</v>
      </c>
      <c r="N152" s="9"/>
      <c r="O152" s="22">
        <v>0.61508200000000002</v>
      </c>
      <c r="P152" s="22">
        <v>159.625</v>
      </c>
      <c r="Q152" s="22">
        <v>-2.4441500000000001E-2</v>
      </c>
      <c r="R152" s="22">
        <v>142</v>
      </c>
      <c r="S152" s="22">
        <v>0.61434900000000003</v>
      </c>
      <c r="T152">
        <f t="shared" si="26"/>
        <v>24.441500000000001</v>
      </c>
      <c r="U152">
        <f t="shared" si="27"/>
        <v>15.033526703000001</v>
      </c>
      <c r="X152" s="9"/>
      <c r="Y152" s="22">
        <v>1.0849</v>
      </c>
      <c r="Z152" s="22">
        <v>283.58699999999999</v>
      </c>
      <c r="AA152" s="22">
        <v>-2.3413099999999999E-2</v>
      </c>
      <c r="AB152" s="22">
        <v>142</v>
      </c>
      <c r="AC152" s="22">
        <v>1.08368</v>
      </c>
      <c r="AD152">
        <f t="shared" si="28"/>
        <v>23.4131</v>
      </c>
      <c r="AE152">
        <f t="shared" si="29"/>
        <v>25.400872190000001</v>
      </c>
      <c r="AF152" s="9"/>
      <c r="AG152" s="22">
        <v>0.61508200000000002</v>
      </c>
      <c r="AH152" s="22">
        <v>389.46600000000001</v>
      </c>
      <c r="AI152" s="22">
        <v>-2.39288E-2</v>
      </c>
      <c r="AJ152" s="22">
        <v>142</v>
      </c>
      <c r="AK152" s="22">
        <v>0.61477700000000002</v>
      </c>
      <c r="AL152">
        <f t="shared" si="30"/>
        <v>23.928799999999999</v>
      </c>
      <c r="AM152">
        <f t="shared" si="31"/>
        <v>14.7181741616</v>
      </c>
      <c r="AP152" s="9"/>
      <c r="AQ152" s="22">
        <v>1.0849</v>
      </c>
      <c r="AR152" s="22">
        <v>477.85599999999999</v>
      </c>
      <c r="AS152" s="22">
        <v>-2.3266599999999998E-2</v>
      </c>
      <c r="AT152" s="22">
        <v>142</v>
      </c>
      <c r="AU152" s="22">
        <v>1.08368</v>
      </c>
      <c r="AV152">
        <f t="shared" si="32"/>
        <v>23.266599999999997</v>
      </c>
      <c r="AW152">
        <f t="shared" si="33"/>
        <v>25.241934339999997</v>
      </c>
      <c r="AX152" s="9"/>
      <c r="AY152" s="22">
        <v>0.61508200000000002</v>
      </c>
      <c r="AZ152" s="22">
        <v>588.73500000000001</v>
      </c>
      <c r="BA152" s="22">
        <v>-2.3962399999999998E-2</v>
      </c>
      <c r="BB152" s="22">
        <v>142</v>
      </c>
      <c r="BC152" s="22">
        <v>0.61407500000000004</v>
      </c>
      <c r="BD152">
        <f t="shared" si="34"/>
        <v>23.962399999999999</v>
      </c>
      <c r="BE152">
        <f t="shared" si="35"/>
        <v>14.738840916799999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70.408100000000005</v>
      </c>
      <c r="I153" s="22">
        <v>-2.3910500000000001E-2</v>
      </c>
      <c r="J153" s="22">
        <v>143</v>
      </c>
      <c r="K153" s="22">
        <v>1.0790999999999999</v>
      </c>
      <c r="L153">
        <f t="shared" si="24"/>
        <v>23.910500000000003</v>
      </c>
      <c r="M153">
        <f t="shared" si="25"/>
        <v>25.819992530000004</v>
      </c>
      <c r="N153" s="9"/>
      <c r="O153" s="22">
        <v>0.62011700000000003</v>
      </c>
      <c r="P153" s="22">
        <v>159.726</v>
      </c>
      <c r="Q153" s="22">
        <v>-2.4441500000000001E-2</v>
      </c>
      <c r="R153" s="22">
        <v>143</v>
      </c>
      <c r="S153" s="22">
        <v>0.61984300000000003</v>
      </c>
      <c r="T153">
        <f t="shared" si="26"/>
        <v>24.441500000000001</v>
      </c>
      <c r="U153">
        <f t="shared" si="27"/>
        <v>15.156589655500001</v>
      </c>
      <c r="X153" s="9"/>
      <c r="Y153" s="22">
        <v>1.07986</v>
      </c>
      <c r="Z153" s="22">
        <v>283.68799999999999</v>
      </c>
      <c r="AA153" s="22">
        <v>-2.3419200000000001E-2</v>
      </c>
      <c r="AB153" s="22">
        <v>143</v>
      </c>
      <c r="AC153" s="22">
        <v>1.0790999999999999</v>
      </c>
      <c r="AD153">
        <f t="shared" si="28"/>
        <v>23.4192</v>
      </c>
      <c r="AE153">
        <f t="shared" si="29"/>
        <v>25.289457312</v>
      </c>
      <c r="AF153" s="9"/>
      <c r="AG153" s="22">
        <v>0.62011700000000003</v>
      </c>
      <c r="AH153" s="22">
        <v>389.56700000000001</v>
      </c>
      <c r="AI153" s="22">
        <v>-2.3925800000000001E-2</v>
      </c>
      <c r="AJ153" s="22">
        <v>143</v>
      </c>
      <c r="AK153" s="22">
        <v>0.61972000000000005</v>
      </c>
      <c r="AL153">
        <f t="shared" si="30"/>
        <v>23.925799999999999</v>
      </c>
      <c r="AM153">
        <f t="shared" si="31"/>
        <v>14.8367953186</v>
      </c>
      <c r="AP153" s="9"/>
      <c r="AQ153" s="22">
        <v>1.07986</v>
      </c>
      <c r="AR153" s="22">
        <v>477.95699999999999</v>
      </c>
      <c r="AS153" s="22">
        <v>-2.3269700000000001E-2</v>
      </c>
      <c r="AT153" s="22">
        <v>143</v>
      </c>
      <c r="AU153" s="22">
        <v>1.0788</v>
      </c>
      <c r="AV153">
        <f t="shared" si="32"/>
        <v>23.2697</v>
      </c>
      <c r="AW153">
        <f t="shared" si="33"/>
        <v>25.128018242</v>
      </c>
      <c r="AX153" s="9"/>
      <c r="AY153" s="22">
        <v>0.62011700000000003</v>
      </c>
      <c r="AZ153" s="22">
        <v>588.83600000000001</v>
      </c>
      <c r="BA153" s="22">
        <v>-2.3950200000000001E-2</v>
      </c>
      <c r="BB153" s="22">
        <v>143</v>
      </c>
      <c r="BC153" s="22">
        <v>0.61938499999999996</v>
      </c>
      <c r="BD153">
        <f t="shared" si="34"/>
        <v>23.950200000000002</v>
      </c>
      <c r="BE153">
        <f t="shared" si="35"/>
        <v>14.851926173400003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70.508899999999997</v>
      </c>
      <c r="I154" s="22">
        <v>-2.3910500000000001E-2</v>
      </c>
      <c r="J154" s="22">
        <v>144</v>
      </c>
      <c r="K154" s="22">
        <v>1.0739099999999999</v>
      </c>
      <c r="L154">
        <f t="shared" si="24"/>
        <v>23.910500000000003</v>
      </c>
      <c r="M154">
        <f t="shared" si="25"/>
        <v>25.699722715</v>
      </c>
      <c r="N154" s="9"/>
      <c r="O154" s="22">
        <v>0.62515299999999996</v>
      </c>
      <c r="P154" s="22">
        <v>159.82599999999999</v>
      </c>
      <c r="Q154" s="22">
        <v>-2.4426300000000001E-2</v>
      </c>
      <c r="R154" s="22">
        <v>144</v>
      </c>
      <c r="S154" s="22">
        <v>0.62445099999999998</v>
      </c>
      <c r="T154">
        <f t="shared" si="26"/>
        <v>24.426300000000001</v>
      </c>
      <c r="U154">
        <f t="shared" si="27"/>
        <v>15.2701747239</v>
      </c>
      <c r="X154" s="9"/>
      <c r="Y154" s="22">
        <v>1.07483</v>
      </c>
      <c r="Z154" s="22">
        <v>283.78800000000001</v>
      </c>
      <c r="AA154" s="22">
        <v>-2.34253E-2</v>
      </c>
      <c r="AB154" s="22">
        <v>144</v>
      </c>
      <c r="AC154" s="22">
        <v>1.0739099999999999</v>
      </c>
      <c r="AD154">
        <f t="shared" si="28"/>
        <v>23.4253</v>
      </c>
      <c r="AE154">
        <f t="shared" si="29"/>
        <v>25.178215199</v>
      </c>
      <c r="AF154" s="9"/>
      <c r="AG154" s="22">
        <v>0.62515299999999996</v>
      </c>
      <c r="AH154" s="22">
        <v>389.66699999999997</v>
      </c>
      <c r="AI154" s="22">
        <v>-2.3922700000000002E-2</v>
      </c>
      <c r="AJ154" s="22">
        <v>144</v>
      </c>
      <c r="AK154" s="22">
        <v>0.62490800000000002</v>
      </c>
      <c r="AL154">
        <f t="shared" si="30"/>
        <v>23.922700000000003</v>
      </c>
      <c r="AM154">
        <f t="shared" si="31"/>
        <v>14.9553476731</v>
      </c>
      <c r="AP154" s="9"/>
      <c r="AQ154" s="22">
        <v>1.07483</v>
      </c>
      <c r="AR154" s="22">
        <v>478.05799999999999</v>
      </c>
      <c r="AS154" s="22">
        <v>-2.3278799999999999E-2</v>
      </c>
      <c r="AT154" s="22">
        <v>144</v>
      </c>
      <c r="AU154" s="22">
        <v>1.0745199999999999</v>
      </c>
      <c r="AV154">
        <f t="shared" si="32"/>
        <v>23.2788</v>
      </c>
      <c r="AW154">
        <f t="shared" si="33"/>
        <v>25.020752603999998</v>
      </c>
      <c r="AX154" s="9"/>
      <c r="AY154" s="22">
        <v>0.62515299999999996</v>
      </c>
      <c r="AZ154" s="22">
        <v>588.93700000000001</v>
      </c>
      <c r="BA154" s="22">
        <v>-2.3947099999999999E-2</v>
      </c>
      <c r="BB154" s="22">
        <v>144</v>
      </c>
      <c r="BC154" s="22">
        <v>0.62429800000000002</v>
      </c>
      <c r="BD154">
        <f t="shared" si="34"/>
        <v>23.947099999999999</v>
      </c>
      <c r="BE154">
        <f t="shared" si="35"/>
        <v>14.970601406299998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70.6096</v>
      </c>
      <c r="I155" s="22">
        <v>-2.3922700000000002E-2</v>
      </c>
      <c r="J155" s="22">
        <v>145</v>
      </c>
      <c r="K155" s="22">
        <v>1.0690299999999999</v>
      </c>
      <c r="L155">
        <f t="shared" si="24"/>
        <v>23.922700000000003</v>
      </c>
      <c r="M155">
        <f t="shared" si="25"/>
        <v>25.592265233000003</v>
      </c>
      <c r="N155" s="9"/>
      <c r="O155" s="22">
        <v>0.63018799999999997</v>
      </c>
      <c r="P155" s="22">
        <v>159.92699999999999</v>
      </c>
      <c r="Q155" s="22">
        <v>-2.4429300000000001E-2</v>
      </c>
      <c r="R155" s="22">
        <v>145</v>
      </c>
      <c r="S155" s="22">
        <v>0.62933300000000003</v>
      </c>
      <c r="T155">
        <f t="shared" si="26"/>
        <v>24.429300000000001</v>
      </c>
      <c r="U155">
        <f t="shared" si="27"/>
        <v>15.3950517084</v>
      </c>
      <c r="X155" s="9"/>
      <c r="Y155" s="22">
        <v>1.06979</v>
      </c>
      <c r="Z155" s="22">
        <v>283.88900000000001</v>
      </c>
      <c r="AA155" s="22">
        <v>-2.3434400000000001E-2</v>
      </c>
      <c r="AB155" s="22">
        <v>145</v>
      </c>
      <c r="AC155" s="22">
        <v>1.0690299999999999</v>
      </c>
      <c r="AD155">
        <f t="shared" si="28"/>
        <v>23.4344</v>
      </c>
      <c r="AE155">
        <f t="shared" si="29"/>
        <v>25.069886776000001</v>
      </c>
      <c r="AF155" s="9"/>
      <c r="AG155" s="22">
        <v>0.63018799999999997</v>
      </c>
      <c r="AH155" s="22">
        <v>389.76799999999997</v>
      </c>
      <c r="AI155" s="22">
        <v>-2.39166E-2</v>
      </c>
      <c r="AJ155" s="22">
        <v>145</v>
      </c>
      <c r="AK155" s="22">
        <v>0.62951699999999999</v>
      </c>
      <c r="AL155">
        <f t="shared" si="30"/>
        <v>23.916599999999999</v>
      </c>
      <c r="AM155">
        <f t="shared" si="31"/>
        <v>15.071954320799998</v>
      </c>
      <c r="AP155" s="9"/>
      <c r="AQ155" s="22">
        <v>1.06979</v>
      </c>
      <c r="AR155" s="22">
        <v>478.15800000000002</v>
      </c>
      <c r="AS155" s="22">
        <v>-2.3284900000000001E-2</v>
      </c>
      <c r="AT155" s="22">
        <v>145</v>
      </c>
      <c r="AU155" s="22">
        <v>1.06873</v>
      </c>
      <c r="AV155">
        <f t="shared" si="32"/>
        <v>23.2849</v>
      </c>
      <c r="AW155">
        <f t="shared" si="33"/>
        <v>24.909953171000002</v>
      </c>
      <c r="AX155" s="9"/>
      <c r="AY155" s="22">
        <v>0.63018799999999997</v>
      </c>
      <c r="AZ155" s="22">
        <v>589.03700000000003</v>
      </c>
      <c r="BA155" s="22">
        <v>-2.3941E-2</v>
      </c>
      <c r="BB155" s="22">
        <v>145</v>
      </c>
      <c r="BC155" s="22">
        <v>0.62963899999999995</v>
      </c>
      <c r="BD155">
        <f t="shared" si="34"/>
        <v>23.940999999999999</v>
      </c>
      <c r="BE155">
        <f t="shared" si="35"/>
        <v>15.087330907999998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70.710300000000004</v>
      </c>
      <c r="I156" s="22">
        <v>-2.39166E-2</v>
      </c>
      <c r="J156" s="22">
        <v>146</v>
      </c>
      <c r="K156" s="22">
        <v>1.0641499999999999</v>
      </c>
      <c r="L156">
        <f t="shared" si="24"/>
        <v>23.916599999999999</v>
      </c>
      <c r="M156">
        <f t="shared" si="25"/>
        <v>25.465439015999998</v>
      </c>
      <c r="N156" s="9"/>
      <c r="O156" s="22">
        <v>0.63522299999999998</v>
      </c>
      <c r="P156" s="22">
        <v>160.02799999999999</v>
      </c>
      <c r="Q156" s="22">
        <v>-2.4423199999999999E-2</v>
      </c>
      <c r="R156" s="22">
        <v>146</v>
      </c>
      <c r="S156" s="22">
        <v>0.63464399999999999</v>
      </c>
      <c r="T156">
        <f t="shared" si="26"/>
        <v>24.423199999999998</v>
      </c>
      <c r="U156">
        <f t="shared" si="27"/>
        <v>15.514178373599998</v>
      </c>
      <c r="X156" s="9"/>
      <c r="Y156" s="22">
        <v>1.0647599999999999</v>
      </c>
      <c r="Z156" s="22">
        <v>283.99</v>
      </c>
      <c r="AA156" s="22">
        <v>-2.3434400000000001E-2</v>
      </c>
      <c r="AB156" s="22">
        <v>146</v>
      </c>
      <c r="AC156" s="22">
        <v>1.0644499999999999</v>
      </c>
      <c r="AD156">
        <f t="shared" si="28"/>
        <v>23.4344</v>
      </c>
      <c r="AE156">
        <f t="shared" si="29"/>
        <v>24.952011744</v>
      </c>
      <c r="AF156" s="9"/>
      <c r="AG156" s="22">
        <v>0.63522299999999998</v>
      </c>
      <c r="AH156" s="22">
        <v>389.86900000000003</v>
      </c>
      <c r="AI156" s="22">
        <v>-2.39166E-2</v>
      </c>
      <c r="AJ156" s="22">
        <v>146</v>
      </c>
      <c r="AK156" s="22">
        <v>0.63476600000000005</v>
      </c>
      <c r="AL156">
        <f t="shared" si="30"/>
        <v>23.916599999999999</v>
      </c>
      <c r="AM156">
        <f t="shared" si="31"/>
        <v>15.192374401799999</v>
      </c>
      <c r="AP156" s="9"/>
      <c r="AQ156" s="22">
        <v>1.0647599999999999</v>
      </c>
      <c r="AR156" s="22">
        <v>478.25900000000001</v>
      </c>
      <c r="AS156" s="22">
        <v>-2.3290999999999999E-2</v>
      </c>
      <c r="AT156" s="22">
        <v>146</v>
      </c>
      <c r="AU156" s="22">
        <v>1.0641499999999999</v>
      </c>
      <c r="AV156">
        <f t="shared" si="32"/>
        <v>23.291</v>
      </c>
      <c r="AW156">
        <f t="shared" si="33"/>
        <v>24.799325159999999</v>
      </c>
      <c r="AX156" s="9"/>
      <c r="AY156" s="22">
        <v>0.63522299999999998</v>
      </c>
      <c r="AZ156" s="22">
        <v>589.13800000000003</v>
      </c>
      <c r="BA156" s="22">
        <v>-2.3941E-2</v>
      </c>
      <c r="BB156" s="22">
        <v>146</v>
      </c>
      <c r="BC156" s="22">
        <v>0.63473500000000005</v>
      </c>
      <c r="BD156">
        <f t="shared" si="34"/>
        <v>23.940999999999999</v>
      </c>
      <c r="BE156">
        <f t="shared" si="35"/>
        <v>15.207873843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70.811000000000007</v>
      </c>
      <c r="I157" s="22">
        <v>-2.3931899999999999E-2</v>
      </c>
      <c r="J157" s="22">
        <v>147</v>
      </c>
      <c r="K157" s="22">
        <v>1.0595699999999999</v>
      </c>
      <c r="L157">
        <f t="shared" si="24"/>
        <v>23.931899999999999</v>
      </c>
      <c r="M157">
        <f t="shared" si="25"/>
        <v>25.361113067999998</v>
      </c>
      <c r="N157" s="9"/>
      <c r="O157" s="22">
        <v>0.64025900000000002</v>
      </c>
      <c r="P157" s="22">
        <v>160.12799999999999</v>
      </c>
      <c r="Q157" s="22">
        <v>-2.4410999999999999E-2</v>
      </c>
      <c r="R157" s="22">
        <v>147</v>
      </c>
      <c r="S157" s="22">
        <v>0.63989300000000005</v>
      </c>
      <c r="T157">
        <f t="shared" si="26"/>
        <v>24.410999999999998</v>
      </c>
      <c r="U157">
        <f t="shared" si="27"/>
        <v>15.629362448999998</v>
      </c>
      <c r="X157" s="9"/>
      <c r="Y157" s="22">
        <v>1.05972</v>
      </c>
      <c r="Z157" s="22">
        <v>284.09100000000001</v>
      </c>
      <c r="AA157" s="22">
        <v>-2.3440599999999999E-2</v>
      </c>
      <c r="AB157" s="22">
        <v>147</v>
      </c>
      <c r="AC157" s="22">
        <v>1.0589599999999999</v>
      </c>
      <c r="AD157">
        <f t="shared" si="28"/>
        <v>23.4406</v>
      </c>
      <c r="AE157">
        <f t="shared" si="29"/>
        <v>24.840472632000001</v>
      </c>
      <c r="AF157" s="9"/>
      <c r="AG157" s="22">
        <v>0.64025900000000002</v>
      </c>
      <c r="AH157" s="22">
        <v>389.96899999999999</v>
      </c>
      <c r="AI157" s="22">
        <v>-2.3907500000000002E-2</v>
      </c>
      <c r="AJ157" s="22">
        <v>147</v>
      </c>
      <c r="AK157" s="22">
        <v>0.639374</v>
      </c>
      <c r="AL157">
        <f t="shared" si="30"/>
        <v>23.907500000000002</v>
      </c>
      <c r="AM157">
        <f t="shared" si="31"/>
        <v>15.306992042500003</v>
      </c>
      <c r="AP157" s="9"/>
      <c r="AQ157" s="22">
        <v>1.05972</v>
      </c>
      <c r="AR157" s="22">
        <v>478.36</v>
      </c>
      <c r="AS157" s="22">
        <v>-2.3294100000000002E-2</v>
      </c>
      <c r="AT157" s="22">
        <v>147</v>
      </c>
      <c r="AU157" s="22">
        <v>1.0592699999999999</v>
      </c>
      <c r="AV157">
        <f t="shared" si="32"/>
        <v>23.2941</v>
      </c>
      <c r="AW157">
        <f t="shared" si="33"/>
        <v>24.685223652000001</v>
      </c>
      <c r="AX157" s="9"/>
      <c r="AY157" s="22">
        <v>0.64025900000000002</v>
      </c>
      <c r="AZ157" s="22">
        <v>589.23900000000003</v>
      </c>
      <c r="BA157" s="22">
        <v>-2.39288E-2</v>
      </c>
      <c r="BB157" s="22">
        <v>147</v>
      </c>
      <c r="BC157" s="22">
        <v>0.63977099999999998</v>
      </c>
      <c r="BD157">
        <f t="shared" si="34"/>
        <v>23.928799999999999</v>
      </c>
      <c r="BE157">
        <f t="shared" si="35"/>
        <v>15.3206295592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70.911699999999996</v>
      </c>
      <c r="I158" s="22">
        <v>-2.3934899999999999E-2</v>
      </c>
      <c r="J158" s="22">
        <v>148</v>
      </c>
      <c r="K158" s="22">
        <v>1.0543800000000001</v>
      </c>
      <c r="L158">
        <f t="shared" si="24"/>
        <v>23.934899999999999</v>
      </c>
      <c r="M158">
        <f t="shared" si="25"/>
        <v>25.243899680999995</v>
      </c>
      <c r="N158" s="9"/>
      <c r="O158" s="22">
        <v>0.64529400000000003</v>
      </c>
      <c r="P158" s="22">
        <v>160.22900000000001</v>
      </c>
      <c r="Q158" s="22">
        <v>-2.4285899999999999E-2</v>
      </c>
      <c r="R158" s="22">
        <v>148</v>
      </c>
      <c r="S158" s="22">
        <v>0.64434800000000003</v>
      </c>
      <c r="T158">
        <f t="shared" si="26"/>
        <v>24.285899999999998</v>
      </c>
      <c r="U158">
        <f t="shared" si="27"/>
        <v>15.6715455546</v>
      </c>
      <c r="X158" s="9"/>
      <c r="Y158" s="22">
        <v>1.0546899999999999</v>
      </c>
      <c r="Z158" s="22">
        <v>284.19099999999997</v>
      </c>
      <c r="AA158" s="22">
        <v>-2.3443599999999998E-2</v>
      </c>
      <c r="AB158" s="22">
        <v>148</v>
      </c>
      <c r="AC158" s="22">
        <v>1.0534699999999999</v>
      </c>
      <c r="AD158">
        <f t="shared" si="28"/>
        <v>23.4436</v>
      </c>
      <c r="AE158">
        <f t="shared" si="29"/>
        <v>24.725730483999996</v>
      </c>
      <c r="AF158" s="9"/>
      <c r="AG158" s="22">
        <v>0.64529400000000003</v>
      </c>
      <c r="AH158" s="22">
        <v>390.07</v>
      </c>
      <c r="AI158" s="22">
        <v>-2.3898300000000001E-2</v>
      </c>
      <c r="AJ158" s="22">
        <v>148</v>
      </c>
      <c r="AK158" s="22">
        <v>0.64483599999999996</v>
      </c>
      <c r="AL158">
        <f t="shared" si="30"/>
        <v>23.898300000000003</v>
      </c>
      <c r="AM158">
        <f t="shared" si="31"/>
        <v>15.421429600200003</v>
      </c>
      <c r="AP158" s="9"/>
      <c r="AQ158" s="22">
        <v>1.0546899999999999</v>
      </c>
      <c r="AR158" s="22">
        <v>478.46100000000001</v>
      </c>
      <c r="AS158" s="22">
        <v>-2.33124E-2</v>
      </c>
      <c r="AT158" s="22">
        <v>148</v>
      </c>
      <c r="AU158" s="22">
        <v>1.0540799999999999</v>
      </c>
      <c r="AV158">
        <f t="shared" si="32"/>
        <v>23.3124</v>
      </c>
      <c r="AW158">
        <f t="shared" si="33"/>
        <v>24.587355155999997</v>
      </c>
      <c r="AX158" s="9"/>
      <c r="AY158" s="22">
        <v>0.64529400000000003</v>
      </c>
      <c r="AZ158" s="22">
        <v>589.33900000000006</v>
      </c>
      <c r="BA158" s="22">
        <v>-2.3925800000000001E-2</v>
      </c>
      <c r="BB158" s="22">
        <v>148</v>
      </c>
      <c r="BC158" s="22">
        <v>0.64462299999999995</v>
      </c>
      <c r="BD158">
        <f t="shared" si="34"/>
        <v>23.925799999999999</v>
      </c>
      <c r="BE158">
        <f t="shared" si="35"/>
        <v>15.4391751852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71.0124</v>
      </c>
      <c r="I159" s="22">
        <v>-2.3953200000000001E-2</v>
      </c>
      <c r="J159" s="22">
        <v>149</v>
      </c>
      <c r="K159" s="22">
        <v>1.0491900000000001</v>
      </c>
      <c r="L159">
        <f t="shared" si="24"/>
        <v>23.953200000000002</v>
      </c>
      <c r="M159">
        <f t="shared" si="25"/>
        <v>25.142476380000002</v>
      </c>
      <c r="N159" s="9"/>
      <c r="O159" s="22">
        <v>0.65032999999999996</v>
      </c>
      <c r="P159" s="22">
        <v>160.33000000000001</v>
      </c>
      <c r="Q159" s="22">
        <v>-2.4410999999999999E-2</v>
      </c>
      <c r="R159" s="22">
        <v>149</v>
      </c>
      <c r="S159" s="22">
        <v>0.64962799999999998</v>
      </c>
      <c r="T159">
        <f t="shared" si="26"/>
        <v>24.410999999999998</v>
      </c>
      <c r="U159">
        <f t="shared" si="27"/>
        <v>15.875205629999998</v>
      </c>
      <c r="X159" s="9"/>
      <c r="Y159" s="22">
        <v>1.04965</v>
      </c>
      <c r="Z159" s="22">
        <v>284.29199999999997</v>
      </c>
      <c r="AA159" s="22">
        <v>-2.34497E-2</v>
      </c>
      <c r="AB159" s="22">
        <v>149</v>
      </c>
      <c r="AC159" s="22">
        <v>1.0495000000000001</v>
      </c>
      <c r="AD159">
        <f t="shared" si="28"/>
        <v>23.4497</v>
      </c>
      <c r="AE159">
        <f t="shared" si="29"/>
        <v>24.613977604999999</v>
      </c>
      <c r="AF159" s="9"/>
      <c r="AG159" s="22">
        <v>0.65032999999999996</v>
      </c>
      <c r="AH159" s="22">
        <v>390.17099999999999</v>
      </c>
      <c r="AI159" s="22">
        <v>-2.3883100000000001E-2</v>
      </c>
      <c r="AJ159" s="22">
        <v>149</v>
      </c>
      <c r="AK159" s="22">
        <v>0.64981100000000003</v>
      </c>
      <c r="AL159">
        <f t="shared" si="30"/>
        <v>23.883100000000002</v>
      </c>
      <c r="AM159">
        <f t="shared" si="31"/>
        <v>15.531896423000001</v>
      </c>
      <c r="AP159" s="9"/>
      <c r="AQ159" s="22">
        <v>1.04965</v>
      </c>
      <c r="AR159" s="22">
        <v>478.56099999999998</v>
      </c>
      <c r="AS159" s="22">
        <v>-2.3318499999999999E-2</v>
      </c>
      <c r="AT159" s="22">
        <v>149</v>
      </c>
      <c r="AU159" s="22">
        <v>1.0485800000000001</v>
      </c>
      <c r="AV159">
        <f t="shared" si="32"/>
        <v>23.3185</v>
      </c>
      <c r="AW159">
        <f t="shared" si="33"/>
        <v>24.476263525</v>
      </c>
      <c r="AX159" s="9"/>
      <c r="AY159" s="22">
        <v>0.65032999999999996</v>
      </c>
      <c r="AZ159" s="22">
        <v>589.44000000000005</v>
      </c>
      <c r="BA159" s="22">
        <v>-2.39166E-2</v>
      </c>
      <c r="BB159" s="22">
        <v>149</v>
      </c>
      <c r="BC159" s="22">
        <v>0.64996299999999996</v>
      </c>
      <c r="BD159">
        <f t="shared" si="34"/>
        <v>23.916599999999999</v>
      </c>
      <c r="BE159">
        <f t="shared" si="35"/>
        <v>15.553682477999999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71.113100000000003</v>
      </c>
      <c r="I160" s="22">
        <v>-2.3941E-2</v>
      </c>
      <c r="J160" s="22">
        <v>150</v>
      </c>
      <c r="K160" s="22">
        <v>1.0443100000000001</v>
      </c>
      <c r="L160">
        <f t="shared" si="24"/>
        <v>23.940999999999999</v>
      </c>
      <c r="M160">
        <f t="shared" si="25"/>
        <v>25.009247420000001</v>
      </c>
      <c r="N160" s="9"/>
      <c r="O160" s="22">
        <v>0.65536499999999998</v>
      </c>
      <c r="P160" s="22">
        <v>160.43100000000001</v>
      </c>
      <c r="Q160" s="22">
        <v>-2.43378E-2</v>
      </c>
      <c r="R160" s="22">
        <v>150</v>
      </c>
      <c r="S160" s="22">
        <v>0.65502899999999997</v>
      </c>
      <c r="T160">
        <f t="shared" si="26"/>
        <v>24.337800000000001</v>
      </c>
      <c r="U160">
        <f t="shared" si="27"/>
        <v>15.950142297000001</v>
      </c>
      <c r="X160" s="9"/>
      <c r="Y160" s="22">
        <v>1.0446200000000001</v>
      </c>
      <c r="Z160" s="22">
        <v>284.39299999999997</v>
      </c>
      <c r="AA160" s="22">
        <v>-2.3461900000000001E-2</v>
      </c>
      <c r="AB160" s="22">
        <v>150</v>
      </c>
      <c r="AC160" s="22">
        <v>1.0443100000000001</v>
      </c>
      <c r="AD160">
        <f t="shared" si="28"/>
        <v>23.4619</v>
      </c>
      <c r="AE160">
        <f t="shared" si="29"/>
        <v>24.508769978000004</v>
      </c>
      <c r="AF160" s="9"/>
      <c r="AG160" s="22">
        <v>0.65536499999999998</v>
      </c>
      <c r="AH160" s="22">
        <v>390.27199999999999</v>
      </c>
      <c r="AI160" s="22">
        <v>-2.3892199999999999E-2</v>
      </c>
      <c r="AJ160" s="22">
        <v>150</v>
      </c>
      <c r="AK160" s="22">
        <v>0.654694</v>
      </c>
      <c r="AL160">
        <f t="shared" si="30"/>
        <v>23.892199999999999</v>
      </c>
      <c r="AM160">
        <f t="shared" si="31"/>
        <v>15.658111652999999</v>
      </c>
      <c r="AP160" s="9"/>
      <c r="AQ160" s="22">
        <v>1.0446200000000001</v>
      </c>
      <c r="AR160" s="22">
        <v>478.66199999999998</v>
      </c>
      <c r="AS160" s="22">
        <v>-2.3330699999999999E-2</v>
      </c>
      <c r="AT160" s="22">
        <v>150</v>
      </c>
      <c r="AU160" s="22">
        <v>1.0443100000000001</v>
      </c>
      <c r="AV160">
        <f t="shared" si="32"/>
        <v>23.3307</v>
      </c>
      <c r="AW160">
        <f t="shared" si="33"/>
        <v>24.371715834000003</v>
      </c>
      <c r="AX160" s="9"/>
      <c r="AY160" s="22">
        <v>0.65536499999999998</v>
      </c>
      <c r="AZ160" s="22">
        <v>589.54100000000005</v>
      </c>
      <c r="BA160" s="22">
        <v>-2.3910500000000001E-2</v>
      </c>
      <c r="BB160" s="22">
        <v>150</v>
      </c>
      <c r="BC160" s="22">
        <v>0.65539599999999998</v>
      </c>
      <c r="BD160">
        <f t="shared" si="34"/>
        <v>23.910500000000003</v>
      </c>
      <c r="BE160">
        <f t="shared" si="35"/>
        <v>15.670104832500002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71.213800000000006</v>
      </c>
      <c r="I161" s="22">
        <v>-2.3947099999999999E-2</v>
      </c>
      <c r="J161" s="22">
        <v>151</v>
      </c>
      <c r="K161" s="22">
        <v>1.03851</v>
      </c>
      <c r="L161">
        <f t="shared" si="24"/>
        <v>23.947099999999999</v>
      </c>
      <c r="M161">
        <f t="shared" si="25"/>
        <v>24.894926217999998</v>
      </c>
      <c r="N161" s="9"/>
      <c r="O161" s="22">
        <v>0.66039999999999999</v>
      </c>
      <c r="P161" s="22">
        <v>160.53100000000001</v>
      </c>
      <c r="Q161" s="22">
        <v>-2.4331700000000001E-2</v>
      </c>
      <c r="R161" s="22">
        <v>151</v>
      </c>
      <c r="S161" s="22">
        <v>0.66000400000000004</v>
      </c>
      <c r="T161">
        <f t="shared" si="26"/>
        <v>24.331700000000001</v>
      </c>
      <c r="U161">
        <f t="shared" si="27"/>
        <v>16.068654680000002</v>
      </c>
      <c r="X161" s="9"/>
      <c r="Y161" s="22">
        <v>1.0395799999999999</v>
      </c>
      <c r="Z161" s="22">
        <v>284.49299999999999</v>
      </c>
      <c r="AA161" s="22">
        <v>-2.3467999999999999E-2</v>
      </c>
      <c r="AB161" s="22">
        <v>151</v>
      </c>
      <c r="AC161" s="22">
        <v>1.03912</v>
      </c>
      <c r="AD161">
        <f t="shared" si="28"/>
        <v>23.468</v>
      </c>
      <c r="AE161">
        <f t="shared" si="29"/>
        <v>24.396863439999997</v>
      </c>
      <c r="AF161" s="9"/>
      <c r="AG161" s="22">
        <v>0.66039999999999999</v>
      </c>
      <c r="AH161" s="22">
        <v>390.37200000000001</v>
      </c>
      <c r="AI161" s="22">
        <v>-2.3895300000000001E-2</v>
      </c>
      <c r="AJ161" s="22">
        <v>151</v>
      </c>
      <c r="AK161" s="22">
        <v>0.65963700000000003</v>
      </c>
      <c r="AL161">
        <f t="shared" si="30"/>
        <v>23.895300000000002</v>
      </c>
      <c r="AM161">
        <f t="shared" si="31"/>
        <v>15.780456120000002</v>
      </c>
      <c r="AP161" s="9"/>
      <c r="AQ161" s="22">
        <v>1.0395799999999999</v>
      </c>
      <c r="AR161" s="22">
        <v>478.76299999999998</v>
      </c>
      <c r="AS161" s="22">
        <v>-2.3333699999999999E-2</v>
      </c>
      <c r="AT161" s="22">
        <v>151</v>
      </c>
      <c r="AU161" s="22">
        <v>1.03851</v>
      </c>
      <c r="AV161">
        <f t="shared" si="32"/>
        <v>23.3337</v>
      </c>
      <c r="AW161">
        <f t="shared" si="33"/>
        <v>24.257247845999999</v>
      </c>
      <c r="AX161" s="9"/>
      <c r="AY161" s="22">
        <v>0.66039999999999999</v>
      </c>
      <c r="AZ161" s="22">
        <v>589.64200000000005</v>
      </c>
      <c r="BA161" s="22">
        <v>-2.39136E-2</v>
      </c>
      <c r="BB161" s="22">
        <v>151</v>
      </c>
      <c r="BC161" s="22">
        <v>0.65985099999999997</v>
      </c>
      <c r="BD161">
        <f t="shared" si="34"/>
        <v>23.913599999999999</v>
      </c>
      <c r="BE161">
        <f t="shared" si="35"/>
        <v>15.792541439999999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71.314499999999995</v>
      </c>
      <c r="I162" s="22">
        <v>-2.39563E-2</v>
      </c>
      <c r="J162" s="22">
        <v>152</v>
      </c>
      <c r="K162" s="22">
        <v>1.03424</v>
      </c>
      <c r="L162">
        <f t="shared" si="24"/>
        <v>23.956299999999999</v>
      </c>
      <c r="M162">
        <f t="shared" si="25"/>
        <v>24.783990165000002</v>
      </c>
      <c r="N162" s="9"/>
      <c r="O162" s="22">
        <v>0.66543600000000003</v>
      </c>
      <c r="P162" s="22">
        <v>160.63200000000001</v>
      </c>
      <c r="Q162" s="22">
        <v>-2.43225E-2</v>
      </c>
      <c r="R162" s="22">
        <v>152</v>
      </c>
      <c r="S162" s="22">
        <v>0.66507000000000005</v>
      </c>
      <c r="T162">
        <f t="shared" si="26"/>
        <v>24.322500000000002</v>
      </c>
      <c r="U162">
        <f t="shared" si="27"/>
        <v>16.185067110000002</v>
      </c>
      <c r="X162" s="9"/>
      <c r="Y162" s="22">
        <v>1.0345500000000001</v>
      </c>
      <c r="Z162" s="22">
        <v>284.59399999999999</v>
      </c>
      <c r="AA162" s="22">
        <v>-2.3467999999999999E-2</v>
      </c>
      <c r="AB162" s="22">
        <v>152</v>
      </c>
      <c r="AC162" s="22">
        <v>1.0339400000000001</v>
      </c>
      <c r="AD162">
        <f t="shared" si="28"/>
        <v>23.468</v>
      </c>
      <c r="AE162">
        <f t="shared" si="29"/>
        <v>24.278819400000003</v>
      </c>
      <c r="AF162" s="9"/>
      <c r="AG162" s="22">
        <v>0.66543600000000003</v>
      </c>
      <c r="AH162" s="22">
        <v>390.47300000000001</v>
      </c>
      <c r="AI162" s="22">
        <v>-2.3876999999999999E-2</v>
      </c>
      <c r="AJ162" s="22">
        <v>152</v>
      </c>
      <c r="AK162" s="22">
        <v>0.66558799999999996</v>
      </c>
      <c r="AL162">
        <f t="shared" si="30"/>
        <v>23.876999999999999</v>
      </c>
      <c r="AM162">
        <f t="shared" si="31"/>
        <v>15.888615372</v>
      </c>
      <c r="AP162" s="9"/>
      <c r="AQ162" s="22">
        <v>1.0345500000000001</v>
      </c>
      <c r="AR162" s="22">
        <v>478.863</v>
      </c>
      <c r="AS162" s="22">
        <v>-2.3339800000000001E-2</v>
      </c>
      <c r="AT162" s="22">
        <v>152</v>
      </c>
      <c r="AU162" s="22">
        <v>1.0333300000000001</v>
      </c>
      <c r="AV162">
        <f t="shared" si="32"/>
        <v>23.3398</v>
      </c>
      <c r="AW162">
        <f t="shared" si="33"/>
        <v>24.146190090000001</v>
      </c>
      <c r="AX162" s="9"/>
      <c r="AY162" s="22">
        <v>0.66543600000000003</v>
      </c>
      <c r="AZ162" s="22">
        <v>589.74199999999996</v>
      </c>
      <c r="BA162" s="22">
        <v>-2.39014E-2</v>
      </c>
      <c r="BB162" s="22">
        <v>152</v>
      </c>
      <c r="BC162" s="22">
        <v>0.664856</v>
      </c>
      <c r="BD162">
        <f t="shared" si="34"/>
        <v>23.901399999999999</v>
      </c>
      <c r="BE162">
        <f t="shared" si="35"/>
        <v>15.904852010399999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71.415199999999999</v>
      </c>
      <c r="I163" s="22">
        <v>-2.3965500000000001E-2</v>
      </c>
      <c r="J163" s="22">
        <v>153</v>
      </c>
      <c r="K163" s="22">
        <v>1.0281400000000001</v>
      </c>
      <c r="L163">
        <f t="shared" si="24"/>
        <v>23.965500000000002</v>
      </c>
      <c r="M163">
        <f t="shared" si="25"/>
        <v>24.672721905</v>
      </c>
      <c r="N163" s="9"/>
      <c r="O163" s="22">
        <v>0.67047100000000004</v>
      </c>
      <c r="P163" s="22">
        <v>160.733</v>
      </c>
      <c r="Q163" s="22">
        <v>-2.4319500000000001E-2</v>
      </c>
      <c r="R163" s="22">
        <v>153</v>
      </c>
      <c r="S163" s="22">
        <v>0.67010499999999995</v>
      </c>
      <c r="T163">
        <f t="shared" si="26"/>
        <v>24.319500000000001</v>
      </c>
      <c r="U163">
        <f t="shared" si="27"/>
        <v>16.305519484500003</v>
      </c>
      <c r="X163" s="9"/>
      <c r="Y163" s="22">
        <v>1.0295099999999999</v>
      </c>
      <c r="Z163" s="22">
        <v>284.69499999999999</v>
      </c>
      <c r="AA163" s="22">
        <v>-2.3467999999999999E-2</v>
      </c>
      <c r="AB163" s="22">
        <v>153</v>
      </c>
      <c r="AC163" s="22">
        <v>1.02844</v>
      </c>
      <c r="AD163">
        <f t="shared" si="28"/>
        <v>23.468</v>
      </c>
      <c r="AE163">
        <f t="shared" si="29"/>
        <v>24.160540679999997</v>
      </c>
      <c r="AF163" s="9"/>
      <c r="AG163" s="22">
        <v>0.67047100000000004</v>
      </c>
      <c r="AH163" s="22">
        <v>390.57400000000001</v>
      </c>
      <c r="AI163" s="22">
        <v>-2.3870800000000001E-2</v>
      </c>
      <c r="AJ163" s="22">
        <v>153</v>
      </c>
      <c r="AK163" s="22">
        <v>0.66992200000000002</v>
      </c>
      <c r="AL163">
        <f t="shared" si="30"/>
        <v>23.870800000000003</v>
      </c>
      <c r="AM163">
        <f t="shared" si="31"/>
        <v>16.004679146800004</v>
      </c>
      <c r="AP163" s="9"/>
      <c r="AQ163" s="22">
        <v>1.0295099999999999</v>
      </c>
      <c r="AR163" s="22">
        <v>478.964</v>
      </c>
      <c r="AS163" s="22">
        <v>-2.3349000000000002E-2</v>
      </c>
      <c r="AT163" s="22">
        <v>153</v>
      </c>
      <c r="AU163" s="22">
        <v>1.02844</v>
      </c>
      <c r="AV163">
        <f t="shared" si="32"/>
        <v>23.349</v>
      </c>
      <c r="AW163">
        <f t="shared" si="33"/>
        <v>24.038028989999997</v>
      </c>
      <c r="AX163" s="9"/>
      <c r="AY163" s="22">
        <v>0.67047100000000004</v>
      </c>
      <c r="AZ163" s="22">
        <v>589.84299999999996</v>
      </c>
      <c r="BA163" s="22">
        <v>-2.39014E-2</v>
      </c>
      <c r="BB163" s="22">
        <v>153</v>
      </c>
      <c r="BC163" s="22">
        <v>0.66986100000000004</v>
      </c>
      <c r="BD163">
        <f t="shared" si="34"/>
        <v>23.901399999999999</v>
      </c>
      <c r="BE163">
        <f t="shared" si="35"/>
        <v>16.0251955594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71.515900000000002</v>
      </c>
      <c r="I164" s="22">
        <v>-2.3971599999999999E-2</v>
      </c>
      <c r="J164" s="22">
        <v>154</v>
      </c>
      <c r="K164" s="22">
        <v>1.02417</v>
      </c>
      <c r="L164">
        <f t="shared" si="24"/>
        <v>23.971599999999999</v>
      </c>
      <c r="M164">
        <f t="shared" si="25"/>
        <v>24.558424767999998</v>
      </c>
      <c r="N164" s="9"/>
      <c r="O164" s="22">
        <v>0.67550699999999997</v>
      </c>
      <c r="P164" s="22">
        <v>160.833</v>
      </c>
      <c r="Q164" s="22">
        <v>-2.43103E-2</v>
      </c>
      <c r="R164" s="22">
        <v>154</v>
      </c>
      <c r="S164" s="22">
        <v>0.67507899999999998</v>
      </c>
      <c r="T164">
        <f t="shared" si="26"/>
        <v>24.310300000000002</v>
      </c>
      <c r="U164">
        <f t="shared" si="27"/>
        <v>16.421777822100001</v>
      </c>
      <c r="X164" s="9"/>
      <c r="Y164" s="22">
        <v>1.0244800000000001</v>
      </c>
      <c r="Z164" s="22">
        <v>284.79599999999999</v>
      </c>
      <c r="AA164" s="22">
        <v>-2.3474100000000001E-2</v>
      </c>
      <c r="AB164" s="22">
        <v>154</v>
      </c>
      <c r="AC164" s="22">
        <v>1.02295</v>
      </c>
      <c r="AD164">
        <f t="shared" si="28"/>
        <v>23.4741</v>
      </c>
      <c r="AE164">
        <f t="shared" si="29"/>
        <v>24.048745968000002</v>
      </c>
      <c r="AF164" s="9"/>
      <c r="AG164" s="22">
        <v>0.67550699999999997</v>
      </c>
      <c r="AH164" s="22">
        <v>390.67399999999998</v>
      </c>
      <c r="AI164" s="22">
        <v>-2.3919699999999999E-2</v>
      </c>
      <c r="AJ164" s="22">
        <v>154</v>
      </c>
      <c r="AK164" s="22">
        <v>0.67501800000000001</v>
      </c>
      <c r="AL164">
        <f t="shared" si="30"/>
        <v>23.919699999999999</v>
      </c>
      <c r="AM164">
        <f t="shared" si="31"/>
        <v>16.157924787899997</v>
      </c>
      <c r="AP164" s="9"/>
      <c r="AQ164" s="22">
        <v>1.0244800000000001</v>
      </c>
      <c r="AR164" s="22">
        <v>479.065</v>
      </c>
      <c r="AS164" s="22">
        <v>-2.3352100000000001E-2</v>
      </c>
      <c r="AT164" s="22">
        <v>154</v>
      </c>
      <c r="AU164" s="22">
        <v>1.02325</v>
      </c>
      <c r="AV164">
        <f t="shared" si="32"/>
        <v>23.3521</v>
      </c>
      <c r="AW164">
        <f t="shared" si="33"/>
        <v>23.923759408000002</v>
      </c>
      <c r="AX164" s="9"/>
      <c r="AY164" s="22">
        <v>0.67550699999999997</v>
      </c>
      <c r="AZ164" s="22">
        <v>589.94399999999996</v>
      </c>
      <c r="BA164" s="22">
        <v>-2.3889199999999999E-2</v>
      </c>
      <c r="BB164" s="22">
        <v>154</v>
      </c>
      <c r="BC164" s="22">
        <v>0.67468300000000003</v>
      </c>
      <c r="BD164">
        <f t="shared" si="34"/>
        <v>23.889199999999999</v>
      </c>
      <c r="BE164">
        <f t="shared" si="35"/>
        <v>16.137321824399997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71.616600000000005</v>
      </c>
      <c r="I165" s="22">
        <v>-2.3965500000000001E-2</v>
      </c>
      <c r="J165" s="22">
        <v>155</v>
      </c>
      <c r="K165" s="22">
        <v>1.01929</v>
      </c>
      <c r="L165">
        <f t="shared" si="24"/>
        <v>23.965500000000002</v>
      </c>
      <c r="M165">
        <f t="shared" si="25"/>
        <v>24.431389320000001</v>
      </c>
      <c r="N165" s="9"/>
      <c r="O165" s="22">
        <v>0.68054199999999998</v>
      </c>
      <c r="P165" s="22">
        <v>160.934</v>
      </c>
      <c r="Q165" s="22">
        <v>-2.43103E-2</v>
      </c>
      <c r="R165" s="22">
        <v>155</v>
      </c>
      <c r="S165" s="22">
        <v>0.67993199999999998</v>
      </c>
      <c r="T165">
        <f t="shared" si="26"/>
        <v>24.310300000000002</v>
      </c>
      <c r="U165">
        <f t="shared" si="27"/>
        <v>16.544180182600002</v>
      </c>
      <c r="X165" s="9"/>
      <c r="Y165" s="22">
        <v>1.0194399999999999</v>
      </c>
      <c r="Z165" s="22">
        <v>284.89600000000002</v>
      </c>
      <c r="AA165" s="22">
        <v>-2.34772E-2</v>
      </c>
      <c r="AB165" s="22">
        <v>155</v>
      </c>
      <c r="AC165" s="22">
        <v>1.01837</v>
      </c>
      <c r="AD165">
        <f t="shared" si="28"/>
        <v>23.4772</v>
      </c>
      <c r="AE165">
        <f t="shared" si="29"/>
        <v>23.933596767999997</v>
      </c>
      <c r="AF165" s="9"/>
      <c r="AG165" s="22">
        <v>0.68054199999999998</v>
      </c>
      <c r="AH165" s="22">
        <v>390.77499999999998</v>
      </c>
      <c r="AI165" s="22">
        <v>-2.3910500000000001E-2</v>
      </c>
      <c r="AJ165" s="22">
        <v>155</v>
      </c>
      <c r="AK165" s="22">
        <v>0.679871</v>
      </c>
      <c r="AL165">
        <f t="shared" si="30"/>
        <v>23.910500000000003</v>
      </c>
      <c r="AM165">
        <f t="shared" si="31"/>
        <v>16.272099491000002</v>
      </c>
      <c r="AP165" s="9"/>
      <c r="AQ165" s="22">
        <v>1.0194399999999999</v>
      </c>
      <c r="AR165" s="22">
        <v>479.166</v>
      </c>
      <c r="AS165" s="22">
        <v>-2.33551E-2</v>
      </c>
      <c r="AT165" s="22">
        <v>155</v>
      </c>
      <c r="AU165" s="22">
        <v>1.01898</v>
      </c>
      <c r="AV165">
        <f t="shared" si="32"/>
        <v>23.3551</v>
      </c>
      <c r="AW165">
        <f t="shared" si="33"/>
        <v>23.809123143999997</v>
      </c>
      <c r="AX165" s="9"/>
      <c r="AY165" s="22">
        <v>0.68054199999999998</v>
      </c>
      <c r="AZ165" s="22">
        <v>590.04399999999998</v>
      </c>
      <c r="BA165" s="22">
        <v>-2.3892199999999999E-2</v>
      </c>
      <c r="BB165" s="22">
        <v>155</v>
      </c>
      <c r="BC165" s="22">
        <v>0.679871</v>
      </c>
      <c r="BD165">
        <f t="shared" si="34"/>
        <v>23.892199999999999</v>
      </c>
      <c r="BE165">
        <f t="shared" si="35"/>
        <v>16.2596455724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71.717299999999994</v>
      </c>
      <c r="I166" s="22">
        <v>-2.40112E-2</v>
      </c>
      <c r="J166" s="22">
        <v>156</v>
      </c>
      <c r="K166" s="22">
        <v>1.01349</v>
      </c>
      <c r="L166">
        <f t="shared" si="24"/>
        <v>24.011199999999999</v>
      </c>
      <c r="M166">
        <f t="shared" si="25"/>
        <v>24.356961279999997</v>
      </c>
      <c r="N166" s="9"/>
      <c r="O166" s="22">
        <v>0.68557699999999999</v>
      </c>
      <c r="P166" s="22">
        <v>161.035</v>
      </c>
      <c r="Q166" s="22">
        <v>-2.42981E-2</v>
      </c>
      <c r="R166" s="22">
        <v>156</v>
      </c>
      <c r="S166" s="22">
        <v>0.68518100000000004</v>
      </c>
      <c r="T166">
        <f t="shared" si="26"/>
        <v>24.298099999999998</v>
      </c>
      <c r="U166">
        <f t="shared" si="27"/>
        <v>16.658218503699999</v>
      </c>
      <c r="X166" s="9"/>
      <c r="Y166" s="22">
        <v>1.0144</v>
      </c>
      <c r="Z166" s="22">
        <v>284.99700000000001</v>
      </c>
      <c r="AA166" s="22">
        <v>-2.3489400000000001E-2</v>
      </c>
      <c r="AB166" s="22">
        <v>156</v>
      </c>
      <c r="AC166" s="22">
        <v>1.01471</v>
      </c>
      <c r="AD166">
        <f t="shared" si="28"/>
        <v>23.4894</v>
      </c>
      <c r="AE166">
        <f t="shared" si="29"/>
        <v>23.82764736</v>
      </c>
      <c r="AF166" s="9"/>
      <c r="AG166" s="22">
        <v>0.68557699999999999</v>
      </c>
      <c r="AH166" s="22">
        <v>390.87599999999998</v>
      </c>
      <c r="AI166" s="22">
        <v>-2.3907500000000002E-2</v>
      </c>
      <c r="AJ166" s="22">
        <v>156</v>
      </c>
      <c r="AK166" s="22">
        <v>0.68493700000000002</v>
      </c>
      <c r="AL166">
        <f t="shared" si="30"/>
        <v>23.907500000000002</v>
      </c>
      <c r="AM166">
        <f t="shared" si="31"/>
        <v>16.390432127500002</v>
      </c>
      <c r="AP166" s="9"/>
      <c r="AQ166" s="22">
        <v>1.0144</v>
      </c>
      <c r="AR166" s="22">
        <v>479.26600000000002</v>
      </c>
      <c r="AS166" s="22">
        <v>-2.3358199999999999E-2</v>
      </c>
      <c r="AT166" s="22">
        <v>156</v>
      </c>
      <c r="AU166" s="22">
        <v>1.0141</v>
      </c>
      <c r="AV166">
        <f t="shared" si="32"/>
        <v>23.3582</v>
      </c>
      <c r="AW166">
        <f t="shared" si="33"/>
        <v>23.69455808</v>
      </c>
      <c r="AX166" s="9"/>
      <c r="AY166" s="22">
        <v>0.68557699999999999</v>
      </c>
      <c r="AZ166" s="22">
        <v>590.14499999999998</v>
      </c>
      <c r="BA166" s="22">
        <v>-2.3883100000000001E-2</v>
      </c>
      <c r="BB166" s="22">
        <v>156</v>
      </c>
      <c r="BC166" s="22">
        <v>0.68496699999999999</v>
      </c>
      <c r="BD166">
        <f t="shared" si="34"/>
        <v>23.883100000000002</v>
      </c>
      <c r="BE166">
        <f t="shared" si="35"/>
        <v>16.373704048700002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71.818100000000001</v>
      </c>
      <c r="I167" s="22">
        <v>-2.4017299999999998E-2</v>
      </c>
      <c r="J167" s="22">
        <v>157</v>
      </c>
      <c r="K167" s="22">
        <v>1.0083</v>
      </c>
      <c r="L167">
        <f t="shared" si="24"/>
        <v>24.017299999999999</v>
      </c>
      <c r="M167">
        <f t="shared" si="25"/>
        <v>24.242342101000002</v>
      </c>
      <c r="N167" s="9"/>
      <c r="O167" s="22">
        <v>0.69061300000000003</v>
      </c>
      <c r="P167" s="22">
        <v>161.136</v>
      </c>
      <c r="Q167" s="22">
        <v>-2.4258399999999999E-2</v>
      </c>
      <c r="R167" s="22">
        <v>157</v>
      </c>
      <c r="S167" s="22">
        <v>0.69006299999999998</v>
      </c>
      <c r="T167">
        <f t="shared" si="26"/>
        <v>24.258399999999998</v>
      </c>
      <c r="U167">
        <f t="shared" si="27"/>
        <v>16.753166399200001</v>
      </c>
      <c r="X167" s="9"/>
      <c r="Y167" s="22">
        <v>1.0093700000000001</v>
      </c>
      <c r="Z167" s="22">
        <v>285.09800000000001</v>
      </c>
      <c r="AA167" s="22">
        <v>-2.34924E-2</v>
      </c>
      <c r="AB167" s="22">
        <v>157</v>
      </c>
      <c r="AC167" s="22">
        <v>1.0083</v>
      </c>
      <c r="AD167">
        <f t="shared" si="28"/>
        <v>23.4924</v>
      </c>
      <c r="AE167">
        <f t="shared" si="29"/>
        <v>23.712523788000002</v>
      </c>
      <c r="AF167" s="9"/>
      <c r="AG167" s="22">
        <v>0.69061300000000003</v>
      </c>
      <c r="AH167" s="22">
        <v>390.976</v>
      </c>
      <c r="AI167" s="22">
        <v>-2.3898300000000001E-2</v>
      </c>
      <c r="AJ167" s="22">
        <v>157</v>
      </c>
      <c r="AK167" s="22">
        <v>0.68984999999999996</v>
      </c>
      <c r="AL167">
        <f t="shared" si="30"/>
        <v>23.898300000000003</v>
      </c>
      <c r="AM167">
        <f t="shared" si="31"/>
        <v>16.504476657900003</v>
      </c>
      <c r="AP167" s="9"/>
      <c r="AQ167" s="22">
        <v>1.0093700000000001</v>
      </c>
      <c r="AR167" s="22">
        <v>479.36700000000002</v>
      </c>
      <c r="AS167" s="22">
        <v>-2.3358199999999999E-2</v>
      </c>
      <c r="AT167" s="22">
        <v>157</v>
      </c>
      <c r="AU167" s="22">
        <v>1.00891</v>
      </c>
      <c r="AV167">
        <f t="shared" si="32"/>
        <v>23.3582</v>
      </c>
      <c r="AW167">
        <f t="shared" si="33"/>
        <v>23.577066334000001</v>
      </c>
      <c r="AX167" s="9"/>
      <c r="AY167" s="22">
        <v>0.69061300000000003</v>
      </c>
      <c r="AZ167" s="22">
        <v>590.24599999999998</v>
      </c>
      <c r="BA167" s="22">
        <v>-2.3870800000000001E-2</v>
      </c>
      <c r="BB167" s="22">
        <v>157</v>
      </c>
      <c r="BC167" s="22">
        <v>0.69003300000000001</v>
      </c>
      <c r="BD167">
        <f t="shared" si="34"/>
        <v>23.870800000000003</v>
      </c>
      <c r="BE167">
        <f t="shared" si="35"/>
        <v>16.485484800400002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71.918800000000005</v>
      </c>
      <c r="I168" s="22">
        <v>-2.4035600000000001E-2</v>
      </c>
      <c r="J168" s="22">
        <v>158</v>
      </c>
      <c r="K168" s="22">
        <v>1.0037199999999999</v>
      </c>
      <c r="L168">
        <f t="shared" si="24"/>
        <v>24.035600000000002</v>
      </c>
      <c r="M168">
        <f t="shared" si="25"/>
        <v>24.139674148000001</v>
      </c>
      <c r="N168" s="9"/>
      <c r="O168" s="22">
        <v>0.69564800000000004</v>
      </c>
      <c r="P168" s="22">
        <v>161.23599999999999</v>
      </c>
      <c r="Q168" s="22">
        <v>-2.4240100000000001E-2</v>
      </c>
      <c r="R168" s="22">
        <v>158</v>
      </c>
      <c r="S168" s="22">
        <v>0.69506800000000002</v>
      </c>
      <c r="T168">
        <f t="shared" si="26"/>
        <v>24.240100000000002</v>
      </c>
      <c r="U168">
        <f t="shared" si="27"/>
        <v>16.862577084800002</v>
      </c>
      <c r="X168" s="9"/>
      <c r="Y168" s="22">
        <v>1.0043299999999999</v>
      </c>
      <c r="Z168" s="22">
        <v>285.19799999999998</v>
      </c>
      <c r="AA168" s="22">
        <v>-2.3495499999999999E-2</v>
      </c>
      <c r="AB168" s="22">
        <v>158</v>
      </c>
      <c r="AC168" s="22">
        <v>1.0037199999999999</v>
      </c>
      <c r="AD168">
        <f t="shared" si="28"/>
        <v>23.4955</v>
      </c>
      <c r="AE168">
        <f t="shared" si="29"/>
        <v>23.597235514999998</v>
      </c>
      <c r="AF168" s="9"/>
      <c r="AG168" s="22">
        <v>0.69564800000000004</v>
      </c>
      <c r="AH168" s="22">
        <v>391.077</v>
      </c>
      <c r="AI168" s="22">
        <v>-2.3895300000000001E-2</v>
      </c>
      <c r="AJ168" s="22">
        <v>158</v>
      </c>
      <c r="AK168" s="22">
        <v>0.69525099999999995</v>
      </c>
      <c r="AL168">
        <f t="shared" si="30"/>
        <v>23.895300000000002</v>
      </c>
      <c r="AM168">
        <f t="shared" si="31"/>
        <v>16.622717654400002</v>
      </c>
      <c r="AP168" s="9"/>
      <c r="AQ168" s="22">
        <v>1.0043299999999999</v>
      </c>
      <c r="AR168" s="22">
        <v>479.46800000000002</v>
      </c>
      <c r="AS168" s="22">
        <v>-2.3367300000000001E-2</v>
      </c>
      <c r="AT168" s="22">
        <v>158</v>
      </c>
      <c r="AU168" s="22">
        <v>1.00342</v>
      </c>
      <c r="AV168">
        <f t="shared" si="32"/>
        <v>23.3673</v>
      </c>
      <c r="AW168">
        <f t="shared" si="33"/>
        <v>23.468480408999998</v>
      </c>
      <c r="AX168" s="9"/>
      <c r="AY168" s="22">
        <v>0.69564800000000004</v>
      </c>
      <c r="AZ168" s="22">
        <v>590.34699999999998</v>
      </c>
      <c r="BA168" s="22">
        <v>-2.38617E-2</v>
      </c>
      <c r="BB168" s="22">
        <v>158</v>
      </c>
      <c r="BC168" s="22">
        <v>0.69500700000000004</v>
      </c>
      <c r="BD168">
        <f t="shared" si="34"/>
        <v>23.861699999999999</v>
      </c>
      <c r="BE168">
        <f t="shared" si="35"/>
        <v>16.599343881599999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72.019499999999994</v>
      </c>
      <c r="I169" s="22">
        <v>-2.4035600000000001E-2</v>
      </c>
      <c r="J169" s="22">
        <v>159</v>
      </c>
      <c r="K169" s="22">
        <v>0.99822999999999995</v>
      </c>
      <c r="L169">
        <f t="shared" si="24"/>
        <v>24.035600000000002</v>
      </c>
      <c r="M169">
        <f t="shared" si="25"/>
        <v>24.018727008800003</v>
      </c>
      <c r="N169" s="9"/>
      <c r="O169" s="22">
        <v>0.70068399999999997</v>
      </c>
      <c r="P169" s="22">
        <v>161.33699999999999</v>
      </c>
      <c r="Q169" s="22">
        <v>-2.42706E-2</v>
      </c>
      <c r="R169" s="22">
        <v>159</v>
      </c>
      <c r="S169" s="22">
        <v>0.70004299999999997</v>
      </c>
      <c r="T169">
        <f t="shared" si="26"/>
        <v>24.270599999999998</v>
      </c>
      <c r="U169">
        <f t="shared" si="27"/>
        <v>17.006021090399997</v>
      </c>
      <c r="X169" s="9"/>
      <c r="Y169" s="22">
        <v>0.99929800000000002</v>
      </c>
      <c r="Z169" s="22">
        <v>285.29899999999998</v>
      </c>
      <c r="AA169" s="22">
        <v>-2.3510699999999999E-2</v>
      </c>
      <c r="AB169" s="22">
        <v>159</v>
      </c>
      <c r="AC169" s="22">
        <v>0.99853499999999995</v>
      </c>
      <c r="AD169">
        <f t="shared" si="28"/>
        <v>23.5107</v>
      </c>
      <c r="AE169">
        <f t="shared" si="29"/>
        <v>23.494195488599999</v>
      </c>
      <c r="AF169" s="9"/>
      <c r="AG169" s="22">
        <v>0.70068399999999997</v>
      </c>
      <c r="AH169" s="22">
        <v>391.178</v>
      </c>
      <c r="AI169" s="22">
        <v>-2.3876999999999999E-2</v>
      </c>
      <c r="AJ169" s="22">
        <v>159</v>
      </c>
      <c r="AK169" s="22">
        <v>0.69986000000000004</v>
      </c>
      <c r="AL169">
        <f t="shared" si="30"/>
        <v>23.876999999999999</v>
      </c>
      <c r="AM169">
        <f t="shared" si="31"/>
        <v>16.730231867999997</v>
      </c>
      <c r="AP169" s="9"/>
      <c r="AQ169" s="22">
        <v>0.99929800000000002</v>
      </c>
      <c r="AR169" s="22">
        <v>479.56799999999998</v>
      </c>
      <c r="AS169" s="22">
        <v>-2.3376500000000001E-2</v>
      </c>
      <c r="AT169" s="22">
        <v>159</v>
      </c>
      <c r="AU169" s="22">
        <v>0.99792499999999995</v>
      </c>
      <c r="AV169">
        <f t="shared" si="32"/>
        <v>23.3765</v>
      </c>
      <c r="AW169">
        <f t="shared" si="33"/>
        <v>23.360089696999999</v>
      </c>
      <c r="AX169" s="9"/>
      <c r="AY169" s="22">
        <v>0.70068399999999997</v>
      </c>
      <c r="AZ169" s="22">
        <v>590.447</v>
      </c>
      <c r="BA169" s="22">
        <v>-2.38617E-2</v>
      </c>
      <c r="BB169" s="22">
        <v>159</v>
      </c>
      <c r="BC169" s="22">
        <v>0.69998199999999999</v>
      </c>
      <c r="BD169">
        <f t="shared" si="34"/>
        <v>23.861699999999999</v>
      </c>
      <c r="BE169">
        <f t="shared" si="35"/>
        <v>16.719511402799998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72.120199999999997</v>
      </c>
      <c r="I170" s="22">
        <v>-2.4041699999999999E-2</v>
      </c>
      <c r="J170" s="22">
        <v>160</v>
      </c>
      <c r="K170" s="22">
        <v>0.99365199999999998</v>
      </c>
      <c r="L170">
        <f t="shared" si="24"/>
        <v>24.041699999999999</v>
      </c>
      <c r="M170">
        <f t="shared" si="25"/>
        <v>23.903772767099998</v>
      </c>
      <c r="N170" s="9"/>
      <c r="O170" s="22">
        <v>0.70571899999999999</v>
      </c>
      <c r="P170" s="22">
        <v>161.43799999999999</v>
      </c>
      <c r="Q170" s="22">
        <v>-2.42676E-2</v>
      </c>
      <c r="R170" s="22">
        <v>160</v>
      </c>
      <c r="S170" s="22">
        <v>0.70516999999999996</v>
      </c>
      <c r="T170">
        <f t="shared" si="26"/>
        <v>24.267600000000002</v>
      </c>
      <c r="U170">
        <f t="shared" si="27"/>
        <v>17.126106404400002</v>
      </c>
      <c r="X170" s="9"/>
      <c r="Y170" s="22">
        <v>0.99426300000000001</v>
      </c>
      <c r="Z170" s="22">
        <v>285.39999999999998</v>
      </c>
      <c r="AA170" s="22">
        <v>-2.3501600000000001E-2</v>
      </c>
      <c r="AB170" s="22">
        <v>160</v>
      </c>
      <c r="AC170" s="22">
        <v>0.99365199999999998</v>
      </c>
      <c r="AD170">
        <f t="shared" si="28"/>
        <v>23.5016</v>
      </c>
      <c r="AE170">
        <f t="shared" si="29"/>
        <v>23.366771320800002</v>
      </c>
      <c r="AF170" s="9"/>
      <c r="AG170" s="22">
        <v>0.70571899999999999</v>
      </c>
      <c r="AH170" s="22">
        <v>391.279</v>
      </c>
      <c r="AI170" s="22">
        <v>-2.3879999999999998E-2</v>
      </c>
      <c r="AJ170" s="22">
        <v>160</v>
      </c>
      <c r="AK170" s="22">
        <v>0.70510899999999999</v>
      </c>
      <c r="AL170">
        <f t="shared" si="30"/>
        <v>23.88</v>
      </c>
      <c r="AM170">
        <f t="shared" si="31"/>
        <v>16.852569719999998</v>
      </c>
      <c r="AP170" s="9"/>
      <c r="AQ170" s="22">
        <v>0.99426300000000001</v>
      </c>
      <c r="AR170" s="22">
        <v>479.66899999999998</v>
      </c>
      <c r="AS170" s="22">
        <v>-2.3385599999999999E-2</v>
      </c>
      <c r="AT170" s="22">
        <v>160</v>
      </c>
      <c r="AU170" s="22">
        <v>0.99334699999999998</v>
      </c>
      <c r="AV170">
        <f t="shared" si="32"/>
        <v>23.3856</v>
      </c>
      <c r="AW170">
        <f t="shared" si="33"/>
        <v>23.251436812800002</v>
      </c>
      <c r="AX170" s="9"/>
      <c r="AY170" s="22">
        <v>0.70571899999999999</v>
      </c>
      <c r="AZ170" s="22">
        <v>590.548</v>
      </c>
      <c r="BA170" s="22">
        <v>-2.3864699999999999E-2</v>
      </c>
      <c r="BB170" s="22">
        <v>160</v>
      </c>
      <c r="BC170" s="22">
        <v>0.70516999999999996</v>
      </c>
      <c r="BD170">
        <f t="shared" si="34"/>
        <v>23.864699999999999</v>
      </c>
      <c r="BE170">
        <f t="shared" si="35"/>
        <v>16.841772219299997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72.2209</v>
      </c>
      <c r="I171" s="22">
        <v>-2.4047900000000001E-2</v>
      </c>
      <c r="J171" s="22">
        <v>161</v>
      </c>
      <c r="K171" s="22">
        <v>0.98846400000000001</v>
      </c>
      <c r="L171">
        <f t="shared" si="24"/>
        <v>24.047900000000002</v>
      </c>
      <c r="M171">
        <f t="shared" si="25"/>
        <v>23.788831973300002</v>
      </c>
      <c r="N171" s="9"/>
      <c r="O171" s="22">
        <v>0.710754</v>
      </c>
      <c r="P171" s="22">
        <v>161.53800000000001</v>
      </c>
      <c r="Q171" s="22">
        <v>-2.42279E-2</v>
      </c>
      <c r="R171" s="22">
        <v>161</v>
      </c>
      <c r="S171" s="22">
        <v>0.71029699999999996</v>
      </c>
      <c r="T171">
        <f t="shared" si="26"/>
        <v>24.227900000000002</v>
      </c>
      <c r="U171">
        <f t="shared" si="27"/>
        <v>17.220076836600001</v>
      </c>
      <c r="X171" s="9"/>
      <c r="Y171" s="22">
        <v>0.98922699999999997</v>
      </c>
      <c r="Z171" s="22">
        <v>285.50099999999998</v>
      </c>
      <c r="AA171" s="22">
        <v>-2.3522899999999999E-2</v>
      </c>
      <c r="AB171" s="22">
        <v>161</v>
      </c>
      <c r="AC171" s="22">
        <v>0.98846400000000001</v>
      </c>
      <c r="AD171">
        <f t="shared" si="28"/>
        <v>23.5229</v>
      </c>
      <c r="AE171">
        <f t="shared" si="29"/>
        <v>23.269487798299998</v>
      </c>
      <c r="AF171" s="9"/>
      <c r="AG171" s="22">
        <v>0.710754</v>
      </c>
      <c r="AH171" s="22">
        <v>391.37900000000002</v>
      </c>
      <c r="AI171" s="22">
        <v>-2.3879999999999998E-2</v>
      </c>
      <c r="AJ171" s="22">
        <v>161</v>
      </c>
      <c r="AK171" s="22">
        <v>0.710175</v>
      </c>
      <c r="AL171">
        <f t="shared" si="30"/>
        <v>23.88</v>
      </c>
      <c r="AM171">
        <f t="shared" si="31"/>
        <v>16.972805519999998</v>
      </c>
      <c r="AP171" s="9"/>
      <c r="AQ171" s="22">
        <v>0.98922699999999997</v>
      </c>
      <c r="AR171" s="22">
        <v>479.77</v>
      </c>
      <c r="AS171" s="22">
        <v>-2.3391700000000001E-2</v>
      </c>
      <c r="AT171" s="22">
        <v>161</v>
      </c>
      <c r="AU171" s="22">
        <v>0.98877000000000004</v>
      </c>
      <c r="AV171">
        <f t="shared" si="32"/>
        <v>23.3917</v>
      </c>
      <c r="AW171">
        <f t="shared" si="33"/>
        <v>23.139701215900001</v>
      </c>
      <c r="AX171" s="9"/>
      <c r="AY171" s="22">
        <v>0.710754</v>
      </c>
      <c r="AZ171" s="22">
        <v>590.649</v>
      </c>
      <c r="BA171" s="22">
        <v>-2.3849499999999999E-2</v>
      </c>
      <c r="BB171" s="22">
        <v>161</v>
      </c>
      <c r="BC171" s="22">
        <v>0.71011400000000002</v>
      </c>
      <c r="BD171">
        <f t="shared" si="34"/>
        <v>23.849499999999999</v>
      </c>
      <c r="BE171">
        <f t="shared" si="35"/>
        <v>16.951127523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72.321600000000004</v>
      </c>
      <c r="I172" s="22">
        <v>-2.40509E-2</v>
      </c>
      <c r="J172" s="22">
        <v>162</v>
      </c>
      <c r="K172" s="22">
        <v>0.98358199999999996</v>
      </c>
      <c r="L172">
        <f t="shared" si="24"/>
        <v>24.050899999999999</v>
      </c>
      <c r="M172">
        <f t="shared" si="25"/>
        <v>23.670703372799998</v>
      </c>
      <c r="N172" s="9"/>
      <c r="O172" s="22">
        <v>0.71579000000000004</v>
      </c>
      <c r="P172" s="22">
        <v>161.63900000000001</v>
      </c>
      <c r="Q172" s="22">
        <v>-2.4154700000000001E-2</v>
      </c>
      <c r="R172" s="22">
        <v>162</v>
      </c>
      <c r="S172" s="22">
        <v>0.71521000000000001</v>
      </c>
      <c r="T172">
        <f t="shared" si="26"/>
        <v>24.154700000000002</v>
      </c>
      <c r="U172">
        <f t="shared" si="27"/>
        <v>17.289692713000001</v>
      </c>
      <c r="X172" s="9"/>
      <c r="Y172" s="22">
        <v>0.98419199999999996</v>
      </c>
      <c r="Z172" s="22">
        <v>285.601</v>
      </c>
      <c r="AA172" s="22">
        <v>-2.3522899999999999E-2</v>
      </c>
      <c r="AB172" s="22">
        <v>162</v>
      </c>
      <c r="AC172" s="22">
        <v>0.98327600000000004</v>
      </c>
      <c r="AD172">
        <f t="shared" si="28"/>
        <v>23.5229</v>
      </c>
      <c r="AE172">
        <f t="shared" si="29"/>
        <v>23.151049996799998</v>
      </c>
      <c r="AF172" s="9"/>
      <c r="AG172" s="22">
        <v>0.71579000000000004</v>
      </c>
      <c r="AH172" s="22">
        <v>391.48</v>
      </c>
      <c r="AI172" s="22">
        <v>-2.3879999999999998E-2</v>
      </c>
      <c r="AJ172" s="22">
        <v>162</v>
      </c>
      <c r="AK172" s="22">
        <v>0.71530199999999999</v>
      </c>
      <c r="AL172">
        <f t="shared" si="30"/>
        <v>23.88</v>
      </c>
      <c r="AM172">
        <f t="shared" si="31"/>
        <v>17.093065200000002</v>
      </c>
      <c r="AP172" s="9"/>
      <c r="AQ172" s="22">
        <v>0.98419199999999996</v>
      </c>
      <c r="AR172" s="22">
        <v>479.87</v>
      </c>
      <c r="AS172" s="22">
        <v>-2.33948E-2</v>
      </c>
      <c r="AT172" s="22">
        <v>162</v>
      </c>
      <c r="AU172" s="22">
        <v>0.98297100000000004</v>
      </c>
      <c r="AV172">
        <f t="shared" si="32"/>
        <v>23.3948</v>
      </c>
      <c r="AW172">
        <f t="shared" si="33"/>
        <v>23.024975001599998</v>
      </c>
      <c r="AX172" s="9"/>
      <c r="AY172" s="22">
        <v>0.71579000000000004</v>
      </c>
      <c r="AZ172" s="22">
        <v>590.74900000000002</v>
      </c>
      <c r="BA172" s="22">
        <v>-2.38464E-2</v>
      </c>
      <c r="BB172" s="22">
        <v>162</v>
      </c>
      <c r="BC172" s="22">
        <v>0.71521000000000001</v>
      </c>
      <c r="BD172">
        <f t="shared" si="34"/>
        <v>23.846399999999999</v>
      </c>
      <c r="BE172">
        <f t="shared" si="35"/>
        <v>17.069014656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72.422300000000007</v>
      </c>
      <c r="I173" s="22">
        <v>-2.4069199999999999E-2</v>
      </c>
      <c r="J173" s="22">
        <v>163</v>
      </c>
      <c r="K173" s="22">
        <v>0.97869899999999999</v>
      </c>
      <c r="L173">
        <f t="shared" si="24"/>
        <v>24.069199999999999</v>
      </c>
      <c r="M173">
        <f t="shared" si="25"/>
        <v>23.5675015952</v>
      </c>
      <c r="N173" s="9"/>
      <c r="O173" s="22">
        <v>0.72082500000000005</v>
      </c>
      <c r="P173" s="22">
        <v>161.74</v>
      </c>
      <c r="Q173" s="22">
        <v>-2.4148599999999999E-2</v>
      </c>
      <c r="R173" s="22">
        <v>163</v>
      </c>
      <c r="S173" s="22">
        <v>0.72033700000000001</v>
      </c>
      <c r="T173">
        <f t="shared" si="26"/>
        <v>24.148599999999998</v>
      </c>
      <c r="U173">
        <f t="shared" si="27"/>
        <v>17.406914595</v>
      </c>
      <c r="X173" s="9"/>
      <c r="Y173" s="22">
        <v>0.97915600000000003</v>
      </c>
      <c r="Z173" s="22">
        <v>285.702</v>
      </c>
      <c r="AA173" s="22">
        <v>-2.3529100000000001E-2</v>
      </c>
      <c r="AB173" s="22">
        <v>163</v>
      </c>
      <c r="AC173" s="22">
        <v>0.97839399999999999</v>
      </c>
      <c r="AD173">
        <f t="shared" si="28"/>
        <v>23.5291</v>
      </c>
      <c r="AE173">
        <f t="shared" si="29"/>
        <v>23.0386594396</v>
      </c>
      <c r="AF173" s="9"/>
      <c r="AG173" s="22">
        <v>0.72082500000000005</v>
      </c>
      <c r="AH173" s="22">
        <v>391.58100000000002</v>
      </c>
      <c r="AI173" s="22">
        <v>-2.3867800000000002E-2</v>
      </c>
      <c r="AJ173" s="22">
        <v>163</v>
      </c>
      <c r="AK173" s="22">
        <v>0.72042799999999996</v>
      </c>
      <c r="AL173">
        <f t="shared" si="30"/>
        <v>23.867800000000003</v>
      </c>
      <c r="AM173">
        <f t="shared" si="31"/>
        <v>17.204506935000001</v>
      </c>
      <c r="AP173" s="9"/>
      <c r="AQ173" s="22">
        <v>0.97915600000000003</v>
      </c>
      <c r="AR173" s="22">
        <v>479.971</v>
      </c>
      <c r="AS173" s="22">
        <v>-2.3400899999999999E-2</v>
      </c>
      <c r="AT173" s="22">
        <v>163</v>
      </c>
      <c r="AU173" s="22">
        <v>0.97900399999999999</v>
      </c>
      <c r="AV173">
        <f t="shared" si="32"/>
        <v>23.4009</v>
      </c>
      <c r="AW173">
        <f t="shared" si="33"/>
        <v>22.9131316404</v>
      </c>
      <c r="AX173" s="9"/>
      <c r="AY173" s="22">
        <v>0.72082500000000005</v>
      </c>
      <c r="AZ173" s="22">
        <v>590.85</v>
      </c>
      <c r="BA173" s="22">
        <v>-2.38464E-2</v>
      </c>
      <c r="BB173" s="22">
        <v>163</v>
      </c>
      <c r="BC173" s="22">
        <v>0.72021500000000005</v>
      </c>
      <c r="BD173">
        <f t="shared" si="34"/>
        <v>23.846399999999999</v>
      </c>
      <c r="BE173">
        <f t="shared" si="35"/>
        <v>17.18908128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72.522999999999996</v>
      </c>
      <c r="I174" s="22">
        <v>-2.4060100000000001E-2</v>
      </c>
      <c r="J174" s="22">
        <v>164</v>
      </c>
      <c r="K174" s="22">
        <v>0.97320600000000002</v>
      </c>
      <c r="L174">
        <f t="shared" si="24"/>
        <v>24.060100000000002</v>
      </c>
      <c r="M174">
        <f t="shared" si="25"/>
        <v>23.437448672100004</v>
      </c>
      <c r="N174" s="9"/>
      <c r="O174" s="22">
        <v>0.72586099999999998</v>
      </c>
      <c r="P174" s="22">
        <v>161.84</v>
      </c>
      <c r="Q174" s="22">
        <v>-2.41455E-2</v>
      </c>
      <c r="R174" s="22">
        <v>164</v>
      </c>
      <c r="S174" s="22">
        <v>0.72543299999999999</v>
      </c>
      <c r="T174">
        <f t="shared" si="26"/>
        <v>24.145500000000002</v>
      </c>
      <c r="U174">
        <f t="shared" si="27"/>
        <v>17.526276775500001</v>
      </c>
      <c r="X174" s="9"/>
      <c r="Y174" s="22">
        <v>0.97412100000000001</v>
      </c>
      <c r="Z174" s="22">
        <v>285.803</v>
      </c>
      <c r="AA174" s="22">
        <v>-2.3535199999999999E-2</v>
      </c>
      <c r="AB174" s="22">
        <v>164</v>
      </c>
      <c r="AC174" s="22">
        <v>0.97289999999999999</v>
      </c>
      <c r="AD174">
        <f t="shared" si="28"/>
        <v>23.5352</v>
      </c>
      <c r="AE174">
        <f t="shared" si="29"/>
        <v>22.926132559199999</v>
      </c>
      <c r="AF174" s="9"/>
      <c r="AG174" s="22">
        <v>0.72586099999999998</v>
      </c>
      <c r="AH174" s="22">
        <v>391.68099999999998</v>
      </c>
      <c r="AI174" s="22">
        <v>-2.3843400000000001E-2</v>
      </c>
      <c r="AJ174" s="22">
        <v>164</v>
      </c>
      <c r="AK174" s="22">
        <v>0.72488399999999997</v>
      </c>
      <c r="AL174">
        <f t="shared" si="30"/>
        <v>23.843399999999999</v>
      </c>
      <c r="AM174">
        <f t="shared" si="31"/>
        <v>17.306994167399999</v>
      </c>
      <c r="AP174" s="9"/>
      <c r="AQ174" s="22">
        <v>0.97412100000000001</v>
      </c>
      <c r="AR174" s="22">
        <v>480.072</v>
      </c>
      <c r="AS174" s="22">
        <v>-2.3413099999999999E-2</v>
      </c>
      <c r="AT174" s="22">
        <v>164</v>
      </c>
      <c r="AU174" s="22">
        <v>0.97351100000000002</v>
      </c>
      <c r="AV174">
        <f t="shared" si="32"/>
        <v>23.4131</v>
      </c>
      <c r="AW174">
        <f t="shared" si="33"/>
        <v>22.807192385099999</v>
      </c>
      <c r="AX174" s="9"/>
      <c r="AY174" s="22">
        <v>0.72586099999999998</v>
      </c>
      <c r="AZ174" s="22">
        <v>590.95100000000002</v>
      </c>
      <c r="BA174" s="22">
        <v>-2.3837299999999999E-2</v>
      </c>
      <c r="BB174" s="22">
        <v>164</v>
      </c>
      <c r="BC174" s="22">
        <v>0.72555499999999995</v>
      </c>
      <c r="BD174">
        <f t="shared" si="34"/>
        <v>23.837299999999999</v>
      </c>
      <c r="BE174">
        <f t="shared" si="35"/>
        <v>17.302566415299999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72.623699999999999</v>
      </c>
      <c r="I175" s="22">
        <v>-2.4072300000000001E-2</v>
      </c>
      <c r="J175" s="22">
        <v>165</v>
      </c>
      <c r="K175" s="22">
        <v>0.96832300000000004</v>
      </c>
      <c r="L175">
        <f t="shared" si="24"/>
        <v>24.072300000000002</v>
      </c>
      <c r="M175">
        <f t="shared" si="25"/>
        <v>23.328128917800001</v>
      </c>
      <c r="N175" s="9"/>
      <c r="O175" s="22">
        <v>0.73089599999999999</v>
      </c>
      <c r="P175" s="22">
        <v>161.941</v>
      </c>
      <c r="Q175" s="22">
        <v>-2.41333E-2</v>
      </c>
      <c r="R175" s="22">
        <v>165</v>
      </c>
      <c r="S175" s="22">
        <v>0.73034699999999997</v>
      </c>
      <c r="T175">
        <f t="shared" si="26"/>
        <v>24.133299999999998</v>
      </c>
      <c r="U175">
        <f t="shared" si="27"/>
        <v>17.638932436799998</v>
      </c>
      <c r="X175" s="9"/>
      <c r="Y175" s="22">
        <v>0.969086</v>
      </c>
      <c r="Z175" s="22">
        <v>285.90300000000002</v>
      </c>
      <c r="AA175" s="22">
        <v>-2.3538199999999999E-2</v>
      </c>
      <c r="AB175" s="22">
        <v>165</v>
      </c>
      <c r="AC175" s="22">
        <v>0.96801800000000005</v>
      </c>
      <c r="AD175">
        <f t="shared" si="28"/>
        <v>23.5382</v>
      </c>
      <c r="AE175">
        <f t="shared" si="29"/>
        <v>22.8105400852</v>
      </c>
      <c r="AF175" s="9"/>
      <c r="AG175" s="22">
        <v>0.73089599999999999</v>
      </c>
      <c r="AH175" s="22">
        <v>391.78199999999998</v>
      </c>
      <c r="AI175" s="22">
        <v>-2.3803700000000001E-2</v>
      </c>
      <c r="AJ175" s="22">
        <v>165</v>
      </c>
      <c r="AK175" s="22">
        <v>0.73022500000000001</v>
      </c>
      <c r="AL175">
        <f t="shared" si="30"/>
        <v>23.803699999999999</v>
      </c>
      <c r="AM175">
        <f t="shared" si="31"/>
        <v>17.3980291152</v>
      </c>
      <c r="AP175" s="9"/>
      <c r="AQ175" s="22">
        <v>0.969086</v>
      </c>
      <c r="AR175" s="22">
        <v>480.173</v>
      </c>
      <c r="AS175" s="22">
        <v>-2.3419200000000001E-2</v>
      </c>
      <c r="AT175" s="22">
        <v>165</v>
      </c>
      <c r="AU175" s="22">
        <v>0.96862800000000004</v>
      </c>
      <c r="AV175">
        <f t="shared" si="32"/>
        <v>23.4192</v>
      </c>
      <c r="AW175">
        <f t="shared" si="33"/>
        <v>22.6952188512</v>
      </c>
      <c r="AX175" s="9"/>
      <c r="AY175" s="22">
        <v>0.73089599999999999</v>
      </c>
      <c r="AZ175" s="22">
        <v>591.05200000000002</v>
      </c>
      <c r="BA175" s="22">
        <v>-2.38312E-2</v>
      </c>
      <c r="BB175" s="22">
        <v>165</v>
      </c>
      <c r="BC175" s="22">
        <v>0.73031599999999997</v>
      </c>
      <c r="BD175">
        <f t="shared" si="34"/>
        <v>23.831199999999999</v>
      </c>
      <c r="BE175">
        <f t="shared" si="35"/>
        <v>17.418128755199998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72.724400000000003</v>
      </c>
      <c r="I176" s="22">
        <v>-2.4075300000000001E-2</v>
      </c>
      <c r="J176" s="22">
        <v>166</v>
      </c>
      <c r="K176" s="22">
        <v>0.96313499999999996</v>
      </c>
      <c r="L176">
        <f t="shared" si="24"/>
        <v>24.075300000000002</v>
      </c>
      <c r="M176">
        <f t="shared" si="25"/>
        <v>23.209792965000002</v>
      </c>
      <c r="N176" s="9"/>
      <c r="O176" s="22">
        <v>0.735931</v>
      </c>
      <c r="P176" s="22">
        <v>162.042</v>
      </c>
      <c r="Q176" s="22">
        <v>-2.4176E-2</v>
      </c>
      <c r="R176" s="22">
        <v>166</v>
      </c>
      <c r="S176" s="22">
        <v>0.73535200000000001</v>
      </c>
      <c r="T176">
        <f t="shared" si="26"/>
        <v>24.175999999999998</v>
      </c>
      <c r="U176">
        <f t="shared" si="27"/>
        <v>17.791867856</v>
      </c>
      <c r="X176" s="9"/>
      <c r="Y176" s="22">
        <v>0.96404999999999996</v>
      </c>
      <c r="Z176" s="22">
        <v>286.00400000000002</v>
      </c>
      <c r="AA176" s="22">
        <v>-2.3544300000000001E-2</v>
      </c>
      <c r="AB176" s="22">
        <v>166</v>
      </c>
      <c r="AC176" s="22">
        <v>0.96343999999999996</v>
      </c>
      <c r="AD176">
        <f t="shared" si="28"/>
        <v>23.5443</v>
      </c>
      <c r="AE176">
        <f t="shared" si="29"/>
        <v>22.697882414999999</v>
      </c>
      <c r="AF176" s="9"/>
      <c r="AG176" s="22">
        <v>0.735931</v>
      </c>
      <c r="AH176" s="22">
        <v>391.88299999999998</v>
      </c>
      <c r="AI176" s="22">
        <v>-2.37915E-2</v>
      </c>
      <c r="AJ176" s="22">
        <v>166</v>
      </c>
      <c r="AK176" s="22">
        <v>0.73541299999999998</v>
      </c>
      <c r="AL176">
        <f t="shared" si="30"/>
        <v>23.791499999999999</v>
      </c>
      <c r="AM176">
        <f t="shared" si="31"/>
        <v>17.508902386500001</v>
      </c>
      <c r="AP176" s="9"/>
      <c r="AQ176" s="22">
        <v>0.96404999999999996</v>
      </c>
      <c r="AR176" s="22">
        <v>480.27300000000002</v>
      </c>
      <c r="AS176" s="22">
        <v>-2.3416099999999999E-2</v>
      </c>
      <c r="AT176" s="22">
        <v>166</v>
      </c>
      <c r="AU176" s="22">
        <v>0.96313499999999996</v>
      </c>
      <c r="AV176">
        <f t="shared" si="32"/>
        <v>23.4161</v>
      </c>
      <c r="AW176">
        <f t="shared" si="33"/>
        <v>22.574291204999998</v>
      </c>
      <c r="AX176" s="9"/>
      <c r="AY176" s="22">
        <v>0.735931</v>
      </c>
      <c r="AZ176" s="22">
        <v>591.15200000000004</v>
      </c>
      <c r="BA176" s="22">
        <v>-2.3825099999999998E-2</v>
      </c>
      <c r="BB176" s="22">
        <v>166</v>
      </c>
      <c r="BC176" s="22">
        <v>0.73516800000000004</v>
      </c>
      <c r="BD176">
        <f t="shared" si="34"/>
        <v>23.825099999999999</v>
      </c>
      <c r="BE176">
        <f t="shared" si="35"/>
        <v>17.533629668099998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72.825100000000006</v>
      </c>
      <c r="I177" s="22">
        <v>-2.4081399999999999E-2</v>
      </c>
      <c r="J177" s="22">
        <v>167</v>
      </c>
      <c r="K177" s="22">
        <v>0.95825199999999999</v>
      </c>
      <c r="L177">
        <f t="shared" si="24"/>
        <v>24.081399999999999</v>
      </c>
      <c r="M177">
        <f t="shared" si="25"/>
        <v>23.094423820999996</v>
      </c>
      <c r="N177" s="9"/>
      <c r="O177" s="22">
        <v>0.74096700000000004</v>
      </c>
      <c r="P177" s="22">
        <v>162.143</v>
      </c>
      <c r="Q177" s="22">
        <v>-2.43103E-2</v>
      </c>
      <c r="R177" s="22">
        <v>167</v>
      </c>
      <c r="S177" s="22">
        <v>0.74075299999999999</v>
      </c>
      <c r="T177">
        <f t="shared" si="26"/>
        <v>24.310300000000002</v>
      </c>
      <c r="U177">
        <f t="shared" si="27"/>
        <v>18.013130060100004</v>
      </c>
      <c r="X177" s="9"/>
      <c r="Y177" s="22">
        <v>0.95901499999999995</v>
      </c>
      <c r="Z177" s="22">
        <v>286.10500000000002</v>
      </c>
      <c r="AA177" s="22">
        <v>-2.3553500000000002E-2</v>
      </c>
      <c r="AB177" s="22">
        <v>167</v>
      </c>
      <c r="AC177" s="22">
        <v>0.95764199999999999</v>
      </c>
      <c r="AD177">
        <f t="shared" si="28"/>
        <v>23.553500000000003</v>
      </c>
      <c r="AE177">
        <f t="shared" si="29"/>
        <v>22.588159802500002</v>
      </c>
      <c r="AF177" s="9"/>
      <c r="AG177" s="22">
        <v>0.74096700000000004</v>
      </c>
      <c r="AH177" s="22">
        <v>391.98399999999998</v>
      </c>
      <c r="AI177" s="22">
        <v>-2.3794599999999999E-2</v>
      </c>
      <c r="AJ177" s="22">
        <v>167</v>
      </c>
      <c r="AK177" s="22">
        <v>0.74005100000000001</v>
      </c>
      <c r="AL177">
        <f t="shared" si="30"/>
        <v>23.794599999999999</v>
      </c>
      <c r="AM177">
        <f t="shared" si="31"/>
        <v>17.631013378199999</v>
      </c>
      <c r="AP177" s="9"/>
      <c r="AQ177" s="22">
        <v>0.95901499999999995</v>
      </c>
      <c r="AR177" s="22">
        <v>480.37400000000002</v>
      </c>
      <c r="AS177" s="22">
        <v>-2.3422200000000001E-2</v>
      </c>
      <c r="AT177" s="22">
        <v>167</v>
      </c>
      <c r="AU177" s="22">
        <v>0.95855699999999999</v>
      </c>
      <c r="AV177">
        <f t="shared" si="32"/>
        <v>23.4222</v>
      </c>
      <c r="AW177">
        <f t="shared" si="33"/>
        <v>22.462241132999999</v>
      </c>
      <c r="AX177" s="9"/>
      <c r="AY177" s="22">
        <v>0.74096700000000004</v>
      </c>
      <c r="AZ177" s="22">
        <v>591.25300000000004</v>
      </c>
      <c r="BA177" s="22">
        <v>-2.3815900000000001E-2</v>
      </c>
      <c r="BB177" s="22">
        <v>167</v>
      </c>
      <c r="BC177" s="22">
        <v>0.74011199999999999</v>
      </c>
      <c r="BD177">
        <f t="shared" si="34"/>
        <v>23.815899999999999</v>
      </c>
      <c r="BE177">
        <f t="shared" si="35"/>
        <v>17.646795975300002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72.925799999999995</v>
      </c>
      <c r="I178" s="22">
        <v>-2.40906E-2</v>
      </c>
      <c r="J178" s="22">
        <v>168</v>
      </c>
      <c r="K178" s="22">
        <v>0.95306400000000002</v>
      </c>
      <c r="L178">
        <f t="shared" si="24"/>
        <v>24.090599999999998</v>
      </c>
      <c r="M178">
        <f t="shared" si="25"/>
        <v>22.9819264974</v>
      </c>
      <c r="N178" s="9"/>
      <c r="O178" s="22">
        <v>0.74600200000000005</v>
      </c>
      <c r="P178" s="22">
        <v>162.24299999999999</v>
      </c>
      <c r="Q178" s="22">
        <v>-2.42981E-2</v>
      </c>
      <c r="R178" s="22">
        <v>168</v>
      </c>
      <c r="S178" s="22">
        <v>0.74523899999999998</v>
      </c>
      <c r="T178">
        <f t="shared" si="26"/>
        <v>24.298099999999998</v>
      </c>
      <c r="U178">
        <f t="shared" si="27"/>
        <v>18.126431196199999</v>
      </c>
      <c r="X178" s="9"/>
      <c r="Y178" s="22">
        <v>0.95397900000000002</v>
      </c>
      <c r="Z178" s="22">
        <v>286.20499999999998</v>
      </c>
      <c r="AA178" s="22">
        <v>-2.3556500000000001E-2</v>
      </c>
      <c r="AB178" s="22">
        <v>168</v>
      </c>
      <c r="AC178" s="22">
        <v>0.95306400000000002</v>
      </c>
      <c r="AD178">
        <f t="shared" si="28"/>
        <v>23.5565</v>
      </c>
      <c r="AE178">
        <f t="shared" si="29"/>
        <v>22.472406313499999</v>
      </c>
      <c r="AF178" s="9"/>
      <c r="AG178" s="22">
        <v>0.74600200000000005</v>
      </c>
      <c r="AH178" s="22">
        <v>392.084</v>
      </c>
      <c r="AI178" s="22">
        <v>-2.37793E-2</v>
      </c>
      <c r="AJ178" s="22">
        <v>168</v>
      </c>
      <c r="AK178" s="22">
        <v>0.74529999999999996</v>
      </c>
      <c r="AL178">
        <f t="shared" si="30"/>
        <v>23.779299999999999</v>
      </c>
      <c r="AM178">
        <f t="shared" si="31"/>
        <v>17.739405358599999</v>
      </c>
      <c r="AP178" s="9"/>
      <c r="AQ178" s="22">
        <v>0.95397900000000002</v>
      </c>
      <c r="AR178" s="22">
        <v>480.47500000000002</v>
      </c>
      <c r="AS178" s="22">
        <v>-2.3422200000000001E-2</v>
      </c>
      <c r="AT178" s="22">
        <v>168</v>
      </c>
      <c r="AU178" s="22">
        <v>0.95336900000000002</v>
      </c>
      <c r="AV178">
        <f t="shared" si="32"/>
        <v>23.4222</v>
      </c>
      <c r="AW178">
        <f t="shared" si="33"/>
        <v>22.344286933799999</v>
      </c>
      <c r="AX178" s="9"/>
      <c r="AY178" s="22">
        <v>0.74600200000000005</v>
      </c>
      <c r="AZ178" s="22">
        <v>591.35400000000004</v>
      </c>
      <c r="BA178" s="22">
        <v>-2.3815900000000001E-2</v>
      </c>
      <c r="BB178" s="22">
        <v>168</v>
      </c>
      <c r="BC178" s="22">
        <v>0.74542200000000003</v>
      </c>
      <c r="BD178">
        <f t="shared" si="34"/>
        <v>23.815899999999999</v>
      </c>
      <c r="BE178">
        <f t="shared" si="35"/>
        <v>17.766709031800001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73.026600000000002</v>
      </c>
      <c r="I179" s="22">
        <v>-2.40936E-2</v>
      </c>
      <c r="J179" s="22">
        <v>169</v>
      </c>
      <c r="K179" s="22">
        <v>0.94787600000000005</v>
      </c>
      <c r="L179">
        <f t="shared" si="24"/>
        <v>24.093599999999999</v>
      </c>
      <c r="M179">
        <f t="shared" si="25"/>
        <v>22.863477158399999</v>
      </c>
      <c r="N179" s="9"/>
      <c r="O179" s="22">
        <v>0.75103799999999998</v>
      </c>
      <c r="P179" s="22">
        <v>162.34399999999999</v>
      </c>
      <c r="Q179" s="22">
        <v>-2.4292000000000001E-2</v>
      </c>
      <c r="R179" s="22">
        <v>169</v>
      </c>
      <c r="S179" s="22">
        <v>0.75051900000000005</v>
      </c>
      <c r="T179">
        <f t="shared" si="26"/>
        <v>24.292000000000002</v>
      </c>
      <c r="U179">
        <f t="shared" si="27"/>
        <v>18.244215096000001</v>
      </c>
      <c r="X179" s="9"/>
      <c r="Y179" s="22">
        <v>0.94894400000000001</v>
      </c>
      <c r="Z179" s="22">
        <v>286.30599999999998</v>
      </c>
      <c r="AA179" s="22">
        <v>-2.3565699999999998E-2</v>
      </c>
      <c r="AB179" s="22">
        <v>169</v>
      </c>
      <c r="AC179" s="22">
        <v>0.94879199999999997</v>
      </c>
      <c r="AD179">
        <f t="shared" si="28"/>
        <v>23.5657</v>
      </c>
      <c r="AE179">
        <f t="shared" si="29"/>
        <v>22.3625296208</v>
      </c>
      <c r="AF179" s="9"/>
      <c r="AG179" s="22">
        <v>0.75103799999999998</v>
      </c>
      <c r="AH179" s="22">
        <v>392.185</v>
      </c>
      <c r="AI179" s="22">
        <v>-2.3776200000000001E-2</v>
      </c>
      <c r="AJ179" s="22">
        <v>169</v>
      </c>
      <c r="AK179" s="22">
        <v>0.75039699999999998</v>
      </c>
      <c r="AL179">
        <f t="shared" si="30"/>
        <v>23.776199999999999</v>
      </c>
      <c r="AM179">
        <f t="shared" si="31"/>
        <v>17.856829695599998</v>
      </c>
      <c r="AP179" s="9"/>
      <c r="AQ179" s="22">
        <v>0.94894400000000001</v>
      </c>
      <c r="AR179" s="22">
        <v>480.57499999999999</v>
      </c>
      <c r="AS179" s="22">
        <v>-2.34375E-2</v>
      </c>
      <c r="AT179" s="22">
        <v>169</v>
      </c>
      <c r="AU179" s="22">
        <v>0.94757100000000005</v>
      </c>
      <c r="AV179">
        <f t="shared" si="32"/>
        <v>23.4375</v>
      </c>
      <c r="AW179">
        <f t="shared" si="33"/>
        <v>22.240874999999999</v>
      </c>
      <c r="AX179" s="9"/>
      <c r="AY179" s="22">
        <v>0.75103799999999998</v>
      </c>
      <c r="AZ179" s="22">
        <v>591.45399999999995</v>
      </c>
      <c r="BA179" s="22">
        <v>-2.3809799999999999E-2</v>
      </c>
      <c r="BB179" s="22">
        <v>169</v>
      </c>
      <c r="BC179" s="22">
        <v>0.750336</v>
      </c>
      <c r="BD179">
        <f t="shared" si="34"/>
        <v>23.809799999999999</v>
      </c>
      <c r="BE179">
        <f t="shared" si="35"/>
        <v>17.882064572399997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73.127300000000005</v>
      </c>
      <c r="I180" s="22">
        <v>-2.40936E-2</v>
      </c>
      <c r="J180" s="22">
        <v>170</v>
      </c>
      <c r="K180" s="22">
        <v>0.94238299999999997</v>
      </c>
      <c r="L180">
        <f t="shared" si="24"/>
        <v>24.093599999999999</v>
      </c>
      <c r="M180">
        <f t="shared" si="25"/>
        <v>22.742165882399998</v>
      </c>
      <c r="N180" s="9"/>
      <c r="O180" s="22">
        <v>0.756073</v>
      </c>
      <c r="P180" s="22">
        <v>162.44499999999999</v>
      </c>
      <c r="Q180" s="22">
        <v>-2.42828E-2</v>
      </c>
      <c r="R180" s="22">
        <v>170</v>
      </c>
      <c r="S180" s="22">
        <v>0.75592000000000004</v>
      </c>
      <c r="T180">
        <f t="shared" si="26"/>
        <v>24.282800000000002</v>
      </c>
      <c r="U180">
        <f t="shared" si="27"/>
        <v>18.359569444400002</v>
      </c>
      <c r="X180" s="9"/>
      <c r="Y180" s="22">
        <v>0.943909</v>
      </c>
      <c r="Z180" s="22">
        <v>286.40699999999998</v>
      </c>
      <c r="AA180" s="22">
        <v>-2.35748E-2</v>
      </c>
      <c r="AB180" s="22">
        <v>170</v>
      </c>
      <c r="AC180" s="22">
        <v>0.943909</v>
      </c>
      <c r="AD180">
        <f t="shared" si="28"/>
        <v>23.5748</v>
      </c>
      <c r="AE180">
        <f t="shared" si="29"/>
        <v>22.2524658932</v>
      </c>
      <c r="AF180" s="9"/>
      <c r="AG180" s="22">
        <v>0.756073</v>
      </c>
      <c r="AH180" s="22">
        <v>392.286</v>
      </c>
      <c r="AI180" s="22">
        <v>-2.3773200000000001E-2</v>
      </c>
      <c r="AJ180" s="22">
        <v>170</v>
      </c>
      <c r="AK180" s="22">
        <v>0.75561500000000004</v>
      </c>
      <c r="AL180">
        <f t="shared" si="30"/>
        <v>23.773200000000003</v>
      </c>
      <c r="AM180">
        <f t="shared" si="31"/>
        <v>17.974274643600001</v>
      </c>
      <c r="AP180" s="9"/>
      <c r="AQ180" s="22">
        <v>0.943909</v>
      </c>
      <c r="AR180" s="22">
        <v>480.67599999999999</v>
      </c>
      <c r="AS180" s="22">
        <v>-2.3440599999999999E-2</v>
      </c>
      <c r="AT180" s="22">
        <v>170</v>
      </c>
      <c r="AU180" s="22">
        <v>0.94329799999999997</v>
      </c>
      <c r="AV180">
        <f t="shared" si="32"/>
        <v>23.4406</v>
      </c>
      <c r="AW180">
        <f t="shared" si="33"/>
        <v>22.125793305399998</v>
      </c>
      <c r="AX180" s="9"/>
      <c r="AY180" s="22">
        <v>0.756073</v>
      </c>
      <c r="AZ180" s="22">
        <v>591.55499999999995</v>
      </c>
      <c r="BA180" s="22">
        <v>-2.3797599999999999E-2</v>
      </c>
      <c r="BB180" s="22">
        <v>170</v>
      </c>
      <c r="BC180" s="22">
        <v>0.75531000000000004</v>
      </c>
      <c r="BD180">
        <f t="shared" si="34"/>
        <v>23.797599999999999</v>
      </c>
      <c r="BE180">
        <f t="shared" si="35"/>
        <v>17.992722824799998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73.227999999999994</v>
      </c>
      <c r="I181" s="22">
        <v>-2.40936E-2</v>
      </c>
      <c r="J181" s="22">
        <v>171</v>
      </c>
      <c r="K181" s="22">
        <v>0.937805</v>
      </c>
      <c r="L181">
        <f t="shared" si="24"/>
        <v>24.093599999999999</v>
      </c>
      <c r="M181">
        <f t="shared" si="25"/>
        <v>22.620830512799998</v>
      </c>
      <c r="N181" s="9"/>
      <c r="O181" s="22">
        <v>0.76110800000000001</v>
      </c>
      <c r="P181" s="22">
        <v>162.54499999999999</v>
      </c>
      <c r="Q181" s="22">
        <v>-2.4273699999999999E-2</v>
      </c>
      <c r="R181" s="22">
        <v>171</v>
      </c>
      <c r="S181" s="22">
        <v>0.76049800000000001</v>
      </c>
      <c r="T181">
        <f t="shared" si="26"/>
        <v>24.273699999999998</v>
      </c>
      <c r="U181">
        <f t="shared" si="27"/>
        <v>18.474907259599998</v>
      </c>
      <c r="X181" s="9"/>
      <c r="Y181" s="22">
        <v>0.93887299999999996</v>
      </c>
      <c r="Z181" s="22">
        <v>286.50799999999998</v>
      </c>
      <c r="AA181" s="22">
        <v>-2.35718E-2</v>
      </c>
      <c r="AB181" s="22">
        <v>171</v>
      </c>
      <c r="AC181" s="22">
        <v>0.93811</v>
      </c>
      <c r="AD181">
        <f t="shared" si="28"/>
        <v>23.5718</v>
      </c>
      <c r="AE181">
        <f t="shared" si="29"/>
        <v>22.130926581399997</v>
      </c>
      <c r="AF181" s="9"/>
      <c r="AG181" s="22">
        <v>0.76110800000000001</v>
      </c>
      <c r="AH181" s="22">
        <v>392.38600000000002</v>
      </c>
      <c r="AI181" s="22">
        <v>-2.3770099999999999E-2</v>
      </c>
      <c r="AJ181" s="22">
        <v>171</v>
      </c>
      <c r="AK181" s="22">
        <v>0.76080300000000001</v>
      </c>
      <c r="AL181">
        <f t="shared" si="30"/>
        <v>23.770099999999999</v>
      </c>
      <c r="AM181">
        <f t="shared" si="31"/>
        <v>18.0916132708</v>
      </c>
      <c r="AP181" s="9"/>
      <c r="AQ181" s="22">
        <v>0.93887299999999996</v>
      </c>
      <c r="AR181" s="22">
        <v>480.77699999999999</v>
      </c>
      <c r="AS181" s="22">
        <v>-2.3440599999999999E-2</v>
      </c>
      <c r="AT181" s="22">
        <v>171</v>
      </c>
      <c r="AU181" s="22">
        <v>0.93841600000000003</v>
      </c>
      <c r="AV181">
        <f t="shared" si="32"/>
        <v>23.4406</v>
      </c>
      <c r="AW181">
        <f t="shared" si="33"/>
        <v>22.007746443799999</v>
      </c>
      <c r="AX181" s="9"/>
      <c r="AY181" s="22">
        <v>0.76110800000000001</v>
      </c>
      <c r="AZ181" s="22">
        <v>591.65599999999995</v>
      </c>
      <c r="BA181" s="22">
        <v>-2.3800700000000001E-2</v>
      </c>
      <c r="BB181" s="22">
        <v>171</v>
      </c>
      <c r="BC181" s="22">
        <v>0.76019300000000001</v>
      </c>
      <c r="BD181">
        <f t="shared" si="34"/>
        <v>23.800700000000003</v>
      </c>
      <c r="BE181">
        <f t="shared" si="35"/>
        <v>18.114903175600002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73.328699999999998</v>
      </c>
      <c r="I182" s="22">
        <v>-2.41058E-2</v>
      </c>
      <c r="J182" s="22">
        <v>172</v>
      </c>
      <c r="K182" s="22">
        <v>0.93353299999999995</v>
      </c>
      <c r="L182">
        <f t="shared" si="24"/>
        <v>24.105799999999999</v>
      </c>
      <c r="M182">
        <f t="shared" si="25"/>
        <v>22.510912060399999</v>
      </c>
      <c r="N182" s="9"/>
      <c r="O182" s="22">
        <v>0.76614400000000005</v>
      </c>
      <c r="P182" s="22">
        <v>162.64599999999999</v>
      </c>
      <c r="Q182" s="22">
        <v>-2.4264500000000001E-2</v>
      </c>
      <c r="R182" s="22">
        <v>172</v>
      </c>
      <c r="S182" s="22">
        <v>0.76538099999999998</v>
      </c>
      <c r="T182">
        <f t="shared" si="26"/>
        <v>24.264500000000002</v>
      </c>
      <c r="U182">
        <f t="shared" si="27"/>
        <v>18.590101088000001</v>
      </c>
      <c r="X182" s="9"/>
      <c r="Y182" s="22">
        <v>0.93383799999999995</v>
      </c>
      <c r="Z182" s="22">
        <v>286.608</v>
      </c>
      <c r="AA182" s="22">
        <v>-2.3580899999999998E-2</v>
      </c>
      <c r="AB182" s="22">
        <v>172</v>
      </c>
      <c r="AC182" s="22">
        <v>0.93353299999999995</v>
      </c>
      <c r="AD182">
        <f t="shared" si="28"/>
        <v>23.5809</v>
      </c>
      <c r="AE182">
        <f t="shared" si="29"/>
        <v>22.020740494199998</v>
      </c>
      <c r="AF182" s="9"/>
      <c r="AG182" s="22">
        <v>0.76614400000000005</v>
      </c>
      <c r="AH182" s="22">
        <v>392.48700000000002</v>
      </c>
      <c r="AI182" s="22">
        <v>-2.3761000000000001E-2</v>
      </c>
      <c r="AJ182" s="22">
        <v>172</v>
      </c>
      <c r="AK182" s="22">
        <v>0.76538099999999998</v>
      </c>
      <c r="AL182">
        <f t="shared" si="30"/>
        <v>23.760999999999999</v>
      </c>
      <c r="AM182">
        <f t="shared" si="31"/>
        <v>18.204347584000001</v>
      </c>
      <c r="AP182" s="9"/>
      <c r="AQ182" s="22">
        <v>0.93383799999999995</v>
      </c>
      <c r="AR182" s="22">
        <v>480.87799999999999</v>
      </c>
      <c r="AS182" s="22">
        <v>-2.3458900000000001E-2</v>
      </c>
      <c r="AT182" s="22">
        <v>172</v>
      </c>
      <c r="AU182" s="22">
        <v>0.93322799999999995</v>
      </c>
      <c r="AV182">
        <f t="shared" si="32"/>
        <v>23.4589</v>
      </c>
      <c r="AW182">
        <f t="shared" si="33"/>
        <v>21.906812258199999</v>
      </c>
      <c r="AX182" s="9"/>
      <c r="AY182" s="22">
        <v>0.76614400000000005</v>
      </c>
      <c r="AZ182" s="22">
        <v>591.75599999999997</v>
      </c>
      <c r="BA182" s="22">
        <v>-2.3788500000000001E-2</v>
      </c>
      <c r="BB182" s="22">
        <v>172</v>
      </c>
      <c r="BC182" s="22">
        <v>0.76568599999999998</v>
      </c>
      <c r="BD182">
        <f t="shared" si="34"/>
        <v>23.788499999999999</v>
      </c>
      <c r="BE182">
        <f t="shared" si="35"/>
        <v>18.225416544000002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73.429400000000001</v>
      </c>
      <c r="I183" s="22">
        <v>-2.4313399999999999E-2</v>
      </c>
      <c r="J183" s="22">
        <v>173</v>
      </c>
      <c r="K183" s="22">
        <v>0.92803999999999998</v>
      </c>
      <c r="L183">
        <f t="shared" si="24"/>
        <v>24.313399999999998</v>
      </c>
      <c r="M183">
        <f t="shared" si="25"/>
        <v>22.582334546799999</v>
      </c>
      <c r="N183" s="9"/>
      <c r="O183" s="22">
        <v>0.77117899999999995</v>
      </c>
      <c r="P183" s="22">
        <v>162.74700000000001</v>
      </c>
      <c r="Q183" s="22">
        <v>-2.4191299999999999E-2</v>
      </c>
      <c r="R183" s="22">
        <v>173</v>
      </c>
      <c r="S183" s="22">
        <v>0.76965300000000003</v>
      </c>
      <c r="T183">
        <f t="shared" si="26"/>
        <v>24.191299999999998</v>
      </c>
      <c r="U183">
        <f t="shared" si="27"/>
        <v>18.655822542699998</v>
      </c>
      <c r="X183" s="9"/>
      <c r="Y183" s="22">
        <v>0.92880200000000002</v>
      </c>
      <c r="Z183" s="22">
        <v>286.709</v>
      </c>
      <c r="AA183" s="22">
        <v>-2.3590099999999999E-2</v>
      </c>
      <c r="AB183" s="22">
        <v>173</v>
      </c>
      <c r="AC183" s="22">
        <v>0.92834499999999998</v>
      </c>
      <c r="AD183">
        <f t="shared" si="28"/>
        <v>23.5901</v>
      </c>
      <c r="AE183">
        <f t="shared" si="29"/>
        <v>21.910532060200001</v>
      </c>
      <c r="AF183" s="9"/>
      <c r="AG183" s="22">
        <v>0.77117899999999995</v>
      </c>
      <c r="AH183" s="22">
        <v>392.58800000000002</v>
      </c>
      <c r="AI183" s="22">
        <v>-2.37488E-2</v>
      </c>
      <c r="AJ183" s="22">
        <v>173</v>
      </c>
      <c r="AK183" s="22">
        <v>0.77056899999999995</v>
      </c>
      <c r="AL183">
        <f t="shared" si="30"/>
        <v>23.748799999999999</v>
      </c>
      <c r="AM183">
        <f t="shared" si="31"/>
        <v>18.314575835199999</v>
      </c>
      <c r="AP183" s="9"/>
      <c r="AQ183" s="22">
        <v>0.92880200000000002</v>
      </c>
      <c r="AR183" s="22">
        <v>480.97800000000001</v>
      </c>
      <c r="AS183" s="22">
        <v>-2.3467999999999999E-2</v>
      </c>
      <c r="AT183" s="22">
        <v>173</v>
      </c>
      <c r="AU183" s="22">
        <v>0.92864999999999998</v>
      </c>
      <c r="AV183">
        <f t="shared" si="32"/>
        <v>23.468</v>
      </c>
      <c r="AW183">
        <f t="shared" si="33"/>
        <v>21.797125336000001</v>
      </c>
      <c r="AX183" s="9"/>
      <c r="AY183" s="22">
        <v>0.77117899999999995</v>
      </c>
      <c r="AZ183" s="22">
        <v>591.85699999999997</v>
      </c>
      <c r="BA183" s="22">
        <v>-2.3782299999999999E-2</v>
      </c>
      <c r="BB183" s="22">
        <v>173</v>
      </c>
      <c r="BC183" s="22">
        <v>0.77056899999999995</v>
      </c>
      <c r="BD183">
        <f t="shared" si="34"/>
        <v>23.782299999999999</v>
      </c>
      <c r="BE183">
        <f t="shared" si="35"/>
        <v>18.340410331699999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73.530100000000004</v>
      </c>
      <c r="I184" s="22">
        <v>-2.43225E-2</v>
      </c>
      <c r="J184" s="22">
        <v>174</v>
      </c>
      <c r="K184" s="22">
        <v>0.92254599999999998</v>
      </c>
      <c r="L184">
        <f t="shared" si="24"/>
        <v>24.322500000000002</v>
      </c>
      <c r="M184">
        <f t="shared" si="25"/>
        <v>22.468322857500002</v>
      </c>
      <c r="N184" s="9"/>
      <c r="O184" s="22">
        <v>0.77621499999999999</v>
      </c>
      <c r="P184" s="22">
        <v>162.84800000000001</v>
      </c>
      <c r="Q184" s="22">
        <v>-2.4261499999999998E-2</v>
      </c>
      <c r="R184" s="22">
        <v>174</v>
      </c>
      <c r="S184" s="22">
        <v>0.77545200000000003</v>
      </c>
      <c r="T184">
        <f t="shared" si="26"/>
        <v>24.261499999999998</v>
      </c>
      <c r="U184">
        <f t="shared" si="27"/>
        <v>18.832140222499998</v>
      </c>
      <c r="X184" s="9"/>
      <c r="Y184" s="22">
        <v>0.923767</v>
      </c>
      <c r="Z184" s="22">
        <v>286.81</v>
      </c>
      <c r="AA184" s="22">
        <v>-2.3599200000000001E-2</v>
      </c>
      <c r="AB184" s="22">
        <v>174</v>
      </c>
      <c r="AC184" s="22">
        <v>0.92315700000000001</v>
      </c>
      <c r="AD184">
        <f t="shared" si="28"/>
        <v>23.5992</v>
      </c>
      <c r="AE184">
        <f t="shared" si="29"/>
        <v>21.800162186400001</v>
      </c>
      <c r="AF184" s="9"/>
      <c r="AG184" s="22">
        <v>0.77621499999999999</v>
      </c>
      <c r="AH184" s="22">
        <v>392.68900000000002</v>
      </c>
      <c r="AI184" s="22">
        <v>-2.37488E-2</v>
      </c>
      <c r="AJ184" s="22">
        <v>174</v>
      </c>
      <c r="AK184" s="22">
        <v>0.77545200000000003</v>
      </c>
      <c r="AL184">
        <f t="shared" si="30"/>
        <v>23.748799999999999</v>
      </c>
      <c r="AM184">
        <f t="shared" si="31"/>
        <v>18.434174792</v>
      </c>
      <c r="AP184" s="9"/>
      <c r="AQ184" s="22">
        <v>0.923767</v>
      </c>
      <c r="AR184" s="22">
        <v>481.07900000000001</v>
      </c>
      <c r="AS184" s="22">
        <v>-2.3471100000000002E-2</v>
      </c>
      <c r="AT184" s="22">
        <v>174</v>
      </c>
      <c r="AU184" s="22">
        <v>0.924072</v>
      </c>
      <c r="AV184">
        <f t="shared" si="32"/>
        <v>23.471100000000003</v>
      </c>
      <c r="AW184">
        <f t="shared" si="33"/>
        <v>21.681827633700003</v>
      </c>
      <c r="AX184" s="9"/>
      <c r="AY184" s="22">
        <v>0.77621499999999999</v>
      </c>
      <c r="AZ184" s="22">
        <v>591.95799999999997</v>
      </c>
      <c r="BA184" s="22">
        <v>-2.3776200000000001E-2</v>
      </c>
      <c r="BB184" s="22">
        <v>174</v>
      </c>
      <c r="BC184" s="22">
        <v>0.77545200000000003</v>
      </c>
      <c r="BD184">
        <f t="shared" si="34"/>
        <v>23.776199999999999</v>
      </c>
      <c r="BE184">
        <f t="shared" si="35"/>
        <v>18.455443082999999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73.630799999999994</v>
      </c>
      <c r="I185" s="22">
        <v>-2.4328599999999999E-2</v>
      </c>
      <c r="J185" s="22">
        <v>175</v>
      </c>
      <c r="K185" s="22">
        <v>0.91796900000000003</v>
      </c>
      <c r="L185">
        <f t="shared" si="24"/>
        <v>24.328599999999998</v>
      </c>
      <c r="M185">
        <f t="shared" si="25"/>
        <v>22.351463335199998</v>
      </c>
      <c r="N185" s="9"/>
      <c r="O185" s="22">
        <v>0.78125</v>
      </c>
      <c r="P185" s="22">
        <v>162.94800000000001</v>
      </c>
      <c r="Q185" s="22">
        <v>-2.4264500000000001E-2</v>
      </c>
      <c r="R185" s="22">
        <v>175</v>
      </c>
      <c r="S185" s="22">
        <v>0.78064</v>
      </c>
      <c r="T185">
        <f t="shared" si="26"/>
        <v>24.264500000000002</v>
      </c>
      <c r="U185">
        <f t="shared" si="27"/>
        <v>18.956640625000002</v>
      </c>
      <c r="X185" s="9"/>
      <c r="Y185" s="22">
        <v>0.91873199999999999</v>
      </c>
      <c r="Z185" s="22">
        <v>286.91000000000003</v>
      </c>
      <c r="AA185" s="22">
        <v>-2.3605299999999999E-2</v>
      </c>
      <c r="AB185" s="22">
        <v>175</v>
      </c>
      <c r="AC185" s="22">
        <v>0.91827400000000003</v>
      </c>
      <c r="AD185">
        <f t="shared" si="28"/>
        <v>23.6053</v>
      </c>
      <c r="AE185">
        <f t="shared" si="29"/>
        <v>21.686944479600001</v>
      </c>
      <c r="AF185" s="9"/>
      <c r="AG185" s="22">
        <v>0.78125</v>
      </c>
      <c r="AH185" s="22">
        <v>392.78899999999999</v>
      </c>
      <c r="AI185" s="22">
        <v>-2.3745700000000002E-2</v>
      </c>
      <c r="AJ185" s="22">
        <v>175</v>
      </c>
      <c r="AK185" s="22">
        <v>0.781555</v>
      </c>
      <c r="AL185">
        <f t="shared" si="30"/>
        <v>23.745700000000003</v>
      </c>
      <c r="AM185">
        <f t="shared" si="31"/>
        <v>18.551328125000001</v>
      </c>
      <c r="AP185" s="9"/>
      <c r="AQ185" s="22">
        <v>0.91873199999999999</v>
      </c>
      <c r="AR185" s="22">
        <v>481.18</v>
      </c>
      <c r="AS185" s="22">
        <v>-2.3486300000000002E-2</v>
      </c>
      <c r="AT185" s="22">
        <v>175</v>
      </c>
      <c r="AU185" s="22">
        <v>0.91796900000000003</v>
      </c>
      <c r="AV185">
        <f t="shared" si="32"/>
        <v>23.4863</v>
      </c>
      <c r="AW185">
        <f t="shared" si="33"/>
        <v>21.5776153716</v>
      </c>
      <c r="AX185" s="9"/>
      <c r="AY185" s="22">
        <v>0.78125</v>
      </c>
      <c r="AZ185" s="22">
        <v>592.05899999999997</v>
      </c>
      <c r="BA185" s="22">
        <v>-2.3773200000000001E-2</v>
      </c>
      <c r="BB185" s="22">
        <v>175</v>
      </c>
      <c r="BC185" s="22">
        <v>0.78064</v>
      </c>
      <c r="BD185">
        <f t="shared" si="34"/>
        <v>23.773200000000003</v>
      </c>
      <c r="BE185">
        <f t="shared" si="35"/>
        <v>18.572812500000001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73.731499999999997</v>
      </c>
      <c r="I186" s="22">
        <v>-2.4301099999999999E-2</v>
      </c>
      <c r="J186" s="22">
        <v>176</v>
      </c>
      <c r="K186" s="22">
        <v>0.91339099999999995</v>
      </c>
      <c r="L186">
        <f t="shared" si="24"/>
        <v>24.301099999999998</v>
      </c>
      <c r="M186">
        <f t="shared" si="25"/>
        <v>22.203817865599998</v>
      </c>
      <c r="N186" s="9"/>
      <c r="O186" s="22">
        <v>0.78628500000000001</v>
      </c>
      <c r="P186" s="22">
        <v>163.04900000000001</v>
      </c>
      <c r="Q186" s="22">
        <v>-2.4258399999999999E-2</v>
      </c>
      <c r="R186" s="22">
        <v>176</v>
      </c>
      <c r="S186" s="22">
        <v>0.78582799999999997</v>
      </c>
      <c r="T186">
        <f t="shared" si="26"/>
        <v>24.258399999999998</v>
      </c>
      <c r="U186">
        <f t="shared" si="27"/>
        <v>19.074016044</v>
      </c>
      <c r="X186" s="9"/>
      <c r="Y186" s="22">
        <v>0.91369599999999995</v>
      </c>
      <c r="Z186" s="22">
        <v>287.01100000000002</v>
      </c>
      <c r="AA186" s="22">
        <v>-2.36145E-2</v>
      </c>
      <c r="AB186" s="22">
        <v>176</v>
      </c>
      <c r="AC186" s="22">
        <v>0.91339099999999995</v>
      </c>
      <c r="AD186">
        <f t="shared" si="28"/>
        <v>23.6145</v>
      </c>
      <c r="AE186">
        <f t="shared" si="29"/>
        <v>21.576474191999999</v>
      </c>
      <c r="AF186" s="9"/>
      <c r="AG186" s="22">
        <v>0.78628500000000001</v>
      </c>
      <c r="AH186" s="22">
        <v>392.89</v>
      </c>
      <c r="AI186" s="22">
        <v>-2.3806799999999999E-2</v>
      </c>
      <c r="AJ186" s="22">
        <v>176</v>
      </c>
      <c r="AK186" s="22">
        <v>0.78552200000000005</v>
      </c>
      <c r="AL186">
        <f t="shared" si="30"/>
        <v>23.806799999999999</v>
      </c>
      <c r="AM186">
        <f t="shared" si="31"/>
        <v>18.718929738</v>
      </c>
      <c r="AP186" s="9"/>
      <c r="AQ186" s="22">
        <v>0.91369599999999995</v>
      </c>
      <c r="AR186" s="22">
        <v>481.28</v>
      </c>
      <c r="AS186" s="22">
        <v>-2.3486300000000002E-2</v>
      </c>
      <c r="AT186" s="22">
        <v>176</v>
      </c>
      <c r="AU186" s="22">
        <v>0.91369599999999995</v>
      </c>
      <c r="AV186">
        <f t="shared" si="32"/>
        <v>23.4863</v>
      </c>
      <c r="AW186">
        <f t="shared" si="33"/>
        <v>21.459338364799997</v>
      </c>
      <c r="AX186" s="9"/>
      <c r="AY186" s="22">
        <v>0.78628500000000001</v>
      </c>
      <c r="AZ186" s="22">
        <v>592.15899999999999</v>
      </c>
      <c r="BA186" s="22">
        <v>-2.3776200000000001E-2</v>
      </c>
      <c r="BB186" s="22">
        <v>176</v>
      </c>
      <c r="BC186" s="22">
        <v>0.78552200000000005</v>
      </c>
      <c r="BD186">
        <f t="shared" si="34"/>
        <v>23.776199999999999</v>
      </c>
      <c r="BE186">
        <f t="shared" si="35"/>
        <v>18.694869417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73.8322</v>
      </c>
      <c r="I187" s="22">
        <v>-2.4301099999999999E-2</v>
      </c>
      <c r="J187" s="22">
        <v>177</v>
      </c>
      <c r="K187" s="22">
        <v>0.90850799999999998</v>
      </c>
      <c r="L187">
        <f t="shared" si="24"/>
        <v>24.301099999999998</v>
      </c>
      <c r="M187">
        <f t="shared" si="25"/>
        <v>22.0814618271</v>
      </c>
      <c r="N187" s="9"/>
      <c r="O187" s="22">
        <v>0.79132100000000005</v>
      </c>
      <c r="P187" s="22">
        <v>163.15</v>
      </c>
      <c r="Q187" s="22">
        <v>-2.4249300000000001E-2</v>
      </c>
      <c r="R187" s="22">
        <v>177</v>
      </c>
      <c r="S187" s="22">
        <v>0.79101600000000005</v>
      </c>
      <c r="T187">
        <f t="shared" si="26"/>
        <v>24.249300000000002</v>
      </c>
      <c r="U187">
        <f t="shared" si="27"/>
        <v>19.188980325300001</v>
      </c>
      <c r="X187" s="9"/>
      <c r="Y187" s="22">
        <v>0.90866100000000005</v>
      </c>
      <c r="Z187" s="22">
        <v>287.11200000000002</v>
      </c>
      <c r="AA187" s="22">
        <v>-2.3608400000000002E-2</v>
      </c>
      <c r="AB187" s="22">
        <v>177</v>
      </c>
      <c r="AC187" s="22">
        <v>0.90820299999999998</v>
      </c>
      <c r="AD187">
        <f t="shared" si="28"/>
        <v>23.608400000000003</v>
      </c>
      <c r="AE187">
        <f t="shared" si="29"/>
        <v>21.452032352400003</v>
      </c>
      <c r="AF187" s="9"/>
      <c r="AG187" s="22">
        <v>0.79132100000000005</v>
      </c>
      <c r="AH187" s="22">
        <v>392.99099999999999</v>
      </c>
      <c r="AI187" s="22">
        <v>-2.3797599999999999E-2</v>
      </c>
      <c r="AJ187" s="22">
        <v>177</v>
      </c>
      <c r="AK187" s="22">
        <v>0.79040500000000002</v>
      </c>
      <c r="AL187">
        <f t="shared" si="30"/>
        <v>23.797599999999999</v>
      </c>
      <c r="AM187">
        <f t="shared" si="31"/>
        <v>18.831540629599999</v>
      </c>
      <c r="AP187" s="9"/>
      <c r="AQ187" s="22">
        <v>0.90866100000000005</v>
      </c>
      <c r="AR187" s="22">
        <v>481.38099999999997</v>
      </c>
      <c r="AS187" s="22">
        <v>-2.3498499999999999E-2</v>
      </c>
      <c r="AT187" s="22">
        <v>177</v>
      </c>
      <c r="AU187" s="22">
        <v>0.90698199999999995</v>
      </c>
      <c r="AV187">
        <f t="shared" si="32"/>
        <v>23.4985</v>
      </c>
      <c r="AW187">
        <f t="shared" si="33"/>
        <v>21.352170508500002</v>
      </c>
      <c r="AX187" s="9"/>
      <c r="AY187" s="22">
        <v>0.79132100000000005</v>
      </c>
      <c r="AZ187" s="22">
        <v>592.26</v>
      </c>
      <c r="BA187" s="22">
        <v>-2.3770099999999999E-2</v>
      </c>
      <c r="BB187" s="22">
        <v>177</v>
      </c>
      <c r="BC187" s="22">
        <v>0.79010000000000002</v>
      </c>
      <c r="BD187">
        <f t="shared" si="34"/>
        <v>23.770099999999999</v>
      </c>
      <c r="BE187">
        <f t="shared" si="35"/>
        <v>18.809779302100001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73.932900000000004</v>
      </c>
      <c r="I188" s="22">
        <v>-2.43103E-2</v>
      </c>
      <c r="J188" s="22">
        <v>178</v>
      </c>
      <c r="K188" s="22">
        <v>0.90271000000000001</v>
      </c>
      <c r="L188">
        <f t="shared" si="24"/>
        <v>24.310300000000002</v>
      </c>
      <c r="M188">
        <f t="shared" si="25"/>
        <v>21.967394837500002</v>
      </c>
      <c r="N188" s="9"/>
      <c r="O188" s="22">
        <v>0.79635599999999995</v>
      </c>
      <c r="P188" s="22">
        <v>163.25</v>
      </c>
      <c r="Q188" s="22">
        <v>-2.4249300000000001E-2</v>
      </c>
      <c r="R188" s="22">
        <v>178</v>
      </c>
      <c r="S188" s="22">
        <v>0.79528799999999999</v>
      </c>
      <c r="T188">
        <f t="shared" si="26"/>
        <v>24.249300000000002</v>
      </c>
      <c r="U188">
        <f t="shared" si="27"/>
        <v>19.311075550800002</v>
      </c>
      <c r="X188" s="9"/>
      <c r="Y188" s="22">
        <v>0.90362500000000001</v>
      </c>
      <c r="Z188" s="22">
        <v>287.21300000000002</v>
      </c>
      <c r="AA188" s="22">
        <v>-2.36145E-2</v>
      </c>
      <c r="AB188" s="22">
        <v>178</v>
      </c>
      <c r="AC188" s="22">
        <v>0.90362500000000001</v>
      </c>
      <c r="AD188">
        <f t="shared" si="28"/>
        <v>23.6145</v>
      </c>
      <c r="AE188">
        <f t="shared" si="29"/>
        <v>21.338652562499998</v>
      </c>
      <c r="AF188" s="9"/>
      <c r="AG188" s="22">
        <v>0.79635599999999995</v>
      </c>
      <c r="AH188" s="22">
        <v>393.09100000000001</v>
      </c>
      <c r="AI188" s="22">
        <v>-2.3782299999999999E-2</v>
      </c>
      <c r="AJ188" s="22">
        <v>178</v>
      </c>
      <c r="AK188" s="22">
        <v>0.79559299999999999</v>
      </c>
      <c r="AL188">
        <f t="shared" si="30"/>
        <v>23.782299999999999</v>
      </c>
      <c r="AM188">
        <f t="shared" si="31"/>
        <v>18.939177298799997</v>
      </c>
      <c r="AP188" s="9"/>
      <c r="AQ188" s="22">
        <v>0.90362500000000001</v>
      </c>
      <c r="AR188" s="22">
        <v>481.48200000000003</v>
      </c>
      <c r="AS188" s="22">
        <v>-2.3501600000000001E-2</v>
      </c>
      <c r="AT188" s="22">
        <v>178</v>
      </c>
      <c r="AU188" s="22">
        <v>0.90301500000000001</v>
      </c>
      <c r="AV188">
        <f t="shared" si="32"/>
        <v>23.5016</v>
      </c>
      <c r="AW188">
        <f t="shared" si="33"/>
        <v>21.236633300000001</v>
      </c>
      <c r="AX188" s="9"/>
      <c r="AY188" s="22">
        <v>0.79635599999999995</v>
      </c>
      <c r="AZ188" s="22">
        <v>592.36099999999999</v>
      </c>
      <c r="BA188" s="22">
        <v>-2.3754899999999999E-2</v>
      </c>
      <c r="BB188" s="22">
        <v>178</v>
      </c>
      <c r="BC188" s="22">
        <v>0.79620400000000002</v>
      </c>
      <c r="BD188">
        <f t="shared" si="34"/>
        <v>23.754899999999999</v>
      </c>
      <c r="BE188">
        <f t="shared" si="35"/>
        <v>18.917357144399997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74.033600000000007</v>
      </c>
      <c r="I189" s="22">
        <v>-2.4340799999999999E-2</v>
      </c>
      <c r="J189" s="22">
        <v>179</v>
      </c>
      <c r="K189" s="22">
        <v>0.89874299999999996</v>
      </c>
      <c r="L189">
        <f t="shared" si="24"/>
        <v>24.340799999999998</v>
      </c>
      <c r="M189">
        <f t="shared" si="25"/>
        <v>21.872399471999998</v>
      </c>
      <c r="N189" s="9"/>
      <c r="O189" s="22">
        <v>0.80139199999999999</v>
      </c>
      <c r="P189" s="22">
        <v>163.351</v>
      </c>
      <c r="Q189" s="22">
        <v>-2.4240100000000001E-2</v>
      </c>
      <c r="R189" s="22">
        <v>179</v>
      </c>
      <c r="S189" s="22">
        <v>0.80078099999999997</v>
      </c>
      <c r="T189">
        <f t="shared" si="26"/>
        <v>24.240100000000002</v>
      </c>
      <c r="U189">
        <f t="shared" si="27"/>
        <v>19.425822219200001</v>
      </c>
      <c r="X189" s="9"/>
      <c r="Y189" s="22">
        <v>0.89859</v>
      </c>
      <c r="Z189" s="22">
        <v>287.31299999999999</v>
      </c>
      <c r="AA189" s="22">
        <v>-2.3629799999999999E-2</v>
      </c>
      <c r="AB189" s="22">
        <v>179</v>
      </c>
      <c r="AC189" s="22">
        <v>0.89752200000000004</v>
      </c>
      <c r="AD189">
        <f t="shared" si="28"/>
        <v>23.629799999999999</v>
      </c>
      <c r="AE189">
        <f t="shared" si="29"/>
        <v>21.233501982</v>
      </c>
      <c r="AF189" s="9"/>
      <c r="AG189" s="22">
        <v>0.80139199999999999</v>
      </c>
      <c r="AH189" s="22">
        <v>393.19200000000001</v>
      </c>
      <c r="AI189" s="22">
        <v>-2.3782299999999999E-2</v>
      </c>
      <c r="AJ189" s="22">
        <v>179</v>
      </c>
      <c r="AK189" s="22">
        <v>0.80047599999999997</v>
      </c>
      <c r="AL189">
        <f t="shared" si="30"/>
        <v>23.782299999999999</v>
      </c>
      <c r="AM189">
        <f t="shared" si="31"/>
        <v>19.058944961599998</v>
      </c>
      <c r="AP189" s="9"/>
      <c r="AQ189" s="22">
        <v>0.89859</v>
      </c>
      <c r="AR189" s="22">
        <v>481.58300000000003</v>
      </c>
      <c r="AS189" s="22">
        <v>-2.3501600000000001E-2</v>
      </c>
      <c r="AT189" s="22">
        <v>179</v>
      </c>
      <c r="AU189" s="22">
        <v>0.89813200000000004</v>
      </c>
      <c r="AV189">
        <f t="shared" si="32"/>
        <v>23.5016</v>
      </c>
      <c r="AW189">
        <f t="shared" si="33"/>
        <v>21.118302744000001</v>
      </c>
      <c r="AX189" s="9"/>
      <c r="AY189" s="22">
        <v>0.80139199999999999</v>
      </c>
      <c r="AZ189" s="22">
        <v>592.46100000000001</v>
      </c>
      <c r="BA189" s="22">
        <v>-2.37518E-2</v>
      </c>
      <c r="BB189" s="22">
        <v>179</v>
      </c>
      <c r="BC189" s="22">
        <v>0.80108599999999996</v>
      </c>
      <c r="BD189">
        <f t="shared" si="34"/>
        <v>23.751799999999999</v>
      </c>
      <c r="BE189">
        <f t="shared" si="35"/>
        <v>19.034502505599999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74.134299999999996</v>
      </c>
      <c r="I190" s="22">
        <v>-2.43225E-2</v>
      </c>
      <c r="J190" s="22">
        <v>180</v>
      </c>
      <c r="K190" s="22">
        <v>0.89324999999999999</v>
      </c>
      <c r="L190">
        <f t="shared" si="24"/>
        <v>24.322500000000002</v>
      </c>
      <c r="M190">
        <f t="shared" si="25"/>
        <v>21.7334914875</v>
      </c>
      <c r="N190" s="9"/>
      <c r="O190" s="22">
        <v>0.806427</v>
      </c>
      <c r="P190" s="22">
        <v>163.452</v>
      </c>
      <c r="Q190" s="22">
        <v>-2.4230999999999999E-2</v>
      </c>
      <c r="R190" s="22">
        <v>180</v>
      </c>
      <c r="S190" s="22">
        <v>0.80596900000000005</v>
      </c>
      <c r="T190">
        <f t="shared" si="26"/>
        <v>24.230999999999998</v>
      </c>
      <c r="U190">
        <f t="shared" si="27"/>
        <v>19.540532636999998</v>
      </c>
      <c r="X190" s="9"/>
      <c r="Y190" s="22">
        <v>0.89355499999999999</v>
      </c>
      <c r="Z190" s="22">
        <v>287.41399999999999</v>
      </c>
      <c r="AA190" s="22">
        <v>-2.3635900000000001E-2</v>
      </c>
      <c r="AB190" s="22">
        <v>180</v>
      </c>
      <c r="AC190" s="22">
        <v>0.89233399999999996</v>
      </c>
      <c r="AD190">
        <f t="shared" si="28"/>
        <v>23.635900000000003</v>
      </c>
      <c r="AE190">
        <f t="shared" si="29"/>
        <v>21.119976624500001</v>
      </c>
      <c r="AF190" s="9"/>
      <c r="AG190" s="22">
        <v>0.806427</v>
      </c>
      <c r="AH190" s="22">
        <v>393.29300000000001</v>
      </c>
      <c r="AI190" s="22">
        <v>-2.37793E-2</v>
      </c>
      <c r="AJ190" s="22">
        <v>180</v>
      </c>
      <c r="AK190" s="22">
        <v>0.80627400000000005</v>
      </c>
      <c r="AL190">
        <f t="shared" si="30"/>
        <v>23.779299999999999</v>
      </c>
      <c r="AM190">
        <f t="shared" si="31"/>
        <v>19.1762695611</v>
      </c>
      <c r="AP190" s="9"/>
      <c r="AQ190" s="22">
        <v>0.89355499999999999</v>
      </c>
      <c r="AR190" s="22">
        <v>481.68299999999999</v>
      </c>
      <c r="AS190" s="22">
        <v>-2.3507699999999999E-2</v>
      </c>
      <c r="AT190" s="22">
        <v>180</v>
      </c>
      <c r="AU190" s="22">
        <v>0.89263899999999996</v>
      </c>
      <c r="AV190">
        <f t="shared" si="32"/>
        <v>23.5077</v>
      </c>
      <c r="AW190">
        <f t="shared" si="33"/>
        <v>21.005422873499999</v>
      </c>
      <c r="AX190" s="9"/>
      <c r="AY190" s="22">
        <v>0.806427</v>
      </c>
      <c r="AZ190" s="22">
        <v>592.56200000000001</v>
      </c>
      <c r="BA190" s="22">
        <v>-2.3742699999999999E-2</v>
      </c>
      <c r="BB190" s="22">
        <v>180</v>
      </c>
      <c r="BC190" s="22">
        <v>0.80627400000000005</v>
      </c>
      <c r="BD190">
        <f t="shared" si="34"/>
        <v>23.742699999999999</v>
      </c>
      <c r="BE190">
        <f t="shared" si="35"/>
        <v>19.146754332899999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74.234999999999999</v>
      </c>
      <c r="I191" s="22">
        <v>-2.4331700000000001E-2</v>
      </c>
      <c r="J191" s="22">
        <v>181</v>
      </c>
      <c r="K191" s="22">
        <v>0.88836700000000002</v>
      </c>
      <c r="L191">
        <f t="shared" si="24"/>
        <v>24.331700000000001</v>
      </c>
      <c r="M191">
        <f t="shared" si="25"/>
        <v>21.619177752300001</v>
      </c>
      <c r="N191" s="9"/>
      <c r="O191" s="22">
        <v>0.81146200000000002</v>
      </c>
      <c r="P191" s="22">
        <v>163.553</v>
      </c>
      <c r="Q191" s="22">
        <v>-2.4224900000000001E-2</v>
      </c>
      <c r="R191" s="22">
        <v>181</v>
      </c>
      <c r="S191" s="22">
        <v>0.81085200000000002</v>
      </c>
      <c r="T191">
        <f t="shared" si="26"/>
        <v>24.224900000000002</v>
      </c>
      <c r="U191">
        <f t="shared" si="27"/>
        <v>19.6575858038</v>
      </c>
      <c r="X191" s="9"/>
      <c r="Y191" s="22">
        <v>0.88851899999999995</v>
      </c>
      <c r="Z191" s="22">
        <v>287.51499999999999</v>
      </c>
      <c r="AA191" s="22">
        <v>-2.3638900000000001E-2</v>
      </c>
      <c r="AB191" s="22">
        <v>181</v>
      </c>
      <c r="AC191" s="22">
        <v>0.88745099999999999</v>
      </c>
      <c r="AD191">
        <f t="shared" si="28"/>
        <v>23.6389</v>
      </c>
      <c r="AE191">
        <f t="shared" si="29"/>
        <v>21.003611789099999</v>
      </c>
      <c r="AF191" s="9"/>
      <c r="AG191" s="22">
        <v>0.81146200000000002</v>
      </c>
      <c r="AH191" s="22">
        <v>393.39299999999997</v>
      </c>
      <c r="AI191" s="22">
        <v>-2.3770099999999999E-2</v>
      </c>
      <c r="AJ191" s="22">
        <v>181</v>
      </c>
      <c r="AK191" s="22">
        <v>0.81054700000000002</v>
      </c>
      <c r="AL191">
        <f t="shared" si="30"/>
        <v>23.770099999999999</v>
      </c>
      <c r="AM191">
        <f t="shared" si="31"/>
        <v>19.288532886199999</v>
      </c>
      <c r="AP191" s="9"/>
      <c r="AQ191" s="22">
        <v>0.88851899999999995</v>
      </c>
      <c r="AR191" s="22">
        <v>481.78399999999999</v>
      </c>
      <c r="AS191" s="22">
        <v>-2.3513800000000001E-2</v>
      </c>
      <c r="AT191" s="22">
        <v>181</v>
      </c>
      <c r="AU191" s="22">
        <v>0.88745099999999999</v>
      </c>
      <c r="AV191">
        <f t="shared" si="32"/>
        <v>23.5138</v>
      </c>
      <c r="AW191">
        <f t="shared" si="33"/>
        <v>20.892458062199999</v>
      </c>
      <c r="AX191" s="9"/>
      <c r="AY191" s="22">
        <v>0.81146200000000002</v>
      </c>
      <c r="AZ191" s="22">
        <v>592.66300000000001</v>
      </c>
      <c r="BA191" s="22">
        <v>-2.3733500000000001E-2</v>
      </c>
      <c r="BB191" s="22">
        <v>181</v>
      </c>
      <c r="BC191" s="22">
        <v>0.81054700000000002</v>
      </c>
      <c r="BD191">
        <f t="shared" si="34"/>
        <v>23.733499999999999</v>
      </c>
      <c r="BE191">
        <f t="shared" si="35"/>
        <v>19.258833376999998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74.335800000000006</v>
      </c>
      <c r="I192" s="22">
        <v>-2.4343900000000002E-2</v>
      </c>
      <c r="J192" s="22">
        <v>182</v>
      </c>
      <c r="K192" s="22">
        <v>0.88287400000000005</v>
      </c>
      <c r="L192">
        <f t="shared" si="24"/>
        <v>24.343900000000001</v>
      </c>
      <c r="M192">
        <f t="shared" si="25"/>
        <v>21.507446147600003</v>
      </c>
      <c r="N192" s="9"/>
      <c r="O192" s="22">
        <v>0.81649799999999995</v>
      </c>
      <c r="P192" s="22">
        <v>163.65299999999999</v>
      </c>
      <c r="Q192" s="22">
        <v>-2.4041699999999999E-2</v>
      </c>
      <c r="R192" s="22">
        <v>182</v>
      </c>
      <c r="S192" s="22">
        <v>0.81603999999999999</v>
      </c>
      <c r="T192">
        <f t="shared" si="26"/>
        <v>24.041699999999999</v>
      </c>
      <c r="U192">
        <f t="shared" si="27"/>
        <v>19.629999966599996</v>
      </c>
      <c r="X192" s="9"/>
      <c r="Y192" s="22">
        <v>0.88348400000000005</v>
      </c>
      <c r="Z192" s="22">
        <v>287.61500000000001</v>
      </c>
      <c r="AA192" s="22">
        <v>-2.3642E-2</v>
      </c>
      <c r="AB192" s="22">
        <v>182</v>
      </c>
      <c r="AC192" s="22">
        <v>0.88256800000000002</v>
      </c>
      <c r="AD192">
        <f t="shared" si="28"/>
        <v>23.641999999999999</v>
      </c>
      <c r="AE192">
        <f t="shared" si="29"/>
        <v>20.887328728</v>
      </c>
      <c r="AF192" s="9"/>
      <c r="AG192" s="22">
        <v>0.81649799999999995</v>
      </c>
      <c r="AH192" s="22">
        <v>393.49400000000003</v>
      </c>
      <c r="AI192" s="22">
        <v>-2.3770099999999999E-2</v>
      </c>
      <c r="AJ192" s="22">
        <v>182</v>
      </c>
      <c r="AK192" s="22">
        <v>0.81573499999999999</v>
      </c>
      <c r="AL192">
        <f t="shared" si="30"/>
        <v>23.770099999999999</v>
      </c>
      <c r="AM192">
        <f t="shared" si="31"/>
        <v>19.408239109799997</v>
      </c>
      <c r="AP192" s="9"/>
      <c r="AQ192" s="22">
        <v>0.88348400000000005</v>
      </c>
      <c r="AR192" s="22">
        <v>481.88499999999999</v>
      </c>
      <c r="AS192" s="22">
        <v>-2.35199E-2</v>
      </c>
      <c r="AT192" s="22">
        <v>182</v>
      </c>
      <c r="AU192" s="22">
        <v>0.88287400000000005</v>
      </c>
      <c r="AV192">
        <f t="shared" si="32"/>
        <v>23.5199</v>
      </c>
      <c r="AW192">
        <f t="shared" si="33"/>
        <v>20.779455331600001</v>
      </c>
      <c r="AX192" s="9"/>
      <c r="AY192" s="22">
        <v>0.81649799999999995</v>
      </c>
      <c r="AZ192" s="22">
        <v>592.76400000000001</v>
      </c>
      <c r="BA192" s="22">
        <v>-2.37366E-2</v>
      </c>
      <c r="BB192" s="22">
        <v>182</v>
      </c>
      <c r="BC192" s="22">
        <v>0.81542999999999999</v>
      </c>
      <c r="BD192">
        <f t="shared" si="34"/>
        <v>23.736599999999999</v>
      </c>
      <c r="BE192">
        <f t="shared" si="35"/>
        <v>19.380886426799997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74.436499999999995</v>
      </c>
      <c r="I193" s="22">
        <v>-2.4340799999999999E-2</v>
      </c>
      <c r="J193" s="22">
        <v>183</v>
      </c>
      <c r="K193" s="22">
        <v>0.87799099999999997</v>
      </c>
      <c r="L193">
        <f t="shared" si="24"/>
        <v>24.340799999999998</v>
      </c>
      <c r="M193">
        <f t="shared" si="25"/>
        <v>21.3821270784</v>
      </c>
      <c r="N193" s="9"/>
      <c r="O193" s="22">
        <v>0.82153299999999996</v>
      </c>
      <c r="P193" s="22">
        <v>163.75399999999999</v>
      </c>
      <c r="Q193" s="22">
        <v>-2.4032600000000001E-2</v>
      </c>
      <c r="R193" s="22">
        <v>183</v>
      </c>
      <c r="S193" s="22">
        <v>0.82061799999999996</v>
      </c>
      <c r="T193">
        <f t="shared" si="26"/>
        <v>24.032600000000002</v>
      </c>
      <c r="U193">
        <f t="shared" si="27"/>
        <v>19.7435739758</v>
      </c>
      <c r="X193" s="9"/>
      <c r="Y193" s="22">
        <v>0.87844800000000001</v>
      </c>
      <c r="Z193" s="22">
        <v>287.71600000000001</v>
      </c>
      <c r="AA193" s="22">
        <v>-2.3651100000000001E-2</v>
      </c>
      <c r="AB193" s="22">
        <v>183</v>
      </c>
      <c r="AC193" s="22">
        <v>0.87707500000000005</v>
      </c>
      <c r="AD193">
        <f t="shared" si="28"/>
        <v>23.6511</v>
      </c>
      <c r="AE193">
        <f t="shared" si="29"/>
        <v>20.7762614928</v>
      </c>
      <c r="AF193" s="9"/>
      <c r="AG193" s="22">
        <v>0.82153299999999996</v>
      </c>
      <c r="AH193" s="22">
        <v>393.59500000000003</v>
      </c>
      <c r="AI193" s="22">
        <v>-2.3761000000000001E-2</v>
      </c>
      <c r="AJ193" s="22">
        <v>183</v>
      </c>
      <c r="AK193" s="22">
        <v>0.82122799999999996</v>
      </c>
      <c r="AL193">
        <f t="shared" si="30"/>
        <v>23.760999999999999</v>
      </c>
      <c r="AM193">
        <f t="shared" si="31"/>
        <v>19.520445613</v>
      </c>
      <c r="AP193" s="9"/>
      <c r="AQ193" s="22">
        <v>0.87844800000000001</v>
      </c>
      <c r="AR193" s="22">
        <v>481.98500000000001</v>
      </c>
      <c r="AS193" s="22">
        <v>-2.35199E-2</v>
      </c>
      <c r="AT193" s="22">
        <v>183</v>
      </c>
      <c r="AU193" s="22">
        <v>0.87768599999999997</v>
      </c>
      <c r="AV193">
        <f t="shared" si="32"/>
        <v>23.5199</v>
      </c>
      <c r="AW193">
        <f t="shared" si="33"/>
        <v>20.661009115199999</v>
      </c>
      <c r="AX193" s="9"/>
      <c r="AY193" s="22">
        <v>0.82153299999999996</v>
      </c>
      <c r="AZ193" s="22">
        <v>592.86400000000003</v>
      </c>
      <c r="BA193" s="22">
        <v>-2.3727399999999999E-2</v>
      </c>
      <c r="BB193" s="22">
        <v>183</v>
      </c>
      <c r="BC193" s="22">
        <v>0.82061799999999996</v>
      </c>
      <c r="BD193">
        <f t="shared" si="34"/>
        <v>23.727399999999999</v>
      </c>
      <c r="BE193">
        <f t="shared" si="35"/>
        <v>19.492842104199998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74.537199999999999</v>
      </c>
      <c r="I194" s="22">
        <v>-2.4346900000000001E-2</v>
      </c>
      <c r="J194" s="22">
        <v>184</v>
      </c>
      <c r="K194" s="22">
        <v>0.87188699999999997</v>
      </c>
      <c r="L194">
        <f t="shared" si="24"/>
        <v>24.346900000000002</v>
      </c>
      <c r="M194">
        <f t="shared" si="25"/>
        <v>21.264898969700003</v>
      </c>
      <c r="N194" s="9"/>
      <c r="O194" s="22">
        <v>0.826569</v>
      </c>
      <c r="P194" s="22">
        <v>163.85499999999999</v>
      </c>
      <c r="Q194" s="22">
        <v>-2.4020400000000001E-2</v>
      </c>
      <c r="R194" s="22">
        <v>184</v>
      </c>
      <c r="S194" s="22">
        <v>0.82611100000000004</v>
      </c>
      <c r="T194">
        <f t="shared" si="26"/>
        <v>24.020400000000002</v>
      </c>
      <c r="U194">
        <f t="shared" si="27"/>
        <v>19.854518007600003</v>
      </c>
      <c r="X194" s="9"/>
      <c r="Y194" s="22">
        <v>0.87341299999999999</v>
      </c>
      <c r="Z194" s="22">
        <v>287.81700000000001</v>
      </c>
      <c r="AA194" s="22">
        <v>-2.36572E-2</v>
      </c>
      <c r="AB194" s="22">
        <v>184</v>
      </c>
      <c r="AC194" s="22">
        <v>0.872498</v>
      </c>
      <c r="AD194">
        <f t="shared" si="28"/>
        <v>23.6572</v>
      </c>
      <c r="AE194">
        <f t="shared" si="29"/>
        <v>20.662506023599999</v>
      </c>
      <c r="AF194" s="9"/>
      <c r="AG194" s="22">
        <v>0.826569</v>
      </c>
      <c r="AH194" s="22">
        <v>393.69600000000003</v>
      </c>
      <c r="AI194" s="22">
        <v>-2.3745700000000002E-2</v>
      </c>
      <c r="AJ194" s="22">
        <v>184</v>
      </c>
      <c r="AK194" s="22">
        <v>0.82550000000000001</v>
      </c>
      <c r="AL194">
        <f t="shared" si="30"/>
        <v>23.745700000000003</v>
      </c>
      <c r="AM194">
        <f t="shared" si="31"/>
        <v>19.627459503300003</v>
      </c>
      <c r="AP194" s="9"/>
      <c r="AQ194" s="22">
        <v>0.87341299999999999</v>
      </c>
      <c r="AR194" s="22">
        <v>482.08600000000001</v>
      </c>
      <c r="AS194" s="22">
        <v>-2.3525999999999998E-2</v>
      </c>
      <c r="AT194" s="22">
        <v>184</v>
      </c>
      <c r="AU194" s="22">
        <v>0.872498</v>
      </c>
      <c r="AV194">
        <f t="shared" si="32"/>
        <v>23.526</v>
      </c>
      <c r="AW194">
        <f t="shared" si="33"/>
        <v>20.547914238000001</v>
      </c>
      <c r="AX194" s="9"/>
      <c r="AY194" s="22">
        <v>0.826569</v>
      </c>
      <c r="AZ194" s="22">
        <v>592.96500000000003</v>
      </c>
      <c r="BA194" s="22">
        <v>-2.3718300000000001E-2</v>
      </c>
      <c r="BB194" s="22">
        <v>184</v>
      </c>
      <c r="BC194" s="22">
        <v>0.82580600000000004</v>
      </c>
      <c r="BD194">
        <f t="shared" si="34"/>
        <v>23.718300000000003</v>
      </c>
      <c r="BE194">
        <f t="shared" si="35"/>
        <v>19.604811512700003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74.637900000000002</v>
      </c>
      <c r="I195" s="22">
        <v>-2.435E-2</v>
      </c>
      <c r="J195" s="22">
        <v>185</v>
      </c>
      <c r="K195" s="22">
        <v>0.86792000000000002</v>
      </c>
      <c r="L195">
        <f t="shared" si="24"/>
        <v>24.35</v>
      </c>
      <c r="M195">
        <f t="shared" si="25"/>
        <v>21.1450043</v>
      </c>
      <c r="N195" s="9"/>
      <c r="O195" s="22">
        <v>0.83160400000000001</v>
      </c>
      <c r="P195" s="22">
        <v>163.95500000000001</v>
      </c>
      <c r="Q195" s="22">
        <v>-2.40112E-2</v>
      </c>
      <c r="R195" s="22">
        <v>185</v>
      </c>
      <c r="S195" s="22">
        <v>0.83099400000000001</v>
      </c>
      <c r="T195">
        <f t="shared" si="26"/>
        <v>24.011199999999999</v>
      </c>
      <c r="U195">
        <f t="shared" si="27"/>
        <v>19.967809964800001</v>
      </c>
      <c r="X195" s="9"/>
      <c r="Y195" s="22">
        <v>0.86837799999999998</v>
      </c>
      <c r="Z195" s="22">
        <v>287.91699999999997</v>
      </c>
      <c r="AA195" s="22">
        <v>-2.3660299999999999E-2</v>
      </c>
      <c r="AB195" s="22">
        <v>185</v>
      </c>
      <c r="AC195" s="22">
        <v>0.86761500000000003</v>
      </c>
      <c r="AD195">
        <f t="shared" si="28"/>
        <v>23.660299999999999</v>
      </c>
      <c r="AE195">
        <f t="shared" si="29"/>
        <v>20.5460839934</v>
      </c>
      <c r="AF195" s="9"/>
      <c r="AG195" s="22">
        <v>0.83160400000000001</v>
      </c>
      <c r="AH195" s="22">
        <v>393.79599999999999</v>
      </c>
      <c r="AI195" s="22">
        <v>-2.37488E-2</v>
      </c>
      <c r="AJ195" s="22">
        <v>185</v>
      </c>
      <c r="AK195" s="22">
        <v>0.83099400000000001</v>
      </c>
      <c r="AL195">
        <f t="shared" si="30"/>
        <v>23.748799999999999</v>
      </c>
      <c r="AM195">
        <f t="shared" si="31"/>
        <v>19.749597075200001</v>
      </c>
      <c r="AP195" s="9"/>
      <c r="AQ195" s="22">
        <v>0.86837799999999998</v>
      </c>
      <c r="AR195" s="22">
        <v>482.18700000000001</v>
      </c>
      <c r="AS195" s="22">
        <v>-2.3544300000000001E-2</v>
      </c>
      <c r="AT195" s="22">
        <v>185</v>
      </c>
      <c r="AU195" s="22">
        <v>0.86731000000000003</v>
      </c>
      <c r="AV195">
        <f t="shared" si="32"/>
        <v>23.5443</v>
      </c>
      <c r="AW195">
        <f t="shared" si="33"/>
        <v>20.445352145400001</v>
      </c>
      <c r="AX195" s="9"/>
      <c r="AY195" s="22">
        <v>0.83160400000000001</v>
      </c>
      <c r="AZ195" s="22">
        <v>593.06600000000003</v>
      </c>
      <c r="BA195" s="22">
        <v>-2.3715199999999999E-2</v>
      </c>
      <c r="BB195" s="22">
        <v>185</v>
      </c>
      <c r="BC195" s="22">
        <v>0.83068799999999998</v>
      </c>
      <c r="BD195">
        <f t="shared" si="34"/>
        <v>23.715199999999999</v>
      </c>
      <c r="BE195">
        <f t="shared" si="35"/>
        <v>19.721655180799999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74.738600000000005</v>
      </c>
      <c r="I196" s="22">
        <v>-2.4356099999999999E-2</v>
      </c>
      <c r="J196" s="22">
        <v>186</v>
      </c>
      <c r="K196" s="22">
        <v>0.86303700000000005</v>
      </c>
      <c r="L196">
        <f t="shared" si="24"/>
        <v>24.356099999999998</v>
      </c>
      <c r="M196">
        <f t="shared" si="25"/>
        <v>21.027644086199999</v>
      </c>
      <c r="N196" s="9"/>
      <c r="O196" s="22">
        <v>0.83663900000000002</v>
      </c>
      <c r="P196" s="22">
        <v>164.05600000000001</v>
      </c>
      <c r="Q196" s="22">
        <v>-2.40082E-2</v>
      </c>
      <c r="R196" s="22">
        <v>186</v>
      </c>
      <c r="S196" s="22">
        <v>0.83587599999999995</v>
      </c>
      <c r="T196">
        <f t="shared" si="26"/>
        <v>24.008199999999999</v>
      </c>
      <c r="U196">
        <f t="shared" si="27"/>
        <v>20.086196439799998</v>
      </c>
      <c r="X196" s="9"/>
      <c r="Y196" s="22">
        <v>0.86334200000000005</v>
      </c>
      <c r="Z196" s="22">
        <v>288.01799999999997</v>
      </c>
      <c r="AA196" s="22">
        <v>-2.36694E-2</v>
      </c>
      <c r="AB196" s="22">
        <v>186</v>
      </c>
      <c r="AC196" s="22">
        <v>0.86242700000000005</v>
      </c>
      <c r="AD196">
        <f t="shared" si="28"/>
        <v>23.6694</v>
      </c>
      <c r="AE196">
        <f t="shared" si="29"/>
        <v>20.434787134800001</v>
      </c>
      <c r="AF196" s="9"/>
      <c r="AG196" s="22">
        <v>0.83663900000000002</v>
      </c>
      <c r="AH196" s="22">
        <v>393.89699999999999</v>
      </c>
      <c r="AI196" s="22">
        <v>-2.37366E-2</v>
      </c>
      <c r="AJ196" s="22">
        <v>186</v>
      </c>
      <c r="AK196" s="22">
        <v>0.83648699999999998</v>
      </c>
      <c r="AL196">
        <f t="shared" si="30"/>
        <v>23.736599999999999</v>
      </c>
      <c r="AM196">
        <f t="shared" si="31"/>
        <v>19.8589652874</v>
      </c>
      <c r="AP196" s="9"/>
      <c r="AQ196" s="22">
        <v>0.86334200000000005</v>
      </c>
      <c r="AR196" s="22">
        <v>482.28699999999998</v>
      </c>
      <c r="AS196" s="22">
        <v>-2.35474E-2</v>
      </c>
      <c r="AT196" s="22">
        <v>186</v>
      </c>
      <c r="AU196" s="22">
        <v>0.86303700000000005</v>
      </c>
      <c r="AV196">
        <f t="shared" si="32"/>
        <v>23.5474</v>
      </c>
      <c r="AW196">
        <f t="shared" si="33"/>
        <v>20.329459410800002</v>
      </c>
      <c r="AX196" s="9"/>
      <c r="AY196" s="22">
        <v>0.83663900000000002</v>
      </c>
      <c r="AZ196" s="22">
        <v>593.16600000000005</v>
      </c>
      <c r="BA196" s="22">
        <v>-2.3702999999999998E-2</v>
      </c>
      <c r="BB196" s="22">
        <v>186</v>
      </c>
      <c r="BC196" s="22">
        <v>0.83587599999999995</v>
      </c>
      <c r="BD196">
        <f t="shared" si="34"/>
        <v>23.702999999999999</v>
      </c>
      <c r="BE196">
        <f t="shared" si="35"/>
        <v>19.830854216999999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74.839299999999994</v>
      </c>
      <c r="I197" s="22">
        <v>-2.4368299999999999E-2</v>
      </c>
      <c r="J197" s="22">
        <v>187</v>
      </c>
      <c r="K197" s="22">
        <v>0.85754399999999997</v>
      </c>
      <c r="L197">
        <f t="shared" si="24"/>
        <v>24.368299999999998</v>
      </c>
      <c r="M197">
        <f t="shared" si="25"/>
        <v>20.915482468099999</v>
      </c>
      <c r="N197" s="9"/>
      <c r="O197" s="22">
        <v>0.84167499999999995</v>
      </c>
      <c r="P197" s="22">
        <v>164.15700000000001</v>
      </c>
      <c r="Q197" s="22">
        <v>-2.4002099999999998E-2</v>
      </c>
      <c r="R197" s="22">
        <v>187</v>
      </c>
      <c r="S197" s="22">
        <v>0.84075900000000003</v>
      </c>
      <c r="T197">
        <f t="shared" si="26"/>
        <v>24.002099999999999</v>
      </c>
      <c r="U197">
        <f t="shared" si="27"/>
        <v>20.201967517499998</v>
      </c>
      <c r="X197" s="9"/>
      <c r="Y197" s="22">
        <v>0.85830700000000004</v>
      </c>
      <c r="Z197" s="22">
        <v>288.11900000000003</v>
      </c>
      <c r="AA197" s="22">
        <v>-2.36694E-2</v>
      </c>
      <c r="AB197" s="22">
        <v>187</v>
      </c>
      <c r="AC197" s="22">
        <v>0.85754399999999997</v>
      </c>
      <c r="AD197">
        <f t="shared" si="28"/>
        <v>23.6694</v>
      </c>
      <c r="AE197">
        <f t="shared" si="29"/>
        <v>20.315611705800002</v>
      </c>
      <c r="AF197" s="9"/>
      <c r="AG197" s="22">
        <v>0.84167499999999995</v>
      </c>
      <c r="AH197" s="22">
        <v>393.99799999999999</v>
      </c>
      <c r="AI197" s="22">
        <v>-2.3727399999999999E-2</v>
      </c>
      <c r="AJ197" s="22">
        <v>187</v>
      </c>
      <c r="AK197" s="22">
        <v>0.84106400000000003</v>
      </c>
      <c r="AL197">
        <f t="shared" si="30"/>
        <v>23.727399999999999</v>
      </c>
      <c r="AM197">
        <f t="shared" si="31"/>
        <v>19.970759394999998</v>
      </c>
      <c r="AP197" s="9"/>
      <c r="AQ197" s="22">
        <v>0.85830700000000004</v>
      </c>
      <c r="AR197" s="22">
        <v>482.38799999999998</v>
      </c>
      <c r="AS197" s="22">
        <v>-2.3553500000000002E-2</v>
      </c>
      <c r="AT197" s="22">
        <v>187</v>
      </c>
      <c r="AU197" s="22">
        <v>0.85693399999999997</v>
      </c>
      <c r="AV197">
        <f t="shared" si="32"/>
        <v>23.553500000000003</v>
      </c>
      <c r="AW197">
        <f t="shared" si="33"/>
        <v>20.216133924500003</v>
      </c>
      <c r="AX197" s="9"/>
      <c r="AY197" s="22">
        <v>0.84167499999999995</v>
      </c>
      <c r="AZ197" s="22">
        <v>593.26700000000005</v>
      </c>
      <c r="BA197" s="22">
        <v>-2.3699999999999999E-2</v>
      </c>
      <c r="BB197" s="22">
        <v>187</v>
      </c>
      <c r="BC197" s="22">
        <v>0.84075900000000003</v>
      </c>
      <c r="BD197">
        <f t="shared" si="34"/>
        <v>23.7</v>
      </c>
      <c r="BE197">
        <f t="shared" si="35"/>
        <v>19.947697499999997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74.94</v>
      </c>
      <c r="I198" s="22">
        <v>-2.4374400000000001E-2</v>
      </c>
      <c r="J198" s="22">
        <v>188</v>
      </c>
      <c r="K198" s="22">
        <v>0.852966</v>
      </c>
      <c r="L198">
        <f t="shared" si="24"/>
        <v>24.374400000000001</v>
      </c>
      <c r="M198">
        <f t="shared" si="25"/>
        <v>20.797968662400002</v>
      </c>
      <c r="N198" s="9"/>
      <c r="O198" s="22">
        <v>0.84670999999999996</v>
      </c>
      <c r="P198" s="22">
        <v>164.25700000000001</v>
      </c>
      <c r="Q198" s="22">
        <v>-2.3998999999999999E-2</v>
      </c>
      <c r="R198" s="22">
        <v>188</v>
      </c>
      <c r="S198" s="22">
        <v>0.84655800000000003</v>
      </c>
      <c r="T198">
        <f t="shared" si="26"/>
        <v>23.998999999999999</v>
      </c>
      <c r="U198">
        <f t="shared" si="27"/>
        <v>20.320193289999999</v>
      </c>
      <c r="X198" s="9"/>
      <c r="Y198" s="22">
        <v>0.853271</v>
      </c>
      <c r="Z198" s="22">
        <v>288.22000000000003</v>
      </c>
      <c r="AA198" s="22">
        <v>-2.36847E-2</v>
      </c>
      <c r="AB198" s="22">
        <v>188</v>
      </c>
      <c r="AC198" s="22">
        <v>0.852661</v>
      </c>
      <c r="AD198">
        <f t="shared" si="28"/>
        <v>23.684699999999999</v>
      </c>
      <c r="AE198">
        <f t="shared" si="29"/>
        <v>20.209467653699999</v>
      </c>
      <c r="AF198" s="9"/>
      <c r="AG198" s="22">
        <v>0.84670999999999996</v>
      </c>
      <c r="AH198" s="22">
        <v>394.09800000000001</v>
      </c>
      <c r="AI198" s="22">
        <v>-2.3730500000000002E-2</v>
      </c>
      <c r="AJ198" s="22">
        <v>188</v>
      </c>
      <c r="AK198" s="22">
        <v>0.845947</v>
      </c>
      <c r="AL198">
        <f t="shared" si="30"/>
        <v>23.730500000000003</v>
      </c>
      <c r="AM198">
        <f t="shared" si="31"/>
        <v>20.092851655</v>
      </c>
      <c r="AP198" s="9"/>
      <c r="AQ198" s="22">
        <v>0.853271</v>
      </c>
      <c r="AR198" s="22">
        <v>482.48899999999998</v>
      </c>
      <c r="AS198" s="22">
        <v>-2.35596E-2</v>
      </c>
      <c r="AT198" s="22">
        <v>188</v>
      </c>
      <c r="AU198" s="22">
        <v>0.852661</v>
      </c>
      <c r="AV198">
        <f t="shared" si="32"/>
        <v>23.5596</v>
      </c>
      <c r="AW198">
        <f t="shared" si="33"/>
        <v>20.102723451599999</v>
      </c>
      <c r="AX198" s="9"/>
      <c r="AY198" s="22">
        <v>0.84670999999999996</v>
      </c>
      <c r="AZ198" s="22">
        <v>593.36800000000005</v>
      </c>
      <c r="BA198" s="22">
        <v>-2.3693800000000001E-2</v>
      </c>
      <c r="BB198" s="22">
        <v>188</v>
      </c>
      <c r="BC198" s="22">
        <v>0.846252</v>
      </c>
      <c r="BD198">
        <f t="shared" si="34"/>
        <v>23.6938</v>
      </c>
      <c r="BE198">
        <f t="shared" si="35"/>
        <v>20.061777398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75.040700000000001</v>
      </c>
      <c r="I199" s="22">
        <v>-2.43774E-2</v>
      </c>
      <c r="J199" s="22">
        <v>189</v>
      </c>
      <c r="K199" s="22">
        <v>0.84747300000000003</v>
      </c>
      <c r="L199">
        <f t="shared" si="24"/>
        <v>24.377400000000002</v>
      </c>
      <c r="M199">
        <f t="shared" si="25"/>
        <v>20.6777882664</v>
      </c>
      <c r="N199" s="9"/>
      <c r="O199" s="22">
        <v>0.851746</v>
      </c>
      <c r="P199" s="22">
        <v>164.358</v>
      </c>
      <c r="Q199" s="22">
        <v>-2.3989900000000002E-2</v>
      </c>
      <c r="R199" s="22">
        <v>189</v>
      </c>
      <c r="S199" s="22">
        <v>0.85113499999999997</v>
      </c>
      <c r="T199">
        <f t="shared" si="26"/>
        <v>23.989900000000002</v>
      </c>
      <c r="U199">
        <f t="shared" si="27"/>
        <v>20.433301365400002</v>
      </c>
      <c r="X199" s="9"/>
      <c r="Y199" s="22">
        <v>0.84823599999999999</v>
      </c>
      <c r="Z199" s="22">
        <v>288.32</v>
      </c>
      <c r="AA199" s="22">
        <v>-2.3690800000000001E-2</v>
      </c>
      <c r="AB199" s="22">
        <v>189</v>
      </c>
      <c r="AC199" s="22">
        <v>0.84747300000000003</v>
      </c>
      <c r="AD199">
        <f t="shared" si="28"/>
        <v>23.690800000000003</v>
      </c>
      <c r="AE199">
        <f t="shared" si="29"/>
        <v>20.095389428800001</v>
      </c>
      <c r="AF199" s="9"/>
      <c r="AG199" s="22">
        <v>0.851746</v>
      </c>
      <c r="AH199" s="22">
        <v>394.19900000000001</v>
      </c>
      <c r="AI199" s="22">
        <v>-2.3721300000000001E-2</v>
      </c>
      <c r="AJ199" s="22">
        <v>189</v>
      </c>
      <c r="AK199" s="22">
        <v>0.85143999999999997</v>
      </c>
      <c r="AL199">
        <f t="shared" si="30"/>
        <v>23.721299999999999</v>
      </c>
      <c r="AM199">
        <f t="shared" si="31"/>
        <v>20.204522389800001</v>
      </c>
      <c r="AP199" s="9"/>
      <c r="AQ199" s="22">
        <v>0.84823599999999999</v>
      </c>
      <c r="AR199" s="22">
        <v>482.59</v>
      </c>
      <c r="AS199" s="22">
        <v>-2.3568700000000001E-2</v>
      </c>
      <c r="AT199" s="22">
        <v>189</v>
      </c>
      <c r="AU199" s="22">
        <v>0.84716800000000003</v>
      </c>
      <c r="AV199">
        <f t="shared" si="32"/>
        <v>23.5687</v>
      </c>
      <c r="AW199">
        <f t="shared" si="33"/>
        <v>19.991819813199999</v>
      </c>
      <c r="AX199" s="9"/>
      <c r="AY199" s="22">
        <v>0.851746</v>
      </c>
      <c r="AZ199" s="22">
        <v>593.46799999999996</v>
      </c>
      <c r="BA199" s="22">
        <v>-2.3681600000000001E-2</v>
      </c>
      <c r="BB199" s="22">
        <v>189</v>
      </c>
      <c r="BC199" s="22">
        <v>0.85113499999999997</v>
      </c>
      <c r="BD199">
        <f t="shared" si="34"/>
        <v>23.6816</v>
      </c>
      <c r="BE199">
        <f t="shared" si="35"/>
        <v>20.1707080736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75.141400000000004</v>
      </c>
      <c r="I200" s="22">
        <v>-2.43774E-2</v>
      </c>
      <c r="J200" s="22">
        <v>190</v>
      </c>
      <c r="K200" s="22">
        <v>0.84350599999999998</v>
      </c>
      <c r="L200">
        <f t="shared" si="24"/>
        <v>24.377400000000002</v>
      </c>
      <c r="M200">
        <f t="shared" si="25"/>
        <v>20.555048057400001</v>
      </c>
      <c r="N200" s="9"/>
      <c r="O200" s="22">
        <v>0.85678100000000001</v>
      </c>
      <c r="P200" s="22">
        <v>164.459</v>
      </c>
      <c r="Q200" s="22">
        <v>-2.39838E-2</v>
      </c>
      <c r="R200" s="22">
        <v>190</v>
      </c>
      <c r="S200" s="22">
        <v>0.85662799999999995</v>
      </c>
      <c r="T200">
        <f t="shared" si="26"/>
        <v>23.983799999999999</v>
      </c>
      <c r="U200">
        <f t="shared" si="27"/>
        <v>20.5488641478</v>
      </c>
      <c r="X200" s="9"/>
      <c r="Y200" s="22">
        <v>0.84320099999999998</v>
      </c>
      <c r="Z200" s="22">
        <v>288.42099999999999</v>
      </c>
      <c r="AA200" s="22">
        <v>-2.3699999999999999E-2</v>
      </c>
      <c r="AB200" s="22">
        <v>190</v>
      </c>
      <c r="AC200" s="22">
        <v>0.84228499999999995</v>
      </c>
      <c r="AD200">
        <f t="shared" si="28"/>
        <v>23.7</v>
      </c>
      <c r="AE200">
        <f t="shared" si="29"/>
        <v>19.983863700000001</v>
      </c>
      <c r="AF200" s="9"/>
      <c r="AG200" s="22">
        <v>0.85678100000000001</v>
      </c>
      <c r="AH200" s="22">
        <v>394.3</v>
      </c>
      <c r="AI200" s="22">
        <v>-2.3715199999999999E-2</v>
      </c>
      <c r="AJ200" s="22">
        <v>190</v>
      </c>
      <c r="AK200" s="22">
        <v>0.85601799999999995</v>
      </c>
      <c r="AL200">
        <f t="shared" si="30"/>
        <v>23.715199999999999</v>
      </c>
      <c r="AM200">
        <f t="shared" si="31"/>
        <v>20.318732771200001</v>
      </c>
      <c r="AP200" s="9"/>
      <c r="AQ200" s="22">
        <v>0.84320099999999998</v>
      </c>
      <c r="AR200" s="22">
        <v>482.69</v>
      </c>
      <c r="AS200" s="22">
        <v>-2.3565699999999998E-2</v>
      </c>
      <c r="AT200" s="22">
        <v>190</v>
      </c>
      <c r="AU200" s="22">
        <v>0.84197999999999995</v>
      </c>
      <c r="AV200">
        <f t="shared" si="32"/>
        <v>23.5657</v>
      </c>
      <c r="AW200">
        <f t="shared" si="33"/>
        <v>19.870621805700001</v>
      </c>
      <c r="AX200" s="9"/>
      <c r="AY200" s="22">
        <v>0.85678100000000001</v>
      </c>
      <c r="AZ200" s="22">
        <v>593.56899999999996</v>
      </c>
      <c r="BA200" s="22">
        <v>-2.3678600000000001E-2</v>
      </c>
      <c r="BB200" s="22">
        <v>190</v>
      </c>
      <c r="BC200" s="22">
        <v>0.85693399999999997</v>
      </c>
      <c r="BD200">
        <f t="shared" si="34"/>
        <v>23.678599999999999</v>
      </c>
      <c r="BE200">
        <f t="shared" si="35"/>
        <v>20.287374586599999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75.242099999999994</v>
      </c>
      <c r="I201" s="22">
        <v>-2.4383499999999999E-2</v>
      </c>
      <c r="J201" s="22">
        <v>191</v>
      </c>
      <c r="K201" s="22">
        <v>0.83679199999999998</v>
      </c>
      <c r="L201">
        <f t="shared" si="24"/>
        <v>24.383499999999998</v>
      </c>
      <c r="M201">
        <f t="shared" si="25"/>
        <v>20.4373962775</v>
      </c>
      <c r="N201" s="9"/>
      <c r="O201" s="22">
        <v>0.86181600000000003</v>
      </c>
      <c r="P201" s="22">
        <v>164.56</v>
      </c>
      <c r="Q201" s="22">
        <v>-2.3980700000000001E-2</v>
      </c>
      <c r="R201" s="22">
        <v>191</v>
      </c>
      <c r="S201" s="22">
        <v>0.86120600000000003</v>
      </c>
      <c r="T201">
        <f t="shared" si="26"/>
        <v>23.980700000000002</v>
      </c>
      <c r="U201">
        <f t="shared" si="27"/>
        <v>20.666950951200004</v>
      </c>
      <c r="X201" s="9"/>
      <c r="Y201" s="22">
        <v>0.83816500000000005</v>
      </c>
      <c r="Z201" s="22">
        <v>288.52199999999999</v>
      </c>
      <c r="AA201" s="22">
        <v>-2.3699999999999999E-2</v>
      </c>
      <c r="AB201" s="22">
        <v>191</v>
      </c>
      <c r="AC201" s="22">
        <v>0.83709699999999998</v>
      </c>
      <c r="AD201">
        <f t="shared" si="28"/>
        <v>23.7</v>
      </c>
      <c r="AE201">
        <f t="shared" si="29"/>
        <v>19.864510500000002</v>
      </c>
      <c r="AF201" s="9"/>
      <c r="AG201" s="22">
        <v>0.86181600000000003</v>
      </c>
      <c r="AH201" s="22">
        <v>394.40100000000001</v>
      </c>
      <c r="AI201" s="22">
        <v>-2.37091E-2</v>
      </c>
      <c r="AJ201" s="22">
        <v>191</v>
      </c>
      <c r="AK201" s="22">
        <v>0.86151100000000003</v>
      </c>
      <c r="AL201">
        <f t="shared" si="30"/>
        <v>23.709099999999999</v>
      </c>
      <c r="AM201">
        <f t="shared" si="31"/>
        <v>20.432881725600001</v>
      </c>
      <c r="AP201" s="9"/>
      <c r="AQ201" s="22">
        <v>0.83816500000000005</v>
      </c>
      <c r="AR201" s="22">
        <v>482.791</v>
      </c>
      <c r="AS201" s="22">
        <v>-2.35748E-2</v>
      </c>
      <c r="AT201" s="22">
        <v>191</v>
      </c>
      <c r="AU201" s="22">
        <v>0.83801300000000001</v>
      </c>
      <c r="AV201">
        <f t="shared" si="32"/>
        <v>23.5748</v>
      </c>
      <c r="AW201">
        <f t="shared" si="33"/>
        <v>19.759572242000001</v>
      </c>
      <c r="AX201" s="9"/>
      <c r="AY201" s="22">
        <v>0.86181600000000003</v>
      </c>
      <c r="AZ201" s="22">
        <v>593.66999999999996</v>
      </c>
      <c r="BA201" s="22">
        <v>-2.3672499999999999E-2</v>
      </c>
      <c r="BB201" s="22">
        <v>191</v>
      </c>
      <c r="BC201" s="22">
        <v>0.86151100000000003</v>
      </c>
      <c r="BD201">
        <f t="shared" si="34"/>
        <v>23.672499999999999</v>
      </c>
      <c r="BE201">
        <f t="shared" si="35"/>
        <v>20.40133926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75.342799999999997</v>
      </c>
      <c r="I202" s="22">
        <v>-2.4398799999999998E-2</v>
      </c>
      <c r="J202" s="22">
        <v>192</v>
      </c>
      <c r="K202" s="22">
        <v>0.83343500000000004</v>
      </c>
      <c r="L202">
        <f t="shared" si="24"/>
        <v>24.398799999999998</v>
      </c>
      <c r="M202">
        <f t="shared" si="25"/>
        <v>20.327372243999999</v>
      </c>
      <c r="N202" s="9"/>
      <c r="O202" s="22">
        <v>0.86685199999999996</v>
      </c>
      <c r="P202" s="22">
        <v>164.66</v>
      </c>
      <c r="Q202" s="22">
        <v>-2.3974599999999999E-2</v>
      </c>
      <c r="R202" s="22">
        <v>192</v>
      </c>
      <c r="S202" s="22">
        <v>0.865784</v>
      </c>
      <c r="T202">
        <f t="shared" si="26"/>
        <v>23.974599999999999</v>
      </c>
      <c r="U202">
        <f t="shared" si="27"/>
        <v>20.782429959199998</v>
      </c>
      <c r="X202" s="9"/>
      <c r="Y202" s="22">
        <v>0.83313000000000004</v>
      </c>
      <c r="Z202" s="22">
        <v>288.62200000000001</v>
      </c>
      <c r="AA202" s="22">
        <v>-2.3702999999999998E-2</v>
      </c>
      <c r="AB202" s="22">
        <v>192</v>
      </c>
      <c r="AC202" s="22">
        <v>0.83313000000000004</v>
      </c>
      <c r="AD202">
        <f t="shared" si="28"/>
        <v>23.702999999999999</v>
      </c>
      <c r="AE202">
        <f t="shared" si="29"/>
        <v>19.747680389999999</v>
      </c>
      <c r="AF202" s="9"/>
      <c r="AG202" s="22">
        <v>0.86685199999999996</v>
      </c>
      <c r="AH202" s="22">
        <v>394.50099999999998</v>
      </c>
      <c r="AI202" s="22">
        <v>-2.3702999999999998E-2</v>
      </c>
      <c r="AJ202" s="22">
        <v>192</v>
      </c>
      <c r="AK202" s="22">
        <v>0.866394</v>
      </c>
      <c r="AL202">
        <f t="shared" si="30"/>
        <v>23.702999999999999</v>
      </c>
      <c r="AM202">
        <f t="shared" si="31"/>
        <v>20.546992955999997</v>
      </c>
      <c r="AP202" s="9"/>
      <c r="AQ202" s="22">
        <v>0.83313000000000004</v>
      </c>
      <c r="AR202" s="22">
        <v>482.892</v>
      </c>
      <c r="AS202" s="22">
        <v>-2.3590099999999999E-2</v>
      </c>
      <c r="AT202" s="22">
        <v>192</v>
      </c>
      <c r="AU202" s="22">
        <v>0.83252000000000004</v>
      </c>
      <c r="AV202">
        <f t="shared" si="32"/>
        <v>23.5901</v>
      </c>
      <c r="AW202">
        <f t="shared" si="33"/>
        <v>19.653620013000001</v>
      </c>
      <c r="AX202" s="9"/>
      <c r="AY202" s="22">
        <v>0.86685199999999996</v>
      </c>
      <c r="AZ202" s="22">
        <v>593.77099999999996</v>
      </c>
      <c r="BA202" s="22">
        <v>-2.36694E-2</v>
      </c>
      <c r="BB202" s="22">
        <v>192</v>
      </c>
      <c r="BC202" s="22">
        <v>0.865479</v>
      </c>
      <c r="BD202">
        <f t="shared" si="34"/>
        <v>23.6694</v>
      </c>
      <c r="BE202">
        <f t="shared" si="35"/>
        <v>20.517866728799998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75.4435</v>
      </c>
      <c r="I203" s="22">
        <v>-2.4401900000000001E-2</v>
      </c>
      <c r="J203" s="22">
        <v>193</v>
      </c>
      <c r="K203" s="22">
        <v>0.82763699999999996</v>
      </c>
      <c r="L203">
        <f t="shared" si="24"/>
        <v>24.401900000000001</v>
      </c>
      <c r="M203">
        <f t="shared" si="25"/>
        <v>20.2070669786</v>
      </c>
      <c r="N203" s="9"/>
      <c r="O203" s="22">
        <v>0.87188699999999997</v>
      </c>
      <c r="P203" s="22">
        <v>164.761</v>
      </c>
      <c r="Q203" s="22">
        <v>-2.3974599999999999E-2</v>
      </c>
      <c r="R203" s="22">
        <v>193</v>
      </c>
      <c r="S203" s="22">
        <v>0.87097199999999997</v>
      </c>
      <c r="T203">
        <f t="shared" si="26"/>
        <v>23.974599999999999</v>
      </c>
      <c r="U203">
        <f t="shared" si="27"/>
        <v>20.903142070199998</v>
      </c>
      <c r="X203" s="9"/>
      <c r="Y203" s="22">
        <v>0.828094</v>
      </c>
      <c r="Z203" s="22">
        <v>288.72300000000001</v>
      </c>
      <c r="AA203" s="22">
        <v>-2.3715199999999999E-2</v>
      </c>
      <c r="AB203" s="22">
        <v>193</v>
      </c>
      <c r="AC203" s="22">
        <v>0.82763699999999996</v>
      </c>
      <c r="AD203">
        <f t="shared" si="28"/>
        <v>23.715199999999999</v>
      </c>
      <c r="AE203">
        <f t="shared" si="29"/>
        <v>19.638414828799998</v>
      </c>
      <c r="AF203" s="9"/>
      <c r="AG203" s="22">
        <v>0.87188699999999997</v>
      </c>
      <c r="AH203" s="22">
        <v>394.60199999999998</v>
      </c>
      <c r="AI203" s="22">
        <v>-2.3706100000000001E-2</v>
      </c>
      <c r="AJ203" s="22">
        <v>193</v>
      </c>
      <c r="AK203" s="22">
        <v>0.87158199999999997</v>
      </c>
      <c r="AL203">
        <f t="shared" si="30"/>
        <v>23.706099999999999</v>
      </c>
      <c r="AM203">
        <f t="shared" si="31"/>
        <v>20.669040410699999</v>
      </c>
      <c r="AP203" s="9"/>
      <c r="AQ203" s="22">
        <v>0.828094</v>
      </c>
      <c r="AR203" s="22">
        <v>482.99200000000002</v>
      </c>
      <c r="AS203" s="22">
        <v>-2.3593099999999999E-2</v>
      </c>
      <c r="AT203" s="22">
        <v>193</v>
      </c>
      <c r="AU203" s="22">
        <v>0.82733199999999996</v>
      </c>
      <c r="AV203">
        <f t="shared" si="32"/>
        <v>23.5931</v>
      </c>
      <c r="AW203">
        <f t="shared" si="33"/>
        <v>19.537304551399998</v>
      </c>
      <c r="AX203" s="9"/>
      <c r="AY203" s="22">
        <v>0.87188699999999997</v>
      </c>
      <c r="AZ203" s="22">
        <v>593.87099999999998</v>
      </c>
      <c r="BA203" s="22">
        <v>-2.3663300000000002E-2</v>
      </c>
      <c r="BB203" s="22">
        <v>193</v>
      </c>
      <c r="BC203" s="22">
        <v>0.87188699999999997</v>
      </c>
      <c r="BD203">
        <f t="shared" si="34"/>
        <v>23.663300000000003</v>
      </c>
      <c r="BE203">
        <f t="shared" si="35"/>
        <v>20.631723647100003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75.544300000000007</v>
      </c>
      <c r="I204" s="22">
        <v>-2.4407999999999999E-2</v>
      </c>
      <c r="J204" s="22">
        <v>194</v>
      </c>
      <c r="K204" s="22">
        <v>0.82305899999999999</v>
      </c>
      <c r="L204">
        <f t="shared" ref="L204:L267" si="36">-I204/$F$2*1000</f>
        <v>24.407999999999998</v>
      </c>
      <c r="M204">
        <f t="shared" ref="M204:M267" si="37">L204*G204</f>
        <v>20.089224071999997</v>
      </c>
      <c r="N204" s="9"/>
      <c r="O204" s="22">
        <v>0.87692300000000001</v>
      </c>
      <c r="P204" s="22">
        <v>164.86199999999999</v>
      </c>
      <c r="Q204" s="22">
        <v>-2.3959399999999999E-2</v>
      </c>
      <c r="R204" s="22">
        <v>194</v>
      </c>
      <c r="S204" s="22">
        <v>0.87585400000000002</v>
      </c>
      <c r="T204">
        <f t="shared" ref="T204:T267" si="38">-Q204/$F$2*1000</f>
        <v>23.959399999999999</v>
      </c>
      <c r="U204">
        <f t="shared" ref="U204:U267" si="39">T204*O204</f>
        <v>21.010548926199998</v>
      </c>
      <c r="X204" s="9"/>
      <c r="Y204" s="22">
        <v>0.82305899999999999</v>
      </c>
      <c r="Z204" s="22">
        <v>288.82400000000001</v>
      </c>
      <c r="AA204" s="22">
        <v>-2.3721300000000001E-2</v>
      </c>
      <c r="AB204" s="22">
        <v>194</v>
      </c>
      <c r="AC204" s="22">
        <v>0.82244899999999999</v>
      </c>
      <c r="AD204">
        <f t="shared" ref="AD204:AD267" si="40">-AA204/$F$2*1000</f>
        <v>23.721299999999999</v>
      </c>
      <c r="AE204">
        <f t="shared" ref="AE204:AE267" si="41">AD204*Y204</f>
        <v>19.524029456699999</v>
      </c>
      <c r="AF204" s="9"/>
      <c r="AG204" s="22">
        <v>0.87692300000000001</v>
      </c>
      <c r="AH204" s="22">
        <v>394.70299999999997</v>
      </c>
      <c r="AI204" s="22">
        <v>-2.3693800000000001E-2</v>
      </c>
      <c r="AJ204" s="22">
        <v>194</v>
      </c>
      <c r="AK204" s="22">
        <v>0.87646500000000005</v>
      </c>
      <c r="AL204">
        <f t="shared" ref="AL204:AL267" si="42">-AI204/$F$2*1000</f>
        <v>23.6938</v>
      </c>
      <c r="AM204">
        <f t="shared" ref="AM204:AM267" si="43">AL204*AG204</f>
        <v>20.7776381774</v>
      </c>
      <c r="AP204" s="9"/>
      <c r="AQ204" s="22">
        <v>0.82305899999999999</v>
      </c>
      <c r="AR204" s="22">
        <v>483.09300000000002</v>
      </c>
      <c r="AS204" s="22">
        <v>-2.3593099999999999E-2</v>
      </c>
      <c r="AT204" s="22">
        <v>194</v>
      </c>
      <c r="AU204" s="22">
        <v>0.82244899999999999</v>
      </c>
      <c r="AV204">
        <f t="shared" ref="AV204:AV267" si="44">-AS204/$F$2*1000</f>
        <v>23.5931</v>
      </c>
      <c r="AW204">
        <f t="shared" ref="AW204:AW267" si="45">AV204*AQ204</f>
        <v>19.418513292899998</v>
      </c>
      <c r="AX204" s="9"/>
      <c r="AY204" s="22">
        <v>0.87692300000000001</v>
      </c>
      <c r="AZ204" s="22">
        <v>593.97199999999998</v>
      </c>
      <c r="BA204" s="22">
        <v>-2.3660299999999999E-2</v>
      </c>
      <c r="BB204" s="22">
        <v>194</v>
      </c>
      <c r="BC204" s="22">
        <v>0.87616000000000005</v>
      </c>
      <c r="BD204">
        <f t="shared" ref="BD204:BD267" si="46">-BA204/$F$2*1000</f>
        <v>23.660299999999999</v>
      </c>
      <c r="BE204">
        <f t="shared" ref="BE204:BE267" si="47">BD204*AY204</f>
        <v>20.748261256900001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75.644999999999996</v>
      </c>
      <c r="I205" s="22">
        <v>-2.44202E-2</v>
      </c>
      <c r="J205" s="22">
        <v>195</v>
      </c>
      <c r="K205" s="22">
        <v>0.81726100000000002</v>
      </c>
      <c r="L205">
        <f t="shared" si="36"/>
        <v>24.420200000000001</v>
      </c>
      <c r="M205">
        <f t="shared" si="37"/>
        <v>19.9763096848</v>
      </c>
      <c r="N205" s="9"/>
      <c r="O205" s="22">
        <v>0.88195800000000002</v>
      </c>
      <c r="P205" s="22">
        <v>164.96199999999999</v>
      </c>
      <c r="Q205" s="22">
        <v>-2.3959399999999999E-2</v>
      </c>
      <c r="R205" s="22">
        <v>195</v>
      </c>
      <c r="S205" s="22">
        <v>0.88165300000000002</v>
      </c>
      <c r="T205">
        <f t="shared" si="38"/>
        <v>23.959399999999999</v>
      </c>
      <c r="U205">
        <f t="shared" si="39"/>
        <v>21.1311845052</v>
      </c>
      <c r="X205" s="9"/>
      <c r="Y205" s="22">
        <v>0.81802399999999997</v>
      </c>
      <c r="Z205" s="22">
        <v>288.92500000000001</v>
      </c>
      <c r="AA205" s="22">
        <v>-2.3730500000000002E-2</v>
      </c>
      <c r="AB205" s="22">
        <v>195</v>
      </c>
      <c r="AC205" s="22">
        <v>0.81726100000000002</v>
      </c>
      <c r="AD205">
        <f t="shared" si="40"/>
        <v>23.730500000000003</v>
      </c>
      <c r="AE205">
        <f t="shared" si="41"/>
        <v>19.412118532000001</v>
      </c>
      <c r="AF205" s="9"/>
      <c r="AG205" s="22">
        <v>0.88195800000000002</v>
      </c>
      <c r="AH205" s="22">
        <v>394.803</v>
      </c>
      <c r="AI205" s="22">
        <v>-2.3690800000000001E-2</v>
      </c>
      <c r="AJ205" s="22">
        <v>195</v>
      </c>
      <c r="AK205" s="22">
        <v>0.88165300000000002</v>
      </c>
      <c r="AL205">
        <f t="shared" si="42"/>
        <v>23.690800000000003</v>
      </c>
      <c r="AM205">
        <f t="shared" si="43"/>
        <v>20.894290586400004</v>
      </c>
      <c r="AP205" s="9"/>
      <c r="AQ205" s="22">
        <v>0.81802399999999997</v>
      </c>
      <c r="AR205" s="22">
        <v>483.19400000000002</v>
      </c>
      <c r="AS205" s="22">
        <v>-2.3596200000000001E-2</v>
      </c>
      <c r="AT205" s="22">
        <v>195</v>
      </c>
      <c r="AU205" s="22">
        <v>0.81787100000000001</v>
      </c>
      <c r="AV205">
        <f t="shared" si="44"/>
        <v>23.5962</v>
      </c>
      <c r="AW205">
        <f t="shared" si="45"/>
        <v>19.302257908799998</v>
      </c>
      <c r="AX205" s="9"/>
      <c r="AY205" s="22">
        <v>0.88195800000000002</v>
      </c>
      <c r="AZ205" s="22">
        <v>594.07299999999998</v>
      </c>
      <c r="BA205" s="22">
        <v>-2.36572E-2</v>
      </c>
      <c r="BB205" s="22">
        <v>195</v>
      </c>
      <c r="BC205" s="22">
        <v>0.88134800000000002</v>
      </c>
      <c r="BD205">
        <f t="shared" si="46"/>
        <v>23.6572</v>
      </c>
      <c r="BE205">
        <f t="shared" si="47"/>
        <v>20.864656797599999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75.745699999999999</v>
      </c>
      <c r="I206" s="22">
        <v>-2.4429300000000001E-2</v>
      </c>
      <c r="J206" s="22">
        <v>196</v>
      </c>
      <c r="K206" s="22">
        <v>0.81237800000000004</v>
      </c>
      <c r="L206">
        <f t="shared" si="36"/>
        <v>24.429300000000001</v>
      </c>
      <c r="M206">
        <f t="shared" si="37"/>
        <v>19.860727748400002</v>
      </c>
      <c r="N206" s="9"/>
      <c r="O206" s="22">
        <v>0.88699300000000003</v>
      </c>
      <c r="P206" s="22">
        <v>165.06299999999999</v>
      </c>
      <c r="Q206" s="22">
        <v>-2.39563E-2</v>
      </c>
      <c r="R206" s="22">
        <v>196</v>
      </c>
      <c r="S206" s="22">
        <v>0.88622999999999996</v>
      </c>
      <c r="T206">
        <f t="shared" si="38"/>
        <v>23.956299999999999</v>
      </c>
      <c r="U206">
        <f t="shared" si="39"/>
        <v>21.2490704059</v>
      </c>
      <c r="X206" s="9"/>
      <c r="Y206" s="22">
        <v>0.81298800000000004</v>
      </c>
      <c r="Z206" s="22">
        <v>289.02499999999998</v>
      </c>
      <c r="AA206" s="22">
        <v>-2.3730500000000002E-2</v>
      </c>
      <c r="AB206" s="22">
        <v>196</v>
      </c>
      <c r="AC206" s="22">
        <v>0.81207300000000004</v>
      </c>
      <c r="AD206">
        <f t="shared" si="40"/>
        <v>23.730500000000003</v>
      </c>
      <c r="AE206">
        <f t="shared" si="41"/>
        <v>19.292611734000005</v>
      </c>
      <c r="AF206" s="9"/>
      <c r="AG206" s="22">
        <v>0.88699300000000003</v>
      </c>
      <c r="AH206" s="22">
        <v>394.904</v>
      </c>
      <c r="AI206" s="22">
        <v>-2.36847E-2</v>
      </c>
      <c r="AJ206" s="22">
        <v>196</v>
      </c>
      <c r="AK206" s="22">
        <v>0.88622999999999996</v>
      </c>
      <c r="AL206">
        <f t="shared" si="42"/>
        <v>23.684699999999999</v>
      </c>
      <c r="AM206">
        <f t="shared" si="43"/>
        <v>21.0081631071</v>
      </c>
      <c r="AP206" s="9"/>
      <c r="AQ206" s="22">
        <v>0.81298800000000004</v>
      </c>
      <c r="AR206" s="22">
        <v>483.29500000000002</v>
      </c>
      <c r="AS206" s="22">
        <v>-2.3608400000000002E-2</v>
      </c>
      <c r="AT206" s="22">
        <v>196</v>
      </c>
      <c r="AU206" s="22">
        <v>0.81268300000000004</v>
      </c>
      <c r="AV206">
        <f t="shared" si="44"/>
        <v>23.608400000000003</v>
      </c>
      <c r="AW206">
        <f t="shared" si="45"/>
        <v>19.193345899200004</v>
      </c>
      <c r="AX206" s="9"/>
      <c r="AY206" s="22">
        <v>0.88699300000000003</v>
      </c>
      <c r="AZ206" s="22">
        <v>594.173</v>
      </c>
      <c r="BA206" s="22">
        <v>-2.36542E-2</v>
      </c>
      <c r="BB206" s="22">
        <v>196</v>
      </c>
      <c r="BC206" s="22">
        <v>0.88622999999999996</v>
      </c>
      <c r="BD206">
        <f t="shared" si="46"/>
        <v>23.654199999999999</v>
      </c>
      <c r="BE206">
        <f t="shared" si="47"/>
        <v>20.9811098206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75.846400000000003</v>
      </c>
      <c r="I207" s="22">
        <v>-2.4429300000000001E-2</v>
      </c>
      <c r="J207" s="22">
        <v>197</v>
      </c>
      <c r="K207" s="22">
        <v>0.80718999999999996</v>
      </c>
      <c r="L207">
        <f t="shared" si="36"/>
        <v>24.429300000000001</v>
      </c>
      <c r="M207">
        <f t="shared" si="37"/>
        <v>19.737726222900001</v>
      </c>
      <c r="N207" s="9"/>
      <c r="O207" s="22">
        <v>0.89202899999999996</v>
      </c>
      <c r="P207" s="22">
        <v>165.16399999999999</v>
      </c>
      <c r="Q207" s="22">
        <v>-2.3947099999999999E-2</v>
      </c>
      <c r="R207" s="22">
        <v>197</v>
      </c>
      <c r="S207" s="22">
        <v>0.89141800000000004</v>
      </c>
      <c r="T207">
        <f t="shared" si="38"/>
        <v>23.947099999999999</v>
      </c>
      <c r="U207">
        <f t="shared" si="39"/>
        <v>21.3615076659</v>
      </c>
      <c r="X207" s="9"/>
      <c r="Y207" s="22">
        <v>0.80795300000000003</v>
      </c>
      <c r="Z207" s="22">
        <v>289.12599999999998</v>
      </c>
      <c r="AA207" s="22">
        <v>-2.37396E-2</v>
      </c>
      <c r="AB207" s="22">
        <v>197</v>
      </c>
      <c r="AC207" s="22">
        <v>0.80718999999999996</v>
      </c>
      <c r="AD207">
        <f t="shared" si="40"/>
        <v>23.739599999999999</v>
      </c>
      <c r="AE207">
        <f t="shared" si="41"/>
        <v>19.1804810388</v>
      </c>
      <c r="AF207" s="9"/>
      <c r="AG207" s="22">
        <v>0.89202899999999996</v>
      </c>
      <c r="AH207" s="22">
        <v>395.005</v>
      </c>
      <c r="AI207" s="22">
        <v>-2.3678600000000001E-2</v>
      </c>
      <c r="AJ207" s="22">
        <v>197</v>
      </c>
      <c r="AK207" s="22">
        <v>0.89202899999999996</v>
      </c>
      <c r="AL207">
        <f t="shared" si="42"/>
        <v>23.678599999999999</v>
      </c>
      <c r="AM207">
        <f t="shared" si="43"/>
        <v>21.121997879399999</v>
      </c>
      <c r="AP207" s="9"/>
      <c r="AQ207" s="22">
        <v>0.80795300000000003</v>
      </c>
      <c r="AR207" s="22">
        <v>483.39499999999998</v>
      </c>
      <c r="AS207" s="22">
        <v>-2.3617599999999999E-2</v>
      </c>
      <c r="AT207" s="22">
        <v>197</v>
      </c>
      <c r="AU207" s="22">
        <v>0.80810499999999996</v>
      </c>
      <c r="AV207">
        <f t="shared" si="44"/>
        <v>23.617599999999999</v>
      </c>
      <c r="AW207">
        <f t="shared" si="45"/>
        <v>19.081910772800001</v>
      </c>
      <c r="AX207" s="9"/>
      <c r="AY207" s="22">
        <v>0.89202899999999996</v>
      </c>
      <c r="AZ207" s="22">
        <v>594.274</v>
      </c>
      <c r="BA207" s="22">
        <v>-2.3648099999999998E-2</v>
      </c>
      <c r="BB207" s="22">
        <v>197</v>
      </c>
      <c r="BC207" s="22">
        <v>0.89141800000000004</v>
      </c>
      <c r="BD207">
        <f t="shared" si="46"/>
        <v>23.648099999999999</v>
      </c>
      <c r="BE207">
        <f t="shared" si="47"/>
        <v>21.094790994899999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75.947100000000006</v>
      </c>
      <c r="I208" s="22">
        <v>-2.44324E-2</v>
      </c>
      <c r="J208" s="22">
        <v>198</v>
      </c>
      <c r="K208" s="22">
        <v>0.80139199999999999</v>
      </c>
      <c r="L208">
        <f t="shared" si="36"/>
        <v>24.432400000000001</v>
      </c>
      <c r="M208">
        <f t="shared" si="37"/>
        <v>19.617189310800001</v>
      </c>
      <c r="N208" s="9"/>
      <c r="O208" s="22">
        <v>0.89706399999999997</v>
      </c>
      <c r="P208" s="22">
        <v>165.26499999999999</v>
      </c>
      <c r="Q208" s="22">
        <v>-2.3941E-2</v>
      </c>
      <c r="R208" s="22">
        <v>198</v>
      </c>
      <c r="S208" s="22">
        <v>0.89599600000000001</v>
      </c>
      <c r="T208">
        <f t="shared" si="38"/>
        <v>23.940999999999999</v>
      </c>
      <c r="U208">
        <f t="shared" si="39"/>
        <v>21.476609223999997</v>
      </c>
      <c r="X208" s="9"/>
      <c r="Y208" s="22">
        <v>0.80291699999999999</v>
      </c>
      <c r="Z208" s="22">
        <v>289.22699999999998</v>
      </c>
      <c r="AA208" s="22">
        <v>-2.37396E-2</v>
      </c>
      <c r="AB208" s="22">
        <v>198</v>
      </c>
      <c r="AC208" s="22">
        <v>0.80261199999999999</v>
      </c>
      <c r="AD208">
        <f t="shared" si="40"/>
        <v>23.739599999999999</v>
      </c>
      <c r="AE208">
        <f t="shared" si="41"/>
        <v>19.060928413199999</v>
      </c>
      <c r="AF208" s="9"/>
      <c r="AG208" s="22">
        <v>0.89706399999999997</v>
      </c>
      <c r="AH208" s="22">
        <v>395.10599999999999</v>
      </c>
      <c r="AI208" s="22">
        <v>-2.36694E-2</v>
      </c>
      <c r="AJ208" s="22">
        <v>198</v>
      </c>
      <c r="AK208" s="22">
        <v>0.89630100000000001</v>
      </c>
      <c r="AL208">
        <f t="shared" si="42"/>
        <v>23.6694</v>
      </c>
      <c r="AM208">
        <f t="shared" si="43"/>
        <v>21.232966641599997</v>
      </c>
      <c r="AP208" s="9"/>
      <c r="AQ208" s="22">
        <v>0.80291699999999999</v>
      </c>
      <c r="AR208" s="22">
        <v>483.49599999999998</v>
      </c>
      <c r="AS208" s="22">
        <v>-2.3617599999999999E-2</v>
      </c>
      <c r="AT208" s="22">
        <v>198</v>
      </c>
      <c r="AU208" s="22">
        <v>0.80261199999999999</v>
      </c>
      <c r="AV208">
        <f t="shared" si="44"/>
        <v>23.617599999999999</v>
      </c>
      <c r="AW208">
        <f t="shared" si="45"/>
        <v>18.962972539199999</v>
      </c>
      <c r="AX208" s="9"/>
      <c r="AY208" s="22">
        <v>0.89706399999999997</v>
      </c>
      <c r="AZ208" s="22">
        <v>594.375</v>
      </c>
      <c r="BA208" s="22">
        <v>-2.3638900000000001E-2</v>
      </c>
      <c r="BB208" s="22">
        <v>198</v>
      </c>
      <c r="BC208" s="22">
        <v>0.89599600000000001</v>
      </c>
      <c r="BD208">
        <f t="shared" si="46"/>
        <v>23.6389</v>
      </c>
      <c r="BE208">
        <f t="shared" si="47"/>
        <v>21.205606189599997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76.047799999999995</v>
      </c>
      <c r="I209" s="22">
        <v>-2.4441500000000001E-2</v>
      </c>
      <c r="J209" s="22">
        <v>199</v>
      </c>
      <c r="K209" s="22">
        <v>0.79711900000000002</v>
      </c>
      <c r="L209">
        <f t="shared" si="36"/>
        <v>24.441500000000001</v>
      </c>
      <c r="M209">
        <f t="shared" si="37"/>
        <v>19.501432903000001</v>
      </c>
      <c r="N209" s="9"/>
      <c r="O209" s="22">
        <v>0.90210000000000001</v>
      </c>
      <c r="P209" s="22">
        <v>165.36500000000001</v>
      </c>
      <c r="Q209" s="22">
        <v>-2.3931899999999999E-2</v>
      </c>
      <c r="R209" s="22">
        <v>199</v>
      </c>
      <c r="S209" s="22">
        <v>0.90148899999999998</v>
      </c>
      <c r="T209">
        <f t="shared" si="38"/>
        <v>23.931899999999999</v>
      </c>
      <c r="U209">
        <f t="shared" si="39"/>
        <v>21.588966989999999</v>
      </c>
      <c r="X209" s="9"/>
      <c r="Y209" s="22">
        <v>0.79788199999999998</v>
      </c>
      <c r="Z209" s="22">
        <v>289.327</v>
      </c>
      <c r="AA209" s="22">
        <v>-2.37488E-2</v>
      </c>
      <c r="AB209" s="22">
        <v>199</v>
      </c>
      <c r="AC209" s="22">
        <v>0.79742400000000002</v>
      </c>
      <c r="AD209">
        <f t="shared" si="40"/>
        <v>23.748799999999999</v>
      </c>
      <c r="AE209">
        <f t="shared" si="41"/>
        <v>18.948740041600001</v>
      </c>
      <c r="AF209" s="9"/>
      <c r="AG209" s="22">
        <v>0.90210000000000001</v>
      </c>
      <c r="AH209" s="22">
        <v>395.20600000000002</v>
      </c>
      <c r="AI209" s="22">
        <v>-2.3666400000000001E-2</v>
      </c>
      <c r="AJ209" s="22">
        <v>199</v>
      </c>
      <c r="AK209" s="22">
        <v>0.90240500000000001</v>
      </c>
      <c r="AL209">
        <f t="shared" si="42"/>
        <v>23.666399999999999</v>
      </c>
      <c r="AM209">
        <f t="shared" si="43"/>
        <v>21.34945944</v>
      </c>
      <c r="AP209" s="9"/>
      <c r="AQ209" s="22">
        <v>0.79788199999999998</v>
      </c>
      <c r="AR209" s="22">
        <v>483.59699999999998</v>
      </c>
      <c r="AS209" s="22">
        <v>-2.3623700000000001E-2</v>
      </c>
      <c r="AT209" s="22">
        <v>199</v>
      </c>
      <c r="AU209" s="22">
        <v>0.79742400000000002</v>
      </c>
      <c r="AV209">
        <f t="shared" si="44"/>
        <v>23.623699999999999</v>
      </c>
      <c r="AW209">
        <f t="shared" si="45"/>
        <v>18.848925003399998</v>
      </c>
      <c r="AX209" s="9"/>
      <c r="AY209" s="22">
        <v>0.90210000000000001</v>
      </c>
      <c r="AZ209" s="22">
        <v>594.476</v>
      </c>
      <c r="BA209" s="22">
        <v>-2.3638900000000001E-2</v>
      </c>
      <c r="BB209" s="22">
        <v>199</v>
      </c>
      <c r="BC209" s="22">
        <v>0.90087899999999999</v>
      </c>
      <c r="BD209">
        <f t="shared" si="46"/>
        <v>23.6389</v>
      </c>
      <c r="BE209">
        <f t="shared" si="47"/>
        <v>21.32465169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76.148499999999999</v>
      </c>
      <c r="I210" s="22">
        <v>-2.44476E-2</v>
      </c>
      <c r="J210" s="22">
        <v>200</v>
      </c>
      <c r="K210" s="22">
        <v>0.79254199999999997</v>
      </c>
      <c r="L210">
        <f t="shared" si="36"/>
        <v>24.447600000000001</v>
      </c>
      <c r="M210">
        <f t="shared" si="37"/>
        <v>19.383206317199999</v>
      </c>
      <c r="N210" s="9"/>
      <c r="O210" s="22">
        <v>0.90713500000000002</v>
      </c>
      <c r="P210" s="22">
        <v>165.46600000000001</v>
      </c>
      <c r="Q210" s="22">
        <v>-2.39288E-2</v>
      </c>
      <c r="R210" s="22">
        <v>200</v>
      </c>
      <c r="S210" s="22">
        <v>0.90576199999999996</v>
      </c>
      <c r="T210">
        <f t="shared" si="38"/>
        <v>23.928799999999999</v>
      </c>
      <c r="U210">
        <f t="shared" si="39"/>
        <v>21.706651988000001</v>
      </c>
      <c r="X210" s="9"/>
      <c r="Y210" s="22">
        <v>0.79284699999999997</v>
      </c>
      <c r="Z210" s="22">
        <v>289.428</v>
      </c>
      <c r="AA210" s="22">
        <v>-2.3754899999999999E-2</v>
      </c>
      <c r="AB210" s="22">
        <v>200</v>
      </c>
      <c r="AC210" s="22">
        <v>0.79193100000000005</v>
      </c>
      <c r="AD210">
        <f t="shared" si="40"/>
        <v>23.754899999999999</v>
      </c>
      <c r="AE210">
        <f t="shared" si="41"/>
        <v>18.834001200299998</v>
      </c>
      <c r="AF210" s="9"/>
      <c r="AG210" s="22">
        <v>0.90713500000000002</v>
      </c>
      <c r="AH210" s="22">
        <v>395.30700000000002</v>
      </c>
      <c r="AI210" s="22">
        <v>-2.3660299999999999E-2</v>
      </c>
      <c r="AJ210" s="22">
        <v>200</v>
      </c>
      <c r="AK210" s="22">
        <v>0.90606699999999996</v>
      </c>
      <c r="AL210">
        <f t="shared" si="42"/>
        <v>23.660299999999999</v>
      </c>
      <c r="AM210">
        <f t="shared" si="43"/>
        <v>21.463086240500001</v>
      </c>
      <c r="AP210" s="9"/>
      <c r="AQ210" s="22">
        <v>0.79284699999999997</v>
      </c>
      <c r="AR210" s="22">
        <v>483.697</v>
      </c>
      <c r="AS210" s="22">
        <v>-2.36267E-2</v>
      </c>
      <c r="AT210" s="22">
        <v>200</v>
      </c>
      <c r="AU210" s="22">
        <v>0.79162600000000005</v>
      </c>
      <c r="AV210">
        <f t="shared" si="44"/>
        <v>23.6267</v>
      </c>
      <c r="AW210">
        <f t="shared" si="45"/>
        <v>18.7323582149</v>
      </c>
      <c r="AX210" s="9"/>
      <c r="AY210" s="22">
        <v>0.90713500000000002</v>
      </c>
      <c r="AZ210" s="22">
        <v>594.57600000000002</v>
      </c>
      <c r="BA210" s="22">
        <v>-2.36267E-2</v>
      </c>
      <c r="BB210" s="22">
        <v>200</v>
      </c>
      <c r="BC210" s="22">
        <v>0.90637199999999996</v>
      </c>
      <c r="BD210">
        <f t="shared" si="46"/>
        <v>23.6267</v>
      </c>
      <c r="BE210">
        <f t="shared" si="47"/>
        <v>21.432606504500001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76.249200000000002</v>
      </c>
      <c r="I211" s="22">
        <v>-2.44446E-2</v>
      </c>
      <c r="J211" s="22">
        <v>201</v>
      </c>
      <c r="K211" s="22">
        <v>0.78674299999999997</v>
      </c>
      <c r="L211">
        <f t="shared" si="36"/>
        <v>24.444600000000001</v>
      </c>
      <c r="M211">
        <f t="shared" si="37"/>
        <v>19.257724770600003</v>
      </c>
      <c r="N211" s="9"/>
      <c r="O211" s="22">
        <v>0.91217000000000004</v>
      </c>
      <c r="P211" s="22">
        <v>165.56700000000001</v>
      </c>
      <c r="Q211" s="22">
        <v>-2.3925800000000001E-2</v>
      </c>
      <c r="R211" s="22">
        <v>201</v>
      </c>
      <c r="S211" s="22">
        <v>0.91186500000000004</v>
      </c>
      <c r="T211">
        <f t="shared" si="38"/>
        <v>23.925799999999999</v>
      </c>
      <c r="U211">
        <f t="shared" si="39"/>
        <v>21.824396986</v>
      </c>
      <c r="X211" s="9"/>
      <c r="Y211" s="22">
        <v>0.78781100000000004</v>
      </c>
      <c r="Z211" s="22">
        <v>289.529</v>
      </c>
      <c r="AA211" s="22">
        <v>-2.3761000000000001E-2</v>
      </c>
      <c r="AB211" s="22">
        <v>201</v>
      </c>
      <c r="AC211" s="22">
        <v>0.78643799999999997</v>
      </c>
      <c r="AD211">
        <f t="shared" si="40"/>
        <v>23.760999999999999</v>
      </c>
      <c r="AE211">
        <f t="shared" si="41"/>
        <v>18.719177171000002</v>
      </c>
      <c r="AF211" s="9"/>
      <c r="AG211" s="22">
        <v>0.91217000000000004</v>
      </c>
      <c r="AH211" s="22">
        <v>395.40800000000002</v>
      </c>
      <c r="AI211" s="22">
        <v>-2.3660299999999999E-2</v>
      </c>
      <c r="AJ211" s="22">
        <v>201</v>
      </c>
      <c r="AK211" s="22">
        <v>0.91156000000000004</v>
      </c>
      <c r="AL211">
        <f t="shared" si="42"/>
        <v>23.660299999999999</v>
      </c>
      <c r="AM211">
        <f t="shared" si="43"/>
        <v>21.582215851000001</v>
      </c>
      <c r="AP211" s="9"/>
      <c r="AQ211" s="22">
        <v>0.78781100000000004</v>
      </c>
      <c r="AR211" s="22">
        <v>483.798</v>
      </c>
      <c r="AS211" s="22">
        <v>-2.3642E-2</v>
      </c>
      <c r="AT211" s="22">
        <v>201</v>
      </c>
      <c r="AU211" s="22">
        <v>0.787354</v>
      </c>
      <c r="AV211">
        <f t="shared" si="44"/>
        <v>23.641999999999999</v>
      </c>
      <c r="AW211">
        <f t="shared" si="45"/>
        <v>18.625427662</v>
      </c>
      <c r="AX211" s="9"/>
      <c r="AY211" s="22">
        <v>0.91217000000000004</v>
      </c>
      <c r="AZ211" s="22">
        <v>594.67700000000002</v>
      </c>
      <c r="BA211" s="22">
        <v>-2.3620599999999999E-2</v>
      </c>
      <c r="BB211" s="22">
        <v>201</v>
      </c>
      <c r="BC211" s="22">
        <v>0.91156000000000004</v>
      </c>
      <c r="BD211">
        <f t="shared" si="46"/>
        <v>23.6206</v>
      </c>
      <c r="BE211">
        <f t="shared" si="47"/>
        <v>21.546002701999999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76.349900000000005</v>
      </c>
      <c r="I212" s="22">
        <v>-2.4453699999999998E-2</v>
      </c>
      <c r="J212" s="22">
        <v>202</v>
      </c>
      <c r="K212" s="22">
        <v>0.78247100000000003</v>
      </c>
      <c r="L212">
        <f t="shared" si="36"/>
        <v>24.453699999999998</v>
      </c>
      <c r="M212">
        <f t="shared" si="37"/>
        <v>19.1417694712</v>
      </c>
      <c r="N212" s="9"/>
      <c r="O212" s="22">
        <v>0.91720599999999997</v>
      </c>
      <c r="P212" s="22">
        <v>165.667</v>
      </c>
      <c r="Q212" s="22">
        <v>-2.39166E-2</v>
      </c>
      <c r="R212" s="22">
        <v>202</v>
      </c>
      <c r="S212" s="22">
        <v>0.91583300000000001</v>
      </c>
      <c r="T212">
        <f t="shared" si="38"/>
        <v>23.916599999999999</v>
      </c>
      <c r="U212">
        <f t="shared" si="39"/>
        <v>21.936449019599998</v>
      </c>
      <c r="X212" s="9"/>
      <c r="Y212" s="22">
        <v>0.78277600000000003</v>
      </c>
      <c r="Z212" s="22">
        <v>289.63</v>
      </c>
      <c r="AA212" s="22">
        <v>-2.3773200000000001E-2</v>
      </c>
      <c r="AB212" s="22">
        <v>202</v>
      </c>
      <c r="AC212" s="22">
        <v>0.78216600000000003</v>
      </c>
      <c r="AD212">
        <f t="shared" si="40"/>
        <v>23.773200000000003</v>
      </c>
      <c r="AE212">
        <f t="shared" si="41"/>
        <v>18.609090403200003</v>
      </c>
      <c r="AF212" s="9"/>
      <c r="AG212" s="22">
        <v>0.91720599999999997</v>
      </c>
      <c r="AH212" s="22">
        <v>395.50799999999998</v>
      </c>
      <c r="AI212" s="22">
        <v>-2.36542E-2</v>
      </c>
      <c r="AJ212" s="22">
        <v>202</v>
      </c>
      <c r="AK212" s="22">
        <v>0.91674800000000001</v>
      </c>
      <c r="AL212">
        <f t="shared" si="42"/>
        <v>23.654199999999999</v>
      </c>
      <c r="AM212">
        <f t="shared" si="43"/>
        <v>21.6957741652</v>
      </c>
      <c r="AP212" s="9"/>
      <c r="AQ212" s="22">
        <v>0.78277600000000003</v>
      </c>
      <c r="AR212" s="22">
        <v>483.899</v>
      </c>
      <c r="AS212" s="22">
        <v>-2.3642E-2</v>
      </c>
      <c r="AT212" s="22">
        <v>202</v>
      </c>
      <c r="AU212" s="22">
        <v>0.781555</v>
      </c>
      <c r="AV212">
        <f t="shared" si="44"/>
        <v>23.641999999999999</v>
      </c>
      <c r="AW212">
        <f t="shared" si="45"/>
        <v>18.506390192000001</v>
      </c>
      <c r="AX212" s="9"/>
      <c r="AY212" s="22">
        <v>0.91720599999999997</v>
      </c>
      <c r="AZ212" s="22">
        <v>594.77800000000002</v>
      </c>
      <c r="BA212" s="22">
        <v>-2.3611500000000001E-2</v>
      </c>
      <c r="BB212" s="22">
        <v>202</v>
      </c>
      <c r="BC212" s="22">
        <v>0.91613800000000001</v>
      </c>
      <c r="BD212">
        <f t="shared" si="46"/>
        <v>23.611499999999999</v>
      </c>
      <c r="BE212">
        <f t="shared" si="47"/>
        <v>21.656609468999999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76.450599999999994</v>
      </c>
      <c r="I213" s="22">
        <v>-2.44598E-2</v>
      </c>
      <c r="J213" s="22">
        <v>203</v>
      </c>
      <c r="K213" s="22">
        <v>0.77789299999999995</v>
      </c>
      <c r="L213">
        <f t="shared" si="36"/>
        <v>24.459800000000001</v>
      </c>
      <c r="M213">
        <f t="shared" si="37"/>
        <v>19.023364852</v>
      </c>
      <c r="N213" s="9"/>
      <c r="O213" s="22">
        <v>0.92224099999999998</v>
      </c>
      <c r="P213" s="22">
        <v>165.768</v>
      </c>
      <c r="Q213" s="22">
        <v>-2.3919699999999999E-2</v>
      </c>
      <c r="R213" s="22">
        <v>203</v>
      </c>
      <c r="S213" s="22">
        <v>0.92193599999999998</v>
      </c>
      <c r="T213">
        <f t="shared" si="38"/>
        <v>23.919699999999999</v>
      </c>
      <c r="U213">
        <f t="shared" si="39"/>
        <v>22.059728047699998</v>
      </c>
      <c r="X213" s="9"/>
      <c r="Y213" s="22">
        <v>0.77773999999999999</v>
      </c>
      <c r="Z213" s="22">
        <v>289.73</v>
      </c>
      <c r="AA213" s="22">
        <v>-2.3773200000000001E-2</v>
      </c>
      <c r="AB213" s="22">
        <v>203</v>
      </c>
      <c r="AC213" s="22">
        <v>0.77697799999999995</v>
      </c>
      <c r="AD213">
        <f t="shared" si="40"/>
        <v>23.773200000000003</v>
      </c>
      <c r="AE213">
        <f t="shared" si="41"/>
        <v>18.489368568000003</v>
      </c>
      <c r="AF213" s="9"/>
      <c r="AG213" s="22">
        <v>0.92224099999999998</v>
      </c>
      <c r="AH213" s="22">
        <v>395.60899999999998</v>
      </c>
      <c r="AI213" s="22">
        <v>-2.3632799999999999E-2</v>
      </c>
      <c r="AJ213" s="22">
        <v>203</v>
      </c>
      <c r="AK213" s="22">
        <v>0.92132599999999998</v>
      </c>
      <c r="AL213">
        <f t="shared" si="42"/>
        <v>23.6328</v>
      </c>
      <c r="AM213">
        <f t="shared" si="43"/>
        <v>21.795137104799998</v>
      </c>
      <c r="AP213" s="9"/>
      <c r="AQ213" s="22">
        <v>0.77773999999999999</v>
      </c>
      <c r="AR213" s="22">
        <v>484</v>
      </c>
      <c r="AS213" s="22">
        <v>-2.3648099999999998E-2</v>
      </c>
      <c r="AT213" s="22">
        <v>203</v>
      </c>
      <c r="AU213" s="22">
        <v>0.77667200000000003</v>
      </c>
      <c r="AV213">
        <f t="shared" si="44"/>
        <v>23.648099999999999</v>
      </c>
      <c r="AW213">
        <f t="shared" si="45"/>
        <v>18.392073293999999</v>
      </c>
      <c r="AX213" s="9"/>
      <c r="AY213" s="22">
        <v>0.92224099999999998</v>
      </c>
      <c r="AZ213" s="22">
        <v>594.87800000000004</v>
      </c>
      <c r="BA213" s="22">
        <v>-2.3605299999999999E-2</v>
      </c>
      <c r="BB213" s="22">
        <v>203</v>
      </c>
      <c r="BC213" s="22">
        <v>0.92163099999999998</v>
      </c>
      <c r="BD213">
        <f t="shared" si="46"/>
        <v>23.6053</v>
      </c>
      <c r="BE213">
        <f t="shared" si="47"/>
        <v>21.769775477299998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76.551299999999998</v>
      </c>
      <c r="I214" s="22">
        <v>-2.4462899999999999E-2</v>
      </c>
      <c r="J214" s="22">
        <v>204</v>
      </c>
      <c r="K214" s="22">
        <v>0.77209499999999998</v>
      </c>
      <c r="L214">
        <f t="shared" si="36"/>
        <v>24.462899999999998</v>
      </c>
      <c r="M214">
        <f t="shared" si="37"/>
        <v>18.902605144499997</v>
      </c>
      <c r="N214" s="9"/>
      <c r="O214" s="22">
        <v>0.92727700000000002</v>
      </c>
      <c r="P214" s="22">
        <v>165.869</v>
      </c>
      <c r="Q214" s="22">
        <v>-2.3910500000000001E-2</v>
      </c>
      <c r="R214" s="22">
        <v>204</v>
      </c>
      <c r="S214" s="22">
        <v>0.92651399999999995</v>
      </c>
      <c r="T214">
        <f t="shared" si="38"/>
        <v>23.910500000000003</v>
      </c>
      <c r="U214">
        <f t="shared" si="39"/>
        <v>22.171656708500002</v>
      </c>
      <c r="X214" s="9"/>
      <c r="Y214" s="22">
        <v>0.77270499999999998</v>
      </c>
      <c r="Z214" s="22">
        <v>289.83100000000002</v>
      </c>
      <c r="AA214" s="22">
        <v>-2.3776200000000001E-2</v>
      </c>
      <c r="AB214" s="22">
        <v>204</v>
      </c>
      <c r="AC214" s="22">
        <v>0.77178999999999998</v>
      </c>
      <c r="AD214">
        <f t="shared" si="40"/>
        <v>23.776199999999999</v>
      </c>
      <c r="AE214">
        <f t="shared" si="41"/>
        <v>18.371988621</v>
      </c>
      <c r="AF214" s="9"/>
      <c r="AG214" s="22">
        <v>0.92727700000000002</v>
      </c>
      <c r="AH214" s="22">
        <v>395.71</v>
      </c>
      <c r="AI214" s="22">
        <v>-2.3635900000000001E-2</v>
      </c>
      <c r="AJ214" s="22">
        <v>204</v>
      </c>
      <c r="AK214" s="22">
        <v>0.92620800000000003</v>
      </c>
      <c r="AL214">
        <f t="shared" si="42"/>
        <v>23.635900000000003</v>
      </c>
      <c r="AM214">
        <f t="shared" si="43"/>
        <v>21.917026444300003</v>
      </c>
      <c r="AP214" s="9"/>
      <c r="AQ214" s="22">
        <v>0.77270499999999998</v>
      </c>
      <c r="AR214" s="22">
        <v>484.1</v>
      </c>
      <c r="AS214" s="22">
        <v>-2.3651100000000001E-2</v>
      </c>
      <c r="AT214" s="22">
        <v>204</v>
      </c>
      <c r="AU214" s="22">
        <v>0.77239999999999998</v>
      </c>
      <c r="AV214">
        <f t="shared" si="44"/>
        <v>23.6511</v>
      </c>
      <c r="AW214">
        <f t="shared" si="45"/>
        <v>18.275323225499999</v>
      </c>
      <c r="AX214" s="9"/>
      <c r="AY214" s="22">
        <v>0.92727700000000002</v>
      </c>
      <c r="AZ214" s="22">
        <v>594.97900000000004</v>
      </c>
      <c r="BA214" s="22">
        <v>-2.36023E-2</v>
      </c>
      <c r="BB214" s="22">
        <v>204</v>
      </c>
      <c r="BC214" s="22">
        <v>0.92681899999999995</v>
      </c>
      <c r="BD214">
        <f t="shared" si="46"/>
        <v>23.6023</v>
      </c>
      <c r="BE214">
        <f t="shared" si="47"/>
        <v>21.885869937100001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76.652000000000001</v>
      </c>
      <c r="I215" s="22">
        <v>-2.4469000000000001E-2</v>
      </c>
      <c r="J215" s="22">
        <v>205</v>
      </c>
      <c r="K215" s="22">
        <v>0.76721200000000001</v>
      </c>
      <c r="L215">
        <f t="shared" si="36"/>
        <v>24.469000000000001</v>
      </c>
      <c r="M215">
        <f t="shared" si="37"/>
        <v>18.78411723</v>
      </c>
      <c r="N215" s="9"/>
      <c r="O215" s="22">
        <v>0.93231200000000003</v>
      </c>
      <c r="P215" s="22">
        <v>165.97</v>
      </c>
      <c r="Q215" s="22">
        <v>-2.3898300000000001E-2</v>
      </c>
      <c r="R215" s="22">
        <v>205</v>
      </c>
      <c r="S215" s="22">
        <v>0.931396</v>
      </c>
      <c r="T215">
        <f t="shared" si="38"/>
        <v>23.898300000000003</v>
      </c>
      <c r="U215">
        <f t="shared" si="39"/>
        <v>22.280671869600003</v>
      </c>
      <c r="X215" s="9"/>
      <c r="Y215" s="22">
        <v>0.76766999999999996</v>
      </c>
      <c r="Z215" s="22">
        <v>289.93200000000002</v>
      </c>
      <c r="AA215" s="22">
        <v>-2.3785400000000002E-2</v>
      </c>
      <c r="AB215" s="22">
        <v>205</v>
      </c>
      <c r="AC215" s="22">
        <v>0.76721200000000001</v>
      </c>
      <c r="AD215">
        <f t="shared" si="40"/>
        <v>23.785400000000003</v>
      </c>
      <c r="AE215">
        <f t="shared" si="41"/>
        <v>18.259338018000001</v>
      </c>
      <c r="AF215" s="9"/>
      <c r="AG215" s="22">
        <v>0.93231200000000003</v>
      </c>
      <c r="AH215" s="22">
        <v>395.81</v>
      </c>
      <c r="AI215" s="22">
        <v>-2.3629799999999999E-2</v>
      </c>
      <c r="AJ215" s="22">
        <v>205</v>
      </c>
      <c r="AK215" s="22">
        <v>0.931396</v>
      </c>
      <c r="AL215">
        <f t="shared" si="42"/>
        <v>23.629799999999999</v>
      </c>
      <c r="AM215">
        <f t="shared" si="43"/>
        <v>22.030346097599999</v>
      </c>
      <c r="AP215" s="9"/>
      <c r="AQ215" s="22">
        <v>0.76766999999999996</v>
      </c>
      <c r="AR215" s="22">
        <v>484.20100000000002</v>
      </c>
      <c r="AS215" s="22">
        <v>-2.3666400000000001E-2</v>
      </c>
      <c r="AT215" s="22">
        <v>205</v>
      </c>
      <c r="AU215" s="22">
        <v>0.76690700000000001</v>
      </c>
      <c r="AV215">
        <f t="shared" si="44"/>
        <v>23.666399999999999</v>
      </c>
      <c r="AW215">
        <f t="shared" si="45"/>
        <v>18.167985287999997</v>
      </c>
      <c r="AX215" s="9"/>
      <c r="AY215" s="22">
        <v>0.93231200000000003</v>
      </c>
      <c r="AZ215" s="22">
        <v>595.08000000000004</v>
      </c>
      <c r="BA215" s="22">
        <v>-2.3599200000000001E-2</v>
      </c>
      <c r="BB215" s="22">
        <v>205</v>
      </c>
      <c r="BC215" s="22">
        <v>0.931396</v>
      </c>
      <c r="BD215">
        <f t="shared" si="46"/>
        <v>23.5992</v>
      </c>
      <c r="BE215">
        <f t="shared" si="47"/>
        <v>22.0018173504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76.752700000000004</v>
      </c>
      <c r="I216" s="22">
        <v>-2.4465899999999999E-2</v>
      </c>
      <c r="J216" s="22">
        <v>206</v>
      </c>
      <c r="K216" s="22">
        <v>0.76202400000000003</v>
      </c>
      <c r="L216">
        <f t="shared" si="36"/>
        <v>24.465899999999998</v>
      </c>
      <c r="M216">
        <f t="shared" si="37"/>
        <v>18.6585271806</v>
      </c>
      <c r="N216" s="9"/>
      <c r="O216" s="22">
        <v>0.93734700000000004</v>
      </c>
      <c r="P216" s="22">
        <v>166.07</v>
      </c>
      <c r="Q216" s="22">
        <v>-2.3892199999999999E-2</v>
      </c>
      <c r="R216" s="22">
        <v>206</v>
      </c>
      <c r="S216" s="22">
        <v>0.93689</v>
      </c>
      <c r="T216">
        <f t="shared" si="38"/>
        <v>23.892199999999999</v>
      </c>
      <c r="U216">
        <f t="shared" si="39"/>
        <v>22.395281993400001</v>
      </c>
      <c r="X216" s="9"/>
      <c r="Y216" s="22">
        <v>0.76263400000000003</v>
      </c>
      <c r="Z216" s="22">
        <v>290.03199999999998</v>
      </c>
      <c r="AA216" s="22">
        <v>-2.37915E-2</v>
      </c>
      <c r="AB216" s="22">
        <v>206</v>
      </c>
      <c r="AC216" s="22">
        <v>0.76263400000000003</v>
      </c>
      <c r="AD216">
        <f t="shared" si="40"/>
        <v>23.791499999999999</v>
      </c>
      <c r="AE216">
        <f t="shared" si="41"/>
        <v>18.144206811</v>
      </c>
      <c r="AF216" s="9"/>
      <c r="AG216" s="22">
        <v>0.93734700000000004</v>
      </c>
      <c r="AH216" s="22">
        <v>395.911</v>
      </c>
      <c r="AI216" s="22">
        <v>-2.3629799999999999E-2</v>
      </c>
      <c r="AJ216" s="22">
        <v>206</v>
      </c>
      <c r="AK216" s="22">
        <v>0.93658399999999997</v>
      </c>
      <c r="AL216">
        <f t="shared" si="42"/>
        <v>23.629799999999999</v>
      </c>
      <c r="AM216">
        <f t="shared" si="43"/>
        <v>22.149322140599999</v>
      </c>
      <c r="AP216" s="9"/>
      <c r="AQ216" s="22">
        <v>0.76263400000000003</v>
      </c>
      <c r="AR216" s="22">
        <v>484.30200000000002</v>
      </c>
      <c r="AS216" s="22">
        <v>-2.36694E-2</v>
      </c>
      <c r="AT216" s="22">
        <v>206</v>
      </c>
      <c r="AU216" s="22">
        <v>0.76202400000000003</v>
      </c>
      <c r="AV216">
        <f t="shared" si="44"/>
        <v>23.6694</v>
      </c>
      <c r="AW216">
        <f t="shared" si="45"/>
        <v>18.0510891996</v>
      </c>
      <c r="AX216" s="9"/>
      <c r="AY216" s="22">
        <v>0.93734700000000004</v>
      </c>
      <c r="AZ216" s="22">
        <v>595.18100000000004</v>
      </c>
      <c r="BA216" s="22">
        <v>-2.3587E-2</v>
      </c>
      <c r="BB216" s="22">
        <v>206</v>
      </c>
      <c r="BC216" s="22">
        <v>0.93689</v>
      </c>
      <c r="BD216">
        <f t="shared" si="46"/>
        <v>23.587</v>
      </c>
      <c r="BE216">
        <f t="shared" si="47"/>
        <v>22.109203689000001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76.853499999999997</v>
      </c>
      <c r="I217" s="22">
        <v>-2.4478099999999999E-2</v>
      </c>
      <c r="J217" s="22">
        <v>207</v>
      </c>
      <c r="K217" s="22">
        <v>0.75683599999999995</v>
      </c>
      <c r="L217">
        <f t="shared" si="36"/>
        <v>24.478099999999998</v>
      </c>
      <c r="M217">
        <f t="shared" si="37"/>
        <v>18.544584081899998</v>
      </c>
      <c r="N217" s="9"/>
      <c r="O217" s="22">
        <v>0.94238299999999997</v>
      </c>
      <c r="P217" s="22">
        <v>166.17099999999999</v>
      </c>
      <c r="Q217" s="22">
        <v>-2.3889199999999999E-2</v>
      </c>
      <c r="R217" s="22">
        <v>207</v>
      </c>
      <c r="S217" s="22">
        <v>0.94085700000000005</v>
      </c>
      <c r="T217">
        <f t="shared" si="38"/>
        <v>23.889199999999999</v>
      </c>
      <c r="U217">
        <f t="shared" si="39"/>
        <v>22.512775963599999</v>
      </c>
      <c r="X217" s="9"/>
      <c r="Y217" s="22">
        <v>0.75759900000000002</v>
      </c>
      <c r="Z217" s="22">
        <v>290.13299999999998</v>
      </c>
      <c r="AA217" s="22">
        <v>-2.3800700000000001E-2</v>
      </c>
      <c r="AB217" s="22">
        <v>207</v>
      </c>
      <c r="AC217" s="22">
        <v>0.75714099999999995</v>
      </c>
      <c r="AD217">
        <f t="shared" si="40"/>
        <v>23.800700000000003</v>
      </c>
      <c r="AE217">
        <f t="shared" si="41"/>
        <v>18.031386519300003</v>
      </c>
      <c r="AF217" s="9"/>
      <c r="AG217" s="22">
        <v>0.94238299999999997</v>
      </c>
      <c r="AH217" s="22">
        <v>396.012</v>
      </c>
      <c r="AI217" s="22">
        <v>-2.3620599999999999E-2</v>
      </c>
      <c r="AJ217" s="22">
        <v>207</v>
      </c>
      <c r="AK217" s="22">
        <v>0.94207799999999997</v>
      </c>
      <c r="AL217">
        <f t="shared" si="42"/>
        <v>23.6206</v>
      </c>
      <c r="AM217">
        <f t="shared" si="43"/>
        <v>22.259651889800001</v>
      </c>
      <c r="AP217" s="9"/>
      <c r="AQ217" s="22">
        <v>0.75759900000000002</v>
      </c>
      <c r="AR217" s="22">
        <v>484.40199999999999</v>
      </c>
      <c r="AS217" s="22">
        <v>-2.3672499999999999E-2</v>
      </c>
      <c r="AT217" s="22">
        <v>207</v>
      </c>
      <c r="AU217" s="22">
        <v>0.75744599999999995</v>
      </c>
      <c r="AV217">
        <f t="shared" si="44"/>
        <v>23.672499999999999</v>
      </c>
      <c r="AW217">
        <f t="shared" si="45"/>
        <v>17.934262327500001</v>
      </c>
      <c r="AX217" s="9"/>
      <c r="AY217" s="22">
        <v>0.94238299999999997</v>
      </c>
      <c r="AZ217" s="22">
        <v>595.28099999999995</v>
      </c>
      <c r="BA217" s="22">
        <v>-2.3587E-2</v>
      </c>
      <c r="BB217" s="22">
        <v>207</v>
      </c>
      <c r="BC217" s="22">
        <v>0.94177200000000005</v>
      </c>
      <c r="BD217">
        <f t="shared" si="46"/>
        <v>23.587</v>
      </c>
      <c r="BE217">
        <f t="shared" si="47"/>
        <v>22.227987820999999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76.9542</v>
      </c>
      <c r="I218" s="22">
        <v>-2.4484300000000001E-2</v>
      </c>
      <c r="J218" s="22">
        <v>208</v>
      </c>
      <c r="K218" s="22">
        <v>0.75195299999999998</v>
      </c>
      <c r="L218">
        <f t="shared" si="36"/>
        <v>24.484300000000001</v>
      </c>
      <c r="M218">
        <f t="shared" si="37"/>
        <v>18.425978260899999</v>
      </c>
      <c r="N218" s="9"/>
      <c r="O218" s="22">
        <v>0.94741799999999998</v>
      </c>
      <c r="P218" s="22">
        <v>166.27199999999999</v>
      </c>
      <c r="Q218" s="22">
        <v>-2.3879999999999998E-2</v>
      </c>
      <c r="R218" s="22">
        <v>208</v>
      </c>
      <c r="S218" s="22">
        <v>0.94726600000000005</v>
      </c>
      <c r="T218">
        <f t="shared" si="38"/>
        <v>23.88</v>
      </c>
      <c r="U218">
        <f t="shared" si="39"/>
        <v>22.62434184</v>
      </c>
      <c r="X218" s="9"/>
      <c r="Y218" s="22">
        <v>0.75256299999999998</v>
      </c>
      <c r="Z218" s="22">
        <v>290.23399999999998</v>
      </c>
      <c r="AA218" s="22">
        <v>-2.3806799999999999E-2</v>
      </c>
      <c r="AB218" s="22">
        <v>208</v>
      </c>
      <c r="AC218" s="22">
        <v>0.75256299999999998</v>
      </c>
      <c r="AD218">
        <f t="shared" si="40"/>
        <v>23.806799999999999</v>
      </c>
      <c r="AE218">
        <f t="shared" si="41"/>
        <v>17.9161168284</v>
      </c>
      <c r="AF218" s="9"/>
      <c r="AG218" s="22">
        <v>0.94741799999999998</v>
      </c>
      <c r="AH218" s="22">
        <v>396.113</v>
      </c>
      <c r="AI218" s="22">
        <v>-2.3623700000000001E-2</v>
      </c>
      <c r="AJ218" s="22">
        <v>208</v>
      </c>
      <c r="AK218" s="22">
        <v>0.94665500000000002</v>
      </c>
      <c r="AL218">
        <f t="shared" si="42"/>
        <v>23.623699999999999</v>
      </c>
      <c r="AM218">
        <f t="shared" si="43"/>
        <v>22.3815186066</v>
      </c>
      <c r="AP218" s="9"/>
      <c r="AQ218" s="22">
        <v>0.75256299999999998</v>
      </c>
      <c r="AR218" s="22">
        <v>484.50299999999999</v>
      </c>
      <c r="AS218" s="22">
        <v>-2.3681600000000001E-2</v>
      </c>
      <c r="AT218" s="22">
        <v>208</v>
      </c>
      <c r="AU218" s="22">
        <v>0.75195299999999998</v>
      </c>
      <c r="AV218">
        <f t="shared" si="44"/>
        <v>23.6816</v>
      </c>
      <c r="AW218">
        <f t="shared" si="45"/>
        <v>17.821895940799998</v>
      </c>
      <c r="AX218" s="9"/>
      <c r="AY218" s="22">
        <v>0.94741799999999998</v>
      </c>
      <c r="AZ218" s="22">
        <v>595.38199999999995</v>
      </c>
      <c r="BA218" s="22">
        <v>-2.35718E-2</v>
      </c>
      <c r="BB218" s="22">
        <v>208</v>
      </c>
      <c r="BC218" s="22">
        <v>0.94635000000000002</v>
      </c>
      <c r="BD218">
        <f t="shared" si="46"/>
        <v>23.5718</v>
      </c>
      <c r="BE218">
        <f t="shared" si="47"/>
        <v>22.3323476124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77.054900000000004</v>
      </c>
      <c r="I219" s="22">
        <v>-2.4490399999999999E-2</v>
      </c>
      <c r="J219" s="22">
        <v>209</v>
      </c>
      <c r="K219" s="22">
        <v>0.74697899999999995</v>
      </c>
      <c r="L219">
        <f t="shared" si="36"/>
        <v>24.490399999999998</v>
      </c>
      <c r="M219">
        <f t="shared" si="37"/>
        <v>18.307259731199998</v>
      </c>
      <c r="N219" s="9"/>
      <c r="O219" s="22">
        <v>0.95245400000000002</v>
      </c>
      <c r="P219" s="22">
        <v>166.37200000000001</v>
      </c>
      <c r="Q219" s="22">
        <v>-2.3867800000000002E-2</v>
      </c>
      <c r="R219" s="22">
        <v>209</v>
      </c>
      <c r="S219" s="22">
        <v>0.95153799999999999</v>
      </c>
      <c r="T219">
        <f t="shared" si="38"/>
        <v>23.867800000000003</v>
      </c>
      <c r="U219">
        <f t="shared" si="39"/>
        <v>22.732981581200004</v>
      </c>
      <c r="X219" s="9"/>
      <c r="Y219" s="22">
        <v>0.74752799999999997</v>
      </c>
      <c r="Z219" s="22">
        <v>290.334</v>
      </c>
      <c r="AA219" s="22">
        <v>-2.3812900000000001E-2</v>
      </c>
      <c r="AB219" s="22">
        <v>209</v>
      </c>
      <c r="AC219" s="22">
        <v>0.74646000000000001</v>
      </c>
      <c r="AD219">
        <f t="shared" si="40"/>
        <v>23.812900000000003</v>
      </c>
      <c r="AE219">
        <f t="shared" si="41"/>
        <v>17.800809511200001</v>
      </c>
      <c r="AF219" s="9"/>
      <c r="AG219" s="22">
        <v>0.95245400000000002</v>
      </c>
      <c r="AH219" s="22">
        <v>396.21300000000002</v>
      </c>
      <c r="AI219" s="22">
        <v>-2.36145E-2</v>
      </c>
      <c r="AJ219" s="22">
        <v>209</v>
      </c>
      <c r="AK219" s="22">
        <v>0.95153799999999999</v>
      </c>
      <c r="AL219">
        <f t="shared" si="42"/>
        <v>23.6145</v>
      </c>
      <c r="AM219">
        <f t="shared" si="43"/>
        <v>22.491724983000001</v>
      </c>
      <c r="AP219" s="9"/>
      <c r="AQ219" s="22">
        <v>0.74752799999999997</v>
      </c>
      <c r="AR219" s="22">
        <v>484.60399999999998</v>
      </c>
      <c r="AS219" s="22">
        <v>-2.3681600000000001E-2</v>
      </c>
      <c r="AT219" s="22">
        <v>209</v>
      </c>
      <c r="AU219" s="22">
        <v>0.74694799999999995</v>
      </c>
      <c r="AV219">
        <f t="shared" si="44"/>
        <v>23.6816</v>
      </c>
      <c r="AW219">
        <f t="shared" si="45"/>
        <v>17.7026590848</v>
      </c>
      <c r="AX219" s="9"/>
      <c r="AY219" s="22">
        <v>0.95245400000000002</v>
      </c>
      <c r="AZ219" s="22">
        <v>595.48299999999995</v>
      </c>
      <c r="BA219" s="22">
        <v>-2.35596E-2</v>
      </c>
      <c r="BB219" s="22">
        <v>209</v>
      </c>
      <c r="BC219" s="22">
        <v>0.95153799999999999</v>
      </c>
      <c r="BD219">
        <f t="shared" si="46"/>
        <v>23.5596</v>
      </c>
      <c r="BE219">
        <f t="shared" si="47"/>
        <v>22.4394352584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77.155600000000007</v>
      </c>
      <c r="I220" s="22">
        <v>-2.4490399999999999E-2</v>
      </c>
      <c r="J220" s="22">
        <v>210</v>
      </c>
      <c r="K220" s="22">
        <v>0.742371</v>
      </c>
      <c r="L220">
        <f t="shared" si="36"/>
        <v>24.490399999999998</v>
      </c>
      <c r="M220">
        <f t="shared" si="37"/>
        <v>18.183950567199997</v>
      </c>
      <c r="N220" s="9"/>
      <c r="O220" s="22">
        <v>0.95748900000000003</v>
      </c>
      <c r="P220" s="22">
        <v>166.47300000000001</v>
      </c>
      <c r="Q220" s="22">
        <v>-2.3867800000000002E-2</v>
      </c>
      <c r="R220" s="22">
        <v>210</v>
      </c>
      <c r="S220" s="22">
        <v>0.95642099999999997</v>
      </c>
      <c r="T220">
        <f t="shared" si="38"/>
        <v>23.867800000000003</v>
      </c>
      <c r="U220">
        <f t="shared" si="39"/>
        <v>22.853155954200002</v>
      </c>
      <c r="X220" s="9"/>
      <c r="Y220" s="22">
        <v>0.74249299999999996</v>
      </c>
      <c r="Z220" s="22">
        <v>290.435</v>
      </c>
      <c r="AA220" s="22">
        <v>-2.3819E-2</v>
      </c>
      <c r="AB220" s="22">
        <v>210</v>
      </c>
      <c r="AC220" s="22">
        <v>0.742035</v>
      </c>
      <c r="AD220">
        <f t="shared" si="40"/>
        <v>23.818999999999999</v>
      </c>
      <c r="AE220">
        <f t="shared" si="41"/>
        <v>17.685440766999999</v>
      </c>
      <c r="AF220" s="9"/>
      <c r="AG220" s="22">
        <v>0.95748900000000003</v>
      </c>
      <c r="AH220" s="22">
        <v>396.31400000000002</v>
      </c>
      <c r="AI220" s="22">
        <v>-2.3605299999999999E-2</v>
      </c>
      <c r="AJ220" s="22">
        <v>210</v>
      </c>
      <c r="AK220" s="22">
        <v>0.95703099999999997</v>
      </c>
      <c r="AL220">
        <f t="shared" si="42"/>
        <v>23.6053</v>
      </c>
      <c r="AM220">
        <f t="shared" si="43"/>
        <v>22.601815091700001</v>
      </c>
      <c r="AP220" s="9"/>
      <c r="AQ220" s="22">
        <v>0.74249299999999996</v>
      </c>
      <c r="AR220" s="22">
        <v>484.70400000000001</v>
      </c>
      <c r="AS220" s="22">
        <v>-2.3690800000000001E-2</v>
      </c>
      <c r="AT220" s="22">
        <v>210</v>
      </c>
      <c r="AU220" s="22">
        <v>0.74197400000000002</v>
      </c>
      <c r="AV220">
        <f t="shared" si="44"/>
        <v>23.690800000000003</v>
      </c>
      <c r="AW220">
        <f t="shared" si="45"/>
        <v>17.5902531644</v>
      </c>
      <c r="AX220" s="9"/>
      <c r="AY220" s="22">
        <v>0.95748900000000003</v>
      </c>
      <c r="AZ220" s="22">
        <v>595.58299999999997</v>
      </c>
      <c r="BA220" s="22">
        <v>-2.35626E-2</v>
      </c>
      <c r="BB220" s="22">
        <v>210</v>
      </c>
      <c r="BC220" s="22">
        <v>0.95642099999999997</v>
      </c>
      <c r="BD220">
        <f t="shared" si="46"/>
        <v>23.5626</v>
      </c>
      <c r="BE220">
        <f t="shared" si="47"/>
        <v>22.5609303114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77.256299999999996</v>
      </c>
      <c r="I221" s="22">
        <v>-2.44995E-2</v>
      </c>
      <c r="J221" s="22">
        <v>211</v>
      </c>
      <c r="K221" s="22">
        <v>0.73660300000000001</v>
      </c>
      <c r="L221">
        <f t="shared" si="36"/>
        <v>24.499500000000001</v>
      </c>
      <c r="M221">
        <f t="shared" si="37"/>
        <v>18.0673277715</v>
      </c>
      <c r="N221" s="9"/>
      <c r="O221" s="22">
        <v>0.96252400000000005</v>
      </c>
      <c r="P221" s="22">
        <v>166.57400000000001</v>
      </c>
      <c r="Q221" s="22">
        <v>-2.3858600000000001E-2</v>
      </c>
      <c r="R221" s="22">
        <v>211</v>
      </c>
      <c r="S221" s="22">
        <v>0.96221900000000005</v>
      </c>
      <c r="T221">
        <f t="shared" si="38"/>
        <v>23.858599999999999</v>
      </c>
      <c r="U221">
        <f t="shared" si="39"/>
        <v>22.964475106400002</v>
      </c>
      <c r="X221" s="9"/>
      <c r="Y221" s="22">
        <v>0.73745700000000003</v>
      </c>
      <c r="Z221" s="22">
        <v>290.536</v>
      </c>
      <c r="AA221" s="22">
        <v>-2.3821999999999999E-2</v>
      </c>
      <c r="AB221" s="22">
        <v>211</v>
      </c>
      <c r="AC221" s="22">
        <v>0.736877</v>
      </c>
      <c r="AD221">
        <f t="shared" si="40"/>
        <v>23.821999999999999</v>
      </c>
      <c r="AE221">
        <f t="shared" si="41"/>
        <v>17.567700653999999</v>
      </c>
      <c r="AF221" s="9"/>
      <c r="AG221" s="22">
        <v>0.96252400000000005</v>
      </c>
      <c r="AH221" s="22">
        <v>396.41500000000002</v>
      </c>
      <c r="AI221" s="22">
        <v>-2.3596200000000001E-2</v>
      </c>
      <c r="AJ221" s="22">
        <v>211</v>
      </c>
      <c r="AK221" s="22">
        <v>0.96160900000000005</v>
      </c>
      <c r="AL221">
        <f t="shared" si="42"/>
        <v>23.5962</v>
      </c>
      <c r="AM221">
        <f t="shared" si="43"/>
        <v>22.711908808800001</v>
      </c>
      <c r="AP221" s="9"/>
      <c r="AQ221" s="22">
        <v>0.73745700000000003</v>
      </c>
      <c r="AR221" s="22">
        <v>484.80500000000001</v>
      </c>
      <c r="AS221" s="22">
        <v>-2.3702999999999998E-2</v>
      </c>
      <c r="AT221" s="22">
        <v>211</v>
      </c>
      <c r="AU221" s="22">
        <v>0.73684700000000003</v>
      </c>
      <c r="AV221">
        <f t="shared" si="44"/>
        <v>23.702999999999999</v>
      </c>
      <c r="AW221">
        <f t="shared" si="45"/>
        <v>17.479943271</v>
      </c>
      <c r="AX221" s="9"/>
      <c r="AY221" s="22">
        <v>0.96252400000000005</v>
      </c>
      <c r="AZ221" s="22">
        <v>595.68399999999997</v>
      </c>
      <c r="BA221" s="22">
        <v>-2.35596E-2</v>
      </c>
      <c r="BB221" s="22">
        <v>211</v>
      </c>
      <c r="BC221" s="22">
        <v>0.96099900000000005</v>
      </c>
      <c r="BD221">
        <f t="shared" si="46"/>
        <v>23.5596</v>
      </c>
      <c r="BE221">
        <f t="shared" si="47"/>
        <v>22.676680430400001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77.356999999999999</v>
      </c>
      <c r="I222" s="22">
        <v>-2.4493399999999999E-2</v>
      </c>
      <c r="J222" s="22">
        <v>212</v>
      </c>
      <c r="K222" s="22">
        <v>0.73208600000000001</v>
      </c>
      <c r="L222">
        <f t="shared" si="36"/>
        <v>24.493399999999998</v>
      </c>
      <c r="M222">
        <f t="shared" si="37"/>
        <v>17.939505014799998</v>
      </c>
      <c r="N222" s="9"/>
      <c r="O222" s="22">
        <v>0.96755999999999998</v>
      </c>
      <c r="P222" s="22">
        <v>166.67400000000001</v>
      </c>
      <c r="Q222" s="22">
        <v>-2.3855600000000001E-2</v>
      </c>
      <c r="R222" s="22">
        <v>212</v>
      </c>
      <c r="S222" s="22">
        <v>0.96710200000000002</v>
      </c>
      <c r="T222">
        <f t="shared" si="38"/>
        <v>23.855600000000003</v>
      </c>
      <c r="U222">
        <f t="shared" si="39"/>
        <v>23.081724336000001</v>
      </c>
      <c r="X222" s="9"/>
      <c r="Y222" s="22">
        <v>0.73242200000000002</v>
      </c>
      <c r="Z222" s="22">
        <v>290.637</v>
      </c>
      <c r="AA222" s="22">
        <v>-2.3821999999999999E-2</v>
      </c>
      <c r="AB222" s="22">
        <v>212</v>
      </c>
      <c r="AC222" s="22">
        <v>0.73147600000000002</v>
      </c>
      <c r="AD222">
        <f t="shared" si="40"/>
        <v>23.821999999999999</v>
      </c>
      <c r="AE222">
        <f t="shared" si="41"/>
        <v>17.447756884</v>
      </c>
      <c r="AF222" s="9"/>
      <c r="AG222" s="22">
        <v>0.96755999999999998</v>
      </c>
      <c r="AH222" s="22">
        <v>396.51499999999999</v>
      </c>
      <c r="AI222" s="22">
        <v>-2.3590099999999999E-2</v>
      </c>
      <c r="AJ222" s="22">
        <v>212</v>
      </c>
      <c r="AK222" s="22">
        <v>0.96740700000000002</v>
      </c>
      <c r="AL222">
        <f t="shared" si="42"/>
        <v>23.5901</v>
      </c>
      <c r="AM222">
        <f t="shared" si="43"/>
        <v>22.824837155999997</v>
      </c>
      <c r="AP222" s="9"/>
      <c r="AQ222" s="22">
        <v>0.73242200000000002</v>
      </c>
      <c r="AR222" s="22">
        <v>484.90600000000001</v>
      </c>
      <c r="AS222" s="22">
        <v>-2.37091E-2</v>
      </c>
      <c r="AT222" s="22">
        <v>212</v>
      </c>
      <c r="AU222" s="22">
        <v>0.731873</v>
      </c>
      <c r="AV222">
        <f t="shared" si="44"/>
        <v>23.709099999999999</v>
      </c>
      <c r="AW222">
        <f t="shared" si="45"/>
        <v>17.3650664402</v>
      </c>
      <c r="AX222" s="9"/>
      <c r="AY222" s="22">
        <v>0.96755999999999998</v>
      </c>
      <c r="AZ222" s="22">
        <v>595.78499999999997</v>
      </c>
      <c r="BA222" s="22">
        <v>-2.3556500000000001E-2</v>
      </c>
      <c r="BB222" s="22">
        <v>212</v>
      </c>
      <c r="BC222" s="22">
        <v>0.96679700000000002</v>
      </c>
      <c r="BD222">
        <f t="shared" si="46"/>
        <v>23.5565</v>
      </c>
      <c r="BE222">
        <f t="shared" si="47"/>
        <v>22.792327139999998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77.457700000000003</v>
      </c>
      <c r="I223" s="22">
        <v>-2.4505599999999999E-2</v>
      </c>
      <c r="J223" s="22">
        <v>213</v>
      </c>
      <c r="K223" s="22">
        <v>0.72647099999999998</v>
      </c>
      <c r="L223">
        <f t="shared" si="36"/>
        <v>24.505599999999998</v>
      </c>
      <c r="M223">
        <f t="shared" si="37"/>
        <v>17.825030361599996</v>
      </c>
      <c r="N223" s="9"/>
      <c r="O223" s="22">
        <v>0.97259499999999999</v>
      </c>
      <c r="P223" s="22">
        <v>166.77500000000001</v>
      </c>
      <c r="Q223" s="22">
        <v>-2.3840299999999998E-2</v>
      </c>
      <c r="R223" s="22">
        <v>213</v>
      </c>
      <c r="S223" s="22">
        <v>0.97228999999999999</v>
      </c>
      <c r="T223">
        <f t="shared" si="38"/>
        <v>23.840299999999999</v>
      </c>
      <c r="U223">
        <f t="shared" si="39"/>
        <v>23.186956578499998</v>
      </c>
      <c r="X223" s="9"/>
      <c r="Y223" s="22">
        <v>0.72738599999999998</v>
      </c>
      <c r="Z223" s="22">
        <v>290.73700000000002</v>
      </c>
      <c r="AA223" s="22">
        <v>-2.38342E-2</v>
      </c>
      <c r="AB223" s="22">
        <v>213</v>
      </c>
      <c r="AC223" s="22">
        <v>0.725159</v>
      </c>
      <c r="AD223">
        <f t="shared" si="40"/>
        <v>23.834199999999999</v>
      </c>
      <c r="AE223">
        <f t="shared" si="41"/>
        <v>17.336663401199999</v>
      </c>
      <c r="AF223" s="9"/>
      <c r="AG223" s="22">
        <v>0.97259499999999999</v>
      </c>
      <c r="AH223" s="22">
        <v>396.61599999999999</v>
      </c>
      <c r="AI223" s="22">
        <v>-2.3584000000000001E-2</v>
      </c>
      <c r="AJ223" s="22">
        <v>213</v>
      </c>
      <c r="AK223" s="22">
        <v>0.97198499999999999</v>
      </c>
      <c r="AL223">
        <f t="shared" si="42"/>
        <v>23.584</v>
      </c>
      <c r="AM223">
        <f t="shared" si="43"/>
        <v>22.937680480000001</v>
      </c>
      <c r="AP223" s="9"/>
      <c r="AQ223" s="22">
        <v>0.72738599999999998</v>
      </c>
      <c r="AR223" s="22">
        <v>485.00700000000001</v>
      </c>
      <c r="AS223" s="22">
        <v>-2.3721300000000001E-2</v>
      </c>
      <c r="AT223" s="22">
        <v>213</v>
      </c>
      <c r="AU223" s="22">
        <v>0.727051</v>
      </c>
      <c r="AV223">
        <f t="shared" si="44"/>
        <v>23.721299999999999</v>
      </c>
      <c r="AW223">
        <f t="shared" si="45"/>
        <v>17.2545415218</v>
      </c>
      <c r="AX223" s="9"/>
      <c r="AY223" s="22">
        <v>0.97259499999999999</v>
      </c>
      <c r="AZ223" s="22">
        <v>595.88499999999999</v>
      </c>
      <c r="BA223" s="22">
        <v>-2.3544300000000001E-2</v>
      </c>
      <c r="BB223" s="22">
        <v>213</v>
      </c>
      <c r="BC223" s="22">
        <v>0.97167999999999999</v>
      </c>
      <c r="BD223">
        <f t="shared" si="46"/>
        <v>23.5443</v>
      </c>
      <c r="BE223">
        <f t="shared" si="47"/>
        <v>22.8990684585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77.558400000000006</v>
      </c>
      <c r="I224" s="22">
        <v>-2.4511700000000001E-2</v>
      </c>
      <c r="J224" s="22">
        <v>214</v>
      </c>
      <c r="K224" s="22">
        <v>0.72189300000000001</v>
      </c>
      <c r="L224">
        <f t="shared" si="36"/>
        <v>24.511700000000001</v>
      </c>
      <c r="M224">
        <f t="shared" si="37"/>
        <v>17.706051006700001</v>
      </c>
      <c r="N224" s="9"/>
      <c r="O224" s="22">
        <v>0.97763100000000003</v>
      </c>
      <c r="P224" s="22">
        <v>166.876</v>
      </c>
      <c r="Q224" s="22">
        <v>-2.3837299999999999E-2</v>
      </c>
      <c r="R224" s="22">
        <v>214</v>
      </c>
      <c r="S224" s="22">
        <v>0.97747799999999996</v>
      </c>
      <c r="T224">
        <f t="shared" si="38"/>
        <v>23.837299999999999</v>
      </c>
      <c r="U224">
        <f t="shared" si="39"/>
        <v>23.304083436300001</v>
      </c>
      <c r="X224" s="9"/>
      <c r="Y224" s="22">
        <v>0.72235099999999997</v>
      </c>
      <c r="Z224" s="22">
        <v>290.83800000000002</v>
      </c>
      <c r="AA224" s="22">
        <v>-2.3852499999999999E-2</v>
      </c>
      <c r="AB224" s="22">
        <v>214</v>
      </c>
      <c r="AC224" s="22">
        <v>0.72158800000000001</v>
      </c>
      <c r="AD224">
        <f t="shared" si="40"/>
        <v>23.852499999999999</v>
      </c>
      <c r="AE224">
        <f t="shared" si="41"/>
        <v>17.229877227499998</v>
      </c>
      <c r="AF224" s="9"/>
      <c r="AG224" s="22">
        <v>0.97763100000000003</v>
      </c>
      <c r="AH224" s="22">
        <v>396.71699999999998</v>
      </c>
      <c r="AI224" s="22">
        <v>-2.3577899999999999E-2</v>
      </c>
      <c r="AJ224" s="22">
        <v>214</v>
      </c>
      <c r="AK224" s="22">
        <v>0.97686799999999996</v>
      </c>
      <c r="AL224">
        <f t="shared" si="42"/>
        <v>23.5779</v>
      </c>
      <c r="AM224">
        <f t="shared" si="43"/>
        <v>23.050485954900001</v>
      </c>
      <c r="AP224" s="9"/>
      <c r="AQ224" s="22">
        <v>0.72235099999999997</v>
      </c>
      <c r="AR224" s="22">
        <v>485.10700000000003</v>
      </c>
      <c r="AS224" s="22">
        <v>-2.37244E-2</v>
      </c>
      <c r="AT224" s="22">
        <v>214</v>
      </c>
      <c r="AU224" s="22">
        <v>0.72170999999999996</v>
      </c>
      <c r="AV224">
        <f t="shared" si="44"/>
        <v>23.724399999999999</v>
      </c>
      <c r="AW224">
        <f t="shared" si="45"/>
        <v>17.137344064399997</v>
      </c>
      <c r="AX224" s="9"/>
      <c r="AY224" s="22">
        <v>0.97763100000000003</v>
      </c>
      <c r="AZ224" s="22">
        <v>595.98599999999999</v>
      </c>
      <c r="BA224" s="22">
        <v>-2.35474E-2</v>
      </c>
      <c r="BB224" s="22">
        <v>214</v>
      </c>
      <c r="BC224" s="22">
        <v>0.97717299999999996</v>
      </c>
      <c r="BD224">
        <f t="shared" si="46"/>
        <v>23.5474</v>
      </c>
      <c r="BE224">
        <f t="shared" si="47"/>
        <v>23.0206682094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77.659099999999995</v>
      </c>
      <c r="I225" s="22">
        <v>-2.4520900000000002E-2</v>
      </c>
      <c r="J225" s="22">
        <v>215</v>
      </c>
      <c r="K225" s="22">
        <v>0.71679700000000002</v>
      </c>
      <c r="L225">
        <f t="shared" si="36"/>
        <v>24.520900000000001</v>
      </c>
      <c r="M225">
        <f t="shared" si="37"/>
        <v>17.5892339044</v>
      </c>
      <c r="N225" s="9"/>
      <c r="O225" s="22">
        <v>0.98266600000000004</v>
      </c>
      <c r="P225" s="22">
        <v>166.977</v>
      </c>
      <c r="Q225" s="22">
        <v>-2.38312E-2</v>
      </c>
      <c r="R225" s="22">
        <v>215</v>
      </c>
      <c r="S225" s="22">
        <v>0.98175000000000001</v>
      </c>
      <c r="T225">
        <f t="shared" si="38"/>
        <v>23.831199999999999</v>
      </c>
      <c r="U225">
        <f t="shared" si="39"/>
        <v>23.4181099792</v>
      </c>
      <c r="X225" s="9"/>
      <c r="Y225" s="22">
        <v>0.71731599999999995</v>
      </c>
      <c r="Z225" s="22">
        <v>290.93900000000002</v>
      </c>
      <c r="AA225" s="22">
        <v>-2.3855600000000001E-2</v>
      </c>
      <c r="AB225" s="22">
        <v>215</v>
      </c>
      <c r="AC225" s="22">
        <v>0.71670500000000004</v>
      </c>
      <c r="AD225">
        <f t="shared" si="40"/>
        <v>23.855600000000003</v>
      </c>
      <c r="AE225">
        <f t="shared" si="41"/>
        <v>17.112003569600002</v>
      </c>
      <c r="AF225" s="9"/>
      <c r="AG225" s="22">
        <v>0.98266600000000004</v>
      </c>
      <c r="AH225" s="22">
        <v>396.81799999999998</v>
      </c>
      <c r="AI225" s="22">
        <v>-2.35718E-2</v>
      </c>
      <c r="AJ225" s="22">
        <v>215</v>
      </c>
      <c r="AK225" s="22">
        <v>0.98205600000000004</v>
      </c>
      <c r="AL225">
        <f t="shared" si="42"/>
        <v>23.5718</v>
      </c>
      <c r="AM225">
        <f t="shared" si="43"/>
        <v>23.163206418800002</v>
      </c>
      <c r="AP225" s="9"/>
      <c r="AQ225" s="22">
        <v>0.71731599999999995</v>
      </c>
      <c r="AR225" s="22">
        <v>485.20800000000003</v>
      </c>
      <c r="AS225" s="22">
        <v>-2.3733500000000001E-2</v>
      </c>
      <c r="AT225" s="22">
        <v>215</v>
      </c>
      <c r="AU225" s="22">
        <v>0.71667499999999995</v>
      </c>
      <c r="AV225">
        <f t="shared" si="44"/>
        <v>23.733499999999999</v>
      </c>
      <c r="AW225">
        <f t="shared" si="45"/>
        <v>17.024419285999997</v>
      </c>
      <c r="AX225" s="9"/>
      <c r="AY225" s="22">
        <v>0.98266600000000004</v>
      </c>
      <c r="AZ225" s="22">
        <v>596.08699999999999</v>
      </c>
      <c r="BA225" s="22">
        <v>-2.3522899999999999E-2</v>
      </c>
      <c r="BB225" s="22">
        <v>215</v>
      </c>
      <c r="BC225" s="22">
        <v>0.98175000000000001</v>
      </c>
      <c r="BD225">
        <f t="shared" si="46"/>
        <v>23.5229</v>
      </c>
      <c r="BE225">
        <f t="shared" si="47"/>
        <v>23.115154051400001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77.759799999999998</v>
      </c>
      <c r="I226" s="22">
        <v>-2.4517799999999999E-2</v>
      </c>
      <c r="J226" s="22">
        <v>216</v>
      </c>
      <c r="K226" s="22">
        <v>0.71130400000000005</v>
      </c>
      <c r="L226">
        <f t="shared" si="36"/>
        <v>24.517799999999998</v>
      </c>
      <c r="M226">
        <f t="shared" si="37"/>
        <v>17.463538583999998</v>
      </c>
      <c r="N226" s="9"/>
      <c r="O226" s="22">
        <v>0.98770100000000005</v>
      </c>
      <c r="P226" s="22">
        <v>167.077</v>
      </c>
      <c r="Q226" s="22">
        <v>-2.3825099999999998E-2</v>
      </c>
      <c r="R226" s="22">
        <v>216</v>
      </c>
      <c r="S226" s="22">
        <v>0.98693799999999998</v>
      </c>
      <c r="T226">
        <f t="shared" si="38"/>
        <v>23.825099999999999</v>
      </c>
      <c r="U226">
        <f t="shared" si="39"/>
        <v>23.532075095100002</v>
      </c>
      <c r="X226" s="9"/>
      <c r="Y226" s="22">
        <v>0.71228000000000002</v>
      </c>
      <c r="Z226" s="22">
        <v>291.03899999999999</v>
      </c>
      <c r="AA226" s="22">
        <v>-2.3858600000000001E-2</v>
      </c>
      <c r="AB226" s="22">
        <v>216</v>
      </c>
      <c r="AC226" s="22">
        <v>0.71200600000000003</v>
      </c>
      <c r="AD226">
        <f t="shared" si="40"/>
        <v>23.858599999999999</v>
      </c>
      <c r="AE226">
        <f t="shared" si="41"/>
        <v>16.994003608</v>
      </c>
      <c r="AF226" s="9"/>
      <c r="AG226" s="22">
        <v>0.98770100000000005</v>
      </c>
      <c r="AH226" s="22">
        <v>396.91800000000001</v>
      </c>
      <c r="AI226" s="22">
        <v>-2.35626E-2</v>
      </c>
      <c r="AJ226" s="22">
        <v>216</v>
      </c>
      <c r="AK226" s="22">
        <v>0.98724400000000001</v>
      </c>
      <c r="AL226">
        <f t="shared" si="42"/>
        <v>23.5626</v>
      </c>
      <c r="AM226">
        <f t="shared" si="43"/>
        <v>23.272803582600002</v>
      </c>
      <c r="AP226" s="9"/>
      <c r="AQ226" s="22">
        <v>0.71228000000000002</v>
      </c>
      <c r="AR226" s="22">
        <v>485.30900000000003</v>
      </c>
      <c r="AS226" s="22">
        <v>-2.3733500000000001E-2</v>
      </c>
      <c r="AT226" s="22">
        <v>216</v>
      </c>
      <c r="AU226" s="22">
        <v>0.7117</v>
      </c>
      <c r="AV226">
        <f t="shared" si="44"/>
        <v>23.733499999999999</v>
      </c>
      <c r="AW226">
        <f t="shared" si="45"/>
        <v>16.904897380000001</v>
      </c>
      <c r="AX226" s="9"/>
      <c r="AY226" s="22">
        <v>0.98770100000000005</v>
      </c>
      <c r="AZ226" s="22">
        <v>596.18799999999999</v>
      </c>
      <c r="BA226" s="22">
        <v>-2.35199E-2</v>
      </c>
      <c r="BB226" s="22">
        <v>216</v>
      </c>
      <c r="BC226" s="22">
        <v>0.98663299999999998</v>
      </c>
      <c r="BD226">
        <f t="shared" si="46"/>
        <v>23.5199</v>
      </c>
      <c r="BE226">
        <f t="shared" si="47"/>
        <v>23.230628749899999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77.860500000000002</v>
      </c>
      <c r="I227" s="22">
        <v>-2.4523900000000001E-2</v>
      </c>
      <c r="J227" s="22">
        <v>217</v>
      </c>
      <c r="K227" s="22">
        <v>0.70638999999999996</v>
      </c>
      <c r="L227">
        <f t="shared" si="36"/>
        <v>24.523900000000001</v>
      </c>
      <c r="M227">
        <f t="shared" si="37"/>
        <v>17.344405655500001</v>
      </c>
      <c r="N227" s="9"/>
      <c r="O227" s="22">
        <v>0.99273699999999998</v>
      </c>
      <c r="P227" s="22">
        <v>167.178</v>
      </c>
      <c r="Q227" s="22">
        <v>-2.3825099999999998E-2</v>
      </c>
      <c r="R227" s="22">
        <v>217</v>
      </c>
      <c r="S227" s="22">
        <v>0.99182099999999995</v>
      </c>
      <c r="T227">
        <f t="shared" si="38"/>
        <v>23.825099999999999</v>
      </c>
      <c r="U227">
        <f t="shared" si="39"/>
        <v>23.652058298699998</v>
      </c>
      <c r="X227" s="9"/>
      <c r="Y227" s="22">
        <v>0.70724500000000001</v>
      </c>
      <c r="Z227" s="22">
        <v>291.14</v>
      </c>
      <c r="AA227" s="22">
        <v>-2.3864699999999999E-2</v>
      </c>
      <c r="AB227" s="22">
        <v>217</v>
      </c>
      <c r="AC227" s="22">
        <v>0.70669599999999999</v>
      </c>
      <c r="AD227">
        <f t="shared" si="40"/>
        <v>23.864699999999999</v>
      </c>
      <c r="AE227">
        <f t="shared" si="41"/>
        <v>16.878189751499999</v>
      </c>
      <c r="AF227" s="9"/>
      <c r="AG227" s="22">
        <v>0.99273699999999998</v>
      </c>
      <c r="AH227" s="22">
        <v>397.01900000000001</v>
      </c>
      <c r="AI227" s="22">
        <v>-2.3565699999999998E-2</v>
      </c>
      <c r="AJ227" s="22">
        <v>217</v>
      </c>
      <c r="AK227" s="22">
        <v>0.99212599999999995</v>
      </c>
      <c r="AL227">
        <f t="shared" si="42"/>
        <v>23.5657</v>
      </c>
      <c r="AM227">
        <f t="shared" si="43"/>
        <v>23.394542320899998</v>
      </c>
      <c r="AP227" s="9"/>
      <c r="AQ227" s="22">
        <v>0.70724500000000001</v>
      </c>
      <c r="AR227" s="22">
        <v>485.40899999999999</v>
      </c>
      <c r="AS227" s="22">
        <v>-2.37396E-2</v>
      </c>
      <c r="AT227" s="22">
        <v>217</v>
      </c>
      <c r="AU227" s="22">
        <v>0.70645100000000005</v>
      </c>
      <c r="AV227">
        <f t="shared" si="44"/>
        <v>23.739599999999999</v>
      </c>
      <c r="AW227">
        <f t="shared" si="45"/>
        <v>16.789713402</v>
      </c>
      <c r="AX227" s="9"/>
      <c r="AY227" s="22">
        <v>0.99273699999999998</v>
      </c>
      <c r="AZ227" s="22">
        <v>596.28800000000001</v>
      </c>
      <c r="BA227" s="22">
        <v>-2.3516800000000001E-2</v>
      </c>
      <c r="BB227" s="22">
        <v>217</v>
      </c>
      <c r="BC227" s="22">
        <v>0.99182099999999995</v>
      </c>
      <c r="BD227">
        <f t="shared" si="46"/>
        <v>23.5168</v>
      </c>
      <c r="BE227">
        <f t="shared" si="47"/>
        <v>23.345997481599998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77.961200000000005</v>
      </c>
      <c r="I228" s="22">
        <v>-2.4539200000000001E-2</v>
      </c>
      <c r="J228" s="22">
        <v>218</v>
      </c>
      <c r="K228" s="22">
        <v>0.70175200000000004</v>
      </c>
      <c r="L228">
        <f t="shared" si="36"/>
        <v>24.539200000000001</v>
      </c>
      <c r="M228">
        <f t="shared" si="37"/>
        <v>17.231647092799999</v>
      </c>
      <c r="N228" s="9"/>
      <c r="O228" s="22">
        <v>0.99777199999999999</v>
      </c>
      <c r="P228" s="22">
        <v>167.279</v>
      </c>
      <c r="Q228" s="22">
        <v>-2.3812900000000001E-2</v>
      </c>
      <c r="R228" s="22">
        <v>218</v>
      </c>
      <c r="S228" s="22">
        <v>0.99670400000000003</v>
      </c>
      <c r="T228">
        <f t="shared" si="38"/>
        <v>23.812900000000003</v>
      </c>
      <c r="U228">
        <f t="shared" si="39"/>
        <v>23.759844858800001</v>
      </c>
      <c r="X228" s="9"/>
      <c r="Y228" s="22">
        <v>0.70220899999999997</v>
      </c>
      <c r="Z228" s="22">
        <v>291.24099999999999</v>
      </c>
      <c r="AA228" s="22">
        <v>-2.3879999999999998E-2</v>
      </c>
      <c r="AB228" s="22">
        <v>218</v>
      </c>
      <c r="AC228" s="22">
        <v>0.70239300000000005</v>
      </c>
      <c r="AD228">
        <f t="shared" si="40"/>
        <v>23.88</v>
      </c>
      <c r="AE228">
        <f t="shared" si="41"/>
        <v>16.768750919999999</v>
      </c>
      <c r="AF228" s="9"/>
      <c r="AG228" s="22">
        <v>0.99777199999999999</v>
      </c>
      <c r="AH228" s="22">
        <v>397.12</v>
      </c>
      <c r="AI228" s="22">
        <v>-2.3556500000000001E-2</v>
      </c>
      <c r="AJ228" s="22">
        <v>218</v>
      </c>
      <c r="AK228" s="22">
        <v>0.99761999999999995</v>
      </c>
      <c r="AL228">
        <f t="shared" si="42"/>
        <v>23.5565</v>
      </c>
      <c r="AM228">
        <f t="shared" si="43"/>
        <v>23.504016117999999</v>
      </c>
      <c r="AP228" s="9"/>
      <c r="AQ228" s="22">
        <v>0.70220899999999997</v>
      </c>
      <c r="AR228" s="22">
        <v>485.51</v>
      </c>
      <c r="AS228" s="22">
        <v>-2.3745700000000002E-2</v>
      </c>
      <c r="AT228" s="22">
        <v>218</v>
      </c>
      <c r="AU228" s="22">
        <v>0.70153799999999999</v>
      </c>
      <c r="AV228">
        <f t="shared" si="44"/>
        <v>23.745700000000003</v>
      </c>
      <c r="AW228">
        <f t="shared" si="45"/>
        <v>16.674444251300002</v>
      </c>
      <c r="AX228" s="9"/>
      <c r="AY228" s="22">
        <v>0.99777199999999999</v>
      </c>
      <c r="AZ228" s="22">
        <v>596.38900000000001</v>
      </c>
      <c r="BA228" s="22">
        <v>-2.3510699999999999E-2</v>
      </c>
      <c r="BB228" s="22">
        <v>218</v>
      </c>
      <c r="BC228" s="22">
        <v>0.99700900000000003</v>
      </c>
      <c r="BD228">
        <f t="shared" si="46"/>
        <v>23.5107</v>
      </c>
      <c r="BE228">
        <f t="shared" si="47"/>
        <v>23.458318160400001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78.061999999999998</v>
      </c>
      <c r="I229" s="22">
        <v>-2.45422E-2</v>
      </c>
      <c r="J229" s="22">
        <v>219</v>
      </c>
      <c r="K229" s="22">
        <v>0.69653299999999996</v>
      </c>
      <c r="L229">
        <f t="shared" si="36"/>
        <v>24.542200000000001</v>
      </c>
      <c r="M229">
        <f t="shared" si="37"/>
        <v>17.1101837428</v>
      </c>
      <c r="N229" s="9"/>
      <c r="O229" s="22">
        <v>1.00281</v>
      </c>
      <c r="P229" s="22">
        <v>167.37899999999999</v>
      </c>
      <c r="Q229" s="22">
        <v>-2.3809799999999999E-2</v>
      </c>
      <c r="R229" s="22">
        <v>219</v>
      </c>
      <c r="S229" s="22">
        <v>1.0024999999999999</v>
      </c>
      <c r="T229">
        <f t="shared" si="38"/>
        <v>23.809799999999999</v>
      </c>
      <c r="U229">
        <f t="shared" si="39"/>
        <v>23.876705538</v>
      </c>
      <c r="X229" s="9"/>
      <c r="Y229" s="22">
        <v>0.69717399999999996</v>
      </c>
      <c r="Z229" s="22">
        <v>291.34199999999998</v>
      </c>
      <c r="AA229" s="22">
        <v>-2.3892199999999999E-2</v>
      </c>
      <c r="AB229" s="22">
        <v>219</v>
      </c>
      <c r="AC229" s="22">
        <v>0.69668600000000003</v>
      </c>
      <c r="AD229">
        <f t="shared" si="40"/>
        <v>23.892199999999999</v>
      </c>
      <c r="AE229">
        <f t="shared" si="41"/>
        <v>16.657020642799999</v>
      </c>
      <c r="AF229" s="9"/>
      <c r="AG229" s="22">
        <v>1.00281</v>
      </c>
      <c r="AH229" s="22">
        <v>397.22</v>
      </c>
      <c r="AI229" s="22">
        <v>-2.3550399999999999E-2</v>
      </c>
      <c r="AJ229" s="22">
        <v>219</v>
      </c>
      <c r="AK229" s="22">
        <v>1.0018899999999999</v>
      </c>
      <c r="AL229">
        <f t="shared" si="42"/>
        <v>23.5504</v>
      </c>
      <c r="AM229">
        <f t="shared" si="43"/>
        <v>23.616576624</v>
      </c>
      <c r="AP229" s="9"/>
      <c r="AQ229" s="22">
        <v>0.69717399999999996</v>
      </c>
      <c r="AR229" s="22">
        <v>485.61099999999999</v>
      </c>
      <c r="AS229" s="22">
        <v>-2.37518E-2</v>
      </c>
      <c r="AT229" s="22">
        <v>219</v>
      </c>
      <c r="AU229" s="22">
        <v>0.69653299999999996</v>
      </c>
      <c r="AV229">
        <f t="shared" si="44"/>
        <v>23.751799999999999</v>
      </c>
      <c r="AW229">
        <f t="shared" si="45"/>
        <v>16.559137413199998</v>
      </c>
      <c r="AX229" s="9"/>
      <c r="AY229" s="22">
        <v>1.00281</v>
      </c>
      <c r="AZ229" s="22">
        <v>596.49</v>
      </c>
      <c r="BA229" s="22">
        <v>-2.3507699999999999E-2</v>
      </c>
      <c r="BB229" s="22">
        <v>219</v>
      </c>
      <c r="BC229" s="22">
        <v>1.00159</v>
      </c>
      <c r="BD229">
        <f t="shared" si="46"/>
        <v>23.5077</v>
      </c>
      <c r="BE229">
        <f t="shared" si="47"/>
        <v>23.573756636999999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78.162700000000001</v>
      </c>
      <c r="I230" s="22">
        <v>-2.4551400000000001E-2</v>
      </c>
      <c r="J230" s="22">
        <v>220</v>
      </c>
      <c r="K230" s="22">
        <v>0.69149799999999995</v>
      </c>
      <c r="L230">
        <f t="shared" si="36"/>
        <v>24.551400000000001</v>
      </c>
      <c r="M230">
        <f t="shared" si="37"/>
        <v>16.992981444599998</v>
      </c>
      <c r="N230" s="9"/>
      <c r="O230" s="22">
        <v>1.0078400000000001</v>
      </c>
      <c r="P230" s="22">
        <v>167.48</v>
      </c>
      <c r="Q230" s="22">
        <v>-2.3794599999999999E-2</v>
      </c>
      <c r="R230" s="22">
        <v>220</v>
      </c>
      <c r="S230" s="22">
        <v>1.00739</v>
      </c>
      <c r="T230">
        <f t="shared" si="38"/>
        <v>23.794599999999999</v>
      </c>
      <c r="U230">
        <f t="shared" si="39"/>
        <v>23.981149664</v>
      </c>
      <c r="X230" s="9"/>
      <c r="Y230" s="22">
        <v>0.69213899999999995</v>
      </c>
      <c r="Z230" s="22">
        <v>291.44200000000001</v>
      </c>
      <c r="AA230" s="22">
        <v>-2.39014E-2</v>
      </c>
      <c r="AB230" s="22">
        <v>220</v>
      </c>
      <c r="AC230" s="22">
        <v>0.69152800000000003</v>
      </c>
      <c r="AD230">
        <f t="shared" si="40"/>
        <v>23.901399999999999</v>
      </c>
      <c r="AE230">
        <f t="shared" si="41"/>
        <v>16.543091094599998</v>
      </c>
      <c r="AF230" s="9"/>
      <c r="AG230" s="22">
        <v>1.0078400000000001</v>
      </c>
      <c r="AH230" s="22">
        <v>397.32100000000003</v>
      </c>
      <c r="AI230" s="22">
        <v>-2.3541300000000001E-2</v>
      </c>
      <c r="AJ230" s="22">
        <v>220</v>
      </c>
      <c r="AK230" s="22">
        <v>1.00708</v>
      </c>
      <c r="AL230">
        <f t="shared" si="42"/>
        <v>23.5413</v>
      </c>
      <c r="AM230">
        <f t="shared" si="43"/>
        <v>23.725863792000002</v>
      </c>
      <c r="AP230" s="9"/>
      <c r="AQ230" s="22">
        <v>0.69213899999999995</v>
      </c>
      <c r="AR230" s="22">
        <v>485.71199999999999</v>
      </c>
      <c r="AS230" s="22">
        <v>-2.3761000000000001E-2</v>
      </c>
      <c r="AT230" s="22">
        <v>220</v>
      </c>
      <c r="AU230" s="22">
        <v>0.69162000000000001</v>
      </c>
      <c r="AV230">
        <f t="shared" si="44"/>
        <v>23.760999999999999</v>
      </c>
      <c r="AW230">
        <f t="shared" si="45"/>
        <v>16.445914778999999</v>
      </c>
      <c r="AX230" s="9"/>
      <c r="AY230" s="22">
        <v>1.0078400000000001</v>
      </c>
      <c r="AZ230" s="22">
        <v>596.59</v>
      </c>
      <c r="BA230" s="22">
        <v>-2.3507699999999999E-2</v>
      </c>
      <c r="BB230" s="22">
        <v>220</v>
      </c>
      <c r="BC230" s="22">
        <v>1.00739</v>
      </c>
      <c r="BD230">
        <f t="shared" si="46"/>
        <v>23.5077</v>
      </c>
      <c r="BE230">
        <f t="shared" si="47"/>
        <v>23.692000368000002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78.263400000000004</v>
      </c>
      <c r="I231" s="22">
        <v>-2.4560499999999999E-2</v>
      </c>
      <c r="J231" s="22">
        <v>221</v>
      </c>
      <c r="K231" s="22">
        <v>0.68652299999999999</v>
      </c>
      <c r="L231">
        <f t="shared" si="36"/>
        <v>24.560499999999998</v>
      </c>
      <c r="M231">
        <f t="shared" si="37"/>
        <v>16.875593231499998</v>
      </c>
      <c r="N231" s="9"/>
      <c r="O231" s="22">
        <v>1.01288</v>
      </c>
      <c r="P231" s="22">
        <v>167.58099999999999</v>
      </c>
      <c r="Q231" s="22">
        <v>-2.3794599999999999E-2</v>
      </c>
      <c r="R231" s="22">
        <v>221</v>
      </c>
      <c r="S231" s="22">
        <v>1.01257</v>
      </c>
      <c r="T231">
        <f t="shared" si="38"/>
        <v>23.794599999999999</v>
      </c>
      <c r="U231">
        <f t="shared" si="39"/>
        <v>24.101074447999999</v>
      </c>
      <c r="X231" s="9"/>
      <c r="Y231" s="22">
        <v>0.68710300000000002</v>
      </c>
      <c r="Z231" s="22">
        <v>291.54300000000001</v>
      </c>
      <c r="AA231" s="22">
        <v>-2.3907500000000002E-2</v>
      </c>
      <c r="AB231" s="22">
        <v>221</v>
      </c>
      <c r="AC231" s="22">
        <v>0.68698099999999995</v>
      </c>
      <c r="AD231">
        <f t="shared" si="40"/>
        <v>23.907500000000002</v>
      </c>
      <c r="AE231">
        <f t="shared" si="41"/>
        <v>16.426914972500001</v>
      </c>
      <c r="AF231" s="9"/>
      <c r="AG231" s="22">
        <v>1.01288</v>
      </c>
      <c r="AH231" s="22">
        <v>397.42200000000003</v>
      </c>
      <c r="AI231" s="22">
        <v>-2.35321E-2</v>
      </c>
      <c r="AJ231" s="22">
        <v>221</v>
      </c>
      <c r="AK231" s="22">
        <v>1.01227</v>
      </c>
      <c r="AL231">
        <f t="shared" si="42"/>
        <v>23.5321</v>
      </c>
      <c r="AM231">
        <f t="shared" si="43"/>
        <v>23.835193447999998</v>
      </c>
      <c r="AP231" s="9"/>
      <c r="AQ231" s="22">
        <v>0.68710300000000002</v>
      </c>
      <c r="AR231" s="22">
        <v>485.81200000000001</v>
      </c>
      <c r="AS231" s="22">
        <v>-2.3764E-2</v>
      </c>
      <c r="AT231" s="22">
        <v>221</v>
      </c>
      <c r="AU231" s="22">
        <v>0.68667599999999995</v>
      </c>
      <c r="AV231">
        <f t="shared" si="44"/>
        <v>23.763999999999999</v>
      </c>
      <c r="AW231">
        <f t="shared" si="45"/>
        <v>16.328315692</v>
      </c>
      <c r="AX231" s="9"/>
      <c r="AY231" s="22">
        <v>1.01288</v>
      </c>
      <c r="AZ231" s="22">
        <v>596.69100000000003</v>
      </c>
      <c r="BA231" s="22">
        <v>-2.35046E-2</v>
      </c>
      <c r="BB231" s="22">
        <v>221</v>
      </c>
      <c r="BC231" s="22">
        <v>1.01257</v>
      </c>
      <c r="BD231">
        <f t="shared" si="46"/>
        <v>23.5046</v>
      </c>
      <c r="BE231">
        <f t="shared" si="47"/>
        <v>23.807339248000002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78.364099999999993</v>
      </c>
      <c r="I232" s="22">
        <v>-2.4575799999999998E-2</v>
      </c>
      <c r="J232" s="22">
        <v>222</v>
      </c>
      <c r="K232" s="22">
        <v>0.68191500000000005</v>
      </c>
      <c r="L232">
        <f t="shared" si="36"/>
        <v>24.575799999999997</v>
      </c>
      <c r="M232">
        <f t="shared" si="37"/>
        <v>16.762366754399999</v>
      </c>
      <c r="N232" s="9"/>
      <c r="O232" s="22">
        <v>1.0179100000000001</v>
      </c>
      <c r="P232" s="22">
        <v>167.68199999999999</v>
      </c>
      <c r="Q232" s="22">
        <v>-2.3788500000000001E-2</v>
      </c>
      <c r="R232" s="22">
        <v>222</v>
      </c>
      <c r="S232" s="22">
        <v>1.01776</v>
      </c>
      <c r="T232">
        <f t="shared" si="38"/>
        <v>23.788499999999999</v>
      </c>
      <c r="U232">
        <f t="shared" si="39"/>
        <v>24.214552035000001</v>
      </c>
      <c r="X232" s="9"/>
      <c r="Y232" s="22">
        <v>0.68206800000000001</v>
      </c>
      <c r="Z232" s="22">
        <v>291.64400000000001</v>
      </c>
      <c r="AA232" s="22">
        <v>-2.3919699999999999E-2</v>
      </c>
      <c r="AB232" s="22">
        <v>222</v>
      </c>
      <c r="AC232" s="22">
        <v>0.68121299999999996</v>
      </c>
      <c r="AD232">
        <f t="shared" si="40"/>
        <v>23.919699999999999</v>
      </c>
      <c r="AE232">
        <f t="shared" si="41"/>
        <v>16.3148619396</v>
      </c>
      <c r="AF232" s="9"/>
      <c r="AG232" s="22">
        <v>1.0179100000000001</v>
      </c>
      <c r="AH232" s="22">
        <v>397.52199999999999</v>
      </c>
      <c r="AI232" s="22">
        <v>-2.3535199999999999E-2</v>
      </c>
      <c r="AJ232" s="22">
        <v>222</v>
      </c>
      <c r="AK232" s="22">
        <v>1.01715</v>
      </c>
      <c r="AL232">
        <f t="shared" si="42"/>
        <v>23.5352</v>
      </c>
      <c r="AM232">
        <f t="shared" si="43"/>
        <v>23.956715432000003</v>
      </c>
      <c r="AP232" s="9"/>
      <c r="AQ232" s="22">
        <v>0.68206800000000001</v>
      </c>
      <c r="AR232" s="22">
        <v>485.91300000000001</v>
      </c>
      <c r="AS232" s="22">
        <v>-2.3773200000000001E-2</v>
      </c>
      <c r="AT232" s="22">
        <v>222</v>
      </c>
      <c r="AU232" s="22">
        <v>0.68164100000000005</v>
      </c>
      <c r="AV232">
        <f t="shared" si="44"/>
        <v>23.773200000000003</v>
      </c>
      <c r="AW232">
        <f t="shared" si="45"/>
        <v>16.214938977600003</v>
      </c>
      <c r="AX232" s="9"/>
      <c r="AY232" s="22">
        <v>1.0179100000000001</v>
      </c>
      <c r="AZ232" s="22">
        <v>596.79200000000003</v>
      </c>
      <c r="BA232" s="22">
        <v>-2.3498499999999999E-2</v>
      </c>
      <c r="BB232" s="22">
        <v>222</v>
      </c>
      <c r="BC232" s="22">
        <v>1.01715</v>
      </c>
      <c r="BD232">
        <f t="shared" si="46"/>
        <v>23.4985</v>
      </c>
      <c r="BE232">
        <f t="shared" si="47"/>
        <v>23.919358135000003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78.464799999999997</v>
      </c>
      <c r="I233" s="22">
        <v>-2.45697E-2</v>
      </c>
      <c r="J233" s="22">
        <v>223</v>
      </c>
      <c r="K233" s="22">
        <v>0.67666599999999999</v>
      </c>
      <c r="L233">
        <f t="shared" si="36"/>
        <v>24.569700000000001</v>
      </c>
      <c r="M233">
        <f t="shared" si="37"/>
        <v>16.6344731304</v>
      </c>
      <c r="N233" s="9"/>
      <c r="O233" s="22">
        <v>1.02295</v>
      </c>
      <c r="P233" s="22">
        <v>167.78200000000001</v>
      </c>
      <c r="Q233" s="22">
        <v>-2.37793E-2</v>
      </c>
      <c r="R233" s="22">
        <v>223</v>
      </c>
      <c r="S233" s="22">
        <v>1.02234</v>
      </c>
      <c r="T233">
        <f t="shared" si="38"/>
        <v>23.779299999999999</v>
      </c>
      <c r="U233">
        <f t="shared" si="39"/>
        <v>24.325034935000001</v>
      </c>
      <c r="X233" s="9"/>
      <c r="Y233" s="22">
        <v>0.67703199999999997</v>
      </c>
      <c r="Z233" s="22">
        <v>291.74400000000003</v>
      </c>
      <c r="AA233" s="22">
        <v>-2.39288E-2</v>
      </c>
      <c r="AB233" s="22">
        <v>223</v>
      </c>
      <c r="AC233" s="22">
        <v>0.67681899999999995</v>
      </c>
      <c r="AD233">
        <f t="shared" si="40"/>
        <v>23.928799999999999</v>
      </c>
      <c r="AE233">
        <f t="shared" si="41"/>
        <v>16.200563321599997</v>
      </c>
      <c r="AF233" s="9"/>
      <c r="AG233" s="22">
        <v>1.02295</v>
      </c>
      <c r="AH233" s="22">
        <v>397.62299999999999</v>
      </c>
      <c r="AI233" s="22">
        <v>-2.3525999999999998E-2</v>
      </c>
      <c r="AJ233" s="22">
        <v>223</v>
      </c>
      <c r="AK233" s="22">
        <v>1.02203</v>
      </c>
      <c r="AL233">
        <f t="shared" si="42"/>
        <v>23.526</v>
      </c>
      <c r="AM233">
        <f t="shared" si="43"/>
        <v>24.065921700000001</v>
      </c>
      <c r="AP233" s="9"/>
      <c r="AQ233" s="22">
        <v>0.67703199999999997</v>
      </c>
      <c r="AR233" s="22">
        <v>486.01400000000001</v>
      </c>
      <c r="AS233" s="22">
        <v>-2.37793E-2</v>
      </c>
      <c r="AT233" s="22">
        <v>223</v>
      </c>
      <c r="AU233" s="22">
        <v>0.67669699999999999</v>
      </c>
      <c r="AV233">
        <f t="shared" si="44"/>
        <v>23.779299999999999</v>
      </c>
      <c r="AW233">
        <f t="shared" si="45"/>
        <v>16.099347037599998</v>
      </c>
      <c r="AX233" s="9"/>
      <c r="AY233" s="22">
        <v>1.02295</v>
      </c>
      <c r="AZ233" s="22">
        <v>596.89300000000003</v>
      </c>
      <c r="BA233" s="22">
        <v>-2.3498499999999999E-2</v>
      </c>
      <c r="BB233" s="22">
        <v>223</v>
      </c>
      <c r="BC233" s="22">
        <v>1.02234</v>
      </c>
      <c r="BD233">
        <f t="shared" si="46"/>
        <v>23.4985</v>
      </c>
      <c r="BE233">
        <f t="shared" si="47"/>
        <v>24.037790574999999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78.5655</v>
      </c>
      <c r="I234" s="22">
        <v>-2.45697E-2</v>
      </c>
      <c r="J234" s="22">
        <v>224</v>
      </c>
      <c r="K234" s="22">
        <v>0.67166099999999995</v>
      </c>
      <c r="L234">
        <f t="shared" si="36"/>
        <v>24.569700000000001</v>
      </c>
      <c r="M234">
        <f t="shared" si="37"/>
        <v>16.5107646909</v>
      </c>
      <c r="N234" s="9"/>
      <c r="O234" s="22">
        <v>1.0279799999999999</v>
      </c>
      <c r="P234" s="22">
        <v>167.88300000000001</v>
      </c>
      <c r="Q234" s="22">
        <v>-2.37793E-2</v>
      </c>
      <c r="R234" s="22">
        <v>224</v>
      </c>
      <c r="S234" s="22">
        <v>1.02722</v>
      </c>
      <c r="T234">
        <f t="shared" si="38"/>
        <v>23.779299999999999</v>
      </c>
      <c r="U234">
        <f t="shared" si="39"/>
        <v>24.444644813999997</v>
      </c>
      <c r="X234" s="9"/>
      <c r="Y234" s="22">
        <v>0.67199699999999996</v>
      </c>
      <c r="Z234" s="22">
        <v>291.84500000000003</v>
      </c>
      <c r="AA234" s="22">
        <v>-2.3919699999999999E-2</v>
      </c>
      <c r="AB234" s="22">
        <v>224</v>
      </c>
      <c r="AC234" s="22">
        <v>0.67117300000000002</v>
      </c>
      <c r="AD234">
        <f t="shared" si="40"/>
        <v>23.919699999999999</v>
      </c>
      <c r="AE234">
        <f t="shared" si="41"/>
        <v>16.073966640899997</v>
      </c>
      <c r="AF234" s="9"/>
      <c r="AG234" s="22">
        <v>1.0279799999999999</v>
      </c>
      <c r="AH234" s="22">
        <v>397.72399999999999</v>
      </c>
      <c r="AI234" s="22">
        <v>-2.3516800000000001E-2</v>
      </c>
      <c r="AJ234" s="22">
        <v>224</v>
      </c>
      <c r="AK234" s="22">
        <v>1.0275300000000001</v>
      </c>
      <c r="AL234">
        <f t="shared" si="42"/>
        <v>23.5168</v>
      </c>
      <c r="AM234">
        <f t="shared" si="43"/>
        <v>24.174800063999996</v>
      </c>
      <c r="AP234" s="9"/>
      <c r="AQ234" s="22">
        <v>0.67199699999999996</v>
      </c>
      <c r="AR234" s="22">
        <v>486.11399999999998</v>
      </c>
      <c r="AS234" s="22">
        <v>-2.3785400000000002E-2</v>
      </c>
      <c r="AT234" s="22">
        <v>224</v>
      </c>
      <c r="AU234" s="22">
        <v>0.67132599999999998</v>
      </c>
      <c r="AV234">
        <f t="shared" si="44"/>
        <v>23.785400000000003</v>
      </c>
      <c r="AW234">
        <f t="shared" si="45"/>
        <v>15.983717443800002</v>
      </c>
      <c r="AX234" s="9"/>
      <c r="AY234" s="22">
        <v>1.0279799999999999</v>
      </c>
      <c r="AZ234" s="22">
        <v>596.99300000000005</v>
      </c>
      <c r="BA234" s="22">
        <v>-2.34924E-2</v>
      </c>
      <c r="BB234" s="22">
        <v>224</v>
      </c>
      <c r="BC234" s="22">
        <v>1.0275300000000001</v>
      </c>
      <c r="BD234">
        <f t="shared" si="46"/>
        <v>23.4924</v>
      </c>
      <c r="BE234">
        <f t="shared" si="47"/>
        <v>24.149717351999996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78.666200000000003</v>
      </c>
      <c r="I235" s="22">
        <v>-2.4575799999999998E-2</v>
      </c>
      <c r="J235" s="22">
        <v>225</v>
      </c>
      <c r="K235" s="22">
        <v>0.66632100000000005</v>
      </c>
      <c r="L235">
        <f t="shared" si="36"/>
        <v>24.575799999999997</v>
      </c>
      <c r="M235">
        <f t="shared" si="37"/>
        <v>16.391124719600001</v>
      </c>
      <c r="N235" s="9"/>
      <c r="O235" s="22">
        <v>1.03302</v>
      </c>
      <c r="P235" s="22">
        <v>167.98400000000001</v>
      </c>
      <c r="Q235" s="22">
        <v>-2.3764E-2</v>
      </c>
      <c r="R235" s="22">
        <v>225</v>
      </c>
      <c r="S235" s="22">
        <v>1.0318000000000001</v>
      </c>
      <c r="T235">
        <f t="shared" si="38"/>
        <v>23.763999999999999</v>
      </c>
      <c r="U235">
        <f t="shared" si="39"/>
        <v>24.548687279999999</v>
      </c>
      <c r="X235" s="9"/>
      <c r="Y235" s="22">
        <v>0.66696200000000005</v>
      </c>
      <c r="Z235" s="22">
        <v>291.94600000000003</v>
      </c>
      <c r="AA235" s="22">
        <v>-2.39288E-2</v>
      </c>
      <c r="AB235" s="22">
        <v>225</v>
      </c>
      <c r="AC235" s="22">
        <v>0.665802</v>
      </c>
      <c r="AD235">
        <f t="shared" si="40"/>
        <v>23.928799999999999</v>
      </c>
      <c r="AE235">
        <f t="shared" si="41"/>
        <v>15.9596003056</v>
      </c>
      <c r="AF235" s="9"/>
      <c r="AG235" s="22">
        <v>1.03302</v>
      </c>
      <c r="AH235" s="22">
        <v>397.82499999999999</v>
      </c>
      <c r="AI235" s="22">
        <v>-2.3507699999999999E-2</v>
      </c>
      <c r="AJ235" s="22">
        <v>225</v>
      </c>
      <c r="AK235" s="22">
        <v>1.0321</v>
      </c>
      <c r="AL235">
        <f t="shared" si="42"/>
        <v>23.5077</v>
      </c>
      <c r="AM235">
        <f t="shared" si="43"/>
        <v>24.283924254000002</v>
      </c>
      <c r="AP235" s="9"/>
      <c r="AQ235" s="22">
        <v>0.66696200000000005</v>
      </c>
      <c r="AR235" s="22">
        <v>486.21499999999997</v>
      </c>
      <c r="AS235" s="22">
        <v>-2.3788500000000001E-2</v>
      </c>
      <c r="AT235" s="22">
        <v>225</v>
      </c>
      <c r="AU235" s="22">
        <v>0.66647299999999998</v>
      </c>
      <c r="AV235">
        <f t="shared" si="44"/>
        <v>23.788499999999999</v>
      </c>
      <c r="AW235">
        <f t="shared" si="45"/>
        <v>15.866025537000001</v>
      </c>
      <c r="AX235" s="9"/>
      <c r="AY235" s="22">
        <v>1.03302</v>
      </c>
      <c r="AZ235" s="22">
        <v>597.09400000000005</v>
      </c>
      <c r="BA235" s="22">
        <v>-2.3486300000000002E-2</v>
      </c>
      <c r="BB235" s="22">
        <v>225</v>
      </c>
      <c r="BC235" s="22">
        <v>1.0318000000000001</v>
      </c>
      <c r="BD235">
        <f t="shared" si="46"/>
        <v>23.4863</v>
      </c>
      <c r="BE235">
        <f t="shared" si="47"/>
        <v>24.261817626000003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78.766900000000007</v>
      </c>
      <c r="I236" s="22">
        <v>-2.4578900000000001E-2</v>
      </c>
      <c r="J236" s="22">
        <v>226</v>
      </c>
      <c r="K236" s="22">
        <v>0.66119399999999995</v>
      </c>
      <c r="L236">
        <f t="shared" si="36"/>
        <v>24.578900000000001</v>
      </c>
      <c r="M236">
        <f t="shared" si="37"/>
        <v>16.2694129614</v>
      </c>
      <c r="N236" s="9"/>
      <c r="O236" s="22">
        <v>1.03806</v>
      </c>
      <c r="P236" s="22">
        <v>168.084</v>
      </c>
      <c r="Q236" s="22">
        <v>-2.3757899999999998E-2</v>
      </c>
      <c r="R236" s="22">
        <v>226</v>
      </c>
      <c r="S236" s="22">
        <v>1.03729</v>
      </c>
      <c r="T236">
        <f t="shared" si="38"/>
        <v>23.757899999999999</v>
      </c>
      <c r="U236">
        <f t="shared" si="39"/>
        <v>24.662125673999999</v>
      </c>
      <c r="X236" s="9"/>
      <c r="Y236" s="22">
        <v>0.66192600000000001</v>
      </c>
      <c r="Z236" s="22">
        <v>292.04700000000003</v>
      </c>
      <c r="AA236" s="22">
        <v>-2.3919699999999999E-2</v>
      </c>
      <c r="AB236" s="22">
        <v>226</v>
      </c>
      <c r="AC236" s="22">
        <v>0.66281100000000004</v>
      </c>
      <c r="AD236">
        <f t="shared" si="40"/>
        <v>23.919699999999999</v>
      </c>
      <c r="AE236">
        <f t="shared" si="41"/>
        <v>15.8330713422</v>
      </c>
      <c r="AF236" s="9"/>
      <c r="AG236" s="22">
        <v>1.03806</v>
      </c>
      <c r="AH236" s="22">
        <v>397.92500000000001</v>
      </c>
      <c r="AI236" s="22">
        <v>-2.3501600000000001E-2</v>
      </c>
      <c r="AJ236" s="22">
        <v>226</v>
      </c>
      <c r="AK236" s="22">
        <v>1.0369900000000001</v>
      </c>
      <c r="AL236">
        <f t="shared" si="42"/>
        <v>23.5016</v>
      </c>
      <c r="AM236">
        <f t="shared" si="43"/>
        <v>24.396070895999998</v>
      </c>
      <c r="AP236" s="9"/>
      <c r="AQ236" s="22">
        <v>0.66192600000000001</v>
      </c>
      <c r="AR236" s="22">
        <v>486.31599999999997</v>
      </c>
      <c r="AS236" s="22">
        <v>-2.3794599999999999E-2</v>
      </c>
      <c r="AT236" s="22">
        <v>226</v>
      </c>
      <c r="AU236" s="22">
        <v>0.66131600000000001</v>
      </c>
      <c r="AV236">
        <f t="shared" si="44"/>
        <v>23.794599999999999</v>
      </c>
      <c r="AW236">
        <f t="shared" si="45"/>
        <v>15.750264399599999</v>
      </c>
      <c r="AX236" s="9"/>
      <c r="AY236" s="22">
        <v>1.03806</v>
      </c>
      <c r="AZ236" s="22">
        <v>597.19500000000005</v>
      </c>
      <c r="BA236" s="22">
        <v>-2.34772E-2</v>
      </c>
      <c r="BB236" s="22">
        <v>226</v>
      </c>
      <c r="BC236" s="22">
        <v>1.03668</v>
      </c>
      <c r="BD236">
        <f t="shared" si="46"/>
        <v>23.4772</v>
      </c>
      <c r="BE236">
        <f t="shared" si="47"/>
        <v>24.370742231999998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78.867599999999996</v>
      </c>
      <c r="I237" s="22">
        <v>-2.4502599999999999E-2</v>
      </c>
      <c r="J237" s="22">
        <v>227</v>
      </c>
      <c r="K237" s="22">
        <v>0.65625</v>
      </c>
      <c r="L237">
        <f t="shared" si="36"/>
        <v>24.502600000000001</v>
      </c>
      <c r="M237">
        <f t="shared" si="37"/>
        <v>16.095537416599999</v>
      </c>
      <c r="N237" s="9"/>
      <c r="O237" s="22">
        <v>1.0430900000000001</v>
      </c>
      <c r="P237" s="22">
        <v>168.185</v>
      </c>
      <c r="Q237" s="22">
        <v>-2.3754899999999999E-2</v>
      </c>
      <c r="R237" s="22">
        <v>227</v>
      </c>
      <c r="S237" s="22">
        <v>1.0424800000000001</v>
      </c>
      <c r="T237">
        <f t="shared" si="38"/>
        <v>23.754899999999999</v>
      </c>
      <c r="U237">
        <f t="shared" si="39"/>
        <v>24.778498641000002</v>
      </c>
      <c r="X237" s="9"/>
      <c r="Y237" s="22">
        <v>0.656891</v>
      </c>
      <c r="Z237" s="22">
        <v>292.14699999999999</v>
      </c>
      <c r="AA237" s="22">
        <v>-2.3953200000000001E-2</v>
      </c>
      <c r="AB237" s="22">
        <v>227</v>
      </c>
      <c r="AC237" s="22">
        <v>0.65643300000000004</v>
      </c>
      <c r="AD237">
        <f t="shared" si="40"/>
        <v>23.953200000000002</v>
      </c>
      <c r="AE237">
        <f t="shared" si="41"/>
        <v>15.734641501200002</v>
      </c>
      <c r="AF237" s="9"/>
      <c r="AG237" s="22">
        <v>1.0430900000000001</v>
      </c>
      <c r="AH237" s="22">
        <v>398.02600000000001</v>
      </c>
      <c r="AI237" s="22">
        <v>-2.35046E-2</v>
      </c>
      <c r="AJ237" s="22">
        <v>227</v>
      </c>
      <c r="AK237" s="22">
        <v>1.04156</v>
      </c>
      <c r="AL237">
        <f t="shared" si="42"/>
        <v>23.5046</v>
      </c>
      <c r="AM237">
        <f t="shared" si="43"/>
        <v>24.517413214000001</v>
      </c>
      <c r="AP237" s="9"/>
      <c r="AQ237" s="22">
        <v>0.656891</v>
      </c>
      <c r="AR237" s="22">
        <v>486.41699999999997</v>
      </c>
      <c r="AS237" s="22">
        <v>-2.3797599999999999E-2</v>
      </c>
      <c r="AT237" s="22">
        <v>227</v>
      </c>
      <c r="AU237" s="22">
        <v>0.65640299999999996</v>
      </c>
      <c r="AV237">
        <f t="shared" si="44"/>
        <v>23.797599999999999</v>
      </c>
      <c r="AW237">
        <f t="shared" si="45"/>
        <v>15.632429261599999</v>
      </c>
      <c r="AX237" s="9"/>
      <c r="AY237" s="22">
        <v>1.0430900000000001</v>
      </c>
      <c r="AZ237" s="22">
        <v>597.29499999999996</v>
      </c>
      <c r="BA237" s="22">
        <v>-2.3471100000000002E-2</v>
      </c>
      <c r="BB237" s="22">
        <v>227</v>
      </c>
      <c r="BC237" s="22">
        <v>1.0427900000000001</v>
      </c>
      <c r="BD237">
        <f t="shared" si="46"/>
        <v>23.471100000000003</v>
      </c>
      <c r="BE237">
        <f t="shared" si="47"/>
        <v>24.482469699000006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78.968299999999999</v>
      </c>
      <c r="I238" s="22">
        <v>-2.4505599999999999E-2</v>
      </c>
      <c r="J238" s="22">
        <v>228</v>
      </c>
      <c r="K238" s="22">
        <v>0.65142800000000001</v>
      </c>
      <c r="L238">
        <f t="shared" si="36"/>
        <v>24.505599999999998</v>
      </c>
      <c r="M238">
        <f t="shared" si="37"/>
        <v>15.974097887999998</v>
      </c>
      <c r="N238" s="9"/>
      <c r="O238" s="22">
        <v>1.04813</v>
      </c>
      <c r="P238" s="22">
        <v>168.286</v>
      </c>
      <c r="Q238" s="22">
        <v>-2.37518E-2</v>
      </c>
      <c r="R238" s="22">
        <v>228</v>
      </c>
      <c r="S238" s="22">
        <v>1.0470600000000001</v>
      </c>
      <c r="T238">
        <f t="shared" si="38"/>
        <v>23.751799999999999</v>
      </c>
      <c r="U238">
        <f t="shared" si="39"/>
        <v>24.894974133999998</v>
      </c>
      <c r="X238" s="9"/>
      <c r="Y238" s="22">
        <v>0.65185499999999996</v>
      </c>
      <c r="Z238" s="22">
        <v>292.24799999999999</v>
      </c>
      <c r="AA238" s="22">
        <v>-2.39563E-2</v>
      </c>
      <c r="AB238" s="22">
        <v>228</v>
      </c>
      <c r="AC238" s="22">
        <v>0.65139800000000003</v>
      </c>
      <c r="AD238">
        <f t="shared" si="40"/>
        <v>23.956299999999999</v>
      </c>
      <c r="AE238">
        <f t="shared" si="41"/>
        <v>15.616033936499999</v>
      </c>
      <c r="AF238" s="9"/>
      <c r="AG238" s="22">
        <v>1.04813</v>
      </c>
      <c r="AH238" s="22">
        <v>398.12700000000001</v>
      </c>
      <c r="AI238" s="22">
        <v>-2.3495499999999999E-2</v>
      </c>
      <c r="AJ238" s="22">
        <v>228</v>
      </c>
      <c r="AK238" s="22">
        <v>1.0470600000000001</v>
      </c>
      <c r="AL238">
        <f t="shared" si="42"/>
        <v>23.4955</v>
      </c>
      <c r="AM238">
        <f t="shared" si="43"/>
        <v>24.626338414999999</v>
      </c>
      <c r="AP238" s="9"/>
      <c r="AQ238" s="22">
        <v>0.65185499999999996</v>
      </c>
      <c r="AR238" s="22">
        <v>486.517</v>
      </c>
      <c r="AS238" s="22">
        <v>-2.3806799999999999E-2</v>
      </c>
      <c r="AT238" s="22">
        <v>228</v>
      </c>
      <c r="AU238" s="22">
        <v>0.65139800000000003</v>
      </c>
      <c r="AV238">
        <f t="shared" si="44"/>
        <v>23.806799999999999</v>
      </c>
      <c r="AW238">
        <f t="shared" si="45"/>
        <v>15.518581613999999</v>
      </c>
      <c r="AX238" s="9"/>
      <c r="AY238" s="22">
        <v>1.04813</v>
      </c>
      <c r="AZ238" s="22">
        <v>597.39599999999996</v>
      </c>
      <c r="BA238" s="22">
        <v>-2.3455799999999999E-2</v>
      </c>
      <c r="BB238" s="22">
        <v>228</v>
      </c>
      <c r="BC238" s="22">
        <v>1.0470600000000001</v>
      </c>
      <c r="BD238">
        <f t="shared" si="46"/>
        <v>23.4558</v>
      </c>
      <c r="BE238">
        <f t="shared" si="47"/>
        <v>24.584727654000002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79.069000000000003</v>
      </c>
      <c r="I239" s="22">
        <v>-2.4508700000000001E-2</v>
      </c>
      <c r="J239" s="22">
        <v>229</v>
      </c>
      <c r="K239" s="22">
        <v>0.646088</v>
      </c>
      <c r="L239">
        <f t="shared" si="36"/>
        <v>24.508700000000001</v>
      </c>
      <c r="M239">
        <f t="shared" si="37"/>
        <v>15.852717333999999</v>
      </c>
      <c r="N239" s="9"/>
      <c r="O239" s="22">
        <v>1.0531600000000001</v>
      </c>
      <c r="P239" s="22">
        <v>168.387</v>
      </c>
      <c r="Q239" s="22">
        <v>-2.37396E-2</v>
      </c>
      <c r="R239" s="22">
        <v>229</v>
      </c>
      <c r="S239" s="22">
        <v>1.0513300000000001</v>
      </c>
      <c r="T239">
        <f t="shared" si="38"/>
        <v>23.739599999999999</v>
      </c>
      <c r="U239">
        <f t="shared" si="39"/>
        <v>25.001597136000001</v>
      </c>
      <c r="X239" s="9"/>
      <c r="Y239" s="22">
        <v>0.64681999999999995</v>
      </c>
      <c r="Z239" s="22">
        <v>292.34899999999999</v>
      </c>
      <c r="AA239" s="22">
        <v>-2.3959399999999999E-2</v>
      </c>
      <c r="AB239" s="22">
        <v>229</v>
      </c>
      <c r="AC239" s="22">
        <v>0.64681999999999995</v>
      </c>
      <c r="AD239">
        <f t="shared" si="40"/>
        <v>23.959399999999999</v>
      </c>
      <c r="AE239">
        <f t="shared" si="41"/>
        <v>15.497419107999997</v>
      </c>
      <c r="AF239" s="9"/>
      <c r="AG239" s="22">
        <v>1.0531600000000001</v>
      </c>
      <c r="AH239" s="22">
        <v>398.22699999999998</v>
      </c>
      <c r="AI239" s="22">
        <v>-2.3486300000000002E-2</v>
      </c>
      <c r="AJ239" s="22">
        <v>229</v>
      </c>
      <c r="AK239" s="22">
        <v>1.0519400000000001</v>
      </c>
      <c r="AL239">
        <f t="shared" si="42"/>
        <v>23.4863</v>
      </c>
      <c r="AM239">
        <f t="shared" si="43"/>
        <v>24.734831708000002</v>
      </c>
      <c r="AP239" s="9"/>
      <c r="AQ239" s="22">
        <v>0.64681999999999995</v>
      </c>
      <c r="AR239" s="22">
        <v>486.61799999999999</v>
      </c>
      <c r="AS239" s="22">
        <v>-2.3809799999999999E-2</v>
      </c>
      <c r="AT239" s="22">
        <v>229</v>
      </c>
      <c r="AU239" s="22">
        <v>0.64620999999999995</v>
      </c>
      <c r="AV239">
        <f t="shared" si="44"/>
        <v>23.809799999999999</v>
      </c>
      <c r="AW239">
        <f t="shared" si="45"/>
        <v>15.400654835999998</v>
      </c>
      <c r="AX239" s="9"/>
      <c r="AY239" s="22">
        <v>1.0531600000000001</v>
      </c>
      <c r="AZ239" s="22">
        <v>597.49699999999996</v>
      </c>
      <c r="BA239" s="22">
        <v>-2.3452799999999999E-2</v>
      </c>
      <c r="BB239" s="22">
        <v>229</v>
      </c>
      <c r="BC239" s="22">
        <v>1.0522499999999999</v>
      </c>
      <c r="BD239">
        <f t="shared" si="46"/>
        <v>23.4528</v>
      </c>
      <c r="BE239">
        <f t="shared" si="47"/>
        <v>24.699550848000001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79.169700000000006</v>
      </c>
      <c r="I240" s="22">
        <v>-2.45148E-2</v>
      </c>
      <c r="J240" s="22">
        <v>230</v>
      </c>
      <c r="K240" s="22">
        <v>0.64141800000000004</v>
      </c>
      <c r="L240">
        <f t="shared" si="36"/>
        <v>24.514800000000001</v>
      </c>
      <c r="M240">
        <f t="shared" si="37"/>
        <v>15.733230918000002</v>
      </c>
      <c r="N240" s="9"/>
      <c r="O240" s="22">
        <v>1.0582</v>
      </c>
      <c r="P240" s="22">
        <v>168.48699999999999</v>
      </c>
      <c r="Q240" s="22">
        <v>-2.37396E-2</v>
      </c>
      <c r="R240" s="22">
        <v>230</v>
      </c>
      <c r="S240" s="22">
        <v>1.0568200000000001</v>
      </c>
      <c r="T240">
        <f t="shared" si="38"/>
        <v>23.739599999999999</v>
      </c>
      <c r="U240">
        <f t="shared" si="39"/>
        <v>25.12124472</v>
      </c>
      <c r="X240" s="9"/>
      <c r="Y240" s="22">
        <v>0.64178500000000005</v>
      </c>
      <c r="Z240" s="22">
        <v>292.44900000000001</v>
      </c>
      <c r="AA240" s="22">
        <v>-2.3959399999999999E-2</v>
      </c>
      <c r="AB240" s="22">
        <v>230</v>
      </c>
      <c r="AC240" s="22">
        <v>0.641266</v>
      </c>
      <c r="AD240">
        <f t="shared" si="40"/>
        <v>23.959399999999999</v>
      </c>
      <c r="AE240">
        <f t="shared" si="41"/>
        <v>15.376783529000001</v>
      </c>
      <c r="AF240" s="9"/>
      <c r="AG240" s="22">
        <v>1.0582</v>
      </c>
      <c r="AH240" s="22">
        <v>398.32799999999997</v>
      </c>
      <c r="AI240" s="22">
        <v>-2.34802E-2</v>
      </c>
      <c r="AJ240" s="22">
        <v>230</v>
      </c>
      <c r="AK240" s="22">
        <v>1.0574300000000001</v>
      </c>
      <c r="AL240">
        <f t="shared" si="42"/>
        <v>23.4802</v>
      </c>
      <c r="AM240">
        <f t="shared" si="43"/>
        <v>24.84674764</v>
      </c>
      <c r="AP240" s="9"/>
      <c r="AQ240" s="22">
        <v>0.64178500000000005</v>
      </c>
      <c r="AR240" s="22">
        <v>486.71899999999999</v>
      </c>
      <c r="AS240" s="22">
        <v>-2.3815900000000001E-2</v>
      </c>
      <c r="AT240" s="22">
        <v>230</v>
      </c>
      <c r="AU240" s="22">
        <v>0.64132699999999998</v>
      </c>
      <c r="AV240">
        <f t="shared" si="44"/>
        <v>23.815899999999999</v>
      </c>
      <c r="AW240">
        <f t="shared" si="45"/>
        <v>15.284687381500001</v>
      </c>
      <c r="AX240" s="9"/>
      <c r="AY240" s="22">
        <v>1.0582</v>
      </c>
      <c r="AZ240" s="22">
        <v>597.59799999999996</v>
      </c>
      <c r="BA240" s="22">
        <v>-2.3443599999999998E-2</v>
      </c>
      <c r="BB240" s="22">
        <v>230</v>
      </c>
      <c r="BC240" s="22">
        <v>1.0565199999999999</v>
      </c>
      <c r="BD240">
        <f t="shared" si="46"/>
        <v>23.4436</v>
      </c>
      <c r="BE240">
        <f t="shared" si="47"/>
        <v>24.80801752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79.270399999999995</v>
      </c>
      <c r="I241" s="22">
        <v>-2.4511700000000001E-2</v>
      </c>
      <c r="J241" s="22">
        <v>231</v>
      </c>
      <c r="K241" s="22">
        <v>0.63613900000000001</v>
      </c>
      <c r="L241">
        <f t="shared" si="36"/>
        <v>24.511700000000001</v>
      </c>
      <c r="M241">
        <f t="shared" si="37"/>
        <v>15.6078004633</v>
      </c>
      <c r="N241" s="9"/>
      <c r="O241" s="22">
        <v>1.0632299999999999</v>
      </c>
      <c r="P241" s="22">
        <v>168.58799999999999</v>
      </c>
      <c r="Q241" s="22">
        <v>-2.3727399999999999E-2</v>
      </c>
      <c r="R241" s="22">
        <v>231</v>
      </c>
      <c r="S241" s="22">
        <v>1.0632299999999999</v>
      </c>
      <c r="T241">
        <f t="shared" si="38"/>
        <v>23.727399999999999</v>
      </c>
      <c r="U241">
        <f t="shared" si="39"/>
        <v>25.227683501999998</v>
      </c>
      <c r="X241" s="9"/>
      <c r="Y241" s="22">
        <v>0.63674900000000001</v>
      </c>
      <c r="Z241" s="22">
        <v>292.55</v>
      </c>
      <c r="AA241" s="22">
        <v>-2.3953200000000001E-2</v>
      </c>
      <c r="AB241" s="22">
        <v>231</v>
      </c>
      <c r="AC241" s="22">
        <v>0.63613900000000001</v>
      </c>
      <c r="AD241">
        <f t="shared" si="40"/>
        <v>23.953200000000002</v>
      </c>
      <c r="AE241">
        <f t="shared" si="41"/>
        <v>15.252176146800002</v>
      </c>
      <c r="AF241" s="9"/>
      <c r="AG241" s="22">
        <v>1.0632299999999999</v>
      </c>
      <c r="AH241" s="22">
        <v>398.42899999999997</v>
      </c>
      <c r="AI241" s="22">
        <v>-2.3471100000000002E-2</v>
      </c>
      <c r="AJ241" s="22">
        <v>231</v>
      </c>
      <c r="AK241" s="22">
        <v>1.0620099999999999</v>
      </c>
      <c r="AL241">
        <f t="shared" si="42"/>
        <v>23.471100000000003</v>
      </c>
      <c r="AM241">
        <f t="shared" si="43"/>
        <v>24.955177653</v>
      </c>
      <c r="AP241" s="9"/>
      <c r="AQ241" s="22">
        <v>0.63674900000000001</v>
      </c>
      <c r="AR241" s="22">
        <v>486.81900000000002</v>
      </c>
      <c r="AS241" s="22">
        <v>-2.3825099999999998E-2</v>
      </c>
      <c r="AT241" s="22">
        <v>231</v>
      </c>
      <c r="AU241" s="22">
        <v>0.63616899999999998</v>
      </c>
      <c r="AV241">
        <f t="shared" si="44"/>
        <v>23.825099999999999</v>
      </c>
      <c r="AW241">
        <f t="shared" si="45"/>
        <v>15.1706085999</v>
      </c>
      <c r="AX241" s="9"/>
      <c r="AY241" s="22">
        <v>1.0632299999999999</v>
      </c>
      <c r="AZ241" s="22">
        <v>597.69799999999998</v>
      </c>
      <c r="BA241" s="22">
        <v>-2.3443599999999998E-2</v>
      </c>
      <c r="BB241" s="22">
        <v>231</v>
      </c>
      <c r="BC241" s="22">
        <v>1.0623199999999999</v>
      </c>
      <c r="BD241">
        <f t="shared" si="46"/>
        <v>23.4436</v>
      </c>
      <c r="BE241">
        <f t="shared" si="47"/>
        <v>24.925938827999996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79.371200000000002</v>
      </c>
      <c r="I242" s="22">
        <v>-2.4520900000000002E-2</v>
      </c>
      <c r="J242" s="22">
        <v>232</v>
      </c>
      <c r="K242" s="22">
        <v>0.63113399999999997</v>
      </c>
      <c r="L242">
        <f t="shared" si="36"/>
        <v>24.520900000000001</v>
      </c>
      <c r="M242">
        <f t="shared" si="37"/>
        <v>15.4901958226</v>
      </c>
      <c r="N242" s="9"/>
      <c r="O242" s="22">
        <v>1.0682700000000001</v>
      </c>
      <c r="P242" s="22">
        <v>168.68899999999999</v>
      </c>
      <c r="Q242" s="22">
        <v>-2.3715199999999999E-2</v>
      </c>
      <c r="R242" s="22">
        <v>232</v>
      </c>
      <c r="S242" s="22">
        <v>1.0674999999999999</v>
      </c>
      <c r="T242">
        <f t="shared" si="38"/>
        <v>23.715199999999999</v>
      </c>
      <c r="U242">
        <f t="shared" si="39"/>
        <v>25.334236704000002</v>
      </c>
      <c r="X242" s="9"/>
      <c r="Y242" s="22">
        <v>0.631714</v>
      </c>
      <c r="Z242" s="22">
        <v>292.65100000000001</v>
      </c>
      <c r="AA242" s="22">
        <v>-2.3950200000000001E-2</v>
      </c>
      <c r="AB242" s="22">
        <v>232</v>
      </c>
      <c r="AC242" s="22">
        <v>0.631104</v>
      </c>
      <c r="AD242">
        <f t="shared" si="40"/>
        <v>23.950200000000002</v>
      </c>
      <c r="AE242">
        <f t="shared" si="41"/>
        <v>15.129676642800002</v>
      </c>
      <c r="AF242" s="9"/>
      <c r="AG242" s="22">
        <v>1.0682700000000001</v>
      </c>
      <c r="AH242" s="22">
        <v>398.53</v>
      </c>
      <c r="AI242" s="22">
        <v>-2.3458900000000001E-2</v>
      </c>
      <c r="AJ242" s="22">
        <v>232</v>
      </c>
      <c r="AK242" s="22">
        <v>1.0674999999999999</v>
      </c>
      <c r="AL242">
        <f t="shared" si="42"/>
        <v>23.4589</v>
      </c>
      <c r="AM242">
        <f t="shared" si="43"/>
        <v>25.060439103</v>
      </c>
      <c r="AP242" s="9"/>
      <c r="AQ242" s="22">
        <v>0.631714</v>
      </c>
      <c r="AR242" s="22">
        <v>486.92</v>
      </c>
      <c r="AS242" s="22">
        <v>-2.3825099999999998E-2</v>
      </c>
      <c r="AT242" s="22">
        <v>232</v>
      </c>
      <c r="AU242" s="22">
        <v>0.63143899999999997</v>
      </c>
      <c r="AV242">
        <f t="shared" si="44"/>
        <v>23.825099999999999</v>
      </c>
      <c r="AW242">
        <f t="shared" si="45"/>
        <v>15.050649221399999</v>
      </c>
      <c r="AX242" s="9"/>
      <c r="AY242" s="22">
        <v>1.0682700000000001</v>
      </c>
      <c r="AZ242" s="22">
        <v>597.79899999999998</v>
      </c>
      <c r="BA242" s="22">
        <v>-2.3434400000000001E-2</v>
      </c>
      <c r="BB242" s="22">
        <v>232</v>
      </c>
      <c r="BC242" s="22">
        <v>1.0674999999999999</v>
      </c>
      <c r="BD242">
        <f t="shared" si="46"/>
        <v>23.4344</v>
      </c>
      <c r="BE242">
        <f t="shared" si="47"/>
        <v>25.034266488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79.471900000000005</v>
      </c>
      <c r="I243" s="22">
        <v>-2.4517799999999999E-2</v>
      </c>
      <c r="J243" s="22">
        <v>233</v>
      </c>
      <c r="K243" s="22">
        <v>0.62606799999999996</v>
      </c>
      <c r="L243">
        <f t="shared" si="36"/>
        <v>24.517799999999998</v>
      </c>
      <c r="M243">
        <f t="shared" si="37"/>
        <v>15.364765868399997</v>
      </c>
      <c r="N243" s="9"/>
      <c r="O243" s="22">
        <v>1.0732999999999999</v>
      </c>
      <c r="P243" s="22">
        <v>168.78899999999999</v>
      </c>
      <c r="Q243" s="22">
        <v>-2.3712199999999999E-2</v>
      </c>
      <c r="R243" s="22">
        <v>233</v>
      </c>
      <c r="S243" s="22">
        <v>1.0720799999999999</v>
      </c>
      <c r="T243">
        <f t="shared" si="38"/>
        <v>23.712199999999999</v>
      </c>
      <c r="U243">
        <f t="shared" si="39"/>
        <v>25.450304259999996</v>
      </c>
      <c r="X243" s="9"/>
      <c r="Y243" s="22">
        <v>0.62667799999999996</v>
      </c>
      <c r="Z243" s="22">
        <v>292.75099999999998</v>
      </c>
      <c r="AA243" s="22">
        <v>-2.3986799999999999E-2</v>
      </c>
      <c r="AB243" s="22">
        <v>233</v>
      </c>
      <c r="AC243" s="22">
        <v>0.626251</v>
      </c>
      <c r="AD243">
        <f t="shared" si="40"/>
        <v>23.986799999999999</v>
      </c>
      <c r="AE243">
        <f t="shared" si="41"/>
        <v>15.031999850399998</v>
      </c>
      <c r="AF243" s="9"/>
      <c r="AG243" s="22">
        <v>1.0732999999999999</v>
      </c>
      <c r="AH243" s="22">
        <v>398.63</v>
      </c>
      <c r="AI243" s="22">
        <v>-2.3455799999999999E-2</v>
      </c>
      <c r="AJ243" s="22">
        <v>233</v>
      </c>
      <c r="AK243" s="22">
        <v>1.0726899999999999</v>
      </c>
      <c r="AL243">
        <f t="shared" si="42"/>
        <v>23.4558</v>
      </c>
      <c r="AM243">
        <f t="shared" si="43"/>
        <v>25.175110139999997</v>
      </c>
      <c r="AP243" s="9"/>
      <c r="AQ243" s="22">
        <v>0.62667799999999996</v>
      </c>
      <c r="AR243" s="22">
        <v>487.02100000000002</v>
      </c>
      <c r="AS243" s="22">
        <v>-2.38312E-2</v>
      </c>
      <c r="AT243" s="22">
        <v>233</v>
      </c>
      <c r="AU243" s="22">
        <v>0.625946</v>
      </c>
      <c r="AV243">
        <f t="shared" si="44"/>
        <v>23.831199999999999</v>
      </c>
      <c r="AW243">
        <f t="shared" si="45"/>
        <v>14.934488753599998</v>
      </c>
      <c r="AX243" s="9"/>
      <c r="AY243" s="22">
        <v>1.0732999999999999</v>
      </c>
      <c r="AZ243" s="22">
        <v>597.9</v>
      </c>
      <c r="BA243" s="22">
        <v>-2.34253E-2</v>
      </c>
      <c r="BB243" s="22">
        <v>233</v>
      </c>
      <c r="BC243" s="22">
        <v>1.07178</v>
      </c>
      <c r="BD243">
        <f t="shared" si="46"/>
        <v>23.4253</v>
      </c>
      <c r="BE243">
        <f t="shared" si="47"/>
        <v>25.142374489999998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79.572599999999994</v>
      </c>
      <c r="I244" s="22">
        <v>-2.4511700000000001E-2</v>
      </c>
      <c r="J244" s="22">
        <v>234</v>
      </c>
      <c r="K244" s="22">
        <v>0.62066699999999997</v>
      </c>
      <c r="L244">
        <f t="shared" si="36"/>
        <v>24.511700000000001</v>
      </c>
      <c r="M244">
        <f t="shared" si="37"/>
        <v>15.2375267231</v>
      </c>
      <c r="N244" s="9"/>
      <c r="O244" s="22">
        <v>1.0783400000000001</v>
      </c>
      <c r="P244" s="22">
        <v>168.89</v>
      </c>
      <c r="Q244" s="22">
        <v>-2.3712199999999999E-2</v>
      </c>
      <c r="R244" s="22">
        <v>234</v>
      </c>
      <c r="S244" s="22">
        <v>1.07819</v>
      </c>
      <c r="T244">
        <f t="shared" si="38"/>
        <v>23.712199999999999</v>
      </c>
      <c r="U244">
        <f t="shared" si="39"/>
        <v>25.569813748000001</v>
      </c>
      <c r="X244" s="9"/>
      <c r="Y244" s="22">
        <v>0.62164299999999995</v>
      </c>
      <c r="Z244" s="22">
        <v>292.85199999999998</v>
      </c>
      <c r="AA244" s="22">
        <v>-2.3996E-2</v>
      </c>
      <c r="AB244" s="22">
        <v>234</v>
      </c>
      <c r="AC244" s="22">
        <v>0.62103299999999995</v>
      </c>
      <c r="AD244">
        <f t="shared" si="40"/>
        <v>23.995999999999999</v>
      </c>
      <c r="AE244">
        <f t="shared" si="41"/>
        <v>14.916945427999998</v>
      </c>
      <c r="AF244" s="9"/>
      <c r="AG244" s="22">
        <v>1.0783400000000001</v>
      </c>
      <c r="AH244" s="22">
        <v>398.73099999999999</v>
      </c>
      <c r="AI244" s="22">
        <v>-2.34497E-2</v>
      </c>
      <c r="AJ244" s="22">
        <v>234</v>
      </c>
      <c r="AK244" s="22">
        <v>1.07819</v>
      </c>
      <c r="AL244">
        <f t="shared" si="42"/>
        <v>23.4497</v>
      </c>
      <c r="AM244">
        <f t="shared" si="43"/>
        <v>25.286749498000002</v>
      </c>
      <c r="AP244" s="9"/>
      <c r="AQ244" s="22">
        <v>0.62164299999999995</v>
      </c>
      <c r="AR244" s="22">
        <v>487.12099999999998</v>
      </c>
      <c r="AS244" s="22">
        <v>-2.3837299999999999E-2</v>
      </c>
      <c r="AT244" s="22">
        <v>234</v>
      </c>
      <c r="AU244" s="22">
        <v>0.62109400000000003</v>
      </c>
      <c r="AV244">
        <f t="shared" si="44"/>
        <v>23.837299999999999</v>
      </c>
      <c r="AW244">
        <f t="shared" si="45"/>
        <v>14.818290683899997</v>
      </c>
      <c r="AX244" s="9"/>
      <c r="AY244" s="22">
        <v>1.0783400000000001</v>
      </c>
      <c r="AZ244" s="22">
        <v>598</v>
      </c>
      <c r="BA244" s="22">
        <v>-2.3419200000000001E-2</v>
      </c>
      <c r="BB244" s="22">
        <v>234</v>
      </c>
      <c r="BC244" s="22">
        <v>1.0778799999999999</v>
      </c>
      <c r="BD244">
        <f t="shared" si="46"/>
        <v>23.4192</v>
      </c>
      <c r="BE244">
        <f t="shared" si="47"/>
        <v>25.253860128000003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79.673299999999998</v>
      </c>
      <c r="I245" s="22">
        <v>-2.4527E-2</v>
      </c>
      <c r="J245" s="22">
        <v>235</v>
      </c>
      <c r="K245" s="22">
        <v>0.61584499999999998</v>
      </c>
      <c r="L245">
        <f t="shared" si="36"/>
        <v>24.527000000000001</v>
      </c>
      <c r="M245">
        <f t="shared" si="37"/>
        <v>15.123544416000001</v>
      </c>
      <c r="N245" s="9"/>
      <c r="O245" s="22">
        <v>1.0833699999999999</v>
      </c>
      <c r="P245" s="22">
        <v>168.99100000000001</v>
      </c>
      <c r="Q245" s="22">
        <v>-2.3699999999999999E-2</v>
      </c>
      <c r="R245" s="22">
        <v>235</v>
      </c>
      <c r="S245" s="22">
        <v>1.08307</v>
      </c>
      <c r="T245">
        <f t="shared" si="38"/>
        <v>23.7</v>
      </c>
      <c r="U245">
        <f t="shared" si="39"/>
        <v>25.675868999999999</v>
      </c>
      <c r="X245" s="9"/>
      <c r="Y245" s="22">
        <v>0.61660800000000004</v>
      </c>
      <c r="Z245" s="22">
        <v>292.95299999999997</v>
      </c>
      <c r="AA245" s="22">
        <v>-2.3996E-2</v>
      </c>
      <c r="AB245" s="22">
        <v>235</v>
      </c>
      <c r="AC245" s="22">
        <v>0.61553999999999998</v>
      </c>
      <c r="AD245">
        <f t="shared" si="40"/>
        <v>23.995999999999999</v>
      </c>
      <c r="AE245">
        <f t="shared" si="41"/>
        <v>14.796125568000001</v>
      </c>
      <c r="AF245" s="9"/>
      <c r="AG245" s="22">
        <v>1.0833699999999999</v>
      </c>
      <c r="AH245" s="22">
        <v>398.83199999999999</v>
      </c>
      <c r="AI245" s="22">
        <v>-2.3443599999999998E-2</v>
      </c>
      <c r="AJ245" s="22">
        <v>235</v>
      </c>
      <c r="AK245" s="22">
        <v>1.0827599999999999</v>
      </c>
      <c r="AL245">
        <f t="shared" si="42"/>
        <v>23.4436</v>
      </c>
      <c r="AM245">
        <f t="shared" si="43"/>
        <v>25.398092931999997</v>
      </c>
      <c r="AP245" s="9"/>
      <c r="AQ245" s="22">
        <v>0.61660800000000004</v>
      </c>
      <c r="AR245" s="22">
        <v>487.22199999999998</v>
      </c>
      <c r="AS245" s="22">
        <v>-2.3837299999999999E-2</v>
      </c>
      <c r="AT245" s="22">
        <v>235</v>
      </c>
      <c r="AU245" s="22">
        <v>0.61605799999999999</v>
      </c>
      <c r="AV245">
        <f t="shared" si="44"/>
        <v>23.837299999999999</v>
      </c>
      <c r="AW245">
        <f t="shared" si="45"/>
        <v>14.6982698784</v>
      </c>
      <c r="AX245" s="9"/>
      <c r="AY245" s="22">
        <v>1.0833699999999999</v>
      </c>
      <c r="AZ245" s="22">
        <v>598.101</v>
      </c>
      <c r="BA245" s="22">
        <v>-2.341E-2</v>
      </c>
      <c r="BB245" s="22">
        <v>235</v>
      </c>
      <c r="BC245" s="22">
        <v>1.08246</v>
      </c>
      <c r="BD245">
        <f t="shared" si="46"/>
        <v>23.41</v>
      </c>
      <c r="BE245">
        <f t="shared" si="47"/>
        <v>25.361691699999998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79.774000000000001</v>
      </c>
      <c r="I246" s="22">
        <v>-2.4533099999999999E-2</v>
      </c>
      <c r="J246" s="22">
        <v>236</v>
      </c>
      <c r="K246" s="22">
        <v>0.61114500000000005</v>
      </c>
      <c r="L246">
        <f t="shared" si="36"/>
        <v>24.533099999999997</v>
      </c>
      <c r="M246">
        <f t="shared" si="37"/>
        <v>15.003757033199999</v>
      </c>
      <c r="N246" s="9"/>
      <c r="O246" s="22">
        <v>1.0884100000000001</v>
      </c>
      <c r="P246" s="22">
        <v>169.09100000000001</v>
      </c>
      <c r="Q246" s="22">
        <v>-2.3693800000000001E-2</v>
      </c>
      <c r="R246" s="22">
        <v>236</v>
      </c>
      <c r="S246" s="22">
        <v>1.08795</v>
      </c>
      <c r="T246">
        <f t="shared" si="38"/>
        <v>23.6938</v>
      </c>
      <c r="U246">
        <f t="shared" si="39"/>
        <v>25.788568858000001</v>
      </c>
      <c r="X246" s="9"/>
      <c r="Y246" s="22">
        <v>0.611572</v>
      </c>
      <c r="Z246" s="22">
        <v>293.05399999999997</v>
      </c>
      <c r="AA246" s="22">
        <v>-2.40082E-2</v>
      </c>
      <c r="AB246" s="22">
        <v>236</v>
      </c>
      <c r="AC246" s="22">
        <v>0.61084000000000005</v>
      </c>
      <c r="AD246">
        <f t="shared" si="40"/>
        <v>24.008199999999999</v>
      </c>
      <c r="AE246">
        <f t="shared" si="41"/>
        <v>14.6827428904</v>
      </c>
      <c r="AF246" s="9"/>
      <c r="AG246" s="22">
        <v>1.0884100000000001</v>
      </c>
      <c r="AH246" s="22">
        <v>398.93200000000002</v>
      </c>
      <c r="AI246" s="22">
        <v>-2.3440599999999999E-2</v>
      </c>
      <c r="AJ246" s="22">
        <v>236</v>
      </c>
      <c r="AK246" s="22">
        <v>1.08765</v>
      </c>
      <c r="AL246">
        <f t="shared" si="42"/>
        <v>23.4406</v>
      </c>
      <c r="AM246">
        <f t="shared" si="43"/>
        <v>25.512983446000003</v>
      </c>
      <c r="AP246" s="9"/>
      <c r="AQ246" s="22">
        <v>0.611572</v>
      </c>
      <c r="AR246" s="22">
        <v>487.32299999999998</v>
      </c>
      <c r="AS246" s="22">
        <v>-2.3843400000000001E-2</v>
      </c>
      <c r="AT246" s="22">
        <v>236</v>
      </c>
      <c r="AU246" s="22">
        <v>0.61077899999999996</v>
      </c>
      <c r="AV246">
        <f t="shared" si="44"/>
        <v>23.843399999999999</v>
      </c>
      <c r="AW246">
        <f t="shared" si="45"/>
        <v>14.5819558248</v>
      </c>
      <c r="AX246" s="9"/>
      <c r="AY246" s="22">
        <v>1.0884100000000001</v>
      </c>
      <c r="AZ246" s="22">
        <v>598.202</v>
      </c>
      <c r="BA246" s="22">
        <v>-2.3407000000000001E-2</v>
      </c>
      <c r="BB246" s="22">
        <v>236</v>
      </c>
      <c r="BC246" s="22">
        <v>1.08765</v>
      </c>
      <c r="BD246">
        <f t="shared" si="46"/>
        <v>23.407</v>
      </c>
      <c r="BE246">
        <f t="shared" si="47"/>
        <v>25.476412870000001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79.874700000000004</v>
      </c>
      <c r="I247" s="22">
        <v>-2.4533099999999999E-2</v>
      </c>
      <c r="J247" s="22">
        <v>237</v>
      </c>
      <c r="K247" s="22">
        <v>0.60650599999999999</v>
      </c>
      <c r="L247">
        <f t="shared" si="36"/>
        <v>24.533099999999997</v>
      </c>
      <c r="M247">
        <f t="shared" si="37"/>
        <v>14.880232874699999</v>
      </c>
      <c r="N247" s="9"/>
      <c r="O247" s="22">
        <v>1.09344</v>
      </c>
      <c r="P247" s="22">
        <v>169.19200000000001</v>
      </c>
      <c r="Q247" s="22">
        <v>-2.3690800000000001E-2</v>
      </c>
      <c r="R247" s="22">
        <v>237</v>
      </c>
      <c r="S247" s="22">
        <v>1.09283</v>
      </c>
      <c r="T247">
        <f t="shared" si="38"/>
        <v>23.690800000000003</v>
      </c>
      <c r="U247">
        <f t="shared" si="39"/>
        <v>25.904468352000002</v>
      </c>
      <c r="X247" s="9"/>
      <c r="Y247" s="22">
        <v>0.60653699999999999</v>
      </c>
      <c r="Z247" s="22">
        <v>293.154</v>
      </c>
      <c r="AA247" s="22">
        <v>-2.4020400000000001E-2</v>
      </c>
      <c r="AB247" s="22">
        <v>237</v>
      </c>
      <c r="AC247" s="22">
        <v>0.60601799999999995</v>
      </c>
      <c r="AD247">
        <f t="shared" si="40"/>
        <v>24.020400000000002</v>
      </c>
      <c r="AE247">
        <f t="shared" si="41"/>
        <v>14.569261354800002</v>
      </c>
      <c r="AF247" s="9"/>
      <c r="AG247" s="22">
        <v>1.09344</v>
      </c>
      <c r="AH247" s="22">
        <v>399.03300000000002</v>
      </c>
      <c r="AI247" s="22">
        <v>-2.3434400000000001E-2</v>
      </c>
      <c r="AJ247" s="22">
        <v>237</v>
      </c>
      <c r="AK247" s="22">
        <v>1.09253</v>
      </c>
      <c r="AL247">
        <f t="shared" si="42"/>
        <v>23.4344</v>
      </c>
      <c r="AM247">
        <f t="shared" si="43"/>
        <v>25.624110336000001</v>
      </c>
      <c r="AP247" s="9"/>
      <c r="AQ247" s="22">
        <v>0.60653699999999999</v>
      </c>
      <c r="AR247" s="22">
        <v>487.42399999999998</v>
      </c>
      <c r="AS247" s="22">
        <v>-2.38464E-2</v>
      </c>
      <c r="AT247" s="22">
        <v>237</v>
      </c>
      <c r="AU247" s="22">
        <v>0.60574300000000003</v>
      </c>
      <c r="AV247">
        <f t="shared" si="44"/>
        <v>23.846399999999999</v>
      </c>
      <c r="AW247">
        <f t="shared" si="45"/>
        <v>14.463723916799999</v>
      </c>
      <c r="AX247" s="9"/>
      <c r="AY247" s="22">
        <v>1.09344</v>
      </c>
      <c r="AZ247" s="22">
        <v>598.30200000000002</v>
      </c>
      <c r="BA247" s="22">
        <v>-2.3400899999999999E-2</v>
      </c>
      <c r="BB247" s="22">
        <v>237</v>
      </c>
      <c r="BC247" s="22">
        <v>1.09314</v>
      </c>
      <c r="BD247">
        <f t="shared" si="46"/>
        <v>23.4009</v>
      </c>
      <c r="BE247">
        <f t="shared" si="47"/>
        <v>25.587480096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79.975399999999993</v>
      </c>
      <c r="I248" s="22">
        <v>-2.45422E-2</v>
      </c>
      <c r="J248" s="22">
        <v>238</v>
      </c>
      <c r="K248" s="22">
        <v>0.600464</v>
      </c>
      <c r="L248">
        <f t="shared" si="36"/>
        <v>24.542200000000001</v>
      </c>
      <c r="M248">
        <f t="shared" si="37"/>
        <v>14.762157842199999</v>
      </c>
      <c r="N248" s="9"/>
      <c r="O248" s="22">
        <v>1.0984799999999999</v>
      </c>
      <c r="P248" s="22">
        <v>169.29300000000001</v>
      </c>
      <c r="Q248" s="22">
        <v>-2.3687699999999999E-2</v>
      </c>
      <c r="R248" s="22">
        <v>238</v>
      </c>
      <c r="S248" s="22">
        <v>1.09711</v>
      </c>
      <c r="T248">
        <f t="shared" si="38"/>
        <v>23.6877</v>
      </c>
      <c r="U248">
        <f t="shared" si="39"/>
        <v>26.020464695999998</v>
      </c>
      <c r="X248" s="9"/>
      <c r="Y248" s="22">
        <v>0.60150099999999995</v>
      </c>
      <c r="Z248" s="22">
        <v>293.255</v>
      </c>
      <c r="AA248" s="22">
        <v>-2.4026499999999999E-2</v>
      </c>
      <c r="AB248" s="22">
        <v>238</v>
      </c>
      <c r="AC248" s="22">
        <v>0.60058599999999995</v>
      </c>
      <c r="AD248">
        <f t="shared" si="40"/>
        <v>24.026499999999999</v>
      </c>
      <c r="AE248">
        <f t="shared" si="41"/>
        <v>14.451963776499998</v>
      </c>
      <c r="AF248" s="9"/>
      <c r="AG248" s="22">
        <v>1.0984799999999999</v>
      </c>
      <c r="AH248" s="22">
        <v>399.13400000000001</v>
      </c>
      <c r="AI248" s="22">
        <v>-2.3422200000000001E-2</v>
      </c>
      <c r="AJ248" s="22">
        <v>238</v>
      </c>
      <c r="AK248" s="22">
        <v>1.09772</v>
      </c>
      <c r="AL248">
        <f t="shared" si="42"/>
        <v>23.4222</v>
      </c>
      <c r="AM248">
        <f t="shared" si="43"/>
        <v>25.728818255999997</v>
      </c>
      <c r="AP248" s="9"/>
      <c r="AQ248" s="22">
        <v>0.60150099999999995</v>
      </c>
      <c r="AR248" s="22">
        <v>487.524</v>
      </c>
      <c r="AS248" s="22">
        <v>-2.3852499999999999E-2</v>
      </c>
      <c r="AT248" s="22">
        <v>238</v>
      </c>
      <c r="AU248" s="22">
        <v>0.60095200000000004</v>
      </c>
      <c r="AV248">
        <f t="shared" si="44"/>
        <v>23.852499999999999</v>
      </c>
      <c r="AW248">
        <f t="shared" si="45"/>
        <v>14.347302602499999</v>
      </c>
      <c r="AX248" s="9"/>
      <c r="AY248" s="22">
        <v>1.0984799999999999</v>
      </c>
      <c r="AZ248" s="22">
        <v>598.40300000000002</v>
      </c>
      <c r="BA248" s="22">
        <v>-2.33978E-2</v>
      </c>
      <c r="BB248" s="22">
        <v>238</v>
      </c>
      <c r="BC248" s="22">
        <v>1.09741</v>
      </c>
      <c r="BD248">
        <f t="shared" si="46"/>
        <v>23.3978</v>
      </c>
      <c r="BE248">
        <f t="shared" si="47"/>
        <v>25.702015343999999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80.076099999999997</v>
      </c>
      <c r="I249" s="22">
        <v>-2.4548299999999999E-2</v>
      </c>
      <c r="J249" s="22">
        <v>239</v>
      </c>
      <c r="K249" s="22">
        <v>0.59570299999999998</v>
      </c>
      <c r="L249">
        <f t="shared" si="36"/>
        <v>24.548299999999998</v>
      </c>
      <c r="M249">
        <f t="shared" si="37"/>
        <v>14.6422263078</v>
      </c>
      <c r="N249" s="9"/>
      <c r="O249" s="22">
        <v>1.1035200000000001</v>
      </c>
      <c r="P249" s="22">
        <v>169.39400000000001</v>
      </c>
      <c r="Q249" s="22">
        <v>-2.3675499999999999E-2</v>
      </c>
      <c r="R249" s="22">
        <v>239</v>
      </c>
      <c r="S249" s="22">
        <v>1.10199</v>
      </c>
      <c r="T249">
        <f t="shared" si="38"/>
        <v>23.6755</v>
      </c>
      <c r="U249">
        <f t="shared" si="39"/>
        <v>26.12638776</v>
      </c>
      <c r="X249" s="9"/>
      <c r="Y249" s="22">
        <v>0.59646600000000005</v>
      </c>
      <c r="Z249" s="22">
        <v>293.35599999999999</v>
      </c>
      <c r="AA249" s="22">
        <v>-2.4032600000000001E-2</v>
      </c>
      <c r="AB249" s="22">
        <v>239</v>
      </c>
      <c r="AC249" s="22">
        <v>0.59591700000000003</v>
      </c>
      <c r="AD249">
        <f t="shared" si="40"/>
        <v>24.032600000000002</v>
      </c>
      <c r="AE249">
        <f t="shared" si="41"/>
        <v>14.334628791600002</v>
      </c>
      <c r="AF249" s="9"/>
      <c r="AG249" s="22">
        <v>1.1035200000000001</v>
      </c>
      <c r="AH249" s="22">
        <v>399.23500000000001</v>
      </c>
      <c r="AI249" s="22">
        <v>-2.3419200000000001E-2</v>
      </c>
      <c r="AJ249" s="22">
        <v>239</v>
      </c>
      <c r="AK249" s="22">
        <v>1.10199</v>
      </c>
      <c r="AL249">
        <f t="shared" si="42"/>
        <v>23.4192</v>
      </c>
      <c r="AM249">
        <f t="shared" si="43"/>
        <v>25.843555584000001</v>
      </c>
      <c r="AP249" s="9"/>
      <c r="AQ249" s="22">
        <v>0.59646600000000005</v>
      </c>
      <c r="AR249" s="22">
        <v>487.625</v>
      </c>
      <c r="AS249" s="22">
        <v>-2.3867800000000002E-2</v>
      </c>
      <c r="AT249" s="22">
        <v>239</v>
      </c>
      <c r="AU249" s="22">
        <v>0.59616100000000005</v>
      </c>
      <c r="AV249">
        <f t="shared" si="44"/>
        <v>23.867800000000003</v>
      </c>
      <c r="AW249">
        <f t="shared" si="45"/>
        <v>14.236331194800004</v>
      </c>
      <c r="AX249" s="9"/>
      <c r="AY249" s="22">
        <v>1.1035200000000001</v>
      </c>
      <c r="AZ249" s="22">
        <v>598.50400000000002</v>
      </c>
      <c r="BA249" s="22">
        <v>-2.3391700000000001E-2</v>
      </c>
      <c r="BB249" s="22">
        <v>239</v>
      </c>
      <c r="BC249" s="22">
        <v>1.10229</v>
      </c>
      <c r="BD249">
        <f t="shared" si="46"/>
        <v>23.3917</v>
      </c>
      <c r="BE249">
        <f t="shared" si="47"/>
        <v>25.813208784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80.1768</v>
      </c>
      <c r="I250" s="22">
        <v>-2.4554400000000001E-2</v>
      </c>
      <c r="J250" s="22">
        <v>240</v>
      </c>
      <c r="K250" s="22">
        <v>0.59088099999999999</v>
      </c>
      <c r="L250">
        <f t="shared" si="36"/>
        <v>24.554400000000001</v>
      </c>
      <c r="M250">
        <f t="shared" si="37"/>
        <v>14.522233346400002</v>
      </c>
      <c r="N250" s="9"/>
      <c r="O250" s="22">
        <v>1.1085499999999999</v>
      </c>
      <c r="P250" s="22">
        <v>169.494</v>
      </c>
      <c r="Q250" s="22">
        <v>-2.36694E-2</v>
      </c>
      <c r="R250" s="22">
        <v>240</v>
      </c>
      <c r="S250" s="22">
        <v>1.10809</v>
      </c>
      <c r="T250">
        <f t="shared" si="38"/>
        <v>23.6694</v>
      </c>
      <c r="U250">
        <f t="shared" si="39"/>
        <v>26.238713369999999</v>
      </c>
      <c r="X250" s="9"/>
      <c r="Y250" s="22">
        <v>0.59143100000000004</v>
      </c>
      <c r="Z250" s="22">
        <v>293.45600000000002</v>
      </c>
      <c r="AA250" s="22">
        <v>-2.40387E-2</v>
      </c>
      <c r="AB250" s="22">
        <v>240</v>
      </c>
      <c r="AC250" s="22">
        <v>0.59091199999999999</v>
      </c>
      <c r="AD250">
        <f t="shared" si="40"/>
        <v>24.038699999999999</v>
      </c>
      <c r="AE250">
        <f t="shared" si="41"/>
        <v>14.2172323797</v>
      </c>
      <c r="AF250" s="9"/>
      <c r="AG250" s="22">
        <v>1.1085499999999999</v>
      </c>
      <c r="AH250" s="22">
        <v>399.33499999999998</v>
      </c>
      <c r="AI250" s="22">
        <v>-2.3419200000000001E-2</v>
      </c>
      <c r="AJ250" s="22">
        <v>240</v>
      </c>
      <c r="AK250" s="22">
        <v>1.1077900000000001</v>
      </c>
      <c r="AL250">
        <f t="shared" si="42"/>
        <v>23.4192</v>
      </c>
      <c r="AM250">
        <f t="shared" si="43"/>
        <v>25.961354159999999</v>
      </c>
      <c r="AP250" s="9"/>
      <c r="AQ250" s="22">
        <v>0.59143100000000004</v>
      </c>
      <c r="AR250" s="22">
        <v>487.726</v>
      </c>
      <c r="AS250" s="22">
        <v>-2.3864699999999999E-2</v>
      </c>
      <c r="AT250" s="22">
        <v>240</v>
      </c>
      <c r="AU250" s="22">
        <v>0.59042399999999995</v>
      </c>
      <c r="AV250">
        <f t="shared" si="44"/>
        <v>23.864699999999999</v>
      </c>
      <c r="AW250">
        <f t="shared" si="45"/>
        <v>14.114323385700001</v>
      </c>
      <c r="AX250" s="9"/>
      <c r="AY250" s="22">
        <v>1.1085499999999999</v>
      </c>
      <c r="AZ250" s="22">
        <v>598.60500000000002</v>
      </c>
      <c r="BA250" s="22">
        <v>-2.3388699999999998E-2</v>
      </c>
      <c r="BB250" s="22">
        <v>240</v>
      </c>
      <c r="BC250" s="22">
        <v>1.1084000000000001</v>
      </c>
      <c r="BD250">
        <f t="shared" si="46"/>
        <v>23.3887</v>
      </c>
      <c r="BE250">
        <f t="shared" si="47"/>
        <v>25.927543385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80.277500000000003</v>
      </c>
      <c r="I251" s="22">
        <v>-2.4554400000000001E-2</v>
      </c>
      <c r="J251" s="22">
        <v>241</v>
      </c>
      <c r="K251" s="22">
        <v>0.58590699999999996</v>
      </c>
      <c r="L251">
        <f t="shared" si="36"/>
        <v>24.554400000000001</v>
      </c>
      <c r="M251">
        <f t="shared" si="37"/>
        <v>14.398577388000001</v>
      </c>
      <c r="N251" s="9"/>
      <c r="O251" s="22">
        <v>1.1135900000000001</v>
      </c>
      <c r="P251" s="22">
        <v>169.595</v>
      </c>
      <c r="Q251" s="22">
        <v>-2.36694E-2</v>
      </c>
      <c r="R251" s="22">
        <v>241</v>
      </c>
      <c r="S251" s="22">
        <v>1.1123700000000001</v>
      </c>
      <c r="T251">
        <f t="shared" si="38"/>
        <v>23.6694</v>
      </c>
      <c r="U251">
        <f t="shared" si="39"/>
        <v>26.358007146000002</v>
      </c>
      <c r="X251" s="9"/>
      <c r="Y251" s="22">
        <v>0.586395</v>
      </c>
      <c r="Z251" s="22">
        <v>293.55700000000002</v>
      </c>
      <c r="AA251" s="22">
        <v>-2.4044800000000002E-2</v>
      </c>
      <c r="AB251" s="22">
        <v>241</v>
      </c>
      <c r="AC251" s="22">
        <v>0.58566300000000004</v>
      </c>
      <c r="AD251">
        <f t="shared" si="40"/>
        <v>24.044800000000002</v>
      </c>
      <c r="AE251">
        <f t="shared" si="41"/>
        <v>14.099750496</v>
      </c>
      <c r="AF251" s="9"/>
      <c r="AG251" s="22">
        <v>1.1135900000000001</v>
      </c>
      <c r="AH251" s="22">
        <v>399.43599999999998</v>
      </c>
      <c r="AI251" s="22">
        <v>-2.341E-2</v>
      </c>
      <c r="AJ251" s="22">
        <v>241</v>
      </c>
      <c r="AK251" s="22">
        <v>1.11267</v>
      </c>
      <c r="AL251">
        <f t="shared" si="42"/>
        <v>23.41</v>
      </c>
      <c r="AM251">
        <f t="shared" si="43"/>
        <v>26.069141900000002</v>
      </c>
      <c r="AP251" s="9"/>
      <c r="AQ251" s="22">
        <v>0.586395</v>
      </c>
      <c r="AR251" s="22">
        <v>487.82600000000002</v>
      </c>
      <c r="AS251" s="22">
        <v>-2.3879999999999998E-2</v>
      </c>
      <c r="AT251" s="22">
        <v>241</v>
      </c>
      <c r="AU251" s="22">
        <v>0.58636500000000003</v>
      </c>
      <c r="AV251">
        <f t="shared" si="44"/>
        <v>23.88</v>
      </c>
      <c r="AW251">
        <f t="shared" si="45"/>
        <v>14.0031126</v>
      </c>
      <c r="AX251" s="9"/>
      <c r="AY251" s="22">
        <v>1.1135900000000001</v>
      </c>
      <c r="AZ251" s="22">
        <v>598.70500000000004</v>
      </c>
      <c r="BA251" s="22">
        <v>-2.3379500000000001E-2</v>
      </c>
      <c r="BB251" s="22">
        <v>241</v>
      </c>
      <c r="BC251" s="22">
        <v>1.11267</v>
      </c>
      <c r="BD251">
        <f t="shared" si="46"/>
        <v>23.3795</v>
      </c>
      <c r="BE251">
        <f t="shared" si="47"/>
        <v>26.035177405000002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80.378200000000007</v>
      </c>
      <c r="I252" s="22">
        <v>-2.4563600000000001E-2</v>
      </c>
      <c r="J252" s="22">
        <v>242</v>
      </c>
      <c r="K252" s="22">
        <v>0.58081099999999997</v>
      </c>
      <c r="L252">
        <f t="shared" si="36"/>
        <v>24.563600000000001</v>
      </c>
      <c r="M252">
        <f t="shared" si="37"/>
        <v>14.280294496</v>
      </c>
      <c r="N252" s="9"/>
      <c r="O252" s="22">
        <v>1.1186199999999999</v>
      </c>
      <c r="P252" s="22">
        <v>169.696</v>
      </c>
      <c r="Q252" s="22">
        <v>-2.3663300000000002E-2</v>
      </c>
      <c r="R252" s="22">
        <v>242</v>
      </c>
      <c r="S252" s="22">
        <v>1.11755</v>
      </c>
      <c r="T252">
        <f t="shared" si="38"/>
        <v>23.663300000000003</v>
      </c>
      <c r="U252">
        <f t="shared" si="39"/>
        <v>26.470240646000001</v>
      </c>
      <c r="X252" s="9"/>
      <c r="Y252" s="22">
        <v>0.58135999999999999</v>
      </c>
      <c r="Z252" s="22">
        <v>293.65800000000002</v>
      </c>
      <c r="AA252" s="22">
        <v>-2.4053999999999999E-2</v>
      </c>
      <c r="AB252" s="22">
        <v>242</v>
      </c>
      <c r="AC252" s="22">
        <v>0.58059700000000003</v>
      </c>
      <c r="AD252">
        <f t="shared" si="40"/>
        <v>24.053999999999998</v>
      </c>
      <c r="AE252">
        <f t="shared" si="41"/>
        <v>13.984033439999999</v>
      </c>
      <c r="AF252" s="9"/>
      <c r="AG252" s="22">
        <v>1.1186199999999999</v>
      </c>
      <c r="AH252" s="22">
        <v>399.53699999999998</v>
      </c>
      <c r="AI252" s="22">
        <v>-2.3403899999999998E-2</v>
      </c>
      <c r="AJ252" s="22">
        <v>242</v>
      </c>
      <c r="AK252" s="22">
        <v>1.11755</v>
      </c>
      <c r="AL252">
        <f t="shared" si="42"/>
        <v>23.403899999999997</v>
      </c>
      <c r="AM252">
        <f t="shared" si="43"/>
        <v>26.180070617999995</v>
      </c>
      <c r="AP252" s="9"/>
      <c r="AQ252" s="22">
        <v>0.58135999999999999</v>
      </c>
      <c r="AR252" s="22">
        <v>487.92700000000002</v>
      </c>
      <c r="AS252" s="22">
        <v>-2.38861E-2</v>
      </c>
      <c r="AT252" s="22">
        <v>242</v>
      </c>
      <c r="AU252" s="22">
        <v>0.58102399999999998</v>
      </c>
      <c r="AV252">
        <f t="shared" si="44"/>
        <v>23.886099999999999</v>
      </c>
      <c r="AW252">
        <f t="shared" si="45"/>
        <v>13.886423096</v>
      </c>
      <c r="AX252" s="9"/>
      <c r="AY252" s="22">
        <v>1.1186199999999999</v>
      </c>
      <c r="AZ252" s="22">
        <v>598.80600000000004</v>
      </c>
      <c r="BA252" s="22">
        <v>-2.3367300000000001E-2</v>
      </c>
      <c r="BB252" s="22">
        <v>242</v>
      </c>
      <c r="BC252" s="22">
        <v>1.11755</v>
      </c>
      <c r="BD252">
        <f t="shared" si="46"/>
        <v>23.3673</v>
      </c>
      <c r="BE252">
        <f t="shared" si="47"/>
        <v>26.139129126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80.478899999999996</v>
      </c>
      <c r="I253" s="22">
        <v>-2.4548299999999999E-2</v>
      </c>
      <c r="J253" s="22">
        <v>243</v>
      </c>
      <c r="K253" s="22">
        <v>0.57586700000000002</v>
      </c>
      <c r="L253">
        <f t="shared" si="36"/>
        <v>24.548299999999998</v>
      </c>
      <c r="M253">
        <f t="shared" si="37"/>
        <v>14.147774449199998</v>
      </c>
      <c r="N253" s="9"/>
      <c r="O253" s="22">
        <v>1.1236600000000001</v>
      </c>
      <c r="P253" s="22">
        <v>169.79599999999999</v>
      </c>
      <c r="Q253" s="22">
        <v>-2.36572E-2</v>
      </c>
      <c r="R253" s="22">
        <v>243</v>
      </c>
      <c r="S253" s="22">
        <v>1.1230500000000001</v>
      </c>
      <c r="T253">
        <f t="shared" si="38"/>
        <v>23.6572</v>
      </c>
      <c r="U253">
        <f t="shared" si="39"/>
        <v>26.582649352000001</v>
      </c>
      <c r="X253" s="9"/>
      <c r="Y253" s="22">
        <v>0.57632399999999995</v>
      </c>
      <c r="Z253" s="22">
        <v>293.75900000000001</v>
      </c>
      <c r="AA253" s="22">
        <v>-2.4060100000000001E-2</v>
      </c>
      <c r="AB253" s="22">
        <v>243</v>
      </c>
      <c r="AC253" s="22">
        <v>0.57568399999999997</v>
      </c>
      <c r="AD253">
        <f t="shared" si="40"/>
        <v>24.060100000000002</v>
      </c>
      <c r="AE253">
        <f t="shared" si="41"/>
        <v>13.8664130724</v>
      </c>
      <c r="AF253" s="9"/>
      <c r="AG253" s="22">
        <v>1.1236600000000001</v>
      </c>
      <c r="AH253" s="22">
        <v>399.637</v>
      </c>
      <c r="AI253" s="22">
        <v>-2.33948E-2</v>
      </c>
      <c r="AJ253" s="22">
        <v>243</v>
      </c>
      <c r="AK253" s="22">
        <v>1.1224400000000001</v>
      </c>
      <c r="AL253">
        <f t="shared" si="42"/>
        <v>23.3948</v>
      </c>
      <c r="AM253">
        <f t="shared" si="43"/>
        <v>26.287800968000003</v>
      </c>
      <c r="AP253" s="9"/>
      <c r="AQ253" s="22">
        <v>0.57632399999999995</v>
      </c>
      <c r="AR253" s="22">
        <v>488.02800000000002</v>
      </c>
      <c r="AS253" s="22">
        <v>-2.3889199999999999E-2</v>
      </c>
      <c r="AT253" s="22">
        <v>243</v>
      </c>
      <c r="AU253" s="22">
        <v>0.575928</v>
      </c>
      <c r="AV253">
        <f t="shared" si="44"/>
        <v>23.889199999999999</v>
      </c>
      <c r="AW253">
        <f t="shared" si="45"/>
        <v>13.767919300799997</v>
      </c>
      <c r="AX253" s="9"/>
      <c r="AY253" s="22">
        <v>1.1236600000000001</v>
      </c>
      <c r="AZ253" s="22">
        <v>598.90700000000004</v>
      </c>
      <c r="BA253" s="22">
        <v>-2.3361199999999999E-2</v>
      </c>
      <c r="BB253" s="22">
        <v>243</v>
      </c>
      <c r="BC253" s="22">
        <v>1.1239600000000001</v>
      </c>
      <c r="BD253">
        <f t="shared" si="46"/>
        <v>23.3612</v>
      </c>
      <c r="BE253">
        <f t="shared" si="47"/>
        <v>26.250045992000004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80.579700000000003</v>
      </c>
      <c r="I254" s="22">
        <v>-2.4551400000000001E-2</v>
      </c>
      <c r="J254" s="22">
        <v>244</v>
      </c>
      <c r="K254" s="22">
        <v>0.57092299999999996</v>
      </c>
      <c r="L254">
        <f t="shared" si="36"/>
        <v>24.551400000000001</v>
      </c>
      <c r="M254">
        <f t="shared" si="37"/>
        <v>14.025944754600001</v>
      </c>
      <c r="N254" s="9"/>
      <c r="O254" s="22">
        <v>1.12869</v>
      </c>
      <c r="P254" s="22">
        <v>169.89699999999999</v>
      </c>
      <c r="Q254" s="22">
        <v>-2.3644999999999999E-2</v>
      </c>
      <c r="R254" s="22">
        <v>244</v>
      </c>
      <c r="S254" s="22">
        <v>1.1279300000000001</v>
      </c>
      <c r="T254">
        <f t="shared" si="38"/>
        <v>23.645</v>
      </c>
      <c r="U254">
        <f t="shared" si="39"/>
        <v>26.687875049999999</v>
      </c>
      <c r="X254" s="9"/>
      <c r="Y254" s="22">
        <v>0.57128900000000005</v>
      </c>
      <c r="Z254" s="22">
        <v>293.85899999999998</v>
      </c>
      <c r="AA254" s="22">
        <v>-2.4060100000000001E-2</v>
      </c>
      <c r="AB254" s="22">
        <v>244</v>
      </c>
      <c r="AC254" s="22">
        <v>0.57067900000000005</v>
      </c>
      <c r="AD254">
        <f t="shared" si="40"/>
        <v>24.060100000000002</v>
      </c>
      <c r="AE254">
        <f t="shared" si="41"/>
        <v>13.745270468900003</v>
      </c>
      <c r="AF254" s="9"/>
      <c r="AG254" s="22">
        <v>1.12869</v>
      </c>
      <c r="AH254" s="22">
        <v>399.738</v>
      </c>
      <c r="AI254" s="22">
        <v>-2.3391700000000001E-2</v>
      </c>
      <c r="AJ254" s="22">
        <v>244</v>
      </c>
      <c r="AK254" s="22">
        <v>1.1282300000000001</v>
      </c>
      <c r="AL254">
        <f t="shared" si="42"/>
        <v>23.3917</v>
      </c>
      <c r="AM254">
        <f t="shared" si="43"/>
        <v>26.401977873</v>
      </c>
      <c r="AP254" s="9"/>
      <c r="AQ254" s="22">
        <v>0.57128900000000005</v>
      </c>
      <c r="AR254" s="22">
        <v>488.12900000000002</v>
      </c>
      <c r="AS254" s="22">
        <v>-2.38861E-2</v>
      </c>
      <c r="AT254" s="22">
        <v>244</v>
      </c>
      <c r="AU254" s="22">
        <v>0.57070900000000002</v>
      </c>
      <c r="AV254">
        <f t="shared" si="44"/>
        <v>23.886099999999999</v>
      </c>
      <c r="AW254">
        <f t="shared" si="45"/>
        <v>13.645866182900001</v>
      </c>
      <c r="AX254" s="9"/>
      <c r="AY254" s="22">
        <v>1.12869</v>
      </c>
      <c r="AZ254" s="22">
        <v>599.00699999999995</v>
      </c>
      <c r="BA254" s="22">
        <v>-2.33551E-2</v>
      </c>
      <c r="BB254" s="22">
        <v>244</v>
      </c>
      <c r="BC254" s="22">
        <v>1.1282300000000001</v>
      </c>
      <c r="BD254">
        <f t="shared" si="46"/>
        <v>23.3551</v>
      </c>
      <c r="BE254">
        <f t="shared" si="47"/>
        <v>26.360667819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80.680400000000006</v>
      </c>
      <c r="I255" s="22">
        <v>-2.4563600000000001E-2</v>
      </c>
      <c r="J255" s="22">
        <v>245</v>
      </c>
      <c r="K255" s="22">
        <v>0.56567400000000001</v>
      </c>
      <c r="L255">
        <f t="shared" si="36"/>
        <v>24.563600000000001</v>
      </c>
      <c r="M255">
        <f t="shared" si="37"/>
        <v>13.909236754400002</v>
      </c>
      <c r="N255" s="9"/>
      <c r="O255" s="22">
        <v>1.1337299999999999</v>
      </c>
      <c r="P255" s="22">
        <v>169.99799999999999</v>
      </c>
      <c r="Q255" s="22">
        <v>-2.3644999999999999E-2</v>
      </c>
      <c r="R255" s="22">
        <v>245</v>
      </c>
      <c r="S255" s="22">
        <v>1.1325099999999999</v>
      </c>
      <c r="T255">
        <f t="shared" si="38"/>
        <v>23.645</v>
      </c>
      <c r="U255">
        <f t="shared" si="39"/>
        <v>26.807045849999998</v>
      </c>
      <c r="X255" s="9"/>
      <c r="Y255" s="22">
        <v>0.56625400000000004</v>
      </c>
      <c r="Z255" s="22">
        <v>293.95999999999998</v>
      </c>
      <c r="AA255" s="22">
        <v>-2.4066199999999999E-2</v>
      </c>
      <c r="AB255" s="22">
        <v>245</v>
      </c>
      <c r="AC255" s="22">
        <v>0.56542999999999999</v>
      </c>
      <c r="AD255">
        <f t="shared" si="40"/>
        <v>24.066199999999998</v>
      </c>
      <c r="AE255">
        <f t="shared" si="41"/>
        <v>13.6275820148</v>
      </c>
      <c r="AF255" s="9"/>
      <c r="AG255" s="22">
        <v>1.1337299999999999</v>
      </c>
      <c r="AH255" s="22">
        <v>399.839</v>
      </c>
      <c r="AI255" s="22">
        <v>-2.33826E-2</v>
      </c>
      <c r="AJ255" s="22">
        <v>245</v>
      </c>
      <c r="AK255" s="22">
        <v>1.1328100000000001</v>
      </c>
      <c r="AL255">
        <f t="shared" si="42"/>
        <v>23.3826</v>
      </c>
      <c r="AM255">
        <f t="shared" si="43"/>
        <v>26.509555097999996</v>
      </c>
      <c r="AP255" s="9"/>
      <c r="AQ255" s="22">
        <v>0.56625400000000004</v>
      </c>
      <c r="AR255" s="22">
        <v>488.22899999999998</v>
      </c>
      <c r="AS255" s="22">
        <v>-2.3904399999999999E-2</v>
      </c>
      <c r="AT255" s="22">
        <v>245</v>
      </c>
      <c r="AU255" s="22">
        <v>0.56567400000000001</v>
      </c>
      <c r="AV255">
        <f t="shared" si="44"/>
        <v>23.904399999999999</v>
      </c>
      <c r="AW255">
        <f t="shared" si="45"/>
        <v>13.5359621176</v>
      </c>
      <c r="AX255" s="9"/>
      <c r="AY255" s="22">
        <v>1.1337299999999999</v>
      </c>
      <c r="AZ255" s="22">
        <v>599.10799999999995</v>
      </c>
      <c r="BA255" s="22">
        <v>-2.33551E-2</v>
      </c>
      <c r="BB255" s="22">
        <v>245</v>
      </c>
      <c r="BC255" s="22">
        <v>1.1325099999999999</v>
      </c>
      <c r="BD255">
        <f t="shared" si="46"/>
        <v>23.3551</v>
      </c>
      <c r="BE255">
        <f t="shared" si="47"/>
        <v>26.478377522999999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80.781099999999995</v>
      </c>
      <c r="I256" s="22">
        <v>-2.4560499999999999E-2</v>
      </c>
      <c r="J256" s="22">
        <v>246</v>
      </c>
      <c r="K256" s="22">
        <v>0.56076000000000004</v>
      </c>
      <c r="L256">
        <f t="shared" si="36"/>
        <v>24.560499999999998</v>
      </c>
      <c r="M256">
        <f t="shared" si="37"/>
        <v>13.783794688999999</v>
      </c>
      <c r="N256" s="9"/>
      <c r="O256" s="22">
        <v>1.13876</v>
      </c>
      <c r="P256" s="22">
        <v>170.09899999999999</v>
      </c>
      <c r="Q256" s="22">
        <v>-2.3635900000000001E-2</v>
      </c>
      <c r="R256" s="22">
        <v>246</v>
      </c>
      <c r="S256" s="22">
        <v>1.1383099999999999</v>
      </c>
      <c r="T256">
        <f t="shared" si="38"/>
        <v>23.635900000000003</v>
      </c>
      <c r="U256">
        <f t="shared" si="39"/>
        <v>26.915617484000002</v>
      </c>
      <c r="X256" s="9"/>
      <c r="Y256" s="22">
        <v>0.56121799999999999</v>
      </c>
      <c r="Z256" s="22">
        <v>294.06099999999998</v>
      </c>
      <c r="AA256" s="22">
        <v>-2.4081399999999999E-2</v>
      </c>
      <c r="AB256" s="22">
        <v>246</v>
      </c>
      <c r="AC256" s="22">
        <v>0.56069899999999995</v>
      </c>
      <c r="AD256">
        <f t="shared" si="40"/>
        <v>24.081399999999999</v>
      </c>
      <c r="AE256">
        <f t="shared" si="41"/>
        <v>13.5149151452</v>
      </c>
      <c r="AF256" s="9"/>
      <c r="AG256" s="22">
        <v>1.13876</v>
      </c>
      <c r="AH256" s="22">
        <v>399.93900000000002</v>
      </c>
      <c r="AI256" s="22">
        <v>-2.3379500000000001E-2</v>
      </c>
      <c r="AJ256" s="22">
        <v>246</v>
      </c>
      <c r="AK256" s="22">
        <v>1.1383099999999999</v>
      </c>
      <c r="AL256">
        <f t="shared" si="42"/>
        <v>23.3795</v>
      </c>
      <c r="AM256">
        <f t="shared" si="43"/>
        <v>26.62363942</v>
      </c>
      <c r="AP256" s="9"/>
      <c r="AQ256" s="22">
        <v>0.56121799999999999</v>
      </c>
      <c r="AR256" s="22">
        <v>488.33</v>
      </c>
      <c r="AS256" s="22">
        <v>-2.3898300000000001E-2</v>
      </c>
      <c r="AT256" s="22">
        <v>246</v>
      </c>
      <c r="AU256" s="22">
        <v>0.560608</v>
      </c>
      <c r="AV256">
        <f t="shared" si="44"/>
        <v>23.898300000000003</v>
      </c>
      <c r="AW256">
        <f t="shared" si="45"/>
        <v>13.412156129400001</v>
      </c>
      <c r="AX256" s="9"/>
      <c r="AY256" s="22">
        <v>1.13876</v>
      </c>
      <c r="AZ256" s="22">
        <v>599.20899999999995</v>
      </c>
      <c r="BA256" s="22">
        <v>-2.3339800000000001E-2</v>
      </c>
      <c r="BB256" s="22">
        <v>246</v>
      </c>
      <c r="BC256" s="22">
        <v>1.1383099999999999</v>
      </c>
      <c r="BD256">
        <f t="shared" si="46"/>
        <v>23.3398</v>
      </c>
      <c r="BE256">
        <f t="shared" si="47"/>
        <v>26.578430648000001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80.881799999999998</v>
      </c>
      <c r="I257" s="22">
        <v>-2.45667E-2</v>
      </c>
      <c r="J257" s="22">
        <v>247</v>
      </c>
      <c r="K257" s="22">
        <v>0.555481</v>
      </c>
      <c r="L257">
        <f t="shared" si="36"/>
        <v>24.566700000000001</v>
      </c>
      <c r="M257">
        <f t="shared" si="37"/>
        <v>13.6635809061</v>
      </c>
      <c r="N257" s="9"/>
      <c r="O257" s="22">
        <v>1.1437999999999999</v>
      </c>
      <c r="P257" s="22">
        <v>170.19900000000001</v>
      </c>
      <c r="Q257" s="22">
        <v>-2.3629799999999999E-2</v>
      </c>
      <c r="R257" s="22">
        <v>247</v>
      </c>
      <c r="S257" s="22">
        <v>1.1431899999999999</v>
      </c>
      <c r="T257">
        <f t="shared" si="38"/>
        <v>23.629799999999999</v>
      </c>
      <c r="U257">
        <f t="shared" si="39"/>
        <v>27.027765239999997</v>
      </c>
      <c r="X257" s="9"/>
      <c r="Y257" s="22">
        <v>0.55618299999999998</v>
      </c>
      <c r="Z257" s="22">
        <v>294.161</v>
      </c>
      <c r="AA257" s="22">
        <v>-2.40906E-2</v>
      </c>
      <c r="AB257" s="22">
        <v>247</v>
      </c>
      <c r="AC257" s="22">
        <v>0.55575600000000003</v>
      </c>
      <c r="AD257">
        <f t="shared" si="40"/>
        <v>24.090599999999998</v>
      </c>
      <c r="AE257">
        <f t="shared" si="41"/>
        <v>13.3987821798</v>
      </c>
      <c r="AF257" s="9"/>
      <c r="AG257" s="22">
        <v>1.1437999999999999</v>
      </c>
      <c r="AH257" s="22">
        <v>400.04</v>
      </c>
      <c r="AI257" s="22">
        <v>-2.33704E-2</v>
      </c>
      <c r="AJ257" s="22">
        <v>247</v>
      </c>
      <c r="AK257" s="22">
        <v>1.1431899999999999</v>
      </c>
      <c r="AL257">
        <f t="shared" si="42"/>
        <v>23.3704</v>
      </c>
      <c r="AM257">
        <f t="shared" si="43"/>
        <v>26.731063519999999</v>
      </c>
      <c r="AP257" s="9"/>
      <c r="AQ257" s="22">
        <v>0.55618299999999998</v>
      </c>
      <c r="AR257" s="22">
        <v>488.43099999999998</v>
      </c>
      <c r="AS257" s="22">
        <v>-2.3904399999999999E-2</v>
      </c>
      <c r="AT257" s="22">
        <v>247</v>
      </c>
      <c r="AU257" s="22">
        <v>0.55535900000000005</v>
      </c>
      <c r="AV257">
        <f t="shared" si="44"/>
        <v>23.904399999999999</v>
      </c>
      <c r="AW257">
        <f t="shared" si="45"/>
        <v>13.295220905199999</v>
      </c>
      <c r="AX257" s="9"/>
      <c r="AY257" s="22">
        <v>1.1437999999999999</v>
      </c>
      <c r="AZ257" s="22">
        <v>599.30999999999995</v>
      </c>
      <c r="BA257" s="22">
        <v>-2.3339800000000001E-2</v>
      </c>
      <c r="BB257" s="22">
        <v>247</v>
      </c>
      <c r="BC257" s="22">
        <v>1.1431899999999999</v>
      </c>
      <c r="BD257">
        <f t="shared" si="46"/>
        <v>23.3398</v>
      </c>
      <c r="BE257">
        <f t="shared" si="47"/>
        <v>26.696063239999997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80.982500000000002</v>
      </c>
      <c r="I258" s="22">
        <v>-2.45697E-2</v>
      </c>
      <c r="J258" s="22">
        <v>248</v>
      </c>
      <c r="K258" s="22">
        <v>0.55047599999999997</v>
      </c>
      <c r="L258">
        <f t="shared" si="36"/>
        <v>24.569700000000001</v>
      </c>
      <c r="M258">
        <f t="shared" si="37"/>
        <v>13.541516445900001</v>
      </c>
      <c r="N258" s="9"/>
      <c r="O258" s="22">
        <v>1.14883</v>
      </c>
      <c r="P258" s="22">
        <v>170.3</v>
      </c>
      <c r="Q258" s="22">
        <v>-2.3617599999999999E-2</v>
      </c>
      <c r="R258" s="22">
        <v>248</v>
      </c>
      <c r="S258" s="22">
        <v>1.14838</v>
      </c>
      <c r="T258">
        <f t="shared" si="38"/>
        <v>23.617599999999999</v>
      </c>
      <c r="U258">
        <f t="shared" si="39"/>
        <v>27.132607407999998</v>
      </c>
      <c r="X258" s="9"/>
      <c r="Y258" s="22">
        <v>0.55114700000000005</v>
      </c>
      <c r="Z258" s="22">
        <v>294.262</v>
      </c>
      <c r="AA258" s="22">
        <v>-2.40936E-2</v>
      </c>
      <c r="AB258" s="22">
        <v>248</v>
      </c>
      <c r="AC258" s="22">
        <v>0.55059800000000003</v>
      </c>
      <c r="AD258">
        <f t="shared" si="40"/>
        <v>24.093599999999999</v>
      </c>
      <c r="AE258">
        <f t="shared" si="41"/>
        <v>13.2791153592</v>
      </c>
      <c r="AF258" s="9"/>
      <c r="AG258" s="22">
        <v>1.14883</v>
      </c>
      <c r="AH258" s="22">
        <v>400.14100000000002</v>
      </c>
      <c r="AI258" s="22">
        <v>-2.3367300000000001E-2</v>
      </c>
      <c r="AJ258" s="22">
        <v>248</v>
      </c>
      <c r="AK258" s="22">
        <v>1.1480699999999999</v>
      </c>
      <c r="AL258">
        <f t="shared" si="42"/>
        <v>23.3673</v>
      </c>
      <c r="AM258">
        <f t="shared" si="43"/>
        <v>26.845055259000002</v>
      </c>
      <c r="AP258" s="9"/>
      <c r="AQ258" s="22">
        <v>0.55114700000000005</v>
      </c>
      <c r="AR258" s="22">
        <v>488.53100000000001</v>
      </c>
      <c r="AS258" s="22">
        <v>-2.3907500000000002E-2</v>
      </c>
      <c r="AT258" s="22">
        <v>248</v>
      </c>
      <c r="AU258" s="22">
        <v>0.55013999999999996</v>
      </c>
      <c r="AV258">
        <f t="shared" si="44"/>
        <v>23.907500000000002</v>
      </c>
      <c r="AW258">
        <f t="shared" si="45"/>
        <v>13.176546902500002</v>
      </c>
      <c r="AX258" s="9"/>
      <c r="AY258" s="22">
        <v>1.14883</v>
      </c>
      <c r="AZ258" s="22">
        <v>599.41</v>
      </c>
      <c r="BA258" s="22">
        <v>-2.3336800000000001E-2</v>
      </c>
      <c r="BB258" s="22">
        <v>248</v>
      </c>
      <c r="BC258" s="22">
        <v>1.1486799999999999</v>
      </c>
      <c r="BD258">
        <f t="shared" si="46"/>
        <v>23.3368</v>
      </c>
      <c r="BE258">
        <f t="shared" si="47"/>
        <v>26.810015944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81.083200000000005</v>
      </c>
      <c r="I259" s="22">
        <v>-2.4591100000000001E-2</v>
      </c>
      <c r="J259" s="22">
        <v>249</v>
      </c>
      <c r="K259" s="22">
        <v>0.54556300000000002</v>
      </c>
      <c r="L259">
        <f t="shared" si="36"/>
        <v>24.591100000000001</v>
      </c>
      <c r="M259">
        <f t="shared" si="37"/>
        <v>13.429494803200001</v>
      </c>
      <c r="N259" s="9"/>
      <c r="O259" s="22">
        <v>1.15387</v>
      </c>
      <c r="P259" s="22">
        <v>170.40100000000001</v>
      </c>
      <c r="Q259" s="22">
        <v>-2.3617599999999999E-2</v>
      </c>
      <c r="R259" s="22">
        <v>249</v>
      </c>
      <c r="S259" s="22">
        <v>1.15326</v>
      </c>
      <c r="T259">
        <f t="shared" si="38"/>
        <v>23.617599999999999</v>
      </c>
      <c r="U259">
        <f t="shared" si="39"/>
        <v>27.251640111999997</v>
      </c>
      <c r="X259" s="9"/>
      <c r="Y259" s="22">
        <v>0.54611200000000004</v>
      </c>
      <c r="Z259" s="22">
        <v>294.363</v>
      </c>
      <c r="AA259" s="22">
        <v>-2.4096699999999999E-2</v>
      </c>
      <c r="AB259" s="22">
        <v>249</v>
      </c>
      <c r="AC259" s="22">
        <v>0.54547100000000004</v>
      </c>
      <c r="AD259">
        <f t="shared" si="40"/>
        <v>24.096699999999998</v>
      </c>
      <c r="AE259">
        <f t="shared" si="41"/>
        <v>13.159497030400001</v>
      </c>
      <c r="AF259" s="9"/>
      <c r="AG259" s="22">
        <v>1.15387</v>
      </c>
      <c r="AH259" s="22">
        <v>400.24200000000002</v>
      </c>
      <c r="AI259" s="22">
        <v>-2.3367300000000001E-2</v>
      </c>
      <c r="AJ259" s="22">
        <v>249</v>
      </c>
      <c r="AK259" s="22">
        <v>1.15326</v>
      </c>
      <c r="AL259">
        <f t="shared" si="42"/>
        <v>23.3673</v>
      </c>
      <c r="AM259">
        <f t="shared" si="43"/>
        <v>26.962826450999998</v>
      </c>
      <c r="AP259" s="9"/>
      <c r="AQ259" s="22">
        <v>0.54611200000000004</v>
      </c>
      <c r="AR259" s="22">
        <v>488.63200000000001</v>
      </c>
      <c r="AS259" s="22">
        <v>-2.39136E-2</v>
      </c>
      <c r="AT259" s="22">
        <v>249</v>
      </c>
      <c r="AU259" s="22">
        <v>0.54553200000000002</v>
      </c>
      <c r="AV259">
        <f t="shared" si="44"/>
        <v>23.913599999999999</v>
      </c>
      <c r="AW259">
        <f t="shared" si="45"/>
        <v>13.059503923200001</v>
      </c>
      <c r="AX259" s="9"/>
      <c r="AY259" s="22">
        <v>1.15387</v>
      </c>
      <c r="AZ259" s="22">
        <v>599.51099999999997</v>
      </c>
      <c r="BA259" s="22">
        <v>-2.3333699999999999E-2</v>
      </c>
      <c r="BB259" s="22">
        <v>249</v>
      </c>
      <c r="BC259" s="22">
        <v>1.15265</v>
      </c>
      <c r="BD259">
        <f t="shared" si="46"/>
        <v>23.3337</v>
      </c>
      <c r="BE259">
        <f t="shared" si="47"/>
        <v>26.924056418999999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81.183899999999994</v>
      </c>
      <c r="I260" s="22">
        <v>-2.4594100000000001E-2</v>
      </c>
      <c r="J260" s="22">
        <v>250</v>
      </c>
      <c r="K260" s="22">
        <v>0.54068000000000005</v>
      </c>
      <c r="L260">
        <f t="shared" si="36"/>
        <v>24.594100000000001</v>
      </c>
      <c r="M260">
        <f t="shared" si="37"/>
        <v>13.307301845700001</v>
      </c>
      <c r="N260" s="9"/>
      <c r="O260" s="22">
        <v>1.1589100000000001</v>
      </c>
      <c r="P260" s="22">
        <v>170.501</v>
      </c>
      <c r="Q260" s="22">
        <v>-2.36145E-2</v>
      </c>
      <c r="R260" s="22">
        <v>250</v>
      </c>
      <c r="S260" s="22">
        <v>1.1587499999999999</v>
      </c>
      <c r="T260">
        <f t="shared" si="38"/>
        <v>23.6145</v>
      </c>
      <c r="U260">
        <f t="shared" si="39"/>
        <v>27.367080195000003</v>
      </c>
      <c r="X260" s="9"/>
      <c r="Y260" s="22">
        <v>0.54107700000000003</v>
      </c>
      <c r="Z260" s="22">
        <v>294.464</v>
      </c>
      <c r="AA260" s="22">
        <v>-2.41058E-2</v>
      </c>
      <c r="AB260" s="22">
        <v>250</v>
      </c>
      <c r="AC260" s="22">
        <v>0.54071000000000002</v>
      </c>
      <c r="AD260">
        <f t="shared" si="40"/>
        <v>24.105799999999999</v>
      </c>
      <c r="AE260">
        <f t="shared" si="41"/>
        <v>13.043093946599999</v>
      </c>
      <c r="AF260" s="9"/>
      <c r="AG260" s="22">
        <v>1.1589100000000001</v>
      </c>
      <c r="AH260" s="22">
        <v>400.34199999999998</v>
      </c>
      <c r="AI260" s="22">
        <v>-2.33551E-2</v>
      </c>
      <c r="AJ260" s="22">
        <v>250</v>
      </c>
      <c r="AK260" s="22">
        <v>1.1581399999999999</v>
      </c>
      <c r="AL260">
        <f t="shared" si="42"/>
        <v>23.3551</v>
      </c>
      <c r="AM260">
        <f t="shared" si="43"/>
        <v>27.066458941000004</v>
      </c>
      <c r="AP260" s="9"/>
      <c r="AQ260" s="22">
        <v>0.54107700000000003</v>
      </c>
      <c r="AR260" s="22">
        <v>488.733</v>
      </c>
      <c r="AS260" s="22">
        <v>-2.39288E-2</v>
      </c>
      <c r="AT260" s="22">
        <v>250</v>
      </c>
      <c r="AU260" s="22">
        <v>0.54058799999999996</v>
      </c>
      <c r="AV260">
        <f t="shared" si="44"/>
        <v>23.928799999999999</v>
      </c>
      <c r="AW260">
        <f t="shared" si="45"/>
        <v>12.9473233176</v>
      </c>
      <c r="AX260" s="9"/>
      <c r="AY260" s="22">
        <v>1.1589100000000001</v>
      </c>
      <c r="AZ260" s="22">
        <v>599.61199999999997</v>
      </c>
      <c r="BA260" s="22">
        <v>-2.3321499999999998E-2</v>
      </c>
      <c r="BB260" s="22">
        <v>250</v>
      </c>
      <c r="BC260" s="22">
        <v>1.1587499999999999</v>
      </c>
      <c r="BD260">
        <f t="shared" si="46"/>
        <v>23.321499999999997</v>
      </c>
      <c r="BE260">
        <f t="shared" si="47"/>
        <v>27.027519564999999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81.284599999999998</v>
      </c>
      <c r="I261" s="22">
        <v>-2.4600199999999999E-2</v>
      </c>
      <c r="J261" s="22">
        <v>251</v>
      </c>
      <c r="K261" s="22">
        <v>0.53546099999999996</v>
      </c>
      <c r="L261">
        <f t="shared" si="36"/>
        <v>24.600199999999997</v>
      </c>
      <c r="M261">
        <f t="shared" si="37"/>
        <v>13.186715808199999</v>
      </c>
      <c r="N261" s="9"/>
      <c r="O261" s="22">
        <v>1.16394</v>
      </c>
      <c r="P261" s="22">
        <v>170.602</v>
      </c>
      <c r="Q261" s="22">
        <v>-2.3605299999999999E-2</v>
      </c>
      <c r="R261" s="22">
        <v>251</v>
      </c>
      <c r="S261" s="22">
        <v>1.16364</v>
      </c>
      <c r="T261">
        <f t="shared" si="38"/>
        <v>23.6053</v>
      </c>
      <c r="U261">
        <f t="shared" si="39"/>
        <v>27.475152882</v>
      </c>
      <c r="X261" s="9"/>
      <c r="Y261" s="22">
        <v>0.53604099999999999</v>
      </c>
      <c r="Z261" s="22">
        <v>294.56400000000002</v>
      </c>
      <c r="AA261" s="22">
        <v>-2.4108899999999999E-2</v>
      </c>
      <c r="AB261" s="22">
        <v>251</v>
      </c>
      <c r="AC261" s="22">
        <v>0.53512599999999999</v>
      </c>
      <c r="AD261">
        <f t="shared" si="40"/>
        <v>24.108899999999998</v>
      </c>
      <c r="AE261">
        <f t="shared" si="41"/>
        <v>12.923358864899999</v>
      </c>
      <c r="AF261" s="9"/>
      <c r="AG261" s="22">
        <v>1.16394</v>
      </c>
      <c r="AH261" s="22">
        <v>400.44299999999998</v>
      </c>
      <c r="AI261" s="22">
        <v>-2.3349000000000002E-2</v>
      </c>
      <c r="AJ261" s="22">
        <v>251</v>
      </c>
      <c r="AK261" s="22">
        <v>1.16272</v>
      </c>
      <c r="AL261">
        <f t="shared" si="42"/>
        <v>23.349</v>
      </c>
      <c r="AM261">
        <f t="shared" si="43"/>
        <v>27.176835059999998</v>
      </c>
      <c r="AP261" s="9"/>
      <c r="AQ261" s="22">
        <v>0.53604099999999999</v>
      </c>
      <c r="AR261" s="22">
        <v>488.83300000000003</v>
      </c>
      <c r="AS261" s="22">
        <v>-2.3931899999999999E-2</v>
      </c>
      <c r="AT261" s="22">
        <v>251</v>
      </c>
      <c r="AU261" s="22">
        <v>0.53500400000000004</v>
      </c>
      <c r="AV261">
        <f t="shared" si="44"/>
        <v>23.931899999999999</v>
      </c>
      <c r="AW261">
        <f t="shared" si="45"/>
        <v>12.828479607899999</v>
      </c>
      <c r="AX261" s="9"/>
      <c r="AY261" s="22">
        <v>1.16394</v>
      </c>
      <c r="AZ261" s="22">
        <v>599.71199999999999</v>
      </c>
      <c r="BA261" s="22">
        <v>-2.3306299999999999E-2</v>
      </c>
      <c r="BB261" s="22">
        <v>251</v>
      </c>
      <c r="BC261" s="22">
        <v>1.16364</v>
      </c>
      <c r="BD261">
        <f t="shared" si="46"/>
        <v>23.3063</v>
      </c>
      <c r="BE261">
        <f t="shared" si="47"/>
        <v>27.127134821999999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81.385300000000001</v>
      </c>
      <c r="I262" s="22">
        <v>-2.4603300000000002E-2</v>
      </c>
      <c r="J262" s="22">
        <v>252</v>
      </c>
      <c r="K262" s="22">
        <v>0.53070099999999998</v>
      </c>
      <c r="L262">
        <f t="shared" si="36"/>
        <v>24.603300000000001</v>
      </c>
      <c r="M262">
        <f t="shared" si="37"/>
        <v>13.064499919799999</v>
      </c>
      <c r="N262" s="9"/>
      <c r="O262" s="22">
        <v>1.1689799999999999</v>
      </c>
      <c r="P262" s="22">
        <v>170.703</v>
      </c>
      <c r="Q262" s="22">
        <v>-2.3599200000000001E-2</v>
      </c>
      <c r="R262" s="22">
        <v>252</v>
      </c>
      <c r="S262" s="22">
        <v>1.16821</v>
      </c>
      <c r="T262">
        <f t="shared" si="38"/>
        <v>23.5992</v>
      </c>
      <c r="U262">
        <f t="shared" si="39"/>
        <v>27.586992815999999</v>
      </c>
      <c r="X262" s="9"/>
      <c r="Y262" s="22">
        <v>0.53100599999999998</v>
      </c>
      <c r="Z262" s="22">
        <v>294.66500000000002</v>
      </c>
      <c r="AA262" s="22">
        <v>-2.4108899999999999E-2</v>
      </c>
      <c r="AB262" s="22">
        <v>252</v>
      </c>
      <c r="AC262" s="22">
        <v>0.53048700000000004</v>
      </c>
      <c r="AD262">
        <f t="shared" si="40"/>
        <v>24.108899999999998</v>
      </c>
      <c r="AE262">
        <f t="shared" si="41"/>
        <v>12.801970553399999</v>
      </c>
      <c r="AF262" s="9"/>
      <c r="AG262" s="22">
        <v>1.1689799999999999</v>
      </c>
      <c r="AH262" s="22">
        <v>400.54399999999998</v>
      </c>
      <c r="AI262" s="22">
        <v>-2.3352100000000001E-2</v>
      </c>
      <c r="AJ262" s="22">
        <v>252</v>
      </c>
      <c r="AK262" s="22">
        <v>1.16821</v>
      </c>
      <c r="AL262">
        <f t="shared" si="42"/>
        <v>23.3521</v>
      </c>
      <c r="AM262">
        <f t="shared" si="43"/>
        <v>27.298137857999997</v>
      </c>
      <c r="AP262" s="9"/>
      <c r="AQ262" s="22">
        <v>0.53100599999999998</v>
      </c>
      <c r="AR262" s="22">
        <v>488.93400000000003</v>
      </c>
      <c r="AS262" s="22">
        <v>-2.3941E-2</v>
      </c>
      <c r="AT262" s="22">
        <v>252</v>
      </c>
      <c r="AU262" s="22">
        <v>0.530304</v>
      </c>
      <c r="AV262">
        <f t="shared" si="44"/>
        <v>23.940999999999999</v>
      </c>
      <c r="AW262">
        <f t="shared" si="45"/>
        <v>12.712814645999998</v>
      </c>
      <c r="AX262" s="9"/>
      <c r="AY262" s="22">
        <v>1.1689799999999999</v>
      </c>
      <c r="AZ262" s="22">
        <v>599.81299999999999</v>
      </c>
      <c r="BA262" s="22">
        <v>-2.3306299999999999E-2</v>
      </c>
      <c r="BB262" s="22">
        <v>252</v>
      </c>
      <c r="BC262" s="22">
        <v>1.16821</v>
      </c>
      <c r="BD262">
        <f t="shared" si="46"/>
        <v>23.3063</v>
      </c>
      <c r="BE262">
        <f t="shared" si="47"/>
        <v>27.244598573999998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81.486000000000004</v>
      </c>
      <c r="I263" s="22">
        <v>-2.46094E-2</v>
      </c>
      <c r="J263" s="22">
        <v>253</v>
      </c>
      <c r="K263" s="22">
        <v>0.52581800000000001</v>
      </c>
      <c r="L263">
        <f t="shared" si="36"/>
        <v>24.609400000000001</v>
      </c>
      <c r="M263">
        <f t="shared" si="37"/>
        <v>12.943806118000001</v>
      </c>
      <c r="N263" s="9"/>
      <c r="O263" s="22">
        <v>1.17401</v>
      </c>
      <c r="P263" s="22">
        <v>170.804</v>
      </c>
      <c r="Q263" s="22">
        <v>-2.3590099999999999E-2</v>
      </c>
      <c r="R263" s="22">
        <v>253</v>
      </c>
      <c r="S263" s="22">
        <v>1.1734</v>
      </c>
      <c r="T263">
        <f t="shared" si="38"/>
        <v>23.5901</v>
      </c>
      <c r="U263">
        <f t="shared" si="39"/>
        <v>27.695013300999999</v>
      </c>
      <c r="X263" s="9"/>
      <c r="Y263" s="22">
        <v>0.52597000000000005</v>
      </c>
      <c r="Z263" s="22">
        <v>294.76600000000002</v>
      </c>
      <c r="AA263" s="22">
        <v>-2.4127200000000001E-2</v>
      </c>
      <c r="AB263" s="22">
        <v>253</v>
      </c>
      <c r="AC263" s="22">
        <v>0.52536000000000005</v>
      </c>
      <c r="AD263">
        <f t="shared" si="40"/>
        <v>24.127200000000002</v>
      </c>
      <c r="AE263">
        <f t="shared" si="41"/>
        <v>12.690183384000003</v>
      </c>
      <c r="AF263" s="9"/>
      <c r="AG263" s="22">
        <v>1.17401</v>
      </c>
      <c r="AH263" s="22">
        <v>400.64400000000001</v>
      </c>
      <c r="AI263" s="22">
        <v>-2.3333699999999999E-2</v>
      </c>
      <c r="AJ263" s="22">
        <v>253</v>
      </c>
      <c r="AK263" s="22">
        <v>1.17249</v>
      </c>
      <c r="AL263">
        <f t="shared" si="42"/>
        <v>23.3337</v>
      </c>
      <c r="AM263">
        <f t="shared" si="43"/>
        <v>27.393997136999999</v>
      </c>
      <c r="AP263" s="9"/>
      <c r="AQ263" s="22">
        <v>0.52597000000000005</v>
      </c>
      <c r="AR263" s="22">
        <v>489.03500000000003</v>
      </c>
      <c r="AS263" s="22">
        <v>-2.3947099999999999E-2</v>
      </c>
      <c r="AT263" s="22">
        <v>253</v>
      </c>
      <c r="AU263" s="22">
        <v>0.52539100000000005</v>
      </c>
      <c r="AV263">
        <f t="shared" si="44"/>
        <v>23.947099999999999</v>
      </c>
      <c r="AW263">
        <f t="shared" si="45"/>
        <v>12.595456187</v>
      </c>
      <c r="AX263" s="9"/>
      <c r="AY263" s="22">
        <v>1.17401</v>
      </c>
      <c r="AZ263" s="22">
        <v>599.91399999999999</v>
      </c>
      <c r="BA263" s="22">
        <v>-2.33032E-2</v>
      </c>
      <c r="BB263" s="22">
        <v>253</v>
      </c>
      <c r="BC263" s="22">
        <v>1.17279</v>
      </c>
      <c r="BD263">
        <f t="shared" si="46"/>
        <v>23.3032</v>
      </c>
      <c r="BE263">
        <f t="shared" si="47"/>
        <v>27.358189832000001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81.586699999999993</v>
      </c>
      <c r="I264" s="22">
        <v>-2.46124E-2</v>
      </c>
      <c r="J264" s="22">
        <v>254</v>
      </c>
      <c r="K264" s="22">
        <v>0.52059900000000003</v>
      </c>
      <c r="L264">
        <f t="shared" si="36"/>
        <v>24.612400000000001</v>
      </c>
      <c r="M264">
        <f t="shared" si="37"/>
        <v>12.821460594000001</v>
      </c>
      <c r="N264" s="9"/>
      <c r="O264" s="22">
        <v>1.1790499999999999</v>
      </c>
      <c r="P264" s="22">
        <v>170.904</v>
      </c>
      <c r="Q264" s="22">
        <v>-2.3580899999999998E-2</v>
      </c>
      <c r="R264" s="22">
        <v>254</v>
      </c>
      <c r="S264" s="22">
        <v>1.17828</v>
      </c>
      <c r="T264">
        <f t="shared" si="38"/>
        <v>23.5809</v>
      </c>
      <c r="U264">
        <f t="shared" si="39"/>
        <v>27.803060144999996</v>
      </c>
      <c r="X264" s="9"/>
      <c r="Y264" s="22">
        <v>0.52093500000000004</v>
      </c>
      <c r="Z264" s="22">
        <v>294.86599999999999</v>
      </c>
      <c r="AA264" s="22">
        <v>-2.4124099999999999E-2</v>
      </c>
      <c r="AB264" s="22">
        <v>254</v>
      </c>
      <c r="AC264" s="22">
        <v>0.52032500000000004</v>
      </c>
      <c r="AD264">
        <f t="shared" si="40"/>
        <v>24.124099999999999</v>
      </c>
      <c r="AE264">
        <f t="shared" si="41"/>
        <v>12.567088033499999</v>
      </c>
      <c r="AF264" s="9"/>
      <c r="AG264" s="22">
        <v>1.1790499999999999</v>
      </c>
      <c r="AH264" s="22">
        <v>400.745</v>
      </c>
      <c r="AI264" s="22">
        <v>-2.3333699999999999E-2</v>
      </c>
      <c r="AJ264" s="22">
        <v>254</v>
      </c>
      <c r="AK264" s="22">
        <v>1.17798</v>
      </c>
      <c r="AL264">
        <f t="shared" si="42"/>
        <v>23.3337</v>
      </c>
      <c r="AM264">
        <f t="shared" si="43"/>
        <v>27.511598984999999</v>
      </c>
      <c r="AP264" s="9"/>
      <c r="AQ264" s="22">
        <v>0.52093500000000004</v>
      </c>
      <c r="AR264" s="22">
        <v>489.13600000000002</v>
      </c>
      <c r="AS264" s="22">
        <v>-2.3950200000000001E-2</v>
      </c>
      <c r="AT264" s="22">
        <v>254</v>
      </c>
      <c r="AU264" s="22">
        <v>0.52011099999999999</v>
      </c>
      <c r="AV264">
        <f t="shared" si="44"/>
        <v>23.950200000000002</v>
      </c>
      <c r="AW264">
        <f t="shared" si="45"/>
        <v>12.476497437000003</v>
      </c>
      <c r="AX264" s="9"/>
      <c r="AY264" s="22">
        <v>1.1790499999999999</v>
      </c>
      <c r="AZ264" s="22">
        <v>600.01499999999999</v>
      </c>
      <c r="BA264" s="22">
        <v>-2.3297100000000001E-2</v>
      </c>
      <c r="BB264" s="22">
        <v>254</v>
      </c>
      <c r="BC264" s="22">
        <v>1.17767</v>
      </c>
      <c r="BD264">
        <f t="shared" si="46"/>
        <v>23.2971</v>
      </c>
      <c r="BE264">
        <f t="shared" si="47"/>
        <v>27.468445754999998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81.687399999999997</v>
      </c>
      <c r="I265" s="22">
        <v>-2.46124E-2</v>
      </c>
      <c r="J265" s="22">
        <v>255</v>
      </c>
      <c r="K265" s="22">
        <v>0.51534999999999997</v>
      </c>
      <c r="L265">
        <f t="shared" si="36"/>
        <v>24.612400000000001</v>
      </c>
      <c r="M265">
        <f t="shared" si="37"/>
        <v>12.697537160000001</v>
      </c>
      <c r="N265" s="9"/>
      <c r="O265" s="22">
        <v>1.18408</v>
      </c>
      <c r="P265" s="22">
        <v>171.005</v>
      </c>
      <c r="Q265" s="22">
        <v>-2.35748E-2</v>
      </c>
      <c r="R265" s="22">
        <v>255</v>
      </c>
      <c r="S265" s="22">
        <v>1.18286</v>
      </c>
      <c r="T265">
        <f t="shared" si="38"/>
        <v>23.5748</v>
      </c>
      <c r="U265">
        <f t="shared" si="39"/>
        <v>27.914449183999999</v>
      </c>
      <c r="X265" s="9"/>
      <c r="Y265" s="22">
        <v>0.51590000000000003</v>
      </c>
      <c r="Z265" s="22">
        <v>294.96699999999998</v>
      </c>
      <c r="AA265" s="22">
        <v>-2.4130200000000001E-2</v>
      </c>
      <c r="AB265" s="22">
        <v>255</v>
      </c>
      <c r="AC265" s="22">
        <v>0.51534999999999997</v>
      </c>
      <c r="AD265">
        <f t="shared" si="40"/>
        <v>24.130200000000002</v>
      </c>
      <c r="AE265">
        <f t="shared" si="41"/>
        <v>12.448770180000002</v>
      </c>
      <c r="AF265" s="9"/>
      <c r="AG265" s="22">
        <v>1.18408</v>
      </c>
      <c r="AH265" s="22">
        <v>400.846</v>
      </c>
      <c r="AI265" s="22">
        <v>-2.3324600000000001E-2</v>
      </c>
      <c r="AJ265" s="22">
        <v>255</v>
      </c>
      <c r="AK265" s="22">
        <v>1.1831700000000001</v>
      </c>
      <c r="AL265">
        <f t="shared" si="42"/>
        <v>23.3246</v>
      </c>
      <c r="AM265">
        <f t="shared" si="43"/>
        <v>27.618192367999999</v>
      </c>
      <c r="AP265" s="9"/>
      <c r="AQ265" s="22">
        <v>0.51590000000000003</v>
      </c>
      <c r="AR265" s="22">
        <v>489.23599999999999</v>
      </c>
      <c r="AS265" s="22">
        <v>-2.3950200000000001E-2</v>
      </c>
      <c r="AT265" s="22">
        <v>255</v>
      </c>
      <c r="AU265" s="22">
        <v>0.51510599999999995</v>
      </c>
      <c r="AV265">
        <f t="shared" si="44"/>
        <v>23.950200000000002</v>
      </c>
      <c r="AW265">
        <f t="shared" si="45"/>
        <v>12.355908180000002</v>
      </c>
      <c r="AX265" s="9"/>
      <c r="AY265" s="22">
        <v>1.18408</v>
      </c>
      <c r="AZ265" s="22">
        <v>600.11500000000001</v>
      </c>
      <c r="BA265" s="22">
        <v>-2.3288E-2</v>
      </c>
      <c r="BB265" s="22">
        <v>255</v>
      </c>
      <c r="BC265" s="22">
        <v>1.18347</v>
      </c>
      <c r="BD265">
        <f t="shared" si="46"/>
        <v>23.288</v>
      </c>
      <c r="BE265">
        <f t="shared" si="47"/>
        <v>27.574855039999999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81.7881</v>
      </c>
      <c r="I266" s="22">
        <v>-2.46246E-2</v>
      </c>
      <c r="J266" s="22">
        <v>256</v>
      </c>
      <c r="K266" s="22">
        <v>0.51043700000000003</v>
      </c>
      <c r="L266">
        <f t="shared" si="36"/>
        <v>24.624600000000001</v>
      </c>
      <c r="M266">
        <f t="shared" si="37"/>
        <v>12.5798216544</v>
      </c>
      <c r="N266" s="9"/>
      <c r="O266" s="22">
        <v>1.18912</v>
      </c>
      <c r="P266" s="22">
        <v>171.10599999999999</v>
      </c>
      <c r="Q266" s="22">
        <v>-2.3577899999999999E-2</v>
      </c>
      <c r="R266" s="22">
        <v>256</v>
      </c>
      <c r="S266" s="22">
        <v>1.18835</v>
      </c>
      <c r="T266">
        <f t="shared" si="38"/>
        <v>23.5779</v>
      </c>
      <c r="U266">
        <f t="shared" si="39"/>
        <v>28.036952447999997</v>
      </c>
      <c r="X266" s="9"/>
      <c r="Y266" s="22">
        <v>0.51086399999999998</v>
      </c>
      <c r="Z266" s="22">
        <v>295.06799999999998</v>
      </c>
      <c r="AA266" s="22">
        <v>-2.41333E-2</v>
      </c>
      <c r="AB266" s="22">
        <v>256</v>
      </c>
      <c r="AC266" s="22">
        <v>0.51025399999999999</v>
      </c>
      <c r="AD266">
        <f t="shared" si="40"/>
        <v>24.133299999999998</v>
      </c>
      <c r="AE266">
        <f t="shared" si="41"/>
        <v>12.328834171199999</v>
      </c>
      <c r="AF266" s="9"/>
      <c r="AG266" s="22">
        <v>1.18912</v>
      </c>
      <c r="AH266" s="22">
        <v>400.947</v>
      </c>
      <c r="AI266" s="22">
        <v>-2.3321499999999998E-2</v>
      </c>
      <c r="AJ266" s="22">
        <v>256</v>
      </c>
      <c r="AK266" s="22">
        <v>1.1880500000000001</v>
      </c>
      <c r="AL266">
        <f t="shared" si="42"/>
        <v>23.321499999999997</v>
      </c>
      <c r="AM266">
        <f t="shared" si="43"/>
        <v>27.732062079999995</v>
      </c>
      <c r="AP266" s="9"/>
      <c r="AQ266" s="22">
        <v>0.51086399999999998</v>
      </c>
      <c r="AR266" s="22">
        <v>489.33699999999999</v>
      </c>
      <c r="AS266" s="22">
        <v>-2.3965500000000001E-2</v>
      </c>
      <c r="AT266" s="22">
        <v>256</v>
      </c>
      <c r="AU266" s="22">
        <v>0.51010100000000003</v>
      </c>
      <c r="AV266">
        <f t="shared" si="44"/>
        <v>23.965500000000002</v>
      </c>
      <c r="AW266">
        <f t="shared" si="45"/>
        <v>12.243111192000001</v>
      </c>
      <c r="AX266" s="9"/>
      <c r="AY266" s="22">
        <v>1.18912</v>
      </c>
      <c r="AZ266" s="22">
        <v>600.21600000000001</v>
      </c>
      <c r="BA266" s="22">
        <v>-2.3281900000000001E-2</v>
      </c>
      <c r="BB266" s="22">
        <v>256</v>
      </c>
      <c r="BC266" s="22">
        <v>1.18866</v>
      </c>
      <c r="BD266">
        <f t="shared" si="46"/>
        <v>23.2819</v>
      </c>
      <c r="BE266">
        <f t="shared" si="47"/>
        <v>27.684972928000001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81.888900000000007</v>
      </c>
      <c r="I267" s="22">
        <v>-2.46246E-2</v>
      </c>
      <c r="J267" s="22">
        <v>257</v>
      </c>
      <c r="K267" s="22">
        <v>0.50531000000000004</v>
      </c>
      <c r="L267">
        <f t="shared" si="36"/>
        <v>24.624600000000001</v>
      </c>
      <c r="M267">
        <f t="shared" si="37"/>
        <v>12.4558367934</v>
      </c>
      <c r="N267" s="9"/>
      <c r="O267" s="22">
        <v>1.19415</v>
      </c>
      <c r="P267" s="22">
        <v>171.20599999999999</v>
      </c>
      <c r="Q267" s="22">
        <v>-2.35748E-2</v>
      </c>
      <c r="R267" s="22">
        <v>257</v>
      </c>
      <c r="S267" s="22">
        <v>1.19354</v>
      </c>
      <c r="T267">
        <f t="shared" si="38"/>
        <v>23.5748</v>
      </c>
      <c r="U267">
        <f t="shared" si="39"/>
        <v>28.151847419999999</v>
      </c>
      <c r="X267" s="9"/>
      <c r="Y267" s="22">
        <v>0.50582899999999997</v>
      </c>
      <c r="Z267" s="22">
        <v>295.16800000000001</v>
      </c>
      <c r="AA267" s="22">
        <v>-2.4148599999999999E-2</v>
      </c>
      <c r="AB267" s="22">
        <v>257</v>
      </c>
      <c r="AC267" s="22">
        <v>0.50549299999999997</v>
      </c>
      <c r="AD267">
        <f t="shared" si="40"/>
        <v>24.148599999999998</v>
      </c>
      <c r="AE267">
        <f t="shared" si="41"/>
        <v>12.215062189399999</v>
      </c>
      <c r="AF267" s="9"/>
      <c r="AG267" s="22">
        <v>1.19415</v>
      </c>
      <c r="AH267" s="22">
        <v>401.04700000000003</v>
      </c>
      <c r="AI267" s="22">
        <v>-2.33124E-2</v>
      </c>
      <c r="AJ267" s="22">
        <v>257</v>
      </c>
      <c r="AK267" s="22">
        <v>1.1932400000000001</v>
      </c>
      <c r="AL267">
        <f t="shared" si="42"/>
        <v>23.3124</v>
      </c>
      <c r="AM267">
        <f t="shared" si="43"/>
        <v>27.838502460000001</v>
      </c>
      <c r="AP267" s="9"/>
      <c r="AQ267" s="22">
        <v>0.50582899999999997</v>
      </c>
      <c r="AR267" s="22">
        <v>489.43799999999999</v>
      </c>
      <c r="AS267" s="22">
        <v>-2.3977700000000001E-2</v>
      </c>
      <c r="AT267" s="22">
        <v>257</v>
      </c>
      <c r="AU267" s="22">
        <v>0.50521899999999997</v>
      </c>
      <c r="AV267">
        <f t="shared" si="44"/>
        <v>23.977700000000002</v>
      </c>
      <c r="AW267">
        <f t="shared" si="45"/>
        <v>12.1286160133</v>
      </c>
      <c r="AX267" s="9"/>
      <c r="AY267" s="22">
        <v>1.19415</v>
      </c>
      <c r="AZ267" s="22">
        <v>600.31700000000001</v>
      </c>
      <c r="BA267" s="22">
        <v>-2.3278799999999999E-2</v>
      </c>
      <c r="BB267" s="22">
        <v>257</v>
      </c>
      <c r="BC267" s="22">
        <v>1.1932400000000001</v>
      </c>
      <c r="BD267">
        <f t="shared" si="46"/>
        <v>23.2788</v>
      </c>
      <c r="BE267">
        <f t="shared" si="47"/>
        <v>27.798379020000002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81.989599999999996</v>
      </c>
      <c r="I268" s="22">
        <v>-2.4627699999999999E-2</v>
      </c>
      <c r="J268" s="22">
        <v>258</v>
      </c>
      <c r="K268" s="22">
        <v>0.499969</v>
      </c>
      <c r="L268">
        <f t="shared" ref="L268:L331" si="48">-I268/$F$2*1000</f>
        <v>24.627699999999997</v>
      </c>
      <c r="M268">
        <f t="shared" ref="M268:M331" si="49">L268*G268</f>
        <v>12.3333797661</v>
      </c>
      <c r="N268" s="9"/>
      <c r="O268" s="22">
        <v>1.19919</v>
      </c>
      <c r="P268" s="22">
        <v>171.30699999999999</v>
      </c>
      <c r="Q268" s="22">
        <v>-2.3556500000000001E-2</v>
      </c>
      <c r="R268" s="22">
        <v>258</v>
      </c>
      <c r="S268" s="22">
        <v>1.1981200000000001</v>
      </c>
      <c r="T268">
        <f t="shared" ref="T268:T331" si="50">-Q268/$F$2*1000</f>
        <v>23.5565</v>
      </c>
      <c r="U268">
        <f t="shared" ref="U268:U331" si="51">T268*O268</f>
        <v>28.248719234999999</v>
      </c>
      <c r="X268" s="9"/>
      <c r="Y268" s="22">
        <v>0.50079300000000004</v>
      </c>
      <c r="Z268" s="22">
        <v>295.26900000000001</v>
      </c>
      <c r="AA268" s="22">
        <v>-2.4154700000000001E-2</v>
      </c>
      <c r="AB268" s="22">
        <v>258</v>
      </c>
      <c r="AC268" s="22">
        <v>0.50036599999999998</v>
      </c>
      <c r="AD268">
        <f t="shared" ref="AD268:AD331" si="52">-AA268/$F$2*1000</f>
        <v>24.154700000000002</v>
      </c>
      <c r="AE268">
        <f t="shared" ref="AE268:AE331" si="53">AD268*Y268</f>
        <v>12.096504677100002</v>
      </c>
      <c r="AF268" s="9"/>
      <c r="AG268" s="22">
        <v>1.19919</v>
      </c>
      <c r="AH268" s="22">
        <v>401.14800000000002</v>
      </c>
      <c r="AI268" s="22">
        <v>-2.3306299999999999E-2</v>
      </c>
      <c r="AJ268" s="22">
        <v>258</v>
      </c>
      <c r="AK268" s="22">
        <v>1.1990400000000001</v>
      </c>
      <c r="AL268">
        <f t="shared" ref="AL268:AL331" si="54">-AI268/$F$2*1000</f>
        <v>23.3063</v>
      </c>
      <c r="AM268">
        <f t="shared" ref="AM268:AM331" si="55">AL268*AG268</f>
        <v>27.948681897</v>
      </c>
      <c r="AP268" s="9"/>
      <c r="AQ268" s="22">
        <v>0.50079300000000004</v>
      </c>
      <c r="AR268" s="22">
        <v>489.53800000000001</v>
      </c>
      <c r="AS268" s="22">
        <v>-2.3974599999999999E-2</v>
      </c>
      <c r="AT268" s="22">
        <v>258</v>
      </c>
      <c r="AU268" s="22">
        <v>0.50018300000000004</v>
      </c>
      <c r="AV268">
        <f t="shared" ref="AV268:AV331" si="56">-AS268/$F$2*1000</f>
        <v>23.974599999999999</v>
      </c>
      <c r="AW268">
        <f t="shared" ref="AW268:AW331" si="57">AV268*AQ268</f>
        <v>12.0063118578</v>
      </c>
      <c r="AX268" s="9"/>
      <c r="AY268" s="22">
        <v>1.19919</v>
      </c>
      <c r="AZ268" s="22">
        <v>600.41700000000003</v>
      </c>
      <c r="BA268" s="22">
        <v>-2.32727E-2</v>
      </c>
      <c r="BB268" s="22">
        <v>258</v>
      </c>
      <c r="BC268" s="22">
        <v>1.1984300000000001</v>
      </c>
      <c r="BD268">
        <f t="shared" ref="BD268:BD331" si="58">-BA268/$F$2*1000</f>
        <v>23.2727</v>
      </c>
      <c r="BE268">
        <f t="shared" ref="BE268:BE331" si="59">BD268*AY268</f>
        <v>27.908389112999998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82.090299999999999</v>
      </c>
      <c r="I269" s="22">
        <v>-2.46368E-2</v>
      </c>
      <c r="J269" s="22">
        <v>259</v>
      </c>
      <c r="K269" s="22">
        <v>0.49542199999999997</v>
      </c>
      <c r="L269">
        <f t="shared" si="48"/>
        <v>24.636800000000001</v>
      </c>
      <c r="M269">
        <f t="shared" si="49"/>
        <v>12.2138906944</v>
      </c>
      <c r="N269" s="9"/>
      <c r="O269" s="22">
        <v>1.2042200000000001</v>
      </c>
      <c r="P269" s="22">
        <v>171.40799999999999</v>
      </c>
      <c r="Q269" s="22">
        <v>-2.3556500000000001E-2</v>
      </c>
      <c r="R269" s="22">
        <v>259</v>
      </c>
      <c r="S269" s="22">
        <v>1.2030000000000001</v>
      </c>
      <c r="T269">
        <f t="shared" si="50"/>
        <v>23.5565</v>
      </c>
      <c r="U269">
        <f t="shared" si="51"/>
        <v>28.367208430000002</v>
      </c>
      <c r="X269" s="9"/>
      <c r="Y269" s="22">
        <v>0.49575799999999998</v>
      </c>
      <c r="Z269" s="22">
        <v>295.37</v>
      </c>
      <c r="AA269" s="22">
        <v>-2.4163799999999999E-2</v>
      </c>
      <c r="AB269" s="22">
        <v>259</v>
      </c>
      <c r="AC269" s="22">
        <v>0.49499500000000002</v>
      </c>
      <c r="AD269">
        <f t="shared" si="52"/>
        <v>24.163799999999998</v>
      </c>
      <c r="AE269">
        <f t="shared" si="53"/>
        <v>11.979397160399998</v>
      </c>
      <c r="AF269" s="9"/>
      <c r="AG269" s="22">
        <v>1.2042200000000001</v>
      </c>
      <c r="AH269" s="22">
        <v>401.24900000000002</v>
      </c>
      <c r="AI269" s="22">
        <v>-2.3297100000000001E-2</v>
      </c>
      <c r="AJ269" s="22">
        <v>259</v>
      </c>
      <c r="AK269" s="22">
        <v>1.2030000000000001</v>
      </c>
      <c r="AL269">
        <f t="shared" si="54"/>
        <v>23.2971</v>
      </c>
      <c r="AM269">
        <f t="shared" si="55"/>
        <v>28.054833762000001</v>
      </c>
      <c r="AP269" s="9"/>
      <c r="AQ269" s="22">
        <v>0.49575799999999998</v>
      </c>
      <c r="AR269" s="22">
        <v>489.63900000000001</v>
      </c>
      <c r="AS269" s="22">
        <v>-2.3986799999999999E-2</v>
      </c>
      <c r="AT269" s="22">
        <v>259</v>
      </c>
      <c r="AU269" s="22">
        <v>0.49526999999999999</v>
      </c>
      <c r="AV269">
        <f t="shared" si="56"/>
        <v>23.986799999999999</v>
      </c>
      <c r="AW269">
        <f t="shared" si="57"/>
        <v>11.8916479944</v>
      </c>
      <c r="AX269" s="9"/>
      <c r="AY269" s="22">
        <v>1.2042200000000001</v>
      </c>
      <c r="AZ269" s="22">
        <v>600.51800000000003</v>
      </c>
      <c r="BA269" s="22">
        <v>-2.3263499999999999E-2</v>
      </c>
      <c r="BB269" s="22">
        <v>259</v>
      </c>
      <c r="BC269" s="22">
        <v>1.2039200000000001</v>
      </c>
      <c r="BD269">
        <f t="shared" si="58"/>
        <v>23.263500000000001</v>
      </c>
      <c r="BE269">
        <f t="shared" si="59"/>
        <v>28.014371970000003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82.191000000000003</v>
      </c>
      <c r="I270" s="22">
        <v>-2.46368E-2</v>
      </c>
      <c r="J270" s="22">
        <v>260</v>
      </c>
      <c r="K270" s="22">
        <v>0.49008200000000002</v>
      </c>
      <c r="L270">
        <f t="shared" si="48"/>
        <v>24.636800000000001</v>
      </c>
      <c r="M270">
        <f t="shared" si="49"/>
        <v>12.089844406400001</v>
      </c>
      <c r="N270" s="9"/>
      <c r="O270" s="22">
        <v>1.20926</v>
      </c>
      <c r="P270" s="22">
        <v>171.50800000000001</v>
      </c>
      <c r="Q270" s="22">
        <v>-2.3544300000000001E-2</v>
      </c>
      <c r="R270" s="22">
        <v>260</v>
      </c>
      <c r="S270" s="22">
        <v>1.2084999999999999</v>
      </c>
      <c r="T270">
        <f t="shared" si="50"/>
        <v>23.5443</v>
      </c>
      <c r="U270">
        <f t="shared" si="51"/>
        <v>28.471180218000001</v>
      </c>
      <c r="X270" s="9"/>
      <c r="Y270" s="22">
        <v>0.49072300000000002</v>
      </c>
      <c r="Z270" s="22">
        <v>295.471</v>
      </c>
      <c r="AA270" s="22">
        <v>-2.4169900000000001E-2</v>
      </c>
      <c r="AB270" s="22">
        <v>260</v>
      </c>
      <c r="AC270" s="22">
        <v>0.49057000000000001</v>
      </c>
      <c r="AD270">
        <f t="shared" si="52"/>
        <v>24.169900000000002</v>
      </c>
      <c r="AE270">
        <f t="shared" si="53"/>
        <v>11.860725837700002</v>
      </c>
      <c r="AF270" s="9"/>
      <c r="AG270" s="22">
        <v>1.20926</v>
      </c>
      <c r="AH270" s="22">
        <v>401.34899999999999</v>
      </c>
      <c r="AI270" s="22">
        <v>-2.3290999999999999E-2</v>
      </c>
      <c r="AJ270" s="22">
        <v>260</v>
      </c>
      <c r="AK270" s="22">
        <v>1.2084999999999999</v>
      </c>
      <c r="AL270">
        <f t="shared" si="54"/>
        <v>23.291</v>
      </c>
      <c r="AM270">
        <f t="shared" si="55"/>
        <v>28.164874659999999</v>
      </c>
      <c r="AP270" s="9"/>
      <c r="AQ270" s="22">
        <v>0.49072300000000002</v>
      </c>
      <c r="AR270" s="22">
        <v>489.74</v>
      </c>
      <c r="AS270" s="22">
        <v>-2.3986799999999999E-2</v>
      </c>
      <c r="AT270" s="22">
        <v>260</v>
      </c>
      <c r="AU270" s="22">
        <v>0.490143</v>
      </c>
      <c r="AV270">
        <f t="shared" si="56"/>
        <v>23.986799999999999</v>
      </c>
      <c r="AW270">
        <f t="shared" si="57"/>
        <v>11.7708744564</v>
      </c>
      <c r="AX270" s="9"/>
      <c r="AY270" s="22">
        <v>1.20926</v>
      </c>
      <c r="AZ270" s="22">
        <v>600.61900000000003</v>
      </c>
      <c r="BA270" s="22">
        <v>-2.32605E-2</v>
      </c>
      <c r="BB270" s="22">
        <v>260</v>
      </c>
      <c r="BC270" s="22">
        <v>1.2084999999999999</v>
      </c>
      <c r="BD270">
        <f t="shared" si="58"/>
        <v>23.2605</v>
      </c>
      <c r="BE270">
        <f t="shared" si="59"/>
        <v>28.12799223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82.291700000000006</v>
      </c>
      <c r="I271" s="22">
        <v>-2.4649000000000001E-2</v>
      </c>
      <c r="J271" s="22">
        <v>261</v>
      </c>
      <c r="K271" s="22">
        <v>0.48538199999999998</v>
      </c>
      <c r="L271">
        <f t="shared" si="48"/>
        <v>24.649000000000001</v>
      </c>
      <c r="M271">
        <f t="shared" si="49"/>
        <v>11.971698863</v>
      </c>
      <c r="N271" s="9"/>
      <c r="O271" s="22">
        <v>1.2142900000000001</v>
      </c>
      <c r="P271" s="22">
        <v>171.60900000000001</v>
      </c>
      <c r="Q271" s="22">
        <v>-2.3541300000000001E-2</v>
      </c>
      <c r="R271" s="22">
        <v>261</v>
      </c>
      <c r="S271" s="22">
        <v>1.2136800000000001</v>
      </c>
      <c r="T271">
        <f t="shared" si="50"/>
        <v>23.5413</v>
      </c>
      <c r="U271">
        <f t="shared" si="51"/>
        <v>28.585965177000002</v>
      </c>
      <c r="X271" s="9"/>
      <c r="Y271" s="22">
        <v>0.48568699999999998</v>
      </c>
      <c r="Z271" s="22">
        <v>295.57100000000003</v>
      </c>
      <c r="AA271" s="22">
        <v>-2.4179099999999999E-2</v>
      </c>
      <c r="AB271" s="22">
        <v>261</v>
      </c>
      <c r="AC271" s="22">
        <v>0.48513800000000001</v>
      </c>
      <c r="AD271">
        <f t="shared" si="52"/>
        <v>24.179099999999998</v>
      </c>
      <c r="AE271">
        <f t="shared" si="53"/>
        <v>11.743474541699999</v>
      </c>
      <c r="AF271" s="9"/>
      <c r="AG271" s="22">
        <v>1.2142900000000001</v>
      </c>
      <c r="AH271" s="22">
        <v>401.45</v>
      </c>
      <c r="AI271" s="22">
        <v>-2.3281900000000001E-2</v>
      </c>
      <c r="AJ271" s="22">
        <v>261</v>
      </c>
      <c r="AK271" s="22">
        <v>1.2136800000000001</v>
      </c>
      <c r="AL271">
        <f t="shared" si="54"/>
        <v>23.2819</v>
      </c>
      <c r="AM271">
        <f t="shared" si="55"/>
        <v>28.270978351000004</v>
      </c>
      <c r="AP271" s="9"/>
      <c r="AQ271" s="22">
        <v>0.48568699999999998</v>
      </c>
      <c r="AR271" s="22">
        <v>489.84100000000001</v>
      </c>
      <c r="AS271" s="22">
        <v>-2.3989900000000002E-2</v>
      </c>
      <c r="AT271" s="22">
        <v>261</v>
      </c>
      <c r="AU271" s="22">
        <v>0.485016</v>
      </c>
      <c r="AV271">
        <f t="shared" si="56"/>
        <v>23.989900000000002</v>
      </c>
      <c r="AW271">
        <f t="shared" si="57"/>
        <v>11.651582561300001</v>
      </c>
      <c r="AX271" s="9"/>
      <c r="AY271" s="22">
        <v>1.2142900000000001</v>
      </c>
      <c r="AZ271" s="22">
        <v>600.71900000000005</v>
      </c>
      <c r="BA271" s="22">
        <v>-2.3257400000000001E-2</v>
      </c>
      <c r="BB271" s="22">
        <v>261</v>
      </c>
      <c r="BC271" s="22">
        <v>1.2136800000000001</v>
      </c>
      <c r="BD271">
        <f t="shared" si="58"/>
        <v>23.257400000000001</v>
      </c>
      <c r="BE271">
        <f t="shared" si="59"/>
        <v>28.241228246000002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82.392399999999995</v>
      </c>
      <c r="I272" s="22">
        <v>-2.4655199999999999E-2</v>
      </c>
      <c r="J272" s="22">
        <v>262</v>
      </c>
      <c r="K272" s="22">
        <v>0.47994999999999999</v>
      </c>
      <c r="L272">
        <f t="shared" si="48"/>
        <v>24.655199999999997</v>
      </c>
      <c r="M272">
        <f t="shared" si="49"/>
        <v>11.850571190399998</v>
      </c>
      <c r="N272" s="9"/>
      <c r="O272" s="22">
        <v>1.21933</v>
      </c>
      <c r="P272" s="22">
        <v>171.71</v>
      </c>
      <c r="Q272" s="22">
        <v>-2.3529100000000001E-2</v>
      </c>
      <c r="R272" s="22">
        <v>262</v>
      </c>
      <c r="S272" s="22">
        <v>1.2185699999999999</v>
      </c>
      <c r="T272">
        <f t="shared" si="50"/>
        <v>23.5291</v>
      </c>
      <c r="U272">
        <f t="shared" si="51"/>
        <v>28.689737503</v>
      </c>
      <c r="X272" s="9"/>
      <c r="Y272" s="22">
        <v>0.48065200000000002</v>
      </c>
      <c r="Z272" s="22">
        <v>295.67200000000003</v>
      </c>
      <c r="AA272" s="22">
        <v>-2.41852E-2</v>
      </c>
      <c r="AB272" s="22">
        <v>262</v>
      </c>
      <c r="AC272" s="22">
        <v>0.480072</v>
      </c>
      <c r="AD272">
        <f t="shared" si="52"/>
        <v>24.185200000000002</v>
      </c>
      <c r="AE272">
        <f t="shared" si="53"/>
        <v>11.624664750400001</v>
      </c>
      <c r="AF272" s="9"/>
      <c r="AG272" s="22">
        <v>1.21933</v>
      </c>
      <c r="AH272" s="22">
        <v>401.55099999999999</v>
      </c>
      <c r="AI272" s="22">
        <v>-2.3281900000000001E-2</v>
      </c>
      <c r="AJ272" s="22">
        <v>262</v>
      </c>
      <c r="AK272" s="22">
        <v>1.2182599999999999</v>
      </c>
      <c r="AL272">
        <f t="shared" si="54"/>
        <v>23.2819</v>
      </c>
      <c r="AM272">
        <f t="shared" si="55"/>
        <v>28.388319127000003</v>
      </c>
      <c r="AP272" s="9"/>
      <c r="AQ272" s="22">
        <v>0.48065200000000002</v>
      </c>
      <c r="AR272" s="22">
        <v>489.94099999999997</v>
      </c>
      <c r="AS272" s="22">
        <v>-2.3998999999999999E-2</v>
      </c>
      <c r="AT272" s="22">
        <v>262</v>
      </c>
      <c r="AU272" s="22">
        <v>0.48065200000000002</v>
      </c>
      <c r="AV272">
        <f t="shared" si="56"/>
        <v>23.998999999999999</v>
      </c>
      <c r="AW272">
        <f t="shared" si="57"/>
        <v>11.535167348</v>
      </c>
      <c r="AX272" s="9"/>
      <c r="AY272" s="22">
        <v>1.21933</v>
      </c>
      <c r="AZ272" s="22">
        <v>600.82000000000005</v>
      </c>
      <c r="BA272" s="22">
        <v>-2.32483E-2</v>
      </c>
      <c r="BB272" s="22">
        <v>262</v>
      </c>
      <c r="BC272" s="22">
        <v>1.2182599999999999</v>
      </c>
      <c r="BD272">
        <f t="shared" si="58"/>
        <v>23.2483</v>
      </c>
      <c r="BE272">
        <f t="shared" si="59"/>
        <v>28.347349639000001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82.493099999999998</v>
      </c>
      <c r="I273" s="22">
        <v>-2.46643E-2</v>
      </c>
      <c r="J273" s="22">
        <v>263</v>
      </c>
      <c r="K273" s="22">
        <v>0.47488399999999997</v>
      </c>
      <c r="L273">
        <f t="shared" si="48"/>
        <v>24.664300000000001</v>
      </c>
      <c r="M273">
        <f t="shared" si="49"/>
        <v>11.730735708799999</v>
      </c>
      <c r="N273" s="9"/>
      <c r="O273" s="22">
        <v>1.22437</v>
      </c>
      <c r="P273" s="22">
        <v>171.81100000000001</v>
      </c>
      <c r="Q273" s="22">
        <v>-2.35199E-2</v>
      </c>
      <c r="R273" s="22">
        <v>263</v>
      </c>
      <c r="S273" s="22">
        <v>1.2234499999999999</v>
      </c>
      <c r="T273">
        <f t="shared" si="50"/>
        <v>23.5199</v>
      </c>
      <c r="U273">
        <f t="shared" si="51"/>
        <v>28.797059962999999</v>
      </c>
      <c r="X273" s="9"/>
      <c r="Y273" s="22">
        <v>0.47561599999999998</v>
      </c>
      <c r="Z273" s="22">
        <v>295.77300000000002</v>
      </c>
      <c r="AA273" s="22">
        <v>-2.4197400000000001E-2</v>
      </c>
      <c r="AB273" s="22">
        <v>263</v>
      </c>
      <c r="AC273" s="22">
        <v>0.47512799999999999</v>
      </c>
      <c r="AD273">
        <f t="shared" si="52"/>
        <v>24.197400000000002</v>
      </c>
      <c r="AE273">
        <f t="shared" si="53"/>
        <v>11.5086705984</v>
      </c>
      <c r="AF273" s="9"/>
      <c r="AG273" s="22">
        <v>1.22437</v>
      </c>
      <c r="AH273" s="22">
        <v>401.65199999999999</v>
      </c>
      <c r="AI273" s="22">
        <v>-2.3263499999999999E-2</v>
      </c>
      <c r="AJ273" s="22">
        <v>263</v>
      </c>
      <c r="AK273" s="22">
        <v>1.22437</v>
      </c>
      <c r="AL273">
        <f t="shared" si="54"/>
        <v>23.263500000000001</v>
      </c>
      <c r="AM273">
        <f t="shared" si="55"/>
        <v>28.483131494999999</v>
      </c>
      <c r="AP273" s="9"/>
      <c r="AQ273" s="22">
        <v>0.47561599999999998</v>
      </c>
      <c r="AR273" s="22">
        <v>490.04199999999997</v>
      </c>
      <c r="AS273" s="22">
        <v>-2.40112E-2</v>
      </c>
      <c r="AT273" s="22">
        <v>263</v>
      </c>
      <c r="AU273" s="22">
        <v>0.47500599999999998</v>
      </c>
      <c r="AV273">
        <f t="shared" si="56"/>
        <v>24.011199999999999</v>
      </c>
      <c r="AW273">
        <f t="shared" si="57"/>
        <v>11.420110899199999</v>
      </c>
      <c r="AX273" s="9"/>
      <c r="AY273" s="22">
        <v>1.22437</v>
      </c>
      <c r="AZ273" s="22">
        <v>600.92100000000005</v>
      </c>
      <c r="BA273" s="22">
        <v>-2.3236099999999999E-2</v>
      </c>
      <c r="BB273" s="22">
        <v>263</v>
      </c>
      <c r="BC273" s="22">
        <v>1.2240599999999999</v>
      </c>
      <c r="BD273">
        <f t="shared" si="58"/>
        <v>23.2361</v>
      </c>
      <c r="BE273">
        <f t="shared" si="59"/>
        <v>28.449583756999999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82.593800000000002</v>
      </c>
      <c r="I274" s="22">
        <v>-2.4670399999999999E-2</v>
      </c>
      <c r="J274" s="22">
        <v>264</v>
      </c>
      <c r="K274" s="22">
        <v>0.47003200000000001</v>
      </c>
      <c r="L274">
        <f t="shared" si="48"/>
        <v>24.670399999999997</v>
      </c>
      <c r="M274">
        <f t="shared" si="49"/>
        <v>11.6094215024</v>
      </c>
      <c r="N274" s="9"/>
      <c r="O274" s="22">
        <v>1.2294</v>
      </c>
      <c r="P274" s="22">
        <v>171.911</v>
      </c>
      <c r="Q274" s="22">
        <v>-2.3513800000000001E-2</v>
      </c>
      <c r="R274" s="22">
        <v>264</v>
      </c>
      <c r="S274" s="22">
        <v>1.2289399999999999</v>
      </c>
      <c r="T274">
        <f t="shared" si="50"/>
        <v>23.5138</v>
      </c>
      <c r="U274">
        <f t="shared" si="51"/>
        <v>28.90786572</v>
      </c>
      <c r="X274" s="9"/>
      <c r="Y274" s="22">
        <v>0.47058100000000003</v>
      </c>
      <c r="Z274" s="22">
        <v>295.87299999999999</v>
      </c>
      <c r="AA274" s="22">
        <v>-2.4203499999999999E-2</v>
      </c>
      <c r="AB274" s="22">
        <v>264</v>
      </c>
      <c r="AC274" s="22">
        <v>0.47015400000000002</v>
      </c>
      <c r="AD274">
        <f t="shared" si="52"/>
        <v>24.203499999999998</v>
      </c>
      <c r="AE274">
        <f t="shared" si="53"/>
        <v>11.389707233499999</v>
      </c>
      <c r="AF274" s="9"/>
      <c r="AG274" s="22">
        <v>1.2294</v>
      </c>
      <c r="AH274" s="22">
        <v>401.75200000000001</v>
      </c>
      <c r="AI274" s="22">
        <v>-2.3257400000000001E-2</v>
      </c>
      <c r="AJ274" s="22">
        <v>264</v>
      </c>
      <c r="AK274" s="22">
        <v>1.22864</v>
      </c>
      <c r="AL274">
        <f t="shared" si="54"/>
        <v>23.257400000000001</v>
      </c>
      <c r="AM274">
        <f t="shared" si="55"/>
        <v>28.592647560000003</v>
      </c>
      <c r="AP274" s="9"/>
      <c r="AQ274" s="22">
        <v>0.47058100000000003</v>
      </c>
      <c r="AR274" s="22">
        <v>490.14299999999997</v>
      </c>
      <c r="AS274" s="22">
        <v>-2.4014299999999999E-2</v>
      </c>
      <c r="AT274" s="22">
        <v>264</v>
      </c>
      <c r="AU274" s="22">
        <v>0.47006199999999998</v>
      </c>
      <c r="AV274">
        <f t="shared" si="56"/>
        <v>24.014299999999999</v>
      </c>
      <c r="AW274">
        <f t="shared" si="57"/>
        <v>11.3006733083</v>
      </c>
      <c r="AX274" s="9"/>
      <c r="AY274" s="22">
        <v>1.2294</v>
      </c>
      <c r="AZ274" s="22">
        <v>601.02200000000005</v>
      </c>
      <c r="BA274" s="22">
        <v>-2.3239099999999999E-2</v>
      </c>
      <c r="BB274" s="22">
        <v>264</v>
      </c>
      <c r="BC274" s="22">
        <v>1.2289399999999999</v>
      </c>
      <c r="BD274">
        <f t="shared" si="58"/>
        <v>23.239099999999997</v>
      </c>
      <c r="BE274">
        <f t="shared" si="59"/>
        <v>28.570149539999999</v>
      </c>
    </row>
    <row r="275" spans="6:101">
      <c r="F275" s="9"/>
      <c r="G275" s="22">
        <v>0.46554600000000002</v>
      </c>
      <c r="H275" s="22">
        <v>82.694500000000005</v>
      </c>
      <c r="I275" s="22">
        <v>-2.4670399999999999E-2</v>
      </c>
      <c r="J275" s="22">
        <v>265</v>
      </c>
      <c r="K275" s="22">
        <v>0.465057</v>
      </c>
      <c r="L275">
        <f t="shared" si="48"/>
        <v>24.670399999999997</v>
      </c>
      <c r="M275">
        <f t="shared" si="49"/>
        <v>11.485206038399999</v>
      </c>
      <c r="N275" s="9"/>
      <c r="O275" s="22">
        <v>1.23444</v>
      </c>
      <c r="P275" s="22">
        <v>172.012</v>
      </c>
      <c r="Q275" s="22">
        <v>-2.3501600000000001E-2</v>
      </c>
      <c r="R275" s="22">
        <v>265</v>
      </c>
      <c r="S275" s="22">
        <v>1.2335199999999999</v>
      </c>
      <c r="T275">
        <f t="shared" si="50"/>
        <v>23.5016</v>
      </c>
      <c r="U275">
        <f t="shared" si="51"/>
        <v>29.011315103999998</v>
      </c>
      <c r="X275" s="9"/>
      <c r="Y275" s="22">
        <v>0.46554600000000002</v>
      </c>
      <c r="Z275" s="22">
        <v>295.97399999999999</v>
      </c>
      <c r="AA275" s="22">
        <v>-2.4203499999999999E-2</v>
      </c>
      <c r="AB275" s="22">
        <v>265</v>
      </c>
      <c r="AC275" s="22">
        <v>0.464752</v>
      </c>
      <c r="AD275">
        <f t="shared" si="52"/>
        <v>24.203499999999998</v>
      </c>
      <c r="AE275">
        <f t="shared" si="53"/>
        <v>11.267842610999999</v>
      </c>
      <c r="AF275" s="9"/>
      <c r="AG275" s="22">
        <v>1.23444</v>
      </c>
      <c r="AH275" s="22">
        <v>401.85300000000001</v>
      </c>
      <c r="AI275" s="22">
        <v>-2.32605E-2</v>
      </c>
      <c r="AJ275" s="22">
        <v>265</v>
      </c>
      <c r="AK275" s="22">
        <v>1.2335199999999999</v>
      </c>
      <c r="AL275">
        <f t="shared" si="54"/>
        <v>23.2605</v>
      </c>
      <c r="AM275">
        <f t="shared" si="55"/>
        <v>28.713691619999999</v>
      </c>
      <c r="AP275" s="9"/>
      <c r="AQ275" s="22">
        <v>0.46554600000000002</v>
      </c>
      <c r="AR275" s="22">
        <v>490.24299999999999</v>
      </c>
      <c r="AS275" s="22">
        <v>-2.40234E-2</v>
      </c>
      <c r="AT275" s="22">
        <v>265</v>
      </c>
      <c r="AU275" s="22">
        <v>0.465057</v>
      </c>
      <c r="AV275">
        <f t="shared" si="56"/>
        <v>24.023399999999999</v>
      </c>
      <c r="AW275">
        <f t="shared" si="57"/>
        <v>11.1839977764</v>
      </c>
      <c r="AX275" s="9"/>
      <c r="AY275" s="22">
        <v>1.23444</v>
      </c>
      <c r="AZ275" s="22">
        <v>601.12199999999996</v>
      </c>
      <c r="BA275" s="22">
        <v>-2.3223899999999999E-2</v>
      </c>
      <c r="BB275" s="22">
        <v>265</v>
      </c>
      <c r="BC275" s="22">
        <v>1.23383</v>
      </c>
      <c r="BD275">
        <f t="shared" si="58"/>
        <v>23.2239</v>
      </c>
      <c r="BE275">
        <f t="shared" si="59"/>
        <v>28.668511116000001</v>
      </c>
    </row>
    <row r="276" spans="6:101">
      <c r="F276" s="9"/>
      <c r="G276" s="22">
        <v>0.46050999999999997</v>
      </c>
      <c r="H276" s="22">
        <v>82.795199999999994</v>
      </c>
      <c r="I276" s="22">
        <v>-2.4676500000000001E-2</v>
      </c>
      <c r="J276" s="22">
        <v>266</v>
      </c>
      <c r="K276" s="22">
        <v>0.46002199999999999</v>
      </c>
      <c r="L276">
        <f t="shared" si="48"/>
        <v>24.676500000000001</v>
      </c>
      <c r="M276">
        <f t="shared" si="49"/>
        <v>11.363775015</v>
      </c>
      <c r="N276" s="9"/>
      <c r="O276" s="22">
        <v>1.2394700000000001</v>
      </c>
      <c r="P276" s="22">
        <v>172.113</v>
      </c>
      <c r="Q276" s="22">
        <v>-2.3513800000000001E-2</v>
      </c>
      <c r="R276" s="22">
        <v>266</v>
      </c>
      <c r="S276" s="22">
        <v>1.23871</v>
      </c>
      <c r="T276">
        <f t="shared" si="50"/>
        <v>23.5138</v>
      </c>
      <c r="U276">
        <f t="shared" si="51"/>
        <v>29.144649686000001</v>
      </c>
      <c r="X276" s="9"/>
      <c r="Y276" s="22">
        <v>0.46050999999999997</v>
      </c>
      <c r="Z276" s="22">
        <v>296.07499999999999</v>
      </c>
      <c r="AA276" s="22">
        <v>-2.4203499999999999E-2</v>
      </c>
      <c r="AB276" s="22">
        <v>266</v>
      </c>
      <c r="AC276" s="22">
        <v>0.46002199999999999</v>
      </c>
      <c r="AD276">
        <f t="shared" si="52"/>
        <v>24.203499999999998</v>
      </c>
      <c r="AE276">
        <f t="shared" si="53"/>
        <v>11.145953784999998</v>
      </c>
      <c r="AF276" s="9"/>
      <c r="AG276" s="22">
        <v>1.2394700000000001</v>
      </c>
      <c r="AH276" s="22">
        <v>401.95400000000001</v>
      </c>
      <c r="AI276" s="22">
        <v>-2.3245200000000001E-2</v>
      </c>
      <c r="AJ276" s="22">
        <v>266</v>
      </c>
      <c r="AK276" s="22">
        <v>1.23871</v>
      </c>
      <c r="AL276">
        <f t="shared" si="54"/>
        <v>23.245200000000001</v>
      </c>
      <c r="AM276">
        <f t="shared" si="55"/>
        <v>28.811728044000002</v>
      </c>
      <c r="AP276" s="9"/>
      <c r="AQ276" s="22">
        <v>0.46050999999999997</v>
      </c>
      <c r="AR276" s="22">
        <v>490.34399999999999</v>
      </c>
      <c r="AS276" s="22">
        <v>-2.40234E-2</v>
      </c>
      <c r="AT276" s="22">
        <v>266</v>
      </c>
      <c r="AU276" s="22">
        <v>0.45999099999999998</v>
      </c>
      <c r="AV276">
        <f t="shared" si="56"/>
        <v>24.023399999999999</v>
      </c>
      <c r="AW276">
        <f t="shared" si="57"/>
        <v>11.063015933999999</v>
      </c>
      <c r="AX276" s="9"/>
      <c r="AY276" s="22">
        <v>1.2394700000000001</v>
      </c>
      <c r="AZ276" s="22">
        <v>601.22299999999996</v>
      </c>
      <c r="BA276" s="22">
        <v>-2.3223899999999999E-2</v>
      </c>
      <c r="BB276" s="22">
        <v>266</v>
      </c>
      <c r="BC276" s="22">
        <v>1.23871</v>
      </c>
      <c r="BD276">
        <f t="shared" si="58"/>
        <v>23.2239</v>
      </c>
      <c r="BE276">
        <f t="shared" si="59"/>
        <v>28.785327333000001</v>
      </c>
    </row>
    <row r="277" spans="6:101">
      <c r="F277" s="9"/>
      <c r="G277" s="22">
        <v>0.45547500000000002</v>
      </c>
      <c r="H277" s="22">
        <v>82.895899999999997</v>
      </c>
      <c r="I277" s="22">
        <v>-2.4682599999999999E-2</v>
      </c>
      <c r="J277" s="22">
        <v>267</v>
      </c>
      <c r="K277" s="22">
        <v>0.45489499999999999</v>
      </c>
      <c r="L277">
        <f t="shared" si="48"/>
        <v>24.682600000000001</v>
      </c>
      <c r="M277">
        <f t="shared" si="49"/>
        <v>11.242307235</v>
      </c>
      <c r="N277" s="9"/>
      <c r="O277" s="22">
        <v>1.24451</v>
      </c>
      <c r="P277" s="22">
        <v>172.21299999999999</v>
      </c>
      <c r="Q277" s="22">
        <v>-2.3495499999999999E-2</v>
      </c>
      <c r="R277" s="22">
        <v>267</v>
      </c>
      <c r="S277" s="22">
        <v>1.24359</v>
      </c>
      <c r="T277">
        <f t="shared" si="50"/>
        <v>23.4955</v>
      </c>
      <c r="U277">
        <f t="shared" si="51"/>
        <v>29.240384705</v>
      </c>
      <c r="X277" s="9"/>
      <c r="Y277" s="22">
        <v>0.45547500000000002</v>
      </c>
      <c r="Z277" s="22">
        <v>296.17599999999999</v>
      </c>
      <c r="AA277" s="22">
        <v>-2.4212600000000001E-2</v>
      </c>
      <c r="AB277" s="22">
        <v>267</v>
      </c>
      <c r="AC277" s="22">
        <v>0.455322</v>
      </c>
      <c r="AD277">
        <f t="shared" si="52"/>
        <v>24.212600000000002</v>
      </c>
      <c r="AE277">
        <f t="shared" si="53"/>
        <v>11.028233985000002</v>
      </c>
      <c r="AF277" s="9"/>
      <c r="AG277" s="22">
        <v>1.24451</v>
      </c>
      <c r="AH277" s="22">
        <v>402.05399999999997</v>
      </c>
      <c r="AI277" s="22">
        <v>-2.32483E-2</v>
      </c>
      <c r="AJ277" s="22">
        <v>267</v>
      </c>
      <c r="AK277" s="22">
        <v>1.24451</v>
      </c>
      <c r="AL277">
        <f t="shared" si="54"/>
        <v>23.2483</v>
      </c>
      <c r="AM277">
        <f t="shared" si="55"/>
        <v>28.932741833000001</v>
      </c>
      <c r="AP277" s="9"/>
      <c r="AQ277" s="22">
        <v>0.45547500000000002</v>
      </c>
      <c r="AR277" s="22">
        <v>490.44499999999999</v>
      </c>
      <c r="AS277" s="22">
        <v>-2.4035600000000001E-2</v>
      </c>
      <c r="AT277" s="22">
        <v>267</v>
      </c>
      <c r="AU277" s="22">
        <v>0.45474199999999998</v>
      </c>
      <c r="AV277">
        <f t="shared" si="56"/>
        <v>24.035600000000002</v>
      </c>
      <c r="AW277">
        <f t="shared" si="57"/>
        <v>10.947614910000002</v>
      </c>
      <c r="AX277" s="9"/>
      <c r="AY277" s="22">
        <v>1.24451</v>
      </c>
      <c r="AZ277" s="22">
        <v>601.32399999999996</v>
      </c>
      <c r="BA277" s="22">
        <v>-2.3208599999999999E-2</v>
      </c>
      <c r="BB277" s="22">
        <v>267</v>
      </c>
      <c r="BC277" s="22">
        <v>1.2439</v>
      </c>
      <c r="BD277">
        <f t="shared" si="58"/>
        <v>23.208600000000001</v>
      </c>
      <c r="BE277">
        <f t="shared" si="59"/>
        <v>28.883334786000002</v>
      </c>
    </row>
    <row r="278" spans="6:101">
      <c r="F278" s="9"/>
      <c r="G278" s="22">
        <v>0.45043899999999998</v>
      </c>
      <c r="H278" s="22">
        <v>82.996600000000001</v>
      </c>
      <c r="I278" s="22">
        <v>-2.4679599999999999E-2</v>
      </c>
      <c r="J278" s="22">
        <v>268</v>
      </c>
      <c r="K278" s="22">
        <v>0.449768</v>
      </c>
      <c r="L278">
        <f t="shared" si="48"/>
        <v>24.679600000000001</v>
      </c>
      <c r="M278">
        <f t="shared" si="49"/>
        <v>11.116654344400001</v>
      </c>
      <c r="N278" s="9"/>
      <c r="O278" s="22">
        <v>1.2495400000000001</v>
      </c>
      <c r="P278" s="22">
        <v>172.31399999999999</v>
      </c>
      <c r="Q278" s="22">
        <v>-2.34924E-2</v>
      </c>
      <c r="R278" s="22">
        <v>268</v>
      </c>
      <c r="S278" s="22">
        <v>1.24969</v>
      </c>
      <c r="T278">
        <f t="shared" si="50"/>
        <v>23.4924</v>
      </c>
      <c r="U278">
        <f t="shared" si="51"/>
        <v>29.354693496000003</v>
      </c>
      <c r="X278" s="9"/>
      <c r="Y278" s="22">
        <v>0.45043899999999998</v>
      </c>
      <c r="Z278" s="22">
        <v>296.27600000000001</v>
      </c>
      <c r="AA278" s="22">
        <v>-2.4218799999999999E-2</v>
      </c>
      <c r="AB278" s="22">
        <v>268</v>
      </c>
      <c r="AC278" s="22">
        <v>0.449463</v>
      </c>
      <c r="AD278">
        <f t="shared" si="52"/>
        <v>24.218799999999998</v>
      </c>
      <c r="AE278">
        <f t="shared" si="53"/>
        <v>10.909092053199998</v>
      </c>
      <c r="AF278" s="9"/>
      <c r="AG278" s="22">
        <v>1.2495400000000001</v>
      </c>
      <c r="AH278" s="22">
        <v>402.15499999999997</v>
      </c>
      <c r="AI278" s="22">
        <v>-2.3239099999999999E-2</v>
      </c>
      <c r="AJ278" s="22">
        <v>268</v>
      </c>
      <c r="AK278" s="22">
        <v>1.24878</v>
      </c>
      <c r="AL278">
        <f t="shared" si="54"/>
        <v>23.239099999999997</v>
      </c>
      <c r="AM278">
        <f t="shared" si="55"/>
        <v>29.038185014</v>
      </c>
      <c r="AP278" s="9"/>
      <c r="AQ278" s="22">
        <v>0.45043899999999998</v>
      </c>
      <c r="AR278" s="22">
        <v>490.54599999999999</v>
      </c>
      <c r="AS278" s="22">
        <v>-2.40387E-2</v>
      </c>
      <c r="AT278" s="22">
        <v>268</v>
      </c>
      <c r="AU278" s="22">
        <v>0.45013399999999998</v>
      </c>
      <c r="AV278">
        <f t="shared" si="56"/>
        <v>24.038699999999999</v>
      </c>
      <c r="AW278">
        <f t="shared" si="57"/>
        <v>10.827967989299999</v>
      </c>
      <c r="AX278" s="9"/>
      <c r="AY278" s="22">
        <v>1.2495400000000001</v>
      </c>
      <c r="AZ278" s="22">
        <v>601.42399999999998</v>
      </c>
      <c r="BA278" s="22">
        <v>-2.3202500000000001E-2</v>
      </c>
      <c r="BB278" s="22">
        <v>268</v>
      </c>
      <c r="BC278" s="22">
        <v>1.24847</v>
      </c>
      <c r="BD278">
        <f t="shared" si="58"/>
        <v>23.202500000000001</v>
      </c>
      <c r="BE278">
        <f t="shared" si="59"/>
        <v>28.992451850000002</v>
      </c>
    </row>
    <row r="279" spans="6:101">
      <c r="F279" s="9"/>
      <c r="G279" s="22">
        <v>0.44540400000000002</v>
      </c>
      <c r="H279" s="22">
        <v>83.097399999999993</v>
      </c>
      <c r="I279" s="22">
        <v>-2.4688700000000001E-2</v>
      </c>
      <c r="J279" s="22">
        <v>269</v>
      </c>
      <c r="K279" s="22">
        <v>0.44516</v>
      </c>
      <c r="L279">
        <f t="shared" si="48"/>
        <v>24.688700000000001</v>
      </c>
      <c r="M279">
        <f t="shared" si="49"/>
        <v>10.996445734800002</v>
      </c>
      <c r="N279" s="9"/>
      <c r="O279" s="22">
        <v>1.25458</v>
      </c>
      <c r="P279" s="22">
        <v>172.41499999999999</v>
      </c>
      <c r="Q279" s="22">
        <v>-2.34802E-2</v>
      </c>
      <c r="R279" s="22">
        <v>269</v>
      </c>
      <c r="S279" s="22">
        <v>1.25397</v>
      </c>
      <c r="T279">
        <f t="shared" si="50"/>
        <v>23.4802</v>
      </c>
      <c r="U279">
        <f t="shared" si="51"/>
        <v>29.457789316</v>
      </c>
      <c r="X279" s="9"/>
      <c r="Y279" s="22">
        <v>0.44540400000000002</v>
      </c>
      <c r="Z279" s="22">
        <v>296.37700000000001</v>
      </c>
      <c r="AA279" s="22">
        <v>-2.4218799999999999E-2</v>
      </c>
      <c r="AB279" s="22">
        <v>269</v>
      </c>
      <c r="AC279" s="22">
        <v>0.44479400000000002</v>
      </c>
      <c r="AD279">
        <f t="shared" si="52"/>
        <v>24.218799999999998</v>
      </c>
      <c r="AE279">
        <f t="shared" si="53"/>
        <v>10.787150395199999</v>
      </c>
      <c r="AF279" s="9"/>
      <c r="AG279" s="22">
        <v>1.25458</v>
      </c>
      <c r="AH279" s="22">
        <v>402.25599999999997</v>
      </c>
      <c r="AI279" s="22">
        <v>-2.3242200000000001E-2</v>
      </c>
      <c r="AJ279" s="22">
        <v>269</v>
      </c>
      <c r="AK279" s="22">
        <v>1.25366</v>
      </c>
      <c r="AL279">
        <f t="shared" si="54"/>
        <v>23.2422</v>
      </c>
      <c r="AM279">
        <f t="shared" si="55"/>
        <v>29.159199276000002</v>
      </c>
      <c r="AP279" s="9"/>
      <c r="AQ279" s="22">
        <v>0.44540400000000002</v>
      </c>
      <c r="AR279" s="22">
        <v>490.64600000000002</v>
      </c>
      <c r="AS279" s="22">
        <v>-2.4044800000000002E-2</v>
      </c>
      <c r="AT279" s="22">
        <v>269</v>
      </c>
      <c r="AU279" s="22">
        <v>0.44476300000000002</v>
      </c>
      <c r="AV279">
        <f t="shared" si="56"/>
        <v>24.044800000000002</v>
      </c>
      <c r="AW279">
        <f t="shared" si="57"/>
        <v>10.709650099200001</v>
      </c>
      <c r="AX279" s="9"/>
      <c r="AY279" s="22">
        <v>1.25458</v>
      </c>
      <c r="AZ279" s="22">
        <v>601.52499999999998</v>
      </c>
      <c r="BA279" s="22">
        <v>-2.3202500000000001E-2</v>
      </c>
      <c r="BB279" s="22">
        <v>269</v>
      </c>
      <c r="BC279" s="22">
        <v>1.25397</v>
      </c>
      <c r="BD279">
        <f t="shared" si="58"/>
        <v>23.202500000000001</v>
      </c>
      <c r="BE279">
        <f t="shared" si="59"/>
        <v>29.109392450000001</v>
      </c>
    </row>
    <row r="280" spans="6:101">
      <c r="F280" s="9"/>
      <c r="G280" s="22">
        <v>0.44036900000000001</v>
      </c>
      <c r="H280" s="22">
        <v>83.198099999999997</v>
      </c>
      <c r="I280" s="22">
        <v>-2.4688700000000001E-2</v>
      </c>
      <c r="J280" s="22">
        <v>270</v>
      </c>
      <c r="K280" s="22">
        <v>0.43966699999999997</v>
      </c>
      <c r="L280">
        <f t="shared" si="48"/>
        <v>24.688700000000001</v>
      </c>
      <c r="M280">
        <f t="shared" si="49"/>
        <v>10.8721381303</v>
      </c>
      <c r="N280" s="9"/>
      <c r="O280" s="22">
        <v>1.2596099999999999</v>
      </c>
      <c r="P280" s="22">
        <v>172.51599999999999</v>
      </c>
      <c r="Q280" s="22">
        <v>-2.3471100000000002E-2</v>
      </c>
      <c r="R280" s="22">
        <v>270</v>
      </c>
      <c r="S280" s="22">
        <v>1.25946</v>
      </c>
      <c r="T280">
        <f t="shared" si="50"/>
        <v>23.471100000000003</v>
      </c>
      <c r="U280">
        <f t="shared" si="51"/>
        <v>29.564432271000001</v>
      </c>
      <c r="X280" s="9"/>
      <c r="Y280" s="22">
        <v>0.44036900000000001</v>
      </c>
      <c r="Z280" s="22">
        <v>296.47800000000001</v>
      </c>
      <c r="AA280" s="22">
        <v>-2.4233999999999999E-2</v>
      </c>
      <c r="AB280" s="22">
        <v>270</v>
      </c>
      <c r="AC280" s="22">
        <v>0.43972800000000001</v>
      </c>
      <c r="AD280">
        <f t="shared" si="52"/>
        <v>24.233999999999998</v>
      </c>
      <c r="AE280">
        <f t="shared" si="53"/>
        <v>10.671902346</v>
      </c>
      <c r="AF280" s="9"/>
      <c r="AG280" s="22">
        <v>1.2596099999999999</v>
      </c>
      <c r="AH280" s="22">
        <v>402.35599999999999</v>
      </c>
      <c r="AI280" s="22">
        <v>-2.32208E-2</v>
      </c>
      <c r="AJ280" s="22">
        <v>270</v>
      </c>
      <c r="AK280" s="22">
        <v>1.25946</v>
      </c>
      <c r="AL280">
        <f t="shared" si="54"/>
        <v>23.220800000000001</v>
      </c>
      <c r="AM280">
        <f t="shared" si="55"/>
        <v>29.249151887999997</v>
      </c>
      <c r="AP280" s="9"/>
      <c r="AQ280" s="22">
        <v>0.44036900000000001</v>
      </c>
      <c r="AR280" s="22">
        <v>490.74700000000001</v>
      </c>
      <c r="AS280" s="22">
        <v>-2.40509E-2</v>
      </c>
      <c r="AT280" s="22">
        <v>270</v>
      </c>
      <c r="AU280" s="22">
        <v>0.43981900000000002</v>
      </c>
      <c r="AV280">
        <f t="shared" si="56"/>
        <v>24.050899999999999</v>
      </c>
      <c r="AW280">
        <f t="shared" si="57"/>
        <v>10.591270782100001</v>
      </c>
      <c r="AX280" s="9"/>
      <c r="AY280" s="22">
        <v>1.2596099999999999</v>
      </c>
      <c r="AZ280" s="22">
        <v>601.62599999999998</v>
      </c>
      <c r="BA280" s="22">
        <v>-2.31903E-2</v>
      </c>
      <c r="BB280" s="22">
        <v>270</v>
      </c>
      <c r="BC280" s="22">
        <v>1.2591600000000001</v>
      </c>
      <c r="BD280">
        <f t="shared" si="58"/>
        <v>23.190300000000001</v>
      </c>
      <c r="BE280">
        <f t="shared" si="59"/>
        <v>29.210733782999998</v>
      </c>
    </row>
    <row r="281" spans="6:101">
      <c r="F281" s="9"/>
      <c r="G281" s="22">
        <v>0.43533300000000003</v>
      </c>
      <c r="H281" s="22">
        <v>83.2988</v>
      </c>
      <c r="I281" s="22">
        <v>-2.46918E-2</v>
      </c>
      <c r="J281" s="22">
        <v>271</v>
      </c>
      <c r="K281" s="22">
        <v>0.43438700000000002</v>
      </c>
      <c r="L281">
        <f t="shared" si="48"/>
        <v>24.691800000000001</v>
      </c>
      <c r="M281">
        <f t="shared" si="49"/>
        <v>10.7491553694</v>
      </c>
      <c r="N281" s="9"/>
      <c r="O281" s="22">
        <v>1.2646500000000001</v>
      </c>
      <c r="P281" s="22">
        <v>172.61600000000001</v>
      </c>
      <c r="Q281" s="22">
        <v>-2.3465E-2</v>
      </c>
      <c r="R281" s="22">
        <v>271</v>
      </c>
      <c r="S281" s="22">
        <v>1.26373</v>
      </c>
      <c r="T281">
        <f t="shared" si="50"/>
        <v>23.465</v>
      </c>
      <c r="U281">
        <f t="shared" si="51"/>
        <v>29.675012250000002</v>
      </c>
      <c r="X281" s="9"/>
      <c r="Y281" s="22">
        <v>0.43533300000000003</v>
      </c>
      <c r="Z281" s="22">
        <v>296.57799999999997</v>
      </c>
      <c r="AA281" s="22">
        <v>-2.4230999999999999E-2</v>
      </c>
      <c r="AB281" s="22">
        <v>271</v>
      </c>
      <c r="AC281" s="22">
        <v>0.43490600000000001</v>
      </c>
      <c r="AD281">
        <f t="shared" si="52"/>
        <v>24.230999999999998</v>
      </c>
      <c r="AE281">
        <f t="shared" si="53"/>
        <v>10.548553923</v>
      </c>
      <c r="AF281" s="9"/>
      <c r="AG281" s="22">
        <v>1.2646500000000001</v>
      </c>
      <c r="AH281" s="22">
        <v>402.45699999999999</v>
      </c>
      <c r="AI281" s="22">
        <v>-2.3214700000000001E-2</v>
      </c>
      <c r="AJ281" s="22">
        <v>271</v>
      </c>
      <c r="AK281" s="22">
        <v>1.26434</v>
      </c>
      <c r="AL281">
        <f t="shared" si="54"/>
        <v>23.214700000000001</v>
      </c>
      <c r="AM281">
        <f t="shared" si="55"/>
        <v>29.358470355000001</v>
      </c>
      <c r="AP281" s="9"/>
      <c r="AQ281" s="22">
        <v>0.43533300000000003</v>
      </c>
      <c r="AR281" s="22">
        <v>490.84800000000001</v>
      </c>
      <c r="AS281" s="22">
        <v>-2.4053999999999999E-2</v>
      </c>
      <c r="AT281" s="22">
        <v>271</v>
      </c>
      <c r="AU281" s="22">
        <v>0.43484499999999998</v>
      </c>
      <c r="AV281">
        <f t="shared" si="56"/>
        <v>24.053999999999998</v>
      </c>
      <c r="AW281">
        <f t="shared" si="57"/>
        <v>10.471499981999999</v>
      </c>
      <c r="AX281" s="9"/>
      <c r="AY281" s="22">
        <v>1.2646500000000001</v>
      </c>
      <c r="AZ281" s="22">
        <v>601.72699999999998</v>
      </c>
      <c r="BA281" s="22">
        <v>-2.3181199999999999E-2</v>
      </c>
      <c r="BB281" s="22">
        <v>271</v>
      </c>
      <c r="BC281" s="22">
        <v>1.26434</v>
      </c>
      <c r="BD281">
        <f t="shared" si="58"/>
        <v>23.1812</v>
      </c>
      <c r="BE281">
        <f t="shared" si="59"/>
        <v>29.316104580000001</v>
      </c>
    </row>
    <row r="282" spans="6:101">
      <c r="F282" s="9"/>
      <c r="G282" s="22">
        <v>0.43029800000000001</v>
      </c>
      <c r="H282" s="22">
        <v>83.399500000000003</v>
      </c>
      <c r="I282" s="22">
        <v>-2.4697899999999998E-2</v>
      </c>
      <c r="J282" s="22">
        <v>272</v>
      </c>
      <c r="K282" s="22">
        <v>0.430145</v>
      </c>
      <c r="L282">
        <f t="shared" si="48"/>
        <v>24.697899999999997</v>
      </c>
      <c r="M282">
        <f t="shared" si="49"/>
        <v>10.627456974199999</v>
      </c>
      <c r="N282" s="9"/>
      <c r="O282" s="22">
        <v>1.2696799999999999</v>
      </c>
      <c r="P282" s="22">
        <v>172.71700000000001</v>
      </c>
      <c r="Q282" s="22">
        <v>-2.3458900000000001E-2</v>
      </c>
      <c r="R282" s="22">
        <v>272</v>
      </c>
      <c r="S282" s="22">
        <v>1.26953</v>
      </c>
      <c r="T282">
        <f t="shared" si="50"/>
        <v>23.4589</v>
      </c>
      <c r="U282">
        <f t="shared" si="51"/>
        <v>29.785296151999997</v>
      </c>
      <c r="X282" s="9"/>
      <c r="Y282" s="22">
        <v>0.43029800000000001</v>
      </c>
      <c r="Z282" s="22">
        <v>296.67899999999997</v>
      </c>
      <c r="AA282" s="22">
        <v>-2.4246199999999999E-2</v>
      </c>
      <c r="AB282" s="22">
        <v>272</v>
      </c>
      <c r="AC282" s="22">
        <v>0.43002299999999999</v>
      </c>
      <c r="AD282">
        <f t="shared" si="52"/>
        <v>24.246199999999998</v>
      </c>
      <c r="AE282">
        <f t="shared" si="53"/>
        <v>10.433091367599999</v>
      </c>
      <c r="AF282" s="9"/>
      <c r="AG282" s="22">
        <v>1.2696799999999999</v>
      </c>
      <c r="AH282" s="22">
        <v>402.55799999999999</v>
      </c>
      <c r="AI282" s="22">
        <v>-2.3211699999999998E-2</v>
      </c>
      <c r="AJ282" s="22">
        <v>272</v>
      </c>
      <c r="AK282" s="22">
        <v>1.26892</v>
      </c>
      <c r="AL282">
        <f t="shared" si="54"/>
        <v>23.211699999999997</v>
      </c>
      <c r="AM282">
        <f t="shared" si="55"/>
        <v>29.471431255999995</v>
      </c>
      <c r="AP282" s="9"/>
      <c r="AQ282" s="22">
        <v>0.43029800000000001</v>
      </c>
      <c r="AR282" s="22">
        <v>490.94799999999998</v>
      </c>
      <c r="AS282" s="22">
        <v>-2.40631E-2</v>
      </c>
      <c r="AT282" s="22">
        <v>272</v>
      </c>
      <c r="AU282" s="22">
        <v>0.43002299999999999</v>
      </c>
      <c r="AV282">
        <f t="shared" si="56"/>
        <v>24.063100000000002</v>
      </c>
      <c r="AW282">
        <f t="shared" si="57"/>
        <v>10.354303803800001</v>
      </c>
      <c r="AX282" s="9"/>
      <c r="AY282" s="22">
        <v>1.2696799999999999</v>
      </c>
      <c r="AZ282" s="22">
        <v>601.827</v>
      </c>
      <c r="BA282" s="22">
        <v>-2.3175000000000001E-2</v>
      </c>
      <c r="BB282" s="22">
        <v>272</v>
      </c>
      <c r="BC282" s="22">
        <v>1.2692300000000001</v>
      </c>
      <c r="BD282">
        <f t="shared" si="58"/>
        <v>23.175000000000001</v>
      </c>
      <c r="BE282">
        <f t="shared" si="59"/>
        <v>29.424834000000001</v>
      </c>
    </row>
    <row r="283" spans="6:101">
      <c r="F283" s="9"/>
      <c r="G283" s="22">
        <v>0.42526199999999997</v>
      </c>
      <c r="H283" s="22">
        <v>83.500200000000007</v>
      </c>
      <c r="I283" s="22">
        <v>-2.4710099999999999E-2</v>
      </c>
      <c r="J283" s="22">
        <v>273</v>
      </c>
      <c r="K283" s="22">
        <v>0.42468299999999998</v>
      </c>
      <c r="L283">
        <f t="shared" si="48"/>
        <v>24.710099999999997</v>
      </c>
      <c r="M283">
        <f t="shared" si="49"/>
        <v>10.508266546199998</v>
      </c>
      <c r="N283" s="9"/>
      <c r="O283" s="22">
        <v>1.2747200000000001</v>
      </c>
      <c r="P283" s="22">
        <v>172.81800000000001</v>
      </c>
      <c r="Q283" s="22">
        <v>-2.3452799999999999E-2</v>
      </c>
      <c r="R283" s="22">
        <v>273</v>
      </c>
      <c r="S283" s="22">
        <v>1.2741100000000001</v>
      </c>
      <c r="T283">
        <f t="shared" si="50"/>
        <v>23.4528</v>
      </c>
      <c r="U283">
        <f t="shared" si="51"/>
        <v>29.895753216000003</v>
      </c>
      <c r="X283" s="9"/>
      <c r="Y283" s="22">
        <v>0.42526199999999997</v>
      </c>
      <c r="Z283" s="22">
        <v>296.77999999999997</v>
      </c>
      <c r="AA283" s="22">
        <v>-2.4249300000000001E-2</v>
      </c>
      <c r="AB283" s="22">
        <v>273</v>
      </c>
      <c r="AC283" s="22">
        <v>0.42446899999999999</v>
      </c>
      <c r="AD283">
        <f t="shared" si="52"/>
        <v>24.249300000000002</v>
      </c>
      <c r="AE283">
        <f t="shared" si="53"/>
        <v>10.3123058166</v>
      </c>
      <c r="AF283" s="9"/>
      <c r="AG283" s="22">
        <v>1.2747200000000001</v>
      </c>
      <c r="AH283" s="22">
        <v>402.65899999999999</v>
      </c>
      <c r="AI283" s="22">
        <v>-2.3199500000000001E-2</v>
      </c>
      <c r="AJ283" s="22">
        <v>273</v>
      </c>
      <c r="AK283" s="22">
        <v>1.2741100000000001</v>
      </c>
      <c r="AL283">
        <f t="shared" si="54"/>
        <v>23.1995</v>
      </c>
      <c r="AM283">
        <f t="shared" si="55"/>
        <v>29.572866640000001</v>
      </c>
      <c r="AP283" s="9"/>
      <c r="AQ283" s="22">
        <v>0.42526199999999997</v>
      </c>
      <c r="AR283" s="22">
        <v>491.04899999999998</v>
      </c>
      <c r="AS283" s="22">
        <v>-2.4066199999999999E-2</v>
      </c>
      <c r="AT283" s="22">
        <v>273</v>
      </c>
      <c r="AU283" s="22">
        <v>0.42477399999999998</v>
      </c>
      <c r="AV283">
        <f t="shared" si="56"/>
        <v>24.066199999999998</v>
      </c>
      <c r="AW283">
        <f t="shared" si="57"/>
        <v>10.234440344399999</v>
      </c>
      <c r="AX283" s="9"/>
      <c r="AY283" s="22">
        <v>1.2747200000000001</v>
      </c>
      <c r="AZ283" s="22">
        <v>601.928</v>
      </c>
      <c r="BA283" s="22">
        <v>-2.3172000000000002E-2</v>
      </c>
      <c r="BB283" s="22">
        <v>273</v>
      </c>
      <c r="BC283" s="22">
        <v>1.2741100000000001</v>
      </c>
      <c r="BD283">
        <f t="shared" si="58"/>
        <v>23.172000000000001</v>
      </c>
      <c r="BE283">
        <f t="shared" si="59"/>
        <v>29.537811840000003</v>
      </c>
    </row>
    <row r="284" spans="6:101">
      <c r="F284" s="9"/>
      <c r="G284" s="22">
        <v>0.42022700000000002</v>
      </c>
      <c r="H284" s="22">
        <v>83.600899999999996</v>
      </c>
      <c r="I284" s="22">
        <v>-2.4725299999999999E-2</v>
      </c>
      <c r="J284" s="22">
        <v>274</v>
      </c>
      <c r="K284" s="22">
        <v>0.41970800000000003</v>
      </c>
      <c r="L284">
        <f t="shared" si="48"/>
        <v>24.725299999999997</v>
      </c>
      <c r="M284">
        <f t="shared" si="49"/>
        <v>10.3902386431</v>
      </c>
      <c r="N284" s="9"/>
      <c r="O284" s="22">
        <v>1.2797499999999999</v>
      </c>
      <c r="P284" s="22">
        <v>172.91800000000001</v>
      </c>
      <c r="Q284" s="22">
        <v>-2.3443599999999998E-2</v>
      </c>
      <c r="R284" s="22">
        <v>274</v>
      </c>
      <c r="S284" s="22">
        <v>1.2796000000000001</v>
      </c>
      <c r="T284">
        <f t="shared" si="50"/>
        <v>23.4436</v>
      </c>
      <c r="U284">
        <f t="shared" si="51"/>
        <v>30.001947099999999</v>
      </c>
      <c r="X284" s="9"/>
      <c r="Y284" s="22">
        <v>0.42022700000000002</v>
      </c>
      <c r="Z284" s="22">
        <v>296.88099999999997</v>
      </c>
      <c r="AA284" s="22">
        <v>-2.4252300000000001E-2</v>
      </c>
      <c r="AB284" s="22">
        <v>274</v>
      </c>
      <c r="AC284" s="22">
        <v>0.42001300000000003</v>
      </c>
      <c r="AD284">
        <f t="shared" si="52"/>
        <v>24.252300000000002</v>
      </c>
      <c r="AE284">
        <f t="shared" si="53"/>
        <v>10.191471272100001</v>
      </c>
      <c r="AF284" s="9"/>
      <c r="AG284" s="22">
        <v>1.2797499999999999</v>
      </c>
      <c r="AH284" s="22">
        <v>402.75900000000001</v>
      </c>
      <c r="AI284" s="22">
        <v>-2.31903E-2</v>
      </c>
      <c r="AJ284" s="22">
        <v>274</v>
      </c>
      <c r="AK284" s="22">
        <v>1.2789900000000001</v>
      </c>
      <c r="AL284">
        <f t="shared" si="54"/>
        <v>23.190300000000001</v>
      </c>
      <c r="AM284">
        <f t="shared" si="55"/>
        <v>29.677786425000001</v>
      </c>
      <c r="AP284" s="9"/>
      <c r="AQ284" s="22">
        <v>0.42022700000000002</v>
      </c>
      <c r="AR284" s="22">
        <v>491.15</v>
      </c>
      <c r="AS284" s="22">
        <v>-2.4069199999999999E-2</v>
      </c>
      <c r="AT284" s="22">
        <v>274</v>
      </c>
      <c r="AU284" s="22">
        <v>0.41943399999999997</v>
      </c>
      <c r="AV284">
        <f t="shared" si="56"/>
        <v>24.069199999999999</v>
      </c>
      <c r="AW284">
        <f t="shared" si="57"/>
        <v>10.114527708400001</v>
      </c>
      <c r="AX284" s="9"/>
      <c r="AY284" s="22">
        <v>1.2797499999999999</v>
      </c>
      <c r="AZ284" s="22">
        <v>602.029</v>
      </c>
      <c r="BA284" s="22">
        <v>-2.3162800000000001E-2</v>
      </c>
      <c r="BB284" s="22">
        <v>274</v>
      </c>
      <c r="BC284" s="22">
        <v>1.2789900000000001</v>
      </c>
      <c r="BD284">
        <f t="shared" si="58"/>
        <v>23.162800000000001</v>
      </c>
      <c r="BE284">
        <f t="shared" si="59"/>
        <v>29.642593299999998</v>
      </c>
    </row>
    <row r="285" spans="6:101">
      <c r="F285" s="9"/>
      <c r="G285" s="22">
        <v>0.41519200000000001</v>
      </c>
      <c r="H285" s="22">
        <v>83.701599999999999</v>
      </c>
      <c r="I285" s="22">
        <v>-2.4725299999999999E-2</v>
      </c>
      <c r="J285" s="22">
        <v>275</v>
      </c>
      <c r="K285" s="22">
        <v>0.41470299999999999</v>
      </c>
      <c r="L285">
        <f t="shared" si="48"/>
        <v>24.725299999999997</v>
      </c>
      <c r="M285">
        <f t="shared" si="49"/>
        <v>10.265746757599999</v>
      </c>
      <c r="N285" s="9"/>
      <c r="O285" s="22">
        <v>1.2847900000000001</v>
      </c>
      <c r="P285" s="22">
        <v>173.01900000000001</v>
      </c>
      <c r="Q285" s="22">
        <v>-2.3440599999999999E-2</v>
      </c>
      <c r="R285" s="22">
        <v>275</v>
      </c>
      <c r="S285" s="22">
        <v>1.2841800000000001</v>
      </c>
      <c r="T285">
        <f t="shared" si="50"/>
        <v>23.4406</v>
      </c>
      <c r="U285">
        <f t="shared" si="51"/>
        <v>30.116248474000002</v>
      </c>
      <c r="X285" s="9"/>
      <c r="Y285" s="22">
        <v>0.41519200000000001</v>
      </c>
      <c r="Z285" s="22">
        <v>296.98099999999999</v>
      </c>
      <c r="AA285" s="22">
        <v>-2.4258399999999999E-2</v>
      </c>
      <c r="AB285" s="22">
        <v>275</v>
      </c>
      <c r="AC285" s="22">
        <v>0.41467300000000001</v>
      </c>
      <c r="AD285">
        <f t="shared" si="52"/>
        <v>24.258399999999998</v>
      </c>
      <c r="AE285">
        <f t="shared" si="53"/>
        <v>10.071893612799999</v>
      </c>
      <c r="AF285" s="9"/>
      <c r="AG285" s="22">
        <v>1.2847900000000001</v>
      </c>
      <c r="AH285" s="22">
        <v>402.86</v>
      </c>
      <c r="AI285" s="22">
        <v>-2.31903E-2</v>
      </c>
      <c r="AJ285" s="22">
        <v>275</v>
      </c>
      <c r="AK285" s="22">
        <v>1.2838700000000001</v>
      </c>
      <c r="AL285">
        <f t="shared" si="54"/>
        <v>23.190300000000001</v>
      </c>
      <c r="AM285">
        <f t="shared" si="55"/>
        <v>29.794665537000004</v>
      </c>
      <c r="AP285" s="9"/>
      <c r="AQ285" s="22">
        <v>0.41519200000000001</v>
      </c>
      <c r="AR285" s="22">
        <v>491.25</v>
      </c>
      <c r="AS285" s="22">
        <v>-2.4069199999999999E-2</v>
      </c>
      <c r="AT285" s="22">
        <v>275</v>
      </c>
      <c r="AU285" s="22">
        <v>0.41467300000000001</v>
      </c>
      <c r="AV285">
        <f t="shared" si="56"/>
        <v>24.069199999999999</v>
      </c>
      <c r="AW285">
        <f t="shared" si="57"/>
        <v>9.9933392863999995</v>
      </c>
      <c r="AX285" s="9"/>
      <c r="AY285" s="22">
        <v>1.2847900000000001</v>
      </c>
      <c r="AZ285" s="22">
        <v>602.12900000000002</v>
      </c>
      <c r="BA285" s="22">
        <v>-2.31506E-2</v>
      </c>
      <c r="BB285" s="22">
        <v>275</v>
      </c>
      <c r="BC285" s="22">
        <v>1.2838700000000001</v>
      </c>
      <c r="BD285">
        <f t="shared" si="58"/>
        <v>23.150600000000001</v>
      </c>
      <c r="BE285">
        <f t="shared" si="59"/>
        <v>29.743659374000003</v>
      </c>
    </row>
    <row r="286" spans="6:101">
      <c r="F286" s="9"/>
      <c r="G286" s="22">
        <v>0.41015600000000002</v>
      </c>
      <c r="H286" s="22">
        <v>83.802300000000002</v>
      </c>
      <c r="I286" s="22">
        <v>-2.4725299999999999E-2</v>
      </c>
      <c r="J286" s="22">
        <v>276</v>
      </c>
      <c r="K286" s="22">
        <v>0.40988200000000002</v>
      </c>
      <c r="L286">
        <f t="shared" si="48"/>
        <v>24.725299999999997</v>
      </c>
      <c r="M286">
        <f t="shared" si="49"/>
        <v>10.1412301468</v>
      </c>
      <c r="N286" s="9"/>
      <c r="O286" s="22">
        <v>1.28983</v>
      </c>
      <c r="P286" s="22">
        <v>173.12</v>
      </c>
      <c r="Q286" s="22">
        <v>-2.34375E-2</v>
      </c>
      <c r="R286" s="22">
        <v>276</v>
      </c>
      <c r="S286" s="22">
        <v>1.2896700000000001</v>
      </c>
      <c r="T286">
        <f t="shared" si="50"/>
        <v>23.4375</v>
      </c>
      <c r="U286">
        <f t="shared" si="51"/>
        <v>30.230390625000002</v>
      </c>
      <c r="X286" s="9"/>
      <c r="Y286" s="22">
        <v>0.41015600000000002</v>
      </c>
      <c r="Z286" s="22">
        <v>297.08199999999999</v>
      </c>
      <c r="AA286" s="22">
        <v>-2.4218799999999999E-2</v>
      </c>
      <c r="AB286" s="22">
        <v>276</v>
      </c>
      <c r="AC286" s="22">
        <v>0.40963699999999997</v>
      </c>
      <c r="AD286">
        <f t="shared" si="52"/>
        <v>24.218799999999998</v>
      </c>
      <c r="AE286">
        <f t="shared" si="53"/>
        <v>9.9334861328000006</v>
      </c>
      <c r="AF286" s="9"/>
      <c r="AG286" s="22">
        <v>1.28983</v>
      </c>
      <c r="AH286" s="22">
        <v>402.96100000000001</v>
      </c>
      <c r="AI286" s="22">
        <v>-2.31903E-2</v>
      </c>
      <c r="AJ286" s="22">
        <v>276</v>
      </c>
      <c r="AK286" s="22">
        <v>1.2896700000000001</v>
      </c>
      <c r="AL286">
        <f t="shared" si="54"/>
        <v>23.190300000000001</v>
      </c>
      <c r="AM286">
        <f t="shared" si="55"/>
        <v>29.911544649000003</v>
      </c>
      <c r="AP286" s="9"/>
      <c r="AQ286" s="22">
        <v>0.41015600000000002</v>
      </c>
      <c r="AR286" s="22">
        <v>491.351</v>
      </c>
      <c r="AS286" s="22">
        <v>-2.4072300000000001E-2</v>
      </c>
      <c r="AT286" s="22">
        <v>276</v>
      </c>
      <c r="AU286" s="22">
        <v>0.40945399999999998</v>
      </c>
      <c r="AV286">
        <f t="shared" si="56"/>
        <v>24.072300000000002</v>
      </c>
      <c r="AW286">
        <f t="shared" si="57"/>
        <v>9.8733982788000016</v>
      </c>
      <c r="AX286" s="9"/>
      <c r="AY286" s="22">
        <v>1.28983</v>
      </c>
      <c r="AZ286" s="22">
        <v>602.23</v>
      </c>
      <c r="BA286" s="22">
        <v>-2.31506E-2</v>
      </c>
      <c r="BB286" s="22">
        <v>276</v>
      </c>
      <c r="BC286" s="22">
        <v>1.2902800000000001</v>
      </c>
      <c r="BD286">
        <f t="shared" si="58"/>
        <v>23.150600000000001</v>
      </c>
      <c r="BE286">
        <f t="shared" si="59"/>
        <v>29.860338398000003</v>
      </c>
    </row>
    <row r="287" spans="6:101">
      <c r="F287" s="9"/>
      <c r="G287" s="22">
        <v>0.40512100000000001</v>
      </c>
      <c r="H287" s="22">
        <v>83.903000000000006</v>
      </c>
      <c r="I287" s="22">
        <v>-2.4737499999999999E-2</v>
      </c>
      <c r="J287" s="22">
        <v>277</v>
      </c>
      <c r="K287" s="22">
        <v>0.40484599999999998</v>
      </c>
      <c r="L287">
        <f t="shared" si="48"/>
        <v>24.737500000000001</v>
      </c>
      <c r="M287">
        <f t="shared" si="49"/>
        <v>10.021680737500001</v>
      </c>
      <c r="N287" s="9"/>
      <c r="O287" s="22">
        <v>1.2948599999999999</v>
      </c>
      <c r="P287" s="22">
        <v>173.22</v>
      </c>
      <c r="Q287" s="22">
        <v>-2.3422200000000001E-2</v>
      </c>
      <c r="R287" s="22">
        <v>277</v>
      </c>
      <c r="S287" s="22">
        <v>1.2939499999999999</v>
      </c>
      <c r="T287">
        <f t="shared" si="50"/>
        <v>23.4222</v>
      </c>
      <c r="U287">
        <f t="shared" si="51"/>
        <v>30.328469891999998</v>
      </c>
      <c r="X287" s="9"/>
      <c r="Y287" s="22">
        <v>0.40512100000000001</v>
      </c>
      <c r="Z287" s="22">
        <v>297.18299999999999</v>
      </c>
      <c r="AA287" s="22">
        <v>-2.4221800000000002E-2</v>
      </c>
      <c r="AB287" s="22">
        <v>277</v>
      </c>
      <c r="AC287" s="22">
        <v>0.40481600000000001</v>
      </c>
      <c r="AD287">
        <f t="shared" si="52"/>
        <v>24.221800000000002</v>
      </c>
      <c r="AE287">
        <f t="shared" si="53"/>
        <v>9.8127598378000016</v>
      </c>
      <c r="AF287" s="9"/>
      <c r="AG287" s="22">
        <v>1.2948599999999999</v>
      </c>
      <c r="AH287" s="22">
        <v>403.06099999999998</v>
      </c>
      <c r="AI287" s="22">
        <v>-2.3172000000000002E-2</v>
      </c>
      <c r="AJ287" s="22">
        <v>277</v>
      </c>
      <c r="AK287" s="22">
        <v>1.2945599999999999</v>
      </c>
      <c r="AL287">
        <f t="shared" si="54"/>
        <v>23.172000000000001</v>
      </c>
      <c r="AM287">
        <f t="shared" si="55"/>
        <v>30.00449592</v>
      </c>
      <c r="AP287" s="9"/>
      <c r="AQ287" s="22">
        <v>0.40512100000000001</v>
      </c>
      <c r="AR287" s="22">
        <v>491.452</v>
      </c>
      <c r="AS287" s="22">
        <v>-2.4084499999999998E-2</v>
      </c>
      <c r="AT287" s="22">
        <v>277</v>
      </c>
      <c r="AU287" s="22">
        <v>0.404694</v>
      </c>
      <c r="AV287">
        <f t="shared" si="56"/>
        <v>24.084499999999998</v>
      </c>
      <c r="AW287">
        <f t="shared" si="57"/>
        <v>9.7571367245000005</v>
      </c>
      <c r="AX287" s="9"/>
      <c r="AY287" s="22">
        <v>1.2948599999999999</v>
      </c>
      <c r="AZ287" s="22">
        <v>602.33100000000002</v>
      </c>
      <c r="BA287" s="22">
        <v>-2.31384E-2</v>
      </c>
      <c r="BB287" s="22">
        <v>277</v>
      </c>
      <c r="BC287" s="22">
        <v>1.2942499999999999</v>
      </c>
      <c r="BD287">
        <f t="shared" si="58"/>
        <v>23.138400000000001</v>
      </c>
      <c r="BE287">
        <f t="shared" si="59"/>
        <v>29.960988623999999</v>
      </c>
    </row>
    <row r="288" spans="6:101">
      <c r="F288" s="9"/>
      <c r="G288" s="22">
        <v>0.40008500000000002</v>
      </c>
      <c r="H288" s="22">
        <v>84.003699999999995</v>
      </c>
      <c r="I288" s="22">
        <v>-2.4740600000000001E-2</v>
      </c>
      <c r="J288" s="22">
        <v>278</v>
      </c>
      <c r="K288" s="22">
        <v>0.39968900000000002</v>
      </c>
      <c r="L288">
        <f t="shared" si="48"/>
        <v>24.740600000000001</v>
      </c>
      <c r="M288">
        <f t="shared" si="49"/>
        <v>9.8983429510000001</v>
      </c>
      <c r="N288" s="9"/>
      <c r="O288" s="22">
        <v>1.2999000000000001</v>
      </c>
      <c r="P288" s="22">
        <v>173.321</v>
      </c>
      <c r="Q288" s="22">
        <v>-2.3413099999999999E-2</v>
      </c>
      <c r="R288" s="22">
        <v>278</v>
      </c>
      <c r="S288" s="22">
        <v>1.2988299999999999</v>
      </c>
      <c r="T288">
        <f t="shared" si="50"/>
        <v>23.4131</v>
      </c>
      <c r="U288">
        <f t="shared" si="51"/>
        <v>30.434688690000002</v>
      </c>
      <c r="X288" s="9"/>
      <c r="Y288" s="22">
        <v>0.40008500000000002</v>
      </c>
      <c r="Z288" s="22">
        <v>297.28300000000002</v>
      </c>
      <c r="AA288" s="22">
        <v>-2.4279800000000001E-2</v>
      </c>
      <c r="AB288" s="22">
        <v>278</v>
      </c>
      <c r="AC288" s="22">
        <v>0.399536</v>
      </c>
      <c r="AD288">
        <f t="shared" si="52"/>
        <v>24.279800000000002</v>
      </c>
      <c r="AE288">
        <f t="shared" si="53"/>
        <v>9.7139837830000015</v>
      </c>
      <c r="AF288" s="9"/>
      <c r="AG288" s="22">
        <v>1.2999000000000001</v>
      </c>
      <c r="AH288" s="22">
        <v>403.16199999999998</v>
      </c>
      <c r="AI288" s="22">
        <v>-2.3168899999999999E-2</v>
      </c>
      <c r="AJ288" s="22">
        <v>278</v>
      </c>
      <c r="AK288" s="22">
        <v>1.2994399999999999</v>
      </c>
      <c r="AL288">
        <f t="shared" si="54"/>
        <v>23.168900000000001</v>
      </c>
      <c r="AM288">
        <f t="shared" si="55"/>
        <v>30.117253110000004</v>
      </c>
      <c r="AP288" s="9"/>
      <c r="AQ288" s="22">
        <v>0.40008500000000002</v>
      </c>
      <c r="AR288" s="22">
        <v>491.553</v>
      </c>
      <c r="AS288" s="22">
        <v>-2.40906E-2</v>
      </c>
      <c r="AT288" s="22">
        <v>278</v>
      </c>
      <c r="AU288" s="22">
        <v>0.399536</v>
      </c>
      <c r="AV288">
        <f t="shared" si="56"/>
        <v>24.090599999999998</v>
      </c>
      <c r="AW288">
        <f t="shared" si="57"/>
        <v>9.6382877009999994</v>
      </c>
      <c r="AX288" s="9"/>
      <c r="AY288" s="22">
        <v>1.2999000000000001</v>
      </c>
      <c r="AZ288" s="22">
        <v>602.43200000000002</v>
      </c>
      <c r="BA288" s="22">
        <v>-2.3132300000000001E-2</v>
      </c>
      <c r="BB288" s="22">
        <v>278</v>
      </c>
      <c r="BC288" s="22">
        <v>1.2997399999999999</v>
      </c>
      <c r="BD288">
        <f t="shared" si="58"/>
        <v>23.132300000000001</v>
      </c>
      <c r="BE288">
        <f t="shared" si="59"/>
        <v>30.069676770000001</v>
      </c>
    </row>
    <row r="289" spans="6:57">
      <c r="F289" s="9"/>
      <c r="G289" s="22">
        <v>0.39505000000000001</v>
      </c>
      <c r="H289" s="22">
        <v>84.104399999999998</v>
      </c>
      <c r="I289" s="22">
        <v>-2.47467E-2</v>
      </c>
      <c r="J289" s="22">
        <v>279</v>
      </c>
      <c r="K289" s="22">
        <v>0.394592</v>
      </c>
      <c r="L289">
        <f t="shared" si="48"/>
        <v>24.746700000000001</v>
      </c>
      <c r="M289">
        <f t="shared" si="49"/>
        <v>9.7761838350000012</v>
      </c>
      <c r="N289" s="9"/>
      <c r="O289" s="22">
        <v>1.3049299999999999</v>
      </c>
      <c r="P289" s="22">
        <v>173.422</v>
      </c>
      <c r="Q289" s="22">
        <v>-2.3407000000000001E-2</v>
      </c>
      <c r="R289" s="22">
        <v>279</v>
      </c>
      <c r="S289" s="22">
        <v>1.30463</v>
      </c>
      <c r="T289">
        <f t="shared" si="50"/>
        <v>23.407</v>
      </c>
      <c r="U289">
        <f t="shared" si="51"/>
        <v>30.544496509999998</v>
      </c>
      <c r="X289" s="9"/>
      <c r="Y289" s="22">
        <v>0.39505000000000001</v>
      </c>
      <c r="Z289" s="22">
        <v>297.38400000000001</v>
      </c>
      <c r="AA289" s="22">
        <v>-2.4240100000000001E-2</v>
      </c>
      <c r="AB289" s="22">
        <v>279</v>
      </c>
      <c r="AC289" s="22">
        <v>0.394928</v>
      </c>
      <c r="AD289">
        <f t="shared" si="52"/>
        <v>24.240100000000002</v>
      </c>
      <c r="AE289">
        <f t="shared" si="53"/>
        <v>9.5760515050000006</v>
      </c>
      <c r="AF289" s="9"/>
      <c r="AG289" s="22">
        <v>1.3049299999999999</v>
      </c>
      <c r="AH289" s="22">
        <v>403.26299999999998</v>
      </c>
      <c r="AI289" s="22">
        <v>-2.3162800000000001E-2</v>
      </c>
      <c r="AJ289" s="22">
        <v>279</v>
      </c>
      <c r="AK289" s="22">
        <v>1.3049299999999999</v>
      </c>
      <c r="AL289">
        <f t="shared" si="54"/>
        <v>23.162800000000001</v>
      </c>
      <c r="AM289">
        <f t="shared" si="55"/>
        <v>30.225832604000001</v>
      </c>
      <c r="AP289" s="9"/>
      <c r="AQ289" s="22">
        <v>0.39505000000000001</v>
      </c>
      <c r="AR289" s="22">
        <v>491.65300000000002</v>
      </c>
      <c r="AS289" s="22">
        <v>-2.40936E-2</v>
      </c>
      <c r="AT289" s="22">
        <v>279</v>
      </c>
      <c r="AU289" s="22">
        <v>0.39465299999999998</v>
      </c>
      <c r="AV289">
        <f t="shared" si="56"/>
        <v>24.093599999999999</v>
      </c>
      <c r="AW289">
        <f t="shared" si="57"/>
        <v>9.5181766799999998</v>
      </c>
      <c r="AX289" s="9"/>
      <c r="AY289" s="22">
        <v>1.3049299999999999</v>
      </c>
      <c r="AZ289" s="22">
        <v>602.53200000000004</v>
      </c>
      <c r="BA289" s="22">
        <v>-2.3129299999999998E-2</v>
      </c>
      <c r="BB289" s="22">
        <v>279</v>
      </c>
      <c r="BC289" s="22">
        <v>1.3037099999999999</v>
      </c>
      <c r="BD289">
        <f t="shared" si="58"/>
        <v>23.129299999999997</v>
      </c>
      <c r="BE289">
        <f t="shared" si="59"/>
        <v>30.182117448999996</v>
      </c>
    </row>
    <row r="290" spans="6:57">
      <c r="F290" s="9"/>
      <c r="G290" s="22">
        <v>0.390015</v>
      </c>
      <c r="H290" s="22">
        <v>84.205100000000002</v>
      </c>
      <c r="I290" s="22">
        <v>-2.4749799999999999E-2</v>
      </c>
      <c r="J290" s="22">
        <v>280</v>
      </c>
      <c r="K290" s="22">
        <v>0.38946500000000001</v>
      </c>
      <c r="L290">
        <f t="shared" si="48"/>
        <v>24.7498</v>
      </c>
      <c r="M290">
        <f t="shared" si="49"/>
        <v>9.652793247</v>
      </c>
      <c r="N290" s="9"/>
      <c r="O290" s="22">
        <v>1.3099700000000001</v>
      </c>
      <c r="P290" s="22">
        <v>173.523</v>
      </c>
      <c r="Q290" s="22">
        <v>-2.3400899999999999E-2</v>
      </c>
      <c r="R290" s="22">
        <v>280</v>
      </c>
      <c r="S290" s="22">
        <v>1.3091999999999999</v>
      </c>
      <c r="T290">
        <f t="shared" si="50"/>
        <v>23.4009</v>
      </c>
      <c r="U290">
        <f t="shared" si="51"/>
        <v>30.654476973000001</v>
      </c>
      <c r="X290" s="9"/>
      <c r="Y290" s="22">
        <v>0.390015</v>
      </c>
      <c r="Z290" s="22">
        <v>297.48500000000001</v>
      </c>
      <c r="AA290" s="22">
        <v>-2.4246199999999999E-2</v>
      </c>
      <c r="AB290" s="22">
        <v>280</v>
      </c>
      <c r="AC290" s="22">
        <v>0.38958700000000002</v>
      </c>
      <c r="AD290">
        <f t="shared" si="52"/>
        <v>24.246199999999998</v>
      </c>
      <c r="AE290">
        <f t="shared" si="53"/>
        <v>9.4563816929999991</v>
      </c>
      <c r="AF290" s="9"/>
      <c r="AG290" s="22">
        <v>1.3099700000000001</v>
      </c>
      <c r="AH290" s="22">
        <v>403.36399999999998</v>
      </c>
      <c r="AI290" s="22">
        <v>-2.3153699999999999E-2</v>
      </c>
      <c r="AJ290" s="22">
        <v>280</v>
      </c>
      <c r="AK290" s="22">
        <v>1.3091999999999999</v>
      </c>
      <c r="AL290">
        <f t="shared" si="54"/>
        <v>23.153700000000001</v>
      </c>
      <c r="AM290">
        <f t="shared" si="55"/>
        <v>30.330652389000004</v>
      </c>
      <c r="AP290" s="9"/>
      <c r="AQ290" s="22">
        <v>0.390015</v>
      </c>
      <c r="AR290" s="22">
        <v>491.75400000000002</v>
      </c>
      <c r="AS290" s="22">
        <v>-2.4096699999999999E-2</v>
      </c>
      <c r="AT290" s="22">
        <v>280</v>
      </c>
      <c r="AU290" s="22">
        <v>0.38952599999999998</v>
      </c>
      <c r="AV290">
        <f t="shared" si="56"/>
        <v>24.096699999999998</v>
      </c>
      <c r="AW290">
        <f t="shared" si="57"/>
        <v>9.3980744504999993</v>
      </c>
      <c r="AX290" s="9"/>
      <c r="AY290" s="22">
        <v>1.3099700000000001</v>
      </c>
      <c r="AZ290" s="22">
        <v>602.63300000000004</v>
      </c>
      <c r="BA290" s="22">
        <v>-2.3120100000000001E-2</v>
      </c>
      <c r="BB290" s="22">
        <v>280</v>
      </c>
      <c r="BC290" s="22">
        <v>1.30951</v>
      </c>
      <c r="BD290">
        <f t="shared" si="58"/>
        <v>23.120100000000001</v>
      </c>
      <c r="BE290">
        <f t="shared" si="59"/>
        <v>30.286637397000003</v>
      </c>
    </row>
    <row r="291" spans="6:57">
      <c r="F291" s="9"/>
      <c r="G291" s="22">
        <v>0.38497900000000002</v>
      </c>
      <c r="H291" s="22">
        <v>84.305800000000005</v>
      </c>
      <c r="I291" s="22">
        <v>-2.4749799999999999E-2</v>
      </c>
      <c r="J291" s="22">
        <v>281</v>
      </c>
      <c r="K291" s="22">
        <v>0.38479600000000003</v>
      </c>
      <c r="L291">
        <f t="shared" si="48"/>
        <v>24.7498</v>
      </c>
      <c r="M291">
        <f t="shared" si="49"/>
        <v>9.5281532542000011</v>
      </c>
      <c r="N291" s="9"/>
      <c r="O291" s="22">
        <v>1.3149999999999999</v>
      </c>
      <c r="P291" s="22">
        <v>173.62299999999999</v>
      </c>
      <c r="Q291" s="22">
        <v>-2.33948E-2</v>
      </c>
      <c r="R291" s="22">
        <v>281</v>
      </c>
      <c r="S291" s="22">
        <v>1.31409</v>
      </c>
      <c r="T291">
        <f t="shared" si="50"/>
        <v>23.3948</v>
      </c>
      <c r="U291">
        <f t="shared" si="51"/>
        <v>30.764161999999999</v>
      </c>
      <c r="X291" s="9"/>
      <c r="Y291" s="22">
        <v>0.38497900000000002</v>
      </c>
      <c r="Z291" s="22">
        <v>297.58499999999998</v>
      </c>
      <c r="AA291" s="22">
        <v>-2.4288899999999999E-2</v>
      </c>
      <c r="AB291" s="22">
        <v>281</v>
      </c>
      <c r="AC291" s="22">
        <v>0.38449100000000003</v>
      </c>
      <c r="AD291">
        <f t="shared" si="52"/>
        <v>24.288899999999998</v>
      </c>
      <c r="AE291">
        <f t="shared" si="53"/>
        <v>9.3507164331000006</v>
      </c>
      <c r="AF291" s="9"/>
      <c r="AG291" s="22">
        <v>1.3149999999999999</v>
      </c>
      <c r="AH291" s="22">
        <v>403.464</v>
      </c>
      <c r="AI291" s="22">
        <v>-2.3153699999999999E-2</v>
      </c>
      <c r="AJ291" s="22">
        <v>281</v>
      </c>
      <c r="AK291" s="22">
        <v>1.31531</v>
      </c>
      <c r="AL291">
        <f t="shared" si="54"/>
        <v>23.153700000000001</v>
      </c>
      <c r="AM291">
        <f t="shared" si="55"/>
        <v>30.447115499999999</v>
      </c>
      <c r="AP291" s="9"/>
      <c r="AQ291" s="22">
        <v>0.38497900000000002</v>
      </c>
      <c r="AR291" s="22">
        <v>491.85500000000002</v>
      </c>
      <c r="AS291" s="22">
        <v>-2.41058E-2</v>
      </c>
      <c r="AT291" s="22">
        <v>281</v>
      </c>
      <c r="AU291" s="22">
        <v>0.38403300000000001</v>
      </c>
      <c r="AV291">
        <f t="shared" si="56"/>
        <v>24.105799999999999</v>
      </c>
      <c r="AW291">
        <f t="shared" si="57"/>
        <v>9.2802267781999994</v>
      </c>
      <c r="AX291" s="9"/>
      <c r="AY291" s="22">
        <v>1.3149999999999999</v>
      </c>
      <c r="AZ291" s="22">
        <v>602.73400000000004</v>
      </c>
      <c r="BA291" s="22">
        <v>-2.3117100000000002E-2</v>
      </c>
      <c r="BB291" s="22">
        <v>281</v>
      </c>
      <c r="BC291" s="22">
        <v>1.3156099999999999</v>
      </c>
      <c r="BD291">
        <f t="shared" si="58"/>
        <v>23.117100000000001</v>
      </c>
      <c r="BE291">
        <f t="shared" si="59"/>
        <v>30.398986499999999</v>
      </c>
    </row>
    <row r="292" spans="6:57">
      <c r="F292" s="9"/>
      <c r="G292" s="22">
        <v>0.379944</v>
      </c>
      <c r="H292" s="22">
        <v>84.406599999999997</v>
      </c>
      <c r="I292" s="22">
        <v>-2.4764999999999999E-2</v>
      </c>
      <c r="J292" s="22">
        <v>282</v>
      </c>
      <c r="K292" s="22">
        <v>0.37939499999999998</v>
      </c>
      <c r="L292">
        <f t="shared" si="48"/>
        <v>24.765000000000001</v>
      </c>
      <c r="M292">
        <f t="shared" si="49"/>
        <v>9.40931316</v>
      </c>
      <c r="N292" s="9"/>
      <c r="O292" s="22">
        <v>1.3200400000000001</v>
      </c>
      <c r="P292" s="22">
        <v>173.72399999999999</v>
      </c>
      <c r="Q292" s="22">
        <v>-2.3385599999999999E-2</v>
      </c>
      <c r="R292" s="22">
        <v>282</v>
      </c>
      <c r="S292" s="22">
        <v>1.31897</v>
      </c>
      <c r="T292">
        <f t="shared" si="50"/>
        <v>23.3856</v>
      </c>
      <c r="U292">
        <f t="shared" si="51"/>
        <v>30.869927424000004</v>
      </c>
      <c r="X292" s="9"/>
      <c r="Y292" s="22">
        <v>0.379944</v>
      </c>
      <c r="Z292" s="22">
        <v>297.68599999999998</v>
      </c>
      <c r="AA292" s="22">
        <v>-2.42981E-2</v>
      </c>
      <c r="AB292" s="22">
        <v>282</v>
      </c>
      <c r="AC292" s="22">
        <v>0.37954700000000002</v>
      </c>
      <c r="AD292">
        <f t="shared" si="52"/>
        <v>24.298099999999998</v>
      </c>
      <c r="AE292">
        <f t="shared" si="53"/>
        <v>9.2319173063999997</v>
      </c>
      <c r="AF292" s="9"/>
      <c r="AG292" s="22">
        <v>1.3200400000000001</v>
      </c>
      <c r="AH292" s="22">
        <v>403.565</v>
      </c>
      <c r="AI292" s="22">
        <v>-2.31384E-2</v>
      </c>
      <c r="AJ292" s="22">
        <v>282</v>
      </c>
      <c r="AK292" s="22">
        <v>1.31989</v>
      </c>
      <c r="AL292">
        <f t="shared" si="54"/>
        <v>23.138400000000001</v>
      </c>
      <c r="AM292">
        <f t="shared" si="55"/>
        <v>30.543613536000002</v>
      </c>
      <c r="AP292" s="9"/>
      <c r="AQ292" s="22">
        <v>0.379944</v>
      </c>
      <c r="AR292" s="22">
        <v>491.95499999999998</v>
      </c>
      <c r="AS292" s="22">
        <v>-2.4111899999999999E-2</v>
      </c>
      <c r="AT292" s="22">
        <v>282</v>
      </c>
      <c r="AU292" s="22">
        <v>0.37890600000000002</v>
      </c>
      <c r="AV292">
        <f t="shared" si="56"/>
        <v>24.111899999999999</v>
      </c>
      <c r="AW292">
        <f t="shared" si="57"/>
        <v>9.1611717335999998</v>
      </c>
      <c r="AX292" s="9"/>
      <c r="AY292" s="22">
        <v>1.3200400000000001</v>
      </c>
      <c r="AZ292" s="22">
        <v>602.83399999999995</v>
      </c>
      <c r="BA292" s="22">
        <v>-2.3111E-2</v>
      </c>
      <c r="BB292" s="22">
        <v>282</v>
      </c>
      <c r="BC292" s="22">
        <v>1.31989</v>
      </c>
      <c r="BD292">
        <f t="shared" si="58"/>
        <v>23.111000000000001</v>
      </c>
      <c r="BE292">
        <f t="shared" si="59"/>
        <v>30.507444440000004</v>
      </c>
    </row>
    <row r="293" spans="6:57">
      <c r="F293" s="9"/>
      <c r="G293" s="22">
        <v>0.37490800000000002</v>
      </c>
      <c r="H293" s="22">
        <v>84.507300000000001</v>
      </c>
      <c r="I293" s="22">
        <v>-2.4764999999999999E-2</v>
      </c>
      <c r="J293" s="22">
        <v>283</v>
      </c>
      <c r="K293" s="22">
        <v>0.37439</v>
      </c>
      <c r="L293">
        <f t="shared" si="48"/>
        <v>24.765000000000001</v>
      </c>
      <c r="M293">
        <f t="shared" si="49"/>
        <v>9.2845966200000003</v>
      </c>
      <c r="N293" s="9"/>
      <c r="O293" s="22">
        <v>1.32507</v>
      </c>
      <c r="P293" s="22">
        <v>173.82499999999999</v>
      </c>
      <c r="Q293" s="22">
        <v>-2.3385599999999999E-2</v>
      </c>
      <c r="R293" s="22">
        <v>283</v>
      </c>
      <c r="S293" s="22">
        <v>1.32416</v>
      </c>
      <c r="T293">
        <f t="shared" si="50"/>
        <v>23.3856</v>
      </c>
      <c r="U293">
        <f t="shared" si="51"/>
        <v>30.987556991999998</v>
      </c>
      <c r="X293" s="9"/>
      <c r="Y293" s="22">
        <v>0.37490800000000002</v>
      </c>
      <c r="Z293" s="22">
        <v>297.78699999999998</v>
      </c>
      <c r="AA293" s="22">
        <v>-2.4301099999999999E-2</v>
      </c>
      <c r="AB293" s="22">
        <v>283</v>
      </c>
      <c r="AC293" s="22">
        <v>0.37441999999999998</v>
      </c>
      <c r="AD293">
        <f t="shared" si="52"/>
        <v>24.301099999999998</v>
      </c>
      <c r="AE293">
        <f t="shared" si="53"/>
        <v>9.1106767988000001</v>
      </c>
      <c r="AF293" s="9"/>
      <c r="AG293" s="22">
        <v>1.32507</v>
      </c>
      <c r="AH293" s="22">
        <v>403.666</v>
      </c>
      <c r="AI293" s="22">
        <v>-2.3132300000000001E-2</v>
      </c>
      <c r="AJ293" s="22">
        <v>283</v>
      </c>
      <c r="AK293" s="22">
        <v>1.32446</v>
      </c>
      <c r="AL293">
        <f t="shared" si="54"/>
        <v>23.132300000000001</v>
      </c>
      <c r="AM293">
        <f t="shared" si="55"/>
        <v>30.651916760999999</v>
      </c>
      <c r="AP293" s="9"/>
      <c r="AQ293" s="22">
        <v>0.37490800000000002</v>
      </c>
      <c r="AR293" s="22">
        <v>492.05599999999998</v>
      </c>
      <c r="AS293" s="22">
        <v>-2.4121099999999999E-2</v>
      </c>
      <c r="AT293" s="22">
        <v>283</v>
      </c>
      <c r="AU293" s="22">
        <v>0.37429800000000002</v>
      </c>
      <c r="AV293">
        <f t="shared" si="56"/>
        <v>24.121099999999998</v>
      </c>
      <c r="AW293">
        <f t="shared" si="57"/>
        <v>9.0431933588</v>
      </c>
      <c r="AX293" s="9"/>
      <c r="AY293" s="22">
        <v>1.32507</v>
      </c>
      <c r="AZ293" s="22">
        <v>602.93499999999995</v>
      </c>
      <c r="BA293" s="22">
        <v>-2.3104900000000001E-2</v>
      </c>
      <c r="BB293" s="22">
        <v>283</v>
      </c>
      <c r="BC293" s="22">
        <v>1.32416</v>
      </c>
      <c r="BD293">
        <f t="shared" si="58"/>
        <v>23.104900000000001</v>
      </c>
      <c r="BE293">
        <f t="shared" si="59"/>
        <v>30.615609843000001</v>
      </c>
    </row>
    <row r="294" spans="6:57">
      <c r="F294" s="9"/>
      <c r="G294" s="22">
        <v>0.36987300000000001</v>
      </c>
      <c r="H294" s="22">
        <v>84.608000000000004</v>
      </c>
      <c r="I294" s="22">
        <v>-2.4764999999999999E-2</v>
      </c>
      <c r="J294" s="22">
        <v>284</v>
      </c>
      <c r="K294" s="22">
        <v>0.369232</v>
      </c>
      <c r="L294">
        <f t="shared" si="48"/>
        <v>24.765000000000001</v>
      </c>
      <c r="M294">
        <f t="shared" si="49"/>
        <v>9.1599048449999998</v>
      </c>
      <c r="N294" s="9"/>
      <c r="O294" s="22">
        <v>1.3301099999999999</v>
      </c>
      <c r="P294" s="22">
        <v>173.92500000000001</v>
      </c>
      <c r="Q294" s="22">
        <v>-2.33826E-2</v>
      </c>
      <c r="R294" s="22">
        <v>284</v>
      </c>
      <c r="S294" s="22">
        <v>1.33026</v>
      </c>
      <c r="T294">
        <f t="shared" si="50"/>
        <v>23.3826</v>
      </c>
      <c r="U294">
        <f t="shared" si="51"/>
        <v>31.101430085999997</v>
      </c>
      <c r="X294" s="9"/>
      <c r="Y294" s="22">
        <v>0.36987300000000001</v>
      </c>
      <c r="Z294" s="22">
        <v>297.88799999999998</v>
      </c>
      <c r="AA294" s="22">
        <v>-2.43073E-2</v>
      </c>
      <c r="AB294" s="22">
        <v>284</v>
      </c>
      <c r="AC294" s="22">
        <v>0.36947600000000003</v>
      </c>
      <c r="AD294">
        <f t="shared" si="52"/>
        <v>24.307300000000001</v>
      </c>
      <c r="AE294">
        <f t="shared" si="53"/>
        <v>8.9906139729000003</v>
      </c>
      <c r="AF294" s="9"/>
      <c r="AG294" s="22">
        <v>1.3301099999999999</v>
      </c>
      <c r="AH294" s="22">
        <v>403.76600000000002</v>
      </c>
      <c r="AI294" s="22">
        <v>-2.31262E-2</v>
      </c>
      <c r="AJ294" s="22">
        <v>284</v>
      </c>
      <c r="AK294" s="22">
        <v>1.32935</v>
      </c>
      <c r="AL294">
        <f t="shared" si="54"/>
        <v>23.126200000000001</v>
      </c>
      <c r="AM294">
        <f t="shared" si="55"/>
        <v>30.760389881999998</v>
      </c>
      <c r="AP294" s="9"/>
      <c r="AQ294" s="22">
        <v>0.36987300000000001</v>
      </c>
      <c r="AR294" s="22">
        <v>492.15699999999998</v>
      </c>
      <c r="AS294" s="22">
        <v>-2.4127200000000001E-2</v>
      </c>
      <c r="AT294" s="22">
        <v>284</v>
      </c>
      <c r="AU294" s="22">
        <v>0.36932399999999999</v>
      </c>
      <c r="AV294">
        <f t="shared" si="56"/>
        <v>24.127200000000002</v>
      </c>
      <c r="AW294">
        <f t="shared" si="57"/>
        <v>8.9239998456000009</v>
      </c>
      <c r="AX294" s="9"/>
      <c r="AY294" s="22">
        <v>1.3301099999999999</v>
      </c>
      <c r="AZ294" s="22">
        <v>603.03599999999994</v>
      </c>
      <c r="BA294" s="22">
        <v>-2.3089599999999998E-2</v>
      </c>
      <c r="BB294" s="22">
        <v>284</v>
      </c>
      <c r="BC294" s="22">
        <v>1.32935</v>
      </c>
      <c r="BD294">
        <f t="shared" si="58"/>
        <v>23.089599999999997</v>
      </c>
      <c r="BE294">
        <f t="shared" si="59"/>
        <v>30.711707855999993</v>
      </c>
    </row>
    <row r="295" spans="6:57">
      <c r="F295" s="9"/>
      <c r="G295" s="22">
        <v>0.364838</v>
      </c>
      <c r="H295" s="22">
        <v>84.708699999999993</v>
      </c>
      <c r="I295" s="22">
        <v>-2.4777199999999999E-2</v>
      </c>
      <c r="J295" s="22">
        <v>285</v>
      </c>
      <c r="K295" s="22">
        <v>0.36465500000000001</v>
      </c>
      <c r="L295">
        <f t="shared" si="48"/>
        <v>24.777200000000001</v>
      </c>
      <c r="M295">
        <f t="shared" si="49"/>
        <v>9.0396640936000008</v>
      </c>
      <c r="N295" s="9"/>
      <c r="O295" s="22">
        <v>1.33514</v>
      </c>
      <c r="P295" s="22">
        <v>174.02600000000001</v>
      </c>
      <c r="Q295" s="22">
        <v>-2.33704E-2</v>
      </c>
      <c r="R295" s="22">
        <v>285</v>
      </c>
      <c r="S295" s="22">
        <v>1.33484</v>
      </c>
      <c r="T295">
        <f t="shared" si="50"/>
        <v>23.3704</v>
      </c>
      <c r="U295">
        <f t="shared" si="51"/>
        <v>31.202755856</v>
      </c>
      <c r="X295" s="9"/>
      <c r="Y295" s="22">
        <v>0.364838</v>
      </c>
      <c r="Z295" s="22">
        <v>297.988</v>
      </c>
      <c r="AA295" s="22">
        <v>-2.42981E-2</v>
      </c>
      <c r="AB295" s="22">
        <v>285</v>
      </c>
      <c r="AC295" s="22">
        <v>0.36380000000000001</v>
      </c>
      <c r="AD295">
        <f t="shared" si="52"/>
        <v>24.298099999999998</v>
      </c>
      <c r="AE295">
        <f t="shared" si="53"/>
        <v>8.8648702077999992</v>
      </c>
      <c r="AF295" s="9"/>
      <c r="AG295" s="22">
        <v>1.33514</v>
      </c>
      <c r="AH295" s="22">
        <v>403.86700000000002</v>
      </c>
      <c r="AI295" s="22">
        <v>-2.3117100000000002E-2</v>
      </c>
      <c r="AJ295" s="22">
        <v>285</v>
      </c>
      <c r="AK295" s="22">
        <v>1.33362</v>
      </c>
      <c r="AL295">
        <f t="shared" si="54"/>
        <v>23.117100000000001</v>
      </c>
      <c r="AM295">
        <f t="shared" si="55"/>
        <v>30.864564894000001</v>
      </c>
      <c r="AP295" s="9"/>
      <c r="AQ295" s="22">
        <v>0.364838</v>
      </c>
      <c r="AR295" s="22">
        <v>492.25799999999998</v>
      </c>
      <c r="AS295" s="22">
        <v>-2.4130200000000001E-2</v>
      </c>
      <c r="AT295" s="22">
        <v>285</v>
      </c>
      <c r="AU295" s="22">
        <v>0.36444100000000001</v>
      </c>
      <c r="AV295">
        <f t="shared" si="56"/>
        <v>24.130200000000002</v>
      </c>
      <c r="AW295">
        <f t="shared" si="57"/>
        <v>8.8036139076000008</v>
      </c>
      <c r="AX295" s="9"/>
      <c r="AY295" s="22">
        <v>1.33514</v>
      </c>
      <c r="AZ295" s="22">
        <v>603.13599999999997</v>
      </c>
      <c r="BA295" s="22">
        <v>-2.3086499999999999E-2</v>
      </c>
      <c r="BB295" s="22">
        <v>285</v>
      </c>
      <c r="BC295" s="22">
        <v>1.33453</v>
      </c>
      <c r="BD295">
        <f t="shared" si="58"/>
        <v>23.086500000000001</v>
      </c>
      <c r="BE295">
        <f t="shared" si="59"/>
        <v>30.823709610000002</v>
      </c>
    </row>
    <row r="296" spans="6:57">
      <c r="F296" s="9"/>
      <c r="G296" s="22">
        <v>0.35980200000000001</v>
      </c>
      <c r="H296" s="22">
        <v>84.809399999999997</v>
      </c>
      <c r="I296" s="22">
        <v>-2.4777199999999999E-2</v>
      </c>
      <c r="J296" s="22">
        <v>286</v>
      </c>
      <c r="K296" s="22">
        <v>0.35922199999999999</v>
      </c>
      <c r="L296">
        <f t="shared" si="48"/>
        <v>24.777200000000001</v>
      </c>
      <c r="M296">
        <f t="shared" si="49"/>
        <v>8.9148861143999998</v>
      </c>
      <c r="N296" s="9"/>
      <c r="O296" s="22">
        <v>1.3401799999999999</v>
      </c>
      <c r="P296" s="22">
        <v>174.12700000000001</v>
      </c>
      <c r="Q296" s="22">
        <v>-2.3358199999999999E-2</v>
      </c>
      <c r="R296" s="22">
        <v>286</v>
      </c>
      <c r="S296" s="22">
        <v>1.33911</v>
      </c>
      <c r="T296">
        <f t="shared" si="50"/>
        <v>23.3582</v>
      </c>
      <c r="U296">
        <f t="shared" si="51"/>
        <v>31.304192475999997</v>
      </c>
      <c r="X296" s="9"/>
      <c r="Y296" s="22">
        <v>0.35980200000000001</v>
      </c>
      <c r="Z296" s="22">
        <v>298.089</v>
      </c>
      <c r="AA296" s="22">
        <v>-2.4328599999999999E-2</v>
      </c>
      <c r="AB296" s="22">
        <v>286</v>
      </c>
      <c r="AC296" s="22">
        <v>0.359344</v>
      </c>
      <c r="AD296">
        <f t="shared" si="52"/>
        <v>24.328599999999998</v>
      </c>
      <c r="AE296">
        <f t="shared" si="53"/>
        <v>8.7534789371999988</v>
      </c>
      <c r="AF296" s="9"/>
      <c r="AG296" s="22">
        <v>1.3401799999999999</v>
      </c>
      <c r="AH296" s="22">
        <v>403.96800000000002</v>
      </c>
      <c r="AI296" s="22">
        <v>-2.3111E-2</v>
      </c>
      <c r="AJ296" s="22">
        <v>286</v>
      </c>
      <c r="AK296" s="22">
        <v>1.33911</v>
      </c>
      <c r="AL296">
        <f t="shared" si="54"/>
        <v>23.111000000000001</v>
      </c>
      <c r="AM296">
        <f t="shared" si="55"/>
        <v>30.972899979999998</v>
      </c>
      <c r="AP296" s="9"/>
      <c r="AQ296" s="22">
        <v>0.35980200000000001</v>
      </c>
      <c r="AR296" s="22">
        <v>492.358</v>
      </c>
      <c r="AS296" s="22">
        <v>-2.4142500000000001E-2</v>
      </c>
      <c r="AT296" s="22">
        <v>286</v>
      </c>
      <c r="AU296" s="22">
        <v>0.35909999999999997</v>
      </c>
      <c r="AV296">
        <f t="shared" si="56"/>
        <v>24.142500000000002</v>
      </c>
      <c r="AW296">
        <f t="shared" si="57"/>
        <v>8.6865197850000015</v>
      </c>
      <c r="AX296" s="9"/>
      <c r="AY296" s="22">
        <v>1.3401799999999999</v>
      </c>
      <c r="AZ296" s="22">
        <v>603.23699999999997</v>
      </c>
      <c r="BA296" s="22">
        <v>-2.3086499999999999E-2</v>
      </c>
      <c r="BB296" s="22">
        <v>286</v>
      </c>
      <c r="BC296" s="22">
        <v>1.3394200000000001</v>
      </c>
      <c r="BD296">
        <f t="shared" si="58"/>
        <v>23.086500000000001</v>
      </c>
      <c r="BE296">
        <f t="shared" si="59"/>
        <v>30.940065569999998</v>
      </c>
    </row>
    <row r="297" spans="6:57">
      <c r="F297" s="9"/>
      <c r="G297" s="22">
        <v>0.354767</v>
      </c>
      <c r="H297" s="22">
        <v>84.9101</v>
      </c>
      <c r="I297" s="22">
        <v>-2.4783300000000001E-2</v>
      </c>
      <c r="J297" s="22">
        <v>287</v>
      </c>
      <c r="K297" s="22">
        <v>0.35449199999999997</v>
      </c>
      <c r="L297">
        <f t="shared" si="48"/>
        <v>24.783300000000001</v>
      </c>
      <c r="M297">
        <f t="shared" si="49"/>
        <v>8.7922969911000006</v>
      </c>
      <c r="N297" s="9"/>
      <c r="O297" s="22">
        <v>1.34521</v>
      </c>
      <c r="P297" s="22">
        <v>174.22800000000001</v>
      </c>
      <c r="Q297" s="22">
        <v>-2.33551E-2</v>
      </c>
      <c r="R297" s="22">
        <v>287</v>
      </c>
      <c r="S297" s="22">
        <v>1.34491</v>
      </c>
      <c r="T297">
        <f t="shared" si="50"/>
        <v>23.3551</v>
      </c>
      <c r="U297">
        <f t="shared" si="51"/>
        <v>31.417514070999999</v>
      </c>
      <c r="X297" s="9"/>
      <c r="Y297" s="22">
        <v>0.354767</v>
      </c>
      <c r="Z297" s="22">
        <v>298.19</v>
      </c>
      <c r="AA297" s="22">
        <v>-2.4328599999999999E-2</v>
      </c>
      <c r="AB297" s="22">
        <v>287</v>
      </c>
      <c r="AC297" s="22">
        <v>0.35424800000000001</v>
      </c>
      <c r="AD297">
        <f t="shared" si="52"/>
        <v>24.328599999999998</v>
      </c>
      <c r="AE297">
        <f t="shared" si="53"/>
        <v>8.6309844361999986</v>
      </c>
      <c r="AF297" s="9"/>
      <c r="AG297" s="22">
        <v>1.34521</v>
      </c>
      <c r="AH297" s="22">
        <v>404.06900000000002</v>
      </c>
      <c r="AI297" s="22">
        <v>-2.3098799999999999E-2</v>
      </c>
      <c r="AJ297" s="22">
        <v>287</v>
      </c>
      <c r="AK297" s="22">
        <v>1.3443000000000001</v>
      </c>
      <c r="AL297">
        <f t="shared" si="54"/>
        <v>23.098800000000001</v>
      </c>
      <c r="AM297">
        <f t="shared" si="55"/>
        <v>31.072736748000001</v>
      </c>
      <c r="AP297" s="9"/>
      <c r="AQ297" s="22">
        <v>0.354767</v>
      </c>
      <c r="AR297" s="22">
        <v>492.459</v>
      </c>
      <c r="AS297" s="22">
        <v>-2.4148599999999999E-2</v>
      </c>
      <c r="AT297" s="22">
        <v>287</v>
      </c>
      <c r="AU297" s="22">
        <v>0.354462</v>
      </c>
      <c r="AV297">
        <f t="shared" si="56"/>
        <v>24.148599999999998</v>
      </c>
      <c r="AW297">
        <f t="shared" si="57"/>
        <v>8.5671263761999992</v>
      </c>
      <c r="AX297" s="9"/>
      <c r="AY297" s="22">
        <v>1.34521</v>
      </c>
      <c r="AZ297" s="22">
        <v>603.33799999999997</v>
      </c>
      <c r="BA297" s="22">
        <v>-2.3077400000000001E-2</v>
      </c>
      <c r="BB297" s="22">
        <v>287</v>
      </c>
      <c r="BC297" s="22">
        <v>1.3446</v>
      </c>
      <c r="BD297">
        <f t="shared" si="58"/>
        <v>23.077400000000001</v>
      </c>
      <c r="BE297">
        <f t="shared" si="59"/>
        <v>31.043949254000001</v>
      </c>
    </row>
    <row r="298" spans="6:57">
      <c r="F298" s="9"/>
      <c r="G298" s="22">
        <v>0.34973100000000001</v>
      </c>
      <c r="H298" s="22">
        <v>85.010800000000003</v>
      </c>
      <c r="I298" s="22">
        <v>-2.4780300000000002E-2</v>
      </c>
      <c r="J298" s="22">
        <v>288</v>
      </c>
      <c r="K298" s="22">
        <v>0.34954800000000003</v>
      </c>
      <c r="L298">
        <f t="shared" si="48"/>
        <v>24.7803</v>
      </c>
      <c r="M298">
        <f t="shared" si="49"/>
        <v>8.6664390992999998</v>
      </c>
      <c r="N298" s="9"/>
      <c r="O298" s="22">
        <v>1.35025</v>
      </c>
      <c r="P298" s="22">
        <v>174.328</v>
      </c>
      <c r="Q298" s="22">
        <v>-2.33551E-2</v>
      </c>
      <c r="R298" s="22">
        <v>288</v>
      </c>
      <c r="S298" s="22">
        <v>1.3501000000000001</v>
      </c>
      <c r="T298">
        <f t="shared" si="50"/>
        <v>23.3551</v>
      </c>
      <c r="U298">
        <f t="shared" si="51"/>
        <v>31.535223774999999</v>
      </c>
      <c r="X298" s="9"/>
      <c r="Y298" s="22">
        <v>0.34973100000000001</v>
      </c>
      <c r="Z298" s="22">
        <v>298.29000000000002</v>
      </c>
      <c r="AA298" s="22">
        <v>-2.4340799999999999E-2</v>
      </c>
      <c r="AB298" s="22">
        <v>288</v>
      </c>
      <c r="AC298" s="22">
        <v>0.34924300000000003</v>
      </c>
      <c r="AD298">
        <f t="shared" si="52"/>
        <v>24.340799999999998</v>
      </c>
      <c r="AE298">
        <f t="shared" si="53"/>
        <v>8.5127323248</v>
      </c>
      <c r="AF298" s="9"/>
      <c r="AG298" s="22">
        <v>1.35025</v>
      </c>
      <c r="AH298" s="22">
        <v>404.16899999999998</v>
      </c>
      <c r="AI298" s="22">
        <v>-2.3092700000000001E-2</v>
      </c>
      <c r="AJ298" s="22">
        <v>288</v>
      </c>
      <c r="AK298" s="22">
        <v>1.34918</v>
      </c>
      <c r="AL298">
        <f t="shared" si="54"/>
        <v>23.092700000000001</v>
      </c>
      <c r="AM298">
        <f t="shared" si="55"/>
        <v>31.180918174999999</v>
      </c>
      <c r="AP298" s="9"/>
      <c r="AQ298" s="22">
        <v>0.34973100000000001</v>
      </c>
      <c r="AR298" s="22">
        <v>492.56</v>
      </c>
      <c r="AS298" s="22">
        <v>-2.4154700000000001E-2</v>
      </c>
      <c r="AT298" s="22">
        <v>288</v>
      </c>
      <c r="AU298" s="22">
        <v>0.34927399999999997</v>
      </c>
      <c r="AV298">
        <f t="shared" si="56"/>
        <v>24.154700000000002</v>
      </c>
      <c r="AW298">
        <f t="shared" si="57"/>
        <v>8.4476473857000016</v>
      </c>
      <c r="AX298" s="9"/>
      <c r="AY298" s="22">
        <v>1.35025</v>
      </c>
      <c r="AZ298" s="22">
        <v>603.43899999999996</v>
      </c>
      <c r="BA298" s="22">
        <v>-2.3068200000000001E-2</v>
      </c>
      <c r="BB298" s="22">
        <v>288</v>
      </c>
      <c r="BC298" s="22">
        <v>1.34979</v>
      </c>
      <c r="BD298">
        <f t="shared" si="58"/>
        <v>23.068200000000001</v>
      </c>
      <c r="BE298">
        <f t="shared" si="59"/>
        <v>31.14783705</v>
      </c>
    </row>
    <row r="299" spans="6:57">
      <c r="F299" s="9"/>
      <c r="G299" s="22">
        <v>0.344696</v>
      </c>
      <c r="H299" s="22">
        <v>85.111500000000007</v>
      </c>
      <c r="I299" s="22">
        <v>-2.4804699999999999E-2</v>
      </c>
      <c r="J299" s="22">
        <v>289</v>
      </c>
      <c r="K299" s="22">
        <v>0.34454299999999999</v>
      </c>
      <c r="L299">
        <f t="shared" si="48"/>
        <v>24.8047</v>
      </c>
      <c r="M299">
        <f t="shared" si="49"/>
        <v>8.5500808712000005</v>
      </c>
      <c r="N299" s="9"/>
      <c r="O299" s="22">
        <v>1.3552900000000001</v>
      </c>
      <c r="P299" s="22">
        <v>174.429</v>
      </c>
      <c r="Q299" s="22">
        <v>-2.3349000000000002E-2</v>
      </c>
      <c r="R299" s="22">
        <v>289</v>
      </c>
      <c r="S299" s="22">
        <v>1.3555900000000001</v>
      </c>
      <c r="T299">
        <f t="shared" si="50"/>
        <v>23.349</v>
      </c>
      <c r="U299">
        <f t="shared" si="51"/>
        <v>31.644666210000004</v>
      </c>
      <c r="X299" s="9"/>
      <c r="Y299" s="22">
        <v>0.344696</v>
      </c>
      <c r="Z299" s="22">
        <v>298.39100000000002</v>
      </c>
      <c r="AA299" s="22">
        <v>-2.4288899999999999E-2</v>
      </c>
      <c r="AB299" s="22">
        <v>289</v>
      </c>
      <c r="AC299" s="22">
        <v>0.344391</v>
      </c>
      <c r="AD299">
        <f t="shared" si="52"/>
        <v>24.288899999999998</v>
      </c>
      <c r="AE299">
        <f t="shared" si="53"/>
        <v>8.3722866743999997</v>
      </c>
      <c r="AF299" s="9"/>
      <c r="AG299" s="22">
        <v>1.3552900000000001</v>
      </c>
      <c r="AH299" s="22">
        <v>404.27</v>
      </c>
      <c r="AI299" s="22">
        <v>-2.3089599999999998E-2</v>
      </c>
      <c r="AJ299" s="22">
        <v>289</v>
      </c>
      <c r="AK299" s="22">
        <v>1.3546800000000001</v>
      </c>
      <c r="AL299">
        <f t="shared" si="54"/>
        <v>23.089599999999997</v>
      </c>
      <c r="AM299">
        <f t="shared" si="55"/>
        <v>31.293103983999998</v>
      </c>
      <c r="AP299" s="9"/>
      <c r="AQ299" s="22">
        <v>0.344696</v>
      </c>
      <c r="AR299" s="22">
        <v>492.66</v>
      </c>
      <c r="AS299" s="22">
        <v>-2.4151599999999999E-2</v>
      </c>
      <c r="AT299" s="22">
        <v>289</v>
      </c>
      <c r="AU299" s="22">
        <v>0.34429900000000002</v>
      </c>
      <c r="AV299">
        <f t="shared" si="56"/>
        <v>24.151599999999998</v>
      </c>
      <c r="AW299">
        <f t="shared" si="57"/>
        <v>8.324959913599999</v>
      </c>
      <c r="AX299" s="9"/>
      <c r="AY299" s="22">
        <v>1.3552900000000001</v>
      </c>
      <c r="AZ299" s="22">
        <v>603.53899999999999</v>
      </c>
      <c r="BA299" s="22">
        <v>-2.3059099999999999E-2</v>
      </c>
      <c r="BB299" s="22">
        <v>289</v>
      </c>
      <c r="BC299" s="22">
        <v>1.35406</v>
      </c>
      <c r="BD299">
        <f t="shared" si="58"/>
        <v>23.059100000000001</v>
      </c>
      <c r="BE299">
        <f t="shared" si="59"/>
        <v>31.251767639000004</v>
      </c>
    </row>
    <row r="300" spans="6:57">
      <c r="F300" s="9"/>
      <c r="G300" s="22">
        <v>0.33966099999999999</v>
      </c>
      <c r="H300" s="22">
        <v>85.212199999999996</v>
      </c>
      <c r="I300" s="22">
        <v>-2.4804699999999999E-2</v>
      </c>
      <c r="J300" s="22">
        <v>290</v>
      </c>
      <c r="K300" s="22">
        <v>0.33859299999999998</v>
      </c>
      <c r="L300">
        <f t="shared" si="48"/>
        <v>24.8047</v>
      </c>
      <c r="M300">
        <f t="shared" si="49"/>
        <v>8.4251892067000007</v>
      </c>
      <c r="N300" s="9"/>
      <c r="O300" s="22">
        <v>1.36032</v>
      </c>
      <c r="P300" s="22">
        <v>174.53</v>
      </c>
      <c r="Q300" s="22">
        <v>-2.3339800000000001E-2</v>
      </c>
      <c r="R300" s="22">
        <v>290</v>
      </c>
      <c r="S300" s="22">
        <v>1.3601700000000001</v>
      </c>
      <c r="T300">
        <f t="shared" si="50"/>
        <v>23.3398</v>
      </c>
      <c r="U300">
        <f t="shared" si="51"/>
        <v>31.749596736000001</v>
      </c>
      <c r="X300" s="9"/>
      <c r="Y300" s="22">
        <v>0.33966099999999999</v>
      </c>
      <c r="Z300" s="22">
        <v>298.49200000000002</v>
      </c>
      <c r="AA300" s="22">
        <v>-2.4295000000000001E-2</v>
      </c>
      <c r="AB300" s="22">
        <v>290</v>
      </c>
      <c r="AC300" s="22">
        <v>0.339111</v>
      </c>
      <c r="AD300">
        <f t="shared" si="52"/>
        <v>24.295000000000002</v>
      </c>
      <c r="AE300">
        <f t="shared" si="53"/>
        <v>8.2520639950000003</v>
      </c>
      <c r="AF300" s="9"/>
      <c r="AG300" s="22">
        <v>1.36032</v>
      </c>
      <c r="AH300" s="22">
        <v>404.37099999999998</v>
      </c>
      <c r="AI300" s="22">
        <v>-2.3074299999999999E-2</v>
      </c>
      <c r="AJ300" s="22">
        <v>290</v>
      </c>
      <c r="AK300" s="22">
        <v>1.3592500000000001</v>
      </c>
      <c r="AL300">
        <f t="shared" si="54"/>
        <v>23.074299999999997</v>
      </c>
      <c r="AM300">
        <f t="shared" si="55"/>
        <v>31.388431775999997</v>
      </c>
      <c r="AP300" s="9"/>
      <c r="AQ300" s="22">
        <v>0.33966099999999999</v>
      </c>
      <c r="AR300" s="22">
        <v>492.76100000000002</v>
      </c>
      <c r="AS300" s="22">
        <v>-2.4163799999999999E-2</v>
      </c>
      <c r="AT300" s="22">
        <v>290</v>
      </c>
      <c r="AU300" s="22">
        <v>0.33917199999999997</v>
      </c>
      <c r="AV300">
        <f t="shared" si="56"/>
        <v>24.163799999999998</v>
      </c>
      <c r="AW300">
        <f t="shared" si="57"/>
        <v>8.2075004717999995</v>
      </c>
      <c r="AX300" s="9"/>
      <c r="AY300" s="22">
        <v>1.36032</v>
      </c>
      <c r="AZ300" s="22">
        <v>603.64</v>
      </c>
      <c r="BA300" s="22">
        <v>-2.3049900000000002E-2</v>
      </c>
      <c r="BB300" s="22">
        <v>290</v>
      </c>
      <c r="BC300" s="22">
        <v>1.3592500000000001</v>
      </c>
      <c r="BD300">
        <f t="shared" si="58"/>
        <v>23.049900000000001</v>
      </c>
      <c r="BE300">
        <f t="shared" si="59"/>
        <v>31.355239967999999</v>
      </c>
    </row>
    <row r="301" spans="6:57">
      <c r="F301" s="9"/>
      <c r="G301" s="22">
        <v>0.33462500000000001</v>
      </c>
      <c r="H301" s="22">
        <v>85.312899999999999</v>
      </c>
      <c r="I301" s="22">
        <v>-2.4807699999999999E-2</v>
      </c>
      <c r="J301" s="22">
        <v>291</v>
      </c>
      <c r="K301" s="22">
        <v>0.334229</v>
      </c>
      <c r="L301">
        <f t="shared" si="48"/>
        <v>24.807699999999997</v>
      </c>
      <c r="M301">
        <f t="shared" si="49"/>
        <v>8.3012766124999988</v>
      </c>
      <c r="N301" s="9"/>
      <c r="O301" s="22">
        <v>1.3653599999999999</v>
      </c>
      <c r="P301" s="22">
        <v>174.63</v>
      </c>
      <c r="Q301" s="22">
        <v>-2.3324600000000001E-2</v>
      </c>
      <c r="R301" s="22">
        <v>291</v>
      </c>
      <c r="S301" s="22">
        <v>1.3644400000000001</v>
      </c>
      <c r="T301">
        <f t="shared" si="50"/>
        <v>23.3246</v>
      </c>
      <c r="U301">
        <f t="shared" si="51"/>
        <v>31.846475855999998</v>
      </c>
      <c r="X301" s="9"/>
      <c r="Y301" s="22">
        <v>0.33462500000000001</v>
      </c>
      <c r="Z301" s="22">
        <v>298.59300000000002</v>
      </c>
      <c r="AA301" s="22">
        <v>-2.4304200000000001E-2</v>
      </c>
      <c r="AB301" s="22">
        <v>291</v>
      </c>
      <c r="AC301" s="22">
        <v>0.33416699999999999</v>
      </c>
      <c r="AD301">
        <f t="shared" si="52"/>
        <v>24.304200000000002</v>
      </c>
      <c r="AE301">
        <f t="shared" si="53"/>
        <v>8.1327929250000004</v>
      </c>
      <c r="AF301" s="9"/>
      <c r="AG301" s="22">
        <v>1.3653599999999999</v>
      </c>
      <c r="AH301" s="22">
        <v>404.471</v>
      </c>
      <c r="AI301" s="22">
        <v>-2.3074299999999999E-2</v>
      </c>
      <c r="AJ301" s="22">
        <v>291</v>
      </c>
      <c r="AK301" s="22">
        <v>1.3647499999999999</v>
      </c>
      <c r="AL301">
        <f t="shared" si="54"/>
        <v>23.074299999999997</v>
      </c>
      <c r="AM301">
        <f t="shared" si="55"/>
        <v>31.504726247999994</v>
      </c>
      <c r="AP301" s="9"/>
      <c r="AQ301" s="22">
        <v>0.33462500000000001</v>
      </c>
      <c r="AR301" s="22">
        <v>492.86200000000002</v>
      </c>
      <c r="AS301" s="22">
        <v>-2.4176E-2</v>
      </c>
      <c r="AT301" s="22">
        <v>291</v>
      </c>
      <c r="AU301" s="22">
        <v>0.33407599999999998</v>
      </c>
      <c r="AV301">
        <f t="shared" si="56"/>
        <v>24.175999999999998</v>
      </c>
      <c r="AW301">
        <f t="shared" si="57"/>
        <v>8.0898939999999993</v>
      </c>
      <c r="AX301" s="9"/>
      <c r="AY301" s="22">
        <v>1.3653599999999999</v>
      </c>
      <c r="AZ301" s="22">
        <v>603.74099999999999</v>
      </c>
      <c r="BA301" s="22">
        <v>-2.3053000000000001E-2</v>
      </c>
      <c r="BB301" s="22">
        <v>291</v>
      </c>
      <c r="BC301" s="22">
        <v>1.3656600000000001</v>
      </c>
      <c r="BD301">
        <f t="shared" si="58"/>
        <v>23.053000000000001</v>
      </c>
      <c r="BE301">
        <f t="shared" si="59"/>
        <v>31.475644079999999</v>
      </c>
    </row>
    <row r="302" spans="6:57">
      <c r="F302" s="9"/>
      <c r="G302" s="22">
        <v>0.32958999999999999</v>
      </c>
      <c r="H302" s="22">
        <v>85.413600000000002</v>
      </c>
      <c r="I302" s="22">
        <v>-2.4804699999999999E-2</v>
      </c>
      <c r="J302" s="22">
        <v>292</v>
      </c>
      <c r="K302" s="22">
        <v>0.32913199999999998</v>
      </c>
      <c r="L302">
        <f t="shared" si="48"/>
        <v>24.8047</v>
      </c>
      <c r="M302">
        <f t="shared" si="49"/>
        <v>8.1753810730000005</v>
      </c>
      <c r="N302" s="9"/>
      <c r="O302" s="22">
        <v>1.37039</v>
      </c>
      <c r="P302" s="22">
        <v>174.73099999999999</v>
      </c>
      <c r="Q302" s="22">
        <v>-2.33276E-2</v>
      </c>
      <c r="R302" s="22">
        <v>292</v>
      </c>
      <c r="S302" s="22">
        <v>1.3699300000000001</v>
      </c>
      <c r="T302">
        <f t="shared" si="50"/>
        <v>23.3276</v>
      </c>
      <c r="U302">
        <f t="shared" si="51"/>
        <v>31.967909764000002</v>
      </c>
      <c r="X302" s="9"/>
      <c r="Y302" s="22">
        <v>0.32958999999999999</v>
      </c>
      <c r="Z302" s="22">
        <v>298.69299999999998</v>
      </c>
      <c r="AA302" s="22">
        <v>-2.43073E-2</v>
      </c>
      <c r="AB302" s="22">
        <v>292</v>
      </c>
      <c r="AC302" s="22">
        <v>0.32919300000000001</v>
      </c>
      <c r="AD302">
        <f t="shared" si="52"/>
        <v>24.307300000000001</v>
      </c>
      <c r="AE302">
        <f t="shared" si="53"/>
        <v>8.0114430070000004</v>
      </c>
      <c r="AF302" s="9"/>
      <c r="AG302" s="22">
        <v>1.37039</v>
      </c>
      <c r="AH302" s="22">
        <v>404.572</v>
      </c>
      <c r="AI302" s="22">
        <v>-2.3065200000000001E-2</v>
      </c>
      <c r="AJ302" s="22">
        <v>292</v>
      </c>
      <c r="AK302" s="22">
        <v>1.3702399999999999</v>
      </c>
      <c r="AL302">
        <f t="shared" si="54"/>
        <v>23.065200000000001</v>
      </c>
      <c r="AM302">
        <f t="shared" si="55"/>
        <v>31.608319428000001</v>
      </c>
      <c r="AP302" s="9"/>
      <c r="AQ302" s="22">
        <v>0.32958999999999999</v>
      </c>
      <c r="AR302" s="22">
        <v>492.96300000000002</v>
      </c>
      <c r="AS302" s="22">
        <v>-2.41882E-2</v>
      </c>
      <c r="AT302" s="22">
        <v>292</v>
      </c>
      <c r="AU302" s="22">
        <v>0.32885700000000001</v>
      </c>
      <c r="AV302">
        <f t="shared" si="56"/>
        <v>24.188199999999998</v>
      </c>
      <c r="AW302">
        <f t="shared" si="57"/>
        <v>7.9721888379999992</v>
      </c>
      <c r="AX302" s="9"/>
      <c r="AY302" s="22">
        <v>1.37039</v>
      </c>
      <c r="AZ302" s="22">
        <v>603.84100000000001</v>
      </c>
      <c r="BA302" s="22">
        <v>-2.3037700000000001E-2</v>
      </c>
      <c r="BB302" s="22">
        <v>292</v>
      </c>
      <c r="BC302" s="22">
        <v>1.3699300000000001</v>
      </c>
      <c r="BD302">
        <f t="shared" si="58"/>
        <v>23.037700000000001</v>
      </c>
      <c r="BE302">
        <f t="shared" si="59"/>
        <v>31.570633703000002</v>
      </c>
    </row>
    <row r="303" spans="6:57">
      <c r="F303" s="9"/>
      <c r="G303" s="22">
        <v>0.32455400000000001</v>
      </c>
      <c r="H303" s="22">
        <v>85.514300000000006</v>
      </c>
      <c r="I303" s="22">
        <v>-2.4804699999999999E-2</v>
      </c>
      <c r="J303" s="22">
        <v>293</v>
      </c>
      <c r="K303" s="22">
        <v>0.324127</v>
      </c>
      <c r="L303">
        <f t="shared" si="48"/>
        <v>24.8047</v>
      </c>
      <c r="M303">
        <f t="shared" si="49"/>
        <v>8.0504646038000001</v>
      </c>
      <c r="N303" s="9"/>
      <c r="O303" s="22">
        <v>1.3754299999999999</v>
      </c>
      <c r="P303" s="22">
        <v>174.83199999999999</v>
      </c>
      <c r="Q303" s="22">
        <v>-2.33124E-2</v>
      </c>
      <c r="R303" s="22">
        <v>293</v>
      </c>
      <c r="S303" s="22">
        <v>1.3751199999999999</v>
      </c>
      <c r="T303">
        <f t="shared" si="50"/>
        <v>23.3124</v>
      </c>
      <c r="U303">
        <f t="shared" si="51"/>
        <v>32.064574331999999</v>
      </c>
      <c r="X303" s="9"/>
      <c r="Y303" s="22">
        <v>0.32455400000000001</v>
      </c>
      <c r="Z303" s="22">
        <v>298.79399999999998</v>
      </c>
      <c r="AA303" s="22">
        <v>-2.43103E-2</v>
      </c>
      <c r="AB303" s="22">
        <v>293</v>
      </c>
      <c r="AC303" s="22">
        <v>0.32406600000000002</v>
      </c>
      <c r="AD303">
        <f t="shared" si="52"/>
        <v>24.310300000000002</v>
      </c>
      <c r="AE303">
        <f t="shared" si="53"/>
        <v>7.8900051062000012</v>
      </c>
      <c r="AF303" s="9"/>
      <c r="AG303" s="22">
        <v>1.3754299999999999</v>
      </c>
      <c r="AH303" s="22">
        <v>404.673</v>
      </c>
      <c r="AI303" s="22">
        <v>-2.3049900000000002E-2</v>
      </c>
      <c r="AJ303" s="22">
        <v>293</v>
      </c>
      <c r="AK303" s="22">
        <v>1.3754299999999999</v>
      </c>
      <c r="AL303">
        <f t="shared" si="54"/>
        <v>23.049900000000001</v>
      </c>
      <c r="AM303">
        <f t="shared" si="55"/>
        <v>31.703523956999998</v>
      </c>
      <c r="AP303" s="9"/>
      <c r="AQ303" s="22">
        <v>0.32455400000000001</v>
      </c>
      <c r="AR303" s="22">
        <v>493.06299999999999</v>
      </c>
      <c r="AS303" s="22">
        <v>-2.41852E-2</v>
      </c>
      <c r="AT303" s="22">
        <v>293</v>
      </c>
      <c r="AU303" s="22">
        <v>0.32357799999999998</v>
      </c>
      <c r="AV303">
        <f t="shared" si="56"/>
        <v>24.185200000000002</v>
      </c>
      <c r="AW303">
        <f t="shared" si="57"/>
        <v>7.8494034008000009</v>
      </c>
      <c r="AX303" s="9"/>
      <c r="AY303" s="22">
        <v>1.3754299999999999</v>
      </c>
      <c r="AZ303" s="22">
        <v>603.94200000000001</v>
      </c>
      <c r="BA303" s="22">
        <v>-2.3034700000000002E-2</v>
      </c>
      <c r="BB303" s="22">
        <v>293</v>
      </c>
      <c r="BC303" s="22">
        <v>1.3745099999999999</v>
      </c>
      <c r="BD303">
        <f t="shared" si="58"/>
        <v>23.034700000000001</v>
      </c>
      <c r="BE303">
        <f t="shared" si="59"/>
        <v>31.682617421</v>
      </c>
    </row>
    <row r="304" spans="6:57">
      <c r="F304" s="9"/>
      <c r="G304" s="22">
        <v>0.319519</v>
      </c>
      <c r="H304" s="22">
        <v>85.615099999999998</v>
      </c>
      <c r="I304" s="22">
        <v>-2.4810800000000001E-2</v>
      </c>
      <c r="J304" s="22">
        <v>294</v>
      </c>
      <c r="K304" s="22">
        <v>0.31881700000000002</v>
      </c>
      <c r="L304">
        <f t="shared" si="48"/>
        <v>24.8108</v>
      </c>
      <c r="M304">
        <f t="shared" si="49"/>
        <v>7.9275220052000002</v>
      </c>
      <c r="N304" s="9"/>
      <c r="O304" s="22">
        <v>1.38046</v>
      </c>
      <c r="P304" s="22">
        <v>174.93299999999999</v>
      </c>
      <c r="Q304" s="22">
        <v>-2.33002E-2</v>
      </c>
      <c r="R304" s="22">
        <v>294</v>
      </c>
      <c r="S304" s="22">
        <v>1.3803099999999999</v>
      </c>
      <c r="T304">
        <f t="shared" si="50"/>
        <v>23.3002</v>
      </c>
      <c r="U304">
        <f t="shared" si="51"/>
        <v>32.164994092000001</v>
      </c>
      <c r="X304" s="9"/>
      <c r="Y304" s="22">
        <v>0.319519</v>
      </c>
      <c r="Z304" s="22">
        <v>298.89499999999998</v>
      </c>
      <c r="AA304" s="22">
        <v>-2.4325599999999999E-2</v>
      </c>
      <c r="AB304" s="22">
        <v>294</v>
      </c>
      <c r="AC304" s="22">
        <v>0.31915300000000002</v>
      </c>
      <c r="AD304">
        <f t="shared" si="52"/>
        <v>24.325599999999998</v>
      </c>
      <c r="AE304">
        <f t="shared" si="53"/>
        <v>7.7724913863999996</v>
      </c>
      <c r="AF304" s="9"/>
      <c r="AG304" s="22">
        <v>1.38046</v>
      </c>
      <c r="AH304" s="22">
        <v>404.77300000000002</v>
      </c>
      <c r="AI304" s="22">
        <v>-2.3053000000000001E-2</v>
      </c>
      <c r="AJ304" s="22">
        <v>294</v>
      </c>
      <c r="AK304" s="22">
        <v>1.38</v>
      </c>
      <c r="AL304">
        <f t="shared" si="54"/>
        <v>23.053000000000001</v>
      </c>
      <c r="AM304">
        <f t="shared" si="55"/>
        <v>31.823744380000001</v>
      </c>
      <c r="AP304" s="9"/>
      <c r="AQ304" s="22">
        <v>0.319519</v>
      </c>
      <c r="AR304" s="22">
        <v>493.16399999999999</v>
      </c>
      <c r="AS304" s="22">
        <v>-2.41882E-2</v>
      </c>
      <c r="AT304" s="22">
        <v>294</v>
      </c>
      <c r="AU304" s="22">
        <v>0.318604</v>
      </c>
      <c r="AV304">
        <f t="shared" si="56"/>
        <v>24.188199999999998</v>
      </c>
      <c r="AW304">
        <f t="shared" si="57"/>
        <v>7.7285894757999998</v>
      </c>
      <c r="AX304" s="9"/>
      <c r="AY304" s="22">
        <v>1.38046</v>
      </c>
      <c r="AZ304" s="22">
        <v>604.04300000000001</v>
      </c>
      <c r="BA304" s="22">
        <v>-2.30286E-2</v>
      </c>
      <c r="BB304" s="22">
        <v>294</v>
      </c>
      <c r="BC304" s="22">
        <v>1.3796999999999999</v>
      </c>
      <c r="BD304">
        <f t="shared" si="58"/>
        <v>23.028600000000001</v>
      </c>
      <c r="BE304">
        <f t="shared" si="59"/>
        <v>31.790061156</v>
      </c>
    </row>
    <row r="305" spans="6:57">
      <c r="F305" s="9"/>
      <c r="G305" s="22">
        <v>0.31448399999999999</v>
      </c>
      <c r="H305" s="22">
        <v>85.715800000000002</v>
      </c>
      <c r="I305" s="22">
        <v>-2.4819899999999999E-2</v>
      </c>
      <c r="J305" s="22">
        <v>295</v>
      </c>
      <c r="K305" s="22">
        <v>0.314056</v>
      </c>
      <c r="L305">
        <f t="shared" si="48"/>
        <v>24.819900000000001</v>
      </c>
      <c r="M305">
        <f t="shared" si="49"/>
        <v>7.8054614315999995</v>
      </c>
      <c r="N305" s="9"/>
      <c r="O305" s="22">
        <v>1.3855</v>
      </c>
      <c r="P305" s="22">
        <v>175.03299999999999</v>
      </c>
      <c r="Q305" s="22">
        <v>-2.3290999999999999E-2</v>
      </c>
      <c r="R305" s="22">
        <v>295</v>
      </c>
      <c r="S305" s="22">
        <v>1.3851899999999999</v>
      </c>
      <c r="T305">
        <f t="shared" si="50"/>
        <v>23.291</v>
      </c>
      <c r="U305">
        <f t="shared" si="51"/>
        <v>32.2696805</v>
      </c>
      <c r="X305" s="9"/>
      <c r="Y305" s="22">
        <v>0.31448399999999999</v>
      </c>
      <c r="Z305" s="22">
        <v>298.995</v>
      </c>
      <c r="AA305" s="22">
        <v>-2.4313399999999999E-2</v>
      </c>
      <c r="AB305" s="22">
        <v>295</v>
      </c>
      <c r="AC305" s="22">
        <v>0.31353799999999998</v>
      </c>
      <c r="AD305">
        <f t="shared" si="52"/>
        <v>24.313399999999998</v>
      </c>
      <c r="AE305">
        <f t="shared" si="53"/>
        <v>7.6461752855999991</v>
      </c>
      <c r="AF305" s="9"/>
      <c r="AG305" s="22">
        <v>1.3855</v>
      </c>
      <c r="AH305" s="22">
        <v>404.87400000000002</v>
      </c>
      <c r="AI305" s="22">
        <v>-2.30408E-2</v>
      </c>
      <c r="AJ305" s="22">
        <v>295</v>
      </c>
      <c r="AK305" s="22">
        <v>1.38611</v>
      </c>
      <c r="AL305">
        <f t="shared" si="54"/>
        <v>23.040800000000001</v>
      </c>
      <c r="AM305">
        <f t="shared" si="55"/>
        <v>31.9230284</v>
      </c>
      <c r="AP305" s="9"/>
      <c r="AQ305" s="22">
        <v>0.31448399999999999</v>
      </c>
      <c r="AR305" s="22">
        <v>493.26499999999999</v>
      </c>
      <c r="AS305" s="22">
        <v>-2.4194299999999998E-2</v>
      </c>
      <c r="AT305" s="22">
        <v>295</v>
      </c>
      <c r="AU305" s="22">
        <v>0.31369000000000002</v>
      </c>
      <c r="AV305">
        <f t="shared" si="56"/>
        <v>24.194299999999998</v>
      </c>
      <c r="AW305">
        <f t="shared" si="57"/>
        <v>7.6087202411999995</v>
      </c>
      <c r="AX305" s="9"/>
      <c r="AY305" s="22">
        <v>1.3855</v>
      </c>
      <c r="AZ305" s="22">
        <v>604.14400000000001</v>
      </c>
      <c r="BA305" s="22">
        <v>-2.3025500000000001E-2</v>
      </c>
      <c r="BB305" s="22">
        <v>295</v>
      </c>
      <c r="BC305" s="22">
        <v>1.3855</v>
      </c>
      <c r="BD305">
        <f t="shared" si="58"/>
        <v>23.025500000000001</v>
      </c>
      <c r="BE305">
        <f t="shared" si="59"/>
        <v>31.90183025</v>
      </c>
    </row>
    <row r="306" spans="6:57">
      <c r="F306" s="9"/>
      <c r="G306" s="22">
        <v>0.309448</v>
      </c>
      <c r="H306" s="22">
        <v>85.816500000000005</v>
      </c>
      <c r="I306" s="22">
        <v>-2.4823000000000001E-2</v>
      </c>
      <c r="J306" s="22">
        <v>296</v>
      </c>
      <c r="K306" s="22">
        <v>0.309174</v>
      </c>
      <c r="L306">
        <f t="shared" si="48"/>
        <v>24.823</v>
      </c>
      <c r="M306">
        <f t="shared" si="49"/>
        <v>7.6814277039999999</v>
      </c>
      <c r="N306" s="9"/>
      <c r="O306" s="22">
        <v>1.39053</v>
      </c>
      <c r="P306" s="22">
        <v>175.13399999999999</v>
      </c>
      <c r="Q306" s="22">
        <v>-2.3288E-2</v>
      </c>
      <c r="R306" s="22">
        <v>296</v>
      </c>
      <c r="S306" s="22">
        <v>1.39069</v>
      </c>
      <c r="T306">
        <f t="shared" si="50"/>
        <v>23.288</v>
      </c>
      <c r="U306">
        <f t="shared" si="51"/>
        <v>32.382662639999999</v>
      </c>
      <c r="X306" s="9"/>
      <c r="Y306" s="22">
        <v>0.309448</v>
      </c>
      <c r="Z306" s="22">
        <v>299.096</v>
      </c>
      <c r="AA306" s="22">
        <v>-2.43225E-2</v>
      </c>
      <c r="AB306" s="22">
        <v>296</v>
      </c>
      <c r="AC306" s="22">
        <v>0.30889899999999998</v>
      </c>
      <c r="AD306">
        <f t="shared" si="52"/>
        <v>24.322500000000002</v>
      </c>
      <c r="AE306">
        <f t="shared" si="53"/>
        <v>7.5265489800000003</v>
      </c>
      <c r="AF306" s="9"/>
      <c r="AG306" s="22">
        <v>1.39053</v>
      </c>
      <c r="AH306" s="22">
        <v>404.97500000000002</v>
      </c>
      <c r="AI306" s="22">
        <v>-2.30408E-2</v>
      </c>
      <c r="AJ306" s="22">
        <v>296</v>
      </c>
      <c r="AK306" s="22">
        <v>1.39008</v>
      </c>
      <c r="AL306">
        <f t="shared" si="54"/>
        <v>23.040800000000001</v>
      </c>
      <c r="AM306">
        <f t="shared" si="55"/>
        <v>32.038923623999999</v>
      </c>
      <c r="AP306" s="9"/>
      <c r="AQ306" s="22">
        <v>0.309448</v>
      </c>
      <c r="AR306" s="22">
        <v>493.36500000000001</v>
      </c>
      <c r="AS306" s="22">
        <v>-2.42004E-2</v>
      </c>
      <c r="AT306" s="22">
        <v>296</v>
      </c>
      <c r="AU306" s="22">
        <v>0.30889899999999998</v>
      </c>
      <c r="AV306">
        <f t="shared" si="56"/>
        <v>24.200400000000002</v>
      </c>
      <c r="AW306">
        <f t="shared" si="57"/>
        <v>7.4887653792000002</v>
      </c>
      <c r="AX306" s="9"/>
      <c r="AY306" s="22">
        <v>1.39053</v>
      </c>
      <c r="AZ306" s="22">
        <v>604.24400000000003</v>
      </c>
      <c r="BA306" s="22">
        <v>-2.3016399999999999E-2</v>
      </c>
      <c r="BB306" s="22">
        <v>296</v>
      </c>
      <c r="BC306" s="22">
        <v>1.3903799999999999</v>
      </c>
      <c r="BD306">
        <f t="shared" si="58"/>
        <v>23.016400000000001</v>
      </c>
      <c r="BE306">
        <f t="shared" si="59"/>
        <v>32.004994692000004</v>
      </c>
    </row>
    <row r="307" spans="6:57">
      <c r="F307" s="9"/>
      <c r="G307" s="22">
        <v>0.30441299999999999</v>
      </c>
      <c r="H307" s="22">
        <v>85.917199999999994</v>
      </c>
      <c r="I307" s="22">
        <v>-2.4832199999999999E-2</v>
      </c>
      <c r="J307" s="22">
        <v>297</v>
      </c>
      <c r="K307" s="22">
        <v>0.30441299999999999</v>
      </c>
      <c r="L307">
        <f t="shared" si="48"/>
        <v>24.8322</v>
      </c>
      <c r="M307">
        <f t="shared" si="49"/>
        <v>7.5592444986</v>
      </c>
      <c r="N307" s="9"/>
      <c r="O307" s="22">
        <v>1.39557</v>
      </c>
      <c r="P307" s="22">
        <v>175.23500000000001</v>
      </c>
      <c r="Q307" s="22">
        <v>-2.3281900000000001E-2</v>
      </c>
      <c r="R307" s="22">
        <v>297</v>
      </c>
      <c r="S307" s="22">
        <v>1.3946499999999999</v>
      </c>
      <c r="T307">
        <f t="shared" si="50"/>
        <v>23.2819</v>
      </c>
      <c r="U307">
        <f t="shared" si="51"/>
        <v>32.491521183000003</v>
      </c>
      <c r="X307" s="9"/>
      <c r="Y307" s="22">
        <v>0.30441299999999999</v>
      </c>
      <c r="Z307" s="22">
        <v>299.197</v>
      </c>
      <c r="AA307" s="22">
        <v>-2.4334700000000001E-2</v>
      </c>
      <c r="AB307" s="22">
        <v>297</v>
      </c>
      <c r="AC307" s="22">
        <v>0.30377199999999999</v>
      </c>
      <c r="AD307">
        <f t="shared" si="52"/>
        <v>24.334700000000002</v>
      </c>
      <c r="AE307">
        <f t="shared" si="53"/>
        <v>7.4077990311000006</v>
      </c>
      <c r="AF307" s="9"/>
      <c r="AG307" s="22">
        <v>1.39557</v>
      </c>
      <c r="AH307" s="22">
        <v>405.07600000000002</v>
      </c>
      <c r="AI307" s="22">
        <v>-2.3031599999999999E-2</v>
      </c>
      <c r="AJ307" s="22">
        <v>297</v>
      </c>
      <c r="AK307" s="22">
        <v>1.39435</v>
      </c>
      <c r="AL307">
        <f t="shared" si="54"/>
        <v>23.031600000000001</v>
      </c>
      <c r="AM307">
        <f t="shared" si="55"/>
        <v>32.142210012</v>
      </c>
      <c r="AP307" s="9"/>
      <c r="AQ307" s="22">
        <v>0.30441299999999999</v>
      </c>
      <c r="AR307" s="22">
        <v>493.46600000000001</v>
      </c>
      <c r="AS307" s="22">
        <v>-2.4209600000000001E-2</v>
      </c>
      <c r="AT307" s="22">
        <v>297</v>
      </c>
      <c r="AU307" s="22">
        <v>0.30368000000000001</v>
      </c>
      <c r="AV307">
        <f t="shared" si="56"/>
        <v>24.209600000000002</v>
      </c>
      <c r="AW307">
        <f t="shared" si="57"/>
        <v>7.3697169648000003</v>
      </c>
      <c r="AX307" s="9"/>
      <c r="AY307" s="22">
        <v>1.39557</v>
      </c>
      <c r="AZ307" s="22">
        <v>604.34500000000003</v>
      </c>
      <c r="BA307" s="22">
        <v>-2.3010300000000001E-2</v>
      </c>
      <c r="BB307" s="22">
        <v>297</v>
      </c>
      <c r="BC307" s="22">
        <v>1.39496</v>
      </c>
      <c r="BD307">
        <f t="shared" si="58"/>
        <v>23.010300000000001</v>
      </c>
      <c r="BE307">
        <f t="shared" si="59"/>
        <v>32.112484371000001</v>
      </c>
    </row>
    <row r="308" spans="6:57">
      <c r="F308" s="9"/>
      <c r="G308" s="22">
        <v>0.299377</v>
      </c>
      <c r="H308" s="22">
        <v>86.017899999999997</v>
      </c>
      <c r="I308" s="22">
        <v>-2.4844399999999999E-2</v>
      </c>
      <c r="J308" s="22">
        <v>298</v>
      </c>
      <c r="K308" s="22">
        <v>0.29858400000000002</v>
      </c>
      <c r="L308">
        <f t="shared" si="48"/>
        <v>24.8444</v>
      </c>
      <c r="M308">
        <f t="shared" si="49"/>
        <v>7.4378419388000001</v>
      </c>
      <c r="N308" s="9"/>
      <c r="O308" s="22">
        <v>1.4006000000000001</v>
      </c>
      <c r="P308" s="22">
        <v>175.33500000000001</v>
      </c>
      <c r="Q308" s="22">
        <v>-2.3278799999999999E-2</v>
      </c>
      <c r="R308" s="22">
        <v>298</v>
      </c>
      <c r="S308" s="22">
        <v>1.39954</v>
      </c>
      <c r="T308">
        <f t="shared" si="50"/>
        <v>23.2788</v>
      </c>
      <c r="U308">
        <f t="shared" si="51"/>
        <v>32.604287280000001</v>
      </c>
      <c r="X308" s="9"/>
      <c r="Y308" s="22">
        <v>0.299377</v>
      </c>
      <c r="Z308" s="22">
        <v>299.298</v>
      </c>
      <c r="AA308" s="22">
        <v>-2.43378E-2</v>
      </c>
      <c r="AB308" s="22">
        <v>298</v>
      </c>
      <c r="AC308" s="22">
        <v>0.29885899999999999</v>
      </c>
      <c r="AD308">
        <f t="shared" si="52"/>
        <v>24.337800000000001</v>
      </c>
      <c r="AE308">
        <f t="shared" si="53"/>
        <v>7.2861775506000006</v>
      </c>
      <c r="AF308" s="9"/>
      <c r="AG308" s="22">
        <v>1.4006000000000001</v>
      </c>
      <c r="AH308" s="22">
        <v>405.17599999999999</v>
      </c>
      <c r="AI308" s="22">
        <v>-2.30286E-2</v>
      </c>
      <c r="AJ308" s="22">
        <v>298</v>
      </c>
      <c r="AK308" s="22">
        <v>1.40015</v>
      </c>
      <c r="AL308">
        <f t="shared" si="54"/>
        <v>23.028600000000001</v>
      </c>
      <c r="AM308">
        <f t="shared" si="55"/>
        <v>32.253857160000003</v>
      </c>
      <c r="AP308" s="9"/>
      <c r="AQ308" s="22">
        <v>0.299377</v>
      </c>
      <c r="AR308" s="22">
        <v>493.56700000000001</v>
      </c>
      <c r="AS308" s="22">
        <v>-2.42157E-2</v>
      </c>
      <c r="AT308" s="22">
        <v>298</v>
      </c>
      <c r="AU308" s="22">
        <v>0.29864499999999999</v>
      </c>
      <c r="AV308">
        <f t="shared" si="56"/>
        <v>24.215699999999998</v>
      </c>
      <c r="AW308">
        <f t="shared" si="57"/>
        <v>7.2496236188999994</v>
      </c>
      <c r="AX308" s="9"/>
      <c r="AY308" s="22">
        <v>1.4006000000000001</v>
      </c>
      <c r="AZ308" s="22">
        <v>604.44600000000003</v>
      </c>
      <c r="BA308" s="22">
        <v>-2.2998000000000001E-2</v>
      </c>
      <c r="BB308" s="22">
        <v>298</v>
      </c>
      <c r="BC308" s="22">
        <v>1.39984</v>
      </c>
      <c r="BD308">
        <f t="shared" si="58"/>
        <v>22.998000000000001</v>
      </c>
      <c r="BE308">
        <f t="shared" si="59"/>
        <v>32.210998800000006</v>
      </c>
    </row>
    <row r="309" spans="6:57">
      <c r="F309" s="9"/>
      <c r="G309" s="22">
        <v>0.29434199999999999</v>
      </c>
      <c r="H309" s="22">
        <v>86.118600000000001</v>
      </c>
      <c r="I309" s="22">
        <v>-2.4844399999999999E-2</v>
      </c>
      <c r="J309" s="22">
        <v>299</v>
      </c>
      <c r="K309" s="22">
        <v>0.29360999999999998</v>
      </c>
      <c r="L309">
        <f t="shared" si="48"/>
        <v>24.8444</v>
      </c>
      <c r="M309">
        <f t="shared" si="49"/>
        <v>7.3127503848000002</v>
      </c>
      <c r="N309" s="9"/>
      <c r="O309" s="22">
        <v>1.40564</v>
      </c>
      <c r="P309" s="22">
        <v>175.43600000000001</v>
      </c>
      <c r="Q309" s="22">
        <v>-2.3266599999999998E-2</v>
      </c>
      <c r="R309" s="22">
        <v>299</v>
      </c>
      <c r="S309" s="22">
        <v>1.40533</v>
      </c>
      <c r="T309">
        <f t="shared" si="50"/>
        <v>23.266599999999997</v>
      </c>
      <c r="U309">
        <f t="shared" si="51"/>
        <v>32.704463623999999</v>
      </c>
      <c r="X309" s="9"/>
      <c r="Y309" s="22">
        <v>0.29434199999999999</v>
      </c>
      <c r="Z309" s="22">
        <v>299.39800000000002</v>
      </c>
      <c r="AA309" s="22">
        <v>-2.4340799999999999E-2</v>
      </c>
      <c r="AB309" s="22">
        <v>299</v>
      </c>
      <c r="AC309" s="22">
        <v>0.29403699999999999</v>
      </c>
      <c r="AD309">
        <f t="shared" si="52"/>
        <v>24.340799999999998</v>
      </c>
      <c r="AE309">
        <f t="shared" si="53"/>
        <v>7.1645197535999996</v>
      </c>
      <c r="AF309" s="9"/>
      <c r="AG309" s="22">
        <v>1.40564</v>
      </c>
      <c r="AH309" s="22">
        <v>405.27699999999999</v>
      </c>
      <c r="AI309" s="22">
        <v>-2.3019399999999999E-2</v>
      </c>
      <c r="AJ309" s="22">
        <v>299</v>
      </c>
      <c r="AK309" s="22">
        <v>1.40472</v>
      </c>
      <c r="AL309">
        <f t="shared" si="54"/>
        <v>23.019399999999997</v>
      </c>
      <c r="AM309">
        <f t="shared" si="55"/>
        <v>32.356989415999998</v>
      </c>
      <c r="AP309" s="9"/>
      <c r="AQ309" s="22">
        <v>0.29434199999999999</v>
      </c>
      <c r="AR309" s="22">
        <v>493.66699999999997</v>
      </c>
      <c r="AS309" s="22">
        <v>-2.4261499999999998E-2</v>
      </c>
      <c r="AT309" s="22">
        <v>299</v>
      </c>
      <c r="AU309" s="22">
        <v>0.293823</v>
      </c>
      <c r="AV309">
        <f t="shared" si="56"/>
        <v>24.261499999999998</v>
      </c>
      <c r="AW309">
        <f t="shared" si="57"/>
        <v>7.1411784329999994</v>
      </c>
      <c r="AX309" s="9"/>
      <c r="AY309" s="22">
        <v>1.40564</v>
      </c>
      <c r="AZ309" s="22">
        <v>604.54600000000005</v>
      </c>
      <c r="BA309" s="22">
        <v>-2.2985800000000001E-2</v>
      </c>
      <c r="BB309" s="22">
        <v>299</v>
      </c>
      <c r="BC309" s="22">
        <v>1.40472</v>
      </c>
      <c r="BD309">
        <f t="shared" si="58"/>
        <v>22.985800000000001</v>
      </c>
      <c r="BE309">
        <f t="shared" si="59"/>
        <v>32.309759912000004</v>
      </c>
    </row>
    <row r="310" spans="6:57">
      <c r="F310" s="9"/>
      <c r="G310" s="22">
        <v>0.28930699999999998</v>
      </c>
      <c r="H310" s="22">
        <v>86.219300000000004</v>
      </c>
      <c r="I310" s="22">
        <v>-2.4847399999999999E-2</v>
      </c>
      <c r="J310" s="22">
        <v>300</v>
      </c>
      <c r="K310" s="22">
        <v>0.28881800000000002</v>
      </c>
      <c r="L310">
        <f t="shared" si="48"/>
        <v>24.8474</v>
      </c>
      <c r="M310">
        <f t="shared" si="49"/>
        <v>7.1885267517999996</v>
      </c>
      <c r="N310" s="9"/>
      <c r="O310" s="22">
        <v>1.4106799999999999</v>
      </c>
      <c r="P310" s="22">
        <v>175.53700000000001</v>
      </c>
      <c r="Q310" s="22">
        <v>-2.32727E-2</v>
      </c>
      <c r="R310" s="22">
        <v>300</v>
      </c>
      <c r="S310" s="22">
        <v>1.41022</v>
      </c>
      <c r="T310">
        <f t="shared" si="50"/>
        <v>23.2727</v>
      </c>
      <c r="U310">
        <f t="shared" si="51"/>
        <v>32.830332435999999</v>
      </c>
      <c r="X310" s="9"/>
      <c r="Y310" s="22">
        <v>0.28930699999999998</v>
      </c>
      <c r="Z310" s="22">
        <v>299.49900000000002</v>
      </c>
      <c r="AA310" s="22">
        <v>-2.435E-2</v>
      </c>
      <c r="AB310" s="22">
        <v>300</v>
      </c>
      <c r="AC310" s="22">
        <v>0.28884900000000002</v>
      </c>
      <c r="AD310">
        <f t="shared" si="52"/>
        <v>24.35</v>
      </c>
      <c r="AE310">
        <f t="shared" si="53"/>
        <v>7.0446254499999998</v>
      </c>
      <c r="AF310" s="9"/>
      <c r="AG310" s="22">
        <v>1.4106799999999999</v>
      </c>
      <c r="AH310" s="22">
        <v>405.37799999999999</v>
      </c>
      <c r="AI310" s="22">
        <v>-2.3016399999999999E-2</v>
      </c>
      <c r="AJ310" s="22">
        <v>300</v>
      </c>
      <c r="AK310" s="22">
        <v>1.41022</v>
      </c>
      <c r="AL310">
        <f t="shared" si="54"/>
        <v>23.016400000000001</v>
      </c>
      <c r="AM310">
        <f t="shared" si="55"/>
        <v>32.468775151999999</v>
      </c>
      <c r="AP310" s="9"/>
      <c r="AQ310" s="22">
        <v>0.28930699999999998</v>
      </c>
      <c r="AR310" s="22">
        <v>493.76799999999997</v>
      </c>
      <c r="AS310" s="22">
        <v>-2.4258399999999999E-2</v>
      </c>
      <c r="AT310" s="22">
        <v>300</v>
      </c>
      <c r="AU310" s="22">
        <v>0.28875699999999999</v>
      </c>
      <c r="AV310">
        <f t="shared" si="56"/>
        <v>24.258399999999998</v>
      </c>
      <c r="AW310">
        <f t="shared" si="57"/>
        <v>7.0181249287999989</v>
      </c>
      <c r="AX310" s="9"/>
      <c r="AY310" s="22">
        <v>1.4106799999999999</v>
      </c>
      <c r="AZ310" s="22">
        <v>604.64700000000005</v>
      </c>
      <c r="BA310" s="22">
        <v>-2.2979699999999999E-2</v>
      </c>
      <c r="BB310" s="22">
        <v>300</v>
      </c>
      <c r="BC310" s="22">
        <v>1.40991</v>
      </c>
      <c r="BD310">
        <f t="shared" si="58"/>
        <v>22.979699999999998</v>
      </c>
      <c r="BE310">
        <f t="shared" si="59"/>
        <v>32.417003195999996</v>
      </c>
    </row>
    <row r="311" spans="6:57">
      <c r="F311" s="9"/>
      <c r="G311" s="22">
        <v>0.284271</v>
      </c>
      <c r="H311" s="22">
        <v>86.32</v>
      </c>
      <c r="I311" s="22">
        <v>-2.4862700000000001E-2</v>
      </c>
      <c r="J311" s="22">
        <v>301</v>
      </c>
      <c r="K311" s="22">
        <v>0.283356</v>
      </c>
      <c r="L311">
        <f t="shared" si="48"/>
        <v>24.8627</v>
      </c>
      <c r="M311">
        <f t="shared" si="49"/>
        <v>7.0677445917000004</v>
      </c>
      <c r="N311" s="9"/>
      <c r="O311" s="22">
        <v>1.41571</v>
      </c>
      <c r="P311" s="22">
        <v>175.637</v>
      </c>
      <c r="Q311" s="22">
        <v>-2.32483E-2</v>
      </c>
      <c r="R311" s="22">
        <v>301</v>
      </c>
      <c r="S311" s="22">
        <v>1.41571</v>
      </c>
      <c r="T311">
        <f t="shared" si="50"/>
        <v>23.2483</v>
      </c>
      <c r="U311">
        <f t="shared" si="51"/>
        <v>32.912850793000004</v>
      </c>
      <c r="X311" s="9"/>
      <c r="Y311" s="22">
        <v>0.284271</v>
      </c>
      <c r="Z311" s="22">
        <v>299.60000000000002</v>
      </c>
      <c r="AA311" s="22">
        <v>-2.4353E-2</v>
      </c>
      <c r="AB311" s="22">
        <v>301</v>
      </c>
      <c r="AC311" s="22">
        <v>0.28442400000000001</v>
      </c>
      <c r="AD311">
        <f t="shared" si="52"/>
        <v>24.352999999999998</v>
      </c>
      <c r="AE311">
        <f t="shared" si="53"/>
        <v>6.9228516629999994</v>
      </c>
      <c r="AF311" s="9"/>
      <c r="AG311" s="22">
        <v>1.41571</v>
      </c>
      <c r="AH311" s="22">
        <v>405.47800000000001</v>
      </c>
      <c r="AI311" s="22">
        <v>-2.3007199999999998E-2</v>
      </c>
      <c r="AJ311" s="22">
        <v>301</v>
      </c>
      <c r="AK311" s="22">
        <v>1.41571</v>
      </c>
      <c r="AL311">
        <f t="shared" si="54"/>
        <v>23.007199999999997</v>
      </c>
      <c r="AM311">
        <f t="shared" si="55"/>
        <v>32.571523111999994</v>
      </c>
      <c r="AP311" s="9"/>
      <c r="AQ311" s="22">
        <v>0.284271</v>
      </c>
      <c r="AR311" s="22">
        <v>493.86900000000003</v>
      </c>
      <c r="AS311" s="22">
        <v>-2.42676E-2</v>
      </c>
      <c r="AT311" s="22">
        <v>301</v>
      </c>
      <c r="AU311" s="22">
        <v>0.28362999999999999</v>
      </c>
      <c r="AV311">
        <f t="shared" si="56"/>
        <v>24.267600000000002</v>
      </c>
      <c r="AW311">
        <f t="shared" si="57"/>
        <v>6.8985749196000006</v>
      </c>
      <c r="AX311" s="9"/>
      <c r="AY311" s="22">
        <v>1.41571</v>
      </c>
      <c r="AZ311" s="22">
        <v>604.74800000000005</v>
      </c>
      <c r="BA311" s="22">
        <v>-2.29736E-2</v>
      </c>
      <c r="BB311" s="22">
        <v>301</v>
      </c>
      <c r="BC311" s="22">
        <v>1.4151</v>
      </c>
      <c r="BD311">
        <f t="shared" si="58"/>
        <v>22.973600000000001</v>
      </c>
      <c r="BE311">
        <f t="shared" si="59"/>
        <v>32.523955256000001</v>
      </c>
    </row>
    <row r="312" spans="6:57">
      <c r="F312" s="9"/>
      <c r="G312" s="22">
        <v>0.27923599999999998</v>
      </c>
      <c r="H312" s="22">
        <v>86.420699999999997</v>
      </c>
      <c r="I312" s="22">
        <v>-2.4859599999999999E-2</v>
      </c>
      <c r="J312" s="22">
        <v>302</v>
      </c>
      <c r="K312" s="22">
        <v>0.279144</v>
      </c>
      <c r="L312">
        <f t="shared" si="48"/>
        <v>24.8596</v>
      </c>
      <c r="M312">
        <f t="shared" si="49"/>
        <v>6.9416952655999999</v>
      </c>
      <c r="N312" s="9"/>
      <c r="O312" s="22">
        <v>1.42075</v>
      </c>
      <c r="P312" s="22">
        <v>175.738</v>
      </c>
      <c r="Q312" s="22">
        <v>-2.3251299999999999E-2</v>
      </c>
      <c r="R312" s="22">
        <v>302</v>
      </c>
      <c r="S312" s="22">
        <v>1.42059</v>
      </c>
      <c r="T312">
        <f t="shared" si="50"/>
        <v>23.251300000000001</v>
      </c>
      <c r="U312">
        <f t="shared" si="51"/>
        <v>33.034284475</v>
      </c>
      <c r="X312" s="9"/>
      <c r="Y312" s="22">
        <v>0.27923599999999998</v>
      </c>
      <c r="Z312" s="22">
        <v>299.7</v>
      </c>
      <c r="AA312" s="22">
        <v>-2.4368299999999999E-2</v>
      </c>
      <c r="AB312" s="22">
        <v>302</v>
      </c>
      <c r="AC312" s="22">
        <v>0.27908300000000003</v>
      </c>
      <c r="AD312">
        <f t="shared" si="52"/>
        <v>24.368299999999998</v>
      </c>
      <c r="AE312">
        <f t="shared" si="53"/>
        <v>6.8045066187999987</v>
      </c>
      <c r="AF312" s="9"/>
      <c r="AG312" s="22">
        <v>1.42075</v>
      </c>
      <c r="AH312" s="22">
        <v>405.57900000000001</v>
      </c>
      <c r="AI312" s="22">
        <v>-2.2991899999999999E-2</v>
      </c>
      <c r="AJ312" s="22">
        <v>302</v>
      </c>
      <c r="AK312" s="22">
        <v>1.4202900000000001</v>
      </c>
      <c r="AL312">
        <f t="shared" si="54"/>
        <v>22.991899999999998</v>
      </c>
      <c r="AM312">
        <f t="shared" si="55"/>
        <v>32.665741924999999</v>
      </c>
      <c r="AP312" s="9"/>
      <c r="AQ312" s="22">
        <v>0.27923599999999998</v>
      </c>
      <c r="AR312" s="22">
        <v>493.97</v>
      </c>
      <c r="AS312" s="22">
        <v>-2.42706E-2</v>
      </c>
      <c r="AT312" s="22">
        <v>302</v>
      </c>
      <c r="AU312" s="22">
        <v>0.27877800000000003</v>
      </c>
      <c r="AV312">
        <f t="shared" si="56"/>
        <v>24.270599999999998</v>
      </c>
      <c r="AW312">
        <f t="shared" si="57"/>
        <v>6.7772252615999991</v>
      </c>
      <c r="AX312" s="9"/>
      <c r="AY312" s="22">
        <v>1.42075</v>
      </c>
      <c r="AZ312" s="22">
        <v>604.84799999999996</v>
      </c>
      <c r="BA312" s="22">
        <v>-2.2964499999999999E-2</v>
      </c>
      <c r="BB312" s="22">
        <v>302</v>
      </c>
      <c r="BC312" s="22">
        <v>1.4202900000000001</v>
      </c>
      <c r="BD312">
        <f t="shared" si="58"/>
        <v>22.964499999999997</v>
      </c>
      <c r="BE312">
        <f t="shared" si="59"/>
        <v>32.626813374999998</v>
      </c>
    </row>
    <row r="313" spans="6:57">
      <c r="F313" s="9"/>
      <c r="G313" s="22">
        <v>0.2742</v>
      </c>
      <c r="H313" s="22">
        <v>86.5214</v>
      </c>
      <c r="I313" s="22">
        <v>-2.4874899999999998E-2</v>
      </c>
      <c r="J313" s="22">
        <v>303</v>
      </c>
      <c r="K313" s="22">
        <v>0.27300999999999997</v>
      </c>
      <c r="L313">
        <f t="shared" si="48"/>
        <v>24.874899999999997</v>
      </c>
      <c r="M313">
        <f t="shared" si="49"/>
        <v>6.8206975799999991</v>
      </c>
      <c r="N313" s="9"/>
      <c r="O313" s="22">
        <v>1.42578</v>
      </c>
      <c r="P313" s="22">
        <v>175.839</v>
      </c>
      <c r="Q313" s="22">
        <v>-2.3236099999999999E-2</v>
      </c>
      <c r="R313" s="22">
        <v>303</v>
      </c>
      <c r="S313" s="22">
        <v>1.4254800000000001</v>
      </c>
      <c r="T313">
        <f t="shared" si="50"/>
        <v>23.2361</v>
      </c>
      <c r="U313">
        <f t="shared" si="51"/>
        <v>33.129566658000002</v>
      </c>
      <c r="X313" s="9"/>
      <c r="Y313" s="22">
        <v>0.2742</v>
      </c>
      <c r="Z313" s="22">
        <v>299.80099999999999</v>
      </c>
      <c r="AA313" s="22">
        <v>-2.4414100000000001E-2</v>
      </c>
      <c r="AB313" s="22">
        <v>303</v>
      </c>
      <c r="AC313" s="22">
        <v>0.27371200000000001</v>
      </c>
      <c r="AD313">
        <f t="shared" si="52"/>
        <v>24.414100000000001</v>
      </c>
      <c r="AE313">
        <f t="shared" si="53"/>
        <v>6.6943462199999999</v>
      </c>
      <c r="AF313" s="9"/>
      <c r="AG313" s="22">
        <v>1.42578</v>
      </c>
      <c r="AH313" s="22">
        <v>405.68</v>
      </c>
      <c r="AI313" s="22">
        <v>-2.2985800000000001E-2</v>
      </c>
      <c r="AJ313" s="22">
        <v>303</v>
      </c>
      <c r="AK313" s="22">
        <v>1.4254800000000001</v>
      </c>
      <c r="AL313">
        <f t="shared" si="54"/>
        <v>22.985800000000001</v>
      </c>
      <c r="AM313">
        <f t="shared" si="55"/>
        <v>32.772693924000002</v>
      </c>
      <c r="AP313" s="9"/>
      <c r="AQ313" s="22">
        <v>0.2742</v>
      </c>
      <c r="AR313" s="22">
        <v>494.07</v>
      </c>
      <c r="AS313" s="22">
        <v>-2.4273699999999999E-2</v>
      </c>
      <c r="AT313" s="22">
        <v>303</v>
      </c>
      <c r="AU313" s="22">
        <v>0.27346799999999999</v>
      </c>
      <c r="AV313">
        <f t="shared" si="56"/>
        <v>24.273699999999998</v>
      </c>
      <c r="AW313">
        <f t="shared" si="57"/>
        <v>6.6558485399999991</v>
      </c>
      <c r="AX313" s="9"/>
      <c r="AY313" s="22">
        <v>1.42578</v>
      </c>
      <c r="AZ313" s="22">
        <v>604.94899999999996</v>
      </c>
      <c r="BA313" s="22">
        <v>-2.29614E-2</v>
      </c>
      <c r="BB313" s="22">
        <v>303</v>
      </c>
      <c r="BC313" s="22">
        <v>1.4248700000000001</v>
      </c>
      <c r="BD313">
        <f t="shared" si="58"/>
        <v>22.961400000000001</v>
      </c>
      <c r="BE313">
        <f t="shared" si="59"/>
        <v>32.737904892000003</v>
      </c>
    </row>
    <row r="314" spans="6:57">
      <c r="F314" s="9"/>
      <c r="G314" s="22">
        <v>0.26916499999999999</v>
      </c>
      <c r="H314" s="22">
        <v>86.622100000000003</v>
      </c>
      <c r="I314" s="22">
        <v>-2.4877900000000001E-2</v>
      </c>
      <c r="J314" s="22">
        <v>304</v>
      </c>
      <c r="K314" s="22">
        <v>0.26852399999999998</v>
      </c>
      <c r="L314">
        <f t="shared" si="48"/>
        <v>24.8779</v>
      </c>
      <c r="M314">
        <f t="shared" si="49"/>
        <v>6.6962599534999994</v>
      </c>
      <c r="N314" s="9"/>
      <c r="O314" s="22">
        <v>1.43082</v>
      </c>
      <c r="P314" s="22">
        <v>175.94</v>
      </c>
      <c r="Q314" s="22">
        <v>-2.3230000000000001E-2</v>
      </c>
      <c r="R314" s="22">
        <v>304</v>
      </c>
      <c r="S314" s="22">
        <v>1.43005</v>
      </c>
      <c r="T314">
        <f t="shared" si="50"/>
        <v>23.23</v>
      </c>
      <c r="U314">
        <f t="shared" si="51"/>
        <v>33.237948600000003</v>
      </c>
      <c r="X314" s="9"/>
      <c r="Y314" s="22">
        <v>0.26916499999999999</v>
      </c>
      <c r="Z314" s="22">
        <v>299.90199999999999</v>
      </c>
      <c r="AA314" s="22">
        <v>-2.4429300000000001E-2</v>
      </c>
      <c r="AB314" s="22">
        <v>304</v>
      </c>
      <c r="AC314" s="22">
        <v>0.268646</v>
      </c>
      <c r="AD314">
        <f t="shared" si="52"/>
        <v>24.429300000000001</v>
      </c>
      <c r="AE314">
        <f t="shared" si="53"/>
        <v>6.5755125344999996</v>
      </c>
      <c r="AF314" s="9"/>
      <c r="AG314" s="22">
        <v>1.43082</v>
      </c>
      <c r="AH314" s="22">
        <v>405.78100000000001</v>
      </c>
      <c r="AI314" s="22">
        <v>-2.2976699999999999E-2</v>
      </c>
      <c r="AJ314" s="22">
        <v>304</v>
      </c>
      <c r="AK314" s="22">
        <v>1.43005</v>
      </c>
      <c r="AL314">
        <f t="shared" si="54"/>
        <v>22.976699999999997</v>
      </c>
      <c r="AM314">
        <f t="shared" si="55"/>
        <v>32.875521893999995</v>
      </c>
      <c r="AP314" s="9"/>
      <c r="AQ314" s="22">
        <v>0.26916499999999999</v>
      </c>
      <c r="AR314" s="22">
        <v>494.17099999999999</v>
      </c>
      <c r="AS314" s="22">
        <v>-2.4288899999999999E-2</v>
      </c>
      <c r="AT314" s="22">
        <v>304</v>
      </c>
      <c r="AU314" s="22">
        <v>0.26849400000000001</v>
      </c>
      <c r="AV314">
        <f t="shared" si="56"/>
        <v>24.288899999999998</v>
      </c>
      <c r="AW314">
        <f t="shared" si="57"/>
        <v>6.5377217684999991</v>
      </c>
      <c r="AX314" s="9"/>
      <c r="AY314" s="22">
        <v>1.43082</v>
      </c>
      <c r="AZ314" s="22">
        <v>605.04999999999995</v>
      </c>
      <c r="BA314" s="22">
        <v>-2.29584E-2</v>
      </c>
      <c r="BB314" s="22">
        <v>304</v>
      </c>
      <c r="BC314" s="22">
        <v>1.43005</v>
      </c>
      <c r="BD314">
        <f t="shared" si="58"/>
        <v>22.958400000000001</v>
      </c>
      <c r="BE314">
        <f t="shared" si="59"/>
        <v>32.849337888000001</v>
      </c>
    </row>
    <row r="315" spans="6:57">
      <c r="F315" s="9"/>
      <c r="G315" s="22">
        <v>0.26412999999999998</v>
      </c>
      <c r="H315" s="22">
        <v>86.722800000000007</v>
      </c>
      <c r="I315" s="22">
        <v>-2.4893200000000001E-2</v>
      </c>
      <c r="J315" s="22">
        <v>305</v>
      </c>
      <c r="K315" s="22">
        <v>0.26355000000000001</v>
      </c>
      <c r="L315">
        <f t="shared" si="48"/>
        <v>24.8932</v>
      </c>
      <c r="M315">
        <f t="shared" si="49"/>
        <v>6.5750409159999998</v>
      </c>
      <c r="N315" s="9"/>
      <c r="O315" s="22">
        <v>1.4358500000000001</v>
      </c>
      <c r="P315" s="22">
        <v>176.04</v>
      </c>
      <c r="Q315" s="22">
        <v>-2.32178E-2</v>
      </c>
      <c r="R315" s="22">
        <v>305</v>
      </c>
      <c r="S315" s="22">
        <v>1.4355500000000001</v>
      </c>
      <c r="T315">
        <f t="shared" si="50"/>
        <v>23.2178</v>
      </c>
      <c r="U315">
        <f t="shared" si="51"/>
        <v>33.337278130000001</v>
      </c>
      <c r="X315" s="9"/>
      <c r="Y315" s="22">
        <v>0.26412999999999998</v>
      </c>
      <c r="Z315" s="22">
        <v>300.00200000000001</v>
      </c>
      <c r="AA315" s="22">
        <v>-2.4429300000000001E-2</v>
      </c>
      <c r="AB315" s="22">
        <v>305</v>
      </c>
      <c r="AC315" s="22">
        <v>0.26367200000000002</v>
      </c>
      <c r="AD315">
        <f t="shared" si="52"/>
        <v>24.429300000000001</v>
      </c>
      <c r="AE315">
        <f t="shared" si="53"/>
        <v>6.4525110090000002</v>
      </c>
      <c r="AF315" s="9"/>
      <c r="AG315" s="22">
        <v>1.4358500000000001</v>
      </c>
      <c r="AH315" s="22">
        <v>405.88099999999997</v>
      </c>
      <c r="AI315" s="22">
        <v>-2.2970600000000001E-2</v>
      </c>
      <c r="AJ315" s="22">
        <v>305</v>
      </c>
      <c r="AK315" s="22">
        <v>1.4352400000000001</v>
      </c>
      <c r="AL315">
        <f t="shared" si="54"/>
        <v>22.970600000000001</v>
      </c>
      <c r="AM315">
        <f t="shared" si="55"/>
        <v>32.982336010000004</v>
      </c>
      <c r="AP315" s="9"/>
      <c r="AQ315" s="22">
        <v>0.26412999999999998</v>
      </c>
      <c r="AR315" s="22">
        <v>494.27199999999999</v>
      </c>
      <c r="AS315" s="22">
        <v>-2.4292000000000001E-2</v>
      </c>
      <c r="AT315" s="22">
        <v>305</v>
      </c>
      <c r="AU315" s="22">
        <v>0.26385500000000001</v>
      </c>
      <c r="AV315">
        <f t="shared" si="56"/>
        <v>24.292000000000002</v>
      </c>
      <c r="AW315">
        <f t="shared" si="57"/>
        <v>6.4162459599999995</v>
      </c>
      <c r="AX315" s="9"/>
      <c r="AY315" s="22">
        <v>1.4358500000000001</v>
      </c>
      <c r="AZ315" s="22">
        <v>605.15099999999995</v>
      </c>
      <c r="BA315" s="22">
        <v>-2.2952299999999998E-2</v>
      </c>
      <c r="BB315" s="22">
        <v>305</v>
      </c>
      <c r="BC315" s="22">
        <v>1.4349400000000001</v>
      </c>
      <c r="BD315">
        <f t="shared" si="58"/>
        <v>22.952299999999997</v>
      </c>
      <c r="BE315">
        <f t="shared" si="59"/>
        <v>32.956059955000001</v>
      </c>
    </row>
    <row r="316" spans="6:57">
      <c r="F316" s="9"/>
      <c r="G316" s="22">
        <v>0.25909399999999999</v>
      </c>
      <c r="H316" s="22">
        <v>86.823499999999996</v>
      </c>
      <c r="I316" s="22">
        <v>-2.4893200000000001E-2</v>
      </c>
      <c r="J316" s="22">
        <v>306</v>
      </c>
      <c r="K316" s="22">
        <v>0.25897199999999998</v>
      </c>
      <c r="L316">
        <f t="shared" si="48"/>
        <v>24.8932</v>
      </c>
      <c r="M316">
        <f t="shared" si="49"/>
        <v>6.4496787607999995</v>
      </c>
      <c r="N316" s="9"/>
      <c r="O316" s="22">
        <v>1.44089</v>
      </c>
      <c r="P316" s="22">
        <v>176.14099999999999</v>
      </c>
      <c r="Q316" s="22">
        <v>-2.3211699999999998E-2</v>
      </c>
      <c r="R316" s="22">
        <v>306</v>
      </c>
      <c r="S316" s="22">
        <v>1.4401200000000001</v>
      </c>
      <c r="T316">
        <f t="shared" si="50"/>
        <v>23.211699999999997</v>
      </c>
      <c r="U316">
        <f t="shared" si="51"/>
        <v>33.445506412999997</v>
      </c>
      <c r="X316" s="9"/>
      <c r="Y316" s="22">
        <v>0.25909399999999999</v>
      </c>
      <c r="Z316" s="22">
        <v>300.10300000000001</v>
      </c>
      <c r="AA316" s="22">
        <v>-2.4441500000000001E-2</v>
      </c>
      <c r="AB316" s="22">
        <v>306</v>
      </c>
      <c r="AC316" s="22">
        <v>0.25909399999999999</v>
      </c>
      <c r="AD316">
        <f t="shared" si="52"/>
        <v>24.441500000000001</v>
      </c>
      <c r="AE316">
        <f t="shared" si="53"/>
        <v>6.3326460010000005</v>
      </c>
      <c r="AF316" s="9"/>
      <c r="AG316" s="22">
        <v>1.44089</v>
      </c>
      <c r="AH316" s="22">
        <v>405.98200000000003</v>
      </c>
      <c r="AI316" s="22">
        <v>-2.2964499999999999E-2</v>
      </c>
      <c r="AJ316" s="22">
        <v>306</v>
      </c>
      <c r="AK316" s="22">
        <v>1.4407300000000001</v>
      </c>
      <c r="AL316">
        <f t="shared" si="54"/>
        <v>22.964499999999997</v>
      </c>
      <c r="AM316">
        <f t="shared" si="55"/>
        <v>33.089318404999993</v>
      </c>
      <c r="AP316" s="9"/>
      <c r="AQ316" s="22">
        <v>0.25909399999999999</v>
      </c>
      <c r="AR316" s="22">
        <v>494.37200000000001</v>
      </c>
      <c r="AS316" s="22">
        <v>-2.4292000000000001E-2</v>
      </c>
      <c r="AT316" s="22">
        <v>306</v>
      </c>
      <c r="AU316" s="22">
        <v>0.258575</v>
      </c>
      <c r="AV316">
        <f t="shared" si="56"/>
        <v>24.292000000000002</v>
      </c>
      <c r="AW316">
        <f t="shared" si="57"/>
        <v>6.2939114480000002</v>
      </c>
      <c r="AX316" s="9"/>
      <c r="AY316" s="22">
        <v>1.44089</v>
      </c>
      <c r="AZ316" s="22">
        <v>605.25099999999998</v>
      </c>
      <c r="BA316" s="22">
        <v>-2.2936999999999999E-2</v>
      </c>
      <c r="BB316" s="22">
        <v>306</v>
      </c>
      <c r="BC316" s="22">
        <v>1.4404300000000001</v>
      </c>
      <c r="BD316">
        <f t="shared" si="58"/>
        <v>22.936999999999998</v>
      </c>
      <c r="BE316">
        <f t="shared" si="59"/>
        <v>33.049693929999997</v>
      </c>
    </row>
    <row r="317" spans="6:57">
      <c r="F317" s="9"/>
      <c r="G317" s="22">
        <v>0.25405899999999998</v>
      </c>
      <c r="H317" s="22">
        <v>86.924300000000002</v>
      </c>
      <c r="I317" s="22">
        <v>-2.4893200000000001E-2</v>
      </c>
      <c r="J317" s="22">
        <v>307</v>
      </c>
      <c r="K317" s="22">
        <v>0.25351000000000001</v>
      </c>
      <c r="L317">
        <f t="shared" si="48"/>
        <v>24.8932</v>
      </c>
      <c r="M317">
        <f t="shared" si="49"/>
        <v>6.3243414988</v>
      </c>
      <c r="N317" s="9"/>
      <c r="O317" s="22">
        <v>1.4459200000000001</v>
      </c>
      <c r="P317" s="22">
        <v>176.24199999999999</v>
      </c>
      <c r="Q317" s="22">
        <v>-2.3208599999999999E-2</v>
      </c>
      <c r="R317" s="22">
        <v>307</v>
      </c>
      <c r="S317" s="22">
        <v>1.4453100000000001</v>
      </c>
      <c r="T317">
        <f t="shared" si="50"/>
        <v>23.208600000000001</v>
      </c>
      <c r="U317">
        <f t="shared" si="51"/>
        <v>33.557778912000003</v>
      </c>
      <c r="X317" s="9"/>
      <c r="Y317" s="22">
        <v>0.25405899999999998</v>
      </c>
      <c r="Z317" s="22">
        <v>300.20400000000001</v>
      </c>
      <c r="AA317" s="22">
        <v>-2.44476E-2</v>
      </c>
      <c r="AB317" s="22">
        <v>307</v>
      </c>
      <c r="AC317" s="22">
        <v>0.25323499999999999</v>
      </c>
      <c r="AD317">
        <f t="shared" si="52"/>
        <v>24.447600000000001</v>
      </c>
      <c r="AE317">
        <f t="shared" si="53"/>
        <v>6.2111328083999995</v>
      </c>
      <c r="AF317" s="9"/>
      <c r="AG317" s="22">
        <v>1.4459200000000001</v>
      </c>
      <c r="AH317" s="22">
        <v>406.08300000000003</v>
      </c>
      <c r="AI317" s="22">
        <v>-2.2949199999999999E-2</v>
      </c>
      <c r="AJ317" s="22">
        <v>307</v>
      </c>
      <c r="AK317" s="22">
        <v>1.4450099999999999</v>
      </c>
      <c r="AL317">
        <f t="shared" si="54"/>
        <v>22.949200000000001</v>
      </c>
      <c r="AM317">
        <f t="shared" si="55"/>
        <v>33.182707264000001</v>
      </c>
      <c r="AP317" s="9"/>
      <c r="AQ317" s="22">
        <v>0.25405899999999998</v>
      </c>
      <c r="AR317" s="22">
        <v>494.47300000000001</v>
      </c>
      <c r="AS317" s="22">
        <v>-2.4304200000000001E-2</v>
      </c>
      <c r="AT317" s="22">
        <v>307</v>
      </c>
      <c r="AU317" s="22">
        <v>0.25341799999999998</v>
      </c>
      <c r="AV317">
        <f t="shared" si="56"/>
        <v>24.304200000000002</v>
      </c>
      <c r="AW317">
        <f t="shared" si="57"/>
        <v>6.1747007478000002</v>
      </c>
      <c r="AX317" s="9"/>
      <c r="AY317" s="22">
        <v>1.4459200000000001</v>
      </c>
      <c r="AZ317" s="22">
        <v>605.35199999999998</v>
      </c>
      <c r="BA317" s="22">
        <v>-2.2930900000000001E-2</v>
      </c>
      <c r="BB317" s="22">
        <v>307</v>
      </c>
      <c r="BC317" s="22">
        <v>1.4456199999999999</v>
      </c>
      <c r="BD317">
        <f t="shared" si="58"/>
        <v>22.930900000000001</v>
      </c>
      <c r="BE317">
        <f t="shared" si="59"/>
        <v>33.156246928000002</v>
      </c>
    </row>
    <row r="318" spans="6:57">
      <c r="F318" s="9"/>
      <c r="G318" s="22">
        <v>0.24902299999999999</v>
      </c>
      <c r="H318" s="22">
        <v>87.025000000000006</v>
      </c>
      <c r="I318" s="22">
        <v>-2.4893200000000001E-2</v>
      </c>
      <c r="J318" s="22">
        <v>308</v>
      </c>
      <c r="K318" s="22">
        <v>0.24871799999999999</v>
      </c>
      <c r="L318">
        <f t="shared" si="48"/>
        <v>24.8932</v>
      </c>
      <c r="M318">
        <f t="shared" si="49"/>
        <v>6.1989793435999996</v>
      </c>
      <c r="N318" s="9"/>
      <c r="O318" s="22">
        <v>1.45096</v>
      </c>
      <c r="P318" s="22">
        <v>176.34200000000001</v>
      </c>
      <c r="Q318" s="22">
        <v>-2.3208599999999999E-2</v>
      </c>
      <c r="R318" s="22">
        <v>308</v>
      </c>
      <c r="S318" s="22">
        <v>1.4501999999999999</v>
      </c>
      <c r="T318">
        <f t="shared" si="50"/>
        <v>23.208600000000001</v>
      </c>
      <c r="U318">
        <f t="shared" si="51"/>
        <v>33.674750256000003</v>
      </c>
      <c r="X318" s="9"/>
      <c r="Y318" s="22">
        <v>0.24902299999999999</v>
      </c>
      <c r="Z318" s="22">
        <v>300.30500000000001</v>
      </c>
      <c r="AA318" s="22">
        <v>-2.4450699999999999E-2</v>
      </c>
      <c r="AB318" s="22">
        <v>308</v>
      </c>
      <c r="AC318" s="22">
        <v>0.248444</v>
      </c>
      <c r="AD318">
        <f t="shared" si="52"/>
        <v>24.450699999999998</v>
      </c>
      <c r="AE318">
        <f t="shared" si="53"/>
        <v>6.088786666099999</v>
      </c>
      <c r="AF318" s="9"/>
      <c r="AG318" s="22">
        <v>1.45096</v>
      </c>
      <c r="AH318" s="22">
        <v>406.18299999999999</v>
      </c>
      <c r="AI318" s="22">
        <v>-2.29462E-2</v>
      </c>
      <c r="AJ318" s="22">
        <v>308</v>
      </c>
      <c r="AK318" s="22">
        <v>1.4501999999999999</v>
      </c>
      <c r="AL318">
        <f t="shared" si="54"/>
        <v>22.946200000000001</v>
      </c>
      <c r="AM318">
        <f t="shared" si="55"/>
        <v>33.294018352000002</v>
      </c>
      <c r="AP318" s="9"/>
      <c r="AQ318" s="22">
        <v>0.24902299999999999</v>
      </c>
      <c r="AR318" s="22">
        <v>494.57400000000001</v>
      </c>
      <c r="AS318" s="22">
        <v>-2.4304200000000001E-2</v>
      </c>
      <c r="AT318" s="22">
        <v>308</v>
      </c>
      <c r="AU318" s="22">
        <v>0.24838299999999999</v>
      </c>
      <c r="AV318">
        <f t="shared" si="56"/>
        <v>24.304200000000002</v>
      </c>
      <c r="AW318">
        <f t="shared" si="57"/>
        <v>6.0523047966000005</v>
      </c>
      <c r="AX318" s="9"/>
      <c r="AY318" s="22">
        <v>1.45096</v>
      </c>
      <c r="AZ318" s="22">
        <v>605.45299999999997</v>
      </c>
      <c r="BA318" s="22">
        <v>-2.29187E-2</v>
      </c>
      <c r="BB318" s="22">
        <v>308</v>
      </c>
      <c r="BC318" s="22">
        <v>1.4508099999999999</v>
      </c>
      <c r="BD318">
        <f t="shared" si="58"/>
        <v>22.918700000000001</v>
      </c>
      <c r="BE318">
        <f t="shared" si="59"/>
        <v>33.254116952000004</v>
      </c>
    </row>
    <row r="319" spans="6:57">
      <c r="F319" s="9"/>
      <c r="G319" s="22">
        <v>0.24398800000000001</v>
      </c>
      <c r="H319" s="22">
        <v>87.125699999999995</v>
      </c>
      <c r="I319" s="22">
        <v>-2.4938999999999999E-2</v>
      </c>
      <c r="J319" s="22">
        <v>309</v>
      </c>
      <c r="K319" s="22">
        <v>0.24337800000000001</v>
      </c>
      <c r="L319">
        <f t="shared" si="48"/>
        <v>24.939</v>
      </c>
      <c r="M319">
        <f t="shared" si="49"/>
        <v>6.0848167320000002</v>
      </c>
      <c r="N319" s="9"/>
      <c r="O319" s="22">
        <v>1.4559899999999999</v>
      </c>
      <c r="P319" s="22">
        <v>176.44300000000001</v>
      </c>
      <c r="Q319" s="22">
        <v>-2.3193399999999999E-2</v>
      </c>
      <c r="R319" s="22">
        <v>309</v>
      </c>
      <c r="S319" s="22">
        <v>1.4553799999999999</v>
      </c>
      <c r="T319">
        <f t="shared" si="50"/>
        <v>23.1934</v>
      </c>
      <c r="U319">
        <f t="shared" si="51"/>
        <v>33.769358466</v>
      </c>
      <c r="X319" s="9"/>
      <c r="Y319" s="22">
        <v>0.24398800000000001</v>
      </c>
      <c r="Z319" s="22">
        <v>300.40499999999997</v>
      </c>
      <c r="AA319" s="22">
        <v>-2.4450699999999999E-2</v>
      </c>
      <c r="AB319" s="22">
        <v>309</v>
      </c>
      <c r="AC319" s="22">
        <v>0.24343899999999999</v>
      </c>
      <c r="AD319">
        <f t="shared" si="52"/>
        <v>24.450699999999998</v>
      </c>
      <c r="AE319">
        <f t="shared" si="53"/>
        <v>5.9656773915999999</v>
      </c>
      <c r="AF319" s="9"/>
      <c r="AG319" s="22">
        <v>1.4559899999999999</v>
      </c>
      <c r="AH319" s="22">
        <v>406.28399999999999</v>
      </c>
      <c r="AI319" s="22">
        <v>-2.2930900000000001E-2</v>
      </c>
      <c r="AJ319" s="22">
        <v>309</v>
      </c>
      <c r="AK319" s="22">
        <v>1.4559899999999999</v>
      </c>
      <c r="AL319">
        <f t="shared" si="54"/>
        <v>22.930900000000001</v>
      </c>
      <c r="AM319">
        <f t="shared" si="55"/>
        <v>33.387161090999996</v>
      </c>
      <c r="AP319" s="9"/>
      <c r="AQ319" s="22">
        <v>0.24398800000000001</v>
      </c>
      <c r="AR319" s="22">
        <v>494.67500000000001</v>
      </c>
      <c r="AS319" s="22">
        <v>-2.4316399999999998E-2</v>
      </c>
      <c r="AT319" s="22">
        <v>309</v>
      </c>
      <c r="AU319" s="22">
        <v>0.24374399999999999</v>
      </c>
      <c r="AV319">
        <f t="shared" si="56"/>
        <v>24.316399999999998</v>
      </c>
      <c r="AW319">
        <f t="shared" si="57"/>
        <v>5.9329098031999994</v>
      </c>
      <c r="AX319" s="9"/>
      <c r="AY319" s="22">
        <v>1.4559899999999999</v>
      </c>
      <c r="AZ319" s="22">
        <v>605.553</v>
      </c>
      <c r="BA319" s="22">
        <v>-2.2912600000000002E-2</v>
      </c>
      <c r="BB319" s="22">
        <v>309</v>
      </c>
      <c r="BC319" s="22">
        <v>1.4553799999999999</v>
      </c>
      <c r="BD319">
        <f t="shared" si="58"/>
        <v>22.912600000000001</v>
      </c>
      <c r="BE319">
        <f t="shared" si="59"/>
        <v>33.360516474000001</v>
      </c>
    </row>
    <row r="320" spans="6:57">
      <c r="F320" s="9"/>
      <c r="G320" s="22">
        <v>0.238953</v>
      </c>
      <c r="H320" s="22">
        <v>87.226399999999998</v>
      </c>
      <c r="I320" s="22">
        <v>-2.4945100000000001E-2</v>
      </c>
      <c r="J320" s="22">
        <v>310</v>
      </c>
      <c r="K320" s="22">
        <v>0.23855599999999999</v>
      </c>
      <c r="L320">
        <f t="shared" si="48"/>
        <v>24.9451</v>
      </c>
      <c r="M320">
        <f t="shared" si="49"/>
        <v>5.9607064802999998</v>
      </c>
      <c r="N320" s="9"/>
      <c r="O320" s="22">
        <v>1.4610300000000001</v>
      </c>
      <c r="P320" s="22">
        <v>176.54400000000001</v>
      </c>
      <c r="Q320" s="22">
        <v>-2.3181199999999999E-2</v>
      </c>
      <c r="R320" s="22">
        <v>310</v>
      </c>
      <c r="S320" s="22">
        <v>1.4605699999999999</v>
      </c>
      <c r="T320">
        <f t="shared" si="50"/>
        <v>23.1812</v>
      </c>
      <c r="U320">
        <f t="shared" si="51"/>
        <v>33.868428636000004</v>
      </c>
      <c r="X320" s="9"/>
      <c r="Y320" s="22">
        <v>0.238953</v>
      </c>
      <c r="Z320" s="22">
        <v>300.50599999999997</v>
      </c>
      <c r="AA320" s="22">
        <v>-2.4462899999999999E-2</v>
      </c>
      <c r="AB320" s="22">
        <v>310</v>
      </c>
      <c r="AC320" s="22">
        <v>0.238678</v>
      </c>
      <c r="AD320">
        <f t="shared" si="52"/>
        <v>24.462899999999998</v>
      </c>
      <c r="AE320">
        <f t="shared" si="53"/>
        <v>5.8454833436999998</v>
      </c>
      <c r="AF320" s="9"/>
      <c r="AG320" s="22">
        <v>1.4610300000000001</v>
      </c>
      <c r="AH320" s="22">
        <v>406.38499999999999</v>
      </c>
      <c r="AI320" s="22">
        <v>-2.29187E-2</v>
      </c>
      <c r="AJ320" s="22">
        <v>310</v>
      </c>
      <c r="AK320" s="22">
        <v>1.4605699999999999</v>
      </c>
      <c r="AL320">
        <f t="shared" si="54"/>
        <v>22.918700000000001</v>
      </c>
      <c r="AM320">
        <f t="shared" si="55"/>
        <v>33.484908261000001</v>
      </c>
      <c r="AP320" s="9"/>
      <c r="AQ320" s="22">
        <v>0.238953</v>
      </c>
      <c r="AR320" s="22">
        <v>494.77499999999998</v>
      </c>
      <c r="AS320" s="22">
        <v>-2.4313399999999999E-2</v>
      </c>
      <c r="AT320" s="22">
        <v>310</v>
      </c>
      <c r="AU320" s="22">
        <v>0.238068</v>
      </c>
      <c r="AV320">
        <f t="shared" si="56"/>
        <v>24.313399999999998</v>
      </c>
      <c r="AW320">
        <f t="shared" si="57"/>
        <v>5.8097598701999997</v>
      </c>
      <c r="AX320" s="9"/>
      <c r="AY320" s="22">
        <v>1.4610300000000001</v>
      </c>
      <c r="AZ320" s="22">
        <v>605.654</v>
      </c>
      <c r="BA320" s="22">
        <v>-2.2909499999999999E-2</v>
      </c>
      <c r="BB320" s="22">
        <v>310</v>
      </c>
      <c r="BC320" s="22">
        <v>1.46088</v>
      </c>
      <c r="BD320">
        <f t="shared" si="58"/>
        <v>22.909499999999998</v>
      </c>
      <c r="BE320">
        <f t="shared" si="59"/>
        <v>33.471466784999997</v>
      </c>
    </row>
    <row r="321" spans="6:57">
      <c r="F321" s="9"/>
      <c r="G321" s="22">
        <v>0.23391700000000001</v>
      </c>
      <c r="H321" s="22">
        <v>87.327100000000002</v>
      </c>
      <c r="I321" s="22">
        <v>-2.4957300000000002E-2</v>
      </c>
      <c r="J321" s="22">
        <v>311</v>
      </c>
      <c r="K321" s="22">
        <v>0.233734</v>
      </c>
      <c r="L321">
        <f t="shared" si="48"/>
        <v>24.9573</v>
      </c>
      <c r="M321">
        <f t="shared" si="49"/>
        <v>5.8379367441000003</v>
      </c>
      <c r="N321" s="9"/>
      <c r="O321" s="22">
        <v>1.4660599999999999</v>
      </c>
      <c r="P321" s="22">
        <v>176.64500000000001</v>
      </c>
      <c r="Q321" s="22">
        <v>-2.3175000000000001E-2</v>
      </c>
      <c r="R321" s="22">
        <v>311</v>
      </c>
      <c r="S321" s="22">
        <v>1.4654499999999999</v>
      </c>
      <c r="T321">
        <f t="shared" si="50"/>
        <v>23.175000000000001</v>
      </c>
      <c r="U321">
        <f t="shared" si="51"/>
        <v>33.9759405</v>
      </c>
      <c r="X321" s="9"/>
      <c r="Y321" s="22">
        <v>0.23391700000000001</v>
      </c>
      <c r="Z321" s="22">
        <v>300.60700000000003</v>
      </c>
      <c r="AA321" s="22">
        <v>-2.4462899999999999E-2</v>
      </c>
      <c r="AB321" s="22">
        <v>311</v>
      </c>
      <c r="AC321" s="22">
        <v>0.23355100000000001</v>
      </c>
      <c r="AD321">
        <f t="shared" si="52"/>
        <v>24.462899999999998</v>
      </c>
      <c r="AE321">
        <f t="shared" si="53"/>
        <v>5.7222881792999996</v>
      </c>
      <c r="AF321" s="9"/>
      <c r="AG321" s="22">
        <v>1.4660599999999999</v>
      </c>
      <c r="AH321" s="22">
        <v>406.48599999999999</v>
      </c>
      <c r="AI321" s="22">
        <v>-2.29187E-2</v>
      </c>
      <c r="AJ321" s="22">
        <v>311</v>
      </c>
      <c r="AK321" s="22">
        <v>1.4654499999999999</v>
      </c>
      <c r="AL321">
        <f t="shared" si="54"/>
        <v>22.918700000000001</v>
      </c>
      <c r="AM321">
        <f t="shared" si="55"/>
        <v>33.600189321999999</v>
      </c>
      <c r="AP321" s="9"/>
      <c r="AQ321" s="22">
        <v>0.23391700000000001</v>
      </c>
      <c r="AR321" s="22">
        <v>494.87599999999998</v>
      </c>
      <c r="AS321" s="22">
        <v>-2.4325599999999999E-2</v>
      </c>
      <c r="AT321" s="22">
        <v>311</v>
      </c>
      <c r="AU321" s="22">
        <v>0.23336799999999999</v>
      </c>
      <c r="AV321">
        <f t="shared" si="56"/>
        <v>24.325599999999998</v>
      </c>
      <c r="AW321">
        <f t="shared" si="57"/>
        <v>5.6901713752000003</v>
      </c>
      <c r="AX321" s="9"/>
      <c r="AY321" s="22">
        <v>1.4660599999999999</v>
      </c>
      <c r="AZ321" s="22">
        <v>605.755</v>
      </c>
      <c r="BA321" s="22">
        <v>-2.29065E-2</v>
      </c>
      <c r="BB321" s="22">
        <v>311</v>
      </c>
      <c r="BC321" s="22">
        <v>1.4654499999999999</v>
      </c>
      <c r="BD321">
        <f t="shared" si="58"/>
        <v>22.906500000000001</v>
      </c>
      <c r="BE321">
        <f t="shared" si="59"/>
        <v>33.58230339</v>
      </c>
    </row>
    <row r="322" spans="6:57">
      <c r="F322" s="9"/>
      <c r="G322" s="22">
        <v>0.228882</v>
      </c>
      <c r="H322" s="22">
        <v>87.427800000000005</v>
      </c>
      <c r="I322" s="22">
        <v>-2.4957300000000002E-2</v>
      </c>
      <c r="J322" s="22">
        <v>312</v>
      </c>
      <c r="K322" s="22">
        <v>0.227295</v>
      </c>
      <c r="L322">
        <f t="shared" si="48"/>
        <v>24.9573</v>
      </c>
      <c r="M322">
        <f t="shared" si="49"/>
        <v>5.7122767386</v>
      </c>
      <c r="N322" s="9"/>
      <c r="O322" s="22">
        <v>1.4711000000000001</v>
      </c>
      <c r="P322" s="22">
        <v>176.745</v>
      </c>
      <c r="Q322" s="22">
        <v>-2.3175000000000001E-2</v>
      </c>
      <c r="R322" s="22">
        <v>312</v>
      </c>
      <c r="S322" s="22">
        <v>1.4706399999999999</v>
      </c>
      <c r="T322">
        <f t="shared" si="50"/>
        <v>23.175000000000001</v>
      </c>
      <c r="U322">
        <f t="shared" si="51"/>
        <v>34.0927425</v>
      </c>
      <c r="X322" s="9"/>
      <c r="Y322" s="22">
        <v>0.228882</v>
      </c>
      <c r="Z322" s="22">
        <v>300.70699999999999</v>
      </c>
      <c r="AA322" s="22">
        <v>-2.4478099999999999E-2</v>
      </c>
      <c r="AB322" s="22">
        <v>312</v>
      </c>
      <c r="AC322" s="22">
        <v>0.22799700000000001</v>
      </c>
      <c r="AD322">
        <f t="shared" si="52"/>
        <v>24.478099999999998</v>
      </c>
      <c r="AE322">
        <f t="shared" si="53"/>
        <v>5.6025964841999993</v>
      </c>
      <c r="AF322" s="9"/>
      <c r="AG322" s="22">
        <v>1.4711000000000001</v>
      </c>
      <c r="AH322" s="22">
        <v>406.58600000000001</v>
      </c>
      <c r="AI322" s="22">
        <v>-2.2909499999999999E-2</v>
      </c>
      <c r="AJ322" s="22">
        <v>312</v>
      </c>
      <c r="AK322" s="22">
        <v>1.4706399999999999</v>
      </c>
      <c r="AL322">
        <f t="shared" si="54"/>
        <v>22.909499999999998</v>
      </c>
      <c r="AM322">
        <f t="shared" si="55"/>
        <v>33.702165449999995</v>
      </c>
      <c r="AP322" s="9"/>
      <c r="AQ322" s="22">
        <v>0.228882</v>
      </c>
      <c r="AR322" s="22">
        <v>494.97699999999998</v>
      </c>
      <c r="AS322" s="22">
        <v>-2.4328599999999999E-2</v>
      </c>
      <c r="AT322" s="22">
        <v>312</v>
      </c>
      <c r="AU322" s="22">
        <v>0.22848499999999999</v>
      </c>
      <c r="AV322">
        <f t="shared" si="56"/>
        <v>24.328599999999998</v>
      </c>
      <c r="AW322">
        <f t="shared" si="57"/>
        <v>5.5683786251999994</v>
      </c>
      <c r="AX322" s="9"/>
      <c r="AY322" s="22">
        <v>1.4711000000000001</v>
      </c>
      <c r="AZ322" s="22">
        <v>605.85599999999999</v>
      </c>
      <c r="BA322" s="22">
        <v>-2.2900400000000001E-2</v>
      </c>
      <c r="BB322" s="22">
        <v>312</v>
      </c>
      <c r="BC322" s="22">
        <v>1.47034</v>
      </c>
      <c r="BD322">
        <f t="shared" si="58"/>
        <v>22.900400000000001</v>
      </c>
      <c r="BE322">
        <f t="shared" si="59"/>
        <v>33.68877844</v>
      </c>
    </row>
    <row r="323" spans="6:57">
      <c r="F323" s="9"/>
      <c r="G323" s="22">
        <v>0.22384599999999999</v>
      </c>
      <c r="H323" s="22">
        <v>87.528499999999994</v>
      </c>
      <c r="I323" s="22">
        <v>-2.49664E-2</v>
      </c>
      <c r="J323" s="22">
        <v>313</v>
      </c>
      <c r="K323" s="22">
        <v>0.223328</v>
      </c>
      <c r="L323">
        <f t="shared" si="48"/>
        <v>24.9664</v>
      </c>
      <c r="M323">
        <f t="shared" si="49"/>
        <v>5.5886287744000001</v>
      </c>
      <c r="N323" s="9"/>
      <c r="O323" s="22">
        <v>1.47614</v>
      </c>
      <c r="P323" s="22">
        <v>176.846</v>
      </c>
      <c r="Q323" s="22">
        <v>-2.3162800000000001E-2</v>
      </c>
      <c r="R323" s="22">
        <v>313</v>
      </c>
      <c r="S323" s="22">
        <v>1.47583</v>
      </c>
      <c r="T323">
        <f t="shared" si="50"/>
        <v>23.162800000000001</v>
      </c>
      <c r="U323">
        <f t="shared" si="51"/>
        <v>34.191535592000001</v>
      </c>
      <c r="X323" s="9"/>
      <c r="Y323" s="22">
        <v>0.22384599999999999</v>
      </c>
      <c r="Z323" s="22">
        <v>300.80799999999999</v>
      </c>
      <c r="AA323" s="22">
        <v>-2.4484300000000001E-2</v>
      </c>
      <c r="AB323" s="22">
        <v>313</v>
      </c>
      <c r="AC323" s="22">
        <v>0.22341900000000001</v>
      </c>
      <c r="AD323">
        <f t="shared" si="52"/>
        <v>24.484300000000001</v>
      </c>
      <c r="AE323">
        <f t="shared" si="53"/>
        <v>5.4807126178000001</v>
      </c>
      <c r="AF323" s="9"/>
      <c r="AG323" s="22">
        <v>1.47614</v>
      </c>
      <c r="AH323" s="22">
        <v>406.68700000000001</v>
      </c>
      <c r="AI323" s="22">
        <v>-2.2903400000000001E-2</v>
      </c>
      <c r="AJ323" s="22">
        <v>313</v>
      </c>
      <c r="AK323" s="22">
        <v>1.47522</v>
      </c>
      <c r="AL323">
        <f t="shared" si="54"/>
        <v>22.903400000000001</v>
      </c>
      <c r="AM323">
        <f t="shared" si="55"/>
        <v>33.808624876000003</v>
      </c>
      <c r="AP323" s="9"/>
      <c r="AQ323" s="22">
        <v>0.22384599999999999</v>
      </c>
      <c r="AR323" s="22">
        <v>495.077</v>
      </c>
      <c r="AS323" s="22">
        <v>-2.43378E-2</v>
      </c>
      <c r="AT323" s="22">
        <v>313</v>
      </c>
      <c r="AU323" s="22">
        <v>0.22348000000000001</v>
      </c>
      <c r="AV323">
        <f t="shared" si="56"/>
        <v>24.337800000000001</v>
      </c>
      <c r="AW323">
        <f t="shared" si="57"/>
        <v>5.4479191788000003</v>
      </c>
      <c r="AX323" s="9"/>
      <c r="AY323" s="22">
        <v>1.47614</v>
      </c>
      <c r="AZ323" s="22">
        <v>605.95600000000002</v>
      </c>
      <c r="BA323" s="22">
        <v>-2.2885099999999998E-2</v>
      </c>
      <c r="BB323" s="22">
        <v>313</v>
      </c>
      <c r="BC323" s="22">
        <v>1.47583</v>
      </c>
      <c r="BD323">
        <f t="shared" si="58"/>
        <v>22.885099999999998</v>
      </c>
      <c r="BE323">
        <f t="shared" si="59"/>
        <v>33.781611513999998</v>
      </c>
    </row>
    <row r="324" spans="6:57">
      <c r="F324" s="9"/>
      <c r="G324" s="22">
        <v>0.21881100000000001</v>
      </c>
      <c r="H324" s="22">
        <v>87.629199999999997</v>
      </c>
      <c r="I324" s="22">
        <v>-2.4975600000000001E-2</v>
      </c>
      <c r="J324" s="22">
        <v>314</v>
      </c>
      <c r="K324" s="22">
        <v>0.21856700000000001</v>
      </c>
      <c r="L324">
        <f t="shared" si="48"/>
        <v>24.9756</v>
      </c>
      <c r="M324">
        <f t="shared" si="49"/>
        <v>5.4649360115999999</v>
      </c>
      <c r="N324" s="9"/>
      <c r="O324" s="22">
        <v>1.4811700000000001</v>
      </c>
      <c r="P324" s="22">
        <v>176.947</v>
      </c>
      <c r="Q324" s="22">
        <v>-2.3153699999999999E-2</v>
      </c>
      <c r="R324" s="22">
        <v>314</v>
      </c>
      <c r="S324" s="22">
        <v>1.48041</v>
      </c>
      <c r="T324">
        <f t="shared" si="50"/>
        <v>23.153700000000001</v>
      </c>
      <c r="U324">
        <f t="shared" si="51"/>
        <v>34.294565829</v>
      </c>
      <c r="X324" s="9"/>
      <c r="Y324" s="22">
        <v>0.21881100000000001</v>
      </c>
      <c r="Z324" s="22">
        <v>300.90899999999999</v>
      </c>
      <c r="AA324" s="22">
        <v>-2.44873E-2</v>
      </c>
      <c r="AB324" s="22">
        <v>314</v>
      </c>
      <c r="AC324" s="22">
        <v>0.21838399999999999</v>
      </c>
      <c r="AD324">
        <f t="shared" si="52"/>
        <v>24.487300000000001</v>
      </c>
      <c r="AE324">
        <f t="shared" si="53"/>
        <v>5.3580906003000006</v>
      </c>
      <c r="AF324" s="9"/>
      <c r="AG324" s="22">
        <v>1.4811700000000001</v>
      </c>
      <c r="AH324" s="22">
        <v>406.78800000000001</v>
      </c>
      <c r="AI324" s="22">
        <v>-2.2897299999999999E-2</v>
      </c>
      <c r="AJ324" s="22">
        <v>314</v>
      </c>
      <c r="AK324" s="22">
        <v>1.48041</v>
      </c>
      <c r="AL324">
        <f t="shared" si="54"/>
        <v>22.897299999999998</v>
      </c>
      <c r="AM324">
        <f t="shared" si="55"/>
        <v>33.914793840999998</v>
      </c>
      <c r="AP324" s="9"/>
      <c r="AQ324" s="22">
        <v>0.21881100000000001</v>
      </c>
      <c r="AR324" s="22">
        <v>495.178</v>
      </c>
      <c r="AS324" s="22">
        <v>-2.43378E-2</v>
      </c>
      <c r="AT324" s="22">
        <v>314</v>
      </c>
      <c r="AU324" s="22">
        <v>0.21835299999999999</v>
      </c>
      <c r="AV324">
        <f t="shared" si="56"/>
        <v>24.337800000000001</v>
      </c>
      <c r="AW324">
        <f t="shared" si="57"/>
        <v>5.3253783558000007</v>
      </c>
      <c r="AX324" s="9"/>
      <c r="AY324" s="22">
        <v>1.4811700000000001</v>
      </c>
      <c r="AZ324" s="22">
        <v>606.05700000000002</v>
      </c>
      <c r="BA324" s="22">
        <v>-2.2876000000000001E-2</v>
      </c>
      <c r="BB324" s="22">
        <v>314</v>
      </c>
      <c r="BC324" s="22">
        <v>1.48041</v>
      </c>
      <c r="BD324">
        <f t="shared" si="58"/>
        <v>22.876000000000001</v>
      </c>
      <c r="BE324">
        <f t="shared" si="59"/>
        <v>33.883244920000003</v>
      </c>
    </row>
    <row r="325" spans="6:57">
      <c r="F325" s="9"/>
      <c r="G325" s="22">
        <v>0.21377599999999999</v>
      </c>
      <c r="H325" s="22">
        <v>87.729900000000001</v>
      </c>
      <c r="I325" s="22">
        <v>-2.4972500000000002E-2</v>
      </c>
      <c r="J325" s="22">
        <v>315</v>
      </c>
      <c r="K325" s="22">
        <v>0.21313499999999999</v>
      </c>
      <c r="L325">
        <f t="shared" si="48"/>
        <v>24.9725</v>
      </c>
      <c r="M325">
        <f t="shared" si="49"/>
        <v>5.33852116</v>
      </c>
      <c r="N325" s="9"/>
      <c r="O325" s="22">
        <v>1.48621</v>
      </c>
      <c r="P325" s="22">
        <v>177.047</v>
      </c>
      <c r="Q325" s="22">
        <v>-2.3141499999999999E-2</v>
      </c>
      <c r="R325" s="22">
        <v>315</v>
      </c>
      <c r="S325" s="22">
        <v>1.48529</v>
      </c>
      <c r="T325">
        <f t="shared" si="50"/>
        <v>23.141500000000001</v>
      </c>
      <c r="U325">
        <f t="shared" si="51"/>
        <v>34.393128715000003</v>
      </c>
      <c r="X325" s="9"/>
      <c r="Y325" s="22">
        <v>0.21377599999999999</v>
      </c>
      <c r="Z325" s="22">
        <v>301.01</v>
      </c>
      <c r="AA325" s="22">
        <v>-2.4490399999999999E-2</v>
      </c>
      <c r="AB325" s="22">
        <v>315</v>
      </c>
      <c r="AC325" s="22">
        <v>0.21313499999999999</v>
      </c>
      <c r="AD325">
        <f t="shared" si="52"/>
        <v>24.490399999999998</v>
      </c>
      <c r="AE325">
        <f t="shared" si="53"/>
        <v>5.2354597503999996</v>
      </c>
      <c r="AF325" s="9"/>
      <c r="AG325" s="22">
        <v>1.48621</v>
      </c>
      <c r="AH325" s="22">
        <v>406.88799999999998</v>
      </c>
      <c r="AI325" s="22">
        <v>-2.2882099999999999E-2</v>
      </c>
      <c r="AJ325" s="22">
        <v>315</v>
      </c>
      <c r="AK325" s="22">
        <v>1.4859</v>
      </c>
      <c r="AL325">
        <f t="shared" si="54"/>
        <v>22.882099999999998</v>
      </c>
      <c r="AM325">
        <f t="shared" si="55"/>
        <v>34.007605841</v>
      </c>
      <c r="AP325" s="9"/>
      <c r="AQ325" s="22">
        <v>0.21377599999999999</v>
      </c>
      <c r="AR325" s="22">
        <v>495.279</v>
      </c>
      <c r="AS325" s="22">
        <v>-2.4340799999999999E-2</v>
      </c>
      <c r="AT325" s="22">
        <v>315</v>
      </c>
      <c r="AU325" s="22">
        <v>0.21365400000000001</v>
      </c>
      <c r="AV325">
        <f t="shared" si="56"/>
        <v>24.340799999999998</v>
      </c>
      <c r="AW325">
        <f t="shared" si="57"/>
        <v>5.2034788607999998</v>
      </c>
      <c r="AX325" s="9"/>
      <c r="AY325" s="22">
        <v>1.48621</v>
      </c>
      <c r="AZ325" s="22">
        <v>606.15800000000002</v>
      </c>
      <c r="BA325" s="22">
        <v>-2.28668E-2</v>
      </c>
      <c r="BB325" s="22">
        <v>315</v>
      </c>
      <c r="BC325" s="22">
        <v>1.4859</v>
      </c>
      <c r="BD325">
        <f t="shared" si="58"/>
        <v>22.866800000000001</v>
      </c>
      <c r="BE325">
        <f t="shared" si="59"/>
        <v>33.984866828000001</v>
      </c>
    </row>
    <row r="326" spans="6:57">
      <c r="F326" s="9"/>
      <c r="G326" s="22">
        <v>0.20874000000000001</v>
      </c>
      <c r="H326" s="22">
        <v>87.830600000000004</v>
      </c>
      <c r="I326" s="22">
        <v>-2.49786E-2</v>
      </c>
      <c r="J326" s="22">
        <v>316</v>
      </c>
      <c r="K326" s="22">
        <v>0.20840500000000001</v>
      </c>
      <c r="L326">
        <f t="shared" si="48"/>
        <v>24.9786</v>
      </c>
      <c r="M326">
        <f t="shared" si="49"/>
        <v>5.2140329640000003</v>
      </c>
      <c r="N326" s="9"/>
      <c r="O326" s="22">
        <v>1.4912399999999999</v>
      </c>
      <c r="P326" s="22">
        <v>177.148</v>
      </c>
      <c r="Q326" s="22">
        <v>-2.3141499999999999E-2</v>
      </c>
      <c r="R326" s="22">
        <v>316</v>
      </c>
      <c r="S326" s="22">
        <v>1.49048</v>
      </c>
      <c r="T326">
        <f t="shared" si="50"/>
        <v>23.141500000000001</v>
      </c>
      <c r="U326">
        <f t="shared" si="51"/>
        <v>34.509530460000001</v>
      </c>
      <c r="X326" s="9"/>
      <c r="Y326" s="22">
        <v>0.20874000000000001</v>
      </c>
      <c r="Z326" s="22">
        <v>301.11</v>
      </c>
      <c r="AA326" s="22">
        <v>-2.4493399999999999E-2</v>
      </c>
      <c r="AB326" s="22">
        <v>316</v>
      </c>
      <c r="AC326" s="22">
        <v>0.20828199999999999</v>
      </c>
      <c r="AD326">
        <f t="shared" si="52"/>
        <v>24.493399999999998</v>
      </c>
      <c r="AE326">
        <f t="shared" si="53"/>
        <v>5.1127523159999999</v>
      </c>
      <c r="AF326" s="9"/>
      <c r="AG326" s="22">
        <v>1.4912399999999999</v>
      </c>
      <c r="AH326" s="22">
        <v>406.98899999999998</v>
      </c>
      <c r="AI326" s="22">
        <v>-2.2869899999999999E-2</v>
      </c>
      <c r="AJ326" s="22">
        <v>316</v>
      </c>
      <c r="AK326" s="22">
        <v>1.49017</v>
      </c>
      <c r="AL326">
        <f t="shared" si="54"/>
        <v>22.869899999999998</v>
      </c>
      <c r="AM326">
        <f t="shared" si="55"/>
        <v>34.104509675999992</v>
      </c>
      <c r="AP326" s="9"/>
      <c r="AQ326" s="22">
        <v>0.20874000000000001</v>
      </c>
      <c r="AR326" s="22">
        <v>495.38</v>
      </c>
      <c r="AS326" s="22">
        <v>-2.4346900000000001E-2</v>
      </c>
      <c r="AT326" s="22">
        <v>316</v>
      </c>
      <c r="AU326" s="22">
        <v>0.208344</v>
      </c>
      <c r="AV326">
        <f t="shared" si="56"/>
        <v>24.346900000000002</v>
      </c>
      <c r="AW326">
        <f t="shared" si="57"/>
        <v>5.0821719060000001</v>
      </c>
      <c r="AX326" s="9"/>
      <c r="AY326" s="22">
        <v>1.4912399999999999</v>
      </c>
      <c r="AZ326" s="22">
        <v>606.25800000000004</v>
      </c>
      <c r="BA326" s="22">
        <v>-2.2857700000000002E-2</v>
      </c>
      <c r="BB326" s="22">
        <v>316</v>
      </c>
      <c r="BC326" s="22">
        <v>1.49078</v>
      </c>
      <c r="BD326">
        <f t="shared" si="58"/>
        <v>22.857700000000001</v>
      </c>
      <c r="BE326">
        <f t="shared" si="59"/>
        <v>34.086316547999999</v>
      </c>
    </row>
    <row r="327" spans="6:57">
      <c r="F327" s="9"/>
      <c r="G327" s="22">
        <v>0.203705</v>
      </c>
      <c r="H327" s="22">
        <v>87.931299999999993</v>
      </c>
      <c r="I327" s="22">
        <v>-2.4984699999999999E-2</v>
      </c>
      <c r="J327" s="22">
        <v>317</v>
      </c>
      <c r="K327" s="22">
        <v>0.20349100000000001</v>
      </c>
      <c r="L327">
        <f t="shared" si="48"/>
        <v>24.9847</v>
      </c>
      <c r="M327">
        <f t="shared" si="49"/>
        <v>5.0895083134999997</v>
      </c>
      <c r="N327" s="9"/>
      <c r="O327" s="22">
        <v>1.4962800000000001</v>
      </c>
      <c r="P327" s="22">
        <v>177.249</v>
      </c>
      <c r="Q327" s="22">
        <v>-2.3129299999999998E-2</v>
      </c>
      <c r="R327" s="22">
        <v>317</v>
      </c>
      <c r="S327" s="22">
        <v>1.4956700000000001</v>
      </c>
      <c r="T327">
        <f t="shared" si="50"/>
        <v>23.129299999999997</v>
      </c>
      <c r="U327">
        <f t="shared" si="51"/>
        <v>34.607909004</v>
      </c>
      <c r="X327" s="9"/>
      <c r="Y327" s="22">
        <v>0.203705</v>
      </c>
      <c r="Z327" s="22">
        <v>301.21100000000001</v>
      </c>
      <c r="AA327" s="22">
        <v>-2.4496500000000001E-2</v>
      </c>
      <c r="AB327" s="22">
        <v>317</v>
      </c>
      <c r="AC327" s="22">
        <v>0.20327799999999999</v>
      </c>
      <c r="AD327">
        <f t="shared" si="52"/>
        <v>24.496500000000001</v>
      </c>
      <c r="AE327">
        <f t="shared" si="53"/>
        <v>4.9900595325000001</v>
      </c>
      <c r="AF327" s="9"/>
      <c r="AG327" s="22">
        <v>1.4962800000000001</v>
      </c>
      <c r="AH327" s="22">
        <v>407.09</v>
      </c>
      <c r="AI327" s="22">
        <v>-2.2857700000000002E-2</v>
      </c>
      <c r="AJ327" s="22">
        <v>317</v>
      </c>
      <c r="AK327" s="22">
        <v>1.4956700000000001</v>
      </c>
      <c r="AL327">
        <f t="shared" si="54"/>
        <v>22.857700000000001</v>
      </c>
      <c r="AM327">
        <f t="shared" si="55"/>
        <v>34.201519356000006</v>
      </c>
      <c r="AP327" s="9"/>
      <c r="AQ327" s="22">
        <v>0.203705</v>
      </c>
      <c r="AR327" s="22">
        <v>495.48</v>
      </c>
      <c r="AS327" s="22">
        <v>-2.4353E-2</v>
      </c>
      <c r="AT327" s="22">
        <v>317</v>
      </c>
      <c r="AU327" s="22">
        <v>0.203125</v>
      </c>
      <c r="AV327">
        <f t="shared" si="56"/>
        <v>24.352999999999998</v>
      </c>
      <c r="AW327">
        <f t="shared" si="57"/>
        <v>4.9608278649999997</v>
      </c>
      <c r="AX327" s="9"/>
      <c r="AY327" s="22">
        <v>1.4962800000000001</v>
      </c>
      <c r="AZ327" s="22">
        <v>606.35900000000004</v>
      </c>
      <c r="BA327" s="22">
        <v>-2.28516E-2</v>
      </c>
      <c r="BB327" s="22">
        <v>317</v>
      </c>
      <c r="BC327" s="22">
        <v>1.4956700000000001</v>
      </c>
      <c r="BD327">
        <f t="shared" si="58"/>
        <v>22.851600000000001</v>
      </c>
      <c r="BE327">
        <f t="shared" si="59"/>
        <v>34.192392048000002</v>
      </c>
    </row>
    <row r="328" spans="6:57">
      <c r="F328" s="9"/>
      <c r="G328" s="22">
        <v>0.19866900000000001</v>
      </c>
      <c r="H328" s="22">
        <v>88.031999999999996</v>
      </c>
      <c r="I328" s="22">
        <v>-2.4990800000000001E-2</v>
      </c>
      <c r="J328" s="22">
        <v>318</v>
      </c>
      <c r="K328" s="22">
        <v>0.198212</v>
      </c>
      <c r="L328">
        <f t="shared" si="48"/>
        <v>24.9908</v>
      </c>
      <c r="M328">
        <f t="shared" si="49"/>
        <v>4.9648972452000004</v>
      </c>
      <c r="N328" s="9"/>
      <c r="O328" s="22">
        <v>1.5013099999999999</v>
      </c>
      <c r="P328" s="22">
        <v>177.35</v>
      </c>
      <c r="Q328" s="22">
        <v>-2.31232E-2</v>
      </c>
      <c r="R328" s="22">
        <v>318</v>
      </c>
      <c r="S328" s="22">
        <v>1.50024</v>
      </c>
      <c r="T328">
        <f t="shared" si="50"/>
        <v>23.123200000000001</v>
      </c>
      <c r="U328">
        <f t="shared" si="51"/>
        <v>34.715091391999998</v>
      </c>
      <c r="X328" s="9"/>
      <c r="Y328" s="22">
        <v>0.19866900000000001</v>
      </c>
      <c r="Z328" s="22">
        <v>301.31200000000001</v>
      </c>
      <c r="AA328" s="22">
        <v>-2.4450699999999999E-2</v>
      </c>
      <c r="AB328" s="22">
        <v>318</v>
      </c>
      <c r="AC328" s="22">
        <v>0.19842499999999999</v>
      </c>
      <c r="AD328">
        <f t="shared" si="52"/>
        <v>24.450699999999998</v>
      </c>
      <c r="AE328">
        <f t="shared" si="53"/>
        <v>4.8575961183</v>
      </c>
      <c r="AF328" s="9"/>
      <c r="AG328" s="22">
        <v>1.5013099999999999</v>
      </c>
      <c r="AH328" s="22">
        <v>407.19</v>
      </c>
      <c r="AI328" s="22">
        <v>-2.2854599999999999E-2</v>
      </c>
      <c r="AJ328" s="22">
        <v>318</v>
      </c>
      <c r="AK328" s="22">
        <v>1.50085</v>
      </c>
      <c r="AL328">
        <f t="shared" si="54"/>
        <v>22.854599999999998</v>
      </c>
      <c r="AM328">
        <f t="shared" si="55"/>
        <v>34.311839525999993</v>
      </c>
      <c r="AP328" s="9"/>
      <c r="AQ328" s="22">
        <v>0.19866900000000001</v>
      </c>
      <c r="AR328" s="22">
        <v>495.58100000000002</v>
      </c>
      <c r="AS328" s="22">
        <v>-2.43652E-2</v>
      </c>
      <c r="AT328" s="22">
        <v>318</v>
      </c>
      <c r="AU328" s="22">
        <v>0.19860800000000001</v>
      </c>
      <c r="AV328">
        <f t="shared" si="56"/>
        <v>24.365200000000002</v>
      </c>
      <c r="AW328">
        <f t="shared" si="57"/>
        <v>4.8406099188000002</v>
      </c>
      <c r="AX328" s="9"/>
      <c r="AY328" s="22">
        <v>1.5013099999999999</v>
      </c>
      <c r="AZ328" s="22">
        <v>606.46</v>
      </c>
      <c r="BA328" s="22">
        <v>-2.2839399999999999E-2</v>
      </c>
      <c r="BB328" s="22">
        <v>318</v>
      </c>
      <c r="BC328" s="22">
        <v>1.5005500000000001</v>
      </c>
      <c r="BD328">
        <f t="shared" si="58"/>
        <v>22.839399999999998</v>
      </c>
      <c r="BE328">
        <f t="shared" si="59"/>
        <v>34.289019613999997</v>
      </c>
    </row>
    <row r="329" spans="6:57">
      <c r="F329" s="9"/>
      <c r="G329" s="22">
        <v>0.193634</v>
      </c>
      <c r="H329" s="22">
        <v>88.132800000000003</v>
      </c>
      <c r="I329" s="22">
        <v>-2.4993899999999999E-2</v>
      </c>
      <c r="J329" s="22">
        <v>319</v>
      </c>
      <c r="K329" s="22">
        <v>0.19384799999999999</v>
      </c>
      <c r="L329">
        <f t="shared" si="48"/>
        <v>24.9939</v>
      </c>
      <c r="M329">
        <f t="shared" si="49"/>
        <v>4.8396688326000001</v>
      </c>
      <c r="N329" s="9"/>
      <c r="O329" s="22">
        <v>1.5063500000000001</v>
      </c>
      <c r="P329" s="22">
        <v>177.45</v>
      </c>
      <c r="Q329" s="22">
        <v>-2.3101799999999999E-2</v>
      </c>
      <c r="R329" s="22">
        <v>319</v>
      </c>
      <c r="S329" s="22">
        <v>1.50543</v>
      </c>
      <c r="T329">
        <f t="shared" si="50"/>
        <v>23.101799999999997</v>
      </c>
      <c r="U329">
        <f t="shared" si="51"/>
        <v>34.799396429999994</v>
      </c>
      <c r="X329" s="9"/>
      <c r="Y329" s="22">
        <v>0.193634</v>
      </c>
      <c r="Z329" s="22">
        <v>301.41199999999998</v>
      </c>
      <c r="AA329" s="22">
        <v>-2.4508700000000001E-2</v>
      </c>
      <c r="AB329" s="22">
        <v>319</v>
      </c>
      <c r="AC329" s="22">
        <v>0.192963</v>
      </c>
      <c r="AD329">
        <f t="shared" si="52"/>
        <v>24.508700000000001</v>
      </c>
      <c r="AE329">
        <f t="shared" si="53"/>
        <v>4.7457176158000003</v>
      </c>
      <c r="AF329" s="9"/>
      <c r="AG329" s="22">
        <v>1.5063500000000001</v>
      </c>
      <c r="AH329" s="22">
        <v>407.291</v>
      </c>
      <c r="AI329" s="22">
        <v>-2.2842399999999999E-2</v>
      </c>
      <c r="AJ329" s="22">
        <v>319</v>
      </c>
      <c r="AK329" s="22">
        <v>1.5057400000000001</v>
      </c>
      <c r="AL329">
        <f t="shared" si="54"/>
        <v>22.842399999999998</v>
      </c>
      <c r="AM329">
        <f t="shared" si="55"/>
        <v>34.408649239999995</v>
      </c>
      <c r="AP329" s="9"/>
      <c r="AQ329" s="22">
        <v>0.193634</v>
      </c>
      <c r="AR329" s="22">
        <v>495.68200000000002</v>
      </c>
      <c r="AS329" s="22">
        <v>-2.43652E-2</v>
      </c>
      <c r="AT329" s="22">
        <v>319</v>
      </c>
      <c r="AU329" s="22">
        <v>0.19348099999999999</v>
      </c>
      <c r="AV329">
        <f t="shared" si="56"/>
        <v>24.365200000000002</v>
      </c>
      <c r="AW329">
        <f t="shared" si="57"/>
        <v>4.7179311367999999</v>
      </c>
      <c r="AX329" s="9"/>
      <c r="AY329" s="22">
        <v>1.5063500000000001</v>
      </c>
      <c r="AZ329" s="22">
        <v>606.56100000000004</v>
      </c>
      <c r="BA329" s="22">
        <v>-2.2821000000000001E-2</v>
      </c>
      <c r="BB329" s="22">
        <v>319</v>
      </c>
      <c r="BC329" s="22">
        <v>1.5063500000000001</v>
      </c>
      <c r="BD329">
        <f t="shared" si="58"/>
        <v>22.821000000000002</v>
      </c>
      <c r="BE329">
        <f t="shared" si="59"/>
        <v>34.376413350000007</v>
      </c>
    </row>
    <row r="330" spans="6:57">
      <c r="F330" s="9"/>
      <c r="G330" s="22">
        <v>0.18859899999999999</v>
      </c>
      <c r="H330" s="22">
        <v>88.233500000000006</v>
      </c>
      <c r="I330" s="22">
        <v>-2.50031E-2</v>
      </c>
      <c r="J330" s="22">
        <v>320</v>
      </c>
      <c r="K330" s="22">
        <v>0.18801899999999999</v>
      </c>
      <c r="L330">
        <f t="shared" si="48"/>
        <v>25.0031</v>
      </c>
      <c r="M330">
        <f t="shared" si="49"/>
        <v>4.7155596569</v>
      </c>
      <c r="N330" s="9"/>
      <c r="O330" s="22">
        <v>1.5113799999999999</v>
      </c>
      <c r="P330" s="22">
        <v>177.55099999999999</v>
      </c>
      <c r="Q330" s="22">
        <v>-2.3092700000000001E-2</v>
      </c>
      <c r="R330" s="22">
        <v>320</v>
      </c>
      <c r="S330" s="22">
        <v>1.5112300000000001</v>
      </c>
      <c r="T330">
        <f t="shared" si="50"/>
        <v>23.092700000000001</v>
      </c>
      <c r="U330">
        <f t="shared" si="51"/>
        <v>34.901844926000003</v>
      </c>
      <c r="X330" s="9"/>
      <c r="Y330" s="22">
        <v>0.18859899999999999</v>
      </c>
      <c r="Z330" s="22">
        <v>301.51299999999998</v>
      </c>
      <c r="AA330" s="22">
        <v>-2.4462899999999999E-2</v>
      </c>
      <c r="AB330" s="22">
        <v>320</v>
      </c>
      <c r="AC330" s="22">
        <v>0.18859899999999999</v>
      </c>
      <c r="AD330">
        <f t="shared" si="52"/>
        <v>24.462899999999998</v>
      </c>
      <c r="AE330">
        <f t="shared" si="53"/>
        <v>4.6136784770999997</v>
      </c>
      <c r="AF330" s="9"/>
      <c r="AG330" s="22">
        <v>1.5113799999999999</v>
      </c>
      <c r="AH330" s="22">
        <v>407.392</v>
      </c>
      <c r="AI330" s="22">
        <v>-2.2827099999999999E-2</v>
      </c>
      <c r="AJ330" s="22">
        <v>320</v>
      </c>
      <c r="AK330" s="22">
        <v>1.5109300000000001</v>
      </c>
      <c r="AL330">
        <f t="shared" si="54"/>
        <v>22.827099999999998</v>
      </c>
      <c r="AM330">
        <f t="shared" si="55"/>
        <v>34.500422397999998</v>
      </c>
      <c r="AP330" s="9"/>
      <c r="AQ330" s="22">
        <v>0.18859899999999999</v>
      </c>
      <c r="AR330" s="22">
        <v>495.78199999999998</v>
      </c>
      <c r="AS330" s="22">
        <v>-2.43652E-2</v>
      </c>
      <c r="AT330" s="22">
        <v>320</v>
      </c>
      <c r="AU330" s="22">
        <v>0.18829299999999999</v>
      </c>
      <c r="AV330">
        <f t="shared" si="56"/>
        <v>24.365200000000002</v>
      </c>
      <c r="AW330">
        <f t="shared" si="57"/>
        <v>4.5952523548000004</v>
      </c>
      <c r="AX330" s="9"/>
      <c r="AY330" s="22">
        <v>1.5113799999999999</v>
      </c>
      <c r="AZ330" s="22">
        <v>606.66099999999994</v>
      </c>
      <c r="BA330" s="22">
        <v>-2.2802699999999999E-2</v>
      </c>
      <c r="BB330" s="22">
        <v>320</v>
      </c>
      <c r="BC330" s="22">
        <v>1.51031</v>
      </c>
      <c r="BD330">
        <f t="shared" si="58"/>
        <v>22.802699999999998</v>
      </c>
      <c r="BE330">
        <f t="shared" si="59"/>
        <v>34.463544725999995</v>
      </c>
    </row>
    <row r="331" spans="6:57">
      <c r="F331" s="9"/>
      <c r="G331" s="22">
        <v>0.183563</v>
      </c>
      <c r="H331" s="22">
        <v>88.334199999999996</v>
      </c>
      <c r="I331" s="22">
        <v>-2.5012199999999998E-2</v>
      </c>
      <c r="J331" s="22">
        <v>321</v>
      </c>
      <c r="K331" s="22">
        <v>0.183167</v>
      </c>
      <c r="L331">
        <f t="shared" si="48"/>
        <v>25.0122</v>
      </c>
      <c r="M331">
        <f t="shared" si="49"/>
        <v>4.5913144686000003</v>
      </c>
      <c r="N331" s="9"/>
      <c r="O331" s="22">
        <v>1.5164200000000001</v>
      </c>
      <c r="P331" s="22">
        <v>177.65199999999999</v>
      </c>
      <c r="Q331" s="22">
        <v>-2.3077400000000001E-2</v>
      </c>
      <c r="R331" s="22">
        <v>321</v>
      </c>
      <c r="S331" s="22">
        <v>1.5161100000000001</v>
      </c>
      <c r="T331">
        <f t="shared" si="50"/>
        <v>23.077400000000001</v>
      </c>
      <c r="U331">
        <f t="shared" si="51"/>
        <v>34.995030908000004</v>
      </c>
      <c r="X331" s="9"/>
      <c r="Y331" s="22">
        <v>0.183563</v>
      </c>
      <c r="Z331" s="22">
        <v>301.61399999999998</v>
      </c>
      <c r="AA331" s="22">
        <v>-2.4465899999999999E-2</v>
      </c>
      <c r="AB331" s="22">
        <v>321</v>
      </c>
      <c r="AC331" s="22">
        <v>0.18249499999999999</v>
      </c>
      <c r="AD331">
        <f t="shared" si="52"/>
        <v>24.465899999999998</v>
      </c>
      <c r="AE331">
        <f t="shared" si="53"/>
        <v>4.4910340017000001</v>
      </c>
      <c r="AF331" s="9"/>
      <c r="AG331" s="22">
        <v>1.5164200000000001</v>
      </c>
      <c r="AH331" s="22">
        <v>407.49299999999999</v>
      </c>
      <c r="AI331" s="22">
        <v>-2.2814899999999999E-2</v>
      </c>
      <c r="AJ331" s="22">
        <v>321</v>
      </c>
      <c r="AK331" s="22">
        <v>1.5161100000000001</v>
      </c>
      <c r="AL331">
        <f t="shared" si="54"/>
        <v>22.814899999999998</v>
      </c>
      <c r="AM331">
        <f t="shared" si="55"/>
        <v>34.596970657999996</v>
      </c>
      <c r="AP331" s="9"/>
      <c r="AQ331" s="22">
        <v>0.183563</v>
      </c>
      <c r="AR331" s="22">
        <v>495.88299999999998</v>
      </c>
      <c r="AS331" s="22">
        <v>-2.4374400000000001E-2</v>
      </c>
      <c r="AT331" s="22">
        <v>321</v>
      </c>
      <c r="AU331" s="22">
        <v>0.18331900000000001</v>
      </c>
      <c r="AV331">
        <f t="shared" si="56"/>
        <v>24.374400000000001</v>
      </c>
      <c r="AW331">
        <f t="shared" si="57"/>
        <v>4.4742379872000004</v>
      </c>
      <c r="AX331" s="9"/>
      <c r="AY331" s="22">
        <v>1.5164200000000001</v>
      </c>
      <c r="AZ331" s="22">
        <v>606.76199999999994</v>
      </c>
      <c r="BA331" s="22">
        <v>-2.2793600000000001E-2</v>
      </c>
      <c r="BB331" s="22">
        <v>321</v>
      </c>
      <c r="BC331" s="22">
        <v>1.5158100000000001</v>
      </c>
      <c r="BD331">
        <f t="shared" si="58"/>
        <v>22.793600000000001</v>
      </c>
      <c r="BE331">
        <f t="shared" si="59"/>
        <v>34.564670912000004</v>
      </c>
    </row>
    <row r="332" spans="6:57">
      <c r="F332" s="9"/>
      <c r="G332" s="22">
        <v>0.17852799999999999</v>
      </c>
      <c r="H332" s="22">
        <v>88.434899999999999</v>
      </c>
      <c r="I332" s="22">
        <v>-2.5012199999999998E-2</v>
      </c>
      <c r="J332" s="22">
        <v>322</v>
      </c>
      <c r="K332" s="22">
        <v>0.17852799999999999</v>
      </c>
      <c r="L332">
        <f t="shared" ref="L332:L388" si="60">-I332/$F$2*1000</f>
        <v>25.0122</v>
      </c>
      <c r="M332">
        <f t="shared" ref="M332:M388" si="61">L332*G332</f>
        <v>4.4653780416000002</v>
      </c>
      <c r="N332" s="9"/>
      <c r="O332" s="22">
        <v>1.52145</v>
      </c>
      <c r="P332" s="22">
        <v>177.75200000000001</v>
      </c>
      <c r="Q332" s="22">
        <v>-2.3049900000000002E-2</v>
      </c>
      <c r="R332" s="22">
        <v>322</v>
      </c>
      <c r="S332" s="22">
        <v>1.5213000000000001</v>
      </c>
      <c r="T332">
        <f t="shared" ref="T332:T388" si="62">-Q332/$F$2*1000</f>
        <v>23.049900000000001</v>
      </c>
      <c r="U332">
        <f t="shared" ref="U332:U388" si="63">T332*O332</f>
        <v>35.069270355</v>
      </c>
      <c r="X332" s="9"/>
      <c r="Y332" s="22">
        <v>0.17852799999999999</v>
      </c>
      <c r="Z332" s="22">
        <v>301.714</v>
      </c>
      <c r="AA332" s="22">
        <v>-2.44751E-2</v>
      </c>
      <c r="AB332" s="22">
        <v>322</v>
      </c>
      <c r="AC332" s="22">
        <v>0.17785599999999999</v>
      </c>
      <c r="AD332">
        <f t="shared" ref="AD332:AD388" si="64">-AA332/$F$2*1000</f>
        <v>24.475100000000001</v>
      </c>
      <c r="AE332">
        <f t="shared" ref="AE332:AE388" si="65">AD332*Y332</f>
        <v>4.3694906527999997</v>
      </c>
      <c r="AF332" s="9"/>
      <c r="AG332" s="22">
        <v>1.52145</v>
      </c>
      <c r="AH332" s="22">
        <v>407.59300000000002</v>
      </c>
      <c r="AI332" s="22">
        <v>-2.2799699999999999E-2</v>
      </c>
      <c r="AJ332" s="22">
        <v>322</v>
      </c>
      <c r="AK332" s="22">
        <v>1.5206900000000001</v>
      </c>
      <c r="AL332">
        <f t="shared" ref="AL332:AL388" si="66">-AI332/$F$2*1000</f>
        <v>22.799699999999998</v>
      </c>
      <c r="AM332">
        <f t="shared" ref="AM332:AM388" si="67">AL332*AG332</f>
        <v>34.688603564999994</v>
      </c>
      <c r="AP332" s="9"/>
      <c r="AQ332" s="22">
        <v>0.17852799999999999</v>
      </c>
      <c r="AR332" s="22">
        <v>495.98399999999998</v>
      </c>
      <c r="AS332" s="22">
        <v>-2.4380499999999999E-2</v>
      </c>
      <c r="AT332" s="22">
        <v>322</v>
      </c>
      <c r="AU332" s="22">
        <v>0.17791699999999999</v>
      </c>
      <c r="AV332">
        <f t="shared" ref="AV332:AV388" si="68">-AS332/$F$2*1000</f>
        <v>24.380499999999998</v>
      </c>
      <c r="AW332">
        <f t="shared" ref="AW332:AW388" si="69">AV332*AQ332</f>
        <v>4.3526019039999992</v>
      </c>
      <c r="AX332" s="9"/>
      <c r="AY332" s="22">
        <v>1.52145</v>
      </c>
      <c r="AZ332" s="22">
        <v>606.86300000000006</v>
      </c>
      <c r="BA332" s="22">
        <v>-2.2790500000000002E-2</v>
      </c>
      <c r="BB332" s="22">
        <v>322</v>
      </c>
      <c r="BC332" s="22">
        <v>1.5206900000000001</v>
      </c>
      <c r="BD332">
        <f t="shared" ref="BD332:BD388" si="70">-BA332/$F$2*1000</f>
        <v>22.790500000000002</v>
      </c>
      <c r="BE332">
        <f t="shared" ref="BE332:BE388" si="71">BD332*AY332</f>
        <v>34.674606225000005</v>
      </c>
    </row>
    <row r="333" spans="6:57">
      <c r="F333" s="9"/>
      <c r="G333" s="22">
        <v>0.17349200000000001</v>
      </c>
      <c r="H333" s="22">
        <v>88.535600000000002</v>
      </c>
      <c r="I333" s="22">
        <v>-2.5009199999999999E-2</v>
      </c>
      <c r="J333" s="22">
        <v>323</v>
      </c>
      <c r="K333" s="22">
        <v>0.17330899999999999</v>
      </c>
      <c r="L333">
        <f t="shared" si="60"/>
        <v>25.0092</v>
      </c>
      <c r="M333">
        <f t="shared" si="61"/>
        <v>4.3388961263999999</v>
      </c>
      <c r="N333" s="9"/>
      <c r="O333" s="22">
        <v>1.5264899999999999</v>
      </c>
      <c r="P333" s="22">
        <v>177.85300000000001</v>
      </c>
      <c r="Q333" s="22">
        <v>-2.30286E-2</v>
      </c>
      <c r="R333" s="22">
        <v>323</v>
      </c>
      <c r="S333" s="22">
        <v>1.5264899999999999</v>
      </c>
      <c r="T333">
        <f t="shared" si="62"/>
        <v>23.028600000000001</v>
      </c>
      <c r="U333">
        <f t="shared" si="63"/>
        <v>35.152927613999999</v>
      </c>
      <c r="X333" s="9"/>
      <c r="Y333" s="22">
        <v>0.17349200000000001</v>
      </c>
      <c r="Z333" s="22">
        <v>301.815</v>
      </c>
      <c r="AA333" s="22">
        <v>-2.4478099999999999E-2</v>
      </c>
      <c r="AB333" s="22">
        <v>323</v>
      </c>
      <c r="AC333" s="22">
        <v>0.17291300000000001</v>
      </c>
      <c r="AD333">
        <f t="shared" si="64"/>
        <v>24.478099999999998</v>
      </c>
      <c r="AE333">
        <f t="shared" si="65"/>
        <v>4.2467545252000001</v>
      </c>
      <c r="AF333" s="9"/>
      <c r="AG333" s="22">
        <v>1.5264899999999999</v>
      </c>
      <c r="AH333" s="22">
        <v>407.69400000000002</v>
      </c>
      <c r="AI333" s="22">
        <v>-2.27814E-2</v>
      </c>
      <c r="AJ333" s="22">
        <v>323</v>
      </c>
      <c r="AK333" s="22">
        <v>1.5264899999999999</v>
      </c>
      <c r="AL333">
        <f t="shared" si="66"/>
        <v>22.781400000000001</v>
      </c>
      <c r="AM333">
        <f t="shared" si="67"/>
        <v>34.775579286000003</v>
      </c>
      <c r="AP333" s="9"/>
      <c r="AQ333" s="22">
        <v>0.17349200000000001</v>
      </c>
      <c r="AR333" s="22">
        <v>496.084</v>
      </c>
      <c r="AS333" s="22">
        <v>-2.4389600000000001E-2</v>
      </c>
      <c r="AT333" s="22">
        <v>323</v>
      </c>
      <c r="AU333" s="22">
        <v>0.17321800000000001</v>
      </c>
      <c r="AV333">
        <f t="shared" si="68"/>
        <v>24.389600000000002</v>
      </c>
      <c r="AW333">
        <f t="shared" si="69"/>
        <v>4.2314004832000007</v>
      </c>
      <c r="AX333" s="9"/>
      <c r="AY333" s="22">
        <v>1.5264899999999999</v>
      </c>
      <c r="AZ333" s="22">
        <v>606.96299999999997</v>
      </c>
      <c r="BA333" s="22">
        <v>-2.2778300000000001E-2</v>
      </c>
      <c r="BB333" s="22">
        <v>323</v>
      </c>
      <c r="BC333" s="22">
        <v>1.5261800000000001</v>
      </c>
      <c r="BD333">
        <f t="shared" si="70"/>
        <v>22.778300000000002</v>
      </c>
      <c r="BE333">
        <f t="shared" si="71"/>
        <v>34.770847166999999</v>
      </c>
    </row>
    <row r="334" spans="6:57">
      <c r="F334" s="9"/>
      <c r="G334" s="22">
        <v>0.168457</v>
      </c>
      <c r="H334" s="22">
        <v>88.636300000000006</v>
      </c>
      <c r="I334" s="22">
        <v>-2.5024399999999999E-2</v>
      </c>
      <c r="J334" s="22">
        <v>324</v>
      </c>
      <c r="K334" s="22">
        <v>0.16799900000000001</v>
      </c>
      <c r="L334">
        <f t="shared" si="60"/>
        <v>25.0244</v>
      </c>
      <c r="M334">
        <f t="shared" si="61"/>
        <v>4.2155353507999997</v>
      </c>
      <c r="N334" s="9"/>
      <c r="O334" s="22">
        <v>1.53152</v>
      </c>
      <c r="P334" s="22">
        <v>177.95400000000001</v>
      </c>
      <c r="Q334" s="22">
        <v>-2.3025500000000001E-2</v>
      </c>
      <c r="R334" s="22">
        <v>324</v>
      </c>
      <c r="S334" s="22">
        <v>1.5307599999999999</v>
      </c>
      <c r="T334">
        <f t="shared" si="62"/>
        <v>23.025500000000001</v>
      </c>
      <c r="U334">
        <f t="shared" si="63"/>
        <v>35.264013760000005</v>
      </c>
      <c r="X334" s="9"/>
      <c r="Y334" s="22">
        <v>0.168457</v>
      </c>
      <c r="Z334" s="22">
        <v>301.916</v>
      </c>
      <c r="AA334" s="22">
        <v>-2.44751E-2</v>
      </c>
      <c r="AB334" s="22">
        <v>324</v>
      </c>
      <c r="AC334" s="22">
        <v>0.168182</v>
      </c>
      <c r="AD334">
        <f t="shared" si="64"/>
        <v>24.475100000000001</v>
      </c>
      <c r="AE334">
        <f t="shared" si="65"/>
        <v>4.1230019207000002</v>
      </c>
      <c r="AF334" s="9"/>
      <c r="AG334" s="22">
        <v>1.53152</v>
      </c>
      <c r="AH334" s="22">
        <v>407.79500000000002</v>
      </c>
      <c r="AI334" s="22">
        <v>-2.2763100000000001E-2</v>
      </c>
      <c r="AJ334" s="22">
        <v>324</v>
      </c>
      <c r="AK334" s="22">
        <v>1.5310699999999999</v>
      </c>
      <c r="AL334">
        <f t="shared" si="66"/>
        <v>22.763100000000001</v>
      </c>
      <c r="AM334">
        <f t="shared" si="67"/>
        <v>34.862142912000003</v>
      </c>
      <c r="AP334" s="9"/>
      <c r="AQ334" s="22">
        <v>0.168457</v>
      </c>
      <c r="AR334" s="22">
        <v>496.185</v>
      </c>
      <c r="AS334" s="22">
        <v>-2.4386600000000001E-2</v>
      </c>
      <c r="AT334" s="22">
        <v>324</v>
      </c>
      <c r="AU334" s="22">
        <v>0.16796900000000001</v>
      </c>
      <c r="AV334">
        <f t="shared" si="68"/>
        <v>24.386600000000001</v>
      </c>
      <c r="AW334">
        <f t="shared" si="69"/>
        <v>4.1080934762000005</v>
      </c>
      <c r="AX334" s="9"/>
      <c r="AY334" s="22">
        <v>1.53152</v>
      </c>
      <c r="AZ334" s="22">
        <v>607.06399999999996</v>
      </c>
      <c r="BA334" s="22">
        <v>-2.2756999999999999E-2</v>
      </c>
      <c r="BB334" s="22">
        <v>324</v>
      </c>
      <c r="BC334" s="22">
        <v>1.5307599999999999</v>
      </c>
      <c r="BD334">
        <f t="shared" si="70"/>
        <v>22.756999999999998</v>
      </c>
      <c r="BE334">
        <f t="shared" si="71"/>
        <v>34.852800639999998</v>
      </c>
    </row>
    <row r="335" spans="6:57">
      <c r="F335" s="9"/>
      <c r="G335" s="22">
        <v>0.16342200000000001</v>
      </c>
      <c r="H335" s="22">
        <v>88.736999999999995</v>
      </c>
      <c r="I335" s="22">
        <v>-2.5021399999999999E-2</v>
      </c>
      <c r="J335" s="22">
        <v>325</v>
      </c>
      <c r="K335" s="22">
        <v>0.162964</v>
      </c>
      <c r="L335">
        <f t="shared" si="60"/>
        <v>25.0214</v>
      </c>
      <c r="M335">
        <f t="shared" si="61"/>
        <v>4.0890472308000003</v>
      </c>
      <c r="N335" s="9"/>
      <c r="O335" s="22">
        <v>1.5365599999999999</v>
      </c>
      <c r="P335" s="22">
        <v>178.054</v>
      </c>
      <c r="Q335" s="22">
        <v>-2.30133E-2</v>
      </c>
      <c r="R335" s="22">
        <v>325</v>
      </c>
      <c r="S335" s="22">
        <v>1.5362499999999999</v>
      </c>
      <c r="T335">
        <f t="shared" si="62"/>
        <v>23.013300000000001</v>
      </c>
      <c r="U335">
        <f t="shared" si="63"/>
        <v>35.361316248000001</v>
      </c>
      <c r="X335" s="9"/>
      <c r="Y335" s="22">
        <v>0.16342200000000001</v>
      </c>
      <c r="Z335" s="22">
        <v>302.017</v>
      </c>
      <c r="AA335" s="22">
        <v>-2.453E-2</v>
      </c>
      <c r="AB335" s="22">
        <v>325</v>
      </c>
      <c r="AC335" s="22">
        <v>0.16308600000000001</v>
      </c>
      <c r="AD335">
        <f t="shared" si="64"/>
        <v>24.53</v>
      </c>
      <c r="AE335">
        <f t="shared" si="65"/>
        <v>4.0087416600000001</v>
      </c>
      <c r="AF335" s="9"/>
      <c r="AG335" s="22">
        <v>1.5365599999999999</v>
      </c>
      <c r="AH335" s="22">
        <v>407.89499999999998</v>
      </c>
      <c r="AI335" s="22">
        <v>-2.2750900000000001E-2</v>
      </c>
      <c r="AJ335" s="22">
        <v>325</v>
      </c>
      <c r="AK335" s="22">
        <v>1.5359499999999999</v>
      </c>
      <c r="AL335">
        <f t="shared" si="66"/>
        <v>22.750900000000001</v>
      </c>
      <c r="AM335">
        <f t="shared" si="67"/>
        <v>34.958122904</v>
      </c>
      <c r="AP335" s="9"/>
      <c r="AQ335" s="22">
        <v>0.16342200000000001</v>
      </c>
      <c r="AR335" s="22">
        <v>496.286</v>
      </c>
      <c r="AS335" s="22">
        <v>-2.4395799999999999E-2</v>
      </c>
      <c r="AT335" s="22">
        <v>325</v>
      </c>
      <c r="AU335" s="22">
        <v>0.16275000000000001</v>
      </c>
      <c r="AV335">
        <f t="shared" si="68"/>
        <v>24.395799999999998</v>
      </c>
      <c r="AW335">
        <f t="shared" si="69"/>
        <v>3.9868104276</v>
      </c>
      <c r="AX335" s="9"/>
      <c r="AY335" s="22">
        <v>1.5365599999999999</v>
      </c>
      <c r="AZ335" s="22">
        <v>607.16499999999996</v>
      </c>
      <c r="BA335" s="22">
        <v>-2.2732499999999999E-2</v>
      </c>
      <c r="BB335" s="22">
        <v>325</v>
      </c>
      <c r="BC335" s="22">
        <v>1.5362499999999999</v>
      </c>
      <c r="BD335">
        <f t="shared" si="70"/>
        <v>22.732499999999998</v>
      </c>
      <c r="BE335">
        <f t="shared" si="71"/>
        <v>34.929850199999997</v>
      </c>
    </row>
    <row r="336" spans="6:57">
      <c r="F336" s="9"/>
      <c r="G336" s="22">
        <v>0.158386</v>
      </c>
      <c r="H336" s="22">
        <v>88.837699999999998</v>
      </c>
      <c r="I336" s="22">
        <v>-2.5027500000000001E-2</v>
      </c>
      <c r="J336" s="22">
        <v>326</v>
      </c>
      <c r="K336" s="22">
        <v>0.15829499999999999</v>
      </c>
      <c r="L336">
        <f t="shared" si="60"/>
        <v>25.0275</v>
      </c>
      <c r="M336">
        <f t="shared" si="61"/>
        <v>3.964005615</v>
      </c>
      <c r="N336" s="9"/>
      <c r="O336" s="22">
        <v>1.5416000000000001</v>
      </c>
      <c r="P336" s="22">
        <v>178.155</v>
      </c>
      <c r="Q336" s="22">
        <v>-2.2979699999999999E-2</v>
      </c>
      <c r="R336" s="22">
        <v>326</v>
      </c>
      <c r="S336" s="22">
        <v>1.5414399999999999</v>
      </c>
      <c r="T336">
        <f t="shared" si="62"/>
        <v>22.979699999999998</v>
      </c>
      <c r="U336">
        <f t="shared" si="63"/>
        <v>35.425505520000002</v>
      </c>
      <c r="X336" s="9"/>
      <c r="Y336" s="22">
        <v>0.158386</v>
      </c>
      <c r="Z336" s="22">
        <v>302.11700000000002</v>
      </c>
      <c r="AA336" s="22">
        <v>-2.4527E-2</v>
      </c>
      <c r="AB336" s="22">
        <v>326</v>
      </c>
      <c r="AC336" s="22">
        <v>0.158142</v>
      </c>
      <c r="AD336">
        <f t="shared" si="64"/>
        <v>24.527000000000001</v>
      </c>
      <c r="AE336">
        <f t="shared" si="65"/>
        <v>3.884733422</v>
      </c>
      <c r="AF336" s="9"/>
      <c r="AG336" s="22">
        <v>1.5416000000000001</v>
      </c>
      <c r="AH336" s="22">
        <v>407.99599999999998</v>
      </c>
      <c r="AI336" s="22">
        <v>-2.27417E-2</v>
      </c>
      <c r="AJ336" s="22">
        <v>326</v>
      </c>
      <c r="AK336" s="22">
        <v>1.5408299999999999</v>
      </c>
      <c r="AL336">
        <f t="shared" si="66"/>
        <v>22.741700000000002</v>
      </c>
      <c r="AM336">
        <f t="shared" si="67"/>
        <v>35.058604720000005</v>
      </c>
      <c r="AP336" s="9"/>
      <c r="AQ336" s="22">
        <v>0.158386</v>
      </c>
      <c r="AR336" s="22">
        <v>496.387</v>
      </c>
      <c r="AS336" s="22">
        <v>-2.44049E-2</v>
      </c>
      <c r="AT336" s="22">
        <v>326</v>
      </c>
      <c r="AU336" s="22">
        <v>0.15798999999999999</v>
      </c>
      <c r="AV336">
        <f t="shared" si="68"/>
        <v>24.404900000000001</v>
      </c>
      <c r="AW336">
        <f t="shared" si="69"/>
        <v>3.8653944914</v>
      </c>
      <c r="AX336" s="9"/>
      <c r="AY336" s="22">
        <v>1.5416000000000001</v>
      </c>
      <c r="AZ336" s="22">
        <v>607.26499999999999</v>
      </c>
      <c r="BA336" s="22">
        <v>-2.2717299999999999E-2</v>
      </c>
      <c r="BB336" s="22">
        <v>326</v>
      </c>
      <c r="BC336" s="22">
        <v>1.54114</v>
      </c>
      <c r="BD336">
        <f t="shared" si="70"/>
        <v>22.717299999999998</v>
      </c>
      <c r="BE336">
        <f t="shared" si="71"/>
        <v>35.02098968</v>
      </c>
    </row>
    <row r="337" spans="6:57">
      <c r="F337" s="9"/>
      <c r="G337" s="22">
        <v>0.15335099999999999</v>
      </c>
      <c r="H337" s="22">
        <v>88.938400000000001</v>
      </c>
      <c r="I337" s="22">
        <v>-2.5036599999999999E-2</v>
      </c>
      <c r="J337" s="22">
        <v>327</v>
      </c>
      <c r="K337" s="22">
        <v>0.15295400000000001</v>
      </c>
      <c r="L337">
        <f t="shared" si="60"/>
        <v>25.0366</v>
      </c>
      <c r="M337">
        <f t="shared" si="61"/>
        <v>3.8393876465999996</v>
      </c>
      <c r="N337" s="9"/>
      <c r="O337" s="22">
        <v>1.5466299999999999</v>
      </c>
      <c r="P337" s="22">
        <v>178.256</v>
      </c>
      <c r="Q337" s="22">
        <v>-2.2970600000000001E-2</v>
      </c>
      <c r="R337" s="22">
        <v>327</v>
      </c>
      <c r="S337" s="22">
        <v>1.5460199999999999</v>
      </c>
      <c r="T337">
        <f t="shared" si="62"/>
        <v>22.970600000000001</v>
      </c>
      <c r="U337">
        <f t="shared" si="63"/>
        <v>35.527019078000002</v>
      </c>
      <c r="X337" s="9"/>
      <c r="Y337" s="22">
        <v>0.15335099999999999</v>
      </c>
      <c r="Z337" s="22">
        <v>302.21800000000002</v>
      </c>
      <c r="AA337" s="22">
        <v>-2.4539200000000001E-2</v>
      </c>
      <c r="AB337" s="22">
        <v>327</v>
      </c>
      <c r="AC337" s="22">
        <v>0.152557</v>
      </c>
      <c r="AD337">
        <f t="shared" si="64"/>
        <v>24.539200000000001</v>
      </c>
      <c r="AE337">
        <f t="shared" si="65"/>
        <v>3.7631108591999998</v>
      </c>
      <c r="AF337" s="9"/>
      <c r="AG337" s="22">
        <v>1.5466299999999999</v>
      </c>
      <c r="AH337" s="22">
        <v>408.09699999999998</v>
      </c>
      <c r="AI337" s="22">
        <v>-2.2720299999999999E-2</v>
      </c>
      <c r="AJ337" s="22">
        <v>327</v>
      </c>
      <c r="AK337" s="22">
        <v>1.5460199999999999</v>
      </c>
      <c r="AL337">
        <f t="shared" si="66"/>
        <v>22.720299999999998</v>
      </c>
      <c r="AM337">
        <f t="shared" si="67"/>
        <v>35.139897588999993</v>
      </c>
      <c r="AP337" s="9"/>
      <c r="AQ337" s="22">
        <v>0.15335099999999999</v>
      </c>
      <c r="AR337" s="22">
        <v>496.48700000000002</v>
      </c>
      <c r="AS337" s="22">
        <v>-2.44049E-2</v>
      </c>
      <c r="AT337" s="22">
        <v>327</v>
      </c>
      <c r="AU337" s="22">
        <v>0.153168</v>
      </c>
      <c r="AV337">
        <f t="shared" si="68"/>
        <v>24.404900000000001</v>
      </c>
      <c r="AW337">
        <f t="shared" si="69"/>
        <v>3.7425158198999999</v>
      </c>
      <c r="AX337" s="9"/>
      <c r="AY337" s="22">
        <v>1.5466299999999999</v>
      </c>
      <c r="AZ337" s="22">
        <v>607.36599999999999</v>
      </c>
      <c r="BA337" s="22">
        <v>-2.2692899999999998E-2</v>
      </c>
      <c r="BB337" s="22">
        <v>327</v>
      </c>
      <c r="BC337" s="22">
        <v>1.54541</v>
      </c>
      <c r="BD337">
        <f t="shared" si="70"/>
        <v>22.692899999999998</v>
      </c>
      <c r="BE337">
        <f t="shared" si="71"/>
        <v>35.097519926999993</v>
      </c>
    </row>
    <row r="338" spans="6:57">
      <c r="F338" s="9"/>
      <c r="G338" s="22">
        <v>0.148315</v>
      </c>
      <c r="H338" s="22">
        <v>89.039100000000005</v>
      </c>
      <c r="I338" s="22">
        <v>-2.5042700000000001E-2</v>
      </c>
      <c r="J338" s="22">
        <v>328</v>
      </c>
      <c r="K338" s="22">
        <v>0.14801</v>
      </c>
      <c r="L338">
        <f t="shared" si="60"/>
        <v>25.0427</v>
      </c>
      <c r="M338">
        <f t="shared" si="61"/>
        <v>3.7142080504999999</v>
      </c>
      <c r="N338" s="9"/>
      <c r="O338" s="22">
        <v>1.5516700000000001</v>
      </c>
      <c r="P338" s="22">
        <v>178.357</v>
      </c>
      <c r="Q338" s="22">
        <v>-2.2943100000000001E-2</v>
      </c>
      <c r="R338" s="22">
        <v>328</v>
      </c>
      <c r="S338" s="22">
        <v>1.55121</v>
      </c>
      <c r="T338">
        <f t="shared" si="62"/>
        <v>22.943100000000001</v>
      </c>
      <c r="U338">
        <f t="shared" si="63"/>
        <v>35.600119977000006</v>
      </c>
      <c r="X338" s="9"/>
      <c r="Y338" s="22">
        <v>0.148315</v>
      </c>
      <c r="Z338" s="22">
        <v>302.31900000000002</v>
      </c>
      <c r="AA338" s="22">
        <v>-2.4554400000000001E-2</v>
      </c>
      <c r="AB338" s="22">
        <v>328</v>
      </c>
      <c r="AC338" s="22">
        <v>0.147644</v>
      </c>
      <c r="AD338">
        <f t="shared" si="64"/>
        <v>24.554400000000001</v>
      </c>
      <c r="AE338">
        <f t="shared" si="65"/>
        <v>3.6417858360000004</v>
      </c>
      <c r="AF338" s="9"/>
      <c r="AG338" s="22">
        <v>1.5516700000000001</v>
      </c>
      <c r="AH338" s="22">
        <v>408.19799999999998</v>
      </c>
      <c r="AI338" s="22">
        <v>-2.26898E-2</v>
      </c>
      <c r="AJ338" s="22">
        <v>328</v>
      </c>
      <c r="AK338" s="22">
        <v>1.5515099999999999</v>
      </c>
      <c r="AL338">
        <f t="shared" si="66"/>
        <v>22.689799999999998</v>
      </c>
      <c r="AM338">
        <f t="shared" si="67"/>
        <v>35.207081965999997</v>
      </c>
      <c r="AP338" s="9"/>
      <c r="AQ338" s="22">
        <v>0.148315</v>
      </c>
      <c r="AR338" s="22">
        <v>496.58800000000002</v>
      </c>
      <c r="AS338" s="22">
        <v>-2.4410999999999999E-2</v>
      </c>
      <c r="AT338" s="22">
        <v>328</v>
      </c>
      <c r="AU338" s="22">
        <v>0.14791899999999999</v>
      </c>
      <c r="AV338">
        <f t="shared" si="68"/>
        <v>24.410999999999998</v>
      </c>
      <c r="AW338">
        <f t="shared" si="69"/>
        <v>3.6205174649999998</v>
      </c>
      <c r="AX338" s="9"/>
      <c r="AY338" s="22">
        <v>1.5516700000000001</v>
      </c>
      <c r="AZ338" s="22">
        <v>607.46699999999998</v>
      </c>
      <c r="BA338" s="22">
        <v>-2.2668500000000001E-2</v>
      </c>
      <c r="BB338" s="22">
        <v>328</v>
      </c>
      <c r="BC338" s="22">
        <v>1.5508999999999999</v>
      </c>
      <c r="BD338">
        <f t="shared" si="70"/>
        <v>22.668500000000002</v>
      </c>
      <c r="BE338">
        <f t="shared" si="71"/>
        <v>35.174031395000007</v>
      </c>
    </row>
    <row r="339" spans="6:57">
      <c r="F339" s="9"/>
      <c r="G339" s="22">
        <v>0.14327999999999999</v>
      </c>
      <c r="H339" s="22">
        <v>89.139799999999994</v>
      </c>
      <c r="I339" s="22">
        <v>-2.5039700000000002E-2</v>
      </c>
      <c r="J339" s="22">
        <v>329</v>
      </c>
      <c r="K339" s="22">
        <v>0.14288300000000001</v>
      </c>
      <c r="L339">
        <f t="shared" si="60"/>
        <v>25.0397</v>
      </c>
      <c r="M339">
        <f t="shared" si="61"/>
        <v>3.5876882159999997</v>
      </c>
      <c r="N339" s="9"/>
      <c r="O339" s="22">
        <v>1.5567</v>
      </c>
      <c r="P339" s="22">
        <v>178.45699999999999</v>
      </c>
      <c r="Q339" s="22">
        <v>-2.2921799999999999E-2</v>
      </c>
      <c r="R339" s="22">
        <v>329</v>
      </c>
      <c r="S339" s="22">
        <v>1.55609</v>
      </c>
      <c r="T339">
        <f t="shared" si="62"/>
        <v>22.921799999999998</v>
      </c>
      <c r="U339">
        <f t="shared" si="63"/>
        <v>35.682366059999993</v>
      </c>
      <c r="X339" s="9"/>
      <c r="Y339" s="22">
        <v>0.14327999999999999</v>
      </c>
      <c r="Z339" s="22">
        <v>302.41899999999998</v>
      </c>
      <c r="AA339" s="22">
        <v>-2.4557499999999999E-2</v>
      </c>
      <c r="AB339" s="22">
        <v>329</v>
      </c>
      <c r="AC339" s="22">
        <v>0.143402</v>
      </c>
      <c r="AD339">
        <f t="shared" si="64"/>
        <v>24.557500000000001</v>
      </c>
      <c r="AE339">
        <f t="shared" si="65"/>
        <v>3.5185985999999998</v>
      </c>
      <c r="AF339" s="9"/>
      <c r="AG339" s="22">
        <v>1.5567</v>
      </c>
      <c r="AH339" s="22">
        <v>408.298</v>
      </c>
      <c r="AI339" s="22">
        <v>-2.2665399999999999E-2</v>
      </c>
      <c r="AJ339" s="22">
        <v>329</v>
      </c>
      <c r="AK339" s="22">
        <v>1.5564</v>
      </c>
      <c r="AL339">
        <f t="shared" si="66"/>
        <v>22.665399999999998</v>
      </c>
      <c r="AM339">
        <f t="shared" si="67"/>
        <v>35.283228179999995</v>
      </c>
      <c r="AP339" s="9"/>
      <c r="AQ339" s="22">
        <v>0.14327999999999999</v>
      </c>
      <c r="AR339" s="22">
        <v>496.68900000000002</v>
      </c>
      <c r="AS339" s="22">
        <v>-2.4414100000000001E-2</v>
      </c>
      <c r="AT339" s="22">
        <v>329</v>
      </c>
      <c r="AU339" s="22">
        <v>0.14257800000000001</v>
      </c>
      <c r="AV339">
        <f t="shared" si="68"/>
        <v>24.414100000000001</v>
      </c>
      <c r="AW339">
        <f t="shared" si="69"/>
        <v>3.498052248</v>
      </c>
      <c r="AX339" s="9"/>
      <c r="AY339" s="22">
        <v>1.5567</v>
      </c>
      <c r="AZ339" s="22">
        <v>607.56799999999998</v>
      </c>
      <c r="BA339" s="22">
        <v>-2.2656300000000001E-2</v>
      </c>
      <c r="BB339" s="22">
        <v>329</v>
      </c>
      <c r="BC339" s="22">
        <v>1.5564</v>
      </c>
      <c r="BD339">
        <f t="shared" si="70"/>
        <v>22.656300000000002</v>
      </c>
      <c r="BE339">
        <f t="shared" si="71"/>
        <v>35.269062210000001</v>
      </c>
    </row>
    <row r="340" spans="6:57">
      <c r="F340" s="9"/>
      <c r="G340" s="22">
        <v>0.13824500000000001</v>
      </c>
      <c r="H340" s="22">
        <v>89.240499999999997</v>
      </c>
      <c r="I340" s="22">
        <v>-2.50488E-2</v>
      </c>
      <c r="J340" s="22">
        <v>330</v>
      </c>
      <c r="K340" s="22">
        <v>0.13775599999999999</v>
      </c>
      <c r="L340">
        <f t="shared" si="60"/>
        <v>25.0488</v>
      </c>
      <c r="M340">
        <f t="shared" si="61"/>
        <v>3.462871356</v>
      </c>
      <c r="N340" s="9"/>
      <c r="O340" s="22">
        <v>1.5617399999999999</v>
      </c>
      <c r="P340" s="22">
        <v>178.55799999999999</v>
      </c>
      <c r="Q340" s="22">
        <v>-2.2894299999999999E-2</v>
      </c>
      <c r="R340" s="22">
        <v>330</v>
      </c>
      <c r="S340" s="22">
        <v>1.56158</v>
      </c>
      <c r="T340">
        <f t="shared" si="62"/>
        <v>22.894299999999998</v>
      </c>
      <c r="U340">
        <f t="shared" si="63"/>
        <v>35.754944081999994</v>
      </c>
      <c r="X340" s="9"/>
      <c r="Y340" s="22">
        <v>0.13824500000000001</v>
      </c>
      <c r="Z340" s="22">
        <v>302.52</v>
      </c>
      <c r="AA340" s="22">
        <v>-2.45667E-2</v>
      </c>
      <c r="AB340" s="22">
        <v>330</v>
      </c>
      <c r="AC340" s="22">
        <v>0.137543</v>
      </c>
      <c r="AD340">
        <f t="shared" si="64"/>
        <v>24.566700000000001</v>
      </c>
      <c r="AE340">
        <f t="shared" si="65"/>
        <v>3.3962234415000001</v>
      </c>
      <c r="AF340" s="9"/>
      <c r="AG340" s="22">
        <v>1.5617399999999999</v>
      </c>
      <c r="AH340" s="22">
        <v>408.399</v>
      </c>
      <c r="AI340" s="22">
        <v>-2.2628800000000001E-2</v>
      </c>
      <c r="AJ340" s="22">
        <v>330</v>
      </c>
      <c r="AK340" s="22">
        <v>1.56067</v>
      </c>
      <c r="AL340">
        <f t="shared" si="66"/>
        <v>22.628800000000002</v>
      </c>
      <c r="AM340">
        <f t="shared" si="67"/>
        <v>35.340302112000003</v>
      </c>
      <c r="AP340" s="9"/>
      <c r="AQ340" s="22">
        <v>0.13824500000000001</v>
      </c>
      <c r="AR340" s="22">
        <v>496.78899999999999</v>
      </c>
      <c r="AS340" s="22">
        <v>-2.44202E-2</v>
      </c>
      <c r="AT340" s="22">
        <v>330</v>
      </c>
      <c r="AU340" s="22">
        <v>0.137268</v>
      </c>
      <c r="AV340">
        <f t="shared" si="68"/>
        <v>24.420200000000001</v>
      </c>
      <c r="AW340">
        <f t="shared" si="69"/>
        <v>3.3759705490000003</v>
      </c>
      <c r="AX340" s="9"/>
      <c r="AY340" s="22">
        <v>1.5617399999999999</v>
      </c>
      <c r="AZ340" s="22">
        <v>607.66800000000001</v>
      </c>
      <c r="BA340" s="22">
        <v>-2.2625699999999999E-2</v>
      </c>
      <c r="BB340" s="22">
        <v>330</v>
      </c>
      <c r="BC340" s="22">
        <v>1.56128</v>
      </c>
      <c r="BD340">
        <f t="shared" si="70"/>
        <v>22.625699999999998</v>
      </c>
      <c r="BE340">
        <f t="shared" si="71"/>
        <v>35.335460717999993</v>
      </c>
    </row>
    <row r="341" spans="6:57">
      <c r="F341" s="9"/>
      <c r="G341" s="22">
        <v>0.13320899999999999</v>
      </c>
      <c r="H341" s="22">
        <v>89.341200000000001</v>
      </c>
      <c r="I341" s="22">
        <v>-2.50458E-2</v>
      </c>
      <c r="J341" s="22">
        <v>331</v>
      </c>
      <c r="K341" s="22">
        <v>0.13278200000000001</v>
      </c>
      <c r="L341">
        <f t="shared" si="60"/>
        <v>25.0458</v>
      </c>
      <c r="M341">
        <f t="shared" si="61"/>
        <v>3.3363259722</v>
      </c>
      <c r="N341" s="9"/>
      <c r="O341" s="22">
        <v>1.56677</v>
      </c>
      <c r="P341" s="22">
        <v>178.65899999999999</v>
      </c>
      <c r="Q341" s="22">
        <v>-2.2860700000000001E-2</v>
      </c>
      <c r="R341" s="22">
        <v>331</v>
      </c>
      <c r="S341" s="22">
        <v>1.56647</v>
      </c>
      <c r="T341">
        <f t="shared" si="62"/>
        <v>22.860700000000001</v>
      </c>
      <c r="U341">
        <f t="shared" si="63"/>
        <v>35.817458939000005</v>
      </c>
      <c r="X341" s="9"/>
      <c r="Y341" s="22">
        <v>0.13320899999999999</v>
      </c>
      <c r="Z341" s="22">
        <v>302.62099999999998</v>
      </c>
      <c r="AA341" s="22">
        <v>-2.4563600000000001E-2</v>
      </c>
      <c r="AB341" s="22">
        <v>331</v>
      </c>
      <c r="AC341" s="22">
        <v>0.132355</v>
      </c>
      <c r="AD341">
        <f t="shared" si="64"/>
        <v>24.563600000000001</v>
      </c>
      <c r="AE341">
        <f t="shared" si="65"/>
        <v>3.2720925923999999</v>
      </c>
      <c r="AF341" s="9"/>
      <c r="AG341" s="22">
        <v>1.56677</v>
      </c>
      <c r="AH341" s="22">
        <v>408.5</v>
      </c>
      <c r="AI341" s="22">
        <v>-2.2610499999999999E-2</v>
      </c>
      <c r="AJ341" s="22">
        <v>331</v>
      </c>
      <c r="AK341" s="22">
        <v>1.56647</v>
      </c>
      <c r="AL341">
        <f t="shared" si="66"/>
        <v>22.610499999999998</v>
      </c>
      <c r="AM341">
        <f t="shared" si="67"/>
        <v>35.425453084999994</v>
      </c>
      <c r="AP341" s="9"/>
      <c r="AQ341" s="22">
        <v>0.13320899999999999</v>
      </c>
      <c r="AR341" s="22">
        <v>496.89</v>
      </c>
      <c r="AS341" s="22">
        <v>-2.4429300000000001E-2</v>
      </c>
      <c r="AT341" s="22">
        <v>331</v>
      </c>
      <c r="AU341" s="22">
        <v>0.13250700000000001</v>
      </c>
      <c r="AV341">
        <f t="shared" si="68"/>
        <v>24.429300000000001</v>
      </c>
      <c r="AW341">
        <f t="shared" si="69"/>
        <v>3.2542026236999999</v>
      </c>
      <c r="AX341" s="9"/>
      <c r="AY341" s="22">
        <v>1.56677</v>
      </c>
      <c r="AZ341" s="22">
        <v>607.76900000000001</v>
      </c>
      <c r="BA341" s="22">
        <v>-2.25922E-2</v>
      </c>
      <c r="BB341" s="22">
        <v>331</v>
      </c>
      <c r="BC341" s="22">
        <v>1.56616</v>
      </c>
      <c r="BD341">
        <f t="shared" si="70"/>
        <v>22.592199999999998</v>
      </c>
      <c r="BE341">
        <f t="shared" si="71"/>
        <v>35.396781193999999</v>
      </c>
    </row>
    <row r="342" spans="6:57">
      <c r="F342" s="9"/>
      <c r="G342" s="22">
        <v>0.12817400000000001</v>
      </c>
      <c r="H342" s="22">
        <v>89.441999999999993</v>
      </c>
      <c r="I342" s="22">
        <v>-2.50458E-2</v>
      </c>
      <c r="J342" s="22">
        <v>332</v>
      </c>
      <c r="K342" s="22">
        <v>0.12786900000000001</v>
      </c>
      <c r="L342">
        <f t="shared" si="60"/>
        <v>25.0458</v>
      </c>
      <c r="M342">
        <f t="shared" si="61"/>
        <v>3.2102203692000004</v>
      </c>
      <c r="N342" s="9"/>
      <c r="O342" s="22">
        <v>1.5718099999999999</v>
      </c>
      <c r="P342" s="22">
        <v>178.75899999999999</v>
      </c>
      <c r="Q342" s="22">
        <v>-2.2827099999999999E-2</v>
      </c>
      <c r="R342" s="22">
        <v>332</v>
      </c>
      <c r="S342" s="22">
        <v>1.57104</v>
      </c>
      <c r="T342">
        <f t="shared" si="62"/>
        <v>22.827099999999998</v>
      </c>
      <c r="U342">
        <f t="shared" si="63"/>
        <v>35.879864050999998</v>
      </c>
      <c r="X342" s="9"/>
      <c r="Y342" s="22">
        <v>0.12817400000000001</v>
      </c>
      <c r="Z342" s="22">
        <v>302.72199999999998</v>
      </c>
      <c r="AA342" s="22">
        <v>-2.45697E-2</v>
      </c>
      <c r="AB342" s="22">
        <v>332</v>
      </c>
      <c r="AC342" s="22">
        <v>0.12731899999999999</v>
      </c>
      <c r="AD342">
        <f t="shared" si="64"/>
        <v>24.569700000000001</v>
      </c>
      <c r="AE342">
        <f t="shared" si="65"/>
        <v>3.1491967278000006</v>
      </c>
      <c r="AF342" s="9"/>
      <c r="AG342" s="22">
        <v>1.5718099999999999</v>
      </c>
      <c r="AH342" s="22">
        <v>408.6</v>
      </c>
      <c r="AI342" s="22">
        <v>-2.2579999999999999E-2</v>
      </c>
      <c r="AJ342" s="22">
        <v>332</v>
      </c>
      <c r="AK342" s="22">
        <v>1.57135</v>
      </c>
      <c r="AL342">
        <f t="shared" si="66"/>
        <v>22.58</v>
      </c>
      <c r="AM342">
        <f t="shared" si="67"/>
        <v>35.491469799999997</v>
      </c>
      <c r="AP342" s="9"/>
      <c r="AQ342" s="22">
        <v>0.12817400000000001</v>
      </c>
      <c r="AR342" s="22">
        <v>496.99099999999999</v>
      </c>
      <c r="AS342" s="22">
        <v>-2.4438499999999998E-2</v>
      </c>
      <c r="AT342" s="22">
        <v>332</v>
      </c>
      <c r="AU342" s="22">
        <v>0.127777</v>
      </c>
      <c r="AV342">
        <f t="shared" si="68"/>
        <v>24.438499999999998</v>
      </c>
      <c r="AW342">
        <f t="shared" si="69"/>
        <v>3.1323802989999998</v>
      </c>
      <c r="AX342" s="9"/>
      <c r="AY342" s="22">
        <v>1.5718099999999999</v>
      </c>
      <c r="AZ342" s="22">
        <v>607.87</v>
      </c>
      <c r="BA342" s="22">
        <v>-2.2558600000000002E-2</v>
      </c>
      <c r="BB342" s="22">
        <v>332</v>
      </c>
      <c r="BC342" s="22">
        <v>1.57104</v>
      </c>
      <c r="BD342">
        <f t="shared" si="70"/>
        <v>22.558600000000002</v>
      </c>
      <c r="BE342">
        <f t="shared" si="71"/>
        <v>35.457833065999999</v>
      </c>
    </row>
    <row r="343" spans="6:57">
      <c r="F343" s="9"/>
      <c r="G343" s="22">
        <v>0.123138</v>
      </c>
      <c r="H343" s="22">
        <v>89.542699999999996</v>
      </c>
      <c r="I343" s="22">
        <v>-2.50488E-2</v>
      </c>
      <c r="J343" s="22">
        <v>333</v>
      </c>
      <c r="K343" s="22">
        <v>0.12216200000000001</v>
      </c>
      <c r="L343">
        <f t="shared" si="60"/>
        <v>25.0488</v>
      </c>
      <c r="M343">
        <f t="shared" si="61"/>
        <v>3.0844591343999999</v>
      </c>
      <c r="N343" s="9"/>
      <c r="O343" s="22">
        <v>1.57684</v>
      </c>
      <c r="P343" s="22">
        <v>178.86</v>
      </c>
      <c r="Q343" s="22">
        <v>-2.27844E-2</v>
      </c>
      <c r="R343" s="22">
        <v>333</v>
      </c>
      <c r="S343" s="22">
        <v>1.5759300000000001</v>
      </c>
      <c r="T343">
        <f t="shared" si="62"/>
        <v>22.784400000000002</v>
      </c>
      <c r="U343">
        <f t="shared" si="63"/>
        <v>35.927353296</v>
      </c>
      <c r="X343" s="9"/>
      <c r="Y343" s="22">
        <v>0.123138</v>
      </c>
      <c r="Z343" s="22">
        <v>302.822</v>
      </c>
      <c r="AA343" s="22">
        <v>-2.4575799999999998E-2</v>
      </c>
      <c r="AB343" s="22">
        <v>333</v>
      </c>
      <c r="AC343" s="22">
        <v>0.122711</v>
      </c>
      <c r="AD343">
        <f t="shared" si="64"/>
        <v>24.575799999999997</v>
      </c>
      <c r="AE343">
        <f t="shared" si="65"/>
        <v>3.0262148603999997</v>
      </c>
      <c r="AF343" s="9"/>
      <c r="AG343" s="22">
        <v>1.57684</v>
      </c>
      <c r="AH343" s="22">
        <v>408.70100000000002</v>
      </c>
      <c r="AI343" s="22">
        <v>-2.2549400000000001E-2</v>
      </c>
      <c r="AJ343" s="22">
        <v>333</v>
      </c>
      <c r="AK343" s="22">
        <v>1.5765400000000001</v>
      </c>
      <c r="AL343">
        <f t="shared" si="66"/>
        <v>22.549400000000002</v>
      </c>
      <c r="AM343">
        <f t="shared" si="67"/>
        <v>35.556795896000004</v>
      </c>
      <c r="AP343" s="9"/>
      <c r="AQ343" s="22">
        <v>0.123138</v>
      </c>
      <c r="AR343" s="22">
        <v>497.09199999999998</v>
      </c>
      <c r="AS343" s="22">
        <v>-2.4441500000000001E-2</v>
      </c>
      <c r="AT343" s="22">
        <v>333</v>
      </c>
      <c r="AU343" s="22">
        <v>0.12265</v>
      </c>
      <c r="AV343">
        <f t="shared" si="68"/>
        <v>24.441500000000001</v>
      </c>
      <c r="AW343">
        <f t="shared" si="69"/>
        <v>3.0096774270000002</v>
      </c>
      <c r="AX343" s="9"/>
      <c r="AY343" s="22">
        <v>1.57684</v>
      </c>
      <c r="AZ343" s="22">
        <v>607.97</v>
      </c>
      <c r="BA343" s="22">
        <v>-2.2525E-2</v>
      </c>
      <c r="BB343" s="22">
        <v>333</v>
      </c>
      <c r="BC343" s="22">
        <v>1.5759300000000001</v>
      </c>
      <c r="BD343">
        <f t="shared" si="70"/>
        <v>22.524999999999999</v>
      </c>
      <c r="BE343">
        <f t="shared" si="71"/>
        <v>35.518321</v>
      </c>
    </row>
    <row r="344" spans="6:57">
      <c r="F344" s="9"/>
      <c r="G344" s="22">
        <v>0.118103</v>
      </c>
      <c r="H344" s="22">
        <v>89.6434</v>
      </c>
      <c r="I344" s="22">
        <v>-2.5051899999999998E-2</v>
      </c>
      <c r="J344" s="22">
        <v>334</v>
      </c>
      <c r="K344" s="22">
        <v>0.117523</v>
      </c>
      <c r="L344">
        <f t="shared" si="60"/>
        <v>25.0519</v>
      </c>
      <c r="M344">
        <f t="shared" si="61"/>
        <v>2.9587045456999999</v>
      </c>
      <c r="N344" s="9"/>
      <c r="O344" s="22">
        <v>1.58188</v>
      </c>
      <c r="P344" s="22">
        <v>178.96100000000001</v>
      </c>
      <c r="Q344" s="22">
        <v>-2.2756999999999999E-2</v>
      </c>
      <c r="R344" s="22">
        <v>334</v>
      </c>
      <c r="S344" s="22">
        <v>1.5811200000000001</v>
      </c>
      <c r="T344">
        <f t="shared" si="62"/>
        <v>22.756999999999998</v>
      </c>
      <c r="U344">
        <f t="shared" si="63"/>
        <v>35.998843159999993</v>
      </c>
      <c r="X344" s="9"/>
      <c r="Y344" s="22">
        <v>0.118103</v>
      </c>
      <c r="Z344" s="22">
        <v>302.923</v>
      </c>
      <c r="AA344" s="22">
        <v>-2.4584999999999999E-2</v>
      </c>
      <c r="AB344" s="22">
        <v>334</v>
      </c>
      <c r="AC344" s="22">
        <v>0.117218</v>
      </c>
      <c r="AD344">
        <f t="shared" si="64"/>
        <v>24.585000000000001</v>
      </c>
      <c r="AE344">
        <f t="shared" si="65"/>
        <v>2.9035622550000002</v>
      </c>
      <c r="AF344" s="9"/>
      <c r="AG344" s="22">
        <v>1.58188</v>
      </c>
      <c r="AH344" s="22">
        <v>408.80200000000002</v>
      </c>
      <c r="AI344" s="22">
        <v>-2.2515899999999998E-2</v>
      </c>
      <c r="AJ344" s="22">
        <v>334</v>
      </c>
      <c r="AK344" s="22">
        <v>1.5811200000000001</v>
      </c>
      <c r="AL344">
        <f t="shared" si="66"/>
        <v>22.515899999999998</v>
      </c>
      <c r="AM344">
        <f t="shared" si="67"/>
        <v>35.617451891999998</v>
      </c>
      <c r="AP344" s="9"/>
      <c r="AQ344" s="22">
        <v>0.118103</v>
      </c>
      <c r="AR344" s="22">
        <v>497.19200000000001</v>
      </c>
      <c r="AS344" s="22">
        <v>-2.4438499999999998E-2</v>
      </c>
      <c r="AT344" s="22">
        <v>334</v>
      </c>
      <c r="AU344" s="22">
        <v>0.11770600000000001</v>
      </c>
      <c r="AV344">
        <f t="shared" si="68"/>
        <v>24.438499999999998</v>
      </c>
      <c r="AW344">
        <f t="shared" si="69"/>
        <v>2.8862601654999995</v>
      </c>
      <c r="AX344" s="9"/>
      <c r="AY344" s="22">
        <v>1.58188</v>
      </c>
      <c r="AZ344" s="22">
        <v>608.07100000000003</v>
      </c>
      <c r="BA344" s="22">
        <v>-2.24823E-2</v>
      </c>
      <c r="BB344" s="22">
        <v>334</v>
      </c>
      <c r="BC344" s="22">
        <v>1.5811200000000001</v>
      </c>
      <c r="BD344">
        <f t="shared" si="70"/>
        <v>22.482299999999999</v>
      </c>
      <c r="BE344">
        <f t="shared" si="71"/>
        <v>35.564300723999999</v>
      </c>
    </row>
    <row r="345" spans="6:57">
      <c r="F345" s="9"/>
      <c r="G345" s="22">
        <v>0.113068</v>
      </c>
      <c r="H345" s="22">
        <v>89.744100000000003</v>
      </c>
      <c r="I345" s="22">
        <v>-2.5051899999999998E-2</v>
      </c>
      <c r="J345" s="22">
        <v>335</v>
      </c>
      <c r="K345" s="22">
        <v>0.11264</v>
      </c>
      <c r="L345">
        <f t="shared" si="60"/>
        <v>25.0519</v>
      </c>
      <c r="M345">
        <f t="shared" si="61"/>
        <v>2.8325682292000001</v>
      </c>
      <c r="N345" s="9"/>
      <c r="O345" s="22">
        <v>1.58691</v>
      </c>
      <c r="P345" s="22">
        <v>179.06200000000001</v>
      </c>
      <c r="Q345" s="22">
        <v>-2.2708099999999998E-2</v>
      </c>
      <c r="R345" s="22">
        <v>335</v>
      </c>
      <c r="S345" s="22">
        <v>1.5866100000000001</v>
      </c>
      <c r="T345">
        <f t="shared" si="62"/>
        <v>22.708099999999998</v>
      </c>
      <c r="U345">
        <f t="shared" si="63"/>
        <v>36.035710971</v>
      </c>
      <c r="X345" s="9"/>
      <c r="Y345" s="22">
        <v>0.113068</v>
      </c>
      <c r="Z345" s="22">
        <v>303.024</v>
      </c>
      <c r="AA345" s="22">
        <v>-2.4584999999999999E-2</v>
      </c>
      <c r="AB345" s="22">
        <v>335</v>
      </c>
      <c r="AC345" s="22">
        <v>0.112457</v>
      </c>
      <c r="AD345">
        <f t="shared" si="64"/>
        <v>24.585000000000001</v>
      </c>
      <c r="AE345">
        <f t="shared" si="65"/>
        <v>2.7797767800000002</v>
      </c>
      <c r="AF345" s="9"/>
      <c r="AG345" s="22">
        <v>1.58691</v>
      </c>
      <c r="AH345" s="22">
        <v>408.90199999999999</v>
      </c>
      <c r="AI345" s="22">
        <v>-2.2464000000000001E-2</v>
      </c>
      <c r="AJ345" s="22">
        <v>335</v>
      </c>
      <c r="AK345" s="22">
        <v>1.5863</v>
      </c>
      <c r="AL345">
        <f t="shared" si="66"/>
        <v>22.464000000000002</v>
      </c>
      <c r="AM345">
        <f t="shared" si="67"/>
        <v>35.648346240000002</v>
      </c>
      <c r="AP345" s="9"/>
      <c r="AQ345" s="22">
        <v>0.113068</v>
      </c>
      <c r="AR345" s="22">
        <v>497.29300000000001</v>
      </c>
      <c r="AS345" s="22">
        <v>-2.4450699999999999E-2</v>
      </c>
      <c r="AT345" s="22">
        <v>335</v>
      </c>
      <c r="AU345" s="22">
        <v>0.112274</v>
      </c>
      <c r="AV345">
        <f t="shared" si="68"/>
        <v>24.450699999999998</v>
      </c>
      <c r="AW345">
        <f t="shared" si="69"/>
        <v>2.7645917475999999</v>
      </c>
      <c r="AX345" s="9"/>
      <c r="AY345" s="22">
        <v>1.58691</v>
      </c>
      <c r="AZ345" s="22">
        <v>608.17200000000003</v>
      </c>
      <c r="BA345" s="22">
        <v>-2.2451800000000001E-2</v>
      </c>
      <c r="BB345" s="22">
        <v>335</v>
      </c>
      <c r="BC345" s="22">
        <v>1.5866100000000001</v>
      </c>
      <c r="BD345">
        <f t="shared" si="70"/>
        <v>22.451800000000002</v>
      </c>
      <c r="BE345">
        <f t="shared" si="71"/>
        <v>35.628985938000007</v>
      </c>
    </row>
    <row r="346" spans="6:57">
      <c r="F346" s="9"/>
      <c r="G346" s="22">
        <v>0.108032</v>
      </c>
      <c r="H346" s="22">
        <v>89.844800000000006</v>
      </c>
      <c r="I346" s="22">
        <v>-2.5064099999999999E-2</v>
      </c>
      <c r="J346" s="22">
        <v>336</v>
      </c>
      <c r="K346" s="22">
        <v>0.107544</v>
      </c>
      <c r="L346">
        <f t="shared" si="60"/>
        <v>25.0641</v>
      </c>
      <c r="M346">
        <f t="shared" si="61"/>
        <v>2.7077248512000001</v>
      </c>
      <c r="N346" s="9"/>
      <c r="O346" s="22">
        <v>1.59195</v>
      </c>
      <c r="P346" s="22">
        <v>179.16200000000001</v>
      </c>
      <c r="Q346" s="22">
        <v>-2.2656300000000001E-2</v>
      </c>
      <c r="R346" s="22">
        <v>336</v>
      </c>
      <c r="S346" s="22">
        <v>1.5914900000000001</v>
      </c>
      <c r="T346">
        <f t="shared" si="62"/>
        <v>22.656300000000002</v>
      </c>
      <c r="U346">
        <f t="shared" si="63"/>
        <v>36.067696785000003</v>
      </c>
      <c r="X346" s="9"/>
      <c r="Y346" s="22">
        <v>0.108032</v>
      </c>
      <c r="Z346" s="22">
        <v>303.12400000000002</v>
      </c>
      <c r="AA346" s="22">
        <v>-2.45972E-2</v>
      </c>
      <c r="AB346" s="22">
        <v>336</v>
      </c>
      <c r="AC346" s="22">
        <v>0.10732999999999999</v>
      </c>
      <c r="AD346">
        <f t="shared" si="64"/>
        <v>24.597200000000001</v>
      </c>
      <c r="AE346">
        <f t="shared" si="65"/>
        <v>2.6572847104000004</v>
      </c>
      <c r="AF346" s="9"/>
      <c r="AG346" s="22">
        <v>1.59195</v>
      </c>
      <c r="AH346" s="22">
        <v>409.00299999999999</v>
      </c>
      <c r="AI346" s="22">
        <v>-2.2421300000000002E-2</v>
      </c>
      <c r="AJ346" s="22">
        <v>336</v>
      </c>
      <c r="AK346" s="22">
        <v>1.5914900000000001</v>
      </c>
      <c r="AL346">
        <f t="shared" si="66"/>
        <v>22.421300000000002</v>
      </c>
      <c r="AM346">
        <f t="shared" si="67"/>
        <v>35.693588535000004</v>
      </c>
      <c r="AP346" s="9"/>
      <c r="AQ346" s="22">
        <v>0.108032</v>
      </c>
      <c r="AR346" s="22">
        <v>497.39400000000001</v>
      </c>
      <c r="AS346" s="22">
        <v>-2.4456800000000001E-2</v>
      </c>
      <c r="AT346" s="22">
        <v>336</v>
      </c>
      <c r="AU346" s="22">
        <v>0.107697</v>
      </c>
      <c r="AV346">
        <f t="shared" si="68"/>
        <v>24.456800000000001</v>
      </c>
      <c r="AW346">
        <f t="shared" si="69"/>
        <v>2.6421170176000004</v>
      </c>
      <c r="AX346" s="9"/>
      <c r="AY346" s="22">
        <v>1.59195</v>
      </c>
      <c r="AZ346" s="22">
        <v>608.27300000000002</v>
      </c>
      <c r="BA346" s="22">
        <v>-2.2402999999999999E-2</v>
      </c>
      <c r="BB346" s="22">
        <v>336</v>
      </c>
      <c r="BC346" s="22">
        <v>1.5914900000000001</v>
      </c>
      <c r="BD346">
        <f t="shared" si="70"/>
        <v>22.402999999999999</v>
      </c>
      <c r="BE346">
        <f t="shared" si="71"/>
        <v>35.664455849999996</v>
      </c>
    </row>
    <row r="347" spans="6:57">
      <c r="F347" s="9"/>
      <c r="G347" s="22">
        <v>0.10299700000000001</v>
      </c>
      <c r="H347" s="22">
        <v>89.945499999999996</v>
      </c>
      <c r="I347" s="22">
        <v>-2.50732E-2</v>
      </c>
      <c r="J347" s="22">
        <v>337</v>
      </c>
      <c r="K347" s="22">
        <v>0.102631</v>
      </c>
      <c r="L347">
        <f t="shared" si="60"/>
        <v>25.0732</v>
      </c>
      <c r="M347">
        <f t="shared" si="61"/>
        <v>2.5824643804000003</v>
      </c>
      <c r="N347" s="9"/>
      <c r="O347" s="22">
        <v>1.5969800000000001</v>
      </c>
      <c r="P347" s="22">
        <v>179.26300000000001</v>
      </c>
      <c r="Q347" s="22">
        <v>-2.2625699999999999E-2</v>
      </c>
      <c r="R347" s="22">
        <v>337</v>
      </c>
      <c r="S347" s="22">
        <v>1.5960700000000001</v>
      </c>
      <c r="T347">
        <f t="shared" si="62"/>
        <v>22.625699999999998</v>
      </c>
      <c r="U347">
        <f t="shared" si="63"/>
        <v>36.132790385999996</v>
      </c>
      <c r="X347" s="9"/>
      <c r="Y347" s="22">
        <v>0.10299700000000001</v>
      </c>
      <c r="Z347" s="22">
        <v>303.22500000000002</v>
      </c>
      <c r="AA347" s="22">
        <v>-2.4603300000000002E-2</v>
      </c>
      <c r="AB347" s="22">
        <v>337</v>
      </c>
      <c r="AC347" s="22">
        <v>0.10287499999999999</v>
      </c>
      <c r="AD347">
        <f t="shared" si="64"/>
        <v>24.603300000000001</v>
      </c>
      <c r="AE347">
        <f t="shared" si="65"/>
        <v>2.5340660901000001</v>
      </c>
      <c r="AF347" s="9"/>
      <c r="AG347" s="22">
        <v>1.5969800000000001</v>
      </c>
      <c r="AH347" s="22">
        <v>409.10399999999998</v>
      </c>
      <c r="AI347" s="22">
        <v>-2.2363299999999999E-2</v>
      </c>
      <c r="AJ347" s="22">
        <v>337</v>
      </c>
      <c r="AK347" s="22">
        <v>1.5963700000000001</v>
      </c>
      <c r="AL347">
        <f t="shared" si="66"/>
        <v>22.363299999999999</v>
      </c>
      <c r="AM347">
        <f t="shared" si="67"/>
        <v>35.713742834000001</v>
      </c>
      <c r="AP347" s="9"/>
      <c r="AQ347" s="22">
        <v>0.10299700000000001</v>
      </c>
      <c r="AR347" s="22">
        <v>497.49400000000003</v>
      </c>
      <c r="AS347" s="22">
        <v>-2.44598E-2</v>
      </c>
      <c r="AT347" s="22">
        <v>337</v>
      </c>
      <c r="AU347" s="22">
        <v>0.102631</v>
      </c>
      <c r="AV347">
        <f t="shared" si="68"/>
        <v>24.459800000000001</v>
      </c>
      <c r="AW347">
        <f t="shared" si="69"/>
        <v>2.5192860206000001</v>
      </c>
      <c r="AX347" s="9"/>
      <c r="AY347" s="22">
        <v>1.5969800000000001</v>
      </c>
      <c r="AZ347" s="22">
        <v>608.37300000000005</v>
      </c>
      <c r="BA347" s="22">
        <v>-2.2351099999999999E-2</v>
      </c>
      <c r="BB347" s="22">
        <v>337</v>
      </c>
      <c r="BC347" s="22">
        <v>1.5963700000000001</v>
      </c>
      <c r="BD347">
        <f t="shared" si="70"/>
        <v>22.351099999999999</v>
      </c>
      <c r="BE347">
        <f t="shared" si="71"/>
        <v>35.694259678000002</v>
      </c>
    </row>
    <row r="348" spans="6:57">
      <c r="F348" s="9"/>
      <c r="G348" s="22">
        <v>9.7961400000000004E-2</v>
      </c>
      <c r="H348" s="22">
        <v>90.046199999999999</v>
      </c>
      <c r="I348" s="22">
        <v>-2.5079299999999999E-2</v>
      </c>
      <c r="J348" s="22">
        <v>338</v>
      </c>
      <c r="K348" s="22">
        <v>9.7320599999999993E-2</v>
      </c>
      <c r="L348">
        <f t="shared" si="60"/>
        <v>25.0793</v>
      </c>
      <c r="M348">
        <f t="shared" si="61"/>
        <v>2.4568033390199999</v>
      </c>
      <c r="N348" s="9"/>
      <c r="O348" s="22">
        <v>1.60202</v>
      </c>
      <c r="P348" s="22">
        <v>179.364</v>
      </c>
      <c r="Q348" s="22">
        <v>-2.2558600000000002E-2</v>
      </c>
      <c r="R348" s="22">
        <v>338</v>
      </c>
      <c r="S348" s="22">
        <v>1.6015600000000001</v>
      </c>
      <c r="T348">
        <f t="shared" si="62"/>
        <v>22.558600000000002</v>
      </c>
      <c r="U348">
        <f t="shared" si="63"/>
        <v>36.139328372000001</v>
      </c>
      <c r="X348" s="9"/>
      <c r="Y348" s="22">
        <v>9.7961400000000004E-2</v>
      </c>
      <c r="Z348" s="22">
        <v>303.32600000000002</v>
      </c>
      <c r="AA348" s="22">
        <v>-2.4603300000000002E-2</v>
      </c>
      <c r="AB348" s="22">
        <v>338</v>
      </c>
      <c r="AC348" s="22">
        <v>9.7381599999999999E-2</v>
      </c>
      <c r="AD348">
        <f t="shared" si="64"/>
        <v>24.603300000000001</v>
      </c>
      <c r="AE348">
        <f t="shared" si="65"/>
        <v>2.4101737126200002</v>
      </c>
      <c r="AF348" s="9"/>
      <c r="AG348" s="22">
        <v>1.60202</v>
      </c>
      <c r="AH348" s="22">
        <v>409.20499999999998</v>
      </c>
      <c r="AI348" s="22">
        <v>-2.2311399999999999E-2</v>
      </c>
      <c r="AJ348" s="22">
        <v>338</v>
      </c>
      <c r="AK348" s="22">
        <v>1.6012599999999999</v>
      </c>
      <c r="AL348">
        <f t="shared" si="66"/>
        <v>22.311399999999999</v>
      </c>
      <c r="AM348">
        <f t="shared" si="67"/>
        <v>35.743309027999999</v>
      </c>
      <c r="AP348" s="9"/>
      <c r="AQ348" s="22">
        <v>9.7961400000000004E-2</v>
      </c>
      <c r="AR348" s="22">
        <v>497.59500000000003</v>
      </c>
      <c r="AS348" s="22">
        <v>-2.4465899999999999E-2</v>
      </c>
      <c r="AT348" s="22">
        <v>338</v>
      </c>
      <c r="AU348" s="22">
        <v>9.7900399999999999E-2</v>
      </c>
      <c r="AV348">
        <f t="shared" si="68"/>
        <v>24.465899999999998</v>
      </c>
      <c r="AW348">
        <f t="shared" si="69"/>
        <v>2.3967138162599997</v>
      </c>
      <c r="AX348" s="9"/>
      <c r="AY348" s="22">
        <v>1.60202</v>
      </c>
      <c r="AZ348" s="22">
        <v>608.47400000000005</v>
      </c>
      <c r="BA348" s="22">
        <v>-2.2299200000000002E-2</v>
      </c>
      <c r="BB348" s="22">
        <v>338</v>
      </c>
      <c r="BC348" s="22">
        <v>1.6015600000000001</v>
      </c>
      <c r="BD348">
        <f t="shared" si="70"/>
        <v>22.299200000000003</v>
      </c>
      <c r="BE348">
        <f t="shared" si="71"/>
        <v>35.723764384000006</v>
      </c>
    </row>
    <row r="349" spans="6:57">
      <c r="F349" s="9"/>
      <c r="G349" s="22">
        <v>9.2925999999999995E-2</v>
      </c>
      <c r="H349" s="22">
        <v>90.146900000000002</v>
      </c>
      <c r="I349" s="22">
        <v>-2.5091599999999999E-2</v>
      </c>
      <c r="J349" s="22">
        <v>339</v>
      </c>
      <c r="K349" s="22">
        <v>9.2620800000000003E-2</v>
      </c>
      <c r="L349">
        <f t="shared" si="60"/>
        <v>25.0916</v>
      </c>
      <c r="M349">
        <f t="shared" si="61"/>
        <v>2.3316620215999997</v>
      </c>
      <c r="N349" s="9"/>
      <c r="O349" s="22">
        <v>1.6070599999999999</v>
      </c>
      <c r="P349" s="22">
        <v>179.464</v>
      </c>
      <c r="Q349" s="22">
        <v>-2.24976E-2</v>
      </c>
      <c r="R349" s="22">
        <v>339</v>
      </c>
      <c r="S349" s="22">
        <v>1.6064499999999999</v>
      </c>
      <c r="T349">
        <f t="shared" si="62"/>
        <v>22.497599999999998</v>
      </c>
      <c r="U349">
        <f t="shared" si="63"/>
        <v>36.154993055999995</v>
      </c>
      <c r="X349" s="9"/>
      <c r="Y349" s="22">
        <v>9.2925999999999995E-2</v>
      </c>
      <c r="Z349" s="22">
        <v>303.42700000000002</v>
      </c>
      <c r="AA349" s="22">
        <v>-2.46124E-2</v>
      </c>
      <c r="AB349" s="22">
        <v>339</v>
      </c>
      <c r="AC349" s="22">
        <v>9.2651399999999995E-2</v>
      </c>
      <c r="AD349">
        <f t="shared" si="64"/>
        <v>24.612400000000001</v>
      </c>
      <c r="AE349">
        <f t="shared" si="65"/>
        <v>2.2871318823999998</v>
      </c>
      <c r="AF349" s="9"/>
      <c r="AG349" s="22">
        <v>1.6070599999999999</v>
      </c>
      <c r="AH349" s="22">
        <v>409.30500000000001</v>
      </c>
      <c r="AI349" s="22">
        <v>-2.2247300000000001E-2</v>
      </c>
      <c r="AJ349" s="22">
        <v>339</v>
      </c>
      <c r="AK349" s="22">
        <v>1.6064499999999999</v>
      </c>
      <c r="AL349">
        <f t="shared" si="66"/>
        <v>22.247300000000003</v>
      </c>
      <c r="AM349">
        <f t="shared" si="67"/>
        <v>35.752745938000004</v>
      </c>
      <c r="AP349" s="9"/>
      <c r="AQ349" s="22">
        <v>9.2925999999999995E-2</v>
      </c>
      <c r="AR349" s="22">
        <v>497.69600000000003</v>
      </c>
      <c r="AS349" s="22">
        <v>-2.4472000000000001E-2</v>
      </c>
      <c r="AT349" s="22">
        <v>339</v>
      </c>
      <c r="AU349" s="22">
        <v>9.27124E-2</v>
      </c>
      <c r="AV349">
        <f t="shared" si="68"/>
        <v>24.472000000000001</v>
      </c>
      <c r="AW349">
        <f t="shared" si="69"/>
        <v>2.2740850720000001</v>
      </c>
      <c r="AX349" s="9"/>
      <c r="AY349" s="22">
        <v>1.6070599999999999</v>
      </c>
      <c r="AZ349" s="22">
        <v>608.57500000000005</v>
      </c>
      <c r="BA349" s="22">
        <v>-2.2244300000000002E-2</v>
      </c>
      <c r="BB349" s="22">
        <v>339</v>
      </c>
      <c r="BC349" s="22">
        <v>1.6064499999999999</v>
      </c>
      <c r="BD349">
        <f t="shared" si="70"/>
        <v>22.244300000000003</v>
      </c>
      <c r="BE349">
        <f t="shared" si="71"/>
        <v>35.747924758000003</v>
      </c>
    </row>
    <row r="350" spans="6:57">
      <c r="F350" s="9"/>
      <c r="G350" s="22">
        <v>8.7890599999999999E-2</v>
      </c>
      <c r="H350" s="22">
        <v>90.247600000000006</v>
      </c>
      <c r="I350" s="22">
        <v>-2.5082400000000001E-2</v>
      </c>
      <c r="J350" s="22">
        <v>340</v>
      </c>
      <c r="K350" s="22">
        <v>8.7371799999999999E-2</v>
      </c>
      <c r="L350">
        <f t="shared" si="60"/>
        <v>25.0824</v>
      </c>
      <c r="M350">
        <f t="shared" si="61"/>
        <v>2.2045071854399998</v>
      </c>
      <c r="N350" s="9"/>
      <c r="O350" s="22">
        <v>1.61209</v>
      </c>
      <c r="P350" s="22">
        <v>179.565</v>
      </c>
      <c r="Q350" s="22">
        <v>-2.24304E-2</v>
      </c>
      <c r="R350" s="22">
        <v>340</v>
      </c>
      <c r="S350" s="22">
        <v>1.6116299999999999</v>
      </c>
      <c r="T350">
        <f t="shared" si="62"/>
        <v>22.430399999999999</v>
      </c>
      <c r="U350">
        <f t="shared" si="63"/>
        <v>36.159823535999998</v>
      </c>
      <c r="X350" s="9"/>
      <c r="Y350" s="22">
        <v>8.7890599999999999E-2</v>
      </c>
      <c r="Z350" s="22">
        <v>303.52699999999999</v>
      </c>
      <c r="AA350" s="22">
        <v>-2.4615499999999998E-2</v>
      </c>
      <c r="AB350" s="22">
        <v>340</v>
      </c>
      <c r="AC350" s="22">
        <v>8.7036100000000005E-2</v>
      </c>
      <c r="AD350">
        <f t="shared" si="64"/>
        <v>24.615499999999997</v>
      </c>
      <c r="AE350">
        <f t="shared" si="65"/>
        <v>2.1634710642999999</v>
      </c>
      <c r="AF350" s="9"/>
      <c r="AG350" s="22">
        <v>1.61209</v>
      </c>
      <c r="AH350" s="22">
        <v>409.40600000000001</v>
      </c>
      <c r="AI350" s="22">
        <v>-2.2192400000000001E-2</v>
      </c>
      <c r="AJ350" s="22">
        <v>340</v>
      </c>
      <c r="AK350" s="22">
        <v>1.6113299999999999</v>
      </c>
      <c r="AL350">
        <f t="shared" si="66"/>
        <v>22.192399999999999</v>
      </c>
      <c r="AM350">
        <f t="shared" si="67"/>
        <v>35.776146116</v>
      </c>
      <c r="AP350" s="9"/>
      <c r="AQ350" s="22">
        <v>8.7890599999999999E-2</v>
      </c>
      <c r="AR350" s="22">
        <v>497.79700000000003</v>
      </c>
      <c r="AS350" s="22">
        <v>-2.4472000000000001E-2</v>
      </c>
      <c r="AT350" s="22">
        <v>340</v>
      </c>
      <c r="AU350" s="22">
        <v>8.7554900000000005E-2</v>
      </c>
      <c r="AV350">
        <f t="shared" si="68"/>
        <v>24.472000000000001</v>
      </c>
      <c r="AW350">
        <f t="shared" si="69"/>
        <v>2.1508587632</v>
      </c>
      <c r="AX350" s="9"/>
      <c r="AY350" s="22">
        <v>1.61209</v>
      </c>
      <c r="AZ350" s="22">
        <v>608.67499999999995</v>
      </c>
      <c r="BA350" s="22">
        <v>-2.2177100000000002E-2</v>
      </c>
      <c r="BB350" s="22">
        <v>340</v>
      </c>
      <c r="BC350" s="22">
        <v>1.6119399999999999</v>
      </c>
      <c r="BD350">
        <f t="shared" si="70"/>
        <v>22.177100000000003</v>
      </c>
      <c r="BE350">
        <f t="shared" si="71"/>
        <v>35.751481139000006</v>
      </c>
    </row>
    <row r="351" spans="6:57">
      <c r="F351" s="9"/>
      <c r="G351" s="22">
        <v>8.2855200000000004E-2</v>
      </c>
      <c r="H351" s="22">
        <v>90.348299999999995</v>
      </c>
      <c r="I351" s="22">
        <v>-2.50885E-2</v>
      </c>
      <c r="J351" s="22">
        <v>341</v>
      </c>
      <c r="K351" s="22">
        <v>8.2549999999999998E-2</v>
      </c>
      <c r="L351">
        <f t="shared" si="60"/>
        <v>25.0885</v>
      </c>
      <c r="M351">
        <f t="shared" si="61"/>
        <v>2.0787126852000002</v>
      </c>
      <c r="N351" s="9"/>
      <c r="O351" s="22">
        <v>1.61713</v>
      </c>
      <c r="P351" s="22">
        <v>179.666</v>
      </c>
      <c r="Q351" s="22">
        <v>-2.2366299999999999E-2</v>
      </c>
      <c r="R351" s="22">
        <v>341</v>
      </c>
      <c r="S351" s="22">
        <v>1.6162099999999999</v>
      </c>
      <c r="T351">
        <f t="shared" si="62"/>
        <v>22.366299999999999</v>
      </c>
      <c r="U351">
        <f t="shared" si="63"/>
        <v>36.169214718999996</v>
      </c>
      <c r="X351" s="9"/>
      <c r="Y351" s="22">
        <v>8.2855200000000004E-2</v>
      </c>
      <c r="Z351" s="22">
        <v>303.62799999999999</v>
      </c>
      <c r="AA351" s="22">
        <v>-2.46246E-2</v>
      </c>
      <c r="AB351" s="22">
        <v>341</v>
      </c>
      <c r="AC351" s="22">
        <v>8.2885700000000007E-2</v>
      </c>
      <c r="AD351">
        <f t="shared" si="64"/>
        <v>24.624600000000001</v>
      </c>
      <c r="AE351">
        <f t="shared" si="65"/>
        <v>2.0402761579200002</v>
      </c>
      <c r="AF351" s="9"/>
      <c r="AG351" s="22">
        <v>1.61713</v>
      </c>
      <c r="AH351" s="22">
        <v>409.50700000000001</v>
      </c>
      <c r="AI351" s="22">
        <v>-2.21313E-2</v>
      </c>
      <c r="AJ351" s="22">
        <v>341</v>
      </c>
      <c r="AK351" s="22">
        <v>1.6168199999999999</v>
      </c>
      <c r="AL351">
        <f t="shared" si="66"/>
        <v>22.1313</v>
      </c>
      <c r="AM351">
        <f t="shared" si="67"/>
        <v>35.789189168999997</v>
      </c>
      <c r="AP351" s="9"/>
      <c r="AQ351" s="22">
        <v>8.2855200000000004E-2</v>
      </c>
      <c r="AR351" s="22">
        <v>497.89699999999999</v>
      </c>
      <c r="AS351" s="22">
        <v>-2.44751E-2</v>
      </c>
      <c r="AT351" s="22">
        <v>341</v>
      </c>
      <c r="AU351" s="22">
        <v>8.2794199999999998E-2</v>
      </c>
      <c r="AV351">
        <f t="shared" si="68"/>
        <v>24.475100000000001</v>
      </c>
      <c r="AW351">
        <f t="shared" si="69"/>
        <v>2.02788930552</v>
      </c>
      <c r="AX351" s="9"/>
      <c r="AY351" s="22">
        <v>1.61713</v>
      </c>
      <c r="AZ351" s="22">
        <v>608.77599999999995</v>
      </c>
      <c r="BA351" s="22">
        <v>-2.2110000000000001E-2</v>
      </c>
      <c r="BB351" s="22">
        <v>341</v>
      </c>
      <c r="BC351" s="22">
        <v>1.6162099999999999</v>
      </c>
      <c r="BD351">
        <f t="shared" si="70"/>
        <v>22.11</v>
      </c>
      <c r="BE351">
        <f t="shared" si="71"/>
        <v>35.754744299999999</v>
      </c>
    </row>
    <row r="352" spans="6:57">
      <c r="F352" s="9"/>
      <c r="G352" s="22">
        <v>7.7819799999999995E-2</v>
      </c>
      <c r="H352" s="22">
        <v>90.448999999999998</v>
      </c>
      <c r="I352" s="22">
        <v>-2.5094600000000002E-2</v>
      </c>
      <c r="J352" s="22">
        <v>342</v>
      </c>
      <c r="K352" s="22">
        <v>7.7392600000000006E-2</v>
      </c>
      <c r="L352">
        <f t="shared" si="60"/>
        <v>25.094600000000003</v>
      </c>
      <c r="M352">
        <f t="shared" si="61"/>
        <v>1.9528567530800001</v>
      </c>
      <c r="N352" s="9"/>
      <c r="O352" s="22">
        <v>1.62216</v>
      </c>
      <c r="P352" s="22">
        <v>179.767</v>
      </c>
      <c r="Q352" s="22">
        <v>-2.22931E-2</v>
      </c>
      <c r="R352" s="22">
        <v>342</v>
      </c>
      <c r="S352" s="22">
        <v>1.6216999999999999</v>
      </c>
      <c r="T352">
        <f t="shared" si="62"/>
        <v>22.293099999999999</v>
      </c>
      <c r="U352">
        <f t="shared" si="63"/>
        <v>36.162975095999997</v>
      </c>
      <c r="X352" s="9"/>
      <c r="Y352" s="22">
        <v>7.7819799999999995E-2</v>
      </c>
      <c r="Z352" s="22">
        <v>303.72899999999998</v>
      </c>
      <c r="AA352" s="22">
        <v>-2.4633800000000001E-2</v>
      </c>
      <c r="AB352" s="22">
        <v>342</v>
      </c>
      <c r="AC352" s="22">
        <v>7.7514600000000003E-2</v>
      </c>
      <c r="AD352">
        <f t="shared" si="64"/>
        <v>24.633800000000001</v>
      </c>
      <c r="AE352">
        <f t="shared" si="65"/>
        <v>1.9169973892399998</v>
      </c>
      <c r="AF352" s="9"/>
      <c r="AG352" s="22">
        <v>1.62216</v>
      </c>
      <c r="AH352" s="22">
        <v>409.60700000000003</v>
      </c>
      <c r="AI352" s="22">
        <v>-2.2051999999999999E-2</v>
      </c>
      <c r="AJ352" s="22">
        <v>342</v>
      </c>
      <c r="AK352" s="22">
        <v>1.6214</v>
      </c>
      <c r="AL352">
        <f t="shared" si="66"/>
        <v>22.052</v>
      </c>
      <c r="AM352">
        <f t="shared" si="67"/>
        <v>35.77187232</v>
      </c>
      <c r="AP352" s="9"/>
      <c r="AQ352" s="22">
        <v>7.7819799999999995E-2</v>
      </c>
      <c r="AR352" s="22">
        <v>497.99799999999999</v>
      </c>
      <c r="AS352" s="22">
        <v>-2.4478099999999999E-2</v>
      </c>
      <c r="AT352" s="22">
        <v>342</v>
      </c>
      <c r="AU352" s="22">
        <v>7.6995800000000003E-2</v>
      </c>
      <c r="AV352">
        <f t="shared" si="68"/>
        <v>24.478099999999998</v>
      </c>
      <c r="AW352">
        <f t="shared" si="69"/>
        <v>1.9048808463799998</v>
      </c>
      <c r="AX352" s="9"/>
      <c r="AY352" s="22">
        <v>1.62216</v>
      </c>
      <c r="AZ352" s="22">
        <v>608.87699999999995</v>
      </c>
      <c r="BA352" s="22">
        <v>-2.2030600000000001E-2</v>
      </c>
      <c r="BB352" s="22">
        <v>342</v>
      </c>
      <c r="BC352" s="22">
        <v>1.6216999999999999</v>
      </c>
      <c r="BD352">
        <f t="shared" si="70"/>
        <v>22.0306</v>
      </c>
      <c r="BE352">
        <f t="shared" si="71"/>
        <v>35.737158096000002</v>
      </c>
    </row>
    <row r="353" spans="6:57">
      <c r="F353" s="9"/>
      <c r="G353" s="22">
        <v>7.2784399999999999E-2</v>
      </c>
      <c r="H353" s="22">
        <v>90.549700000000001</v>
      </c>
      <c r="I353" s="22">
        <v>-2.5106799999999999E-2</v>
      </c>
      <c r="J353" s="22">
        <v>343</v>
      </c>
      <c r="K353" s="22">
        <v>7.2418200000000002E-2</v>
      </c>
      <c r="L353">
        <f t="shared" si="60"/>
        <v>25.1068</v>
      </c>
      <c r="M353">
        <f t="shared" si="61"/>
        <v>1.8273833739200001</v>
      </c>
      <c r="N353" s="9"/>
      <c r="O353" s="22">
        <v>1.6272</v>
      </c>
      <c r="P353" s="22">
        <v>179.86699999999999</v>
      </c>
      <c r="Q353" s="22">
        <v>-2.2195400000000001E-2</v>
      </c>
      <c r="R353" s="22">
        <v>343</v>
      </c>
      <c r="S353" s="22">
        <v>1.6262799999999999</v>
      </c>
      <c r="T353">
        <f t="shared" si="62"/>
        <v>22.195399999999999</v>
      </c>
      <c r="U353">
        <f t="shared" si="63"/>
        <v>36.116354879999996</v>
      </c>
      <c r="X353" s="9"/>
      <c r="Y353" s="22">
        <v>7.2784399999999999E-2</v>
      </c>
      <c r="Z353" s="22">
        <v>303.82900000000001</v>
      </c>
      <c r="AA353" s="22">
        <v>-2.4633800000000001E-2</v>
      </c>
      <c r="AB353" s="22">
        <v>343</v>
      </c>
      <c r="AC353" s="22">
        <v>7.1929900000000005E-2</v>
      </c>
      <c r="AD353">
        <f t="shared" si="64"/>
        <v>24.633800000000001</v>
      </c>
      <c r="AE353">
        <f t="shared" si="65"/>
        <v>1.7929563527200001</v>
      </c>
      <c r="AF353" s="9"/>
      <c r="AG353" s="22">
        <v>1.6272</v>
      </c>
      <c r="AH353" s="22">
        <v>409.70800000000003</v>
      </c>
      <c r="AI353" s="22">
        <v>-2.1966599999999999E-2</v>
      </c>
      <c r="AJ353" s="22">
        <v>343</v>
      </c>
      <c r="AK353" s="22">
        <v>1.6262799999999999</v>
      </c>
      <c r="AL353">
        <f t="shared" si="66"/>
        <v>21.9666</v>
      </c>
      <c r="AM353">
        <f t="shared" si="67"/>
        <v>35.744051519999999</v>
      </c>
      <c r="AP353" s="9"/>
      <c r="AQ353" s="22">
        <v>7.2784399999999999E-2</v>
      </c>
      <c r="AR353" s="22">
        <v>498.09899999999999</v>
      </c>
      <c r="AS353" s="22">
        <v>-2.4484300000000001E-2</v>
      </c>
      <c r="AT353" s="22">
        <v>343</v>
      </c>
      <c r="AU353" s="22">
        <v>7.2235099999999997E-2</v>
      </c>
      <c r="AV353">
        <f t="shared" si="68"/>
        <v>24.484300000000001</v>
      </c>
      <c r="AW353">
        <f t="shared" si="69"/>
        <v>1.78207508492</v>
      </c>
      <c r="AX353" s="9"/>
      <c r="AY353" s="22">
        <v>1.6272</v>
      </c>
      <c r="AZ353" s="22">
        <v>608.97799999999995</v>
      </c>
      <c r="BA353" s="22">
        <v>-2.1942099999999999E-2</v>
      </c>
      <c r="BB353" s="22">
        <v>343</v>
      </c>
      <c r="BC353" s="22">
        <v>1.62659</v>
      </c>
      <c r="BD353">
        <f t="shared" si="70"/>
        <v>21.9421</v>
      </c>
      <c r="BE353">
        <f t="shared" si="71"/>
        <v>35.704185119999998</v>
      </c>
    </row>
    <row r="354" spans="6:57">
      <c r="F354" s="9"/>
      <c r="G354" s="22">
        <v>6.7749000000000004E-2</v>
      </c>
      <c r="H354" s="22">
        <v>90.650499999999994</v>
      </c>
      <c r="I354" s="22">
        <v>-2.51129E-2</v>
      </c>
      <c r="J354" s="22">
        <v>344</v>
      </c>
      <c r="K354" s="22">
        <v>6.7382800000000007E-2</v>
      </c>
      <c r="L354">
        <f t="shared" si="60"/>
        <v>25.1129</v>
      </c>
      <c r="M354">
        <f t="shared" si="61"/>
        <v>1.7013738621000001</v>
      </c>
      <c r="N354" s="9"/>
      <c r="O354" s="22">
        <v>1.6322300000000001</v>
      </c>
      <c r="P354" s="22">
        <v>179.96799999999999</v>
      </c>
      <c r="Q354" s="22">
        <v>-2.2122200000000002E-2</v>
      </c>
      <c r="R354" s="22">
        <v>344</v>
      </c>
      <c r="S354" s="22">
        <v>1.63147</v>
      </c>
      <c r="T354">
        <f t="shared" si="62"/>
        <v>22.122200000000003</v>
      </c>
      <c r="U354">
        <f t="shared" si="63"/>
        <v>36.108518506000003</v>
      </c>
      <c r="X354" s="9"/>
      <c r="Y354" s="22">
        <v>6.7749000000000004E-2</v>
      </c>
      <c r="Z354" s="22">
        <v>303.93</v>
      </c>
      <c r="AA354" s="22">
        <v>-2.4639899999999999E-2</v>
      </c>
      <c r="AB354" s="22">
        <v>344</v>
      </c>
      <c r="AC354" s="22">
        <v>6.6955600000000004E-2</v>
      </c>
      <c r="AD354">
        <f t="shared" si="64"/>
        <v>24.639900000000001</v>
      </c>
      <c r="AE354">
        <f t="shared" si="65"/>
        <v>1.6693285851000002</v>
      </c>
      <c r="AF354" s="9"/>
      <c r="AG354" s="22">
        <v>1.6322300000000001</v>
      </c>
      <c r="AH354" s="22">
        <v>409.80900000000003</v>
      </c>
      <c r="AI354" s="22">
        <v>-2.1884199999999999E-2</v>
      </c>
      <c r="AJ354" s="22">
        <v>344</v>
      </c>
      <c r="AK354" s="22">
        <v>1.63208</v>
      </c>
      <c r="AL354">
        <f t="shared" si="66"/>
        <v>21.8842</v>
      </c>
      <c r="AM354">
        <f t="shared" si="67"/>
        <v>35.720047766</v>
      </c>
      <c r="AP354" s="9"/>
      <c r="AQ354" s="22">
        <v>6.7749000000000004E-2</v>
      </c>
      <c r="AR354" s="22">
        <v>498.19900000000001</v>
      </c>
      <c r="AS354" s="22">
        <v>-2.4490399999999999E-2</v>
      </c>
      <c r="AT354" s="22">
        <v>344</v>
      </c>
      <c r="AU354" s="22">
        <v>6.8725599999999998E-2</v>
      </c>
      <c r="AV354">
        <f t="shared" si="68"/>
        <v>24.490399999999998</v>
      </c>
      <c r="AW354">
        <f t="shared" si="69"/>
        <v>1.6592001096</v>
      </c>
      <c r="AX354" s="9"/>
      <c r="AY354" s="22">
        <v>1.6322300000000001</v>
      </c>
      <c r="AZ354" s="22">
        <v>609.07799999999997</v>
      </c>
      <c r="BA354" s="22">
        <v>-2.1859699999999999E-2</v>
      </c>
      <c r="BB354" s="22">
        <v>344</v>
      </c>
      <c r="BC354" s="22">
        <v>1.6317699999999999</v>
      </c>
      <c r="BD354">
        <f t="shared" si="70"/>
        <v>21.8597</v>
      </c>
      <c r="BE354">
        <f t="shared" si="71"/>
        <v>35.680058131000003</v>
      </c>
    </row>
    <row r="355" spans="6:57">
      <c r="F355" s="9"/>
      <c r="G355" s="22">
        <v>6.2713599999999994E-2</v>
      </c>
      <c r="H355" s="22">
        <v>90.751199999999997</v>
      </c>
      <c r="I355" s="22">
        <v>-2.5118999999999999E-2</v>
      </c>
      <c r="J355" s="22">
        <v>345</v>
      </c>
      <c r="K355" s="22">
        <v>6.25E-2</v>
      </c>
      <c r="L355">
        <f t="shared" si="60"/>
        <v>25.119</v>
      </c>
      <c r="M355">
        <f t="shared" si="61"/>
        <v>1.5753029183999998</v>
      </c>
      <c r="N355" s="9"/>
      <c r="O355" s="22">
        <v>1.63727</v>
      </c>
      <c r="P355" s="22">
        <v>180.06899999999999</v>
      </c>
      <c r="Q355" s="22">
        <v>-2.2027600000000001E-2</v>
      </c>
      <c r="R355" s="22">
        <v>345</v>
      </c>
      <c r="S355" s="22">
        <v>1.63666</v>
      </c>
      <c r="T355">
        <f t="shared" si="62"/>
        <v>22.0276</v>
      </c>
      <c r="U355">
        <f t="shared" si="63"/>
        <v>36.065128651999999</v>
      </c>
      <c r="X355" s="9"/>
      <c r="Y355" s="22">
        <v>6.2713599999999994E-2</v>
      </c>
      <c r="Z355" s="22">
        <v>304.03100000000001</v>
      </c>
      <c r="AA355" s="22">
        <v>-2.4639899999999999E-2</v>
      </c>
      <c r="AB355" s="22">
        <v>345</v>
      </c>
      <c r="AC355" s="22">
        <v>6.25E-2</v>
      </c>
      <c r="AD355">
        <f t="shared" si="64"/>
        <v>24.639900000000001</v>
      </c>
      <c r="AE355">
        <f t="shared" si="65"/>
        <v>1.5452568326399998</v>
      </c>
      <c r="AF355" s="9"/>
      <c r="AG355" s="22">
        <v>1.63727</v>
      </c>
      <c r="AH355" s="22">
        <v>409.91</v>
      </c>
      <c r="AI355" s="22">
        <v>-2.17865E-2</v>
      </c>
      <c r="AJ355" s="22">
        <v>345</v>
      </c>
      <c r="AK355" s="22">
        <v>1.63605</v>
      </c>
      <c r="AL355">
        <f t="shared" si="66"/>
        <v>21.7865</v>
      </c>
      <c r="AM355">
        <f t="shared" si="67"/>
        <v>35.670382855</v>
      </c>
      <c r="AP355" s="9"/>
      <c r="AQ355" s="22">
        <v>6.2713599999999994E-2</v>
      </c>
      <c r="AR355" s="22">
        <v>498.3</v>
      </c>
      <c r="AS355" s="22">
        <v>-2.4502599999999999E-2</v>
      </c>
      <c r="AT355" s="22">
        <v>345</v>
      </c>
      <c r="AU355" s="22">
        <v>6.23779E-2</v>
      </c>
      <c r="AV355">
        <f t="shared" si="68"/>
        <v>24.502600000000001</v>
      </c>
      <c r="AW355">
        <f t="shared" si="69"/>
        <v>1.53664625536</v>
      </c>
      <c r="AX355" s="9"/>
      <c r="AY355" s="22">
        <v>1.63727</v>
      </c>
      <c r="AZ355" s="22">
        <v>609.17899999999997</v>
      </c>
      <c r="BA355" s="22">
        <v>-2.1777299999999999E-2</v>
      </c>
      <c r="BB355" s="22">
        <v>345</v>
      </c>
      <c r="BC355" s="22">
        <v>1.63666</v>
      </c>
      <c r="BD355">
        <f t="shared" si="70"/>
        <v>21.7773</v>
      </c>
      <c r="BE355">
        <f t="shared" si="71"/>
        <v>35.655319970999997</v>
      </c>
    </row>
    <row r="356" spans="6:57">
      <c r="F356" s="9"/>
      <c r="G356" s="22">
        <v>5.7678199999999999E-2</v>
      </c>
      <c r="H356" s="22">
        <v>90.851900000000001</v>
      </c>
      <c r="I356" s="22">
        <v>-2.5125100000000001E-2</v>
      </c>
      <c r="J356" s="22">
        <v>346</v>
      </c>
      <c r="K356" s="22">
        <v>5.7312000000000002E-2</v>
      </c>
      <c r="L356">
        <f t="shared" si="60"/>
        <v>25.1251</v>
      </c>
      <c r="M356">
        <f t="shared" si="61"/>
        <v>1.4491705428199999</v>
      </c>
      <c r="N356" s="9"/>
      <c r="O356" s="22">
        <v>1.6423000000000001</v>
      </c>
      <c r="P356" s="22">
        <v>180.16900000000001</v>
      </c>
      <c r="Q356" s="22">
        <v>-2.1920800000000001E-2</v>
      </c>
      <c r="R356" s="22">
        <v>346</v>
      </c>
      <c r="S356" s="22">
        <v>1.64154</v>
      </c>
      <c r="T356">
        <f t="shared" si="62"/>
        <v>21.9208</v>
      </c>
      <c r="U356">
        <f t="shared" si="63"/>
        <v>36.000529839999999</v>
      </c>
      <c r="X356" s="9"/>
      <c r="Y356" s="22">
        <v>5.7678199999999999E-2</v>
      </c>
      <c r="Z356" s="22">
        <v>304.13099999999997</v>
      </c>
      <c r="AA356" s="22">
        <v>-2.4646000000000001E-2</v>
      </c>
      <c r="AB356" s="22">
        <v>346</v>
      </c>
      <c r="AC356" s="22">
        <v>5.7251000000000003E-2</v>
      </c>
      <c r="AD356">
        <f t="shared" si="64"/>
        <v>24.646000000000001</v>
      </c>
      <c r="AE356">
        <f t="shared" si="65"/>
        <v>1.4215369172000001</v>
      </c>
      <c r="AF356" s="9"/>
      <c r="AG356" s="22">
        <v>1.6423000000000001</v>
      </c>
      <c r="AH356" s="22">
        <v>410.01</v>
      </c>
      <c r="AI356" s="22">
        <v>-2.16797E-2</v>
      </c>
      <c r="AJ356" s="22">
        <v>346</v>
      </c>
      <c r="AK356" s="22">
        <v>1.64215</v>
      </c>
      <c r="AL356">
        <f t="shared" si="66"/>
        <v>21.6797</v>
      </c>
      <c r="AM356">
        <f t="shared" si="67"/>
        <v>35.604571310000004</v>
      </c>
      <c r="AP356" s="9"/>
      <c r="AQ356" s="22">
        <v>5.7678199999999999E-2</v>
      </c>
      <c r="AR356" s="22">
        <v>498.40100000000001</v>
      </c>
      <c r="AS356" s="22">
        <v>-2.4505599999999999E-2</v>
      </c>
      <c r="AT356" s="22">
        <v>346</v>
      </c>
      <c r="AU356" s="22">
        <v>5.7251000000000003E-2</v>
      </c>
      <c r="AV356">
        <f t="shared" si="68"/>
        <v>24.505599999999998</v>
      </c>
      <c r="AW356">
        <f t="shared" si="69"/>
        <v>1.4134388979199999</v>
      </c>
      <c r="AX356" s="9"/>
      <c r="AY356" s="22">
        <v>1.6423000000000001</v>
      </c>
      <c r="AZ356" s="22">
        <v>609.28</v>
      </c>
      <c r="BA356" s="22">
        <v>-2.1682699999999999E-2</v>
      </c>
      <c r="BB356" s="22">
        <v>346</v>
      </c>
      <c r="BC356" s="22">
        <v>1.64154</v>
      </c>
      <c r="BD356">
        <f t="shared" si="70"/>
        <v>21.682700000000001</v>
      </c>
      <c r="BE356">
        <f t="shared" si="71"/>
        <v>35.609498210000005</v>
      </c>
    </row>
    <row r="357" spans="6:57">
      <c r="F357" s="9"/>
      <c r="G357" s="22">
        <v>5.2642799999999997E-2</v>
      </c>
      <c r="H357" s="22">
        <v>90.952600000000004</v>
      </c>
      <c r="I357" s="22">
        <v>-2.51282E-2</v>
      </c>
      <c r="J357" s="22">
        <v>347</v>
      </c>
      <c r="K357" s="22">
        <v>5.2337599999999998E-2</v>
      </c>
      <c r="L357">
        <f t="shared" si="60"/>
        <v>25.1282</v>
      </c>
      <c r="M357">
        <f t="shared" si="61"/>
        <v>1.32281880696</v>
      </c>
      <c r="N357" s="9"/>
      <c r="O357" s="22">
        <v>1.64734</v>
      </c>
      <c r="P357" s="22">
        <v>180.27</v>
      </c>
      <c r="Q357" s="22">
        <v>-2.1804799999999999E-2</v>
      </c>
      <c r="R357" s="22">
        <v>347</v>
      </c>
      <c r="S357" s="22">
        <v>1.64673</v>
      </c>
      <c r="T357">
        <f t="shared" si="62"/>
        <v>21.8048</v>
      </c>
      <c r="U357">
        <f t="shared" si="63"/>
        <v>35.919919231999998</v>
      </c>
      <c r="X357" s="9"/>
      <c r="Y357" s="22">
        <v>5.2642799999999997E-2</v>
      </c>
      <c r="Z357" s="22">
        <v>304.23200000000003</v>
      </c>
      <c r="AA357" s="22">
        <v>-2.4655199999999999E-2</v>
      </c>
      <c r="AB357" s="22">
        <v>347</v>
      </c>
      <c r="AC357" s="22">
        <v>5.2398699999999999E-2</v>
      </c>
      <c r="AD357">
        <f t="shared" si="64"/>
        <v>24.655199999999997</v>
      </c>
      <c r="AE357">
        <f t="shared" si="65"/>
        <v>1.2979187625599997</v>
      </c>
      <c r="AF357" s="9"/>
      <c r="AG357" s="22">
        <v>1.64734</v>
      </c>
      <c r="AH357" s="22">
        <v>410.11099999999999</v>
      </c>
      <c r="AI357" s="22">
        <v>-2.1563700000000002E-2</v>
      </c>
      <c r="AJ357" s="22">
        <v>347</v>
      </c>
      <c r="AK357" s="22">
        <v>1.64642</v>
      </c>
      <c r="AL357">
        <f t="shared" si="66"/>
        <v>21.563700000000001</v>
      </c>
      <c r="AM357">
        <f t="shared" si="67"/>
        <v>35.522745558000004</v>
      </c>
      <c r="AP357" s="9"/>
      <c r="AQ357" s="22">
        <v>5.2642799999999997E-2</v>
      </c>
      <c r="AR357" s="22">
        <v>498.50099999999998</v>
      </c>
      <c r="AS357" s="22">
        <v>-2.4517799999999999E-2</v>
      </c>
      <c r="AT357" s="22">
        <v>347</v>
      </c>
      <c r="AU357" s="22">
        <v>5.1971400000000001E-2</v>
      </c>
      <c r="AV357">
        <f t="shared" si="68"/>
        <v>24.517799999999998</v>
      </c>
      <c r="AW357">
        <f t="shared" si="69"/>
        <v>1.2906856418399999</v>
      </c>
      <c r="AX357" s="9"/>
      <c r="AY357" s="22">
        <v>1.64734</v>
      </c>
      <c r="AZ357" s="22">
        <v>609.38</v>
      </c>
      <c r="BA357" s="22">
        <v>-2.1560699999999999E-2</v>
      </c>
      <c r="BB357" s="22">
        <v>347</v>
      </c>
      <c r="BC357" s="22">
        <v>1.64673</v>
      </c>
      <c r="BD357">
        <f t="shared" si="70"/>
        <v>21.560699999999997</v>
      </c>
      <c r="BE357">
        <f t="shared" si="71"/>
        <v>35.517803537999995</v>
      </c>
    </row>
    <row r="358" spans="6:57">
      <c r="F358" s="9"/>
      <c r="G358" s="22">
        <v>4.7607400000000001E-2</v>
      </c>
      <c r="H358" s="22">
        <v>91.053299999999993</v>
      </c>
      <c r="I358" s="22">
        <v>-2.5134299999999998E-2</v>
      </c>
      <c r="J358" s="22">
        <v>348</v>
      </c>
      <c r="K358" s="22">
        <v>4.8031600000000001E-2</v>
      </c>
      <c r="L358">
        <f t="shared" si="60"/>
        <v>25.1343</v>
      </c>
      <c r="M358">
        <f t="shared" si="61"/>
        <v>1.1965786738199999</v>
      </c>
      <c r="N358" s="9"/>
      <c r="O358" s="22">
        <v>1.6523699999999999</v>
      </c>
      <c r="P358" s="22">
        <v>180.37100000000001</v>
      </c>
      <c r="Q358" s="22">
        <v>-2.1688800000000001E-2</v>
      </c>
      <c r="R358" s="22">
        <v>348</v>
      </c>
      <c r="S358" s="22">
        <v>1.65222</v>
      </c>
      <c r="T358">
        <f t="shared" si="62"/>
        <v>21.688800000000001</v>
      </c>
      <c r="U358">
        <f t="shared" si="63"/>
        <v>35.837922456000001</v>
      </c>
      <c r="X358" s="9"/>
      <c r="Y358" s="22">
        <v>4.7607400000000001E-2</v>
      </c>
      <c r="Z358" s="22">
        <v>304.33300000000003</v>
      </c>
      <c r="AA358" s="22">
        <v>-2.46643E-2</v>
      </c>
      <c r="AB358" s="22">
        <v>348</v>
      </c>
      <c r="AC358" s="22">
        <v>4.78149E-2</v>
      </c>
      <c r="AD358">
        <f t="shared" si="64"/>
        <v>24.664300000000001</v>
      </c>
      <c r="AE358">
        <f t="shared" si="65"/>
        <v>1.1742031958200001</v>
      </c>
      <c r="AF358" s="9"/>
      <c r="AG358" s="22">
        <v>1.6523699999999999</v>
      </c>
      <c r="AH358" s="22">
        <v>410.21199999999999</v>
      </c>
      <c r="AI358" s="22">
        <v>-2.1453900000000001E-2</v>
      </c>
      <c r="AJ358" s="22">
        <v>348</v>
      </c>
      <c r="AK358" s="22">
        <v>1.6519200000000001</v>
      </c>
      <c r="AL358">
        <f t="shared" si="66"/>
        <v>21.453900000000001</v>
      </c>
      <c r="AM358">
        <f t="shared" si="67"/>
        <v>35.449780742999998</v>
      </c>
      <c r="AP358" s="9"/>
      <c r="AQ358" s="22">
        <v>4.7607400000000001E-2</v>
      </c>
      <c r="AR358" s="22">
        <v>498.60199999999998</v>
      </c>
      <c r="AS358" s="22">
        <v>-2.4517799999999999E-2</v>
      </c>
      <c r="AT358" s="22">
        <v>348</v>
      </c>
      <c r="AU358" s="22">
        <v>4.7848500000000002E-2</v>
      </c>
      <c r="AV358">
        <f t="shared" si="68"/>
        <v>24.517799999999998</v>
      </c>
      <c r="AW358">
        <f t="shared" si="69"/>
        <v>1.16722871172</v>
      </c>
      <c r="AX358" s="9"/>
      <c r="AY358" s="22">
        <v>1.6523699999999999</v>
      </c>
      <c r="AZ358" s="22">
        <v>609.48099999999999</v>
      </c>
      <c r="BA358" s="22">
        <v>-2.1441700000000001E-2</v>
      </c>
      <c r="BB358" s="22">
        <v>348</v>
      </c>
      <c r="BC358" s="22">
        <v>1.65161</v>
      </c>
      <c r="BD358">
        <f t="shared" si="70"/>
        <v>21.441700000000001</v>
      </c>
      <c r="BE358">
        <f t="shared" si="71"/>
        <v>35.429621828999998</v>
      </c>
    </row>
    <row r="359" spans="6:57">
      <c r="F359" s="9"/>
      <c r="G359" s="22">
        <v>4.2571999999999999E-2</v>
      </c>
      <c r="H359" s="22">
        <v>91.153999999999996</v>
      </c>
      <c r="I359" s="22">
        <v>-2.5137300000000001E-2</v>
      </c>
      <c r="J359" s="22">
        <v>349</v>
      </c>
      <c r="K359" s="22">
        <v>4.3026700000000001E-2</v>
      </c>
      <c r="L359">
        <f t="shared" si="60"/>
        <v>25.1373</v>
      </c>
      <c r="M359">
        <f t="shared" si="61"/>
        <v>1.0701451356</v>
      </c>
      <c r="N359" s="9"/>
      <c r="O359" s="22">
        <v>1.65741</v>
      </c>
      <c r="P359" s="22">
        <v>180.471</v>
      </c>
      <c r="Q359" s="22">
        <v>-2.1548500000000002E-2</v>
      </c>
      <c r="R359" s="22">
        <v>349</v>
      </c>
      <c r="S359" s="22">
        <v>1.6568000000000001</v>
      </c>
      <c r="T359">
        <f t="shared" si="62"/>
        <v>21.548500000000001</v>
      </c>
      <c r="U359">
        <f t="shared" si="63"/>
        <v>35.714699385000003</v>
      </c>
      <c r="X359" s="9"/>
      <c r="Y359" s="22">
        <v>4.2571999999999999E-2</v>
      </c>
      <c r="Z359" s="22">
        <v>304.43400000000003</v>
      </c>
      <c r="AA359" s="22">
        <v>-2.4615499999999998E-2</v>
      </c>
      <c r="AB359" s="22">
        <v>349</v>
      </c>
      <c r="AC359" s="22">
        <v>4.2782599999999997E-2</v>
      </c>
      <c r="AD359">
        <f t="shared" si="64"/>
        <v>24.615499999999997</v>
      </c>
      <c r="AE359">
        <f t="shared" si="65"/>
        <v>1.0479310659999999</v>
      </c>
      <c r="AF359" s="9"/>
      <c r="AG359" s="22">
        <v>1.65741</v>
      </c>
      <c r="AH359" s="22">
        <v>410.31200000000001</v>
      </c>
      <c r="AI359" s="22">
        <v>-2.13104E-2</v>
      </c>
      <c r="AJ359" s="22">
        <v>349</v>
      </c>
      <c r="AK359" s="22">
        <v>1.6568000000000001</v>
      </c>
      <c r="AL359">
        <f t="shared" si="66"/>
        <v>21.310400000000001</v>
      </c>
      <c r="AM359">
        <f t="shared" si="67"/>
        <v>35.320070064000006</v>
      </c>
      <c r="AP359" s="9"/>
      <c r="AQ359" s="22">
        <v>4.2571999999999999E-2</v>
      </c>
      <c r="AR359" s="22">
        <v>498.70299999999997</v>
      </c>
      <c r="AS359" s="22">
        <v>-2.4527E-2</v>
      </c>
      <c r="AT359" s="22">
        <v>349</v>
      </c>
      <c r="AU359" s="22">
        <v>4.2401099999999997E-2</v>
      </c>
      <c r="AV359">
        <f t="shared" si="68"/>
        <v>24.527000000000001</v>
      </c>
      <c r="AW359">
        <f t="shared" si="69"/>
        <v>1.0441634440000001</v>
      </c>
      <c r="AX359" s="9"/>
      <c r="AY359" s="22">
        <v>1.65741</v>
      </c>
      <c r="AZ359" s="22">
        <v>609.58199999999999</v>
      </c>
      <c r="BA359" s="22">
        <v>-2.12982E-2</v>
      </c>
      <c r="BB359" s="22">
        <v>349</v>
      </c>
      <c r="BC359" s="22">
        <v>1.6561900000000001</v>
      </c>
      <c r="BD359">
        <f t="shared" si="70"/>
        <v>21.298200000000001</v>
      </c>
      <c r="BE359">
        <f t="shared" si="71"/>
        <v>35.299849662000007</v>
      </c>
    </row>
    <row r="360" spans="6:57">
      <c r="F360" s="9"/>
      <c r="G360" s="22">
        <v>3.7536600000000003E-2</v>
      </c>
      <c r="H360" s="22">
        <v>91.2547</v>
      </c>
      <c r="I360" s="22">
        <v>-2.51404E-2</v>
      </c>
      <c r="J360" s="22">
        <v>350</v>
      </c>
      <c r="K360" s="22">
        <v>3.8003500000000003E-2</v>
      </c>
      <c r="L360">
        <f t="shared" si="60"/>
        <v>25.1404</v>
      </c>
      <c r="M360">
        <f t="shared" si="61"/>
        <v>0.94368513864000003</v>
      </c>
      <c r="N360" s="9"/>
      <c r="O360" s="22">
        <v>1.66245</v>
      </c>
      <c r="P360" s="22">
        <v>180.572</v>
      </c>
      <c r="Q360" s="22">
        <v>-2.13898E-2</v>
      </c>
      <c r="R360" s="22">
        <v>350</v>
      </c>
      <c r="S360" s="22">
        <v>1.66168</v>
      </c>
      <c r="T360">
        <f t="shared" si="62"/>
        <v>21.389800000000001</v>
      </c>
      <c r="U360">
        <f t="shared" si="63"/>
        <v>35.559473009999998</v>
      </c>
      <c r="X360" s="9"/>
      <c r="Y360" s="22">
        <v>3.7536600000000003E-2</v>
      </c>
      <c r="Z360" s="22">
        <v>304.53399999999999</v>
      </c>
      <c r="AA360" s="22">
        <v>-2.46246E-2</v>
      </c>
      <c r="AB360" s="22">
        <v>350</v>
      </c>
      <c r="AC360" s="22">
        <v>3.75763E-2</v>
      </c>
      <c r="AD360">
        <f t="shared" si="64"/>
        <v>24.624600000000001</v>
      </c>
      <c r="AE360">
        <f t="shared" si="65"/>
        <v>0.92432376036000008</v>
      </c>
      <c r="AF360" s="9"/>
      <c r="AG360" s="22">
        <v>1.66245</v>
      </c>
      <c r="AH360" s="22">
        <v>410.41300000000001</v>
      </c>
      <c r="AI360" s="22">
        <v>-2.1179199999999999E-2</v>
      </c>
      <c r="AJ360" s="22">
        <v>350</v>
      </c>
      <c r="AK360" s="22">
        <v>1.66229</v>
      </c>
      <c r="AL360">
        <f t="shared" si="66"/>
        <v>21.179199999999998</v>
      </c>
      <c r="AM360">
        <f t="shared" si="67"/>
        <v>35.209361039999997</v>
      </c>
      <c r="AP360" s="9"/>
      <c r="AQ360" s="22">
        <v>3.7536600000000003E-2</v>
      </c>
      <c r="AR360" s="22">
        <v>498.80399999999997</v>
      </c>
      <c r="AS360" s="22">
        <v>-2.4523900000000001E-2</v>
      </c>
      <c r="AT360" s="22">
        <v>350</v>
      </c>
      <c r="AU360" s="22">
        <v>3.7908900000000002E-2</v>
      </c>
      <c r="AV360">
        <f t="shared" si="68"/>
        <v>24.523900000000001</v>
      </c>
      <c r="AW360">
        <f t="shared" si="69"/>
        <v>0.92054382474000007</v>
      </c>
      <c r="AX360" s="9"/>
      <c r="AY360" s="22">
        <v>1.66245</v>
      </c>
      <c r="AZ360" s="22">
        <v>609.68200000000002</v>
      </c>
      <c r="BA360" s="22">
        <v>-2.1166999999999998E-2</v>
      </c>
      <c r="BB360" s="22">
        <v>350</v>
      </c>
      <c r="BC360" s="22">
        <v>1.66229</v>
      </c>
      <c r="BD360">
        <f t="shared" si="70"/>
        <v>21.166999999999998</v>
      </c>
      <c r="BE360">
        <f t="shared" si="71"/>
        <v>35.189079149999998</v>
      </c>
    </row>
    <row r="361" spans="6:57">
      <c r="F361" s="9"/>
      <c r="G361" s="22">
        <v>3.2501200000000001E-2</v>
      </c>
      <c r="H361" s="22">
        <v>91.355400000000003</v>
      </c>
      <c r="I361" s="22">
        <v>-2.51434E-2</v>
      </c>
      <c r="J361" s="22">
        <v>351</v>
      </c>
      <c r="K361" s="22">
        <v>3.3032199999999998E-2</v>
      </c>
      <c r="L361">
        <f t="shared" si="60"/>
        <v>25.1434</v>
      </c>
      <c r="M361">
        <f t="shared" si="61"/>
        <v>0.81719067208000007</v>
      </c>
      <c r="N361" s="9"/>
      <c r="O361" s="22">
        <v>1.6674800000000001</v>
      </c>
      <c r="P361" s="22">
        <v>180.673</v>
      </c>
      <c r="Q361" s="22">
        <v>-2.1225000000000001E-2</v>
      </c>
      <c r="R361" s="22">
        <v>351</v>
      </c>
      <c r="S361" s="22">
        <v>1.66656</v>
      </c>
      <c r="T361">
        <f t="shared" si="62"/>
        <v>21.225000000000001</v>
      </c>
      <c r="U361">
        <f t="shared" si="63"/>
        <v>35.392263000000007</v>
      </c>
      <c r="X361" s="9"/>
      <c r="Y361" s="22">
        <v>3.2501200000000001E-2</v>
      </c>
      <c r="Z361" s="22">
        <v>304.63499999999999</v>
      </c>
      <c r="AA361" s="22">
        <v>-2.4676500000000001E-2</v>
      </c>
      <c r="AB361" s="22">
        <v>351</v>
      </c>
      <c r="AC361" s="22">
        <v>3.2574499999999999E-2</v>
      </c>
      <c r="AD361">
        <f t="shared" si="64"/>
        <v>24.676500000000001</v>
      </c>
      <c r="AE361">
        <f t="shared" si="65"/>
        <v>0.80201586180000006</v>
      </c>
      <c r="AF361" s="9"/>
      <c r="AG361" s="22">
        <v>1.6674800000000001</v>
      </c>
      <c r="AH361" s="22">
        <v>410.51400000000001</v>
      </c>
      <c r="AI361" s="22">
        <v>-2.1020500000000001E-2</v>
      </c>
      <c r="AJ361" s="22">
        <v>351</v>
      </c>
      <c r="AK361" s="22">
        <v>1.6677900000000001</v>
      </c>
      <c r="AL361">
        <f t="shared" si="66"/>
        <v>21.020500000000002</v>
      </c>
      <c r="AM361">
        <f t="shared" si="67"/>
        <v>35.051263340000006</v>
      </c>
      <c r="AP361" s="9"/>
      <c r="AQ361" s="22">
        <v>3.2501200000000001E-2</v>
      </c>
      <c r="AR361" s="22">
        <v>498.904</v>
      </c>
      <c r="AS361" s="22">
        <v>-2.4523900000000001E-2</v>
      </c>
      <c r="AT361" s="22">
        <v>351</v>
      </c>
      <c r="AU361" s="22">
        <v>3.2418799999999998E-2</v>
      </c>
      <c r="AV361">
        <f t="shared" si="68"/>
        <v>24.523900000000001</v>
      </c>
      <c r="AW361">
        <f t="shared" si="69"/>
        <v>0.79705617868</v>
      </c>
      <c r="AX361" s="9"/>
      <c r="AY361" s="22">
        <v>1.6674800000000001</v>
      </c>
      <c r="AZ361" s="22">
        <v>609.78300000000002</v>
      </c>
      <c r="BA361" s="22">
        <v>-2.1005200000000002E-2</v>
      </c>
      <c r="BB361" s="22">
        <v>351</v>
      </c>
      <c r="BC361" s="22">
        <v>1.6668700000000001</v>
      </c>
      <c r="BD361">
        <f t="shared" si="70"/>
        <v>21.005200000000002</v>
      </c>
      <c r="BE361">
        <f t="shared" si="71"/>
        <v>35.025750896000005</v>
      </c>
    </row>
    <row r="362" spans="6:57">
      <c r="F362" s="9"/>
      <c r="G362" s="22">
        <v>2.7465799999999999E-2</v>
      </c>
      <c r="H362" s="22">
        <v>91.456100000000006</v>
      </c>
      <c r="I362" s="22">
        <v>-2.51434E-2</v>
      </c>
      <c r="J362" s="22">
        <v>352</v>
      </c>
      <c r="K362" s="22">
        <v>2.71576E-2</v>
      </c>
      <c r="L362">
        <f t="shared" si="60"/>
        <v>25.1434</v>
      </c>
      <c r="M362">
        <f t="shared" si="61"/>
        <v>0.69058359571999994</v>
      </c>
      <c r="N362" s="9"/>
      <c r="O362" s="22">
        <v>1.67252</v>
      </c>
      <c r="P362" s="22">
        <v>180.774</v>
      </c>
      <c r="Q362" s="22">
        <v>-2.1063200000000001E-2</v>
      </c>
      <c r="R362" s="22">
        <v>352</v>
      </c>
      <c r="S362" s="22">
        <v>1.6723600000000001</v>
      </c>
      <c r="T362">
        <f t="shared" si="62"/>
        <v>21.063200000000002</v>
      </c>
      <c r="U362">
        <f t="shared" si="63"/>
        <v>35.228623264000007</v>
      </c>
      <c r="X362" s="9"/>
      <c r="Y362" s="22">
        <v>2.7465799999999999E-2</v>
      </c>
      <c r="Z362" s="22">
        <v>304.73599999999999</v>
      </c>
      <c r="AA362" s="22">
        <v>-2.4679599999999999E-2</v>
      </c>
      <c r="AB362" s="22">
        <v>352</v>
      </c>
      <c r="AC362" s="22">
        <v>2.8094500000000001E-2</v>
      </c>
      <c r="AD362">
        <f t="shared" si="64"/>
        <v>24.679600000000001</v>
      </c>
      <c r="AE362">
        <f t="shared" si="65"/>
        <v>0.67784495767999997</v>
      </c>
      <c r="AF362" s="9"/>
      <c r="AG362" s="22">
        <v>1.67252</v>
      </c>
      <c r="AH362" s="22">
        <v>410.61500000000001</v>
      </c>
      <c r="AI362" s="22">
        <v>-2.0849599999999999E-2</v>
      </c>
      <c r="AJ362" s="22">
        <v>352</v>
      </c>
      <c r="AK362" s="22">
        <v>1.6717500000000001</v>
      </c>
      <c r="AL362">
        <f t="shared" si="66"/>
        <v>20.849599999999999</v>
      </c>
      <c r="AM362">
        <f t="shared" si="67"/>
        <v>34.871372991999998</v>
      </c>
      <c r="AP362" s="9"/>
      <c r="AQ362" s="22">
        <v>2.7465799999999999E-2</v>
      </c>
      <c r="AR362" s="22">
        <v>499.005</v>
      </c>
      <c r="AS362" s="22">
        <v>-2.453E-2</v>
      </c>
      <c r="AT362" s="22">
        <v>352</v>
      </c>
      <c r="AU362" s="22">
        <v>2.7642799999999999E-2</v>
      </c>
      <c r="AV362">
        <f t="shared" si="68"/>
        <v>24.53</v>
      </c>
      <c r="AW362">
        <f t="shared" si="69"/>
        <v>0.67373607400000002</v>
      </c>
      <c r="AX362" s="9"/>
      <c r="AY362" s="22">
        <v>1.67252</v>
      </c>
      <c r="AZ362" s="22">
        <v>609.88400000000001</v>
      </c>
      <c r="BA362" s="22">
        <v>-2.0837399999999999E-2</v>
      </c>
      <c r="BB362" s="22">
        <v>352</v>
      </c>
      <c r="BC362" s="22">
        <v>1.6720600000000001</v>
      </c>
      <c r="BD362">
        <f t="shared" si="70"/>
        <v>20.837399999999999</v>
      </c>
      <c r="BE362">
        <f t="shared" si="71"/>
        <v>34.850968248000001</v>
      </c>
    </row>
    <row r="363" spans="6:57">
      <c r="F363" s="9"/>
      <c r="G363" s="22">
        <v>2.24304E-2</v>
      </c>
      <c r="H363" s="22">
        <v>91.556799999999996</v>
      </c>
      <c r="I363" s="22">
        <v>-2.5158699999999999E-2</v>
      </c>
      <c r="J363" s="22">
        <v>353</v>
      </c>
      <c r="K363" s="22">
        <v>2.2460899999999999E-2</v>
      </c>
      <c r="L363">
        <f t="shared" si="60"/>
        <v>25.1587</v>
      </c>
      <c r="M363">
        <f t="shared" si="61"/>
        <v>0.56431970448000002</v>
      </c>
      <c r="N363" s="9"/>
      <c r="O363" s="22">
        <v>1.6775500000000001</v>
      </c>
      <c r="P363" s="22">
        <v>180.874</v>
      </c>
      <c r="Q363" s="22">
        <v>-2.0871000000000001E-2</v>
      </c>
      <c r="R363" s="22">
        <v>353</v>
      </c>
      <c r="S363" s="22">
        <v>1.6766399999999999</v>
      </c>
      <c r="T363">
        <f t="shared" si="62"/>
        <v>20.871000000000002</v>
      </c>
      <c r="U363">
        <f t="shared" si="63"/>
        <v>35.012146050000005</v>
      </c>
      <c r="X363" s="9"/>
      <c r="Y363" s="22">
        <v>2.24304E-2</v>
      </c>
      <c r="Z363" s="22">
        <v>304.83600000000001</v>
      </c>
      <c r="AA363" s="22">
        <v>-2.4682599999999999E-2</v>
      </c>
      <c r="AB363" s="22">
        <v>353</v>
      </c>
      <c r="AC363" s="22">
        <v>2.2103899999999999E-2</v>
      </c>
      <c r="AD363">
        <f t="shared" si="64"/>
        <v>24.682600000000001</v>
      </c>
      <c r="AE363">
        <f t="shared" si="65"/>
        <v>0.55364059103999996</v>
      </c>
      <c r="AF363" s="9"/>
      <c r="AG363" s="22">
        <v>1.6775500000000001</v>
      </c>
      <c r="AH363" s="22">
        <v>410.71499999999997</v>
      </c>
      <c r="AI363" s="22">
        <v>-2.0666500000000001E-2</v>
      </c>
      <c r="AJ363" s="22">
        <v>353</v>
      </c>
      <c r="AK363" s="22">
        <v>1.6772499999999999</v>
      </c>
      <c r="AL363">
        <f t="shared" si="66"/>
        <v>20.666499999999999</v>
      </c>
      <c r="AM363">
        <f t="shared" si="67"/>
        <v>34.669087075</v>
      </c>
      <c r="AP363" s="9"/>
      <c r="AQ363" s="22">
        <v>2.24304E-2</v>
      </c>
      <c r="AR363" s="22">
        <v>499.10599999999999</v>
      </c>
      <c r="AS363" s="22">
        <v>-2.45422E-2</v>
      </c>
      <c r="AT363" s="22">
        <v>353</v>
      </c>
      <c r="AU363" s="22">
        <v>2.2818000000000001E-2</v>
      </c>
      <c r="AV363">
        <f t="shared" si="68"/>
        <v>24.542200000000001</v>
      </c>
      <c r="AW363">
        <f t="shared" si="69"/>
        <v>0.55049136288</v>
      </c>
      <c r="AX363" s="9"/>
      <c r="AY363" s="22">
        <v>1.6775500000000001</v>
      </c>
      <c r="AZ363" s="22">
        <v>609.98500000000001</v>
      </c>
      <c r="BA363" s="22">
        <v>-2.06421E-2</v>
      </c>
      <c r="BB363" s="22">
        <v>353</v>
      </c>
      <c r="BC363" s="22">
        <v>1.6769400000000001</v>
      </c>
      <c r="BD363">
        <f t="shared" si="70"/>
        <v>20.642099999999999</v>
      </c>
      <c r="BE363">
        <f t="shared" si="71"/>
        <v>34.628154854999998</v>
      </c>
    </row>
    <row r="364" spans="6:57">
      <c r="F364" s="9"/>
      <c r="G364" s="22">
        <v>1.7395000000000001E-2</v>
      </c>
      <c r="H364" s="22">
        <v>91.657499999999999</v>
      </c>
      <c r="I364" s="22">
        <v>-2.51556E-2</v>
      </c>
      <c r="J364" s="22">
        <v>354</v>
      </c>
      <c r="K364" s="22">
        <v>1.7459100000000002E-2</v>
      </c>
      <c r="L364">
        <f t="shared" si="60"/>
        <v>25.1556</v>
      </c>
      <c r="M364">
        <f t="shared" si="61"/>
        <v>0.43758166200000004</v>
      </c>
      <c r="N364" s="9"/>
      <c r="O364" s="22">
        <v>1.68259</v>
      </c>
      <c r="P364" s="22">
        <v>180.97499999999999</v>
      </c>
      <c r="Q364" s="22">
        <v>-2.06451E-2</v>
      </c>
      <c r="R364" s="22">
        <v>354</v>
      </c>
      <c r="S364" s="22">
        <v>1.6815199999999999</v>
      </c>
      <c r="T364">
        <f t="shared" si="62"/>
        <v>20.645099999999999</v>
      </c>
      <c r="U364">
        <f t="shared" si="63"/>
        <v>34.737238808999997</v>
      </c>
      <c r="X364" s="9"/>
      <c r="Y364" s="22">
        <v>1.7395000000000001E-2</v>
      </c>
      <c r="Z364" s="22">
        <v>304.93700000000001</v>
      </c>
      <c r="AA364" s="22">
        <v>-2.4685700000000001E-2</v>
      </c>
      <c r="AB364" s="22">
        <v>354</v>
      </c>
      <c r="AC364" s="22">
        <v>1.7474400000000001E-2</v>
      </c>
      <c r="AD364">
        <f t="shared" si="64"/>
        <v>24.685700000000001</v>
      </c>
      <c r="AE364">
        <f t="shared" si="65"/>
        <v>0.42940775150000005</v>
      </c>
      <c r="AF364" s="9"/>
      <c r="AG364" s="22">
        <v>1.68259</v>
      </c>
      <c r="AH364" s="22">
        <v>410.81599999999997</v>
      </c>
      <c r="AI364" s="22">
        <v>-2.04529E-2</v>
      </c>
      <c r="AJ364" s="22">
        <v>354</v>
      </c>
      <c r="AK364" s="22">
        <v>1.6818200000000001</v>
      </c>
      <c r="AL364">
        <f t="shared" si="66"/>
        <v>20.4529</v>
      </c>
      <c r="AM364">
        <f t="shared" si="67"/>
        <v>34.413845010999999</v>
      </c>
      <c r="AP364" s="9"/>
      <c r="AQ364" s="22">
        <v>1.7395000000000001E-2</v>
      </c>
      <c r="AR364" s="22">
        <v>499.20600000000002</v>
      </c>
      <c r="AS364" s="22">
        <v>-2.4551400000000001E-2</v>
      </c>
      <c r="AT364" s="22">
        <v>354</v>
      </c>
      <c r="AU364" s="22">
        <v>1.7623900000000001E-2</v>
      </c>
      <c r="AV364">
        <f t="shared" si="68"/>
        <v>24.551400000000001</v>
      </c>
      <c r="AW364">
        <f t="shared" si="69"/>
        <v>0.42707160300000002</v>
      </c>
      <c r="AX364" s="9"/>
      <c r="AY364" s="22">
        <v>1.68259</v>
      </c>
      <c r="AZ364" s="22">
        <v>610.08500000000004</v>
      </c>
      <c r="BA364" s="22">
        <v>-2.04254E-2</v>
      </c>
      <c r="BB364" s="22">
        <v>354</v>
      </c>
      <c r="BC364" s="22">
        <v>1.6824300000000001</v>
      </c>
      <c r="BD364">
        <f t="shared" si="70"/>
        <v>20.4254</v>
      </c>
      <c r="BE364">
        <f t="shared" si="71"/>
        <v>34.367573786000001</v>
      </c>
    </row>
    <row r="365" spans="6:57">
      <c r="F365" s="9"/>
      <c r="G365" s="22">
        <v>1.23596E-2</v>
      </c>
      <c r="H365" s="22">
        <v>91.758200000000002</v>
      </c>
      <c r="I365" s="22">
        <v>-2.5152600000000001E-2</v>
      </c>
      <c r="J365" s="22">
        <v>355</v>
      </c>
      <c r="K365" s="22">
        <v>1.29272E-2</v>
      </c>
      <c r="L365">
        <f t="shared" si="60"/>
        <v>25.1526</v>
      </c>
      <c r="M365">
        <f t="shared" si="61"/>
        <v>0.31087607495999997</v>
      </c>
      <c r="N365" s="9"/>
      <c r="O365" s="22">
        <v>1.6876199999999999</v>
      </c>
      <c r="P365" s="22">
        <v>181.07599999999999</v>
      </c>
      <c r="Q365" s="22">
        <v>-2.0416299999999998E-2</v>
      </c>
      <c r="R365" s="22">
        <v>355</v>
      </c>
      <c r="S365" s="22">
        <v>1.6867099999999999</v>
      </c>
      <c r="T365">
        <f t="shared" si="62"/>
        <v>20.4163</v>
      </c>
      <c r="U365">
        <f t="shared" si="63"/>
        <v>34.454956205999999</v>
      </c>
      <c r="X365" s="9"/>
      <c r="Y365" s="22">
        <v>1.23596E-2</v>
      </c>
      <c r="Z365" s="22">
        <v>305.03800000000001</v>
      </c>
      <c r="AA365" s="22">
        <v>-2.4700900000000001E-2</v>
      </c>
      <c r="AB365" s="22">
        <v>355</v>
      </c>
      <c r="AC365" s="22">
        <v>1.2295499999999999E-2</v>
      </c>
      <c r="AD365">
        <f t="shared" si="64"/>
        <v>24.700900000000001</v>
      </c>
      <c r="AE365">
        <f t="shared" si="65"/>
        <v>0.30529324363999999</v>
      </c>
      <c r="AF365" s="9"/>
      <c r="AG365" s="22">
        <v>1.6876199999999999</v>
      </c>
      <c r="AH365" s="22">
        <v>410.91699999999997</v>
      </c>
      <c r="AI365" s="22">
        <v>-2.0230100000000001E-2</v>
      </c>
      <c r="AJ365" s="22">
        <v>355</v>
      </c>
      <c r="AK365" s="22">
        <v>1.6870099999999999</v>
      </c>
      <c r="AL365">
        <f t="shared" si="66"/>
        <v>20.2301</v>
      </c>
      <c r="AM365">
        <f t="shared" si="67"/>
        <v>34.140721362000001</v>
      </c>
      <c r="AP365" s="9"/>
      <c r="AQ365" s="22">
        <v>1.23596E-2</v>
      </c>
      <c r="AR365" s="22">
        <v>499.30700000000002</v>
      </c>
      <c r="AS365" s="22">
        <v>-2.4554400000000001E-2</v>
      </c>
      <c r="AT365" s="22">
        <v>355</v>
      </c>
      <c r="AU365" s="22">
        <v>1.22925E-2</v>
      </c>
      <c r="AV365">
        <f t="shared" si="68"/>
        <v>24.554400000000001</v>
      </c>
      <c r="AW365">
        <f t="shared" si="69"/>
        <v>0.30348256224000003</v>
      </c>
      <c r="AX365" s="9"/>
      <c r="AY365" s="22">
        <v>1.6876199999999999</v>
      </c>
      <c r="AZ365" s="22">
        <v>610.18600000000004</v>
      </c>
      <c r="BA365" s="22">
        <v>-2.02057E-2</v>
      </c>
      <c r="BB365" s="22">
        <v>355</v>
      </c>
      <c r="BC365" s="22">
        <v>1.6863999999999999</v>
      </c>
      <c r="BD365">
        <f t="shared" si="70"/>
        <v>20.2057</v>
      </c>
      <c r="BE365">
        <f t="shared" si="71"/>
        <v>34.099543433999997</v>
      </c>
    </row>
    <row r="366" spans="6:57">
      <c r="F366" s="9"/>
      <c r="G366" s="22">
        <v>7.3242200000000002E-3</v>
      </c>
      <c r="H366" s="22">
        <v>91.858900000000006</v>
      </c>
      <c r="I366" s="22">
        <v>-2.5164800000000001E-2</v>
      </c>
      <c r="J366" s="22">
        <v>356</v>
      </c>
      <c r="K366" s="22">
        <v>7.7484099999999998E-3</v>
      </c>
      <c r="L366">
        <f t="shared" si="60"/>
        <v>25.1648</v>
      </c>
      <c r="M366">
        <f t="shared" si="61"/>
        <v>0.18431253145599999</v>
      </c>
      <c r="N366" s="9"/>
      <c r="O366" s="22">
        <v>1.6926600000000001</v>
      </c>
      <c r="P366" s="22">
        <v>181.17599999999999</v>
      </c>
      <c r="Q366" s="22">
        <v>-2.0153799999999999E-2</v>
      </c>
      <c r="R366" s="22">
        <v>356</v>
      </c>
      <c r="S366" s="22">
        <v>1.6915899999999999</v>
      </c>
      <c r="T366">
        <f t="shared" si="62"/>
        <v>20.1538</v>
      </c>
      <c r="U366">
        <f t="shared" si="63"/>
        <v>34.113531108000004</v>
      </c>
      <c r="X366" s="9"/>
      <c r="Y366" s="22">
        <v>7.3242200000000002E-3</v>
      </c>
      <c r="Z366" s="22">
        <v>305.13900000000001</v>
      </c>
      <c r="AA366" s="22">
        <v>-2.4704E-2</v>
      </c>
      <c r="AB366" s="22">
        <v>356</v>
      </c>
      <c r="AC366" s="22">
        <v>7.4798599999999996E-3</v>
      </c>
      <c r="AD366">
        <f t="shared" si="64"/>
        <v>24.704000000000001</v>
      </c>
      <c r="AE366">
        <f t="shared" si="65"/>
        <v>0.18093753088</v>
      </c>
      <c r="AF366" s="9"/>
      <c r="AG366" s="22">
        <v>1.6926600000000001</v>
      </c>
      <c r="AH366" s="22">
        <v>411.017</v>
      </c>
      <c r="AI366" s="22">
        <v>-1.99615E-2</v>
      </c>
      <c r="AJ366" s="22">
        <v>356</v>
      </c>
      <c r="AK366" s="22">
        <v>1.6924999999999999</v>
      </c>
      <c r="AL366">
        <f t="shared" si="66"/>
        <v>19.961500000000001</v>
      </c>
      <c r="AM366">
        <f t="shared" si="67"/>
        <v>33.78803259</v>
      </c>
      <c r="AP366" s="9"/>
      <c r="AQ366" s="22">
        <v>7.3242200000000002E-3</v>
      </c>
      <c r="AR366" s="22">
        <v>499.40800000000002</v>
      </c>
      <c r="AS366" s="22">
        <v>-2.4557499999999999E-2</v>
      </c>
      <c r="AT366" s="22">
        <v>356</v>
      </c>
      <c r="AU366" s="22">
        <v>7.5469999999999999E-3</v>
      </c>
      <c r="AV366">
        <f t="shared" si="68"/>
        <v>24.557500000000001</v>
      </c>
      <c r="AW366">
        <f t="shared" si="69"/>
        <v>0.17986453265000002</v>
      </c>
      <c r="AX366" s="9"/>
      <c r="AY366" s="22">
        <v>1.6926600000000001</v>
      </c>
      <c r="AZ366" s="22">
        <v>610.28700000000003</v>
      </c>
      <c r="BA366" s="22">
        <v>-1.9940200000000002E-2</v>
      </c>
      <c r="BB366" s="22">
        <v>356</v>
      </c>
      <c r="BC366" s="22">
        <v>1.6915899999999999</v>
      </c>
      <c r="BD366">
        <f t="shared" si="70"/>
        <v>19.940200000000001</v>
      </c>
      <c r="BE366">
        <f t="shared" si="71"/>
        <v>33.751978932</v>
      </c>
    </row>
    <row r="367" spans="6:57">
      <c r="F367" s="9"/>
      <c r="G367" s="22">
        <v>2.28882E-3</v>
      </c>
      <c r="H367" s="22">
        <v>91.959699999999998</v>
      </c>
      <c r="I367" s="22">
        <v>-2.5173999999999998E-2</v>
      </c>
      <c r="J367" s="22">
        <v>357</v>
      </c>
      <c r="K367" s="22">
        <v>2.4963400000000001E-3</v>
      </c>
      <c r="L367">
        <f t="shared" si="60"/>
        <v>25.173999999999999</v>
      </c>
      <c r="M367">
        <f t="shared" si="61"/>
        <v>5.7618754680000002E-2</v>
      </c>
      <c r="N367" s="9"/>
      <c r="O367" s="22">
        <v>1.6976899999999999</v>
      </c>
      <c r="P367" s="22">
        <v>181.27699999999999</v>
      </c>
      <c r="Q367" s="22">
        <v>-1.9860800000000001E-2</v>
      </c>
      <c r="R367" s="22">
        <v>357</v>
      </c>
      <c r="S367" s="22">
        <v>1.69678</v>
      </c>
      <c r="T367">
        <f t="shared" si="62"/>
        <v>19.860800000000001</v>
      </c>
      <c r="U367">
        <f t="shared" si="63"/>
        <v>33.717481552000002</v>
      </c>
      <c r="X367" s="9"/>
      <c r="Y367" s="22">
        <v>2.28882E-3</v>
      </c>
      <c r="Z367" s="22">
        <v>305.23899999999998</v>
      </c>
      <c r="AA367" s="22">
        <v>-2.4707E-2</v>
      </c>
      <c r="AB367" s="22">
        <v>357</v>
      </c>
      <c r="AC367" s="22">
        <v>2.2674599999999998E-3</v>
      </c>
      <c r="AD367">
        <f t="shared" si="64"/>
        <v>24.707000000000001</v>
      </c>
      <c r="AE367">
        <f t="shared" si="65"/>
        <v>5.6549875740000005E-2</v>
      </c>
      <c r="AF367" s="9"/>
      <c r="AG367" s="22">
        <v>1.6976899999999999</v>
      </c>
      <c r="AH367" s="22">
        <v>411.11799999999999</v>
      </c>
      <c r="AI367" s="22">
        <v>-1.96899E-2</v>
      </c>
      <c r="AJ367" s="22">
        <v>357</v>
      </c>
      <c r="AK367" s="22">
        <v>1.69678</v>
      </c>
      <c r="AL367">
        <f t="shared" si="66"/>
        <v>19.689900000000002</v>
      </c>
      <c r="AM367">
        <f t="shared" si="67"/>
        <v>33.427346331000003</v>
      </c>
      <c r="AP367" s="9"/>
      <c r="AQ367" s="22">
        <v>2.28882E-3</v>
      </c>
      <c r="AR367" s="22">
        <v>499.50900000000001</v>
      </c>
      <c r="AS367" s="22">
        <v>-2.4560499999999999E-2</v>
      </c>
      <c r="AT367" s="22">
        <v>357</v>
      </c>
      <c r="AU367" s="22">
        <v>2.4688700000000002E-3</v>
      </c>
      <c r="AV367">
        <f t="shared" si="68"/>
        <v>24.560499999999998</v>
      </c>
      <c r="AW367">
        <f t="shared" si="69"/>
        <v>5.6214563609999997E-2</v>
      </c>
      <c r="AX367" s="9"/>
      <c r="AY367" s="22">
        <v>1.6976899999999999</v>
      </c>
      <c r="AZ367" s="22">
        <v>610.38699999999994</v>
      </c>
      <c r="BA367" s="22">
        <v>-1.9671600000000001E-2</v>
      </c>
      <c r="BB367" s="22">
        <v>357</v>
      </c>
      <c r="BC367" s="22">
        <v>1.69739</v>
      </c>
      <c r="BD367">
        <f t="shared" si="70"/>
        <v>19.671600000000002</v>
      </c>
      <c r="BE367">
        <f t="shared" si="71"/>
        <v>33.396278604000003</v>
      </c>
    </row>
    <row r="368" spans="6:57">
      <c r="F368" s="9"/>
      <c r="G368" s="22">
        <v>-2.7465800000000002E-3</v>
      </c>
      <c r="H368" s="22">
        <v>92.060400000000001</v>
      </c>
      <c r="I368" s="22">
        <v>-2.51801E-2</v>
      </c>
      <c r="J368" s="22">
        <v>358</v>
      </c>
      <c r="K368" s="22">
        <v>-2.42004E-3</v>
      </c>
      <c r="L368">
        <f t="shared" si="60"/>
        <v>25.180099999999999</v>
      </c>
      <c r="M368">
        <f t="shared" si="61"/>
        <v>-6.9159159058000005E-2</v>
      </c>
      <c r="N368" s="9"/>
      <c r="O368" s="22">
        <v>1.7027300000000001</v>
      </c>
      <c r="P368" s="22">
        <v>181.37799999999999</v>
      </c>
      <c r="Q368" s="22">
        <v>-1.9531300000000001E-2</v>
      </c>
      <c r="R368" s="22">
        <v>358</v>
      </c>
      <c r="S368" s="22">
        <v>1.70258</v>
      </c>
      <c r="T368">
        <f t="shared" si="62"/>
        <v>19.531300000000002</v>
      </c>
      <c r="U368">
        <f t="shared" si="63"/>
        <v>33.256530449000003</v>
      </c>
      <c r="X368" s="9"/>
      <c r="Y368" s="22">
        <v>-2.7465800000000002E-3</v>
      </c>
      <c r="Z368" s="22">
        <v>305.33999999999997</v>
      </c>
      <c r="AA368" s="22">
        <v>-2.4716200000000001E-2</v>
      </c>
      <c r="AB368" s="22">
        <v>358</v>
      </c>
      <c r="AC368" s="22">
        <v>-2.9266399999999999E-3</v>
      </c>
      <c r="AD368">
        <f t="shared" si="64"/>
        <v>24.716200000000001</v>
      </c>
      <c r="AE368">
        <f t="shared" si="65"/>
        <v>-6.7885020596000004E-2</v>
      </c>
      <c r="AF368" s="9"/>
      <c r="AG368" s="22">
        <v>1.7027300000000001</v>
      </c>
      <c r="AH368" s="22">
        <v>411.21899999999999</v>
      </c>
      <c r="AI368" s="22">
        <v>-1.93726E-2</v>
      </c>
      <c r="AJ368" s="22">
        <v>358</v>
      </c>
      <c r="AK368" s="22">
        <v>1.70197</v>
      </c>
      <c r="AL368">
        <f t="shared" si="66"/>
        <v>19.372599999999998</v>
      </c>
      <c r="AM368">
        <f t="shared" si="67"/>
        <v>32.986307197999999</v>
      </c>
      <c r="AP368" s="9"/>
      <c r="AQ368" s="22">
        <v>-2.7465800000000002E-3</v>
      </c>
      <c r="AR368" s="22">
        <v>499.60899999999998</v>
      </c>
      <c r="AS368" s="22">
        <v>-2.45697E-2</v>
      </c>
      <c r="AT368" s="22">
        <v>358</v>
      </c>
      <c r="AU368" s="22">
        <v>-2.7587900000000001E-3</v>
      </c>
      <c r="AV368">
        <f t="shared" si="68"/>
        <v>24.569700000000001</v>
      </c>
      <c r="AW368">
        <f t="shared" si="69"/>
        <v>-6.7482646626000009E-2</v>
      </c>
      <c r="AX368" s="9"/>
      <c r="AY368" s="22">
        <v>1.7027300000000001</v>
      </c>
      <c r="AZ368" s="22">
        <v>610.48800000000006</v>
      </c>
      <c r="BA368" s="22">
        <v>-1.9378699999999999E-2</v>
      </c>
      <c r="BB368" s="22">
        <v>358</v>
      </c>
      <c r="BC368" s="22">
        <v>1.70197</v>
      </c>
      <c r="BD368">
        <f t="shared" si="70"/>
        <v>19.378699999999998</v>
      </c>
      <c r="BE368">
        <f t="shared" si="71"/>
        <v>32.996693850999996</v>
      </c>
    </row>
    <row r="369" spans="6:57">
      <c r="F369" s="9"/>
      <c r="G369" s="22">
        <v>-7.78198E-3</v>
      </c>
      <c r="H369" s="22">
        <v>92.161100000000005</v>
      </c>
      <c r="I369" s="22">
        <v>-2.52502E-2</v>
      </c>
      <c r="J369" s="22">
        <v>359</v>
      </c>
      <c r="K369" s="22">
        <v>-7.8826899999999995E-3</v>
      </c>
      <c r="L369">
        <f t="shared" si="60"/>
        <v>25.2502</v>
      </c>
      <c r="M369">
        <f t="shared" si="61"/>
        <v>-0.196496551396</v>
      </c>
      <c r="N369" s="9"/>
      <c r="O369" s="22">
        <v>1.7077599999999999</v>
      </c>
      <c r="P369" s="22">
        <v>181.47900000000001</v>
      </c>
      <c r="Q369" s="22">
        <v>-1.9140600000000001E-2</v>
      </c>
      <c r="R369" s="22">
        <v>359</v>
      </c>
      <c r="S369" s="22">
        <v>1.7071499999999999</v>
      </c>
      <c r="T369">
        <f t="shared" si="62"/>
        <v>19.140599999999999</v>
      </c>
      <c r="U369">
        <f t="shared" si="63"/>
        <v>32.687551055999997</v>
      </c>
      <c r="X369" s="9"/>
      <c r="Y369" s="22">
        <v>-7.78198E-3</v>
      </c>
      <c r="Z369" s="22">
        <v>305.44099999999997</v>
      </c>
      <c r="AA369" s="22">
        <v>-2.4725299999999999E-2</v>
      </c>
      <c r="AB369" s="22">
        <v>359</v>
      </c>
      <c r="AC369" s="22">
        <v>-7.9376199999999994E-3</v>
      </c>
      <c r="AD369">
        <f t="shared" si="64"/>
        <v>24.725299999999997</v>
      </c>
      <c r="AE369">
        <f t="shared" si="65"/>
        <v>-0.19241179009399997</v>
      </c>
      <c r="AF369" s="9"/>
      <c r="AG369" s="22">
        <v>1.7077599999999999</v>
      </c>
      <c r="AH369" s="22">
        <v>411.31900000000002</v>
      </c>
      <c r="AI369" s="22">
        <v>-1.9009399999999999E-2</v>
      </c>
      <c r="AJ369" s="22">
        <v>359</v>
      </c>
      <c r="AK369" s="22">
        <v>1.70746</v>
      </c>
      <c r="AL369">
        <f t="shared" si="66"/>
        <v>19.009399999999999</v>
      </c>
      <c r="AM369">
        <f t="shared" si="67"/>
        <v>32.463492943999995</v>
      </c>
      <c r="AP369" s="9"/>
      <c r="AQ369" s="22">
        <v>-7.78198E-3</v>
      </c>
      <c r="AR369" s="22">
        <v>499.71</v>
      </c>
      <c r="AS369" s="22">
        <v>-2.4572799999999999E-2</v>
      </c>
      <c r="AT369" s="22">
        <v>359</v>
      </c>
      <c r="AU369" s="22">
        <v>-7.3974599999999998E-3</v>
      </c>
      <c r="AV369">
        <f t="shared" si="68"/>
        <v>24.572799999999997</v>
      </c>
      <c r="AW369">
        <f t="shared" si="69"/>
        <v>-0.19122503814399996</v>
      </c>
      <c r="AX369" s="9"/>
      <c r="AY369" s="22">
        <v>1.7077599999999999</v>
      </c>
      <c r="AZ369" s="22">
        <v>610.58900000000006</v>
      </c>
      <c r="BA369" s="22">
        <v>-1.9027700000000002E-2</v>
      </c>
      <c r="BB369" s="22">
        <v>359</v>
      </c>
      <c r="BC369" s="22">
        <v>1.7071499999999999</v>
      </c>
      <c r="BD369">
        <f t="shared" si="70"/>
        <v>19.027700000000003</v>
      </c>
      <c r="BE369">
        <f t="shared" si="71"/>
        <v>32.494744952000005</v>
      </c>
    </row>
    <row r="370" spans="6:57">
      <c r="F370" s="9"/>
      <c r="G370" s="22">
        <v>-1.28174E-2</v>
      </c>
      <c r="H370" s="22">
        <v>92.261799999999994</v>
      </c>
      <c r="I370" s="22">
        <v>-2.5106799999999999E-2</v>
      </c>
      <c r="J370" s="22">
        <v>360</v>
      </c>
      <c r="K370" s="22">
        <v>-1.25793E-2</v>
      </c>
      <c r="L370">
        <f t="shared" si="60"/>
        <v>25.1068</v>
      </c>
      <c r="M370">
        <f t="shared" si="61"/>
        <v>-0.32180389832</v>
      </c>
      <c r="N370" s="9"/>
      <c r="O370" s="22">
        <v>1.7128000000000001</v>
      </c>
      <c r="P370" s="22">
        <v>181.57900000000001</v>
      </c>
      <c r="Q370" s="22">
        <v>-1.8728600000000001E-2</v>
      </c>
      <c r="R370" s="22">
        <v>360</v>
      </c>
      <c r="S370" s="22">
        <v>1.71173</v>
      </c>
      <c r="T370">
        <f t="shared" si="62"/>
        <v>18.7286</v>
      </c>
      <c r="U370">
        <f t="shared" si="63"/>
        <v>32.078346080000003</v>
      </c>
      <c r="X370" s="9"/>
      <c r="Y370" s="22">
        <v>-1.28174E-2</v>
      </c>
      <c r="Z370" s="22">
        <v>305.541</v>
      </c>
      <c r="AA370" s="22">
        <v>-2.4725299999999999E-2</v>
      </c>
      <c r="AB370" s="22">
        <v>360</v>
      </c>
      <c r="AC370" s="22">
        <v>-1.3256799999999999E-2</v>
      </c>
      <c r="AD370">
        <f t="shared" si="64"/>
        <v>24.725299999999997</v>
      </c>
      <c r="AE370">
        <f t="shared" si="65"/>
        <v>-0.31691406021999996</v>
      </c>
      <c r="AF370" s="9"/>
      <c r="AG370" s="22">
        <v>1.7128000000000001</v>
      </c>
      <c r="AH370" s="22">
        <v>411.42</v>
      </c>
      <c r="AI370" s="22">
        <v>-1.85852E-2</v>
      </c>
      <c r="AJ370" s="22">
        <v>360</v>
      </c>
      <c r="AK370" s="22">
        <v>1.71234</v>
      </c>
      <c r="AL370">
        <f t="shared" si="66"/>
        <v>18.5852</v>
      </c>
      <c r="AM370">
        <f t="shared" si="67"/>
        <v>31.832730560000002</v>
      </c>
      <c r="AP370" s="9"/>
      <c r="AQ370" s="22">
        <v>-1.28174E-2</v>
      </c>
      <c r="AR370" s="22">
        <v>499.81099999999998</v>
      </c>
      <c r="AS370" s="22">
        <v>-2.4578900000000001E-2</v>
      </c>
      <c r="AT370" s="22">
        <v>360</v>
      </c>
      <c r="AU370" s="22">
        <v>-1.27747E-2</v>
      </c>
      <c r="AV370">
        <f t="shared" si="68"/>
        <v>24.578900000000001</v>
      </c>
      <c r="AW370">
        <f t="shared" si="69"/>
        <v>-0.31503759285999999</v>
      </c>
      <c r="AX370" s="9"/>
      <c r="AY370" s="22">
        <v>1.7128000000000001</v>
      </c>
      <c r="AZ370" s="22">
        <v>610.69000000000005</v>
      </c>
      <c r="BA370" s="22">
        <v>-1.8615699999999999E-2</v>
      </c>
      <c r="BB370" s="22">
        <v>360</v>
      </c>
      <c r="BC370" s="22">
        <v>1.71204</v>
      </c>
      <c r="BD370">
        <f t="shared" si="70"/>
        <v>18.6157</v>
      </c>
      <c r="BE370">
        <f t="shared" si="71"/>
        <v>31.884970960000004</v>
      </c>
    </row>
    <row r="371" spans="6:57">
      <c r="F371" s="9"/>
      <c r="G371" s="22">
        <v>-1.7852799999999999E-2</v>
      </c>
      <c r="H371" s="22">
        <v>92.362499999999997</v>
      </c>
      <c r="I371" s="22">
        <v>-2.53052E-2</v>
      </c>
      <c r="J371" s="22">
        <v>361</v>
      </c>
      <c r="K371" s="22">
        <v>-1.7654400000000001E-2</v>
      </c>
      <c r="L371">
        <f t="shared" si="60"/>
        <v>25.305199999999999</v>
      </c>
      <c r="M371">
        <f t="shared" si="61"/>
        <v>-0.45176867455999997</v>
      </c>
      <c r="N371" s="9"/>
      <c r="O371" s="22">
        <v>1.71783</v>
      </c>
      <c r="P371" s="22">
        <v>181.68</v>
      </c>
      <c r="Q371" s="22">
        <v>-1.8237300000000001E-2</v>
      </c>
      <c r="R371" s="22">
        <v>361</v>
      </c>
      <c r="S371" s="22">
        <v>1.71722</v>
      </c>
      <c r="T371">
        <f t="shared" si="62"/>
        <v>18.237300000000001</v>
      </c>
      <c r="U371">
        <f t="shared" si="63"/>
        <v>31.328581059000001</v>
      </c>
      <c r="X371" s="9"/>
      <c r="Y371" s="22">
        <v>-1.7852799999999999E-2</v>
      </c>
      <c r="Z371" s="22">
        <v>305.642</v>
      </c>
      <c r="AA371" s="22">
        <v>-2.4728400000000001E-2</v>
      </c>
      <c r="AB371" s="22">
        <v>361</v>
      </c>
      <c r="AC371" s="22">
        <v>-1.77521E-2</v>
      </c>
      <c r="AD371">
        <f t="shared" si="64"/>
        <v>24.728400000000001</v>
      </c>
      <c r="AE371">
        <f t="shared" si="65"/>
        <v>-0.44147117951999998</v>
      </c>
      <c r="AF371" s="9"/>
      <c r="AG371" s="22">
        <v>1.71783</v>
      </c>
      <c r="AH371" s="22">
        <v>411.52100000000002</v>
      </c>
      <c r="AI371" s="22">
        <v>-1.8124399999999999E-2</v>
      </c>
      <c r="AJ371" s="22">
        <v>361</v>
      </c>
      <c r="AK371" s="22">
        <v>1.71692</v>
      </c>
      <c r="AL371">
        <f t="shared" si="66"/>
        <v>18.124399999999998</v>
      </c>
      <c r="AM371">
        <f t="shared" si="67"/>
        <v>31.134638051999996</v>
      </c>
      <c r="AP371" s="9"/>
      <c r="AQ371" s="22">
        <v>-1.7852799999999999E-2</v>
      </c>
      <c r="AR371" s="22">
        <v>499.911</v>
      </c>
      <c r="AS371" s="22">
        <v>-2.4584999999999999E-2</v>
      </c>
      <c r="AT371" s="22">
        <v>361</v>
      </c>
      <c r="AU371" s="22">
        <v>-1.7828400000000001E-2</v>
      </c>
      <c r="AV371">
        <f t="shared" si="68"/>
        <v>24.585000000000001</v>
      </c>
      <c r="AW371">
        <f t="shared" si="69"/>
        <v>-0.438911088</v>
      </c>
      <c r="AX371" s="9"/>
      <c r="AY371" s="22">
        <v>1.71783</v>
      </c>
      <c r="AZ371" s="22">
        <v>610.79</v>
      </c>
      <c r="BA371" s="22">
        <v>-1.8154900000000002E-2</v>
      </c>
      <c r="BB371" s="22">
        <v>361</v>
      </c>
      <c r="BC371" s="22">
        <v>1.71753</v>
      </c>
      <c r="BD371">
        <f t="shared" si="70"/>
        <v>18.154900000000001</v>
      </c>
      <c r="BE371">
        <f t="shared" si="71"/>
        <v>31.187031867000002</v>
      </c>
    </row>
    <row r="372" spans="6:57">
      <c r="F372" s="9"/>
      <c r="G372" s="22">
        <v>-2.2888200000000001E-2</v>
      </c>
      <c r="H372" s="22">
        <v>92.463200000000001</v>
      </c>
      <c r="I372" s="22">
        <v>-2.5311299999999998E-2</v>
      </c>
      <c r="J372" s="22">
        <v>362</v>
      </c>
      <c r="K372" s="22">
        <v>-2.2345E-2</v>
      </c>
      <c r="L372">
        <f t="shared" si="60"/>
        <v>25.311299999999999</v>
      </c>
      <c r="M372">
        <f t="shared" si="61"/>
        <v>-0.57933009666000002</v>
      </c>
      <c r="N372" s="9"/>
      <c r="O372" s="22">
        <v>1.7228699999999999</v>
      </c>
      <c r="P372" s="22">
        <v>181.78100000000001</v>
      </c>
      <c r="Q372" s="22">
        <v>-1.76422E-2</v>
      </c>
      <c r="R372" s="22">
        <v>362</v>
      </c>
      <c r="S372" s="22">
        <v>1.7218</v>
      </c>
      <c r="T372">
        <f t="shared" si="62"/>
        <v>17.642199999999999</v>
      </c>
      <c r="U372">
        <f t="shared" si="63"/>
        <v>30.395217113999998</v>
      </c>
      <c r="X372" s="9"/>
      <c r="Y372" s="22">
        <v>-2.2888200000000001E-2</v>
      </c>
      <c r="Z372" s="22">
        <v>305.74299999999999</v>
      </c>
      <c r="AA372" s="22">
        <v>-2.4725299999999999E-2</v>
      </c>
      <c r="AB372" s="22">
        <v>362</v>
      </c>
      <c r="AC372" s="22">
        <v>-2.3129299999999998E-2</v>
      </c>
      <c r="AD372">
        <f t="shared" si="64"/>
        <v>24.725299999999997</v>
      </c>
      <c r="AE372">
        <f t="shared" si="65"/>
        <v>-0.56591761145999997</v>
      </c>
      <c r="AF372" s="9"/>
      <c r="AG372" s="22">
        <v>1.7228699999999999</v>
      </c>
      <c r="AH372" s="22">
        <v>411.62200000000001</v>
      </c>
      <c r="AI372" s="22">
        <v>-1.7581200000000002E-2</v>
      </c>
      <c r="AJ372" s="22">
        <v>362</v>
      </c>
      <c r="AK372" s="22">
        <v>1.72211</v>
      </c>
      <c r="AL372">
        <f t="shared" si="66"/>
        <v>17.581200000000003</v>
      </c>
      <c r="AM372">
        <f t="shared" si="67"/>
        <v>30.290122044000004</v>
      </c>
      <c r="AP372" s="9"/>
      <c r="AQ372" s="22">
        <v>-2.2888200000000001E-2</v>
      </c>
      <c r="AR372" s="22">
        <v>500.012</v>
      </c>
      <c r="AS372" s="22">
        <v>-2.4594100000000001E-2</v>
      </c>
      <c r="AT372" s="22">
        <v>362</v>
      </c>
      <c r="AU372" s="22">
        <v>-2.2448699999999999E-2</v>
      </c>
      <c r="AV372">
        <f t="shared" si="68"/>
        <v>24.594100000000001</v>
      </c>
      <c r="AW372">
        <f t="shared" si="69"/>
        <v>-0.56291467962000008</v>
      </c>
      <c r="AX372" s="9"/>
      <c r="AY372" s="22">
        <v>1.7228699999999999</v>
      </c>
      <c r="AZ372" s="22">
        <v>610.89099999999996</v>
      </c>
      <c r="BA372" s="22">
        <v>-1.7611700000000001E-2</v>
      </c>
      <c r="BB372" s="22">
        <v>362</v>
      </c>
      <c r="BC372" s="22">
        <v>1.72211</v>
      </c>
      <c r="BD372">
        <f t="shared" si="70"/>
        <v>17.611700000000003</v>
      </c>
      <c r="BE372">
        <f t="shared" si="71"/>
        <v>30.342669579000002</v>
      </c>
    </row>
    <row r="373" spans="6:57">
      <c r="F373" s="9"/>
      <c r="G373" s="22">
        <v>-2.79236E-2</v>
      </c>
      <c r="H373" s="22">
        <v>92.563900000000004</v>
      </c>
      <c r="I373" s="22">
        <v>-2.53204E-2</v>
      </c>
      <c r="J373" s="22">
        <v>363</v>
      </c>
      <c r="K373" s="22">
        <v>-2.7969399999999998E-2</v>
      </c>
      <c r="L373">
        <f t="shared" si="60"/>
        <v>25.320399999999999</v>
      </c>
      <c r="M373">
        <f t="shared" si="61"/>
        <v>-0.70703672143999996</v>
      </c>
      <c r="N373" s="9"/>
      <c r="O373" s="22">
        <v>1.7279100000000001</v>
      </c>
      <c r="P373" s="22">
        <v>181.881</v>
      </c>
      <c r="Q373" s="22">
        <v>-1.69342E-2</v>
      </c>
      <c r="R373" s="22">
        <v>363</v>
      </c>
      <c r="S373" s="22">
        <v>1.72729</v>
      </c>
      <c r="T373">
        <f t="shared" si="62"/>
        <v>16.934200000000001</v>
      </c>
      <c r="U373">
        <f t="shared" si="63"/>
        <v>29.260773522000001</v>
      </c>
      <c r="X373" s="9"/>
      <c r="Y373" s="22">
        <v>-2.79236E-2</v>
      </c>
      <c r="Z373" s="22">
        <v>305.84399999999999</v>
      </c>
      <c r="AA373" s="22">
        <v>-2.47345E-2</v>
      </c>
      <c r="AB373" s="22">
        <v>363</v>
      </c>
      <c r="AC373" s="22">
        <v>-2.7862499999999998E-2</v>
      </c>
      <c r="AD373">
        <f t="shared" si="64"/>
        <v>24.734500000000001</v>
      </c>
      <c r="AE373">
        <f t="shared" si="65"/>
        <v>-0.69067628420000005</v>
      </c>
      <c r="AF373" s="9"/>
      <c r="AG373" s="22">
        <v>1.7279100000000001</v>
      </c>
      <c r="AH373" s="22">
        <v>411.72199999999998</v>
      </c>
      <c r="AI373" s="22">
        <v>-1.6943400000000001E-2</v>
      </c>
      <c r="AJ373" s="22">
        <v>363</v>
      </c>
      <c r="AK373" s="22">
        <v>1.72729</v>
      </c>
      <c r="AL373">
        <f t="shared" si="66"/>
        <v>16.9434</v>
      </c>
      <c r="AM373">
        <f t="shared" si="67"/>
        <v>29.276670294000002</v>
      </c>
      <c r="AP373" s="9"/>
      <c r="AQ373" s="22">
        <v>-2.79236E-2</v>
      </c>
      <c r="AR373" s="22">
        <v>500.113</v>
      </c>
      <c r="AS373" s="22">
        <v>-2.4594100000000001E-2</v>
      </c>
      <c r="AT373" s="22">
        <v>363</v>
      </c>
      <c r="AU373" s="22">
        <v>-2.7886999999999999E-2</v>
      </c>
      <c r="AV373">
        <f t="shared" si="68"/>
        <v>24.594100000000001</v>
      </c>
      <c r="AW373">
        <f t="shared" si="69"/>
        <v>-0.68675581076000003</v>
      </c>
      <c r="AX373" s="9"/>
      <c r="AY373" s="22">
        <v>1.7279100000000001</v>
      </c>
      <c r="AZ373" s="22">
        <v>610.99199999999996</v>
      </c>
      <c r="BA373" s="22">
        <v>-1.6949499999999999E-2</v>
      </c>
      <c r="BB373" s="22">
        <v>363</v>
      </c>
      <c r="BC373" s="22">
        <v>1.72668</v>
      </c>
      <c r="BD373">
        <f t="shared" si="70"/>
        <v>16.9495</v>
      </c>
      <c r="BE373">
        <f t="shared" si="71"/>
        <v>29.287210545000001</v>
      </c>
    </row>
    <row r="374" spans="6:57">
      <c r="F374" s="9"/>
      <c r="G374" s="22">
        <v>-3.2959000000000002E-2</v>
      </c>
      <c r="H374" s="22">
        <v>92.664599999999993</v>
      </c>
      <c r="I374" s="22">
        <v>-2.53204E-2</v>
      </c>
      <c r="J374" s="22">
        <v>364</v>
      </c>
      <c r="K374" s="22">
        <v>-3.2611099999999997E-2</v>
      </c>
      <c r="L374">
        <f t="shared" si="60"/>
        <v>25.320399999999999</v>
      </c>
      <c r="M374">
        <f t="shared" si="61"/>
        <v>-0.83453506360000007</v>
      </c>
      <c r="N374" s="9"/>
      <c r="O374" s="22">
        <v>1.7329399999999999</v>
      </c>
      <c r="P374" s="22">
        <v>181.982</v>
      </c>
      <c r="Q374" s="22">
        <v>-1.6098000000000001E-2</v>
      </c>
      <c r="R374" s="22">
        <v>364</v>
      </c>
      <c r="S374" s="22">
        <v>1.7321800000000001</v>
      </c>
      <c r="T374">
        <f t="shared" si="62"/>
        <v>16.098000000000003</v>
      </c>
      <c r="U374">
        <f t="shared" si="63"/>
        <v>27.896868120000004</v>
      </c>
      <c r="X374" s="9"/>
      <c r="Y374" s="22">
        <v>-3.2959000000000002E-2</v>
      </c>
      <c r="Z374" s="22">
        <v>305.94400000000002</v>
      </c>
      <c r="AA374" s="22">
        <v>-2.47437E-2</v>
      </c>
      <c r="AB374" s="22">
        <v>364</v>
      </c>
      <c r="AC374" s="22">
        <v>-3.2946799999999998E-2</v>
      </c>
      <c r="AD374">
        <f t="shared" si="64"/>
        <v>24.7437</v>
      </c>
      <c r="AE374">
        <f t="shared" si="65"/>
        <v>-0.81552760830000004</v>
      </c>
      <c r="AF374" s="9"/>
      <c r="AG374" s="22">
        <v>1.7329399999999999</v>
      </c>
      <c r="AH374" s="22">
        <v>411.82299999999998</v>
      </c>
      <c r="AI374" s="22">
        <v>-1.6177400000000002E-2</v>
      </c>
      <c r="AJ374" s="22">
        <v>364</v>
      </c>
      <c r="AK374" s="22">
        <v>1.7321800000000001</v>
      </c>
      <c r="AL374">
        <f t="shared" si="66"/>
        <v>16.177400000000002</v>
      </c>
      <c r="AM374">
        <f t="shared" si="67"/>
        <v>28.034463556000002</v>
      </c>
      <c r="AP374" s="9"/>
      <c r="AQ374" s="22">
        <v>-3.2959000000000002E-2</v>
      </c>
      <c r="AR374" s="22">
        <v>500.214</v>
      </c>
      <c r="AS374" s="22">
        <v>-2.4606300000000001E-2</v>
      </c>
      <c r="AT374" s="22">
        <v>364</v>
      </c>
      <c r="AU374" s="22">
        <v>-3.2781999999999999E-2</v>
      </c>
      <c r="AV374">
        <f t="shared" si="68"/>
        <v>24.606300000000001</v>
      </c>
      <c r="AW374">
        <f t="shared" si="69"/>
        <v>-0.81099904170000003</v>
      </c>
      <c r="AX374" s="9"/>
      <c r="AY374" s="22">
        <v>1.7329399999999999</v>
      </c>
      <c r="AZ374" s="22">
        <v>611.09199999999998</v>
      </c>
      <c r="BA374" s="22">
        <v>-1.6156E-2</v>
      </c>
      <c r="BB374" s="22">
        <v>364</v>
      </c>
      <c r="BC374" s="22">
        <v>1.7321800000000001</v>
      </c>
      <c r="BD374">
        <f t="shared" si="70"/>
        <v>16.155999999999999</v>
      </c>
      <c r="BE374">
        <f t="shared" si="71"/>
        <v>27.997378639999997</v>
      </c>
    </row>
    <row r="375" spans="6:57">
      <c r="F375" s="9"/>
      <c r="G375" s="22">
        <v>-3.7994399999999998E-2</v>
      </c>
      <c r="H375" s="22">
        <v>92.765299999999996</v>
      </c>
      <c r="I375" s="22">
        <v>-2.53204E-2</v>
      </c>
      <c r="J375" s="22">
        <v>365</v>
      </c>
      <c r="K375" s="22">
        <v>-3.9086900000000001E-2</v>
      </c>
      <c r="L375">
        <f t="shared" si="60"/>
        <v>25.320399999999999</v>
      </c>
      <c r="M375">
        <f t="shared" si="61"/>
        <v>-0.96203340575999996</v>
      </c>
      <c r="N375" s="9"/>
      <c r="O375" s="22">
        <v>1.7379800000000001</v>
      </c>
      <c r="P375" s="22">
        <v>182.083</v>
      </c>
      <c r="Q375" s="22">
        <v>-1.50665E-2</v>
      </c>
      <c r="R375" s="22">
        <v>365</v>
      </c>
      <c r="S375" s="22">
        <v>1.7373700000000001</v>
      </c>
      <c r="T375">
        <f t="shared" si="62"/>
        <v>15.0665</v>
      </c>
      <c r="U375">
        <f t="shared" si="63"/>
        <v>26.185275669999999</v>
      </c>
      <c r="X375" s="9"/>
      <c r="Y375" s="22">
        <v>-3.7994399999999998E-2</v>
      </c>
      <c r="Z375" s="22">
        <v>306.04500000000002</v>
      </c>
      <c r="AA375" s="22">
        <v>-2.4749799999999999E-2</v>
      </c>
      <c r="AB375" s="22">
        <v>365</v>
      </c>
      <c r="AC375" s="22">
        <v>-3.8268999999999997E-2</v>
      </c>
      <c r="AD375">
        <f t="shared" si="64"/>
        <v>24.7498</v>
      </c>
      <c r="AE375">
        <f t="shared" si="65"/>
        <v>-0.94035380112</v>
      </c>
      <c r="AF375" s="9"/>
      <c r="AG375" s="22">
        <v>1.7379800000000001</v>
      </c>
      <c r="AH375" s="22">
        <v>411.92399999999998</v>
      </c>
      <c r="AI375" s="22">
        <v>-1.51489E-2</v>
      </c>
      <c r="AJ375" s="22">
        <v>365</v>
      </c>
      <c r="AK375" s="22">
        <v>1.7373700000000001</v>
      </c>
      <c r="AL375">
        <f t="shared" si="66"/>
        <v>15.148899999999999</v>
      </c>
      <c r="AM375">
        <f t="shared" si="67"/>
        <v>26.328485222000001</v>
      </c>
      <c r="AP375" s="9"/>
      <c r="AQ375" s="22">
        <v>-3.7994399999999998E-2</v>
      </c>
      <c r="AR375" s="22">
        <v>500.31400000000002</v>
      </c>
      <c r="AS375" s="22">
        <v>-2.4606300000000001E-2</v>
      </c>
      <c r="AT375" s="22">
        <v>365</v>
      </c>
      <c r="AU375" s="22">
        <v>-3.7841800000000002E-2</v>
      </c>
      <c r="AV375">
        <f t="shared" si="68"/>
        <v>24.606300000000001</v>
      </c>
      <c r="AW375">
        <f t="shared" si="69"/>
        <v>-0.93490160471999995</v>
      </c>
      <c r="AX375" s="9"/>
      <c r="AY375" s="22">
        <v>1.7379800000000001</v>
      </c>
      <c r="AZ375" s="22">
        <v>611.19299999999998</v>
      </c>
      <c r="BA375" s="22">
        <v>-1.52344E-2</v>
      </c>
      <c r="BB375" s="22">
        <v>365</v>
      </c>
      <c r="BC375" s="22">
        <v>1.73706</v>
      </c>
      <c r="BD375">
        <f t="shared" si="70"/>
        <v>15.234400000000001</v>
      </c>
      <c r="BE375">
        <f t="shared" si="71"/>
        <v>26.477082512000003</v>
      </c>
    </row>
    <row r="376" spans="6:57">
      <c r="F376" s="9"/>
      <c r="G376" s="22">
        <v>-4.30298E-2</v>
      </c>
      <c r="H376" s="22">
        <v>92.866</v>
      </c>
      <c r="I376" s="22">
        <v>-2.5311299999999998E-2</v>
      </c>
      <c r="J376" s="22">
        <v>366</v>
      </c>
      <c r="K376" s="22">
        <v>-4.3200700000000002E-2</v>
      </c>
      <c r="L376">
        <f t="shared" si="60"/>
        <v>25.311299999999999</v>
      </c>
      <c r="M376">
        <f t="shared" si="61"/>
        <v>-1.08914017674</v>
      </c>
      <c r="N376" s="9"/>
      <c r="O376" s="22">
        <v>1.7430099999999999</v>
      </c>
      <c r="P376" s="22">
        <v>182.184</v>
      </c>
      <c r="Q376" s="22">
        <v>-1.36688E-2</v>
      </c>
      <c r="R376" s="22">
        <v>366</v>
      </c>
      <c r="S376" s="22">
        <v>1.74255</v>
      </c>
      <c r="T376">
        <f t="shared" si="62"/>
        <v>13.668799999999999</v>
      </c>
      <c r="U376">
        <f t="shared" si="63"/>
        <v>23.824855088</v>
      </c>
      <c r="X376" s="9"/>
      <c r="Y376" s="22">
        <v>-4.30298E-2</v>
      </c>
      <c r="Z376" s="22">
        <v>306.14600000000002</v>
      </c>
      <c r="AA376" s="22">
        <v>-2.47589E-2</v>
      </c>
      <c r="AB376" s="22">
        <v>366</v>
      </c>
      <c r="AC376" s="22">
        <v>-4.2980999999999998E-2</v>
      </c>
      <c r="AD376">
        <f t="shared" si="64"/>
        <v>24.758900000000001</v>
      </c>
      <c r="AE376">
        <f t="shared" si="65"/>
        <v>-1.0653705152199999</v>
      </c>
      <c r="AF376" s="9"/>
      <c r="AG376" s="22">
        <v>1.7430099999999999</v>
      </c>
      <c r="AH376" s="22">
        <v>412.024</v>
      </c>
      <c r="AI376" s="22">
        <v>-1.3913E-2</v>
      </c>
      <c r="AJ376" s="22">
        <v>366</v>
      </c>
      <c r="AK376" s="22">
        <v>1.7428600000000001</v>
      </c>
      <c r="AL376">
        <f t="shared" si="66"/>
        <v>13.913</v>
      </c>
      <c r="AM376">
        <f t="shared" si="67"/>
        <v>24.25049813</v>
      </c>
      <c r="AP376" s="9"/>
      <c r="AQ376" s="22">
        <v>-4.30298E-2</v>
      </c>
      <c r="AR376" s="22">
        <v>500.41500000000002</v>
      </c>
      <c r="AS376" s="22">
        <v>-2.46124E-2</v>
      </c>
      <c r="AT376" s="22">
        <v>366</v>
      </c>
      <c r="AU376" s="22">
        <v>-4.3179299999999997E-2</v>
      </c>
      <c r="AV376">
        <f t="shared" si="68"/>
        <v>24.612400000000001</v>
      </c>
      <c r="AW376">
        <f t="shared" si="69"/>
        <v>-1.0590666495200001</v>
      </c>
      <c r="AX376" s="9"/>
      <c r="AY376" s="22">
        <v>1.7430099999999999</v>
      </c>
      <c r="AZ376" s="22">
        <v>611.29399999999998</v>
      </c>
      <c r="BA376" s="22">
        <v>-1.40167E-2</v>
      </c>
      <c r="BB376" s="22">
        <v>366</v>
      </c>
      <c r="BC376" s="22">
        <v>1.7422500000000001</v>
      </c>
      <c r="BD376">
        <f t="shared" si="70"/>
        <v>14.0167</v>
      </c>
      <c r="BE376">
        <f t="shared" si="71"/>
        <v>24.431248267000001</v>
      </c>
    </row>
    <row r="377" spans="6:57">
      <c r="F377" s="9"/>
      <c r="G377" s="22">
        <v>-4.8065200000000002E-2</v>
      </c>
      <c r="H377" s="22">
        <v>92.966700000000003</v>
      </c>
      <c r="I377" s="22">
        <v>-2.5302100000000001E-2</v>
      </c>
      <c r="J377" s="22">
        <v>367</v>
      </c>
      <c r="K377" s="22">
        <v>-4.8297100000000003E-2</v>
      </c>
      <c r="L377">
        <f t="shared" si="60"/>
        <v>25.302099999999999</v>
      </c>
      <c r="M377">
        <f t="shared" si="61"/>
        <v>-1.2161504969200001</v>
      </c>
      <c r="N377" s="9"/>
      <c r="O377" s="22">
        <v>1.7480500000000001</v>
      </c>
      <c r="P377" s="22">
        <v>182.28399999999999</v>
      </c>
      <c r="Q377" s="22">
        <v>-1.1694299999999999E-2</v>
      </c>
      <c r="R377" s="22">
        <v>367</v>
      </c>
      <c r="S377" s="22">
        <v>1.7474400000000001</v>
      </c>
      <c r="T377">
        <f t="shared" si="62"/>
        <v>11.6943</v>
      </c>
      <c r="U377">
        <f t="shared" si="63"/>
        <v>20.442221115000002</v>
      </c>
      <c r="X377" s="9"/>
      <c r="Y377" s="22">
        <v>-4.8065200000000002E-2</v>
      </c>
      <c r="Z377" s="22">
        <v>306.24599999999998</v>
      </c>
      <c r="AA377" s="22">
        <v>-2.4755900000000001E-2</v>
      </c>
      <c r="AB377" s="22">
        <v>367</v>
      </c>
      <c r="AC377" s="22">
        <v>-4.8675499999999997E-2</v>
      </c>
      <c r="AD377">
        <f t="shared" si="64"/>
        <v>24.7559</v>
      </c>
      <c r="AE377">
        <f t="shared" si="65"/>
        <v>-1.18989728468</v>
      </c>
      <c r="AF377" s="9"/>
      <c r="AG377" s="22">
        <v>1.7480500000000001</v>
      </c>
      <c r="AH377" s="22">
        <v>412.125</v>
      </c>
      <c r="AI377" s="22">
        <v>-1.2204E-2</v>
      </c>
      <c r="AJ377" s="22">
        <v>367</v>
      </c>
      <c r="AK377" s="22">
        <v>1.7477400000000001</v>
      </c>
      <c r="AL377">
        <f t="shared" si="66"/>
        <v>12.203999999999999</v>
      </c>
      <c r="AM377">
        <f t="shared" si="67"/>
        <v>21.333202199999999</v>
      </c>
      <c r="AP377" s="9"/>
      <c r="AQ377" s="22">
        <v>-4.8065200000000002E-2</v>
      </c>
      <c r="AR377" s="22">
        <v>500.51600000000002</v>
      </c>
      <c r="AS377" s="22">
        <v>-2.46216E-2</v>
      </c>
      <c r="AT377" s="22">
        <v>367</v>
      </c>
      <c r="AU377" s="22">
        <v>-4.8858600000000002E-2</v>
      </c>
      <c r="AV377">
        <f t="shared" si="68"/>
        <v>24.621600000000001</v>
      </c>
      <c r="AW377">
        <f t="shared" si="69"/>
        <v>-1.1834421283200001</v>
      </c>
      <c r="AX377" s="9"/>
      <c r="AY377" s="22">
        <v>1.7480500000000001</v>
      </c>
      <c r="AZ377" s="22">
        <v>611.39499999999998</v>
      </c>
      <c r="BA377" s="22">
        <v>-1.23657E-2</v>
      </c>
      <c r="BB377" s="22">
        <v>367</v>
      </c>
      <c r="BC377" s="22">
        <v>1.7471300000000001</v>
      </c>
      <c r="BD377">
        <f t="shared" si="70"/>
        <v>12.3657</v>
      </c>
      <c r="BE377">
        <f t="shared" si="71"/>
        <v>21.615861885000001</v>
      </c>
    </row>
    <row r="378" spans="6:57">
      <c r="F378" s="9"/>
      <c r="G378" s="22">
        <v>-5.3100599999999998E-2</v>
      </c>
      <c r="H378" s="22">
        <v>93.067400000000006</v>
      </c>
      <c r="I378" s="22">
        <v>-2.5134299999999998E-2</v>
      </c>
      <c r="J378" s="22">
        <v>368</v>
      </c>
      <c r="K378" s="22">
        <v>-5.3192099999999999E-2</v>
      </c>
      <c r="L378">
        <f t="shared" si="60"/>
        <v>25.1343</v>
      </c>
      <c r="M378">
        <f t="shared" si="61"/>
        <v>-1.33464641058</v>
      </c>
      <c r="N378" s="9"/>
      <c r="O378" s="22">
        <v>1.75308</v>
      </c>
      <c r="P378" s="22">
        <v>182.38499999999999</v>
      </c>
      <c r="Q378" s="22">
        <v>-8.5784899999999994E-3</v>
      </c>
      <c r="R378" s="22">
        <v>368</v>
      </c>
      <c r="S378" s="22">
        <v>1.7526200000000001</v>
      </c>
      <c r="T378">
        <f t="shared" si="62"/>
        <v>8.5784899999999986</v>
      </c>
      <c r="U378">
        <f t="shared" si="63"/>
        <v>15.038779249199997</v>
      </c>
      <c r="X378" s="9"/>
      <c r="Y378" s="22">
        <v>-5.3100599999999998E-2</v>
      </c>
      <c r="Z378" s="22">
        <v>306.34699999999998</v>
      </c>
      <c r="AA378" s="22">
        <v>-2.4761999999999999E-2</v>
      </c>
      <c r="AB378" s="22">
        <v>368</v>
      </c>
      <c r="AC378" s="22">
        <v>-5.3375199999999998E-2</v>
      </c>
      <c r="AD378">
        <f t="shared" si="64"/>
        <v>24.762</v>
      </c>
      <c r="AE378">
        <f t="shared" si="65"/>
        <v>-1.3148770571999999</v>
      </c>
      <c r="AF378" s="9"/>
      <c r="AG378" s="22">
        <v>1.75308</v>
      </c>
      <c r="AH378" s="22">
        <v>412.226</v>
      </c>
      <c r="AI378" s="22">
        <v>-9.6374500000000005E-3</v>
      </c>
      <c r="AJ378" s="22">
        <v>368</v>
      </c>
      <c r="AK378" s="22">
        <v>1.7520100000000001</v>
      </c>
      <c r="AL378">
        <f t="shared" si="66"/>
        <v>9.6374500000000012</v>
      </c>
      <c r="AM378">
        <f t="shared" si="67"/>
        <v>16.895220846000001</v>
      </c>
      <c r="AP378" s="9"/>
      <c r="AQ378" s="22">
        <v>-5.3100599999999998E-2</v>
      </c>
      <c r="AR378" s="22">
        <v>500.61599999999999</v>
      </c>
      <c r="AS378" s="22">
        <v>-2.4618500000000001E-2</v>
      </c>
      <c r="AT378" s="22">
        <v>368</v>
      </c>
      <c r="AU378" s="22">
        <v>-5.3619399999999998E-2</v>
      </c>
      <c r="AV378">
        <f t="shared" si="68"/>
        <v>24.618500000000001</v>
      </c>
      <c r="AW378">
        <f t="shared" si="69"/>
        <v>-1.3072571210999999</v>
      </c>
      <c r="AX378" s="9"/>
      <c r="AY378" s="22">
        <v>1.75308</v>
      </c>
      <c r="AZ378" s="22">
        <v>611.495</v>
      </c>
      <c r="BA378" s="22">
        <v>-9.9304200000000006E-3</v>
      </c>
      <c r="BB378" s="22">
        <v>368</v>
      </c>
      <c r="BC378" s="22">
        <v>1.7526200000000001</v>
      </c>
      <c r="BD378">
        <f t="shared" si="70"/>
        <v>9.9304199999999998</v>
      </c>
      <c r="BE378">
        <f t="shared" si="71"/>
        <v>17.408820693599999</v>
      </c>
    </row>
    <row r="379" spans="6:57">
      <c r="F379" s="9"/>
      <c r="G379" s="22">
        <v>-5.8136E-2</v>
      </c>
      <c r="H379" s="22">
        <v>93.168199999999999</v>
      </c>
      <c r="I379" s="22">
        <v>-2.51404E-2</v>
      </c>
      <c r="J379" s="22">
        <v>369</v>
      </c>
      <c r="K379" s="22">
        <v>-5.82581E-2</v>
      </c>
      <c r="L379">
        <f t="shared" si="60"/>
        <v>25.1404</v>
      </c>
      <c r="M379">
        <f t="shared" si="61"/>
        <v>-1.4615622944</v>
      </c>
      <c r="N379" s="9"/>
      <c r="O379" s="22">
        <v>1.7581199999999999</v>
      </c>
      <c r="P379" s="22">
        <v>182.48599999999999</v>
      </c>
      <c r="Q379" s="22">
        <v>-2.96051E-3</v>
      </c>
      <c r="R379" s="22">
        <v>369</v>
      </c>
      <c r="S379" s="22">
        <v>1.7568999999999999</v>
      </c>
      <c r="T379">
        <f t="shared" si="62"/>
        <v>2.9605099999999998</v>
      </c>
      <c r="U379">
        <f t="shared" si="63"/>
        <v>5.2049318411999996</v>
      </c>
      <c r="X379" s="9"/>
      <c r="Y379" s="22">
        <v>-5.8136E-2</v>
      </c>
      <c r="Z379" s="22">
        <v>306.44799999999998</v>
      </c>
      <c r="AA379" s="22">
        <v>-2.4771100000000001E-2</v>
      </c>
      <c r="AB379" s="22">
        <v>369</v>
      </c>
      <c r="AC379" s="22">
        <v>-5.8502199999999997E-2</v>
      </c>
      <c r="AD379">
        <f t="shared" si="64"/>
        <v>24.771100000000001</v>
      </c>
      <c r="AE379">
        <f t="shared" si="65"/>
        <v>-1.4400926696</v>
      </c>
      <c r="AF379" s="9"/>
      <c r="AG379" s="22">
        <v>1.7581199999999999</v>
      </c>
      <c r="AH379" s="22">
        <v>412.327</v>
      </c>
      <c r="AI379" s="22">
        <v>-5.0811800000000002E-3</v>
      </c>
      <c r="AJ379" s="22">
        <v>369</v>
      </c>
      <c r="AK379" s="22">
        <v>1.7575099999999999</v>
      </c>
      <c r="AL379">
        <f t="shared" si="66"/>
        <v>5.0811799999999998</v>
      </c>
      <c r="AM379">
        <f t="shared" si="67"/>
        <v>8.9333241815999997</v>
      </c>
      <c r="AP379" s="9"/>
      <c r="AQ379" s="22">
        <v>-5.8136E-2</v>
      </c>
      <c r="AR379" s="22">
        <v>500.71699999999998</v>
      </c>
      <c r="AS379" s="22">
        <v>-2.4627699999999999E-2</v>
      </c>
      <c r="AT379" s="22">
        <v>369</v>
      </c>
      <c r="AU379" s="22">
        <v>-5.8075000000000002E-2</v>
      </c>
      <c r="AV379">
        <f t="shared" si="68"/>
        <v>24.627699999999997</v>
      </c>
      <c r="AW379">
        <f t="shared" si="69"/>
        <v>-1.4317559671999998</v>
      </c>
      <c r="AX379" s="9"/>
      <c r="AY379" s="22">
        <v>1.7581199999999999</v>
      </c>
      <c r="AZ379" s="22">
        <v>611.596</v>
      </c>
      <c r="BA379" s="22">
        <v>-5.8349600000000001E-3</v>
      </c>
      <c r="BB379" s="22">
        <v>369</v>
      </c>
      <c r="BC379" s="22">
        <v>1.7575099999999999</v>
      </c>
      <c r="BD379">
        <f t="shared" si="70"/>
        <v>5.8349600000000006</v>
      </c>
      <c r="BE379">
        <f t="shared" si="71"/>
        <v>10.258559875200001</v>
      </c>
    </row>
    <row r="380" spans="6:57">
      <c r="F380" s="9"/>
      <c r="G380" s="22">
        <v>-6.3171400000000003E-2</v>
      </c>
      <c r="H380" s="22">
        <v>93.268900000000002</v>
      </c>
      <c r="I380" s="22">
        <v>-2.51434E-2</v>
      </c>
      <c r="J380" s="22">
        <v>370</v>
      </c>
      <c r="K380" s="22">
        <v>-6.3568100000000002E-2</v>
      </c>
      <c r="L380">
        <f t="shared" si="60"/>
        <v>25.1434</v>
      </c>
      <c r="M380">
        <f t="shared" si="61"/>
        <v>-1.5883437787600001</v>
      </c>
      <c r="N380" s="9"/>
      <c r="O380" s="22">
        <v>1.76315</v>
      </c>
      <c r="P380" s="22">
        <v>182.58600000000001</v>
      </c>
      <c r="Q380" s="22">
        <v>6.4300499999999997E-3</v>
      </c>
      <c r="R380" s="22">
        <v>370</v>
      </c>
      <c r="S380" s="22">
        <v>1.7623899999999999</v>
      </c>
      <c r="T380">
        <f t="shared" si="62"/>
        <v>-6.4300499999999996</v>
      </c>
      <c r="U380">
        <f t="shared" si="63"/>
        <v>-11.337142657499999</v>
      </c>
      <c r="X380" s="9"/>
      <c r="Y380" s="22">
        <v>-6.3171400000000003E-2</v>
      </c>
      <c r="Z380" s="22">
        <v>306.548</v>
      </c>
      <c r="AA380" s="22">
        <v>-2.47864E-2</v>
      </c>
      <c r="AB380" s="22">
        <v>370</v>
      </c>
      <c r="AC380" s="22">
        <v>-6.3354499999999994E-2</v>
      </c>
      <c r="AD380">
        <f t="shared" si="64"/>
        <v>24.7864</v>
      </c>
      <c r="AE380">
        <f t="shared" si="65"/>
        <v>-1.56579158896</v>
      </c>
      <c r="AF380" s="9"/>
      <c r="AG380" s="22">
        <v>1.76315</v>
      </c>
      <c r="AH380" s="22">
        <v>412.42700000000002</v>
      </c>
      <c r="AI380" s="22">
        <v>2.77283E-3</v>
      </c>
      <c r="AJ380" s="22">
        <v>370</v>
      </c>
      <c r="AK380" s="22">
        <v>1.7626999999999999</v>
      </c>
      <c r="AL380">
        <f t="shared" si="66"/>
        <v>-2.7728299999999999</v>
      </c>
      <c r="AM380">
        <f t="shared" si="67"/>
        <v>-4.8889152144999999</v>
      </c>
      <c r="AP380" s="9"/>
      <c r="AQ380" s="22">
        <v>-6.3171400000000003E-2</v>
      </c>
      <c r="AR380" s="22">
        <v>500.81799999999998</v>
      </c>
      <c r="AS380" s="22">
        <v>-2.4630699999999998E-2</v>
      </c>
      <c r="AT380" s="22">
        <v>370</v>
      </c>
      <c r="AU380" s="22">
        <v>-6.3446000000000002E-2</v>
      </c>
      <c r="AV380">
        <f t="shared" si="68"/>
        <v>24.630699999999997</v>
      </c>
      <c r="AW380">
        <f t="shared" si="69"/>
        <v>-1.5559558019799999</v>
      </c>
      <c r="AX380" s="9"/>
      <c r="AY380" s="22">
        <v>1.76315</v>
      </c>
      <c r="AZ380" s="22">
        <v>611.697</v>
      </c>
      <c r="BA380" s="22">
        <v>1.7123399999999999E-3</v>
      </c>
      <c r="BB380" s="22">
        <v>370</v>
      </c>
      <c r="BC380" s="22">
        <v>1.7626999999999999</v>
      </c>
      <c r="BD380">
        <f t="shared" si="70"/>
        <v>-1.71234</v>
      </c>
      <c r="BE380">
        <f t="shared" si="71"/>
        <v>-3.019112271</v>
      </c>
    </row>
    <row r="381" spans="6:57">
      <c r="F381" s="9"/>
      <c r="G381" s="22">
        <v>-6.8206799999999998E-2</v>
      </c>
      <c r="H381" s="22">
        <v>93.369600000000005</v>
      </c>
      <c r="I381" s="22">
        <v>-2.5146499999999999E-2</v>
      </c>
      <c r="J381" s="22">
        <v>371</v>
      </c>
      <c r="K381" s="22">
        <v>-6.8847699999999998E-2</v>
      </c>
      <c r="L381">
        <f t="shared" si="60"/>
        <v>25.1465</v>
      </c>
      <c r="M381">
        <f t="shared" si="61"/>
        <v>-1.7151622961999999</v>
      </c>
      <c r="N381" s="9"/>
      <c r="O381" s="22">
        <v>1.7681899999999999</v>
      </c>
      <c r="P381" s="22">
        <v>182.68700000000001</v>
      </c>
      <c r="Q381" s="22">
        <v>1.72607E-2</v>
      </c>
      <c r="R381" s="22">
        <v>371</v>
      </c>
      <c r="S381" s="22">
        <v>1.7675799999999999</v>
      </c>
      <c r="T381">
        <f t="shared" si="62"/>
        <v>-17.2607</v>
      </c>
      <c r="U381">
        <f t="shared" si="63"/>
        <v>-30.520197133</v>
      </c>
      <c r="X381" s="9"/>
      <c r="Y381" s="22">
        <v>-6.8206799999999998E-2</v>
      </c>
      <c r="Z381" s="22">
        <v>306.649</v>
      </c>
      <c r="AA381" s="22">
        <v>-2.4783300000000001E-2</v>
      </c>
      <c r="AB381" s="22">
        <v>371</v>
      </c>
      <c r="AC381" s="22">
        <v>-6.8267800000000003E-2</v>
      </c>
      <c r="AD381">
        <f t="shared" si="64"/>
        <v>24.783300000000001</v>
      </c>
      <c r="AE381">
        <f t="shared" si="65"/>
        <v>-1.69038958644</v>
      </c>
      <c r="AF381" s="9"/>
      <c r="AG381" s="22">
        <v>1.7681899999999999</v>
      </c>
      <c r="AH381" s="22">
        <v>412.52800000000002</v>
      </c>
      <c r="AI381" s="22">
        <v>1.30402E-2</v>
      </c>
      <c r="AJ381" s="22">
        <v>371</v>
      </c>
      <c r="AK381" s="22">
        <v>1.7675799999999999</v>
      </c>
      <c r="AL381">
        <f t="shared" si="66"/>
        <v>-13.0402</v>
      </c>
      <c r="AM381">
        <f t="shared" si="67"/>
        <v>-23.057551237999999</v>
      </c>
      <c r="AP381" s="9"/>
      <c r="AQ381" s="22">
        <v>-6.8206799999999998E-2</v>
      </c>
      <c r="AR381" s="22">
        <v>500.91800000000001</v>
      </c>
      <c r="AS381" s="22">
        <v>-2.46368E-2</v>
      </c>
      <c r="AT381" s="22">
        <v>371</v>
      </c>
      <c r="AU381" s="22">
        <v>-6.8786600000000003E-2</v>
      </c>
      <c r="AV381">
        <f t="shared" si="68"/>
        <v>24.636800000000001</v>
      </c>
      <c r="AW381">
        <f t="shared" si="69"/>
        <v>-1.68039729024</v>
      </c>
      <c r="AX381" s="9"/>
      <c r="AY381" s="22">
        <v>1.7681899999999999</v>
      </c>
      <c r="AZ381" s="22">
        <v>611.79700000000003</v>
      </c>
      <c r="BA381" s="22">
        <v>1.18744E-2</v>
      </c>
      <c r="BB381" s="22">
        <v>371</v>
      </c>
      <c r="BC381" s="22">
        <v>1.7669699999999999</v>
      </c>
      <c r="BD381">
        <f t="shared" si="70"/>
        <v>-11.8744</v>
      </c>
      <c r="BE381">
        <f t="shared" si="71"/>
        <v>-20.996195336</v>
      </c>
    </row>
    <row r="382" spans="6:57">
      <c r="F382" s="9"/>
      <c r="G382" s="22">
        <v>-7.3242199999999993E-2</v>
      </c>
      <c r="H382" s="22">
        <v>93.470299999999995</v>
      </c>
      <c r="I382" s="22">
        <v>-2.5152600000000001E-2</v>
      </c>
      <c r="J382" s="22">
        <v>372</v>
      </c>
      <c r="K382" s="22">
        <v>-7.3181200000000002E-2</v>
      </c>
      <c r="L382">
        <f t="shared" si="60"/>
        <v>25.1526</v>
      </c>
      <c r="M382">
        <f t="shared" si="61"/>
        <v>-1.8422317597199998</v>
      </c>
      <c r="N382" s="9"/>
      <c r="O382" s="22">
        <v>1.77322</v>
      </c>
      <c r="P382" s="22">
        <v>182.78800000000001</v>
      </c>
      <c r="Q382" s="22">
        <v>2.8561400000000001E-2</v>
      </c>
      <c r="R382" s="22">
        <v>372</v>
      </c>
      <c r="S382" s="22">
        <v>1.77277</v>
      </c>
      <c r="T382">
        <f t="shared" si="62"/>
        <v>-28.561399999999999</v>
      </c>
      <c r="U382">
        <f t="shared" si="63"/>
        <v>-50.645645707999996</v>
      </c>
      <c r="X382" s="9"/>
      <c r="Y382" s="22">
        <v>-7.3242199999999993E-2</v>
      </c>
      <c r="Z382" s="22">
        <v>306.75</v>
      </c>
      <c r="AA382" s="22">
        <v>-2.4792499999999999E-2</v>
      </c>
      <c r="AB382" s="22">
        <v>372</v>
      </c>
      <c r="AC382" s="22">
        <v>-7.3272699999999996E-2</v>
      </c>
      <c r="AD382">
        <f t="shared" si="64"/>
        <v>24.792499999999997</v>
      </c>
      <c r="AE382">
        <f t="shared" si="65"/>
        <v>-1.8158572434999996</v>
      </c>
      <c r="AF382" s="9"/>
      <c r="AG382" s="22">
        <v>1.77322</v>
      </c>
      <c r="AH382" s="22">
        <v>412.62900000000002</v>
      </c>
      <c r="AI382" s="22">
        <v>2.3693800000000001E-2</v>
      </c>
      <c r="AJ382" s="22">
        <v>372</v>
      </c>
      <c r="AK382" s="22">
        <v>1.7724599999999999</v>
      </c>
      <c r="AL382">
        <f t="shared" si="66"/>
        <v>-23.6938</v>
      </c>
      <c r="AM382">
        <f t="shared" si="67"/>
        <v>-42.014320036000001</v>
      </c>
      <c r="AP382" s="9"/>
      <c r="AQ382" s="22">
        <v>-7.3242199999999993E-2</v>
      </c>
      <c r="AR382" s="22">
        <v>501.01900000000001</v>
      </c>
      <c r="AS382" s="22">
        <v>-2.4642899999999999E-2</v>
      </c>
      <c r="AT382" s="22">
        <v>372</v>
      </c>
      <c r="AU382" s="22">
        <v>-7.3638899999999993E-2</v>
      </c>
      <c r="AV382">
        <f t="shared" si="68"/>
        <v>24.642899999999997</v>
      </c>
      <c r="AW382">
        <f t="shared" si="69"/>
        <v>-1.8049002103799996</v>
      </c>
      <c r="AX382" s="9"/>
      <c r="AY382" s="22">
        <v>1.77322</v>
      </c>
      <c r="AZ382" s="22">
        <v>611.89800000000002</v>
      </c>
      <c r="BA382" s="22">
        <v>2.29187E-2</v>
      </c>
      <c r="BB382" s="22">
        <v>372</v>
      </c>
      <c r="BC382" s="22">
        <v>1.7730699999999999</v>
      </c>
      <c r="BD382">
        <f t="shared" si="70"/>
        <v>-22.918700000000001</v>
      </c>
      <c r="BE382">
        <f t="shared" si="71"/>
        <v>-40.639897214000001</v>
      </c>
    </row>
    <row r="383" spans="6:57">
      <c r="F383" s="9"/>
      <c r="G383" s="22">
        <v>-7.8277600000000003E-2</v>
      </c>
      <c r="H383" s="22">
        <v>93.570999999999998</v>
      </c>
      <c r="I383" s="22">
        <v>-2.5149500000000002E-2</v>
      </c>
      <c r="J383" s="22">
        <v>373</v>
      </c>
      <c r="K383" s="22">
        <v>-7.85217E-2</v>
      </c>
      <c r="L383">
        <f t="shared" si="60"/>
        <v>25.149500000000003</v>
      </c>
      <c r="M383">
        <f t="shared" si="61"/>
        <v>-1.9686425012000004</v>
      </c>
      <c r="N383" s="9"/>
      <c r="O383" s="22">
        <v>1.77826</v>
      </c>
      <c r="P383" s="22">
        <v>182.88800000000001</v>
      </c>
      <c r="Q383" s="22">
        <v>4.0014599999999997E-2</v>
      </c>
      <c r="R383" s="22">
        <v>373</v>
      </c>
      <c r="S383" s="22">
        <v>1.77765</v>
      </c>
      <c r="T383">
        <f t="shared" si="62"/>
        <v>-40.014599999999994</v>
      </c>
      <c r="U383">
        <f t="shared" si="63"/>
        <v>-71.156362595999994</v>
      </c>
      <c r="X383" s="9"/>
      <c r="Y383" s="22">
        <v>-7.8277600000000003E-2</v>
      </c>
      <c r="Z383" s="22">
        <v>306.851</v>
      </c>
      <c r="AA383" s="22">
        <v>-2.48016E-2</v>
      </c>
      <c r="AB383" s="22">
        <v>373</v>
      </c>
      <c r="AC383" s="22">
        <v>-7.8399700000000003E-2</v>
      </c>
      <c r="AD383">
        <f t="shared" si="64"/>
        <v>24.801600000000001</v>
      </c>
      <c r="AE383">
        <f t="shared" si="65"/>
        <v>-1.9414097241600001</v>
      </c>
      <c r="AF383" s="9"/>
      <c r="AG383" s="22">
        <v>1.77826</v>
      </c>
      <c r="AH383" s="22">
        <v>412.72899999999998</v>
      </c>
      <c r="AI383" s="22">
        <v>3.4780899999999997E-2</v>
      </c>
      <c r="AJ383" s="22">
        <v>373</v>
      </c>
      <c r="AK383" s="22">
        <v>1.7779499999999999</v>
      </c>
      <c r="AL383">
        <f t="shared" si="66"/>
        <v>-34.780899999999995</v>
      </c>
      <c r="AM383">
        <f t="shared" si="67"/>
        <v>-61.84948323399999</v>
      </c>
      <c r="AP383" s="9"/>
      <c r="AQ383" s="22">
        <v>-7.8277600000000003E-2</v>
      </c>
      <c r="AR383" s="22">
        <v>501.12</v>
      </c>
      <c r="AS383" s="22">
        <v>-2.4646000000000001E-2</v>
      </c>
      <c r="AT383" s="22">
        <v>373</v>
      </c>
      <c r="AU383" s="22">
        <v>-7.8582799999999994E-2</v>
      </c>
      <c r="AV383">
        <f t="shared" si="68"/>
        <v>24.646000000000001</v>
      </c>
      <c r="AW383">
        <f t="shared" si="69"/>
        <v>-1.9292297296000001</v>
      </c>
      <c r="AX383" s="9"/>
      <c r="AY383" s="22">
        <v>1.77826</v>
      </c>
      <c r="AZ383" s="22">
        <v>611.99900000000002</v>
      </c>
      <c r="BA383" s="22">
        <v>3.3908099999999997E-2</v>
      </c>
      <c r="BB383" s="22">
        <v>373</v>
      </c>
      <c r="BC383" s="22">
        <v>1.7779499999999999</v>
      </c>
      <c r="BD383">
        <f t="shared" si="70"/>
        <v>-33.908099999999997</v>
      </c>
      <c r="BE383">
        <f t="shared" si="71"/>
        <v>-60.297417905999993</v>
      </c>
    </row>
    <row r="384" spans="6:57">
      <c r="F384" s="9"/>
      <c r="G384" s="22">
        <v>-8.3312999999999998E-2</v>
      </c>
      <c r="H384" s="22">
        <v>93.671700000000001</v>
      </c>
      <c r="I384" s="22">
        <v>-2.51953E-2</v>
      </c>
      <c r="J384" s="22">
        <v>374</v>
      </c>
      <c r="K384" s="22">
        <v>-8.3679199999999995E-2</v>
      </c>
      <c r="L384">
        <f t="shared" si="60"/>
        <v>25.1953</v>
      </c>
      <c r="M384">
        <f t="shared" si="61"/>
        <v>-2.0990960289</v>
      </c>
      <c r="N384" s="9"/>
      <c r="O384" s="22">
        <v>1.78329</v>
      </c>
      <c r="P384" s="22">
        <v>182.989</v>
      </c>
      <c r="Q384" s="22">
        <v>5.1767000000000001E-2</v>
      </c>
      <c r="R384" s="22">
        <v>374</v>
      </c>
      <c r="S384" s="22">
        <v>1.78284</v>
      </c>
      <c r="T384">
        <f t="shared" si="62"/>
        <v>-51.767000000000003</v>
      </c>
      <c r="U384">
        <f t="shared" si="63"/>
        <v>-92.315573430000001</v>
      </c>
      <c r="X384" s="9"/>
      <c r="Y384" s="22">
        <v>-8.3312999999999998E-2</v>
      </c>
      <c r="Z384" s="22">
        <v>306.95100000000002</v>
      </c>
      <c r="AA384" s="22">
        <v>-2.4807699999999999E-2</v>
      </c>
      <c r="AB384" s="22">
        <v>374</v>
      </c>
      <c r="AC384" s="22">
        <v>-8.3618200000000004E-2</v>
      </c>
      <c r="AD384">
        <f t="shared" si="64"/>
        <v>24.807699999999997</v>
      </c>
      <c r="AE384">
        <f t="shared" si="65"/>
        <v>-2.0668039100999995</v>
      </c>
      <c r="AF384" s="9"/>
      <c r="AG384" s="22">
        <v>1.78329</v>
      </c>
      <c r="AH384" s="22">
        <v>412.83</v>
      </c>
      <c r="AI384" s="22">
        <v>4.6221900000000003E-2</v>
      </c>
      <c r="AJ384" s="22">
        <v>374</v>
      </c>
      <c r="AK384" s="22">
        <v>1.7831399999999999</v>
      </c>
      <c r="AL384">
        <f t="shared" si="66"/>
        <v>-46.221900000000005</v>
      </c>
      <c r="AM384">
        <f t="shared" si="67"/>
        <v>-82.427052051000004</v>
      </c>
      <c r="AP384" s="9"/>
      <c r="AQ384" s="22">
        <v>-8.3312999999999998E-2</v>
      </c>
      <c r="AR384" s="22">
        <v>501.221</v>
      </c>
      <c r="AS384" s="22">
        <v>-2.4655199999999999E-2</v>
      </c>
      <c r="AT384" s="22">
        <v>374</v>
      </c>
      <c r="AU384" s="22">
        <v>-8.3892800000000003E-2</v>
      </c>
      <c r="AV384">
        <f t="shared" si="68"/>
        <v>24.655199999999997</v>
      </c>
      <c r="AW384">
        <f t="shared" si="69"/>
        <v>-2.0540986775999999</v>
      </c>
      <c r="AX384" s="9"/>
      <c r="AY384" s="22">
        <v>1.78329</v>
      </c>
      <c r="AZ384" s="22">
        <v>612.09900000000005</v>
      </c>
      <c r="BA384" s="22">
        <v>4.4952400000000003E-2</v>
      </c>
      <c r="BB384" s="22">
        <v>374</v>
      </c>
      <c r="BC384" s="22">
        <v>1.7831399999999999</v>
      </c>
      <c r="BD384">
        <f t="shared" si="70"/>
        <v>-44.952400000000004</v>
      </c>
      <c r="BE384">
        <f t="shared" si="71"/>
        <v>-80.163165396000011</v>
      </c>
    </row>
    <row r="385" spans="6:57">
      <c r="F385" s="9"/>
      <c r="G385" s="22">
        <v>-8.8348399999999994E-2</v>
      </c>
      <c r="H385" s="22">
        <v>93.772400000000005</v>
      </c>
      <c r="I385" s="22">
        <v>-2.51953E-2</v>
      </c>
      <c r="J385" s="22">
        <v>375</v>
      </c>
      <c r="K385" s="22">
        <v>-8.9294399999999996E-2</v>
      </c>
      <c r="L385">
        <f t="shared" si="60"/>
        <v>25.1953</v>
      </c>
      <c r="M385">
        <f t="shared" si="61"/>
        <v>-2.2259644425199996</v>
      </c>
      <c r="N385" s="9"/>
      <c r="O385" s="22">
        <v>1.78833</v>
      </c>
      <c r="P385" s="22">
        <v>183.09</v>
      </c>
      <c r="Q385" s="22">
        <v>6.3409400000000005E-2</v>
      </c>
      <c r="R385" s="22">
        <v>375</v>
      </c>
      <c r="S385" s="22">
        <v>1.7874099999999999</v>
      </c>
      <c r="T385">
        <f t="shared" si="62"/>
        <v>-63.409400000000005</v>
      </c>
      <c r="U385">
        <f t="shared" si="63"/>
        <v>-113.39693230200001</v>
      </c>
      <c r="X385" s="9"/>
      <c r="Y385" s="22">
        <v>-8.8348399999999994E-2</v>
      </c>
      <c r="Z385" s="22">
        <v>307.05200000000002</v>
      </c>
      <c r="AA385" s="22">
        <v>-2.4804699999999999E-2</v>
      </c>
      <c r="AB385" s="22">
        <v>375</v>
      </c>
      <c r="AC385" s="22">
        <v>-8.8165300000000002E-2</v>
      </c>
      <c r="AD385">
        <f t="shared" si="64"/>
        <v>24.8047</v>
      </c>
      <c r="AE385">
        <f t="shared" si="65"/>
        <v>-2.1914555574799999</v>
      </c>
      <c r="AF385" s="9"/>
      <c r="AG385" s="22">
        <v>1.78833</v>
      </c>
      <c r="AH385" s="22">
        <v>412.93099999999998</v>
      </c>
      <c r="AI385" s="22">
        <v>5.7623300000000002E-2</v>
      </c>
      <c r="AJ385" s="22">
        <v>375</v>
      </c>
      <c r="AK385" s="22">
        <v>1.78864</v>
      </c>
      <c r="AL385">
        <f t="shared" si="66"/>
        <v>-57.6233</v>
      </c>
      <c r="AM385">
        <f t="shared" si="67"/>
        <v>-103.049476089</v>
      </c>
      <c r="AP385" s="9"/>
      <c r="AQ385" s="22">
        <v>-8.8348399999999994E-2</v>
      </c>
      <c r="AR385" s="22">
        <v>501.32100000000003</v>
      </c>
      <c r="AS385" s="22">
        <v>-2.4655199999999999E-2</v>
      </c>
      <c r="AT385" s="22">
        <v>375</v>
      </c>
      <c r="AU385" s="22">
        <v>-8.8745099999999993E-2</v>
      </c>
      <c r="AV385">
        <f t="shared" si="68"/>
        <v>24.655199999999997</v>
      </c>
      <c r="AW385">
        <f t="shared" si="69"/>
        <v>-2.1782474716799998</v>
      </c>
      <c r="AX385" s="9"/>
      <c r="AY385" s="22">
        <v>1.78833</v>
      </c>
      <c r="AZ385" s="22">
        <v>612.20000000000005</v>
      </c>
      <c r="BA385" s="22">
        <v>5.5877700000000002E-2</v>
      </c>
      <c r="BB385" s="22">
        <v>375</v>
      </c>
      <c r="BC385" s="22">
        <v>1.7880199999999999</v>
      </c>
      <c r="BD385">
        <f t="shared" si="70"/>
        <v>-55.877700000000004</v>
      </c>
      <c r="BE385">
        <f t="shared" si="71"/>
        <v>-99.927767241000012</v>
      </c>
    </row>
    <row r="386" spans="6:57">
      <c r="F386" s="9"/>
      <c r="G386" s="22">
        <v>-9.3383800000000003E-2</v>
      </c>
      <c r="H386" s="22">
        <v>93.873099999999994</v>
      </c>
      <c r="I386" s="22">
        <v>-2.5207500000000001E-2</v>
      </c>
      <c r="J386" s="22">
        <v>376</v>
      </c>
      <c r="K386" s="22">
        <v>-9.3688999999999995E-2</v>
      </c>
      <c r="L386">
        <f t="shared" si="60"/>
        <v>25.2075</v>
      </c>
      <c r="M386">
        <f t="shared" si="61"/>
        <v>-2.3539721385000001</v>
      </c>
      <c r="N386" s="9"/>
      <c r="O386" s="22">
        <v>1.7933699999999999</v>
      </c>
      <c r="P386" s="22">
        <v>183.191</v>
      </c>
      <c r="Q386" s="22">
        <v>7.5622599999999998E-2</v>
      </c>
      <c r="R386" s="22">
        <v>376</v>
      </c>
      <c r="S386" s="22">
        <v>1.7926</v>
      </c>
      <c r="T386">
        <f t="shared" si="62"/>
        <v>-75.622599999999991</v>
      </c>
      <c r="U386">
        <f t="shared" si="63"/>
        <v>-135.61930216199997</v>
      </c>
      <c r="X386" s="9"/>
      <c r="Y386" s="22">
        <v>-9.3383800000000003E-2</v>
      </c>
      <c r="Z386" s="22">
        <v>307.15300000000002</v>
      </c>
      <c r="AA386" s="22">
        <v>-2.4810800000000001E-2</v>
      </c>
      <c r="AB386" s="22">
        <v>376</v>
      </c>
      <c r="AC386" s="22">
        <v>-9.3658400000000003E-2</v>
      </c>
      <c r="AD386">
        <f t="shared" si="64"/>
        <v>24.8108</v>
      </c>
      <c r="AE386">
        <f t="shared" si="65"/>
        <v>-2.3169267850400002</v>
      </c>
      <c r="AF386" s="9"/>
      <c r="AG386" s="22">
        <v>1.7933699999999999</v>
      </c>
      <c r="AH386" s="22">
        <v>413.03199999999998</v>
      </c>
      <c r="AI386" s="22">
        <v>6.9439699999999993E-2</v>
      </c>
      <c r="AJ386" s="22">
        <v>376</v>
      </c>
      <c r="AK386" s="22">
        <v>1.7926</v>
      </c>
      <c r="AL386">
        <f t="shared" si="66"/>
        <v>-69.439699999999988</v>
      </c>
      <c r="AM386">
        <f t="shared" si="67"/>
        <v>-124.53107478899997</v>
      </c>
      <c r="AP386" s="9"/>
      <c r="AQ386" s="22">
        <v>-9.3383800000000003E-2</v>
      </c>
      <c r="AR386" s="22">
        <v>501.42200000000003</v>
      </c>
      <c r="AS386" s="22">
        <v>-2.46643E-2</v>
      </c>
      <c r="AT386" s="22">
        <v>376</v>
      </c>
      <c r="AU386" s="22">
        <v>-9.3811000000000005E-2</v>
      </c>
      <c r="AV386">
        <f t="shared" si="68"/>
        <v>24.664300000000001</v>
      </c>
      <c r="AW386">
        <f t="shared" si="69"/>
        <v>-2.3032460583400001</v>
      </c>
      <c r="AX386" s="9"/>
      <c r="AY386" s="22">
        <v>1.7933699999999999</v>
      </c>
      <c r="AZ386" s="22">
        <v>612.30100000000004</v>
      </c>
      <c r="BA386" s="22">
        <v>6.7511000000000002E-2</v>
      </c>
      <c r="BB386" s="22">
        <v>376</v>
      </c>
      <c r="BC386" s="22">
        <v>1.7926</v>
      </c>
      <c r="BD386">
        <f t="shared" si="70"/>
        <v>-67.510999999999996</v>
      </c>
      <c r="BE386">
        <f t="shared" si="71"/>
        <v>-121.07220206999999</v>
      </c>
    </row>
    <row r="387" spans="6:57">
      <c r="F387" s="9"/>
      <c r="G387" s="22">
        <v>-9.8419199999999998E-2</v>
      </c>
      <c r="H387" s="22">
        <v>93.973799999999997</v>
      </c>
      <c r="I387" s="22">
        <v>-2.5213599999999999E-2</v>
      </c>
      <c r="J387" s="22">
        <v>377</v>
      </c>
      <c r="K387" s="22">
        <v>-9.8877000000000007E-2</v>
      </c>
      <c r="L387">
        <f t="shared" si="60"/>
        <v>25.2136</v>
      </c>
      <c r="M387">
        <f t="shared" si="61"/>
        <v>-2.4815023411200001</v>
      </c>
      <c r="N387" s="9"/>
      <c r="O387" s="22">
        <v>1.7984</v>
      </c>
      <c r="P387" s="22">
        <v>183.291</v>
      </c>
      <c r="Q387" s="22">
        <v>8.8745099999999993E-2</v>
      </c>
      <c r="R387" s="22">
        <v>377</v>
      </c>
      <c r="S387" s="22">
        <v>1.79779</v>
      </c>
      <c r="T387">
        <f t="shared" si="62"/>
        <v>-88.745099999999994</v>
      </c>
      <c r="U387">
        <f t="shared" si="63"/>
        <v>-159.59918783999998</v>
      </c>
      <c r="X387" s="9"/>
      <c r="Y387" s="22">
        <v>-9.8419199999999998E-2</v>
      </c>
      <c r="Z387" s="22">
        <v>307.25299999999999</v>
      </c>
      <c r="AA387" s="22">
        <v>-2.4810800000000001E-2</v>
      </c>
      <c r="AB387" s="22">
        <v>377</v>
      </c>
      <c r="AC387" s="22">
        <v>-9.8907499999999995E-2</v>
      </c>
      <c r="AD387">
        <f t="shared" si="64"/>
        <v>24.8108</v>
      </c>
      <c r="AE387">
        <f t="shared" si="65"/>
        <v>-2.4418590873600001</v>
      </c>
      <c r="AF387" s="9"/>
      <c r="AG387" s="22">
        <v>1.7984</v>
      </c>
      <c r="AH387" s="22">
        <v>413.13200000000001</v>
      </c>
      <c r="AI387" s="22">
        <v>8.1390400000000002E-2</v>
      </c>
      <c r="AJ387" s="22">
        <v>377</v>
      </c>
      <c r="AK387" s="22">
        <v>1.79718</v>
      </c>
      <c r="AL387">
        <f t="shared" si="66"/>
        <v>-81.3904</v>
      </c>
      <c r="AM387">
        <f t="shared" si="67"/>
        <v>-146.37249535999999</v>
      </c>
      <c r="AP387" s="9"/>
      <c r="AQ387" s="22">
        <v>-9.8419199999999998E-2</v>
      </c>
      <c r="AR387" s="22">
        <v>501.52300000000002</v>
      </c>
      <c r="AS387" s="22">
        <v>-2.46643E-2</v>
      </c>
      <c r="AT387" s="22">
        <v>377</v>
      </c>
      <c r="AU387" s="22">
        <v>-9.8937999999999998E-2</v>
      </c>
      <c r="AV387">
        <f t="shared" si="68"/>
        <v>24.664300000000001</v>
      </c>
      <c r="AW387">
        <f t="shared" si="69"/>
        <v>-2.4274406745600001</v>
      </c>
      <c r="AX387" s="9"/>
      <c r="AY387" s="22">
        <v>1.7984</v>
      </c>
      <c r="AZ387" s="22">
        <v>612.40200000000004</v>
      </c>
      <c r="BA387" s="22">
        <v>0.146423</v>
      </c>
      <c r="BB387" s="22">
        <v>377</v>
      </c>
      <c r="BC387" s="22">
        <v>7.9986600000000005E-2</v>
      </c>
      <c r="BD387">
        <f t="shared" si="70"/>
        <v>-146.423</v>
      </c>
      <c r="BE387">
        <f t="shared" si="71"/>
        <v>-263.32712320000002</v>
      </c>
    </row>
    <row r="388" spans="6:57">
      <c r="F388" s="9"/>
      <c r="G388" s="22">
        <v>-0.10345500000000001</v>
      </c>
      <c r="H388" s="22">
        <v>94.0745</v>
      </c>
      <c r="I388" s="22">
        <v>-2.5216700000000002E-2</v>
      </c>
      <c r="J388" s="22">
        <v>378</v>
      </c>
      <c r="K388" s="22">
        <v>-0.103241</v>
      </c>
      <c r="L388">
        <f t="shared" si="60"/>
        <v>25.216700000000003</v>
      </c>
      <c r="M388">
        <f t="shared" si="61"/>
        <v>-2.6087936985000004</v>
      </c>
      <c r="N388" s="9"/>
      <c r="O388" s="22">
        <v>1.8034399999999999</v>
      </c>
      <c r="P388" s="22">
        <v>183.392</v>
      </c>
      <c r="Q388" s="22">
        <v>0.16043099999999999</v>
      </c>
      <c r="R388" s="22">
        <v>378</v>
      </c>
      <c r="S388" s="22">
        <v>8.0261200000000005E-2</v>
      </c>
      <c r="T388">
        <f t="shared" si="62"/>
        <v>-160.43099999999998</v>
      </c>
      <c r="U388">
        <f t="shared" si="63"/>
        <v>-289.32768263999998</v>
      </c>
      <c r="X388" s="9"/>
      <c r="Y388" s="22">
        <v>-0.10345500000000001</v>
      </c>
      <c r="Z388" s="22">
        <v>307.35399999999998</v>
      </c>
      <c r="AA388" s="22">
        <v>-2.4819899999999999E-2</v>
      </c>
      <c r="AB388" s="22">
        <v>378</v>
      </c>
      <c r="AC388" s="22">
        <v>-0.103821</v>
      </c>
      <c r="AD388">
        <f t="shared" si="64"/>
        <v>24.819900000000001</v>
      </c>
      <c r="AE388">
        <f t="shared" si="65"/>
        <v>-2.5677427545000002</v>
      </c>
      <c r="AF388" s="9"/>
      <c r="AG388" s="22">
        <v>1.8034399999999999</v>
      </c>
      <c r="AH388" s="22">
        <v>413.233</v>
      </c>
      <c r="AI388" s="22">
        <v>0.15618899999999999</v>
      </c>
      <c r="AJ388" s="22">
        <v>378</v>
      </c>
      <c r="AK388" s="22">
        <v>7.9650899999999997E-2</v>
      </c>
      <c r="AL388">
        <f t="shared" si="66"/>
        <v>-156.18899999999999</v>
      </c>
      <c r="AM388">
        <f t="shared" si="67"/>
        <v>-281.67749015999999</v>
      </c>
      <c r="AP388" s="9"/>
      <c r="AQ388" s="22">
        <v>-0.10345500000000001</v>
      </c>
      <c r="AR388" s="22">
        <v>501.62299999999999</v>
      </c>
      <c r="AS388" s="22">
        <v>-2.4670399999999999E-2</v>
      </c>
      <c r="AT388" s="22">
        <v>378</v>
      </c>
      <c r="AU388" s="22">
        <v>-0.103546</v>
      </c>
      <c r="AV388">
        <f t="shared" si="68"/>
        <v>24.670399999999997</v>
      </c>
      <c r="AW388">
        <f t="shared" si="69"/>
        <v>-2.5522762319999996</v>
      </c>
      <c r="AX388" s="9"/>
      <c r="AY388" s="22">
        <v>1.8034399999999999</v>
      </c>
      <c r="AZ388" s="22">
        <v>612.50199999999995</v>
      </c>
      <c r="BA388" s="22">
        <v>0.14477499999999999</v>
      </c>
      <c r="BB388" s="22">
        <v>378</v>
      </c>
      <c r="BC388" s="22">
        <v>7.9803499999999999E-2</v>
      </c>
      <c r="BD388">
        <f t="shared" si="70"/>
        <v>-144.77499999999998</v>
      </c>
      <c r="BE388">
        <f t="shared" si="71"/>
        <v>-261.09302599999995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3"/>
  <sheetViews>
    <sheetView workbookViewId="0">
      <selection activeCell="C3" sqref="C3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20230205T210000</v>
      </c>
      <c r="B3">
        <f ca="1">INDEX(INDIRECT(A3&amp;"!A11"):INDIRECT(A3&amp;"!A21"),MATCH(E3,INDIRECT(A3&amp;"!D11"):INDIRECT(A3&amp;"!D21"),0))</f>
        <v>1.7668689243162981</v>
      </c>
      <c r="C3">
        <f ca="1">INDEX(INDIRECT(A3&amp;"!B11"):INDIRECT(A3&amp;"!B21"),MATCH(E3,INDIRECT(A3&amp;"!D11"):INDIRECT(A3&amp;"!D21"),0))</f>
        <v>25.17418795411491</v>
      </c>
      <c r="D3">
        <f ca="1">INDEX(INDIRECT(A3&amp;"!C11"):INDIRECT(A3&amp;"!C21"),MATCH(E3,INDIRECT(A3&amp;"!D11"):INDIRECT(A3&amp;"!D21"),0))</f>
        <v>0.82905509941368771</v>
      </c>
      <c r="E3">
        <f t="shared" ref="E3" ca="1" si="0">MAX(INDIRECT(A3&amp; "!D11"),INDIRECT(A3 &amp; "!D13"),INDIRECT(A3 &amp; "!D15"),INDIRECT(A3 &amp; "!D17"),INDIRECT(A3 &amp; "!D19"),INDIRECT(A3 &amp; "!D21"))</f>
        <v>36.875948328000007</v>
      </c>
      <c r="G3">
        <f ca="1">INDEX(INDIRECT(A3&amp;"!A12"):INDIRECT(A3&amp;"!A22"),MATCH(J3,INDIRECT(A3&amp;"!D12"):INDIRECT(A3&amp;"!D22"),0))</f>
        <v>1.75863080198625</v>
      </c>
      <c r="H3">
        <f ca="1">INDEX(INDIRECT(A3&amp;"!B12"):INDIRECT(A3&amp;"!B22"),MATCH(J3,INDIRECT(A3&amp;"!D12"):INDIRECT(A3&amp;"!D22"),0))</f>
        <v>25.047797838598427</v>
      </c>
      <c r="I3">
        <f ca="1">INDEX(INDIRECT(A3&amp;"!C12"):INDIRECT(A3&amp;"!C22"),MATCH(J3,INDIRECT(A3&amp;"!D12"):INDIRECT(A3&amp;"!D22"),0))</f>
        <v>0.82109773644056261</v>
      </c>
      <c r="J3">
        <f t="shared" ref="J3" ca="1" si="1">MAX(INDIRECT(A3&amp; "!D12"),INDIRECT(A3 &amp; "!D14"),INDIRECT(A3 &amp; "!D16"),INDIRECT(A3 &amp; "!D18"),INDIRECT(A3 &amp; "!D20"),,INDIRECT(A3 &amp; "!D22"))</f>
        <v>36.169214719000003</v>
      </c>
      <c r="L3">
        <f ca="1">INDEX(INDIRECT(A3&amp;"!E11"):INDIRECT(A3&amp;"!E21"),MATCH(E3,INDIRECT(A3&amp;"!D11"):INDIRECT(A3&amp;"!D21"),0))</f>
        <v>1.9165164315608374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20230205T210000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2023-02-06T13:37:32Z</dcterms:modified>
</cp:coreProperties>
</file>