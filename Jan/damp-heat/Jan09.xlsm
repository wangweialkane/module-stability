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8T210000" sheetId="65" r:id="rId2"/>
    <sheet name="20230209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 s="1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 s="1"/>
  <c r="BD119" i="66"/>
  <c r="BE119" i="66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/>
  <c r="BD204" i="66"/>
  <c r="BE204" i="66"/>
  <c r="BD205" i="66"/>
  <c r="BE205" i="66"/>
  <c r="BD206" i="66"/>
  <c r="BE206" i="66"/>
  <c r="BD207" i="66"/>
  <c r="BE207" i="66" s="1"/>
  <c r="BD208" i="66"/>
  <c r="BE208" i="66"/>
  <c r="BD209" i="66"/>
  <c r="BE209" i="66"/>
  <c r="BD210" i="66"/>
  <c r="BE210" i="66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 s="1"/>
  <c r="AV213" i="66"/>
  <c r="AW213" i="66"/>
  <c r="AV214" i="66"/>
  <c r="AW214" i="66"/>
  <c r="AV215" i="66"/>
  <c r="AW215" i="66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7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 s="1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 s="1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N11" i="66"/>
  <c r="BO11" i="66" s="1"/>
  <c r="BD11" i="66"/>
  <c r="BE11" i="66" s="1"/>
  <c r="AV11" i="66"/>
  <c r="AW11" i="66" s="1"/>
  <c r="AL11" i="66"/>
  <c r="AM11" i="66" s="1"/>
  <c r="AD11" i="66"/>
  <c r="AE11" i="66" s="1"/>
  <c r="U11" i="66"/>
  <c r="T11" i="66"/>
  <c r="L11" i="66"/>
  <c r="M11" i="66" s="1"/>
  <c r="EI9" i="66"/>
  <c r="EI7" i="66" s="1"/>
  <c r="DX9" i="66"/>
  <c r="DG9" i="66"/>
  <c r="DG7" i="66" s="1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AS4" i="66"/>
  <c r="AU4" i="66" s="1"/>
  <c r="AK4" i="66"/>
  <c r="AI4" i="66"/>
  <c r="AA4" i="66"/>
  <c r="AC4" i="66" s="1"/>
  <c r="Q4" i="66"/>
  <c r="S4" i="66" s="1"/>
  <c r="I4" i="66"/>
  <c r="K4" i="66" s="1"/>
  <c r="FH3" i="66"/>
  <c r="FF3" i="66"/>
  <c r="FD6" i="66" s="1"/>
  <c r="FD3" i="66"/>
  <c r="EZ3" i="66"/>
  <c r="EV3" i="66"/>
  <c r="EO3" i="66"/>
  <c r="EM6" i="66" s="1"/>
  <c r="EM3" i="66"/>
  <c r="EI3" i="66"/>
  <c r="EE3" i="66"/>
  <c r="DY3" i="66"/>
  <c r="DW3" i="66"/>
  <c r="DU6" i="66" s="1"/>
  <c r="DU3" i="66"/>
  <c r="DQ3" i="66"/>
  <c r="DM3" i="66"/>
  <c r="DE3" i="66"/>
  <c r="DC6" i="66" s="1"/>
  <c r="A22" i="66" s="1"/>
  <c r="DC3" i="66"/>
  <c r="CU3" i="66"/>
  <c r="CO3" i="66"/>
  <c r="CM3" i="66"/>
  <c r="CK6" i="66" s="1"/>
  <c r="A20" i="66" s="1"/>
  <c r="CK3" i="66"/>
  <c r="CG3" i="66"/>
  <c r="CC3" i="66"/>
  <c r="BU3" i="66"/>
  <c r="BS6" i="66" s="1"/>
  <c r="A18" i="66" s="1"/>
  <c r="BS3" i="66"/>
  <c r="BK3" i="66"/>
  <c r="AS3" i="66"/>
  <c r="AK3" i="66"/>
  <c r="AI6" i="66" s="1"/>
  <c r="A14" i="66" s="1"/>
  <c r="AI3" i="66"/>
  <c r="AA3" i="66"/>
  <c r="Q3" i="66"/>
  <c r="I3" i="66"/>
  <c r="K3" i="66" s="1"/>
  <c r="A4" i="63" a="1"/>
  <c r="A4" i="63" l="1"/>
  <c r="BA3" i="66"/>
  <c r="BC3" i="66" s="1"/>
  <c r="BA4" i="66"/>
  <c r="BC4" i="66" s="1"/>
  <c r="BO9" i="66"/>
  <c r="BO7" i="66" s="1"/>
  <c r="BE9" i="66"/>
  <c r="BE7" i="66" s="1"/>
  <c r="AY2" i="66"/>
  <c r="BE3" i="66"/>
  <c r="BD9" i="66"/>
  <c r="B16" i="66" s="1"/>
  <c r="AW9" i="66"/>
  <c r="AW5" i="66" s="1"/>
  <c r="AM9" i="66"/>
  <c r="AM7" i="66" s="1"/>
  <c r="O2" i="66"/>
  <c r="U9" i="66"/>
  <c r="S3" i="66"/>
  <c r="O4" i="66" s="1"/>
  <c r="T9" i="66"/>
  <c r="B12" i="66" s="1"/>
  <c r="M9" i="66"/>
  <c r="M7" i="66" s="1"/>
  <c r="M5" i="66"/>
  <c r="AE9" i="66"/>
  <c r="AE3" i="66" s="1"/>
  <c r="CN4" i="66"/>
  <c r="DX4" i="66"/>
  <c r="DX2" i="66" s="1"/>
  <c r="AE7" i="66"/>
  <c r="BW7" i="66"/>
  <c r="BW5" i="66"/>
  <c r="BW3" i="66"/>
  <c r="CY7" i="66"/>
  <c r="CY5" i="66"/>
  <c r="CY3" i="66"/>
  <c r="EQ7" i="66"/>
  <c r="EQ5" i="66"/>
  <c r="EQ3" i="66"/>
  <c r="AG4" i="66"/>
  <c r="L9" i="66"/>
  <c r="B11" i="66" s="1"/>
  <c r="CF9" i="66"/>
  <c r="B19" i="66" s="1"/>
  <c r="EY9" i="66"/>
  <c r="G4" i="66"/>
  <c r="AY4" i="66"/>
  <c r="I6" i="66"/>
  <c r="A11" i="66" s="1"/>
  <c r="AC3" i="66"/>
  <c r="Y4" i="66" s="1"/>
  <c r="AM3" i="66"/>
  <c r="AU3" i="66"/>
  <c r="AS6" i="66" s="1"/>
  <c r="A15" i="66" s="1"/>
  <c r="BM3" i="66"/>
  <c r="BK6" i="66" s="1"/>
  <c r="CE3" i="66"/>
  <c r="CC6" i="66" s="1"/>
  <c r="CW3" i="66"/>
  <c r="CU6" i="66" s="1"/>
  <c r="A21" i="66" s="1"/>
  <c r="DG3" i="66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BE5" i="66"/>
  <c r="CO5" i="66"/>
  <c r="DG5" i="66"/>
  <c r="DY5" i="66"/>
  <c r="FH5" i="66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B22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 s="1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 s="1"/>
  <c r="AL209" i="65"/>
  <c r="AM209" i="65"/>
  <c r="AL210" i="65"/>
  <c r="AM210" i="65"/>
  <c r="AL211" i="65"/>
  <c r="AM211" i="65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 s="1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 s="1"/>
  <c r="AD272" i="65"/>
  <c r="AE272" i="65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 s="1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 s="1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 s="1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 s="1"/>
  <c r="L207" i="65"/>
  <c r="M207" i="65"/>
  <c r="L208" i="65"/>
  <c r="M208" i="65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 s="1"/>
  <c r="L385" i="65"/>
  <c r="M385" i="65"/>
  <c r="L386" i="65"/>
  <c r="M386" i="65"/>
  <c r="L387" i="65"/>
  <c r="M387" i="65" s="1"/>
  <c r="L388" i="65"/>
  <c r="M388" i="65" s="1"/>
  <c r="BA6" i="66" l="1"/>
  <c r="A16" i="66" s="1"/>
  <c r="BO5" i="66"/>
  <c r="BO3" i="66"/>
  <c r="AW7" i="66"/>
  <c r="AW3" i="66"/>
  <c r="AQ4" i="66"/>
  <c r="AM5" i="66"/>
  <c r="U7" i="66"/>
  <c r="U3" i="66"/>
  <c r="U5" i="66"/>
  <c r="Q6" i="66"/>
  <c r="M3" i="66"/>
  <c r="AE5" i="66"/>
  <c r="AA6" i="66"/>
  <c r="A13" i="66" s="1"/>
  <c r="A19" i="66"/>
  <c r="CF4" i="66"/>
  <c r="CF2" i="66" s="1"/>
  <c r="A17" i="66"/>
  <c r="BN4" i="66"/>
  <c r="CX4" i="66"/>
  <c r="C20" i="66"/>
  <c r="CN2" i="66"/>
  <c r="D20" i="66" s="1"/>
  <c r="L4" i="66"/>
  <c r="AL9" i="66"/>
  <c r="B14" i="66" s="1"/>
  <c r="DF4" i="66"/>
  <c r="EP4" i="66"/>
  <c r="EP2" i="66" s="1"/>
  <c r="BV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BD4" i="66" l="1"/>
  <c r="BD2" i="66" s="1"/>
  <c r="D16" i="66" s="1"/>
  <c r="C16" i="66"/>
  <c r="A12" i="66"/>
  <c r="T4" i="66"/>
  <c r="AD4" i="66"/>
  <c r="C13" i="66" s="1"/>
  <c r="C21" i="66"/>
  <c r="CX2" i="66"/>
  <c r="C17" i="66"/>
  <c r="C19" i="66"/>
  <c r="BN2" i="66"/>
  <c r="D19" i="66"/>
  <c r="CC9" i="66"/>
  <c r="E19" i="66" s="1"/>
  <c r="AV2" i="66"/>
  <c r="C15" i="66"/>
  <c r="C18" i="66"/>
  <c r="BV2" i="66"/>
  <c r="D18" i="66" s="1"/>
  <c r="DF2" i="66"/>
  <c r="D22" i="66" s="1"/>
  <c r="C22" i="66"/>
  <c r="C11" i="66"/>
  <c r="L2" i="66"/>
  <c r="AL4" i="66"/>
  <c r="Q4" i="65"/>
  <c r="S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T2" i="66" l="1"/>
  <c r="D12" i="66" s="1"/>
  <c r="C12" i="66"/>
  <c r="AD2" i="66"/>
  <c r="D13" i="66" s="1"/>
  <c r="AL2" i="66"/>
  <c r="D14" i="66" s="1"/>
  <c r="C14" i="66"/>
  <c r="D15" i="66"/>
  <c r="AS9" i="66"/>
  <c r="E15" i="66" s="1"/>
  <c r="D21" i="66"/>
  <c r="CU9" i="66"/>
  <c r="E21" i="66" s="1"/>
  <c r="AA9" i="66"/>
  <c r="E13" i="66" s="1"/>
  <c r="D11" i="66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I9" i="66" l="1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I3" i="63"/>
  <c r="I2" i="63"/>
  <c r="B3" i="63"/>
  <c r="D3" i="63"/>
  <c r="L2" i="63"/>
  <c r="D2" i="63"/>
  <c r="H3" i="63"/>
  <c r="H2" i="63"/>
  <c r="G2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<sst xmlns="http://schemas.openxmlformats.org/spreadsheetml/2006/main" count="1240" uniqueCount="46">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</sst>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3309.6557377049212</v>
      </c>
      <c r="H2" s="2"/>
      <c r="I2" s="6" t="s">
        <v>12</v>
      </c>
      <c r="J2" s="2"/>
      <c r="K2" s="7" t="s">
        <v>13</v>
      </c>
      <c r="L2" s="3">
        <f>L4*I6*L9/100*100</f>
        <v>22.844876976000002</v>
      </c>
      <c r="M2" s="8" t="s">
        <v>14</v>
      </c>
      <c r="N2" s="9"/>
      <c r="O2" s="2">
        <f>ABS(S7-S6)/ABS(T7-T6)*1000</f>
        <v>1636.1358064516758</v>
      </c>
      <c r="P2" s="2"/>
      <c r="Q2" s="6" t="s">
        <v>15</v>
      </c>
      <c r="R2" s="2"/>
      <c r="S2" s="7" t="s">
        <v>13</v>
      </c>
      <c r="T2" s="3">
        <f>T4*Q6*T9/100*100</f>
        <v>22.985673032000001</v>
      </c>
      <c r="U2" s="8" t="s">
        <v>14</v>
      </c>
      <c r="X2" s="9"/>
      <c r="Y2" s="2">
        <f>ABS(AC7-AC6)/ABS(AD7-AD6)*1000</f>
        <v>4969.3622950819718</v>
      </c>
      <c r="Z2" s="2"/>
      <c r="AA2" s="6" t="s">
        <v>12</v>
      </c>
      <c r="AB2" s="2"/>
      <c r="AC2" s="7" t="s">
        <v>13</v>
      </c>
      <c r="AD2" s="3">
        <f>AD4*AA6*AD9/100*100</f>
        <v>22.185179519999998</v>
      </c>
      <c r="AE2" s="8" t="s">
        <v>14</v>
      </c>
      <c r="AF2" s="9"/>
      <c r="AG2" s="2">
        <f>ABS(AK7-AK6)/ABS(AL7-AL6)*1000</f>
        <v>3384.3999999998719</v>
      </c>
      <c r="AH2" s="2"/>
      <c r="AI2" s="6" t="s">
        <v>15</v>
      </c>
      <c r="AJ2" s="2"/>
      <c r="AK2" s="7" t="s">
        <v>13</v>
      </c>
      <c r="AL2" s="3">
        <f>AL4*AI6*AL9/100*100</f>
        <v>22.645976254000004</v>
      </c>
      <c r="AM2" s="8" t="s">
        <v>14</v>
      </c>
      <c r="AP2" s="9"/>
      <c r="AQ2" s="2">
        <f>ABS(AU7-AU6)/ABS(AV7-AV6)*1000</f>
        <v>23558.566666665774</v>
      </c>
      <c r="AR2" s="2"/>
      <c r="AS2" s="6" t="s">
        <v>12</v>
      </c>
      <c r="AT2" s="2"/>
      <c r="AU2" s="7" t="s">
        <v>13</v>
      </c>
      <c r="AV2" s="3">
        <f>AV4*AS6*AV9/100*100</f>
        <v>21.697564989999996</v>
      </c>
      <c r="AW2" s="8" t="s">
        <v>14</v>
      </c>
      <c r="AX2" s="9"/>
      <c r="AY2" s="2">
        <f>ABS(BC7-BC6)/ABS(BD7-BD6)*1000</f>
        <v>3357.9566666665391</v>
      </c>
      <c r="AZ2" s="2"/>
      <c r="BA2" s="6" t="s">
        <v>15</v>
      </c>
      <c r="BB2" s="2"/>
      <c r="BC2" s="7" t="s">
        <v>13</v>
      </c>
      <c r="BD2" s="3">
        <f>BD4*BA6*BD9/100*100</f>
        <v>22.194383564999999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1.7334000000000001</v>
      </c>
      <c r="J3" s="2"/>
      <c r="K3" s="10">
        <f>INDEX(L11:L1056,MATCH(I3,K11:K1056,0))</f>
        <v>-0.462646</v>
      </c>
      <c r="L3" s="31" t="s">
        <v>16</v>
      </c>
      <c r="M3" s="11">
        <f>M9</f>
        <v>22.844876976000002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5.3100600000000001E-3</v>
      </c>
      <c r="T3" s="31" t="s">
        <v>16</v>
      </c>
      <c r="U3" s="11">
        <f>U9</f>
        <v>22.985673032000001</v>
      </c>
      <c r="X3" s="9"/>
      <c r="Y3" s="2" t="s">
        <v>44</v>
      </c>
      <c r="Z3" s="2"/>
      <c r="AA3" s="2">
        <f>INDEX(AC11:AC856,MATCH(0,AD11:AD856,1))</f>
        <v>1.69861</v>
      </c>
      <c r="AB3" s="2"/>
      <c r="AC3" s="10">
        <f>INDEX(AD11:AD1056,MATCH(AA3,AC11:AC1056,0))</f>
        <v>-0.52093500000000004</v>
      </c>
      <c r="AD3" s="31" t="s">
        <v>16</v>
      </c>
      <c r="AE3" s="11">
        <f>AE9</f>
        <v>22.185179519999998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1.5954599999999999</v>
      </c>
      <c r="AL3" s="31" t="s">
        <v>16</v>
      </c>
      <c r="AM3" s="11">
        <f>AM9</f>
        <v>22.645976254000001</v>
      </c>
      <c r="AP3" s="9"/>
      <c r="AQ3" s="2" t="s">
        <v>44</v>
      </c>
      <c r="AR3" s="2"/>
      <c r="AS3" s="2">
        <f>INDEX(AU11:AU856,MATCH(0,AV11:AV856,1))</f>
        <v>1.6982999999999999</v>
      </c>
      <c r="AT3" s="2"/>
      <c r="AU3" s="10">
        <f>INDEX(AV11:AV1056,MATCH(AS3,AU11:AU1056,0))</f>
        <v>-0.82397500000000001</v>
      </c>
      <c r="AV3" s="31" t="s">
        <v>16</v>
      </c>
      <c r="AW3" s="11">
        <f>AW9</f>
        <v>21.697564989999996</v>
      </c>
      <c r="AX3" s="9"/>
      <c r="AY3" s="2" t="s">
        <v>44</v>
      </c>
      <c r="AZ3" s="2"/>
      <c r="BA3" s="2">
        <f>INDEX(BC11:BC1056,MATCH(0,BD11:BD1056,-1))</f>
        <v>1.7013499999999999</v>
      </c>
      <c r="BB3" s="2"/>
      <c r="BC3" s="10">
        <f>INDEX(BD11:BD1056,MATCH(BA3,BC11:BC1056,0))</f>
        <v>1.48865</v>
      </c>
      <c r="BD3" s="31" t="s">
        <v>16</v>
      </c>
      <c r="BE3" s="11">
        <f>BE9</f>
        <v>22.194383564999999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5.246125607235963</v>
      </c>
      <c r="H4" s="2"/>
      <c r="I4" s="2">
        <f>INDEX(K11:K1000,1+MATCH(0,L11:L856,1))</f>
        <v>1.7291300000000001</v>
      </c>
      <c r="J4" s="2"/>
      <c r="K4" s="10">
        <f>INDEX(L11:L1056,MATCH(I4,K11:K1056,0))</f>
        <v>0.35128799999999999</v>
      </c>
      <c r="L4" s="30">
        <f>M3/(I6*L9)</f>
        <v>0.7662745993606479</v>
      </c>
      <c r="M4" s="8" t="s">
        <v>17</v>
      </c>
      <c r="N4" s="9"/>
      <c r="O4" s="2">
        <f>ABS(Q3-Q4)/ABS(S3-S4)*1000</f>
        <v>5.6777390256576279</v>
      </c>
      <c r="P4" s="2"/>
      <c r="Q4" s="2">
        <f>INDEX(S11:S856,1+MATCH(0,T11:T856,-1))</f>
        <v>1.71722</v>
      </c>
      <c r="R4" s="2"/>
      <c r="S4" s="10">
        <f>INDEX(T11:T856,MATCH(Q4,S11:S856,0))</f>
        <v>-0.85418699999999992</v>
      </c>
      <c r="T4" s="30">
        <f>U3/(Q6*T9)</f>
        <v>0.78184141137287588</v>
      </c>
      <c r="U4" s="8" t="s">
        <v>17</v>
      </c>
      <c r="X4" s="9"/>
      <c r="Y4" s="2">
        <f>ABS(AA3-AA4)/ABS(AC3-AC4)*1000</f>
        <v>3.9996951052091898</v>
      </c>
      <c r="Z4" s="2"/>
      <c r="AA4" s="2">
        <f>INDEX(AC11:AC1000,1+MATCH(0,AD11:AD856,1))</f>
        <v>1.69373</v>
      </c>
      <c r="AB4" s="2"/>
      <c r="AC4" s="10">
        <f>INDEX(AD11:AD1056,MATCH(AA4,AC11:AC1056,0))</f>
        <v>0.69915799999999995</v>
      </c>
      <c r="AD4" s="30">
        <f>AE3/(AA6*AD9)</f>
        <v>0.76176320783256879</v>
      </c>
      <c r="AE4" s="8" t="s">
        <v>17</v>
      </c>
      <c r="AF4" s="9"/>
      <c r="AG4" s="2">
        <f>ABS(AI3-AI4)/ABS(AK3-AK4)*1000</f>
        <v>2.7232315261010607</v>
      </c>
      <c r="AH4" s="2"/>
      <c r="AI4" s="2">
        <f>INDEX(AK11:AK856,1+MATCH(0,AL11:AL856,-1))</f>
        <v>1.71204</v>
      </c>
      <c r="AJ4" s="2"/>
      <c r="AK4" s="10">
        <f>INDEX(AL11:AL856,MATCH(AI4,AK11:AK856,0))</f>
        <v>-0.31036399999999997</v>
      </c>
      <c r="AL4" s="30">
        <f>AM3/(AI6*AL9)</f>
        <v>0.77326488537263938</v>
      </c>
      <c r="AM4" s="8" t="s">
        <v>17</v>
      </c>
      <c r="AP4" s="9"/>
      <c r="AQ4" s="2">
        <f>ABS(AS3-AS4)/ABS(AU3-AU4)*1000</f>
        <v>3.4292902142252268</v>
      </c>
      <c r="AR4" s="2"/>
      <c r="AS4" s="2">
        <f>INDEX(AU11:AU1000,1+MATCH(0,AV11:AV856,1))</f>
        <v>1.6934199999999999</v>
      </c>
      <c r="AT4" s="2"/>
      <c r="AU4" s="10">
        <f>INDEX(AV11:AV1056,MATCH(AS4,AU11:AU1056,0))</f>
        <v>0.59906000000000004</v>
      </c>
      <c r="AV4" s="30">
        <f>AW3/(AS6*AV9)</f>
        <v>0.74821020355563816</v>
      </c>
      <c r="AW4" s="8" t="s">
        <v>17</v>
      </c>
      <c r="AX4" s="9"/>
      <c r="AY4" s="2">
        <f>ABS(BA3-BA4)/ABS(BC3-BC4)*1000</f>
        <v>3.5370668395642402</v>
      </c>
      <c r="AZ4" s="2"/>
      <c r="BA4" s="2">
        <f>INDEX(BC11:BC856,1+MATCH(0,BD11:BD856,-1))</f>
        <v>1.70746</v>
      </c>
      <c r="BB4" s="2"/>
      <c r="BC4" s="10">
        <f>INDEX(BD11:BD856,MATCH(BA4,BC11:BC856,0))</f>
        <v>-0.23876999999999998</v>
      </c>
      <c r="BD4" s="30">
        <f>BE3/(BA6*BD9)</f>
        <v>0.76282152641376233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15.673800000000002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15.841699999999999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15.273999999999999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15.237399999999999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14.9902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15.243500000000001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1.7309729009723147</v>
      </c>
      <c r="J6" s="30"/>
      <c r="K6" s="13">
        <f>INDEX(K11:K1056,MATCH(L6,L11:L1056,0))</f>
        <v>3.7435900000000001E-2</v>
      </c>
      <c r="L6" s="10">
        <f>INDEX(L11:L1056,MATCH(0,K11:K1056,-1))</f>
        <v>17.2119</v>
      </c>
      <c r="M6" s="8" t="s">
        <v>22</v>
      </c>
      <c r="N6" s="9"/>
      <c r="O6" s="2"/>
      <c r="P6" s="2"/>
      <c r="Q6" s="34">
        <f>(Q3-Q4)/(S3-S4)*(-S4)+Q4</f>
        <v>1.7123701491348906</v>
      </c>
      <c r="R6" s="34"/>
      <c r="S6" s="13">
        <f>INDEX(S11:S1056,MATCH(T6,T11:T1056,0))</f>
        <v>-4.4799799999999997E-3</v>
      </c>
      <c r="T6" s="10">
        <f>INDEX(T11:T1056,MATCH(0,S11:S1056,1))</f>
        <v>17.1661</v>
      </c>
      <c r="U6" s="8" t="s">
        <v>22</v>
      </c>
      <c r="X6" s="9"/>
      <c r="Y6" s="2"/>
      <c r="Z6" s="2"/>
      <c r="AA6" s="30">
        <f>(AA3-AA4)/(AC3-AC4)*(-AC4)+AA4</f>
        <v>1.6965264188303677</v>
      </c>
      <c r="AB6" s="30"/>
      <c r="AC6" s="13">
        <f>INDEX(AC11:AC1056,MATCH(AD6,AD11:AD1056,0))</f>
        <v>2.09961E-3</v>
      </c>
      <c r="AD6" s="10">
        <f>INDEX(AD11:AD1056,MATCH(0,AC11:AC1056,-1))</f>
        <v>17.1661</v>
      </c>
      <c r="AE6" s="8" t="s">
        <v>22</v>
      </c>
      <c r="AF6" s="9"/>
      <c r="AG6" s="2"/>
      <c r="AH6" s="2"/>
      <c r="AI6" s="34">
        <f>(AI3-AI4)/(AK3-AK4)*(-AK4)+AI4</f>
        <v>1.7111948069706331</v>
      </c>
      <c r="AJ6" s="34"/>
      <c r="AK6" s="13">
        <f>INDEX(AK11:AK1056,MATCH(AL6,AL11:AL1056,0))</f>
        <v>-9.5977800000000002E-3</v>
      </c>
      <c r="AL6" s="10">
        <f>INDEX(AL11:AL1056,MATCH(0,AK11:AK1056,1))</f>
        <v>17.1173</v>
      </c>
      <c r="AM6" s="8" t="s">
        <v>22</v>
      </c>
      <c r="AP6" s="9"/>
      <c r="AQ6" s="2"/>
      <c r="AR6" s="2"/>
      <c r="AS6" s="30">
        <f>(AS3-AS4)/(AU3-AU4)*(-AU4)+AS4</f>
        <v>1.6954743505957337</v>
      </c>
      <c r="AT6" s="30"/>
      <c r="AU6" s="13">
        <f>INDEX(AU11:AU1056,MATCH(AV6,AV11:AV1056,0))</f>
        <v>2.7343800000000001E-2</v>
      </c>
      <c r="AV6" s="10">
        <f>INDEX(AV11:AV1056,MATCH(0,AU11:AU1056,-1))</f>
        <v>17.1051</v>
      </c>
      <c r="AW6" s="8" t="s">
        <v>22</v>
      </c>
      <c r="AX6" s="9"/>
      <c r="AY6" s="2"/>
      <c r="AZ6" s="2"/>
      <c r="BA6" s="34">
        <f>(BA3-BA4)/(BC3-BC4)*(-BC4)+BA4</f>
        <v>1.7066154545507173</v>
      </c>
      <c r="BB6" s="34"/>
      <c r="BC6" s="13">
        <f>INDEX(BC11:BC1056,MATCH(BD6,BD11:BD1056,0))</f>
        <v>-4.4769299999999996E-3</v>
      </c>
      <c r="BD6" s="10">
        <f>INDEX(BD11:BD1056,MATCH(0,BC11:BC1056,1))</f>
        <v>17.0471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-4.3319700000000003E-2</v>
      </c>
      <c r="L7" s="10">
        <f>INDEX(L11:L856,1+MATCH(0,K11:K856,-1))</f>
        <v>17.2363</v>
      </c>
      <c r="M7" s="12">
        <f>INDEX(K11:K1056,MATCH(M9,M11:M1056,0))</f>
        <v>1.4569099999999999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17.1692</v>
      </c>
      <c r="U7" s="12">
        <f>INDEX(S11:S1056,MATCH(U9,U11:U1056,0))</f>
        <v>1.4508099999999999</v>
      </c>
      <c r="X7" s="9"/>
      <c r="Y7" s="2"/>
      <c r="Z7" s="2"/>
      <c r="AA7" s="2"/>
      <c r="AB7" s="2"/>
      <c r="AC7" s="13">
        <f>INDEX(AC11:AC856,MATCH(AD7,AD11:AD856,1))</f>
        <v>-2.8213499999999999E-2</v>
      </c>
      <c r="AD7" s="10">
        <f>INDEX(AD11:AD856,1+MATCH(0,AC11:AC856,-1))</f>
        <v>17.1722</v>
      </c>
      <c r="AE7" s="12">
        <f>INDEX(AC11:AC1056,MATCH(AE9,AE11:AE1056,0))</f>
        <v>1.4523299999999999</v>
      </c>
      <c r="AF7" s="9"/>
      <c r="AG7" s="2"/>
      <c r="AH7" s="2"/>
      <c r="AI7" s="2"/>
      <c r="AJ7" s="2"/>
      <c r="AK7" s="13">
        <f>INDEX(AK11:AK1056,MATCH(AL7,AL11:AL1056,0))</f>
        <v>5.5542000000000005E-4</v>
      </c>
      <c r="AL7" s="10">
        <f>INDEX(AL11:AL1056,1+MATCH(0,AK11:AK1056,1))</f>
        <v>17.1143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-4.33319E-2</v>
      </c>
      <c r="AV7" s="10">
        <f>INDEX(AV11:AV856,1+MATCH(0,AU11:AU856,-1))</f>
        <v>17.1021</v>
      </c>
      <c r="AW7" s="12">
        <f>INDEX(AU11:AU1056,MATCH(AW9,AW11:AW1056,0))</f>
        <v>1.4468399999999999</v>
      </c>
      <c r="AX7" s="9"/>
      <c r="AY7" s="2"/>
      <c r="AZ7" s="2"/>
      <c r="BA7" s="2"/>
      <c r="BB7" s="2"/>
      <c r="BC7" s="13">
        <f>INDEX(BC11:BC1056,MATCH(BD7,BD11:BD1056,0))</f>
        <v>-1.4550799999999999E-2</v>
      </c>
      <c r="BD7" s="10">
        <f>INDEX(BD11:BD1056,1+MATCH(0,BC11:BC1056,1))</f>
        <v>17.0441</v>
      </c>
      <c r="BE7" s="12">
        <f>INDEX(BC11:BC1056,MATCH(BE9,BE11:BE1056,0))</f>
        <v>1.4556899999999999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0.61253832247586115</v>
      </c>
      <c r="J9" s="2"/>
      <c r="K9" s="2"/>
      <c r="L9" s="3">
        <f>(L6-L7)/(K6-K7)*(-K7)+L7</f>
        <v>17.223211116009292</v>
      </c>
      <c r="M9" s="16">
        <f>MAX(M11:M1056)</f>
        <v>22.844876976000002</v>
      </c>
      <c r="N9" s="9"/>
      <c r="O9" s="2"/>
      <c r="P9" s="2"/>
      <c r="Q9" s="2"/>
      <c r="R9" s="2"/>
      <c r="S9" s="2"/>
      <c r="T9" s="3">
        <f>(T6-T7)/(S6-S7)*(-S7)+T7</f>
        <v>17.168838146786065</v>
      </c>
      <c r="U9" s="16">
        <f>MAX(U11:U1056)</f>
        <v>22.985673032000001</v>
      </c>
      <c r="X9" s="9"/>
      <c r="Y9" s="2"/>
      <c r="Z9" s="2"/>
      <c r="AA9" s="15">
        <f>(MAX(AD2,AL2)-MIN(AD2,AL2))/MAX(AD2,AL2)%</f>
        <v>2.034784143689166</v>
      </c>
      <c r="AB9" s="2"/>
      <c r="AC9" s="2"/>
      <c r="AD9" s="3">
        <f>(AD6-AD7)/(AC6-AC7)*(-AC7)+AD7</f>
        <v>17.166522510953182</v>
      </c>
      <c r="AE9" s="16">
        <f>MAX(AE11:AE1056)</f>
        <v>22.185179519999998</v>
      </c>
      <c r="AF9" s="9"/>
      <c r="AG9" s="2"/>
      <c r="AH9" s="2"/>
      <c r="AI9" s="2"/>
      <c r="AJ9" s="2"/>
      <c r="AK9" s="2"/>
      <c r="AL9" s="3">
        <f>(AL6-AL7)/(AK6-AK7)*(-AK7)+AL7</f>
        <v>17.114464111807116</v>
      </c>
      <c r="AM9" s="16">
        <f>MAX(AM11:AM1056)</f>
        <v>22.645976254000001</v>
      </c>
      <c r="AP9" s="9"/>
      <c r="AQ9" s="2"/>
      <c r="AR9" s="2"/>
      <c r="AS9" s="15">
        <f>(MAX(AV2,BD2)-MIN(AV2,BD2))/MAX(AV2,BD2)%</f>
        <v>2.2384878297925486</v>
      </c>
      <c r="AT9" s="2"/>
      <c r="AU9" s="2"/>
      <c r="AV9" s="3">
        <f>(AV6-AV7)/(AU6-AU7)*(-AU7)+AV7</f>
        <v>17.103939326670979</v>
      </c>
      <c r="AW9" s="16">
        <f>MAX(AW11:AW1056)</f>
        <v>21.697564989999996</v>
      </c>
      <c r="AX9" s="9"/>
      <c r="AY9" s="2"/>
      <c r="AZ9" s="2"/>
      <c r="BA9" s="2"/>
      <c r="BB9" s="2"/>
      <c r="BC9" s="2"/>
      <c r="BD9" s="3">
        <f>(BD6-BD7)/(BC6-BC7)*(-BC7)+BD7</f>
        <v>17.048433230426838</v>
      </c>
      <c r="BE9" s="16">
        <f>MAX(BE11:BE1056)</f>
        <v>22.194383564999999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1.7309729009723147</v>
      </c>
      <c r="B11" s="19">
        <f>IFERROR(L9,0)</f>
        <v>17.223211116009292</v>
      </c>
      <c r="C11" s="20">
        <f>IFERROR(L4,0)</f>
        <v>0.7662745993606479</v>
      </c>
      <c r="D11" s="21">
        <f>IFERROR(L2,0)</f>
        <v>22.844876976000002</v>
      </c>
      <c r="E11" s="21">
        <f>IFERROR(I9,0)</f>
        <v>0.61253832247586115</v>
      </c>
      <c r="F11" s="9"/>
      <c r="G11" s="22">
        <v>1.7948900000000001</v>
      </c>
      <c r="H11" s="22">
        <v>75.873000000000005</v>
      </c>
      <c r="I11" s="22">
        <v>1.2274200000000001E-2</v>
      </c>
      <c r="J11" s="22">
        <v>1</v>
      </c>
      <c r="K11" s="22">
        <v>1.79443</v>
      </c>
      <c r="L11">
        <f>-I11/$F$2*1000</f>
        <v>-12.2742</v>
      </c>
      <c r="M11">
        <f>L11*G11</f>
        <v>-22.030838838000001</v>
      </c>
      <c r="N11" s="9"/>
      <c r="O11" s="22">
        <v>-9.49097E-2</v>
      </c>
      <c r="P11" s="22">
        <v>169.83699999999999</v>
      </c>
      <c r="Q11" s="22">
        <v>-1.7224099999999999E-2</v>
      </c>
      <c r="R11" s="22">
        <v>1</v>
      </c>
      <c r="S11" s="22">
        <v>-9.5519999999999994E-2</v>
      </c>
      <c r="T11">
        <f>-Q11/$F$2*1000</f>
        <v>17.2241</v>
      </c>
      <c r="U11">
        <f>T11*O11</f>
        <v>-1.6347341637699999</v>
      </c>
      <c r="V11" s="23"/>
      <c r="W11" s="24"/>
      <c r="X11" s="9"/>
      <c r="Y11" s="22">
        <v>1.7948900000000001</v>
      </c>
      <c r="Z11" s="22">
        <v>287.60599999999999</v>
      </c>
      <c r="AA11" s="22">
        <v>3.7020900000000002E-2</v>
      </c>
      <c r="AB11" s="22">
        <v>1</v>
      </c>
      <c r="AC11" s="22">
        <v>1.79382</v>
      </c>
      <c r="AD11">
        <f>-AA11/$F$2*1000</f>
        <v>-37.020900000000005</v>
      </c>
      <c r="AE11">
        <f>AD11*Y11</f>
        <v>-66.448443201000018</v>
      </c>
      <c r="AF11" s="9"/>
      <c r="AG11" s="22">
        <v>-9.49097E-2</v>
      </c>
      <c r="AH11" s="22">
        <v>352.97199999999998</v>
      </c>
      <c r="AI11" s="22">
        <v>-1.7181399999999999E-2</v>
      </c>
      <c r="AJ11" s="22">
        <v>1</v>
      </c>
      <c r="AK11" s="22">
        <v>-9.5489500000000005E-2</v>
      </c>
      <c r="AL11">
        <f>-AI11/$F$2*1000</f>
        <v>17.1814</v>
      </c>
      <c r="AM11">
        <f>AL11*AG11</f>
        <v>-1.63068151958</v>
      </c>
      <c r="AP11" s="9"/>
      <c r="AQ11" s="22">
        <v>1.7948900000000001</v>
      </c>
      <c r="AR11" s="22">
        <v>442.27300000000002</v>
      </c>
      <c r="AS11" s="22">
        <v>4.4287100000000003E-2</v>
      </c>
      <c r="AT11" s="22">
        <v>1</v>
      </c>
      <c r="AU11" s="22">
        <v>1.79413</v>
      </c>
      <c r="AV11">
        <f>-AS11/$F$2*1000</f>
        <v>-44.287100000000002</v>
      </c>
      <c r="AW11">
        <f>AV11*AQ11</f>
        <v>-79.490472919000013</v>
      </c>
      <c r="AX11" s="9"/>
      <c r="AY11" s="22">
        <v>-9.49097E-2</v>
      </c>
      <c r="AZ11" s="22">
        <v>519.298</v>
      </c>
      <c r="BA11" s="22">
        <v>-1.7144800000000002E-2</v>
      </c>
      <c r="BB11" s="22">
        <v>1</v>
      </c>
      <c r="BC11" s="22">
        <v>-9.5459000000000002E-2</v>
      </c>
      <c r="BD11">
        <f>-BA11/$F$2*1000</f>
        <v>17.1448</v>
      </c>
      <c r="BE11">
        <f>BD11*AY11</f>
        <v>-1.6272078245599999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1.7123701491348906</v>
      </c>
      <c r="B12" s="19">
        <f>IFERROR(T9,0)</f>
        <v>17.168838146786065</v>
      </c>
      <c r="C12" s="20">
        <f>IFERROR(T4,0)</f>
        <v>0.78184141137287588</v>
      </c>
      <c r="D12" s="21">
        <f>IFERROR(T2,0)</f>
        <v>22.985673032000001</v>
      </c>
      <c r="E12" s="21"/>
      <c r="F12" s="9"/>
      <c r="G12" s="22">
        <v>1.78986</v>
      </c>
      <c r="H12" s="22">
        <v>75.973699999999994</v>
      </c>
      <c r="I12" s="22">
        <v>1.1306800000000001E-2</v>
      </c>
      <c r="J12" s="22">
        <v>2</v>
      </c>
      <c r="K12" s="22">
        <v>1.78833</v>
      </c>
      <c r="L12">
        <f t="shared" ref="L12:L75" si="0">-I12/$F$2*1000</f>
        <v>-11.306800000000001</v>
      </c>
      <c r="M12">
        <f t="shared" ref="M12:M75" si="1">L12*G12</f>
        <v>-20.237589048</v>
      </c>
      <c r="N12" s="9"/>
      <c r="O12" s="22">
        <v>-8.9874300000000004E-2</v>
      </c>
      <c r="P12" s="22">
        <v>169.93700000000001</v>
      </c>
      <c r="Q12" s="22">
        <v>-1.7224099999999999E-2</v>
      </c>
      <c r="R12" s="22">
        <v>2</v>
      </c>
      <c r="S12" s="22">
        <v>-9.0393100000000004E-2</v>
      </c>
      <c r="T12">
        <f t="shared" ref="T12:T75" si="2">-Q12/$F$2*1000</f>
        <v>17.2241</v>
      </c>
      <c r="U12">
        <f t="shared" ref="U12:U75" si="3">T12*O12</f>
        <v>-1.54800393063</v>
      </c>
      <c r="V12" s="23"/>
      <c r="W12" s="24"/>
      <c r="X12" s="9"/>
      <c r="Y12" s="22">
        <v>1.78986</v>
      </c>
      <c r="Z12" s="22">
        <v>287.70600000000002</v>
      </c>
      <c r="AA12" s="22">
        <v>3.4536699999999997E-2</v>
      </c>
      <c r="AB12" s="22">
        <v>2</v>
      </c>
      <c r="AC12" s="22">
        <v>1.78986</v>
      </c>
      <c r="AD12">
        <f t="shared" ref="AD12:AD75" si="4">-AA12/$F$2*1000</f>
        <v>-34.536699999999996</v>
      </c>
      <c r="AE12">
        <f t="shared" ref="AE12:AE75" si="5">AD12*Y12</f>
        <v>-61.815857861999994</v>
      </c>
      <c r="AF12" s="9"/>
      <c r="AG12" s="22">
        <v>-8.9874300000000004E-2</v>
      </c>
      <c r="AH12" s="22">
        <v>353.072</v>
      </c>
      <c r="AI12" s="22">
        <v>-1.7169199999999999E-2</v>
      </c>
      <c r="AJ12" s="22">
        <v>2</v>
      </c>
      <c r="AK12" s="22">
        <v>-9.0393100000000004E-2</v>
      </c>
      <c r="AL12">
        <f t="shared" ref="AL12:AL75" si="6">-AI12/$F$2*1000</f>
        <v>17.1692</v>
      </c>
      <c r="AM12">
        <f t="shared" ref="AM12:AM75" si="7">AL12*AG12</f>
        <v>-1.54306983156</v>
      </c>
      <c r="AP12" s="9"/>
      <c r="AQ12" s="22">
        <v>1.78986</v>
      </c>
      <c r="AR12" s="22">
        <v>442.37400000000002</v>
      </c>
      <c r="AS12" s="22">
        <v>4.0307599999999999E-2</v>
      </c>
      <c r="AT12" s="22">
        <v>2</v>
      </c>
      <c r="AU12" s="22">
        <v>1.78894</v>
      </c>
      <c r="AV12">
        <f t="shared" ref="AV12:AV75" si="8">-AS12/$F$2*1000</f>
        <v>-40.307600000000001</v>
      </c>
      <c r="AW12">
        <f t="shared" ref="AW12:AW75" si="9">AV12*AQ12</f>
        <v>-72.144960936000004</v>
      </c>
      <c r="AX12" s="9"/>
      <c r="AY12" s="22">
        <v>-8.9874300000000004E-2</v>
      </c>
      <c r="AZ12" s="22">
        <v>519.399</v>
      </c>
      <c r="BA12" s="22">
        <v>-1.71509E-2</v>
      </c>
      <c r="BB12" s="22">
        <v>2</v>
      </c>
      <c r="BC12" s="22">
        <v>-9.0271000000000004E-2</v>
      </c>
      <c r="BD12">
        <f t="shared" ref="BD12:BD75" si="10">-BA12/$F$2*1000</f>
        <v>17.1509</v>
      </c>
      <c r="BE12">
        <f t="shared" ref="BE12:BE75" si="11">BD12*AY12</f>
        <v>-1.5414251318700001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1.6965264188303677</v>
      </c>
      <c r="B13" s="19">
        <f>IFERROR(AD9,0)</f>
        <v>17.166522510953182</v>
      </c>
      <c r="C13" s="20">
        <f>IFERROR(AD4,0)</f>
        <v>0.76176320783256879</v>
      </c>
      <c r="D13" s="21">
        <f>IFERROR(AD2,0)</f>
        <v>22.185179519999998</v>
      </c>
      <c r="E13" s="21">
        <f>IFERROR(AA9,0)</f>
        <v>2.034784143689166</v>
      </c>
      <c r="F13" s="9"/>
      <c r="G13" s="22">
        <v>1.7848200000000001</v>
      </c>
      <c r="H13" s="22">
        <v>76.074399999999997</v>
      </c>
      <c r="I13" s="22">
        <v>1.0284400000000001E-2</v>
      </c>
      <c r="J13" s="22">
        <v>3</v>
      </c>
      <c r="K13" s="22">
        <v>1.78467</v>
      </c>
      <c r="L13">
        <f t="shared" si="0"/>
        <v>-10.284400000000002</v>
      </c>
      <c r="M13">
        <f t="shared" si="1"/>
        <v>-18.355802808000004</v>
      </c>
      <c r="N13" s="9"/>
      <c r="O13" s="22">
        <v>-8.4838899999999995E-2</v>
      </c>
      <c r="P13" s="22">
        <v>170.03800000000001</v>
      </c>
      <c r="Q13" s="22">
        <v>-1.7215000000000001E-2</v>
      </c>
      <c r="R13" s="22">
        <v>3</v>
      </c>
      <c r="S13" s="22">
        <v>-8.54187E-2</v>
      </c>
      <c r="T13">
        <f t="shared" si="2"/>
        <v>17.215</v>
      </c>
      <c r="U13">
        <f t="shared" si="3"/>
        <v>-1.4605016634999999</v>
      </c>
      <c r="V13" s="23"/>
      <c r="W13" s="24"/>
      <c r="X13" s="9"/>
      <c r="Y13" s="22">
        <v>1.7848200000000001</v>
      </c>
      <c r="Z13" s="22">
        <v>287.80700000000002</v>
      </c>
      <c r="AA13" s="22">
        <v>3.2089199999999998E-2</v>
      </c>
      <c r="AB13" s="22">
        <v>3</v>
      </c>
      <c r="AC13" s="22">
        <v>1.78406</v>
      </c>
      <c r="AD13">
        <f t="shared" si="4"/>
        <v>-32.089199999999998</v>
      </c>
      <c r="AE13">
        <f t="shared" si="5"/>
        <v>-57.273445944000002</v>
      </c>
      <c r="AF13" s="9"/>
      <c r="AG13" s="22">
        <v>-8.4838899999999995E-2</v>
      </c>
      <c r="AH13" s="22">
        <v>353.173</v>
      </c>
      <c r="AI13" s="22">
        <v>-1.7169199999999999E-2</v>
      </c>
      <c r="AJ13" s="22">
        <v>3</v>
      </c>
      <c r="AK13" s="22">
        <v>-8.5388199999999997E-2</v>
      </c>
      <c r="AL13">
        <f t="shared" si="6"/>
        <v>17.1692</v>
      </c>
      <c r="AM13">
        <f t="shared" si="7"/>
        <v>-1.4566160418799998</v>
      </c>
      <c r="AP13" s="9"/>
      <c r="AQ13" s="22">
        <v>1.7848200000000001</v>
      </c>
      <c r="AR13" s="22">
        <v>442.47399999999999</v>
      </c>
      <c r="AS13" s="22">
        <v>3.8104199999999998E-2</v>
      </c>
      <c r="AT13" s="22">
        <v>3</v>
      </c>
      <c r="AU13" s="22">
        <v>1.78467</v>
      </c>
      <c r="AV13">
        <f t="shared" si="8"/>
        <v>-38.104199999999999</v>
      </c>
      <c r="AW13">
        <f t="shared" si="9"/>
        <v>-68.009138243999999</v>
      </c>
      <c r="AX13" s="9"/>
      <c r="AY13" s="22">
        <v>-8.4838899999999995E-2</v>
      </c>
      <c r="AZ13" s="22">
        <v>519.5</v>
      </c>
      <c r="BA13" s="22">
        <v>-1.7126499999999999E-2</v>
      </c>
      <c r="BB13" s="22">
        <v>3</v>
      </c>
      <c r="BC13" s="22">
        <v>-8.5388199999999997E-2</v>
      </c>
      <c r="BD13">
        <f t="shared" si="10"/>
        <v>17.1265</v>
      </c>
      <c r="BE13">
        <f t="shared" si="11"/>
        <v>-1.4529934208499999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1.7111948069706331</v>
      </c>
      <c r="B14" s="19">
        <f>IFERROR(AL9,0)</f>
        <v>17.114464111807116</v>
      </c>
      <c r="C14" s="20">
        <f>IFERROR(AL4,0)</f>
        <v>0.77326488537263938</v>
      </c>
      <c r="D14" s="21">
        <f>IFERROR(AL2,0)</f>
        <v>22.645976254000004</v>
      </c>
      <c r="E14" s="21"/>
      <c r="F14" s="9"/>
      <c r="G14" s="22">
        <v>1.77979</v>
      </c>
      <c r="H14" s="22">
        <v>76.1751</v>
      </c>
      <c r="I14" s="22">
        <v>9.1888400000000002E-3</v>
      </c>
      <c r="J14" s="22">
        <v>4</v>
      </c>
      <c r="K14" s="22">
        <v>1.7791699999999999</v>
      </c>
      <c r="L14">
        <f t="shared" si="0"/>
        <v>-9.1888400000000008</v>
      </c>
      <c r="M14">
        <f t="shared" si="1"/>
        <v>-16.354205543600003</v>
      </c>
      <c r="N14" s="9"/>
      <c r="O14" s="22">
        <v>-7.9803499999999999E-2</v>
      </c>
      <c r="P14" s="22">
        <v>170.13900000000001</v>
      </c>
      <c r="Q14" s="22">
        <v>-1.7218000000000001E-2</v>
      </c>
      <c r="R14" s="22">
        <v>4</v>
      </c>
      <c r="S14" s="22">
        <v>-8.0291699999999994E-2</v>
      </c>
      <c r="T14">
        <f t="shared" si="2"/>
        <v>17.218</v>
      </c>
      <c r="U14">
        <f t="shared" si="3"/>
        <v>-1.374056663</v>
      </c>
      <c r="V14" s="23"/>
      <c r="W14" s="24"/>
      <c r="X14" s="9"/>
      <c r="Y14" s="22">
        <v>1.77979</v>
      </c>
      <c r="Z14" s="22">
        <v>287.90800000000002</v>
      </c>
      <c r="AA14" s="22">
        <v>2.8909299999999999E-2</v>
      </c>
      <c r="AB14" s="22">
        <v>4</v>
      </c>
      <c r="AC14" s="22">
        <v>1.7791699999999999</v>
      </c>
      <c r="AD14">
        <f t="shared" si="4"/>
        <v>-28.909299999999998</v>
      </c>
      <c r="AE14">
        <f t="shared" si="5"/>
        <v>-51.452483046999994</v>
      </c>
      <c r="AF14" s="9"/>
      <c r="AG14" s="22">
        <v>-7.9803499999999999E-2</v>
      </c>
      <c r="AH14" s="22">
        <v>353.274</v>
      </c>
      <c r="AI14" s="22">
        <v>-1.7156999999999999E-2</v>
      </c>
      <c r="AJ14" s="22">
        <v>4</v>
      </c>
      <c r="AK14" s="22">
        <v>-8.0474900000000002E-2</v>
      </c>
      <c r="AL14">
        <f t="shared" si="6"/>
        <v>17.157</v>
      </c>
      <c r="AM14">
        <f t="shared" si="7"/>
        <v>-1.3691886495000001</v>
      </c>
      <c r="AP14" s="9"/>
      <c r="AQ14" s="22">
        <v>1.77979</v>
      </c>
      <c r="AR14" s="22">
        <v>442.57499999999999</v>
      </c>
      <c r="AS14" s="22">
        <v>3.7625100000000002E-2</v>
      </c>
      <c r="AT14" s="22">
        <v>4</v>
      </c>
      <c r="AU14" s="22">
        <v>1.7785599999999999</v>
      </c>
      <c r="AV14">
        <f t="shared" si="8"/>
        <v>-37.625100000000003</v>
      </c>
      <c r="AW14">
        <f t="shared" si="9"/>
        <v>-66.964776729000008</v>
      </c>
      <c r="AX14" s="9"/>
      <c r="AY14" s="22">
        <v>-7.9803499999999999E-2</v>
      </c>
      <c r="AZ14" s="22">
        <v>519.6</v>
      </c>
      <c r="BA14" s="22">
        <v>-1.7120400000000001E-2</v>
      </c>
      <c r="BB14" s="22">
        <v>4</v>
      </c>
      <c r="BC14" s="22">
        <v>-8.0291699999999994E-2</v>
      </c>
      <c r="BD14">
        <f t="shared" si="10"/>
        <v>17.1204</v>
      </c>
      <c r="BE14">
        <f t="shared" si="11"/>
        <v>-1.3662678414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1.6954743505957337</v>
      </c>
      <c r="B15" s="19">
        <f>IFERROR(AV9,0)</f>
        <v>17.103939326670979</v>
      </c>
      <c r="C15" s="20">
        <f>IFERROR(AV4,0)</f>
        <v>0.74821020355563816</v>
      </c>
      <c r="D15" s="21">
        <f>IFERROR(AV2,0)</f>
        <v>21.697564989999996</v>
      </c>
      <c r="E15" s="21">
        <f>IFERROR(AS9,0)</f>
        <v>2.2384878297925486</v>
      </c>
      <c r="F15" s="9"/>
      <c r="G15" s="22">
        <v>1.77475</v>
      </c>
      <c r="H15" s="22">
        <v>76.275800000000004</v>
      </c>
      <c r="I15" s="22">
        <v>8.1207299999999996E-3</v>
      </c>
      <c r="J15" s="22">
        <v>5</v>
      </c>
      <c r="K15" s="22">
        <v>1.77399</v>
      </c>
      <c r="L15">
        <f t="shared" si="0"/>
        <v>-8.12073</v>
      </c>
      <c r="M15">
        <f t="shared" si="1"/>
        <v>-14.4122655675</v>
      </c>
      <c r="N15" s="9"/>
      <c r="O15" s="22">
        <v>-7.4768100000000004E-2</v>
      </c>
      <c r="P15" s="22">
        <v>170.239</v>
      </c>
      <c r="Q15" s="22">
        <v>-1.72058E-2</v>
      </c>
      <c r="R15" s="22">
        <v>5</v>
      </c>
      <c r="S15" s="22">
        <v>-7.5195300000000007E-2</v>
      </c>
      <c r="T15">
        <f t="shared" si="2"/>
        <v>17.2058</v>
      </c>
      <c r="U15">
        <f t="shared" si="3"/>
        <v>-1.28644497498</v>
      </c>
      <c r="V15" s="23"/>
      <c r="W15" s="24"/>
      <c r="X15" s="9"/>
      <c r="Y15" s="22">
        <v>1.77475</v>
      </c>
      <c r="Z15" s="22">
        <v>288.00799999999998</v>
      </c>
      <c r="AA15" s="22">
        <v>2.76642E-2</v>
      </c>
      <c r="AB15" s="22">
        <v>5</v>
      </c>
      <c r="AC15" s="22">
        <v>1.77399</v>
      </c>
      <c r="AD15">
        <f t="shared" si="4"/>
        <v>-27.664200000000001</v>
      </c>
      <c r="AE15">
        <f t="shared" si="5"/>
        <v>-49.097038950000005</v>
      </c>
      <c r="AF15" s="9"/>
      <c r="AG15" s="22">
        <v>-7.4768100000000004E-2</v>
      </c>
      <c r="AH15" s="22">
        <v>353.37400000000002</v>
      </c>
      <c r="AI15" s="22">
        <v>-1.7163100000000001E-2</v>
      </c>
      <c r="AJ15" s="22">
        <v>5</v>
      </c>
      <c r="AK15" s="22">
        <v>-7.5225799999999995E-2</v>
      </c>
      <c r="AL15">
        <f t="shared" si="6"/>
        <v>17.1631</v>
      </c>
      <c r="AM15">
        <f t="shared" si="7"/>
        <v>-1.2832523771100002</v>
      </c>
      <c r="AP15" s="9"/>
      <c r="AQ15" s="22">
        <v>1.77475</v>
      </c>
      <c r="AR15" s="22">
        <v>442.67599999999999</v>
      </c>
      <c r="AS15" s="22">
        <v>3.5058600000000002E-2</v>
      </c>
      <c r="AT15" s="22">
        <v>5</v>
      </c>
      <c r="AU15" s="22">
        <v>1.7746</v>
      </c>
      <c r="AV15">
        <f t="shared" si="8"/>
        <v>-35.058600000000006</v>
      </c>
      <c r="AW15">
        <f t="shared" si="9"/>
        <v>-62.220250350000015</v>
      </c>
      <c r="AX15" s="9"/>
      <c r="AY15" s="22">
        <v>-7.4768100000000004E-2</v>
      </c>
      <c r="AZ15" s="22">
        <v>519.70100000000002</v>
      </c>
      <c r="BA15" s="22">
        <v>-1.7120400000000001E-2</v>
      </c>
      <c r="BB15" s="22">
        <v>5</v>
      </c>
      <c r="BC15" s="22">
        <v>-7.5256299999999998E-2</v>
      </c>
      <c r="BD15">
        <f t="shared" si="10"/>
        <v>17.1204</v>
      </c>
      <c r="BE15">
        <f t="shared" si="11"/>
        <v>-1.2800597792400001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1.7066154545507173</v>
      </c>
      <c r="B16" s="19">
        <f>IFERROR(BD9,0)</f>
        <v>17.048433230426838</v>
      </c>
      <c r="C16" s="20">
        <f>IFERROR(BD4,0)</f>
        <v>0.76282152641376233</v>
      </c>
      <c r="D16" s="21">
        <f>IFERROR(BD2,0)</f>
        <v>22.194383564999999</v>
      </c>
      <c r="E16" s="21"/>
      <c r="F16" s="9"/>
      <c r="G16" s="22">
        <v>1.7697099999999999</v>
      </c>
      <c r="H16" s="22">
        <v>76.376499999999993</v>
      </c>
      <c r="I16" s="22">
        <v>6.6680899999999998E-3</v>
      </c>
      <c r="J16" s="22">
        <v>6</v>
      </c>
      <c r="K16" s="22">
        <v>1.7687999999999999</v>
      </c>
      <c r="L16">
        <f t="shared" si="0"/>
        <v>-6.6680899999999994</v>
      </c>
      <c r="M16">
        <f t="shared" si="1"/>
        <v>-11.800585553899998</v>
      </c>
      <c r="N16" s="9"/>
      <c r="O16" s="22">
        <v>-6.9732699999999995E-2</v>
      </c>
      <c r="P16" s="22">
        <v>170.34</v>
      </c>
      <c r="Q16" s="22">
        <v>-1.7215000000000001E-2</v>
      </c>
      <c r="R16" s="22">
        <v>6</v>
      </c>
      <c r="S16" s="22">
        <v>-7.03125E-2</v>
      </c>
      <c r="T16">
        <f t="shared" si="2"/>
        <v>17.215</v>
      </c>
      <c r="U16">
        <f t="shared" si="3"/>
        <v>-1.2004484304999998</v>
      </c>
      <c r="V16" s="23"/>
      <c r="W16" s="24"/>
      <c r="X16" s="9"/>
      <c r="Y16" s="22">
        <v>1.7697099999999999</v>
      </c>
      <c r="Z16" s="22">
        <v>288.10899999999998</v>
      </c>
      <c r="AA16" s="22">
        <v>2.62299E-2</v>
      </c>
      <c r="AB16" s="22">
        <v>6</v>
      </c>
      <c r="AC16" s="22">
        <v>1.7694099999999999</v>
      </c>
      <c r="AD16">
        <f t="shared" si="4"/>
        <v>-26.229900000000001</v>
      </c>
      <c r="AE16">
        <f t="shared" si="5"/>
        <v>-46.419316328999997</v>
      </c>
      <c r="AF16" s="9"/>
      <c r="AG16" s="22">
        <v>-6.9732699999999995E-2</v>
      </c>
      <c r="AH16" s="22">
        <v>353.47500000000002</v>
      </c>
      <c r="AI16" s="22">
        <v>-1.7160000000000002E-2</v>
      </c>
      <c r="AJ16" s="22">
        <v>6</v>
      </c>
      <c r="AK16" s="22">
        <v>-7.0220900000000003E-2</v>
      </c>
      <c r="AL16">
        <f t="shared" si="6"/>
        <v>17.16</v>
      </c>
      <c r="AM16">
        <f t="shared" si="7"/>
        <v>-1.196613132</v>
      </c>
      <c r="AP16" s="9"/>
      <c r="AQ16" s="22">
        <v>1.7697099999999999</v>
      </c>
      <c r="AR16" s="22">
        <v>442.77699999999999</v>
      </c>
      <c r="AS16" s="22">
        <v>3.3612099999999999E-2</v>
      </c>
      <c r="AT16" s="22">
        <v>6</v>
      </c>
      <c r="AU16" s="22">
        <v>1.7687999999999999</v>
      </c>
      <c r="AV16">
        <f t="shared" si="8"/>
        <v>-33.612099999999998</v>
      </c>
      <c r="AW16">
        <f t="shared" si="9"/>
        <v>-59.483669490999993</v>
      </c>
      <c r="AX16" s="9"/>
      <c r="AY16" s="22">
        <v>-6.9732699999999995E-2</v>
      </c>
      <c r="AZ16" s="22">
        <v>519.80200000000002</v>
      </c>
      <c r="BA16" s="22">
        <v>-1.7117299999999998E-2</v>
      </c>
      <c r="BB16" s="22">
        <v>6</v>
      </c>
      <c r="BC16" s="22">
        <v>-7.03125E-2</v>
      </c>
      <c r="BD16">
        <f t="shared" si="10"/>
        <v>17.1173</v>
      </c>
      <c r="BE16">
        <f t="shared" si="11"/>
        <v>-1.1936355457099999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76.477199999999996</v>
      </c>
      <c r="I17" s="22">
        <v>6.0760500000000004E-3</v>
      </c>
      <c r="J17" s="22">
        <v>7</v>
      </c>
      <c r="K17" s="22">
        <v>1.7639199999999999</v>
      </c>
      <c r="L17">
        <f t="shared" si="0"/>
        <v>-6.0760500000000004</v>
      </c>
      <c r="M17">
        <f t="shared" si="1"/>
        <v>-10.722283914</v>
      </c>
      <c r="N17" s="9"/>
      <c r="O17" s="22">
        <v>-6.4697299999999999E-2</v>
      </c>
      <c r="P17" s="22">
        <v>170.441</v>
      </c>
      <c r="Q17" s="22">
        <v>-1.7218000000000001E-2</v>
      </c>
      <c r="R17" s="22">
        <v>7</v>
      </c>
      <c r="S17" s="22">
        <v>-6.5063499999999996E-2</v>
      </c>
      <c r="T17">
        <f t="shared" si="2"/>
        <v>17.218</v>
      </c>
      <c r="U17">
        <f t="shared" si="3"/>
        <v>-1.1139581113999999</v>
      </c>
      <c r="V17" s="23"/>
      <c r="W17" s="24"/>
      <c r="X17" s="9"/>
      <c r="Y17" s="22">
        <v>1.76468</v>
      </c>
      <c r="Z17" s="22">
        <v>288.20999999999998</v>
      </c>
      <c r="AA17" s="22">
        <v>2.3821999999999999E-2</v>
      </c>
      <c r="AB17" s="22">
        <v>7</v>
      </c>
      <c r="AC17" s="22">
        <v>1.7642199999999999</v>
      </c>
      <c r="AD17">
        <f t="shared" si="4"/>
        <v>-23.821999999999999</v>
      </c>
      <c r="AE17">
        <f t="shared" si="5"/>
        <v>-42.038206959999997</v>
      </c>
      <c r="AF17" s="9"/>
      <c r="AG17" s="22">
        <v>-6.4697299999999999E-2</v>
      </c>
      <c r="AH17" s="22">
        <v>353.57600000000002</v>
      </c>
      <c r="AI17" s="22">
        <v>-1.71509E-2</v>
      </c>
      <c r="AJ17" s="22">
        <v>7</v>
      </c>
      <c r="AK17" s="22">
        <v>-6.5246600000000002E-2</v>
      </c>
      <c r="AL17">
        <f t="shared" si="6"/>
        <v>17.1509</v>
      </c>
      <c r="AM17">
        <f t="shared" si="7"/>
        <v>-1.1096169225699999</v>
      </c>
      <c r="AP17" s="9"/>
      <c r="AQ17" s="22">
        <v>1.76468</v>
      </c>
      <c r="AR17" s="22">
        <v>442.87700000000001</v>
      </c>
      <c r="AS17" s="22">
        <v>3.0456500000000001E-2</v>
      </c>
      <c r="AT17" s="22">
        <v>7</v>
      </c>
      <c r="AU17" s="22">
        <v>1.7639199999999999</v>
      </c>
      <c r="AV17">
        <f t="shared" si="8"/>
        <v>-30.456500000000002</v>
      </c>
      <c r="AW17">
        <f t="shared" si="9"/>
        <v>-53.745976420000005</v>
      </c>
      <c r="AX17" s="9"/>
      <c r="AY17" s="22">
        <v>-6.4697299999999999E-2</v>
      </c>
      <c r="AZ17" s="22">
        <v>519.90300000000002</v>
      </c>
      <c r="BA17" s="22">
        <v>-1.7102099999999999E-2</v>
      </c>
      <c r="BB17" s="22">
        <v>7</v>
      </c>
      <c r="BC17" s="22">
        <v>-6.5246600000000002E-2</v>
      </c>
      <c r="BD17">
        <f t="shared" si="10"/>
        <v>17.1021</v>
      </c>
      <c r="BE17">
        <f t="shared" si="11"/>
        <v>-1.10645969433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76.5779</v>
      </c>
      <c r="I18" s="22">
        <v>5.1391600000000003E-3</v>
      </c>
      <c r="J18" s="22">
        <v>8</v>
      </c>
      <c r="K18" s="22">
        <v>1.7593399999999999</v>
      </c>
      <c r="L18">
        <f t="shared" si="0"/>
        <v>-5.1391600000000004</v>
      </c>
      <c r="M18">
        <f t="shared" si="1"/>
        <v>-9.0430715024000019</v>
      </c>
      <c r="N18" s="9"/>
      <c r="O18" s="22">
        <v>-5.9661899999999997E-2</v>
      </c>
      <c r="P18" s="22">
        <v>170.542</v>
      </c>
      <c r="Q18" s="22">
        <v>-1.7202800000000001E-2</v>
      </c>
      <c r="R18" s="22">
        <v>8</v>
      </c>
      <c r="S18" s="22">
        <v>-6.0119600000000002E-2</v>
      </c>
      <c r="T18">
        <f t="shared" si="2"/>
        <v>17.2028</v>
      </c>
      <c r="U18">
        <f t="shared" si="3"/>
        <v>-1.0263517333199998</v>
      </c>
      <c r="V18" s="23"/>
      <c r="W18" s="24"/>
      <c r="X18" s="9"/>
      <c r="Y18" s="22">
        <v>1.7596400000000001</v>
      </c>
      <c r="Z18" s="22">
        <v>288.31</v>
      </c>
      <c r="AA18" s="22">
        <v>2.1530199999999999E-2</v>
      </c>
      <c r="AB18" s="22">
        <v>8</v>
      </c>
      <c r="AC18" s="22">
        <v>1.7593399999999999</v>
      </c>
      <c r="AD18">
        <f t="shared" si="4"/>
        <v>-21.530200000000001</v>
      </c>
      <c r="AE18">
        <f t="shared" si="5"/>
        <v>-37.885401128000005</v>
      </c>
      <c r="AF18" s="9"/>
      <c r="AG18" s="22">
        <v>-5.9661899999999997E-2</v>
      </c>
      <c r="AH18" s="22">
        <v>353.67700000000002</v>
      </c>
      <c r="AI18" s="22">
        <v>-1.7144800000000002E-2</v>
      </c>
      <c r="AJ18" s="22">
        <v>8</v>
      </c>
      <c r="AK18" s="22">
        <v>-6.0211199999999999E-2</v>
      </c>
      <c r="AL18">
        <f t="shared" si="6"/>
        <v>17.1448</v>
      </c>
      <c r="AM18">
        <f t="shared" si="7"/>
        <v>-1.02289134312</v>
      </c>
      <c r="AP18" s="9"/>
      <c r="AQ18" s="22">
        <v>1.7596400000000001</v>
      </c>
      <c r="AR18" s="22">
        <v>442.97800000000001</v>
      </c>
      <c r="AS18" s="22">
        <v>2.7749599999999999E-2</v>
      </c>
      <c r="AT18" s="22">
        <v>8</v>
      </c>
      <c r="AU18" s="22">
        <v>1.7590300000000001</v>
      </c>
      <c r="AV18">
        <f t="shared" si="8"/>
        <v>-27.749600000000001</v>
      </c>
      <c r="AW18">
        <f t="shared" si="9"/>
        <v>-48.829306144000007</v>
      </c>
      <c r="AX18" s="9"/>
      <c r="AY18" s="22">
        <v>-5.9661899999999997E-2</v>
      </c>
      <c r="AZ18" s="22">
        <v>520.00300000000004</v>
      </c>
      <c r="BA18" s="22">
        <v>-1.7095900000000001E-2</v>
      </c>
      <c r="BB18" s="22">
        <v>8</v>
      </c>
      <c r="BC18" s="22">
        <v>-6.0150099999999998E-2</v>
      </c>
      <c r="BD18">
        <f t="shared" si="10"/>
        <v>17.0959</v>
      </c>
      <c r="BE18">
        <f t="shared" si="11"/>
        <v>-1.0199738762099999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76.678600000000003</v>
      </c>
      <c r="I19" s="22">
        <v>4.1421499999999998E-3</v>
      </c>
      <c r="J19" s="22">
        <v>9</v>
      </c>
      <c r="K19" s="22">
        <v>1.7547600000000001</v>
      </c>
      <c r="L19">
        <f t="shared" si="0"/>
        <v>-4.14215</v>
      </c>
      <c r="M19">
        <f t="shared" si="1"/>
        <v>-7.2678578114999999</v>
      </c>
      <c r="N19" s="9"/>
      <c r="O19" s="22">
        <v>-5.4626500000000001E-2</v>
      </c>
      <c r="P19" s="22">
        <v>170.642</v>
      </c>
      <c r="Q19" s="22">
        <v>-1.71936E-2</v>
      </c>
      <c r="R19" s="22">
        <v>9</v>
      </c>
      <c r="S19" s="22">
        <v>-5.5114700000000003E-2</v>
      </c>
      <c r="T19">
        <f t="shared" si="2"/>
        <v>17.1936</v>
      </c>
      <c r="U19">
        <f t="shared" si="3"/>
        <v>-0.93922619039999999</v>
      </c>
      <c r="V19" s="23"/>
      <c r="W19" s="24"/>
      <c r="X19" s="9"/>
      <c r="Y19" s="22">
        <v>1.75461</v>
      </c>
      <c r="Z19" s="22">
        <v>288.411</v>
      </c>
      <c r="AA19" s="22">
        <v>1.86401E-2</v>
      </c>
      <c r="AB19" s="22">
        <v>9</v>
      </c>
      <c r="AC19" s="22">
        <v>1.7535400000000001</v>
      </c>
      <c r="AD19">
        <f t="shared" si="4"/>
        <v>-18.6401</v>
      </c>
      <c r="AE19">
        <f t="shared" si="5"/>
        <v>-32.706105860999998</v>
      </c>
      <c r="AF19" s="9"/>
      <c r="AG19" s="22">
        <v>-5.4626500000000001E-2</v>
      </c>
      <c r="AH19" s="22">
        <v>353.77699999999999</v>
      </c>
      <c r="AI19" s="22">
        <v>-1.7144800000000002E-2</v>
      </c>
      <c r="AJ19" s="22">
        <v>9</v>
      </c>
      <c r="AK19" s="22">
        <v>-5.5145300000000001E-2</v>
      </c>
      <c r="AL19">
        <f t="shared" si="6"/>
        <v>17.1448</v>
      </c>
      <c r="AM19">
        <f t="shared" si="7"/>
        <v>-0.93656041720000005</v>
      </c>
      <c r="AP19" s="9"/>
      <c r="AQ19" s="22">
        <v>1.75461</v>
      </c>
      <c r="AR19" s="22">
        <v>443.07900000000001</v>
      </c>
      <c r="AS19" s="22">
        <v>2.4630699999999998E-2</v>
      </c>
      <c r="AT19" s="22">
        <v>9</v>
      </c>
      <c r="AU19" s="22">
        <v>1.7541500000000001</v>
      </c>
      <c r="AV19">
        <f t="shared" si="8"/>
        <v>-24.630699999999997</v>
      </c>
      <c r="AW19">
        <f t="shared" si="9"/>
        <v>-43.217272526999999</v>
      </c>
      <c r="AX19" s="9"/>
      <c r="AY19" s="22">
        <v>-5.4626500000000001E-2</v>
      </c>
      <c r="AZ19" s="22">
        <v>520.10400000000004</v>
      </c>
      <c r="BA19" s="22">
        <v>-1.7086799999999999E-2</v>
      </c>
      <c r="BB19" s="22">
        <v>9</v>
      </c>
      <c r="BC19" s="22">
        <v>-5.5145300000000001E-2</v>
      </c>
      <c r="BD19">
        <f t="shared" si="10"/>
        <v>17.0868</v>
      </c>
      <c r="BE19">
        <f t="shared" si="11"/>
        <v>-0.93339208020000008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76.779300000000006</v>
      </c>
      <c r="I20" s="22">
        <v>3.1314099999999998E-3</v>
      </c>
      <c r="J20" s="22">
        <v>10</v>
      </c>
      <c r="K20" s="22">
        <v>1.7489600000000001</v>
      </c>
      <c r="L20">
        <f t="shared" si="0"/>
        <v>-3.1314099999999998</v>
      </c>
      <c r="M20">
        <f t="shared" si="1"/>
        <v>-5.4786209936999999</v>
      </c>
      <c r="N20" s="9"/>
      <c r="O20" s="22">
        <v>-4.9591099999999999E-2</v>
      </c>
      <c r="P20" s="22">
        <v>170.74299999999999</v>
      </c>
      <c r="Q20" s="22">
        <v>-1.7187500000000001E-2</v>
      </c>
      <c r="R20" s="22">
        <v>10</v>
      </c>
      <c r="S20" s="22">
        <v>-5.00793E-2</v>
      </c>
      <c r="T20">
        <f t="shared" si="2"/>
        <v>17.1875</v>
      </c>
      <c r="U20">
        <f t="shared" si="3"/>
        <v>-0.85234703125</v>
      </c>
      <c r="V20" s="23"/>
      <c r="W20" s="24"/>
      <c r="X20" s="9"/>
      <c r="Y20" s="22">
        <v>1.7495700000000001</v>
      </c>
      <c r="Z20" s="22">
        <v>288.512</v>
      </c>
      <c r="AA20" s="22">
        <v>1.7388899999999999E-2</v>
      </c>
      <c r="AB20" s="22">
        <v>10</v>
      </c>
      <c r="AC20" s="22">
        <v>1.7495700000000001</v>
      </c>
      <c r="AD20">
        <f t="shared" si="4"/>
        <v>-17.3889</v>
      </c>
      <c r="AE20">
        <f t="shared" si="5"/>
        <v>-30.423097773000002</v>
      </c>
      <c r="AF20" s="9"/>
      <c r="AG20" s="22">
        <v>-4.9591099999999999E-2</v>
      </c>
      <c r="AH20" s="22">
        <v>353.87799999999999</v>
      </c>
      <c r="AI20" s="22">
        <v>-1.7132600000000001E-2</v>
      </c>
      <c r="AJ20" s="22">
        <v>10</v>
      </c>
      <c r="AK20" s="22">
        <v>-5.0018300000000002E-2</v>
      </c>
      <c r="AL20">
        <f t="shared" si="6"/>
        <v>17.1326</v>
      </c>
      <c r="AM20">
        <f t="shared" si="7"/>
        <v>-0.84962447986</v>
      </c>
      <c r="AP20" s="9"/>
      <c r="AQ20" s="22">
        <v>1.7495700000000001</v>
      </c>
      <c r="AR20" s="22">
        <v>443.17899999999997</v>
      </c>
      <c r="AS20" s="22">
        <v>2.16919E-2</v>
      </c>
      <c r="AT20" s="22">
        <v>10</v>
      </c>
      <c r="AU20" s="22">
        <v>1.7489600000000001</v>
      </c>
      <c r="AV20">
        <f t="shared" si="8"/>
        <v>-21.6919</v>
      </c>
      <c r="AW20">
        <f t="shared" si="9"/>
        <v>-37.951497483000004</v>
      </c>
      <c r="AX20" s="9"/>
      <c r="AY20" s="22">
        <v>-4.9591099999999999E-2</v>
      </c>
      <c r="AZ20" s="22">
        <v>520.20500000000004</v>
      </c>
      <c r="BA20" s="22">
        <v>-1.7065400000000001E-2</v>
      </c>
      <c r="BB20" s="22">
        <v>10</v>
      </c>
      <c r="BC20" s="22">
        <v>-5.00793E-2</v>
      </c>
      <c r="BD20">
        <f t="shared" si="10"/>
        <v>17.0654</v>
      </c>
      <c r="BE20">
        <f t="shared" si="11"/>
        <v>-0.84629195794000001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76.880099999999999</v>
      </c>
      <c r="I21" s="22">
        <v>2.0394900000000001E-3</v>
      </c>
      <c r="J21" s="22">
        <v>11</v>
      </c>
      <c r="K21" s="22">
        <v>1.74438</v>
      </c>
      <c r="L21">
        <f t="shared" si="0"/>
        <v>-2.0394900000000002</v>
      </c>
      <c r="M21">
        <f t="shared" si="1"/>
        <v>-3.5579718846000006</v>
      </c>
      <c r="N21" s="9"/>
      <c r="O21" s="22">
        <v>-4.4555699999999997E-2</v>
      </c>
      <c r="P21" s="22">
        <v>170.84399999999999</v>
      </c>
      <c r="Q21" s="22">
        <v>-1.7199699999999998E-2</v>
      </c>
      <c r="R21" s="22">
        <v>11</v>
      </c>
      <c r="S21" s="22">
        <v>-4.4784499999999998E-2</v>
      </c>
      <c r="T21">
        <f t="shared" si="2"/>
        <v>17.1997</v>
      </c>
      <c r="U21">
        <f t="shared" si="3"/>
        <v>-0.76634467328999989</v>
      </c>
      <c r="V21" s="23"/>
      <c r="W21" s="24"/>
      <c r="X21" s="9"/>
      <c r="Y21" s="22">
        <v>1.74454</v>
      </c>
      <c r="Z21" s="22">
        <v>288.613</v>
      </c>
      <c r="AA21" s="22">
        <v>1.5069600000000001E-2</v>
      </c>
      <c r="AB21" s="22">
        <v>11</v>
      </c>
      <c r="AC21" s="22">
        <v>1.74316</v>
      </c>
      <c r="AD21">
        <f t="shared" si="4"/>
        <v>-15.069600000000001</v>
      </c>
      <c r="AE21">
        <f t="shared" si="5"/>
        <v>-26.289519984000002</v>
      </c>
      <c r="AF21" s="9"/>
      <c r="AG21" s="22">
        <v>-4.4555699999999997E-2</v>
      </c>
      <c r="AH21" s="22">
        <v>353.97899999999998</v>
      </c>
      <c r="AI21" s="22">
        <v>-1.7144800000000002E-2</v>
      </c>
      <c r="AJ21" s="22">
        <v>11</v>
      </c>
      <c r="AK21" s="22">
        <v>-4.4882199999999997E-2</v>
      </c>
      <c r="AL21">
        <f t="shared" si="6"/>
        <v>17.1448</v>
      </c>
      <c r="AM21">
        <f t="shared" si="7"/>
        <v>-0.76389856535999989</v>
      </c>
      <c r="AP21" s="9"/>
      <c r="AQ21" s="22">
        <v>1.74454</v>
      </c>
      <c r="AR21" s="22">
        <v>443.28</v>
      </c>
      <c r="AS21" s="22">
        <v>1.8920900000000001E-2</v>
      </c>
      <c r="AT21" s="22">
        <v>11</v>
      </c>
      <c r="AU21" s="22">
        <v>1.74438</v>
      </c>
      <c r="AV21">
        <f t="shared" si="8"/>
        <v>-18.9209</v>
      </c>
      <c r="AW21">
        <f t="shared" si="9"/>
        <v>-33.008266886000001</v>
      </c>
      <c r="AX21" s="9"/>
      <c r="AY21" s="22">
        <v>-4.4555699999999997E-2</v>
      </c>
      <c r="AZ21" s="22">
        <v>520.30499999999995</v>
      </c>
      <c r="BA21" s="22">
        <v>-1.70715E-2</v>
      </c>
      <c r="BB21" s="22">
        <v>11</v>
      </c>
      <c r="BC21" s="22">
        <v>-4.48029E-2</v>
      </c>
      <c r="BD21">
        <f t="shared" si="10"/>
        <v>17.0715</v>
      </c>
      <c r="BE21">
        <f t="shared" si="11"/>
        <v>-0.76063263254999991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76.980800000000002</v>
      </c>
      <c r="I22" s="22">
        <v>1.2634300000000001E-3</v>
      </c>
      <c r="J22" s="22">
        <v>12</v>
      </c>
      <c r="K22" s="22">
        <v>1.7385900000000001</v>
      </c>
      <c r="L22">
        <f t="shared" si="0"/>
        <v>-1.2634300000000001</v>
      </c>
      <c r="M22">
        <f t="shared" si="1"/>
        <v>-2.1977364850000001</v>
      </c>
      <c r="N22" s="9"/>
      <c r="O22" s="22">
        <v>-3.9520300000000001E-2</v>
      </c>
      <c r="P22" s="22">
        <v>170.94399999999999</v>
      </c>
      <c r="Q22" s="22">
        <v>-1.7199699999999998E-2</v>
      </c>
      <c r="R22" s="22">
        <v>12</v>
      </c>
      <c r="S22" s="22">
        <v>-3.9776600000000002E-2</v>
      </c>
      <c r="T22">
        <f t="shared" si="2"/>
        <v>17.1997</v>
      </c>
      <c r="U22">
        <f t="shared" si="3"/>
        <v>-0.67973730390999998</v>
      </c>
      <c r="V22" s="23"/>
      <c r="W22" s="24"/>
      <c r="X22" s="9"/>
      <c r="Y22" s="22">
        <v>1.7395</v>
      </c>
      <c r="Z22" s="22">
        <v>288.71300000000002</v>
      </c>
      <c r="AA22" s="22">
        <v>1.3382E-2</v>
      </c>
      <c r="AB22" s="22">
        <v>12</v>
      </c>
      <c r="AC22" s="22">
        <v>1.7385900000000001</v>
      </c>
      <c r="AD22">
        <f t="shared" si="4"/>
        <v>-13.382</v>
      </c>
      <c r="AE22">
        <f t="shared" si="5"/>
        <v>-23.277989000000002</v>
      </c>
      <c r="AF22" s="9"/>
      <c r="AG22" s="22">
        <v>-3.9520300000000001E-2</v>
      </c>
      <c r="AH22" s="22">
        <v>354.07900000000001</v>
      </c>
      <c r="AI22" s="22">
        <v>-1.7135600000000001E-2</v>
      </c>
      <c r="AJ22" s="22">
        <v>12</v>
      </c>
      <c r="AK22" s="22">
        <v>-3.98926E-2</v>
      </c>
      <c r="AL22">
        <f t="shared" si="6"/>
        <v>17.1356</v>
      </c>
      <c r="AM22">
        <f t="shared" si="7"/>
        <v>-0.67720405268000006</v>
      </c>
      <c r="AP22" s="9"/>
      <c r="AQ22" s="22">
        <v>1.7395</v>
      </c>
      <c r="AR22" s="22">
        <v>443.38099999999997</v>
      </c>
      <c r="AS22" s="22">
        <v>1.5908800000000001E-2</v>
      </c>
      <c r="AT22" s="22">
        <v>12</v>
      </c>
      <c r="AU22" s="22">
        <v>1.73889</v>
      </c>
      <c r="AV22">
        <f t="shared" si="8"/>
        <v>-15.908800000000001</v>
      </c>
      <c r="AW22">
        <f t="shared" si="9"/>
        <v>-27.673357600000003</v>
      </c>
      <c r="AX22" s="9"/>
      <c r="AY22" s="22">
        <v>-3.9520300000000001E-2</v>
      </c>
      <c r="AZ22" s="22">
        <v>520.40599999999995</v>
      </c>
      <c r="BA22" s="22">
        <v>-1.7074599999999999E-2</v>
      </c>
      <c r="BB22" s="22">
        <v>12</v>
      </c>
      <c r="BC22" s="22">
        <v>-3.9868199999999999E-2</v>
      </c>
      <c r="BD22">
        <f t="shared" si="10"/>
        <v>17.0746</v>
      </c>
      <c r="BE22">
        <f t="shared" si="11"/>
        <v>-0.67479331438000001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77.081500000000005</v>
      </c>
      <c r="I23" s="22">
        <v>4.6264599999999999E-4</v>
      </c>
      <c r="J23" s="22">
        <v>13</v>
      </c>
      <c r="K23" s="22">
        <v>1.7334000000000001</v>
      </c>
      <c r="L23">
        <f t="shared" si="0"/>
        <v>-0.462646</v>
      </c>
      <c r="M23">
        <f t="shared" si="1"/>
        <v>-0.80244560761999995</v>
      </c>
      <c r="N23" s="9"/>
      <c r="O23" s="22">
        <v>-3.4484899999999999E-2</v>
      </c>
      <c r="P23" s="22">
        <v>171.04499999999999</v>
      </c>
      <c r="Q23" s="22">
        <v>-1.7178300000000001E-2</v>
      </c>
      <c r="R23" s="22">
        <v>13</v>
      </c>
      <c r="S23" s="22">
        <v>-3.4738199999999997E-2</v>
      </c>
      <c r="T23">
        <f t="shared" si="2"/>
        <v>17.1783</v>
      </c>
      <c r="U23">
        <f t="shared" si="3"/>
        <v>-0.59239195766999997</v>
      </c>
      <c r="V23" s="23"/>
      <c r="W23" s="24"/>
      <c r="X23" s="9"/>
      <c r="Y23" s="22">
        <v>1.73447</v>
      </c>
      <c r="Z23" s="22">
        <v>288.81400000000002</v>
      </c>
      <c r="AA23" s="22">
        <v>1.0617100000000001E-2</v>
      </c>
      <c r="AB23" s="22">
        <v>13</v>
      </c>
      <c r="AC23" s="22">
        <v>1.7340100000000001</v>
      </c>
      <c r="AD23">
        <f t="shared" si="4"/>
        <v>-10.617100000000001</v>
      </c>
      <c r="AE23">
        <f t="shared" si="5"/>
        <v>-18.415041436999999</v>
      </c>
      <c r="AF23" s="9"/>
      <c r="AG23" s="22">
        <v>-3.4484899999999999E-2</v>
      </c>
      <c r="AH23" s="22">
        <v>354.18</v>
      </c>
      <c r="AI23" s="22">
        <v>-1.71539E-2</v>
      </c>
      <c r="AJ23" s="22">
        <v>13</v>
      </c>
      <c r="AK23" s="22">
        <v>-3.47839E-2</v>
      </c>
      <c r="AL23">
        <f t="shared" si="6"/>
        <v>17.1539</v>
      </c>
      <c r="AM23">
        <f t="shared" si="7"/>
        <v>-0.59155052611000003</v>
      </c>
      <c r="AP23" s="9"/>
      <c r="AQ23" s="22">
        <v>1.73447</v>
      </c>
      <c r="AR23" s="22">
        <v>443.48200000000003</v>
      </c>
      <c r="AS23" s="22">
        <v>1.36688E-2</v>
      </c>
      <c r="AT23" s="22">
        <v>13</v>
      </c>
      <c r="AU23" s="22">
        <v>1.7340100000000001</v>
      </c>
      <c r="AV23">
        <f t="shared" si="8"/>
        <v>-13.668799999999999</v>
      </c>
      <c r="AW23">
        <f t="shared" si="9"/>
        <v>-23.708123535999999</v>
      </c>
      <c r="AX23" s="9"/>
      <c r="AY23" s="22">
        <v>-3.4484899999999999E-2</v>
      </c>
      <c r="AZ23" s="22">
        <v>520.50699999999995</v>
      </c>
      <c r="BA23" s="22">
        <v>-1.7074599999999999E-2</v>
      </c>
      <c r="BB23" s="22">
        <v>13</v>
      </c>
      <c r="BC23" s="22">
        <v>-3.4796100000000003E-2</v>
      </c>
      <c r="BD23">
        <f t="shared" si="10"/>
        <v>17.0746</v>
      </c>
      <c r="BE23">
        <f t="shared" si="11"/>
        <v>-0.58881587353999998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77.182199999999995</v>
      </c>
      <c r="I24" s="22">
        <v>-3.51288E-4</v>
      </c>
      <c r="J24" s="22">
        <v>14</v>
      </c>
      <c r="K24" s="22">
        <v>1.7291300000000001</v>
      </c>
      <c r="L24">
        <f t="shared" si="0"/>
        <v>0.35128799999999999</v>
      </c>
      <c r="M24">
        <f t="shared" si="1"/>
        <v>0.60752800584</v>
      </c>
      <c r="N24" s="9"/>
      <c r="O24" s="22">
        <v>-2.94495E-2</v>
      </c>
      <c r="P24" s="22">
        <v>171.14599999999999</v>
      </c>
      <c r="Q24" s="22">
        <v>-1.7181399999999999E-2</v>
      </c>
      <c r="R24" s="22">
        <v>14</v>
      </c>
      <c r="S24" s="22">
        <v>-2.9727199999999999E-2</v>
      </c>
      <c r="T24">
        <f t="shared" si="2"/>
        <v>17.1814</v>
      </c>
      <c r="U24">
        <f t="shared" si="3"/>
        <v>-0.50598363930000001</v>
      </c>
      <c r="V24" s="23"/>
      <c r="W24" s="24"/>
      <c r="X24" s="9"/>
      <c r="Y24" s="22">
        <v>1.72943</v>
      </c>
      <c r="Z24" s="22">
        <v>288.91500000000002</v>
      </c>
      <c r="AA24" s="22">
        <v>8.7249800000000002E-3</v>
      </c>
      <c r="AB24" s="22">
        <v>14</v>
      </c>
      <c r="AC24" s="22">
        <v>1.7285200000000001</v>
      </c>
      <c r="AD24">
        <f t="shared" si="4"/>
        <v>-8.7249800000000004</v>
      </c>
      <c r="AE24">
        <f t="shared" si="5"/>
        <v>-15.089242161400001</v>
      </c>
      <c r="AF24" s="9"/>
      <c r="AG24" s="22">
        <v>-2.94495E-2</v>
      </c>
      <c r="AH24" s="22">
        <v>354.28100000000001</v>
      </c>
      <c r="AI24" s="22">
        <v>-1.71509E-2</v>
      </c>
      <c r="AJ24" s="22">
        <v>14</v>
      </c>
      <c r="AK24" s="22">
        <v>-2.9699699999999999E-2</v>
      </c>
      <c r="AL24">
        <f t="shared" si="6"/>
        <v>17.1509</v>
      </c>
      <c r="AM24">
        <f t="shared" si="7"/>
        <v>-0.50508542955000002</v>
      </c>
      <c r="AP24" s="9"/>
      <c r="AQ24" s="22">
        <v>1.72943</v>
      </c>
      <c r="AR24" s="22">
        <v>443.58199999999999</v>
      </c>
      <c r="AS24" s="22">
        <v>1.1285399999999999E-2</v>
      </c>
      <c r="AT24" s="22">
        <v>14</v>
      </c>
      <c r="AU24" s="22">
        <v>1.7285200000000001</v>
      </c>
      <c r="AV24">
        <f t="shared" si="8"/>
        <v>-11.285399999999999</v>
      </c>
      <c r="AW24">
        <f t="shared" si="9"/>
        <v>-19.517309321999999</v>
      </c>
      <c r="AX24" s="9"/>
      <c r="AY24" s="22">
        <v>-2.94495E-2</v>
      </c>
      <c r="AZ24" s="22">
        <v>520.60799999999995</v>
      </c>
      <c r="BA24" s="22">
        <v>-1.7059299999999999E-2</v>
      </c>
      <c r="BB24" s="22">
        <v>14</v>
      </c>
      <c r="BC24" s="22">
        <v>-2.9843100000000001E-2</v>
      </c>
      <c r="BD24">
        <f t="shared" si="10"/>
        <v>17.0593</v>
      </c>
      <c r="BE24">
        <f t="shared" si="11"/>
        <v>-0.50238785534999997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77.282899999999998</v>
      </c>
      <c r="I25" s="22">
        <v>-1.2268100000000001E-3</v>
      </c>
      <c r="J25" s="22">
        <v>15</v>
      </c>
      <c r="K25" s="22">
        <v>1.72333</v>
      </c>
      <c r="L25">
        <f t="shared" si="0"/>
        <v>1.22681</v>
      </c>
      <c r="M25">
        <f t="shared" si="1"/>
        <v>2.1155111639999999</v>
      </c>
      <c r="N25" s="9"/>
      <c r="O25" s="22">
        <v>-2.4414100000000001E-2</v>
      </c>
      <c r="P25" s="22">
        <v>171.24600000000001</v>
      </c>
      <c r="Q25" s="22">
        <v>-1.71936E-2</v>
      </c>
      <c r="R25" s="22">
        <v>15</v>
      </c>
      <c r="S25" s="22">
        <v>-2.4694799999999999E-2</v>
      </c>
      <c r="T25">
        <f t="shared" si="2"/>
        <v>17.1936</v>
      </c>
      <c r="U25">
        <f t="shared" si="3"/>
        <v>-0.41976626976000003</v>
      </c>
      <c r="V25" s="23"/>
      <c r="W25" s="24"/>
      <c r="X25" s="9"/>
      <c r="Y25" s="22">
        <v>1.7243999999999999</v>
      </c>
      <c r="Z25" s="22">
        <v>289.01499999999999</v>
      </c>
      <c r="AA25" s="22">
        <v>6.9763200000000003E-3</v>
      </c>
      <c r="AB25" s="22">
        <v>15</v>
      </c>
      <c r="AC25" s="22">
        <v>1.72394</v>
      </c>
      <c r="AD25">
        <f t="shared" si="4"/>
        <v>-6.9763200000000003</v>
      </c>
      <c r="AE25">
        <f t="shared" si="5"/>
        <v>-12.029966207999999</v>
      </c>
      <c r="AF25" s="9"/>
      <c r="AG25" s="22">
        <v>-2.4414100000000001E-2</v>
      </c>
      <c r="AH25" s="22">
        <v>354.38200000000001</v>
      </c>
      <c r="AI25" s="22">
        <v>-1.71387E-2</v>
      </c>
      <c r="AJ25" s="22">
        <v>15</v>
      </c>
      <c r="AK25" s="22">
        <v>-2.4673500000000001E-2</v>
      </c>
      <c r="AL25">
        <f t="shared" si="6"/>
        <v>17.1387</v>
      </c>
      <c r="AM25">
        <f t="shared" si="7"/>
        <v>-0.41842593567000003</v>
      </c>
      <c r="AP25" s="9"/>
      <c r="AQ25" s="22">
        <v>1.7243999999999999</v>
      </c>
      <c r="AR25" s="22">
        <v>443.68299999999999</v>
      </c>
      <c r="AS25" s="22">
        <v>9.7259500000000006E-3</v>
      </c>
      <c r="AT25" s="22">
        <v>15</v>
      </c>
      <c r="AU25" s="22">
        <v>1.72363</v>
      </c>
      <c r="AV25">
        <f t="shared" si="8"/>
        <v>-9.725950000000001</v>
      </c>
      <c r="AW25">
        <f t="shared" si="9"/>
        <v>-16.771428180000001</v>
      </c>
      <c r="AX25" s="9"/>
      <c r="AY25" s="22">
        <v>-2.4414100000000001E-2</v>
      </c>
      <c r="AZ25" s="22">
        <v>520.70799999999997</v>
      </c>
      <c r="BA25" s="22">
        <v>-1.7065400000000001E-2</v>
      </c>
      <c r="BB25" s="22">
        <v>15</v>
      </c>
      <c r="BC25" s="22">
        <v>-2.4700900000000001E-2</v>
      </c>
      <c r="BD25">
        <f t="shared" si="10"/>
        <v>17.0654</v>
      </c>
      <c r="BE25">
        <f t="shared" si="11"/>
        <v>-0.41663638214000004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77.383600000000001</v>
      </c>
      <c r="I26" s="22">
        <v>-2.5412E-3</v>
      </c>
      <c r="J26" s="22">
        <v>16</v>
      </c>
      <c r="K26" s="22">
        <v>1.71814</v>
      </c>
      <c r="L26">
        <f t="shared" si="0"/>
        <v>2.5411999999999999</v>
      </c>
      <c r="M26">
        <f t="shared" si="1"/>
        <v>4.3692376319999999</v>
      </c>
      <c r="N26" s="9"/>
      <c r="O26" s="22">
        <v>-1.9378699999999999E-2</v>
      </c>
      <c r="P26" s="22">
        <v>171.34700000000001</v>
      </c>
      <c r="Q26" s="22">
        <v>-1.7181399999999999E-2</v>
      </c>
      <c r="R26" s="22">
        <v>16</v>
      </c>
      <c r="S26" s="22">
        <v>-1.9570899999999999E-2</v>
      </c>
      <c r="T26">
        <f t="shared" si="2"/>
        <v>17.1814</v>
      </c>
      <c r="U26">
        <f t="shared" si="3"/>
        <v>-0.33295319617999997</v>
      </c>
      <c r="V26" s="23"/>
      <c r="W26" s="24"/>
      <c r="X26" s="9"/>
      <c r="Y26" s="22">
        <v>1.71936</v>
      </c>
      <c r="Z26" s="22">
        <v>289.11599999999999</v>
      </c>
      <c r="AA26" s="22">
        <v>5.9051499999999996E-3</v>
      </c>
      <c r="AB26" s="22">
        <v>16</v>
      </c>
      <c r="AC26" s="22">
        <v>1.71844</v>
      </c>
      <c r="AD26">
        <f t="shared" si="4"/>
        <v>-5.9051499999999999</v>
      </c>
      <c r="AE26">
        <f t="shared" si="5"/>
        <v>-10.153078704</v>
      </c>
      <c r="AF26" s="9"/>
      <c r="AG26" s="22">
        <v>-1.9378699999999999E-2</v>
      </c>
      <c r="AH26" s="22">
        <v>354.48200000000003</v>
      </c>
      <c r="AI26" s="22">
        <v>-1.7144800000000002E-2</v>
      </c>
      <c r="AJ26" s="22">
        <v>16</v>
      </c>
      <c r="AK26" s="22">
        <v>-1.9720499999999998E-2</v>
      </c>
      <c r="AL26">
        <f t="shared" si="6"/>
        <v>17.1448</v>
      </c>
      <c r="AM26">
        <f t="shared" si="7"/>
        <v>-0.33224393576</v>
      </c>
      <c r="AP26" s="9"/>
      <c r="AQ26" s="22">
        <v>1.71936</v>
      </c>
      <c r="AR26" s="22">
        <v>443.78399999999999</v>
      </c>
      <c r="AS26" s="22">
        <v>7.7606200000000002E-3</v>
      </c>
      <c r="AT26" s="22">
        <v>16</v>
      </c>
      <c r="AU26" s="22">
        <v>1.71906</v>
      </c>
      <c r="AV26">
        <f t="shared" si="8"/>
        <v>-7.7606200000000003</v>
      </c>
      <c r="AW26">
        <f t="shared" si="9"/>
        <v>-13.3432996032</v>
      </c>
      <c r="AX26" s="9"/>
      <c r="AY26" s="22">
        <v>-1.9378699999999999E-2</v>
      </c>
      <c r="AZ26" s="22">
        <v>520.80899999999997</v>
      </c>
      <c r="BA26" s="22">
        <v>-1.7059299999999999E-2</v>
      </c>
      <c r="BB26" s="22">
        <v>16</v>
      </c>
      <c r="BC26" s="22">
        <v>-1.96594E-2</v>
      </c>
      <c r="BD26">
        <f t="shared" si="10"/>
        <v>17.0593</v>
      </c>
      <c r="BE26">
        <f t="shared" si="11"/>
        <v>-0.33058705691000001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77.484300000000005</v>
      </c>
      <c r="I27" s="22">
        <v>-3.1622299999999998E-3</v>
      </c>
      <c r="J27" s="22">
        <v>17</v>
      </c>
      <c r="K27" s="22">
        <v>1.71295</v>
      </c>
      <c r="L27">
        <f t="shared" si="0"/>
        <v>3.1622299999999997</v>
      </c>
      <c r="M27">
        <f t="shared" si="1"/>
        <v>5.4210741335999995</v>
      </c>
      <c r="N27" s="9"/>
      <c r="O27" s="22">
        <v>-1.43433E-2</v>
      </c>
      <c r="P27" s="22">
        <v>171.44800000000001</v>
      </c>
      <c r="Q27" s="22">
        <v>-1.7178300000000001E-2</v>
      </c>
      <c r="R27" s="22">
        <v>17</v>
      </c>
      <c r="S27" s="22">
        <v>-1.45752E-2</v>
      </c>
      <c r="T27">
        <f t="shared" si="2"/>
        <v>17.1783</v>
      </c>
      <c r="U27">
        <f t="shared" si="3"/>
        <v>-0.24639351038999999</v>
      </c>
      <c r="X27" s="9"/>
      <c r="Y27" s="22">
        <v>1.7143200000000001</v>
      </c>
      <c r="Z27" s="22">
        <v>289.21699999999998</v>
      </c>
      <c r="AA27" s="22">
        <v>5.0292999999999996E-3</v>
      </c>
      <c r="AB27" s="22">
        <v>17</v>
      </c>
      <c r="AC27" s="22">
        <v>1.71356</v>
      </c>
      <c r="AD27">
        <f t="shared" si="4"/>
        <v>-5.0292999999999992</v>
      </c>
      <c r="AE27">
        <f t="shared" si="5"/>
        <v>-8.6218295759999997</v>
      </c>
      <c r="AF27" s="9"/>
      <c r="AG27" s="22">
        <v>-1.43433E-2</v>
      </c>
      <c r="AH27" s="22">
        <v>354.58300000000003</v>
      </c>
      <c r="AI27" s="22">
        <v>-1.7129499999999999E-2</v>
      </c>
      <c r="AJ27" s="22">
        <v>17</v>
      </c>
      <c r="AK27" s="22">
        <v>-1.4556899999999999E-2</v>
      </c>
      <c r="AL27">
        <f t="shared" si="6"/>
        <v>17.1295</v>
      </c>
      <c r="AM27">
        <f t="shared" si="7"/>
        <v>-0.24569355735000001</v>
      </c>
      <c r="AP27" s="9"/>
      <c r="AQ27" s="22">
        <v>1.7143200000000001</v>
      </c>
      <c r="AR27" s="22">
        <v>443.88400000000001</v>
      </c>
      <c r="AS27" s="22">
        <v>5.6579600000000001E-3</v>
      </c>
      <c r="AT27" s="22">
        <v>17</v>
      </c>
      <c r="AU27" s="22">
        <v>1.71356</v>
      </c>
      <c r="AV27">
        <f t="shared" si="8"/>
        <v>-5.6579600000000001</v>
      </c>
      <c r="AW27">
        <f t="shared" si="9"/>
        <v>-9.6995539871999998</v>
      </c>
      <c r="AX27" s="9"/>
      <c r="AY27" s="22">
        <v>-1.43433E-2</v>
      </c>
      <c r="AZ27" s="22">
        <v>520.91</v>
      </c>
      <c r="BA27" s="22">
        <v>-1.70441E-2</v>
      </c>
      <c r="BB27" s="22">
        <v>17</v>
      </c>
      <c r="BC27" s="22">
        <v>-1.4550799999999999E-2</v>
      </c>
      <c r="BD27">
        <f t="shared" si="10"/>
        <v>17.0441</v>
      </c>
      <c r="BE27">
        <f t="shared" si="11"/>
        <v>-0.24446863953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77.584999999999994</v>
      </c>
      <c r="I28" s="22">
        <v>-3.84125E-3</v>
      </c>
      <c r="J28" s="22">
        <v>18</v>
      </c>
      <c r="K28" s="22">
        <v>1.7083699999999999</v>
      </c>
      <c r="L28">
        <f t="shared" si="0"/>
        <v>3.8412500000000001</v>
      </c>
      <c r="M28">
        <f t="shared" si="1"/>
        <v>6.5658102124999997</v>
      </c>
      <c r="N28" s="9"/>
      <c r="O28" s="22">
        <v>-9.3078599999999994E-3</v>
      </c>
      <c r="P28" s="22">
        <v>171.54900000000001</v>
      </c>
      <c r="Q28" s="22">
        <v>-1.7172199999999999E-2</v>
      </c>
      <c r="R28" s="22">
        <v>18</v>
      </c>
      <c r="S28" s="22">
        <v>-9.5214800000000006E-3</v>
      </c>
      <c r="T28">
        <f t="shared" si="2"/>
        <v>17.1722</v>
      </c>
      <c r="U28">
        <f t="shared" si="3"/>
        <v>-0.159836433492</v>
      </c>
      <c r="X28" s="9"/>
      <c r="Y28" s="22">
        <v>1.70929</v>
      </c>
      <c r="Z28" s="22">
        <v>289.31799999999998</v>
      </c>
      <c r="AA28" s="22">
        <v>3.8809199999999999E-3</v>
      </c>
      <c r="AB28" s="22">
        <v>18</v>
      </c>
      <c r="AC28" s="22">
        <v>1.7083699999999999</v>
      </c>
      <c r="AD28">
        <f t="shared" si="4"/>
        <v>-3.8809200000000001</v>
      </c>
      <c r="AE28">
        <f t="shared" si="5"/>
        <v>-6.6336177468000006</v>
      </c>
      <c r="AF28" s="9"/>
      <c r="AG28" s="22">
        <v>-9.3078599999999994E-3</v>
      </c>
      <c r="AH28" s="22">
        <v>354.68400000000003</v>
      </c>
      <c r="AI28" s="22">
        <v>-1.7117299999999998E-2</v>
      </c>
      <c r="AJ28" s="22">
        <v>18</v>
      </c>
      <c r="AK28" s="22">
        <v>-9.5977800000000002E-3</v>
      </c>
      <c r="AL28">
        <f t="shared" si="6"/>
        <v>17.1173</v>
      </c>
      <c r="AM28">
        <f t="shared" si="7"/>
        <v>-0.159325431978</v>
      </c>
      <c r="AP28" s="9"/>
      <c r="AQ28" s="22">
        <v>1.70929</v>
      </c>
      <c r="AR28" s="22">
        <v>443.98500000000001</v>
      </c>
      <c r="AS28" s="22">
        <v>3.8946499999999999E-3</v>
      </c>
      <c r="AT28" s="22">
        <v>18</v>
      </c>
      <c r="AU28" s="22">
        <v>1.7089799999999999</v>
      </c>
      <c r="AV28">
        <f t="shared" si="8"/>
        <v>-3.8946499999999999</v>
      </c>
      <c r="AW28">
        <f t="shared" si="9"/>
        <v>-6.6570862984999994</v>
      </c>
      <c r="AX28" s="9"/>
      <c r="AY28" s="22">
        <v>-9.3078599999999994E-3</v>
      </c>
      <c r="AZ28" s="22">
        <v>521.01</v>
      </c>
      <c r="BA28" s="22">
        <v>-1.7053200000000001E-2</v>
      </c>
      <c r="BB28" s="22">
        <v>18</v>
      </c>
      <c r="BC28" s="22">
        <v>-9.5336899999999992E-3</v>
      </c>
      <c r="BD28">
        <f t="shared" si="10"/>
        <v>17.0532</v>
      </c>
      <c r="BE28">
        <f t="shared" si="11"/>
        <v>-0.158728798152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77.685699999999997</v>
      </c>
      <c r="I29" s="22">
        <v>-4.6270800000000004E-3</v>
      </c>
      <c r="J29" s="22">
        <v>19</v>
      </c>
      <c r="K29" s="22">
        <v>1.7034899999999999</v>
      </c>
      <c r="L29">
        <f t="shared" si="0"/>
        <v>4.6270800000000003</v>
      </c>
      <c r="M29">
        <f t="shared" si="1"/>
        <v>7.8857010900000004</v>
      </c>
      <c r="N29" s="9"/>
      <c r="O29" s="22">
        <v>-4.2724599999999996E-3</v>
      </c>
      <c r="P29" s="22">
        <v>171.649</v>
      </c>
      <c r="Q29" s="22">
        <v>-1.71661E-2</v>
      </c>
      <c r="R29" s="22">
        <v>19</v>
      </c>
      <c r="S29" s="22">
        <v>-4.4799799999999997E-3</v>
      </c>
      <c r="T29">
        <f t="shared" si="2"/>
        <v>17.1661</v>
      </c>
      <c r="U29">
        <f t="shared" si="3"/>
        <v>-7.3341475605999989E-2</v>
      </c>
      <c r="X29" s="9"/>
      <c r="Y29" s="22">
        <v>1.70425</v>
      </c>
      <c r="Z29" s="22">
        <v>289.41800000000001</v>
      </c>
      <c r="AA29" s="22">
        <v>2.2338900000000001E-3</v>
      </c>
      <c r="AB29" s="22">
        <v>19</v>
      </c>
      <c r="AC29" s="22">
        <v>1.7038</v>
      </c>
      <c r="AD29">
        <f t="shared" si="4"/>
        <v>-2.2338900000000002</v>
      </c>
      <c r="AE29">
        <f t="shared" si="5"/>
        <v>-3.8071070325000003</v>
      </c>
      <c r="AF29" s="9"/>
      <c r="AG29" s="22">
        <v>-4.2724599999999996E-3</v>
      </c>
      <c r="AH29" s="22">
        <v>354.78399999999999</v>
      </c>
      <c r="AI29" s="22">
        <v>-1.7117299999999998E-2</v>
      </c>
      <c r="AJ29" s="22">
        <v>19</v>
      </c>
      <c r="AK29" s="22">
        <v>-4.5043899999999996E-3</v>
      </c>
      <c r="AL29">
        <f t="shared" si="6"/>
        <v>17.1173</v>
      </c>
      <c r="AM29">
        <f t="shared" si="7"/>
        <v>-7.3132979557999994E-2</v>
      </c>
      <c r="AP29" s="9"/>
      <c r="AQ29" s="22">
        <v>1.70425</v>
      </c>
      <c r="AR29" s="22">
        <v>444.08600000000001</v>
      </c>
      <c r="AS29" s="22">
        <v>2.3532100000000001E-3</v>
      </c>
      <c r="AT29" s="22">
        <v>19</v>
      </c>
      <c r="AU29" s="22">
        <v>1.70319</v>
      </c>
      <c r="AV29">
        <f t="shared" si="8"/>
        <v>-2.3532100000000002</v>
      </c>
      <c r="AW29">
        <f t="shared" si="9"/>
        <v>-4.0104581425000001</v>
      </c>
      <c r="AX29" s="9"/>
      <c r="AY29" s="22">
        <v>-4.2724599999999996E-3</v>
      </c>
      <c r="AZ29" s="22">
        <v>521.11099999999999</v>
      </c>
      <c r="BA29" s="22">
        <v>-1.7047099999999999E-2</v>
      </c>
      <c r="BB29" s="22">
        <v>19</v>
      </c>
      <c r="BC29" s="22">
        <v>-4.4769299999999996E-3</v>
      </c>
      <c r="BD29">
        <f t="shared" si="10"/>
        <v>17.0471</v>
      </c>
      <c r="BE29">
        <f t="shared" si="11"/>
        <v>-7.2833052865999989E-2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77.7864</v>
      </c>
      <c r="I30" s="22">
        <v>-5.3497299999999996E-3</v>
      </c>
      <c r="J30" s="22">
        <v>20</v>
      </c>
      <c r="K30" s="22">
        <v>1.69861</v>
      </c>
      <c r="L30">
        <f t="shared" si="0"/>
        <v>5.3497299999999992</v>
      </c>
      <c r="M30">
        <f t="shared" si="1"/>
        <v>9.0903682105999977</v>
      </c>
      <c r="N30" s="9"/>
      <c r="O30" s="22">
        <v>7.6293900000000002E-4</v>
      </c>
      <c r="P30" s="22">
        <v>171.75</v>
      </c>
      <c r="Q30" s="22">
        <v>-1.7169199999999999E-2</v>
      </c>
      <c r="R30" s="22">
        <v>20</v>
      </c>
      <c r="S30" s="22">
        <v>5.9204099999999996E-4</v>
      </c>
      <c r="T30">
        <f t="shared" si="2"/>
        <v>17.1692</v>
      </c>
      <c r="U30">
        <f t="shared" si="3"/>
        <v>1.30990522788E-2</v>
      </c>
      <c r="X30" s="9"/>
      <c r="Y30" s="22">
        <v>1.69922</v>
      </c>
      <c r="Z30" s="22">
        <v>289.51900000000001</v>
      </c>
      <c r="AA30" s="22">
        <v>5.2093500000000004E-4</v>
      </c>
      <c r="AB30" s="22">
        <v>20</v>
      </c>
      <c r="AC30" s="22">
        <v>1.69861</v>
      </c>
      <c r="AD30">
        <f t="shared" si="4"/>
        <v>-0.52093500000000004</v>
      </c>
      <c r="AE30">
        <f t="shared" si="5"/>
        <v>-0.88518317070000008</v>
      </c>
      <c r="AF30" s="9"/>
      <c r="AG30" s="22">
        <v>7.6293900000000002E-4</v>
      </c>
      <c r="AH30" s="22">
        <v>354.88499999999999</v>
      </c>
      <c r="AI30" s="22">
        <v>-1.7114299999999999E-2</v>
      </c>
      <c r="AJ30" s="22">
        <v>20</v>
      </c>
      <c r="AK30" s="22">
        <v>5.5542000000000005E-4</v>
      </c>
      <c r="AL30">
        <f t="shared" si="6"/>
        <v>17.1143</v>
      </c>
      <c r="AM30">
        <f t="shared" si="7"/>
        <v>1.30571669277E-2</v>
      </c>
      <c r="AP30" s="9"/>
      <c r="AQ30" s="22">
        <v>1.69922</v>
      </c>
      <c r="AR30" s="22">
        <v>444.18700000000001</v>
      </c>
      <c r="AS30" s="22">
        <v>8.2397500000000001E-4</v>
      </c>
      <c r="AT30" s="22">
        <v>20</v>
      </c>
      <c r="AU30" s="22">
        <v>1.6982999999999999</v>
      </c>
      <c r="AV30">
        <f t="shared" si="8"/>
        <v>-0.82397500000000001</v>
      </c>
      <c r="AW30">
        <f t="shared" si="9"/>
        <v>-1.4001147995000001</v>
      </c>
      <c r="AX30" s="9"/>
      <c r="AY30" s="22">
        <v>7.6293900000000002E-4</v>
      </c>
      <c r="AZ30" s="22">
        <v>521.21199999999999</v>
      </c>
      <c r="BA30" s="22">
        <v>-1.70441E-2</v>
      </c>
      <c r="BB30" s="22">
        <v>20</v>
      </c>
      <c r="BC30" s="22">
        <v>5.3710900000000002E-4</v>
      </c>
      <c r="BD30">
        <f t="shared" si="10"/>
        <v>17.0441</v>
      </c>
      <c r="BE30">
        <f t="shared" si="11"/>
        <v>1.30036086099E-2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77.887100000000004</v>
      </c>
      <c r="I31" s="22">
        <v>-5.9600800000000004E-3</v>
      </c>
      <c r="J31" s="22">
        <v>21</v>
      </c>
      <c r="K31" s="22">
        <v>1.69312</v>
      </c>
      <c r="L31">
        <f t="shared" si="0"/>
        <v>5.9600800000000005</v>
      </c>
      <c r="M31">
        <f t="shared" si="1"/>
        <v>10.097448334400001</v>
      </c>
      <c r="N31" s="9"/>
      <c r="O31" s="22">
        <v>5.7983399999999999E-3</v>
      </c>
      <c r="P31" s="22">
        <v>171.851</v>
      </c>
      <c r="Q31" s="22">
        <v>-1.7172199999999999E-2</v>
      </c>
      <c r="R31" s="22">
        <v>21</v>
      </c>
      <c r="S31" s="22">
        <v>5.6243899999999999E-3</v>
      </c>
      <c r="T31">
        <f t="shared" si="2"/>
        <v>17.1722</v>
      </c>
      <c r="U31">
        <f t="shared" si="3"/>
        <v>9.9570254147999998E-2</v>
      </c>
      <c r="X31" s="9"/>
      <c r="Y31" s="22">
        <v>1.69418</v>
      </c>
      <c r="Z31" s="22">
        <v>289.62</v>
      </c>
      <c r="AA31" s="22">
        <v>-6.9915799999999996E-4</v>
      </c>
      <c r="AB31" s="22">
        <v>21</v>
      </c>
      <c r="AC31" s="22">
        <v>1.69373</v>
      </c>
      <c r="AD31">
        <f t="shared" si="4"/>
        <v>0.69915799999999995</v>
      </c>
      <c r="AE31">
        <f t="shared" si="5"/>
        <v>1.1844995004399999</v>
      </c>
      <c r="AF31" s="9"/>
      <c r="AG31" s="22">
        <v>5.7983399999999999E-3</v>
      </c>
      <c r="AH31" s="22">
        <v>354.98599999999999</v>
      </c>
      <c r="AI31" s="22">
        <v>-1.7117299999999998E-2</v>
      </c>
      <c r="AJ31" s="22">
        <v>21</v>
      </c>
      <c r="AK31" s="22">
        <v>5.6366000000000003E-3</v>
      </c>
      <c r="AL31">
        <f t="shared" si="6"/>
        <v>17.1173</v>
      </c>
      <c r="AM31">
        <f t="shared" si="7"/>
        <v>9.9251925281999998E-2</v>
      </c>
      <c r="AP31" s="9"/>
      <c r="AQ31" s="22">
        <v>1.69418</v>
      </c>
      <c r="AR31" s="22">
        <v>444.28699999999998</v>
      </c>
      <c r="AS31" s="22">
        <v>-5.9906E-4</v>
      </c>
      <c r="AT31" s="22">
        <v>21</v>
      </c>
      <c r="AU31" s="22">
        <v>1.6934199999999999</v>
      </c>
      <c r="AV31">
        <f t="shared" si="8"/>
        <v>0.59906000000000004</v>
      </c>
      <c r="AW31">
        <f t="shared" si="9"/>
        <v>1.0149154708000001</v>
      </c>
      <c r="AX31" s="9"/>
      <c r="AY31" s="22">
        <v>5.7983399999999999E-3</v>
      </c>
      <c r="AZ31" s="22">
        <v>521.31200000000001</v>
      </c>
      <c r="BA31" s="22">
        <v>-1.7034899999999999E-2</v>
      </c>
      <c r="BB31" s="22">
        <v>21</v>
      </c>
      <c r="BC31" s="22">
        <v>5.5572499999999997E-3</v>
      </c>
      <c r="BD31">
        <f t="shared" si="10"/>
        <v>17.0349</v>
      </c>
      <c r="BE31">
        <f t="shared" si="11"/>
        <v>9.8774142066000006E-2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77.987799999999993</v>
      </c>
      <c r="I32" s="22">
        <v>-6.5948500000000002E-3</v>
      </c>
      <c r="J32" s="22">
        <v>22</v>
      </c>
      <c r="K32" s="22">
        <v>1.6882299999999999</v>
      </c>
      <c r="L32">
        <f t="shared" si="0"/>
        <v>6.5948500000000001</v>
      </c>
      <c r="M32">
        <f t="shared" si="1"/>
        <v>11.1396908775</v>
      </c>
      <c r="N32" s="9"/>
      <c r="O32" s="22">
        <v>1.08337E-2</v>
      </c>
      <c r="P32" s="22">
        <v>171.95099999999999</v>
      </c>
      <c r="Q32" s="22">
        <v>-1.7172199999999999E-2</v>
      </c>
      <c r="R32" s="22">
        <v>22</v>
      </c>
      <c r="S32" s="22">
        <v>1.07025E-2</v>
      </c>
      <c r="T32">
        <f t="shared" si="2"/>
        <v>17.1722</v>
      </c>
      <c r="U32">
        <f t="shared" si="3"/>
        <v>0.18603846314</v>
      </c>
      <c r="X32" s="9"/>
      <c r="Y32" s="22">
        <v>1.6891499999999999</v>
      </c>
      <c r="Z32" s="22">
        <v>289.72000000000003</v>
      </c>
      <c r="AA32" s="22">
        <v>-1.6986099999999999E-3</v>
      </c>
      <c r="AB32" s="22">
        <v>22</v>
      </c>
      <c r="AC32" s="22">
        <v>1.6885399999999999</v>
      </c>
      <c r="AD32">
        <f t="shared" si="4"/>
        <v>1.69861</v>
      </c>
      <c r="AE32">
        <f t="shared" si="5"/>
        <v>2.8692070814999999</v>
      </c>
      <c r="AF32" s="9"/>
      <c r="AG32" s="22">
        <v>1.08337E-2</v>
      </c>
      <c r="AH32" s="22">
        <v>355.08600000000001</v>
      </c>
      <c r="AI32" s="22">
        <v>-1.7114299999999999E-2</v>
      </c>
      <c r="AJ32" s="22">
        <v>22</v>
      </c>
      <c r="AK32" s="22">
        <v>1.06476E-2</v>
      </c>
      <c r="AL32">
        <f t="shared" si="6"/>
        <v>17.1143</v>
      </c>
      <c r="AM32">
        <f t="shared" si="7"/>
        <v>0.18541119190999999</v>
      </c>
      <c r="AP32" s="9"/>
      <c r="AQ32" s="22">
        <v>1.6891499999999999</v>
      </c>
      <c r="AR32" s="22">
        <v>444.38799999999998</v>
      </c>
      <c r="AS32" s="22">
        <v>-2.0721400000000001E-3</v>
      </c>
      <c r="AT32" s="22">
        <v>22</v>
      </c>
      <c r="AU32" s="22">
        <v>1.6885399999999999</v>
      </c>
      <c r="AV32">
        <f t="shared" si="8"/>
        <v>2.0721400000000001</v>
      </c>
      <c r="AW32">
        <f t="shared" si="9"/>
        <v>3.5001552810000001</v>
      </c>
      <c r="AX32" s="9"/>
      <c r="AY32" s="22">
        <v>1.08337E-2</v>
      </c>
      <c r="AZ32" s="22">
        <v>521.41300000000001</v>
      </c>
      <c r="BA32" s="22">
        <v>-1.70288E-2</v>
      </c>
      <c r="BB32" s="22">
        <v>22</v>
      </c>
      <c r="BC32" s="22">
        <v>1.0644499999999999E-2</v>
      </c>
      <c r="BD32">
        <f t="shared" si="10"/>
        <v>17.0288</v>
      </c>
      <c r="BE32">
        <f t="shared" si="11"/>
        <v>0.18448491055999999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78.088499999999996</v>
      </c>
      <c r="I33" s="22">
        <v>-7.2357200000000002E-3</v>
      </c>
      <c r="J33" s="22">
        <v>23</v>
      </c>
      <c r="K33" s="22">
        <v>1.6833499999999999</v>
      </c>
      <c r="L33">
        <f t="shared" si="0"/>
        <v>7.2357200000000006</v>
      </c>
      <c r="M33">
        <f t="shared" si="1"/>
        <v>12.1857484092</v>
      </c>
      <c r="N33" s="9"/>
      <c r="O33" s="22">
        <v>1.5869100000000001E-2</v>
      </c>
      <c r="P33" s="22">
        <v>172.05199999999999</v>
      </c>
      <c r="Q33" s="22">
        <v>-1.7181399999999999E-2</v>
      </c>
      <c r="R33" s="22">
        <v>23</v>
      </c>
      <c r="S33" s="22">
        <v>1.5676900000000001E-2</v>
      </c>
      <c r="T33">
        <f t="shared" si="2"/>
        <v>17.1814</v>
      </c>
      <c r="U33">
        <f t="shared" si="3"/>
        <v>0.27265335474000002</v>
      </c>
      <c r="X33" s="9"/>
      <c r="Y33" s="22">
        <v>1.68411</v>
      </c>
      <c r="Z33" s="22">
        <v>289.82100000000003</v>
      </c>
      <c r="AA33" s="22">
        <v>-3.5134900000000002E-3</v>
      </c>
      <c r="AB33" s="22">
        <v>23</v>
      </c>
      <c r="AC33" s="22">
        <v>1.6830400000000001</v>
      </c>
      <c r="AD33">
        <f t="shared" si="4"/>
        <v>3.51349</v>
      </c>
      <c r="AE33">
        <f t="shared" si="5"/>
        <v>5.9171036439</v>
      </c>
      <c r="AF33" s="9"/>
      <c r="AG33" s="22">
        <v>1.5869100000000001E-2</v>
      </c>
      <c r="AH33" s="22">
        <v>355.18700000000001</v>
      </c>
      <c r="AI33" s="22">
        <v>-1.71234E-2</v>
      </c>
      <c r="AJ33" s="22">
        <v>23</v>
      </c>
      <c r="AK33" s="22">
        <v>1.5634200000000001E-2</v>
      </c>
      <c r="AL33">
        <f t="shared" si="6"/>
        <v>17.1234</v>
      </c>
      <c r="AM33">
        <f t="shared" si="7"/>
        <v>0.27173294694</v>
      </c>
      <c r="AP33" s="9"/>
      <c r="AQ33" s="22">
        <v>1.68411</v>
      </c>
      <c r="AR33" s="22">
        <v>444.48899999999998</v>
      </c>
      <c r="AS33" s="22">
        <v>-3.02338E-3</v>
      </c>
      <c r="AT33" s="22">
        <v>23</v>
      </c>
      <c r="AU33" s="22">
        <v>1.6836500000000001</v>
      </c>
      <c r="AV33">
        <f t="shared" si="8"/>
        <v>3.02338</v>
      </c>
      <c r="AW33">
        <f t="shared" si="9"/>
        <v>5.0917044917999998</v>
      </c>
      <c r="AX33" s="9"/>
      <c r="AY33" s="22">
        <v>1.5869100000000001E-2</v>
      </c>
      <c r="AZ33" s="22">
        <v>521.51400000000001</v>
      </c>
      <c r="BA33" s="22">
        <v>-1.7025800000000001E-2</v>
      </c>
      <c r="BB33" s="22">
        <v>23</v>
      </c>
      <c r="BC33" s="22">
        <v>1.5820299999999999E-2</v>
      </c>
      <c r="BD33">
        <f t="shared" si="10"/>
        <v>17.0258</v>
      </c>
      <c r="BE33">
        <f t="shared" si="11"/>
        <v>0.27018412278000004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78.189300000000003</v>
      </c>
      <c r="I34" s="22">
        <v>-7.5653099999999996E-3</v>
      </c>
      <c r="J34" s="22">
        <v>24</v>
      </c>
      <c r="K34" s="22">
        <v>1.6784699999999999</v>
      </c>
      <c r="L34">
        <f t="shared" si="0"/>
        <v>7.5653099999999993</v>
      </c>
      <c r="M34">
        <f t="shared" si="1"/>
        <v>12.702760714799998</v>
      </c>
      <c r="N34" s="9"/>
      <c r="O34" s="22">
        <v>2.0904499999999999E-2</v>
      </c>
      <c r="P34" s="22">
        <v>172.15299999999999</v>
      </c>
      <c r="Q34" s="22">
        <v>-1.7181399999999999E-2</v>
      </c>
      <c r="R34" s="22">
        <v>24</v>
      </c>
      <c r="S34" s="22">
        <v>2.0672599999999999E-2</v>
      </c>
      <c r="T34">
        <f t="shared" si="2"/>
        <v>17.1814</v>
      </c>
      <c r="U34">
        <f t="shared" si="3"/>
        <v>0.35916857629999999</v>
      </c>
      <c r="X34" s="9"/>
      <c r="Y34" s="22">
        <v>1.6790799999999999</v>
      </c>
      <c r="Z34" s="22">
        <v>289.92200000000003</v>
      </c>
      <c r="AA34" s="22">
        <v>-4.4454999999999998E-3</v>
      </c>
      <c r="AB34" s="22">
        <v>24</v>
      </c>
      <c r="AC34" s="22">
        <v>1.6787700000000001</v>
      </c>
      <c r="AD34">
        <f t="shared" si="4"/>
        <v>4.4455</v>
      </c>
      <c r="AE34">
        <f t="shared" si="5"/>
        <v>7.4643501399999996</v>
      </c>
      <c r="AF34" s="9"/>
      <c r="AG34" s="22">
        <v>2.0904499999999999E-2</v>
      </c>
      <c r="AH34" s="22">
        <v>355.28800000000001</v>
      </c>
      <c r="AI34" s="22">
        <v>-1.71082E-2</v>
      </c>
      <c r="AJ34" s="22">
        <v>24</v>
      </c>
      <c r="AK34" s="22">
        <v>2.0816000000000001E-2</v>
      </c>
      <c r="AL34">
        <f t="shared" si="6"/>
        <v>17.1082</v>
      </c>
      <c r="AM34">
        <f t="shared" si="7"/>
        <v>0.3576383669</v>
      </c>
      <c r="AP34" s="9"/>
      <c r="AQ34" s="22">
        <v>1.6790799999999999</v>
      </c>
      <c r="AR34" s="22">
        <v>444.589</v>
      </c>
      <c r="AS34" s="22">
        <v>-4.0005500000000003E-3</v>
      </c>
      <c r="AT34" s="22">
        <v>24</v>
      </c>
      <c r="AU34" s="22">
        <v>1.6781600000000001</v>
      </c>
      <c r="AV34">
        <f t="shared" si="8"/>
        <v>4.0005500000000005</v>
      </c>
      <c r="AW34">
        <f t="shared" si="9"/>
        <v>6.7172434940000008</v>
      </c>
      <c r="AX34" s="9"/>
      <c r="AY34" s="22">
        <v>2.0904499999999999E-2</v>
      </c>
      <c r="AZ34" s="22">
        <v>521.61500000000001</v>
      </c>
      <c r="BA34" s="22">
        <v>-1.7041000000000001E-2</v>
      </c>
      <c r="BB34" s="22">
        <v>24</v>
      </c>
      <c r="BC34" s="22">
        <v>2.0782499999999999E-2</v>
      </c>
      <c r="BD34">
        <f t="shared" si="10"/>
        <v>17.041</v>
      </c>
      <c r="BE34">
        <f t="shared" si="11"/>
        <v>0.35623358449999998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78.290000000000006</v>
      </c>
      <c r="I35" s="22">
        <v>-7.9803500000000006E-3</v>
      </c>
      <c r="J35" s="22">
        <v>25</v>
      </c>
      <c r="K35" s="22">
        <v>1.6726700000000001</v>
      </c>
      <c r="L35">
        <f t="shared" si="0"/>
        <v>7.9803500000000005</v>
      </c>
      <c r="M35">
        <f t="shared" si="1"/>
        <v>13.359425114</v>
      </c>
      <c r="N35" s="9"/>
      <c r="O35" s="22">
        <v>2.5939899999999998E-2</v>
      </c>
      <c r="P35" s="22">
        <v>172.25399999999999</v>
      </c>
      <c r="Q35" s="22">
        <v>-1.7199699999999998E-2</v>
      </c>
      <c r="R35" s="22">
        <v>25</v>
      </c>
      <c r="S35" s="22">
        <v>2.5817900000000001E-2</v>
      </c>
      <c r="T35">
        <f t="shared" si="2"/>
        <v>17.1997</v>
      </c>
      <c r="U35">
        <f t="shared" si="3"/>
        <v>0.44615849802999996</v>
      </c>
      <c r="X35" s="9"/>
      <c r="Y35" s="22">
        <v>1.67404</v>
      </c>
      <c r="Z35" s="22">
        <v>290.02300000000002</v>
      </c>
      <c r="AA35" s="22">
        <v>-5.30701E-3</v>
      </c>
      <c r="AB35" s="22">
        <v>25</v>
      </c>
      <c r="AC35" s="22">
        <v>1.6732800000000001</v>
      </c>
      <c r="AD35">
        <f t="shared" si="4"/>
        <v>5.30701</v>
      </c>
      <c r="AE35">
        <f t="shared" si="5"/>
        <v>8.8841470204000004</v>
      </c>
      <c r="AF35" s="9"/>
      <c r="AG35" s="22">
        <v>2.5939899999999998E-2</v>
      </c>
      <c r="AH35" s="22">
        <v>355.38900000000001</v>
      </c>
      <c r="AI35" s="22">
        <v>-1.7095900000000001E-2</v>
      </c>
      <c r="AJ35" s="22">
        <v>25</v>
      </c>
      <c r="AK35" s="22">
        <v>2.57965E-2</v>
      </c>
      <c r="AL35">
        <f t="shared" si="6"/>
        <v>17.0959</v>
      </c>
      <c r="AM35">
        <f t="shared" si="7"/>
        <v>0.44346593640999998</v>
      </c>
      <c r="AP35" s="9"/>
      <c r="AQ35" s="22">
        <v>1.67404</v>
      </c>
      <c r="AR35" s="22">
        <v>444.69</v>
      </c>
      <c r="AS35" s="22">
        <v>-4.8089600000000001E-3</v>
      </c>
      <c r="AT35" s="22">
        <v>25</v>
      </c>
      <c r="AU35" s="22">
        <v>1.6729700000000001</v>
      </c>
      <c r="AV35">
        <f t="shared" si="8"/>
        <v>4.8089599999999999</v>
      </c>
      <c r="AW35">
        <f t="shared" si="9"/>
        <v>8.0503913984000004</v>
      </c>
      <c r="AX35" s="9"/>
      <c r="AY35" s="22">
        <v>2.5939899999999998E-2</v>
      </c>
      <c r="AZ35" s="22">
        <v>521.71500000000003</v>
      </c>
      <c r="BA35" s="22">
        <v>-1.7025800000000001E-2</v>
      </c>
      <c r="BB35" s="22">
        <v>25</v>
      </c>
      <c r="BC35" s="22">
        <v>2.5912500000000002E-2</v>
      </c>
      <c r="BD35">
        <f t="shared" si="10"/>
        <v>17.0258</v>
      </c>
      <c r="BE35">
        <f t="shared" si="11"/>
        <v>0.44164754941999995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78.390699999999995</v>
      </c>
      <c r="I36" s="22">
        <v>-8.4991500000000005E-3</v>
      </c>
      <c r="J36" s="22">
        <v>26</v>
      </c>
      <c r="K36" s="22">
        <v>1.6687000000000001</v>
      </c>
      <c r="L36">
        <f t="shared" si="0"/>
        <v>8.4991500000000002</v>
      </c>
      <c r="M36">
        <f t="shared" si="1"/>
        <v>14.1851663415</v>
      </c>
      <c r="N36" s="9"/>
      <c r="O36" s="22">
        <v>3.0975300000000001E-2</v>
      </c>
      <c r="P36" s="22">
        <v>172.35400000000001</v>
      </c>
      <c r="Q36" s="22">
        <v>-1.7187500000000001E-2</v>
      </c>
      <c r="R36" s="22">
        <v>26</v>
      </c>
      <c r="S36" s="22">
        <v>3.0865500000000001E-2</v>
      </c>
      <c r="T36">
        <f t="shared" si="2"/>
        <v>17.1875</v>
      </c>
      <c r="U36">
        <f t="shared" si="3"/>
        <v>0.53238796875000005</v>
      </c>
      <c r="X36" s="9"/>
      <c r="Y36" s="22">
        <v>1.6690100000000001</v>
      </c>
      <c r="Z36" s="22">
        <v>290.12299999999999</v>
      </c>
      <c r="AA36" s="22">
        <v>-5.9509300000000001E-3</v>
      </c>
      <c r="AB36" s="22">
        <v>26</v>
      </c>
      <c r="AC36" s="22">
        <v>1.6687000000000001</v>
      </c>
      <c r="AD36">
        <f t="shared" si="4"/>
        <v>5.9509300000000005</v>
      </c>
      <c r="AE36">
        <f t="shared" si="5"/>
        <v>9.9321616793000018</v>
      </c>
      <c r="AF36" s="9"/>
      <c r="AG36" s="22">
        <v>3.0975300000000001E-2</v>
      </c>
      <c r="AH36" s="22">
        <v>355.48899999999998</v>
      </c>
      <c r="AI36" s="22">
        <v>-1.7095900000000001E-2</v>
      </c>
      <c r="AJ36" s="22">
        <v>26</v>
      </c>
      <c r="AK36" s="22">
        <v>3.0838000000000001E-2</v>
      </c>
      <c r="AL36">
        <f t="shared" si="6"/>
        <v>17.0959</v>
      </c>
      <c r="AM36">
        <f t="shared" si="7"/>
        <v>0.52955063127000002</v>
      </c>
      <c r="AP36" s="9"/>
      <c r="AQ36" s="22">
        <v>1.6690100000000001</v>
      </c>
      <c r="AR36" s="22">
        <v>444.791</v>
      </c>
      <c r="AS36" s="22">
        <v>-5.8258099999999998E-3</v>
      </c>
      <c r="AT36" s="22">
        <v>26</v>
      </c>
      <c r="AU36" s="22">
        <v>1.6680900000000001</v>
      </c>
      <c r="AV36">
        <f t="shared" si="8"/>
        <v>5.8258099999999997</v>
      </c>
      <c r="AW36">
        <f t="shared" si="9"/>
        <v>9.7233351481000003</v>
      </c>
      <c r="AX36" s="9"/>
      <c r="AY36" s="22">
        <v>3.0975300000000001E-2</v>
      </c>
      <c r="AZ36" s="22">
        <v>521.81600000000003</v>
      </c>
      <c r="BA36" s="22">
        <v>-1.7031899999999999E-2</v>
      </c>
      <c r="BB36" s="22">
        <v>26</v>
      </c>
      <c r="BC36" s="22">
        <v>3.0865500000000001E-2</v>
      </c>
      <c r="BD36">
        <f t="shared" si="10"/>
        <v>17.0319</v>
      </c>
      <c r="BE36">
        <f t="shared" si="11"/>
        <v>0.52756821207000004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78.491399999999999</v>
      </c>
      <c r="I37" s="22">
        <v>-8.8195800000000005E-3</v>
      </c>
      <c r="J37" s="22">
        <v>27</v>
      </c>
      <c r="K37" s="22">
        <v>1.6632100000000001</v>
      </c>
      <c r="L37">
        <f t="shared" si="0"/>
        <v>8.8195800000000002</v>
      </c>
      <c r="M37">
        <f t="shared" si="1"/>
        <v>14.6755165326</v>
      </c>
      <c r="N37" s="9"/>
      <c r="O37" s="22">
        <v>3.60107E-2</v>
      </c>
      <c r="P37" s="22">
        <v>172.45500000000001</v>
      </c>
      <c r="Q37" s="22">
        <v>-1.7163100000000001E-2</v>
      </c>
      <c r="R37" s="22">
        <v>27</v>
      </c>
      <c r="S37" s="22">
        <v>3.5919199999999998E-2</v>
      </c>
      <c r="T37">
        <f t="shared" si="2"/>
        <v>17.1631</v>
      </c>
      <c r="U37">
        <f t="shared" si="3"/>
        <v>0.61805524516999999</v>
      </c>
      <c r="X37" s="9"/>
      <c r="Y37" s="22">
        <v>1.6639699999999999</v>
      </c>
      <c r="Z37" s="22">
        <v>290.22399999999999</v>
      </c>
      <c r="AA37" s="22">
        <v>-6.6131599999999999E-3</v>
      </c>
      <c r="AB37" s="22">
        <v>27</v>
      </c>
      <c r="AC37" s="22">
        <v>1.6632100000000001</v>
      </c>
      <c r="AD37">
        <f t="shared" si="4"/>
        <v>6.6131599999999997</v>
      </c>
      <c r="AE37">
        <f t="shared" si="5"/>
        <v>11.004099845199999</v>
      </c>
      <c r="AF37" s="9"/>
      <c r="AG37" s="22">
        <v>3.60107E-2</v>
      </c>
      <c r="AH37" s="22">
        <v>355.59</v>
      </c>
      <c r="AI37" s="22">
        <v>-1.71082E-2</v>
      </c>
      <c r="AJ37" s="22">
        <v>27</v>
      </c>
      <c r="AK37" s="22">
        <v>3.5998500000000003E-2</v>
      </c>
      <c r="AL37">
        <f t="shared" si="6"/>
        <v>17.1082</v>
      </c>
      <c r="AM37">
        <f t="shared" si="7"/>
        <v>0.61607825774000002</v>
      </c>
      <c r="AP37" s="9"/>
      <c r="AQ37" s="22">
        <v>1.6639699999999999</v>
      </c>
      <c r="AR37" s="22">
        <v>444.89100000000002</v>
      </c>
      <c r="AS37" s="22">
        <v>-6.6345199999999997E-3</v>
      </c>
      <c r="AT37" s="22">
        <v>27</v>
      </c>
      <c r="AU37" s="22">
        <v>1.6626000000000001</v>
      </c>
      <c r="AV37">
        <f t="shared" si="8"/>
        <v>6.6345199999999993</v>
      </c>
      <c r="AW37">
        <f t="shared" si="9"/>
        <v>11.039642244399998</v>
      </c>
      <c r="AX37" s="9"/>
      <c r="AY37" s="22">
        <v>3.60107E-2</v>
      </c>
      <c r="AZ37" s="22">
        <v>521.91700000000003</v>
      </c>
      <c r="BA37" s="22">
        <v>-1.7019699999999999E-2</v>
      </c>
      <c r="BB37" s="22">
        <v>27</v>
      </c>
      <c r="BC37" s="22">
        <v>3.5919199999999998E-2</v>
      </c>
      <c r="BD37">
        <f t="shared" si="10"/>
        <v>17.0197</v>
      </c>
      <c r="BE37">
        <f t="shared" si="11"/>
        <v>0.61289131079000003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78.592100000000002</v>
      </c>
      <c r="I38" s="22">
        <v>-9.2559800000000005E-3</v>
      </c>
      <c r="J38" s="22">
        <v>28</v>
      </c>
      <c r="K38" s="22">
        <v>1.65802</v>
      </c>
      <c r="L38">
        <f t="shared" si="0"/>
        <v>9.255980000000001</v>
      </c>
      <c r="M38">
        <f t="shared" si="1"/>
        <v>15.355115461200002</v>
      </c>
      <c r="N38" s="9"/>
      <c r="O38" s="22">
        <v>4.1046100000000002E-2</v>
      </c>
      <c r="P38" s="22">
        <v>172.55600000000001</v>
      </c>
      <c r="Q38" s="22">
        <v>-1.71539E-2</v>
      </c>
      <c r="R38" s="22">
        <v>28</v>
      </c>
      <c r="S38" s="22">
        <v>4.086E-2</v>
      </c>
      <c r="T38">
        <f t="shared" si="2"/>
        <v>17.1539</v>
      </c>
      <c r="U38">
        <f t="shared" si="3"/>
        <v>0.70410069479000004</v>
      </c>
      <c r="X38" s="9"/>
      <c r="Y38" s="22">
        <v>1.6589400000000001</v>
      </c>
      <c r="Z38" s="22">
        <v>290.32499999999999</v>
      </c>
      <c r="AA38" s="22">
        <v>-7.7362100000000003E-3</v>
      </c>
      <c r="AB38" s="22">
        <v>28</v>
      </c>
      <c r="AC38" s="22">
        <v>1.6583300000000001</v>
      </c>
      <c r="AD38">
        <f t="shared" si="4"/>
        <v>7.7362100000000007</v>
      </c>
      <c r="AE38">
        <f t="shared" si="5"/>
        <v>12.833908217400001</v>
      </c>
      <c r="AF38" s="9"/>
      <c r="AG38" s="22">
        <v>4.1046100000000002E-2</v>
      </c>
      <c r="AH38" s="22">
        <v>355.69099999999997</v>
      </c>
      <c r="AI38" s="22">
        <v>-1.7114299999999999E-2</v>
      </c>
      <c r="AJ38" s="22">
        <v>28</v>
      </c>
      <c r="AK38" s="22">
        <v>4.1030900000000002E-2</v>
      </c>
      <c r="AL38">
        <f t="shared" si="6"/>
        <v>17.1143</v>
      </c>
      <c r="AM38">
        <f t="shared" si="7"/>
        <v>0.70247526923000003</v>
      </c>
      <c r="AP38" s="9"/>
      <c r="AQ38" s="22">
        <v>1.6589400000000001</v>
      </c>
      <c r="AR38" s="22">
        <v>444.99200000000002</v>
      </c>
      <c r="AS38" s="22">
        <v>-7.2540299999999999E-3</v>
      </c>
      <c r="AT38" s="22">
        <v>28</v>
      </c>
      <c r="AU38" s="22">
        <v>1.6583300000000001</v>
      </c>
      <c r="AV38">
        <f t="shared" si="8"/>
        <v>7.2540300000000002</v>
      </c>
      <c r="AW38">
        <f t="shared" si="9"/>
        <v>12.034000528200002</v>
      </c>
      <c r="AX38" s="9"/>
      <c r="AY38" s="22">
        <v>4.1046100000000002E-2</v>
      </c>
      <c r="AZ38" s="22">
        <v>522.01700000000005</v>
      </c>
      <c r="BA38" s="22">
        <v>-1.7010500000000001E-2</v>
      </c>
      <c r="BB38" s="22">
        <v>28</v>
      </c>
      <c r="BC38" s="22">
        <v>4.0957599999999997E-2</v>
      </c>
      <c r="BD38">
        <f t="shared" si="10"/>
        <v>17.0105</v>
      </c>
      <c r="BE38">
        <f t="shared" si="11"/>
        <v>0.69821468405000009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78.692800000000005</v>
      </c>
      <c r="I39" s="22">
        <v>-9.5458999999999995E-3</v>
      </c>
      <c r="J39" s="22">
        <v>29</v>
      </c>
      <c r="K39" s="22">
        <v>1.65283</v>
      </c>
      <c r="L39">
        <f t="shared" si="0"/>
        <v>9.5458999999999996</v>
      </c>
      <c r="M39">
        <f t="shared" si="1"/>
        <v>15.787964009999998</v>
      </c>
      <c r="N39" s="9"/>
      <c r="O39" s="22">
        <v>4.6081499999999997E-2</v>
      </c>
      <c r="P39" s="22">
        <v>172.65600000000001</v>
      </c>
      <c r="Q39" s="22">
        <v>-1.7163100000000001E-2</v>
      </c>
      <c r="R39" s="22">
        <v>29</v>
      </c>
      <c r="S39" s="22">
        <v>4.6008300000000002E-2</v>
      </c>
      <c r="T39">
        <f t="shared" si="2"/>
        <v>17.1631</v>
      </c>
      <c r="U39">
        <f t="shared" si="3"/>
        <v>0.79090139264999992</v>
      </c>
      <c r="X39" s="9"/>
      <c r="Y39" s="22">
        <v>1.6538999999999999</v>
      </c>
      <c r="Z39" s="22">
        <v>290.42500000000001</v>
      </c>
      <c r="AA39" s="22">
        <v>-8.3129899999999993E-3</v>
      </c>
      <c r="AB39" s="22">
        <v>29</v>
      </c>
      <c r="AC39" s="22">
        <v>1.6531400000000001</v>
      </c>
      <c r="AD39">
        <f t="shared" si="4"/>
        <v>8.3129899999999992</v>
      </c>
      <c r="AE39">
        <f t="shared" si="5"/>
        <v>13.748854160999999</v>
      </c>
      <c r="AF39" s="9"/>
      <c r="AG39" s="22">
        <v>4.6081499999999997E-2</v>
      </c>
      <c r="AH39" s="22">
        <v>355.791</v>
      </c>
      <c r="AI39" s="22">
        <v>-1.7092900000000001E-2</v>
      </c>
      <c r="AJ39" s="22">
        <v>29</v>
      </c>
      <c r="AK39" s="22">
        <v>4.6047999999999999E-2</v>
      </c>
      <c r="AL39">
        <f t="shared" si="6"/>
        <v>17.0929</v>
      </c>
      <c r="AM39">
        <f t="shared" si="7"/>
        <v>0.78766647135000001</v>
      </c>
      <c r="AP39" s="9"/>
      <c r="AQ39" s="22">
        <v>1.6538999999999999</v>
      </c>
      <c r="AR39" s="22">
        <v>445.09300000000002</v>
      </c>
      <c r="AS39" s="22">
        <v>-7.6843299999999996E-3</v>
      </c>
      <c r="AT39" s="22">
        <v>29</v>
      </c>
      <c r="AU39" s="22">
        <v>1.6525300000000001</v>
      </c>
      <c r="AV39">
        <f t="shared" si="8"/>
        <v>7.6843299999999992</v>
      </c>
      <c r="AW39">
        <f t="shared" si="9"/>
        <v>12.709113386999999</v>
      </c>
      <c r="AX39" s="9"/>
      <c r="AY39" s="22">
        <v>4.6081499999999997E-2</v>
      </c>
      <c r="AZ39" s="22">
        <v>522.11800000000005</v>
      </c>
      <c r="BA39" s="22">
        <v>-1.7025800000000001E-2</v>
      </c>
      <c r="BB39" s="22">
        <v>29</v>
      </c>
      <c r="BC39" s="22">
        <v>4.5990000000000003E-2</v>
      </c>
      <c r="BD39">
        <f t="shared" si="10"/>
        <v>17.0258</v>
      </c>
      <c r="BE39">
        <f t="shared" si="11"/>
        <v>0.78457440270000001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78.793499999999995</v>
      </c>
      <c r="I40" s="22">
        <v>-9.9670399999999999E-3</v>
      </c>
      <c r="J40" s="22">
        <v>30</v>
      </c>
      <c r="K40" s="22">
        <v>1.64825</v>
      </c>
      <c r="L40">
        <f t="shared" si="0"/>
        <v>9.9670400000000008</v>
      </c>
      <c r="M40">
        <f t="shared" si="1"/>
        <v>16.4342535744</v>
      </c>
      <c r="N40" s="9"/>
      <c r="O40" s="22">
        <v>5.11169E-2</v>
      </c>
      <c r="P40" s="22">
        <v>172.75700000000001</v>
      </c>
      <c r="Q40" s="22">
        <v>-1.7169199999999999E-2</v>
      </c>
      <c r="R40" s="22">
        <v>30</v>
      </c>
      <c r="S40" s="22">
        <v>5.1010100000000003E-2</v>
      </c>
      <c r="T40">
        <f t="shared" si="2"/>
        <v>17.1692</v>
      </c>
      <c r="U40">
        <f t="shared" si="3"/>
        <v>0.87763627948</v>
      </c>
      <c r="X40" s="9"/>
      <c r="Y40" s="22">
        <v>1.64886</v>
      </c>
      <c r="Z40" s="22">
        <v>290.52600000000001</v>
      </c>
      <c r="AA40" s="22">
        <v>-8.4503200000000007E-3</v>
      </c>
      <c r="AB40" s="22">
        <v>30</v>
      </c>
      <c r="AC40" s="22">
        <v>1.64825</v>
      </c>
      <c r="AD40">
        <f t="shared" si="4"/>
        <v>8.4503200000000014</v>
      </c>
      <c r="AE40">
        <f t="shared" si="5"/>
        <v>13.933394635200003</v>
      </c>
      <c r="AF40" s="9"/>
      <c r="AG40" s="22">
        <v>5.11169E-2</v>
      </c>
      <c r="AH40" s="22">
        <v>355.892</v>
      </c>
      <c r="AI40" s="22">
        <v>-1.70837E-2</v>
      </c>
      <c r="AJ40" s="22">
        <v>30</v>
      </c>
      <c r="AK40" s="22">
        <v>5.1004000000000001E-2</v>
      </c>
      <c r="AL40">
        <f t="shared" si="6"/>
        <v>17.0837</v>
      </c>
      <c r="AM40">
        <f t="shared" si="7"/>
        <v>0.87326578453000003</v>
      </c>
      <c r="AP40" s="9"/>
      <c r="AQ40" s="22">
        <v>1.64886</v>
      </c>
      <c r="AR40" s="22">
        <v>445.19400000000002</v>
      </c>
      <c r="AS40" s="22">
        <v>-8.2336400000000004E-3</v>
      </c>
      <c r="AT40" s="22">
        <v>30</v>
      </c>
      <c r="AU40" s="22">
        <v>1.64795</v>
      </c>
      <c r="AV40">
        <f t="shared" si="8"/>
        <v>8.2336400000000012</v>
      </c>
      <c r="AW40">
        <f t="shared" si="9"/>
        <v>13.576119650400003</v>
      </c>
      <c r="AX40" s="9"/>
      <c r="AY40" s="22">
        <v>5.11169E-2</v>
      </c>
      <c r="AZ40" s="22">
        <v>522.21900000000005</v>
      </c>
      <c r="BA40" s="22">
        <v>-1.7007399999999999E-2</v>
      </c>
      <c r="BB40" s="22">
        <v>30</v>
      </c>
      <c r="BC40" s="22">
        <v>5.1092499999999999E-2</v>
      </c>
      <c r="BD40">
        <f t="shared" si="10"/>
        <v>17.007400000000001</v>
      </c>
      <c r="BE40">
        <f t="shared" si="11"/>
        <v>0.86936556506000007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78.894199999999998</v>
      </c>
      <c r="I41" s="22">
        <v>-1.0324099999999999E-2</v>
      </c>
      <c r="J41" s="22">
        <v>31</v>
      </c>
      <c r="K41" s="22">
        <v>1.64307</v>
      </c>
      <c r="L41">
        <f t="shared" si="0"/>
        <v>10.3241</v>
      </c>
      <c r="M41">
        <f t="shared" si="1"/>
        <v>16.971065303</v>
      </c>
      <c r="N41" s="9"/>
      <c r="O41" s="22">
        <v>5.6152300000000002E-2</v>
      </c>
      <c r="P41" s="22">
        <v>172.858</v>
      </c>
      <c r="Q41" s="22">
        <v>-1.71661E-2</v>
      </c>
      <c r="R41" s="22">
        <v>31</v>
      </c>
      <c r="S41" s="22">
        <v>5.5542000000000001E-2</v>
      </c>
      <c r="T41">
        <f t="shared" si="2"/>
        <v>17.1661</v>
      </c>
      <c r="U41">
        <f t="shared" si="3"/>
        <v>0.96391599703000008</v>
      </c>
      <c r="X41" s="9"/>
      <c r="Y41" s="22">
        <v>1.6438299999999999</v>
      </c>
      <c r="Z41" s="22">
        <v>290.62700000000001</v>
      </c>
      <c r="AA41" s="22">
        <v>-8.8806200000000005E-3</v>
      </c>
      <c r="AB41" s="22">
        <v>31</v>
      </c>
      <c r="AC41" s="22">
        <v>1.64337</v>
      </c>
      <c r="AD41">
        <f t="shared" si="4"/>
        <v>8.8806200000000004</v>
      </c>
      <c r="AE41">
        <f t="shared" si="5"/>
        <v>14.598229574599999</v>
      </c>
      <c r="AF41" s="9"/>
      <c r="AG41" s="22">
        <v>5.6152300000000002E-2</v>
      </c>
      <c r="AH41" s="22">
        <v>355.99299999999999</v>
      </c>
      <c r="AI41" s="22">
        <v>-1.7086799999999999E-2</v>
      </c>
      <c r="AJ41" s="22">
        <v>31</v>
      </c>
      <c r="AK41" s="22">
        <v>5.5542000000000001E-2</v>
      </c>
      <c r="AL41">
        <f t="shared" si="6"/>
        <v>17.0868</v>
      </c>
      <c r="AM41">
        <f t="shared" si="7"/>
        <v>0.95946311964000008</v>
      </c>
      <c r="AP41" s="9"/>
      <c r="AQ41" s="22">
        <v>1.6438299999999999</v>
      </c>
      <c r="AR41" s="22">
        <v>445.29399999999998</v>
      </c>
      <c r="AS41" s="22">
        <v>-8.4777800000000007E-3</v>
      </c>
      <c r="AT41" s="22">
        <v>31</v>
      </c>
      <c r="AU41" s="22">
        <v>1.64276</v>
      </c>
      <c r="AV41">
        <f t="shared" si="8"/>
        <v>8.477780000000001</v>
      </c>
      <c r="AW41">
        <f t="shared" si="9"/>
        <v>13.936029097400001</v>
      </c>
      <c r="AX41" s="9"/>
      <c r="AY41" s="22">
        <v>5.6152300000000002E-2</v>
      </c>
      <c r="AZ41" s="22">
        <v>522.32000000000005</v>
      </c>
      <c r="BA41" s="22">
        <v>-1.6995199999999999E-2</v>
      </c>
      <c r="BB41" s="22">
        <v>31</v>
      </c>
      <c r="BC41" s="22">
        <v>5.5603E-2</v>
      </c>
      <c r="BD41">
        <f t="shared" si="10"/>
        <v>16.995199999999997</v>
      </c>
      <c r="BE41">
        <f t="shared" si="11"/>
        <v>0.95431956895999992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78.994900000000001</v>
      </c>
      <c r="I42" s="22">
        <v>-1.0720800000000001E-2</v>
      </c>
      <c r="J42" s="22">
        <v>32</v>
      </c>
      <c r="K42" s="22">
        <v>1.63788</v>
      </c>
      <c r="L42">
        <f t="shared" si="0"/>
        <v>10.720800000000001</v>
      </c>
      <c r="M42">
        <f t="shared" si="1"/>
        <v>17.569139832000001</v>
      </c>
      <c r="N42" s="9"/>
      <c r="O42" s="22">
        <v>6.1187699999999998E-2</v>
      </c>
      <c r="P42" s="22">
        <v>172.958</v>
      </c>
      <c r="Q42" s="22">
        <v>-1.7163100000000001E-2</v>
      </c>
      <c r="R42" s="22">
        <v>32</v>
      </c>
      <c r="S42" s="22">
        <v>6.0577400000000003E-2</v>
      </c>
      <c r="T42">
        <f t="shared" si="2"/>
        <v>17.1631</v>
      </c>
      <c r="U42">
        <f t="shared" si="3"/>
        <v>1.05017061387</v>
      </c>
      <c r="X42" s="9"/>
      <c r="Y42" s="22">
        <v>1.63879</v>
      </c>
      <c r="Z42" s="22">
        <v>290.72699999999998</v>
      </c>
      <c r="AA42" s="22">
        <v>-8.9202900000000009E-3</v>
      </c>
      <c r="AB42" s="22">
        <v>32</v>
      </c>
      <c r="AC42" s="22">
        <v>1.63818</v>
      </c>
      <c r="AD42">
        <f t="shared" si="4"/>
        <v>8.9202900000000014</v>
      </c>
      <c r="AE42">
        <f t="shared" si="5"/>
        <v>14.618482049100002</v>
      </c>
      <c r="AF42" s="9"/>
      <c r="AG42" s="22">
        <v>6.1187699999999998E-2</v>
      </c>
      <c r="AH42" s="22">
        <v>356.09399999999999</v>
      </c>
      <c r="AI42" s="22">
        <v>-1.7099E-2</v>
      </c>
      <c r="AJ42" s="22">
        <v>32</v>
      </c>
      <c r="AK42" s="22">
        <v>6.0638400000000002E-2</v>
      </c>
      <c r="AL42">
        <f t="shared" si="6"/>
        <v>17.099</v>
      </c>
      <c r="AM42">
        <f t="shared" si="7"/>
        <v>1.0462484823</v>
      </c>
      <c r="AP42" s="9"/>
      <c r="AQ42" s="22">
        <v>1.63879</v>
      </c>
      <c r="AR42" s="22">
        <v>445.39499999999998</v>
      </c>
      <c r="AS42" s="22">
        <v>-8.88977E-3</v>
      </c>
      <c r="AT42" s="22">
        <v>32</v>
      </c>
      <c r="AU42" s="22">
        <v>1.63788</v>
      </c>
      <c r="AV42">
        <f t="shared" si="8"/>
        <v>8.8897700000000004</v>
      </c>
      <c r="AW42">
        <f t="shared" si="9"/>
        <v>14.5684661783</v>
      </c>
      <c r="AX42" s="9"/>
      <c r="AY42" s="22">
        <v>6.1187699999999998E-2</v>
      </c>
      <c r="AZ42" s="22">
        <v>522.41999999999996</v>
      </c>
      <c r="BA42" s="22">
        <v>-1.6995199999999999E-2</v>
      </c>
      <c r="BB42" s="22">
        <v>32</v>
      </c>
      <c r="BC42" s="22">
        <v>6.0607899999999999E-2</v>
      </c>
      <c r="BD42">
        <f t="shared" si="10"/>
        <v>16.995199999999997</v>
      </c>
      <c r="BE42">
        <f t="shared" si="11"/>
        <v>1.0398971990399997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79.095600000000005</v>
      </c>
      <c r="I43" s="22">
        <v>-1.1013800000000001E-2</v>
      </c>
      <c r="J43" s="22">
        <v>33</v>
      </c>
      <c r="K43" s="22">
        <v>1.63269</v>
      </c>
      <c r="L43">
        <f t="shared" si="0"/>
        <v>11.0138</v>
      </c>
      <c r="M43">
        <f t="shared" si="1"/>
        <v>17.993905888</v>
      </c>
      <c r="N43" s="9"/>
      <c r="O43" s="22">
        <v>6.6223099999999993E-2</v>
      </c>
      <c r="P43" s="22">
        <v>173.059</v>
      </c>
      <c r="Q43" s="22">
        <v>-1.7163100000000001E-2</v>
      </c>
      <c r="R43" s="22">
        <v>33</v>
      </c>
      <c r="S43" s="22">
        <v>6.5612799999999999E-2</v>
      </c>
      <c r="T43">
        <f t="shared" si="2"/>
        <v>17.1631</v>
      </c>
      <c r="U43">
        <f t="shared" si="3"/>
        <v>1.1365936876099998</v>
      </c>
      <c r="X43" s="9"/>
      <c r="Y43" s="22">
        <v>1.6337600000000001</v>
      </c>
      <c r="Z43" s="22">
        <v>290.82799999999997</v>
      </c>
      <c r="AA43" s="22">
        <v>-9.3933100000000002E-3</v>
      </c>
      <c r="AB43" s="22">
        <v>33</v>
      </c>
      <c r="AC43" s="22">
        <v>1.63269</v>
      </c>
      <c r="AD43">
        <f t="shared" si="4"/>
        <v>9.3933099999999996</v>
      </c>
      <c r="AE43">
        <f t="shared" si="5"/>
        <v>15.346414145600001</v>
      </c>
      <c r="AF43" s="9"/>
      <c r="AG43" s="22">
        <v>6.6223099999999993E-2</v>
      </c>
      <c r="AH43" s="22">
        <v>356.19400000000002</v>
      </c>
      <c r="AI43" s="22">
        <v>-1.7099E-2</v>
      </c>
      <c r="AJ43" s="22">
        <v>33</v>
      </c>
      <c r="AK43" s="22">
        <v>6.5612799999999999E-2</v>
      </c>
      <c r="AL43">
        <f t="shared" si="6"/>
        <v>17.099</v>
      </c>
      <c r="AM43">
        <f t="shared" si="7"/>
        <v>1.1323487869</v>
      </c>
      <c r="AP43" s="9"/>
      <c r="AQ43" s="22">
        <v>1.6337600000000001</v>
      </c>
      <c r="AR43" s="22">
        <v>445.49599999999998</v>
      </c>
      <c r="AS43" s="22">
        <v>-9.2651399999999998E-3</v>
      </c>
      <c r="AT43" s="22">
        <v>33</v>
      </c>
      <c r="AU43" s="22">
        <v>1.633</v>
      </c>
      <c r="AV43">
        <f t="shared" si="8"/>
        <v>9.2651400000000006</v>
      </c>
      <c r="AW43">
        <f t="shared" si="9"/>
        <v>15.137015126400001</v>
      </c>
      <c r="AX43" s="9"/>
      <c r="AY43" s="22">
        <v>6.6223099999999993E-2</v>
      </c>
      <c r="AZ43" s="22">
        <v>522.52099999999996</v>
      </c>
      <c r="BA43" s="22">
        <v>-1.6995199999999999E-2</v>
      </c>
      <c r="BB43" s="22">
        <v>33</v>
      </c>
      <c r="BC43" s="22">
        <v>6.5643300000000002E-2</v>
      </c>
      <c r="BD43">
        <f t="shared" si="10"/>
        <v>16.995199999999997</v>
      </c>
      <c r="BE43">
        <f t="shared" si="11"/>
        <v>1.1254748291199996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79.196299999999994</v>
      </c>
      <c r="I44" s="22">
        <v>-1.1184700000000001E-2</v>
      </c>
      <c r="J44" s="22">
        <v>34</v>
      </c>
      <c r="K44" s="22">
        <v>1.62781</v>
      </c>
      <c r="L44">
        <f t="shared" si="0"/>
        <v>11.184700000000001</v>
      </c>
      <c r="M44">
        <f t="shared" si="1"/>
        <v>18.216744584000001</v>
      </c>
      <c r="N44" s="9"/>
      <c r="O44" s="22">
        <v>7.1258500000000002E-2</v>
      </c>
      <c r="P44" s="22">
        <v>173.16</v>
      </c>
      <c r="Q44" s="22">
        <v>-1.71539E-2</v>
      </c>
      <c r="R44" s="22">
        <v>34</v>
      </c>
      <c r="S44" s="22">
        <v>7.0770299999999994E-2</v>
      </c>
      <c r="T44">
        <f t="shared" si="2"/>
        <v>17.1539</v>
      </c>
      <c r="U44">
        <f t="shared" si="3"/>
        <v>1.2223611831500001</v>
      </c>
      <c r="X44" s="9"/>
      <c r="Y44" s="22">
        <v>1.6287199999999999</v>
      </c>
      <c r="Z44" s="22">
        <v>290.92899999999997</v>
      </c>
      <c r="AA44" s="22">
        <v>-9.8052999999999994E-3</v>
      </c>
      <c r="AB44" s="22">
        <v>34</v>
      </c>
      <c r="AC44" s="22">
        <v>1.6281099999999999</v>
      </c>
      <c r="AD44">
        <f t="shared" si="4"/>
        <v>9.805299999999999</v>
      </c>
      <c r="AE44">
        <f t="shared" si="5"/>
        <v>15.970088215999997</v>
      </c>
      <c r="AF44" s="9"/>
      <c r="AG44" s="22">
        <v>7.1258500000000002E-2</v>
      </c>
      <c r="AH44" s="22">
        <v>356.29500000000002</v>
      </c>
      <c r="AI44" s="22">
        <v>-1.7092900000000001E-2</v>
      </c>
      <c r="AJ44" s="22">
        <v>34</v>
      </c>
      <c r="AK44" s="22">
        <v>7.07092E-2</v>
      </c>
      <c r="AL44">
        <f t="shared" si="6"/>
        <v>17.0929</v>
      </c>
      <c r="AM44">
        <f t="shared" si="7"/>
        <v>1.21801441465</v>
      </c>
      <c r="AP44" s="9"/>
      <c r="AQ44" s="22">
        <v>1.6287199999999999</v>
      </c>
      <c r="AR44" s="22">
        <v>445.596</v>
      </c>
      <c r="AS44" s="22">
        <v>-9.6771200000000009E-3</v>
      </c>
      <c r="AT44" s="22">
        <v>34</v>
      </c>
      <c r="AU44" s="22">
        <v>1.62781</v>
      </c>
      <c r="AV44">
        <f t="shared" si="8"/>
        <v>9.6771200000000004</v>
      </c>
      <c r="AW44">
        <f t="shared" si="9"/>
        <v>15.7613188864</v>
      </c>
      <c r="AX44" s="9"/>
      <c r="AY44" s="22">
        <v>7.1258500000000002E-2</v>
      </c>
      <c r="AZ44" s="22">
        <v>522.62199999999996</v>
      </c>
      <c r="BA44" s="22">
        <v>-1.6964699999999999E-2</v>
      </c>
      <c r="BB44" s="22">
        <v>34</v>
      </c>
      <c r="BC44" s="22">
        <v>7.0648199999999994E-2</v>
      </c>
      <c r="BD44">
        <f t="shared" si="10"/>
        <v>16.964700000000001</v>
      </c>
      <c r="BE44">
        <f t="shared" si="11"/>
        <v>1.20887907495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79.296999999999997</v>
      </c>
      <c r="I45" s="22">
        <v>-1.1410500000000001E-2</v>
      </c>
      <c r="J45" s="22">
        <v>35</v>
      </c>
      <c r="K45" s="22">
        <v>1.62323</v>
      </c>
      <c r="L45">
        <f t="shared" si="0"/>
        <v>11.410500000000001</v>
      </c>
      <c r="M45">
        <f t="shared" si="1"/>
        <v>18.527114745000002</v>
      </c>
      <c r="N45" s="9"/>
      <c r="O45" s="22">
        <v>7.6293899999999998E-2</v>
      </c>
      <c r="P45" s="22">
        <v>173.261</v>
      </c>
      <c r="Q45" s="22">
        <v>-1.7147800000000001E-2</v>
      </c>
      <c r="R45" s="22">
        <v>35</v>
      </c>
      <c r="S45" s="22">
        <v>7.5683600000000004E-2</v>
      </c>
      <c r="T45">
        <f t="shared" si="2"/>
        <v>17.1478</v>
      </c>
      <c r="U45">
        <f t="shared" si="3"/>
        <v>1.30827253842</v>
      </c>
      <c r="X45" s="9"/>
      <c r="Y45" s="22">
        <v>1.6236900000000001</v>
      </c>
      <c r="Z45" s="22">
        <v>291.02999999999997</v>
      </c>
      <c r="AA45" s="22">
        <v>-1.01105E-2</v>
      </c>
      <c r="AB45" s="22">
        <v>35</v>
      </c>
      <c r="AC45" s="22">
        <v>1.62323</v>
      </c>
      <c r="AD45">
        <f t="shared" si="4"/>
        <v>10.1105</v>
      </c>
      <c r="AE45">
        <f t="shared" si="5"/>
        <v>16.416317745000001</v>
      </c>
      <c r="AF45" s="9"/>
      <c r="AG45" s="22">
        <v>7.6293899999999998E-2</v>
      </c>
      <c r="AH45" s="22">
        <v>356.39600000000002</v>
      </c>
      <c r="AI45" s="22">
        <v>-1.7092900000000001E-2</v>
      </c>
      <c r="AJ45" s="22">
        <v>35</v>
      </c>
      <c r="AK45" s="22">
        <v>7.5744599999999995E-2</v>
      </c>
      <c r="AL45">
        <f t="shared" si="6"/>
        <v>17.0929</v>
      </c>
      <c r="AM45">
        <f t="shared" si="7"/>
        <v>1.3040840033100001</v>
      </c>
      <c r="AP45" s="9"/>
      <c r="AQ45" s="22">
        <v>1.6236900000000001</v>
      </c>
      <c r="AR45" s="22">
        <v>445.697</v>
      </c>
      <c r="AS45" s="22">
        <v>-1.00067E-2</v>
      </c>
      <c r="AT45" s="22">
        <v>35</v>
      </c>
      <c r="AU45" s="22">
        <v>1.62354</v>
      </c>
      <c r="AV45">
        <f t="shared" si="8"/>
        <v>10.0067</v>
      </c>
      <c r="AW45">
        <f t="shared" si="9"/>
        <v>16.247778723</v>
      </c>
      <c r="AX45" s="9"/>
      <c r="AY45" s="22">
        <v>7.6293899999999998E-2</v>
      </c>
      <c r="AZ45" s="22">
        <v>522.72199999999998</v>
      </c>
      <c r="BA45" s="22">
        <v>-1.6979999999999999E-2</v>
      </c>
      <c r="BB45" s="22">
        <v>35</v>
      </c>
      <c r="BC45" s="22">
        <v>7.5744599999999995E-2</v>
      </c>
      <c r="BD45">
        <f t="shared" si="10"/>
        <v>16.979999999999997</v>
      </c>
      <c r="BE45">
        <f t="shared" si="11"/>
        <v>1.2954704219999997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79.397800000000004</v>
      </c>
      <c r="I46" s="22">
        <v>-1.1618E-2</v>
      </c>
      <c r="J46" s="22">
        <v>36</v>
      </c>
      <c r="K46" s="22">
        <v>1.6174299999999999</v>
      </c>
      <c r="L46">
        <f t="shared" si="0"/>
        <v>11.618</v>
      </c>
      <c r="M46">
        <f t="shared" si="1"/>
        <v>18.805475699999999</v>
      </c>
      <c r="N46" s="9"/>
      <c r="O46" s="22">
        <v>8.1329299999999993E-2</v>
      </c>
      <c r="P46" s="22">
        <v>173.36099999999999</v>
      </c>
      <c r="Q46" s="22">
        <v>-1.7160000000000002E-2</v>
      </c>
      <c r="R46" s="22">
        <v>36</v>
      </c>
      <c r="S46" s="22">
        <v>8.0780000000000005E-2</v>
      </c>
      <c r="T46">
        <f t="shared" si="2"/>
        <v>17.16</v>
      </c>
      <c r="U46">
        <f t="shared" si="3"/>
        <v>1.3956107879999999</v>
      </c>
      <c r="X46" s="9"/>
      <c r="Y46" s="22">
        <v>1.6186499999999999</v>
      </c>
      <c r="Z46" s="22">
        <v>291.13</v>
      </c>
      <c r="AA46" s="22">
        <v>-1.0418699999999999E-2</v>
      </c>
      <c r="AB46" s="22">
        <v>36</v>
      </c>
      <c r="AC46" s="22">
        <v>1.6180399999999999</v>
      </c>
      <c r="AD46">
        <f t="shared" si="4"/>
        <v>10.418699999999999</v>
      </c>
      <c r="AE46">
        <f t="shared" si="5"/>
        <v>16.864228754999999</v>
      </c>
      <c r="AF46" s="9"/>
      <c r="AG46" s="22">
        <v>8.1329299999999993E-2</v>
      </c>
      <c r="AH46" s="22">
        <v>356.49599999999998</v>
      </c>
      <c r="AI46" s="22">
        <v>-1.7074599999999999E-2</v>
      </c>
      <c r="AJ46" s="22">
        <v>36</v>
      </c>
      <c r="AK46" s="22">
        <v>8.0810499999999993E-2</v>
      </c>
      <c r="AL46">
        <f t="shared" si="6"/>
        <v>17.0746</v>
      </c>
      <c r="AM46">
        <f t="shared" si="7"/>
        <v>1.3886652657799998</v>
      </c>
      <c r="AP46" s="9"/>
      <c r="AQ46" s="22">
        <v>1.6186499999999999</v>
      </c>
      <c r="AR46" s="22">
        <v>445.798</v>
      </c>
      <c r="AS46" s="22">
        <v>-1.0351600000000001E-2</v>
      </c>
      <c r="AT46" s="22">
        <v>36</v>
      </c>
      <c r="AU46" s="22">
        <v>1.6180399999999999</v>
      </c>
      <c r="AV46">
        <f t="shared" si="8"/>
        <v>10.351600000000001</v>
      </c>
      <c r="AW46">
        <f t="shared" si="9"/>
        <v>16.755617340000001</v>
      </c>
      <c r="AX46" s="9"/>
      <c r="AY46" s="22">
        <v>8.1329299999999993E-2</v>
      </c>
      <c r="AZ46" s="22">
        <v>522.82299999999998</v>
      </c>
      <c r="BA46" s="22">
        <v>-1.70013E-2</v>
      </c>
      <c r="BB46" s="22">
        <v>36</v>
      </c>
      <c r="BC46" s="22">
        <v>8.0841099999999999E-2</v>
      </c>
      <c r="BD46">
        <f t="shared" si="10"/>
        <v>17.001300000000001</v>
      </c>
      <c r="BE46">
        <f t="shared" si="11"/>
        <v>1.3827038280899999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79.498500000000007</v>
      </c>
      <c r="I47" s="22">
        <v>-1.1886600000000001E-2</v>
      </c>
      <c r="J47" s="22">
        <v>37</v>
      </c>
      <c r="K47" s="22">
        <v>1.6128499999999999</v>
      </c>
      <c r="L47">
        <f t="shared" si="0"/>
        <v>11.886600000000001</v>
      </c>
      <c r="M47">
        <f t="shared" si="1"/>
        <v>19.180455492000004</v>
      </c>
      <c r="N47" s="9"/>
      <c r="O47" s="22">
        <v>8.6364700000000003E-2</v>
      </c>
      <c r="P47" s="22">
        <v>173.46199999999999</v>
      </c>
      <c r="Q47" s="22">
        <v>-1.7163100000000001E-2</v>
      </c>
      <c r="R47" s="22">
        <v>37</v>
      </c>
      <c r="S47" s="22">
        <v>8.5632299999999995E-2</v>
      </c>
      <c r="T47">
        <f t="shared" si="2"/>
        <v>17.1631</v>
      </c>
      <c r="U47">
        <f t="shared" si="3"/>
        <v>1.4822859825700001</v>
      </c>
      <c r="X47" s="9"/>
      <c r="Y47" s="22">
        <v>1.6136200000000001</v>
      </c>
      <c r="Z47" s="22">
        <v>291.23099999999999</v>
      </c>
      <c r="AA47" s="22">
        <v>-1.07758E-2</v>
      </c>
      <c r="AB47" s="22">
        <v>37</v>
      </c>
      <c r="AC47" s="22">
        <v>1.6125499999999999</v>
      </c>
      <c r="AD47">
        <f t="shared" si="4"/>
        <v>10.7758</v>
      </c>
      <c r="AE47">
        <f t="shared" si="5"/>
        <v>17.388046396</v>
      </c>
      <c r="AF47" s="9"/>
      <c r="AG47" s="22">
        <v>8.6364700000000003E-2</v>
      </c>
      <c r="AH47" s="22">
        <v>356.59699999999998</v>
      </c>
      <c r="AI47" s="22">
        <v>-1.7080700000000001E-2</v>
      </c>
      <c r="AJ47" s="22">
        <v>37</v>
      </c>
      <c r="AK47" s="22">
        <v>8.5693400000000003E-2</v>
      </c>
      <c r="AL47">
        <f t="shared" si="6"/>
        <v>17.0807</v>
      </c>
      <c r="AM47">
        <f t="shared" si="7"/>
        <v>1.4751695312900002</v>
      </c>
      <c r="AP47" s="9"/>
      <c r="AQ47" s="22">
        <v>1.6136200000000001</v>
      </c>
      <c r="AR47" s="22">
        <v>445.899</v>
      </c>
      <c r="AS47" s="22">
        <v>-1.07422E-2</v>
      </c>
      <c r="AT47" s="22">
        <v>37</v>
      </c>
      <c r="AU47" s="22">
        <v>1.6128499999999999</v>
      </c>
      <c r="AV47">
        <f t="shared" si="8"/>
        <v>10.7422</v>
      </c>
      <c r="AW47">
        <f t="shared" si="9"/>
        <v>17.333828764</v>
      </c>
      <c r="AX47" s="9"/>
      <c r="AY47" s="22">
        <v>8.6364700000000003E-2</v>
      </c>
      <c r="AZ47" s="22">
        <v>522.92399999999998</v>
      </c>
      <c r="BA47" s="22">
        <v>-1.7007399999999999E-2</v>
      </c>
      <c r="BB47" s="22">
        <v>37</v>
      </c>
      <c r="BC47" s="22">
        <v>8.5754399999999995E-2</v>
      </c>
      <c r="BD47">
        <f t="shared" si="10"/>
        <v>17.007400000000001</v>
      </c>
      <c r="BE47">
        <f t="shared" si="11"/>
        <v>1.4688389987800001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79.599199999999996</v>
      </c>
      <c r="I48" s="22">
        <v>-1.21826E-2</v>
      </c>
      <c r="J48" s="22">
        <v>38</v>
      </c>
      <c r="K48" s="22">
        <v>1.6079699999999999</v>
      </c>
      <c r="L48">
        <f t="shared" si="0"/>
        <v>12.182600000000001</v>
      </c>
      <c r="M48">
        <f t="shared" si="1"/>
        <v>19.596686708</v>
      </c>
      <c r="N48" s="9"/>
      <c r="O48" s="22">
        <v>9.1400099999999998E-2</v>
      </c>
      <c r="P48" s="22">
        <v>173.56299999999999</v>
      </c>
      <c r="Q48" s="22">
        <v>-1.7141699999999999E-2</v>
      </c>
      <c r="R48" s="22">
        <v>38</v>
      </c>
      <c r="S48" s="22">
        <v>9.0972899999999995E-2</v>
      </c>
      <c r="T48">
        <f t="shared" si="2"/>
        <v>17.1417</v>
      </c>
      <c r="U48">
        <f t="shared" si="3"/>
        <v>1.5667530941700001</v>
      </c>
      <c r="X48" s="9"/>
      <c r="Y48" s="22">
        <v>1.6085799999999999</v>
      </c>
      <c r="Z48" s="22">
        <v>291.33199999999999</v>
      </c>
      <c r="AA48" s="22">
        <v>-1.13922E-2</v>
      </c>
      <c r="AB48" s="22">
        <v>38</v>
      </c>
      <c r="AC48" s="22">
        <v>1.6079699999999999</v>
      </c>
      <c r="AD48">
        <f t="shared" si="4"/>
        <v>11.392200000000001</v>
      </c>
      <c r="AE48">
        <f t="shared" si="5"/>
        <v>18.325265076000001</v>
      </c>
      <c r="AF48" s="9"/>
      <c r="AG48" s="22">
        <v>9.1400099999999998E-2</v>
      </c>
      <c r="AH48" s="22">
        <v>356.69799999999998</v>
      </c>
      <c r="AI48" s="22">
        <v>-1.70837E-2</v>
      </c>
      <c r="AJ48" s="22">
        <v>38</v>
      </c>
      <c r="AK48" s="22">
        <v>9.0820300000000007E-2</v>
      </c>
      <c r="AL48">
        <f t="shared" si="6"/>
        <v>17.0837</v>
      </c>
      <c r="AM48">
        <f t="shared" si="7"/>
        <v>1.5614518883699999</v>
      </c>
      <c r="AP48" s="9"/>
      <c r="AQ48" s="22">
        <v>1.6085799999999999</v>
      </c>
      <c r="AR48" s="22">
        <v>445.99900000000002</v>
      </c>
      <c r="AS48" s="22">
        <v>-1.10046E-2</v>
      </c>
      <c r="AT48" s="22">
        <v>38</v>
      </c>
      <c r="AU48" s="22">
        <v>1.6082799999999999</v>
      </c>
      <c r="AV48">
        <f t="shared" si="8"/>
        <v>11.0046</v>
      </c>
      <c r="AW48">
        <f t="shared" si="9"/>
        <v>17.701779467999998</v>
      </c>
      <c r="AX48" s="9"/>
      <c r="AY48" s="22">
        <v>9.1400099999999998E-2</v>
      </c>
      <c r="AZ48" s="22">
        <v>523.02499999999998</v>
      </c>
      <c r="BA48" s="22">
        <v>-1.69769E-2</v>
      </c>
      <c r="BB48" s="22">
        <v>38</v>
      </c>
      <c r="BC48" s="22">
        <v>9.0850799999999995E-2</v>
      </c>
      <c r="BD48">
        <f t="shared" si="10"/>
        <v>16.976900000000001</v>
      </c>
      <c r="BE48">
        <f t="shared" si="11"/>
        <v>1.5516903576900001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79.6999</v>
      </c>
      <c r="I49" s="22">
        <v>-1.2411500000000001E-2</v>
      </c>
      <c r="J49" s="22">
        <v>39</v>
      </c>
      <c r="K49" s="22">
        <v>1.6027800000000001</v>
      </c>
      <c r="L49">
        <f t="shared" si="0"/>
        <v>12.4115</v>
      </c>
      <c r="M49">
        <f t="shared" si="1"/>
        <v>19.902460825000002</v>
      </c>
      <c r="N49" s="9"/>
      <c r="O49" s="22">
        <v>9.6435499999999993E-2</v>
      </c>
      <c r="P49" s="22">
        <v>173.66300000000001</v>
      </c>
      <c r="Q49" s="22">
        <v>-1.7141699999999999E-2</v>
      </c>
      <c r="R49" s="22">
        <v>39</v>
      </c>
      <c r="S49" s="22">
        <v>9.5886200000000005E-2</v>
      </c>
      <c r="T49">
        <f t="shared" si="2"/>
        <v>17.1417</v>
      </c>
      <c r="U49">
        <f t="shared" si="3"/>
        <v>1.65306841035</v>
      </c>
      <c r="X49" s="9"/>
      <c r="Y49" s="22">
        <v>1.60355</v>
      </c>
      <c r="Z49" s="22">
        <v>291.43200000000002</v>
      </c>
      <c r="AA49" s="22">
        <v>-1.1318999999999999E-2</v>
      </c>
      <c r="AB49" s="22">
        <v>39</v>
      </c>
      <c r="AC49" s="22">
        <v>1.6030899999999999</v>
      </c>
      <c r="AD49">
        <f t="shared" si="4"/>
        <v>11.318999999999999</v>
      </c>
      <c r="AE49">
        <f t="shared" si="5"/>
        <v>18.150582449999998</v>
      </c>
      <c r="AF49" s="9"/>
      <c r="AG49" s="22">
        <v>9.6435499999999993E-2</v>
      </c>
      <c r="AH49" s="22">
        <v>356.798</v>
      </c>
      <c r="AI49" s="22">
        <v>-1.7074599999999999E-2</v>
      </c>
      <c r="AJ49" s="22">
        <v>39</v>
      </c>
      <c r="AK49" s="22">
        <v>9.5855700000000002E-2</v>
      </c>
      <c r="AL49">
        <f t="shared" si="6"/>
        <v>17.0746</v>
      </c>
      <c r="AM49">
        <f t="shared" si="7"/>
        <v>1.6465975882999999</v>
      </c>
      <c r="AP49" s="9"/>
      <c r="AQ49" s="22">
        <v>1.60355</v>
      </c>
      <c r="AR49" s="22">
        <v>446.1</v>
      </c>
      <c r="AS49" s="22">
        <v>-1.12274E-2</v>
      </c>
      <c r="AT49" s="22">
        <v>39</v>
      </c>
      <c r="AU49" s="22">
        <v>1.6033900000000001</v>
      </c>
      <c r="AV49">
        <f t="shared" si="8"/>
        <v>11.227399999999999</v>
      </c>
      <c r="AW49">
        <f t="shared" si="9"/>
        <v>18.00369727</v>
      </c>
      <c r="AX49" s="9"/>
      <c r="AY49" s="22">
        <v>9.6435499999999993E-2</v>
      </c>
      <c r="AZ49" s="22">
        <v>523.125</v>
      </c>
      <c r="BA49" s="22">
        <v>-1.69769E-2</v>
      </c>
      <c r="BB49" s="22">
        <v>39</v>
      </c>
      <c r="BC49" s="22">
        <v>9.5855700000000002E-2</v>
      </c>
      <c r="BD49">
        <f t="shared" si="10"/>
        <v>16.976900000000001</v>
      </c>
      <c r="BE49">
        <f t="shared" si="11"/>
        <v>1.63717583995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79.800600000000003</v>
      </c>
      <c r="I50" s="22">
        <v>-1.25519E-2</v>
      </c>
      <c r="J50" s="22">
        <v>40</v>
      </c>
      <c r="K50" s="22">
        <v>1.5979000000000001</v>
      </c>
      <c r="L50">
        <f t="shared" si="0"/>
        <v>12.5519</v>
      </c>
      <c r="M50">
        <f t="shared" si="1"/>
        <v>20.064337669</v>
      </c>
      <c r="N50" s="9"/>
      <c r="O50" s="22">
        <v>0.10147100000000001</v>
      </c>
      <c r="P50" s="22">
        <v>173.76400000000001</v>
      </c>
      <c r="Q50" s="22">
        <v>-1.7129499999999999E-2</v>
      </c>
      <c r="R50" s="22">
        <v>40</v>
      </c>
      <c r="S50" s="22">
        <v>0.10086100000000001</v>
      </c>
      <c r="T50">
        <f t="shared" si="2"/>
        <v>17.1295</v>
      </c>
      <c r="U50">
        <f t="shared" si="3"/>
        <v>1.7381474945000002</v>
      </c>
      <c r="X50" s="9"/>
      <c r="Y50" s="22">
        <v>1.5985100000000001</v>
      </c>
      <c r="Z50" s="22">
        <v>291.53300000000002</v>
      </c>
      <c r="AA50" s="22">
        <v>-1.15204E-2</v>
      </c>
      <c r="AB50" s="22">
        <v>40</v>
      </c>
      <c r="AC50" s="22">
        <v>1.5972900000000001</v>
      </c>
      <c r="AD50">
        <f t="shared" si="4"/>
        <v>11.5204</v>
      </c>
      <c r="AE50">
        <f t="shared" si="5"/>
        <v>18.415474604000003</v>
      </c>
      <c r="AF50" s="9"/>
      <c r="AG50" s="22">
        <v>0.10147100000000001</v>
      </c>
      <c r="AH50" s="22">
        <v>356.899</v>
      </c>
      <c r="AI50" s="22">
        <v>-1.7080700000000001E-2</v>
      </c>
      <c r="AJ50" s="22">
        <v>40</v>
      </c>
      <c r="AK50" s="22">
        <v>0.10089099999999999</v>
      </c>
      <c r="AL50">
        <f t="shared" si="6"/>
        <v>17.0807</v>
      </c>
      <c r="AM50">
        <f t="shared" si="7"/>
        <v>1.7331957097000001</v>
      </c>
      <c r="AP50" s="9"/>
      <c r="AQ50" s="22">
        <v>1.5985100000000001</v>
      </c>
      <c r="AR50" s="22">
        <v>446.20100000000002</v>
      </c>
      <c r="AS50" s="22">
        <v>-1.1621100000000001E-2</v>
      </c>
      <c r="AT50" s="22">
        <v>40</v>
      </c>
      <c r="AU50" s="22">
        <v>1.5982099999999999</v>
      </c>
      <c r="AV50">
        <f t="shared" si="8"/>
        <v>11.6211</v>
      </c>
      <c r="AW50">
        <f t="shared" si="9"/>
        <v>18.576444561000002</v>
      </c>
      <c r="AX50" s="9"/>
      <c r="AY50" s="22">
        <v>0.10147100000000001</v>
      </c>
      <c r="AZ50" s="22">
        <v>523.226</v>
      </c>
      <c r="BA50" s="22">
        <v>-1.6986100000000001E-2</v>
      </c>
      <c r="BB50" s="22">
        <v>40</v>
      </c>
      <c r="BC50" s="22">
        <v>0.10089099999999999</v>
      </c>
      <c r="BD50">
        <f t="shared" si="10"/>
        <v>16.9861</v>
      </c>
      <c r="BE50">
        <f t="shared" si="11"/>
        <v>1.7235965531000002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79.901300000000006</v>
      </c>
      <c r="I51" s="22">
        <v>-1.2811299999999999E-2</v>
      </c>
      <c r="J51" s="22">
        <v>41</v>
      </c>
      <c r="K51" s="22">
        <v>1.5933200000000001</v>
      </c>
      <c r="L51">
        <f t="shared" si="0"/>
        <v>12.811299999999999</v>
      </c>
      <c r="M51">
        <f t="shared" si="1"/>
        <v>20.414550324</v>
      </c>
      <c r="N51" s="9"/>
      <c r="O51" s="22">
        <v>0.106506</v>
      </c>
      <c r="P51" s="22">
        <v>173.86500000000001</v>
      </c>
      <c r="Q51" s="22">
        <v>-1.7141699999999999E-2</v>
      </c>
      <c r="R51" s="22">
        <v>41</v>
      </c>
      <c r="S51" s="22">
        <v>0.105865</v>
      </c>
      <c r="T51">
        <f t="shared" si="2"/>
        <v>17.1417</v>
      </c>
      <c r="U51">
        <f t="shared" si="3"/>
        <v>1.8256939002000001</v>
      </c>
      <c r="X51" s="9"/>
      <c r="Y51" s="22">
        <v>1.59348</v>
      </c>
      <c r="Z51" s="22">
        <v>291.63400000000001</v>
      </c>
      <c r="AA51" s="22">
        <v>-1.17126E-2</v>
      </c>
      <c r="AB51" s="22">
        <v>41</v>
      </c>
      <c r="AC51" s="22">
        <v>1.5933200000000001</v>
      </c>
      <c r="AD51">
        <f t="shared" si="4"/>
        <v>11.7126</v>
      </c>
      <c r="AE51">
        <f t="shared" si="5"/>
        <v>18.663793848000001</v>
      </c>
      <c r="AF51" s="9"/>
      <c r="AG51" s="22">
        <v>0.106506</v>
      </c>
      <c r="AH51" s="22">
        <v>357</v>
      </c>
      <c r="AI51" s="22">
        <v>-1.7062399999999998E-2</v>
      </c>
      <c r="AJ51" s="22">
        <v>41</v>
      </c>
      <c r="AK51" s="22">
        <v>0.10592699999999999</v>
      </c>
      <c r="AL51">
        <f t="shared" si="6"/>
        <v>17.062399999999997</v>
      </c>
      <c r="AM51">
        <f t="shared" si="7"/>
        <v>1.8172479743999996</v>
      </c>
      <c r="AP51" s="9"/>
      <c r="AQ51" s="22">
        <v>1.59348</v>
      </c>
      <c r="AR51" s="22">
        <v>446.30099999999999</v>
      </c>
      <c r="AS51" s="22">
        <v>-1.1898799999999999E-2</v>
      </c>
      <c r="AT51" s="22">
        <v>41</v>
      </c>
      <c r="AU51" s="22">
        <v>1.5930200000000001</v>
      </c>
      <c r="AV51">
        <f t="shared" si="8"/>
        <v>11.8988</v>
      </c>
      <c r="AW51">
        <f t="shared" si="9"/>
        <v>18.960499823999999</v>
      </c>
      <c r="AX51" s="9"/>
      <c r="AY51" s="22">
        <v>0.106506</v>
      </c>
      <c r="AZ51" s="22">
        <v>523.327</v>
      </c>
      <c r="BA51" s="22">
        <v>-1.69739E-2</v>
      </c>
      <c r="BB51" s="22">
        <v>41</v>
      </c>
      <c r="BC51" s="22">
        <v>0.105865</v>
      </c>
      <c r="BD51">
        <f t="shared" si="10"/>
        <v>16.9739</v>
      </c>
      <c r="BE51">
        <f t="shared" si="11"/>
        <v>1.8078221934000001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80.001999999999995</v>
      </c>
      <c r="I52" s="22">
        <v>-1.29639E-2</v>
      </c>
      <c r="J52" s="22">
        <v>42</v>
      </c>
      <c r="K52" s="22">
        <v>1.5878300000000001</v>
      </c>
      <c r="L52">
        <f t="shared" si="0"/>
        <v>12.963900000000001</v>
      </c>
      <c r="M52">
        <f t="shared" si="1"/>
        <v>20.592377316</v>
      </c>
      <c r="N52" s="9"/>
      <c r="O52" s="22">
        <v>0.111542</v>
      </c>
      <c r="P52" s="22">
        <v>173.96600000000001</v>
      </c>
      <c r="Q52" s="22">
        <v>-1.71539E-2</v>
      </c>
      <c r="R52" s="22">
        <v>42</v>
      </c>
      <c r="S52" s="22">
        <v>0.110931</v>
      </c>
      <c r="T52">
        <f t="shared" si="2"/>
        <v>17.1539</v>
      </c>
      <c r="U52">
        <f t="shared" si="3"/>
        <v>1.9133803138000001</v>
      </c>
      <c r="X52" s="9"/>
      <c r="Y52" s="22">
        <v>1.5884400000000001</v>
      </c>
      <c r="Z52" s="22">
        <v>291.73500000000001</v>
      </c>
      <c r="AA52" s="22">
        <v>-1.19232E-2</v>
      </c>
      <c r="AB52" s="22">
        <v>42</v>
      </c>
      <c r="AC52" s="22">
        <v>1.5878300000000001</v>
      </c>
      <c r="AD52">
        <f t="shared" si="4"/>
        <v>11.9232</v>
      </c>
      <c r="AE52">
        <f t="shared" si="5"/>
        <v>18.939287808</v>
      </c>
      <c r="AF52" s="9"/>
      <c r="AG52" s="22">
        <v>0.111542</v>
      </c>
      <c r="AH52" s="22">
        <v>357.101</v>
      </c>
      <c r="AI52" s="22">
        <v>-1.7074599999999999E-2</v>
      </c>
      <c r="AJ52" s="22">
        <v>42</v>
      </c>
      <c r="AK52" s="22">
        <v>0.11096200000000001</v>
      </c>
      <c r="AL52">
        <f t="shared" si="6"/>
        <v>17.0746</v>
      </c>
      <c r="AM52">
        <f t="shared" si="7"/>
        <v>1.9045350332000002</v>
      </c>
      <c r="AP52" s="9"/>
      <c r="AQ52" s="22">
        <v>1.5884400000000001</v>
      </c>
      <c r="AR52" s="22">
        <v>446.40199999999999</v>
      </c>
      <c r="AS52" s="22">
        <v>-1.2020899999999999E-2</v>
      </c>
      <c r="AT52" s="22">
        <v>42</v>
      </c>
      <c r="AU52" s="22">
        <v>1.5872200000000001</v>
      </c>
      <c r="AV52">
        <f t="shared" si="8"/>
        <v>12.020899999999999</v>
      </c>
      <c r="AW52">
        <f t="shared" si="9"/>
        <v>19.094478396</v>
      </c>
      <c r="AX52" s="9"/>
      <c r="AY52" s="22">
        <v>0.111542</v>
      </c>
      <c r="AZ52" s="22">
        <v>523.42700000000002</v>
      </c>
      <c r="BA52" s="22">
        <v>-1.6983000000000002E-2</v>
      </c>
      <c r="BB52" s="22">
        <v>42</v>
      </c>
      <c r="BC52" s="22">
        <v>0.111053</v>
      </c>
      <c r="BD52">
        <f t="shared" si="10"/>
        <v>16.983000000000001</v>
      </c>
      <c r="BE52">
        <f t="shared" si="11"/>
        <v>1.894317786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80.102699999999999</v>
      </c>
      <c r="I53" s="22">
        <v>-1.3159199999999999E-2</v>
      </c>
      <c r="J53" s="22">
        <v>43</v>
      </c>
      <c r="K53" s="22">
        <v>1.5829500000000001</v>
      </c>
      <c r="L53">
        <f t="shared" si="0"/>
        <v>13.1592</v>
      </c>
      <c r="M53">
        <f t="shared" si="1"/>
        <v>20.836277280000001</v>
      </c>
      <c r="N53" s="9"/>
      <c r="O53" s="22">
        <v>0.116577</v>
      </c>
      <c r="P53" s="22">
        <v>174.066</v>
      </c>
      <c r="Q53" s="22">
        <v>-1.71387E-2</v>
      </c>
      <c r="R53" s="22">
        <v>43</v>
      </c>
      <c r="S53" s="22">
        <v>0.11605799999999999</v>
      </c>
      <c r="T53">
        <f t="shared" si="2"/>
        <v>17.1387</v>
      </c>
      <c r="U53">
        <f t="shared" si="3"/>
        <v>1.9979782299</v>
      </c>
      <c r="X53" s="9"/>
      <c r="Y53" s="22">
        <v>1.5833999999999999</v>
      </c>
      <c r="Z53" s="22">
        <v>291.83499999999998</v>
      </c>
      <c r="AA53" s="22">
        <v>-1.21216E-2</v>
      </c>
      <c r="AB53" s="22">
        <v>43</v>
      </c>
      <c r="AC53" s="22">
        <v>1.5829500000000001</v>
      </c>
      <c r="AD53">
        <f t="shared" si="4"/>
        <v>12.121599999999999</v>
      </c>
      <c r="AE53">
        <f t="shared" si="5"/>
        <v>19.193341439999998</v>
      </c>
      <c r="AF53" s="9"/>
      <c r="AG53" s="22">
        <v>0.116577</v>
      </c>
      <c r="AH53" s="22">
        <v>357.20100000000002</v>
      </c>
      <c r="AI53" s="22">
        <v>-1.70685E-2</v>
      </c>
      <c r="AJ53" s="22">
        <v>43</v>
      </c>
      <c r="AK53" s="22">
        <v>0.11602800000000001</v>
      </c>
      <c r="AL53">
        <f t="shared" si="6"/>
        <v>17.0685</v>
      </c>
      <c r="AM53">
        <f t="shared" si="7"/>
        <v>1.9897945244999999</v>
      </c>
      <c r="AP53" s="9"/>
      <c r="AQ53" s="22">
        <v>1.5833999999999999</v>
      </c>
      <c r="AR53" s="22">
        <v>446.50299999999999</v>
      </c>
      <c r="AS53" s="22">
        <v>-1.21155E-2</v>
      </c>
      <c r="AT53" s="22">
        <v>43</v>
      </c>
      <c r="AU53" s="22">
        <v>1.5823400000000001</v>
      </c>
      <c r="AV53">
        <f t="shared" si="8"/>
        <v>12.115499999999999</v>
      </c>
      <c r="AW53">
        <f t="shared" si="9"/>
        <v>19.183682699999999</v>
      </c>
      <c r="AX53" s="9"/>
      <c r="AY53" s="22">
        <v>0.116577</v>
      </c>
      <c r="AZ53" s="22">
        <v>523.52800000000002</v>
      </c>
      <c r="BA53" s="22">
        <v>-1.6967800000000002E-2</v>
      </c>
      <c r="BB53" s="22">
        <v>43</v>
      </c>
      <c r="BC53" s="22">
        <v>0.11602800000000001</v>
      </c>
      <c r="BD53">
        <f t="shared" si="10"/>
        <v>16.9678</v>
      </c>
      <c r="BE53">
        <f t="shared" si="11"/>
        <v>1.9780552205999999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80.203400000000002</v>
      </c>
      <c r="I54" s="22">
        <v>-1.33942E-2</v>
      </c>
      <c r="J54" s="22">
        <v>44</v>
      </c>
      <c r="K54" s="22">
        <v>1.5771500000000001</v>
      </c>
      <c r="L54">
        <f t="shared" si="0"/>
        <v>13.3942</v>
      </c>
      <c r="M54">
        <f t="shared" si="1"/>
        <v>21.141003454</v>
      </c>
      <c r="N54" s="9"/>
      <c r="O54" s="22">
        <v>0.121613</v>
      </c>
      <c r="P54" s="22">
        <v>174.167</v>
      </c>
      <c r="Q54" s="22">
        <v>-1.71387E-2</v>
      </c>
      <c r="R54" s="22">
        <v>44</v>
      </c>
      <c r="S54" s="22">
        <v>0.121063</v>
      </c>
      <c r="T54">
        <f t="shared" si="2"/>
        <v>17.1387</v>
      </c>
      <c r="U54">
        <f t="shared" si="3"/>
        <v>2.0842887230999998</v>
      </c>
      <c r="X54" s="9"/>
      <c r="Y54" s="22">
        <v>1.5783700000000001</v>
      </c>
      <c r="Z54" s="22">
        <v>291.93599999999998</v>
      </c>
      <c r="AA54" s="22">
        <v>-1.2371800000000001E-2</v>
      </c>
      <c r="AB54" s="22">
        <v>44</v>
      </c>
      <c r="AC54" s="22">
        <v>1.5771500000000001</v>
      </c>
      <c r="AD54">
        <f t="shared" si="4"/>
        <v>12.3718</v>
      </c>
      <c r="AE54">
        <f t="shared" si="5"/>
        <v>19.527277966</v>
      </c>
      <c r="AF54" s="9"/>
      <c r="AG54" s="22">
        <v>0.121613</v>
      </c>
      <c r="AH54" s="22">
        <v>357.30200000000002</v>
      </c>
      <c r="AI54" s="22">
        <v>-1.7062399999999998E-2</v>
      </c>
      <c r="AJ54" s="22">
        <v>44</v>
      </c>
      <c r="AK54" s="22">
        <v>0.121124</v>
      </c>
      <c r="AL54">
        <f t="shared" si="6"/>
        <v>17.062399999999997</v>
      </c>
      <c r="AM54">
        <f t="shared" si="7"/>
        <v>2.0750096511999994</v>
      </c>
      <c r="AP54" s="9"/>
      <c r="AQ54" s="22">
        <v>1.5783700000000001</v>
      </c>
      <c r="AR54" s="22">
        <v>446.60399999999998</v>
      </c>
      <c r="AS54" s="22">
        <v>-1.22925E-2</v>
      </c>
      <c r="AT54" s="22">
        <v>44</v>
      </c>
      <c r="AU54" s="22">
        <v>1.5777600000000001</v>
      </c>
      <c r="AV54">
        <f t="shared" si="8"/>
        <v>12.2925</v>
      </c>
      <c r="AW54">
        <f t="shared" si="9"/>
        <v>19.402113225000001</v>
      </c>
      <c r="AX54" s="9"/>
      <c r="AY54" s="22">
        <v>0.121613</v>
      </c>
      <c r="AZ54" s="22">
        <v>523.62900000000002</v>
      </c>
      <c r="BA54" s="22">
        <v>-1.6983000000000002E-2</v>
      </c>
      <c r="BB54" s="22">
        <v>44</v>
      </c>
      <c r="BC54" s="22">
        <v>0.121033</v>
      </c>
      <c r="BD54">
        <f t="shared" si="10"/>
        <v>16.983000000000001</v>
      </c>
      <c r="BE54">
        <f t="shared" si="11"/>
        <v>2.0653535789999999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80.304100000000005</v>
      </c>
      <c r="I55" s="22">
        <v>-1.36017E-2</v>
      </c>
      <c r="J55" s="22">
        <v>45</v>
      </c>
      <c r="K55" s="22">
        <v>1.5722700000000001</v>
      </c>
      <c r="L55">
        <f t="shared" si="0"/>
        <v>13.601699999999999</v>
      </c>
      <c r="M55">
        <f t="shared" si="1"/>
        <v>21.399962660999996</v>
      </c>
      <c r="N55" s="9"/>
      <c r="O55" s="22">
        <v>0.12664800000000001</v>
      </c>
      <c r="P55" s="22">
        <v>174.268</v>
      </c>
      <c r="Q55" s="22">
        <v>-1.7141699999999999E-2</v>
      </c>
      <c r="R55" s="22">
        <v>45</v>
      </c>
      <c r="S55" s="22">
        <v>0.12612899999999999</v>
      </c>
      <c r="T55">
        <f t="shared" si="2"/>
        <v>17.1417</v>
      </c>
      <c r="U55">
        <f t="shared" si="3"/>
        <v>2.1709620216000003</v>
      </c>
      <c r="X55" s="9"/>
      <c r="Y55" s="22">
        <v>1.5733299999999999</v>
      </c>
      <c r="Z55" s="22">
        <v>292.03699999999998</v>
      </c>
      <c r="AA55" s="22">
        <v>-1.2649499999999999E-2</v>
      </c>
      <c r="AB55" s="22">
        <v>45</v>
      </c>
      <c r="AC55" s="22">
        <v>1.5728800000000001</v>
      </c>
      <c r="AD55">
        <f t="shared" si="4"/>
        <v>12.6495</v>
      </c>
      <c r="AE55">
        <f t="shared" si="5"/>
        <v>19.901837834999998</v>
      </c>
      <c r="AF55" s="9"/>
      <c r="AG55" s="22">
        <v>0.12664800000000001</v>
      </c>
      <c r="AH55" s="22">
        <v>357.40300000000002</v>
      </c>
      <c r="AI55" s="22">
        <v>-1.7038000000000001E-2</v>
      </c>
      <c r="AJ55" s="22">
        <v>45</v>
      </c>
      <c r="AK55" s="22">
        <v>0.12600700000000001</v>
      </c>
      <c r="AL55">
        <f t="shared" si="6"/>
        <v>17.038</v>
      </c>
      <c r="AM55">
        <f t="shared" si="7"/>
        <v>2.1578286240000004</v>
      </c>
      <c r="AP55" s="9"/>
      <c r="AQ55" s="22">
        <v>1.5733299999999999</v>
      </c>
      <c r="AR55" s="22">
        <v>446.70400000000001</v>
      </c>
      <c r="AS55" s="22">
        <v>-1.2463399999999999E-2</v>
      </c>
      <c r="AT55" s="22">
        <v>45</v>
      </c>
      <c r="AU55" s="22">
        <v>1.5728800000000001</v>
      </c>
      <c r="AV55">
        <f t="shared" si="8"/>
        <v>12.4634</v>
      </c>
      <c r="AW55">
        <f t="shared" si="9"/>
        <v>19.609041121999997</v>
      </c>
      <c r="AX55" s="9"/>
      <c r="AY55" s="22">
        <v>0.12664800000000001</v>
      </c>
      <c r="AZ55" s="22">
        <v>523.72900000000004</v>
      </c>
      <c r="BA55" s="22">
        <v>-1.69891E-2</v>
      </c>
      <c r="BB55" s="22">
        <v>45</v>
      </c>
      <c r="BC55" s="22">
        <v>0.12603800000000001</v>
      </c>
      <c r="BD55">
        <f t="shared" si="10"/>
        <v>16.989100000000001</v>
      </c>
      <c r="BE55">
        <f t="shared" si="11"/>
        <v>2.1516355368000002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80.404799999999994</v>
      </c>
      <c r="I56" s="22">
        <v>-1.36749E-2</v>
      </c>
      <c r="J56" s="22">
        <v>46</v>
      </c>
      <c r="K56" s="22">
        <v>1.56708</v>
      </c>
      <c r="L56">
        <f t="shared" si="0"/>
        <v>13.674900000000001</v>
      </c>
      <c r="M56">
        <f t="shared" si="1"/>
        <v>21.446345670000003</v>
      </c>
      <c r="N56" s="9"/>
      <c r="O56" s="22">
        <v>0.13168299999999999</v>
      </c>
      <c r="P56" s="22">
        <v>174.36799999999999</v>
      </c>
      <c r="Q56" s="22">
        <v>-1.7156999999999999E-2</v>
      </c>
      <c r="R56" s="22">
        <v>46</v>
      </c>
      <c r="S56" s="22">
        <v>0.131134</v>
      </c>
      <c r="T56">
        <f t="shared" si="2"/>
        <v>17.157</v>
      </c>
      <c r="U56">
        <f t="shared" si="3"/>
        <v>2.2592852309999998</v>
      </c>
      <c r="X56" s="9"/>
      <c r="Y56" s="22">
        <v>1.5683</v>
      </c>
      <c r="Z56" s="22">
        <v>292.137</v>
      </c>
      <c r="AA56" s="22">
        <v>-1.2854000000000001E-2</v>
      </c>
      <c r="AB56" s="22">
        <v>46</v>
      </c>
      <c r="AC56" s="22">
        <v>1.56738</v>
      </c>
      <c r="AD56">
        <f t="shared" si="4"/>
        <v>12.854000000000001</v>
      </c>
      <c r="AE56">
        <f t="shared" si="5"/>
        <v>20.158928200000002</v>
      </c>
      <c r="AF56" s="9"/>
      <c r="AG56" s="22">
        <v>0.13168299999999999</v>
      </c>
      <c r="AH56" s="22">
        <v>357.50299999999999</v>
      </c>
      <c r="AI56" s="22">
        <v>-1.7053200000000001E-2</v>
      </c>
      <c r="AJ56" s="22">
        <v>46</v>
      </c>
      <c r="AK56" s="22">
        <v>0.131134</v>
      </c>
      <c r="AL56">
        <f t="shared" si="6"/>
        <v>17.0532</v>
      </c>
      <c r="AM56">
        <f t="shared" si="7"/>
        <v>2.2456165356</v>
      </c>
      <c r="AP56" s="9"/>
      <c r="AQ56" s="22">
        <v>1.5683</v>
      </c>
      <c r="AR56" s="22">
        <v>446.80500000000001</v>
      </c>
      <c r="AS56" s="22">
        <v>-1.26465E-2</v>
      </c>
      <c r="AT56" s="22">
        <v>46</v>
      </c>
      <c r="AU56" s="22">
        <v>1.56738</v>
      </c>
      <c r="AV56">
        <f t="shared" si="8"/>
        <v>12.6465</v>
      </c>
      <c r="AW56">
        <f t="shared" si="9"/>
        <v>19.833505949999999</v>
      </c>
      <c r="AX56" s="9"/>
      <c r="AY56" s="22">
        <v>0.13168299999999999</v>
      </c>
      <c r="AZ56" s="22">
        <v>523.83000000000004</v>
      </c>
      <c r="BA56" s="22">
        <v>-1.6995199999999999E-2</v>
      </c>
      <c r="BB56" s="22">
        <v>46</v>
      </c>
      <c r="BC56" s="22">
        <v>0.131134</v>
      </c>
      <c r="BD56">
        <f t="shared" si="10"/>
        <v>16.995199999999997</v>
      </c>
      <c r="BE56">
        <f t="shared" si="11"/>
        <v>2.2379789215999994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80.505499999999998</v>
      </c>
      <c r="I57" s="22">
        <v>-1.3821399999999999E-2</v>
      </c>
      <c r="J57" s="22">
        <v>47</v>
      </c>
      <c r="K57" s="22">
        <v>1.56189</v>
      </c>
      <c r="L57">
        <f t="shared" si="0"/>
        <v>13.821399999999999</v>
      </c>
      <c r="M57">
        <f t="shared" si="1"/>
        <v>21.606441763999999</v>
      </c>
      <c r="N57" s="9"/>
      <c r="O57" s="22">
        <v>0.13671900000000001</v>
      </c>
      <c r="P57" s="22">
        <v>174.46899999999999</v>
      </c>
      <c r="Q57" s="22">
        <v>-1.7135600000000001E-2</v>
      </c>
      <c r="R57" s="22">
        <v>47</v>
      </c>
      <c r="S57" s="22">
        <v>0.13616900000000001</v>
      </c>
      <c r="T57">
        <f t="shared" si="2"/>
        <v>17.1356</v>
      </c>
      <c r="U57">
        <f t="shared" si="3"/>
        <v>2.3427620964</v>
      </c>
      <c r="X57" s="9"/>
      <c r="Y57" s="22">
        <v>1.5632600000000001</v>
      </c>
      <c r="Z57" s="22">
        <v>292.238</v>
      </c>
      <c r="AA57" s="22">
        <v>-1.2997399999999999E-2</v>
      </c>
      <c r="AB57" s="22">
        <v>47</v>
      </c>
      <c r="AC57" s="22">
        <v>1.56189</v>
      </c>
      <c r="AD57">
        <f t="shared" si="4"/>
        <v>12.997399999999999</v>
      </c>
      <c r="AE57">
        <f t="shared" si="5"/>
        <v>20.318315523999999</v>
      </c>
      <c r="AF57" s="9"/>
      <c r="AG57" s="22">
        <v>0.13671900000000001</v>
      </c>
      <c r="AH57" s="22">
        <v>357.60399999999998</v>
      </c>
      <c r="AI57" s="22">
        <v>-1.7047099999999999E-2</v>
      </c>
      <c r="AJ57" s="22">
        <v>47</v>
      </c>
      <c r="AK57" s="22">
        <v>0.13616900000000001</v>
      </c>
      <c r="AL57">
        <f t="shared" si="6"/>
        <v>17.0471</v>
      </c>
      <c r="AM57">
        <f t="shared" si="7"/>
        <v>2.3306624649000001</v>
      </c>
      <c r="AP57" s="9"/>
      <c r="AQ57" s="22">
        <v>1.5632600000000001</v>
      </c>
      <c r="AR57" s="22">
        <v>446.90600000000001</v>
      </c>
      <c r="AS57" s="22">
        <v>-1.2814300000000001E-2</v>
      </c>
      <c r="AT57" s="22">
        <v>47</v>
      </c>
      <c r="AU57" s="22">
        <v>1.5625</v>
      </c>
      <c r="AV57">
        <f t="shared" si="8"/>
        <v>12.814300000000001</v>
      </c>
      <c r="AW57">
        <f t="shared" si="9"/>
        <v>20.032082618000004</v>
      </c>
      <c r="AX57" s="9"/>
      <c r="AY57" s="22">
        <v>0.13671900000000001</v>
      </c>
      <c r="AZ57" s="22">
        <v>523.93100000000004</v>
      </c>
      <c r="BA57" s="22">
        <v>-1.6992199999999999E-2</v>
      </c>
      <c r="BB57" s="22">
        <v>47</v>
      </c>
      <c r="BC57" s="22">
        <v>0.136078</v>
      </c>
      <c r="BD57">
        <f t="shared" si="10"/>
        <v>16.9922</v>
      </c>
      <c r="BE57">
        <f t="shared" si="11"/>
        <v>2.3231565918000001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80.606200000000001</v>
      </c>
      <c r="I58" s="22">
        <v>-1.3870199999999999E-2</v>
      </c>
      <c r="J58" s="22">
        <v>48</v>
      </c>
      <c r="K58" s="22">
        <v>1.55731</v>
      </c>
      <c r="L58">
        <f t="shared" si="0"/>
        <v>13.870199999999999</v>
      </c>
      <c r="M58">
        <f t="shared" si="1"/>
        <v>21.612961746</v>
      </c>
      <c r="N58" s="9"/>
      <c r="O58" s="22">
        <v>0.14175399999999999</v>
      </c>
      <c r="P58" s="22">
        <v>174.57</v>
      </c>
      <c r="Q58" s="22">
        <v>-1.71387E-2</v>
      </c>
      <c r="R58" s="22">
        <v>48</v>
      </c>
      <c r="S58" s="22">
        <v>0.14111299999999999</v>
      </c>
      <c r="T58">
        <f t="shared" si="2"/>
        <v>17.1387</v>
      </c>
      <c r="U58">
        <f t="shared" si="3"/>
        <v>2.4294792797999998</v>
      </c>
      <c r="X58" s="9"/>
      <c r="Y58" s="22">
        <v>1.55823</v>
      </c>
      <c r="Z58" s="22">
        <v>292.339</v>
      </c>
      <c r="AA58" s="22">
        <v>-1.31775E-2</v>
      </c>
      <c r="AB58" s="22">
        <v>48</v>
      </c>
      <c r="AC58" s="22">
        <v>1.55762</v>
      </c>
      <c r="AD58">
        <f t="shared" si="4"/>
        <v>13.1775</v>
      </c>
      <c r="AE58">
        <f t="shared" si="5"/>
        <v>20.533575825</v>
      </c>
      <c r="AF58" s="9"/>
      <c r="AG58" s="22">
        <v>0.14175399999999999</v>
      </c>
      <c r="AH58" s="22">
        <v>357.70499999999998</v>
      </c>
      <c r="AI58" s="22">
        <v>-1.7050200000000001E-2</v>
      </c>
      <c r="AJ58" s="22">
        <v>48</v>
      </c>
      <c r="AK58" s="22">
        <v>0.141266</v>
      </c>
      <c r="AL58">
        <f t="shared" si="6"/>
        <v>17.0502</v>
      </c>
      <c r="AM58">
        <f t="shared" si="7"/>
        <v>2.4169340507999997</v>
      </c>
      <c r="AP58" s="9"/>
      <c r="AQ58" s="22">
        <v>1.55823</v>
      </c>
      <c r="AR58" s="22">
        <v>447.00599999999997</v>
      </c>
      <c r="AS58" s="22">
        <v>-1.29578E-2</v>
      </c>
      <c r="AT58" s="22">
        <v>48</v>
      </c>
      <c r="AU58" s="22">
        <v>1.55762</v>
      </c>
      <c r="AV58">
        <f t="shared" si="8"/>
        <v>12.957800000000001</v>
      </c>
      <c r="AW58">
        <f t="shared" si="9"/>
        <v>20.191232694</v>
      </c>
      <c r="AX58" s="9"/>
      <c r="AY58" s="22">
        <v>0.14175399999999999</v>
      </c>
      <c r="AZ58" s="22">
        <v>524.03200000000004</v>
      </c>
      <c r="BA58" s="22">
        <v>-1.6998300000000001E-2</v>
      </c>
      <c r="BB58" s="22">
        <v>48</v>
      </c>
      <c r="BC58" s="22">
        <v>0.141296</v>
      </c>
      <c r="BD58">
        <f t="shared" si="10"/>
        <v>16.9983</v>
      </c>
      <c r="BE58">
        <f t="shared" si="11"/>
        <v>2.4095770181999998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80.706999999999994</v>
      </c>
      <c r="I59" s="22">
        <v>-1.3964799999999999E-2</v>
      </c>
      <c r="J59" s="22">
        <v>49</v>
      </c>
      <c r="K59" s="22">
        <v>1.55243</v>
      </c>
      <c r="L59">
        <f t="shared" si="0"/>
        <v>13.9648</v>
      </c>
      <c r="M59">
        <f t="shared" si="1"/>
        <v>21.689987712000001</v>
      </c>
      <c r="N59" s="9"/>
      <c r="O59" s="22">
        <v>0.14679</v>
      </c>
      <c r="P59" s="22">
        <v>174.67099999999999</v>
      </c>
      <c r="Q59" s="22">
        <v>-1.7132600000000001E-2</v>
      </c>
      <c r="R59" s="22">
        <v>49</v>
      </c>
      <c r="S59" s="22">
        <v>0.14621000000000001</v>
      </c>
      <c r="T59">
        <f t="shared" si="2"/>
        <v>17.1326</v>
      </c>
      <c r="U59">
        <f t="shared" si="3"/>
        <v>2.5148943539999999</v>
      </c>
      <c r="X59" s="9"/>
      <c r="Y59" s="22">
        <v>1.5531900000000001</v>
      </c>
      <c r="Z59" s="22">
        <v>292.44</v>
      </c>
      <c r="AA59" s="22">
        <v>-1.3262899999999999E-2</v>
      </c>
      <c r="AB59" s="22">
        <v>49</v>
      </c>
      <c r="AC59" s="22">
        <v>1.55243</v>
      </c>
      <c r="AD59">
        <f t="shared" si="4"/>
        <v>13.2629</v>
      </c>
      <c r="AE59">
        <f t="shared" si="5"/>
        <v>20.599803651000002</v>
      </c>
      <c r="AF59" s="9"/>
      <c r="AG59" s="22">
        <v>0.14679</v>
      </c>
      <c r="AH59" s="22">
        <v>357.80599999999998</v>
      </c>
      <c r="AI59" s="22">
        <v>-1.7050200000000001E-2</v>
      </c>
      <c r="AJ59" s="22">
        <v>49</v>
      </c>
      <c r="AK59" s="22">
        <v>0.14624000000000001</v>
      </c>
      <c r="AL59">
        <f t="shared" si="6"/>
        <v>17.0502</v>
      </c>
      <c r="AM59">
        <f t="shared" si="7"/>
        <v>2.5027988580000002</v>
      </c>
      <c r="AP59" s="9"/>
      <c r="AQ59" s="22">
        <v>1.5531900000000001</v>
      </c>
      <c r="AR59" s="22">
        <v>447.10700000000003</v>
      </c>
      <c r="AS59" s="22">
        <v>-1.3073700000000001E-2</v>
      </c>
      <c r="AT59" s="22">
        <v>49</v>
      </c>
      <c r="AU59" s="22">
        <v>1.5527299999999999</v>
      </c>
      <c r="AV59">
        <f t="shared" si="8"/>
        <v>13.073700000000001</v>
      </c>
      <c r="AW59">
        <f t="shared" si="9"/>
        <v>20.305940103000001</v>
      </c>
      <c r="AX59" s="9"/>
      <c r="AY59" s="22">
        <v>0.14679</v>
      </c>
      <c r="AZ59" s="22">
        <v>524.13199999999995</v>
      </c>
      <c r="BA59" s="22">
        <v>-1.69739E-2</v>
      </c>
      <c r="BB59" s="22">
        <v>49</v>
      </c>
      <c r="BC59" s="22">
        <v>0.14624000000000001</v>
      </c>
      <c r="BD59">
        <f t="shared" si="10"/>
        <v>16.9739</v>
      </c>
      <c r="BE59">
        <f t="shared" si="11"/>
        <v>2.491598781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80.807699999999997</v>
      </c>
      <c r="I60" s="22">
        <v>-1.4212000000000001E-2</v>
      </c>
      <c r="J60" s="22">
        <v>50</v>
      </c>
      <c r="K60" s="22">
        <v>1.54755</v>
      </c>
      <c r="L60">
        <f t="shared" si="0"/>
        <v>14.212000000000002</v>
      </c>
      <c r="M60">
        <f t="shared" si="1"/>
        <v>22.002449920000004</v>
      </c>
      <c r="N60" s="9"/>
      <c r="O60" s="22">
        <v>0.15182499999999999</v>
      </c>
      <c r="P60" s="22">
        <v>174.77099999999999</v>
      </c>
      <c r="Q60" s="22">
        <v>-1.7126499999999999E-2</v>
      </c>
      <c r="R60" s="22">
        <v>50</v>
      </c>
      <c r="S60" s="22">
        <v>0.15115400000000001</v>
      </c>
      <c r="T60">
        <f t="shared" si="2"/>
        <v>17.1265</v>
      </c>
      <c r="U60">
        <f t="shared" si="3"/>
        <v>2.6002308624999997</v>
      </c>
      <c r="X60" s="9"/>
      <c r="Y60" s="22">
        <v>1.54816</v>
      </c>
      <c r="Z60" s="22">
        <v>292.54000000000002</v>
      </c>
      <c r="AA60" s="22">
        <v>-1.3433799999999999E-2</v>
      </c>
      <c r="AB60" s="22">
        <v>50</v>
      </c>
      <c r="AC60" s="22">
        <v>1.54755</v>
      </c>
      <c r="AD60">
        <f t="shared" si="4"/>
        <v>13.4338</v>
      </c>
      <c r="AE60">
        <f t="shared" si="5"/>
        <v>20.797671808</v>
      </c>
      <c r="AF60" s="9"/>
      <c r="AG60" s="22">
        <v>0.15182499999999999</v>
      </c>
      <c r="AH60" s="22">
        <v>357.90600000000001</v>
      </c>
      <c r="AI60" s="22">
        <v>-1.7050200000000001E-2</v>
      </c>
      <c r="AJ60" s="22">
        <v>50</v>
      </c>
      <c r="AK60" s="22">
        <v>0.15112300000000001</v>
      </c>
      <c r="AL60">
        <f t="shared" si="6"/>
        <v>17.0502</v>
      </c>
      <c r="AM60">
        <f t="shared" si="7"/>
        <v>2.588646615</v>
      </c>
      <c r="AP60" s="9"/>
      <c r="AQ60" s="22">
        <v>1.54816</v>
      </c>
      <c r="AR60" s="22">
        <v>447.20800000000003</v>
      </c>
      <c r="AS60" s="22">
        <v>-1.3201900000000001E-2</v>
      </c>
      <c r="AT60" s="22">
        <v>50</v>
      </c>
      <c r="AU60" s="22">
        <v>1.54755</v>
      </c>
      <c r="AV60">
        <f t="shared" si="8"/>
        <v>13.2019</v>
      </c>
      <c r="AW60">
        <f t="shared" si="9"/>
        <v>20.438653504000001</v>
      </c>
      <c r="AX60" s="9"/>
      <c r="AY60" s="22">
        <v>0.15182499999999999</v>
      </c>
      <c r="AZ60" s="22">
        <v>524.23299999999995</v>
      </c>
      <c r="BA60" s="22">
        <v>-1.69617E-2</v>
      </c>
      <c r="BB60" s="22">
        <v>50</v>
      </c>
      <c r="BC60" s="22">
        <v>0.15121499999999999</v>
      </c>
      <c r="BD60">
        <f t="shared" si="10"/>
        <v>16.9617</v>
      </c>
      <c r="BE60">
        <f t="shared" si="11"/>
        <v>2.5752101024999998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80.9084</v>
      </c>
      <c r="I61" s="22">
        <v>-1.43524E-2</v>
      </c>
      <c r="J61" s="22">
        <v>51</v>
      </c>
      <c r="K61" s="22">
        <v>1.5426599999999999</v>
      </c>
      <c r="L61">
        <f t="shared" si="0"/>
        <v>14.352399999999999</v>
      </c>
      <c r="M61">
        <f t="shared" si="1"/>
        <v>22.147475488000001</v>
      </c>
      <c r="N61" s="9"/>
      <c r="O61" s="22">
        <v>0.15686</v>
      </c>
      <c r="P61" s="22">
        <v>174.87200000000001</v>
      </c>
      <c r="Q61" s="22">
        <v>-1.7129499999999999E-2</v>
      </c>
      <c r="R61" s="22">
        <v>51</v>
      </c>
      <c r="S61" s="22">
        <v>0.156219</v>
      </c>
      <c r="T61">
        <f t="shared" si="2"/>
        <v>17.1295</v>
      </c>
      <c r="U61">
        <f t="shared" si="3"/>
        <v>2.6869333700000002</v>
      </c>
      <c r="X61" s="9"/>
      <c r="Y61" s="22">
        <v>1.54312</v>
      </c>
      <c r="Z61" s="22">
        <v>292.64100000000002</v>
      </c>
      <c r="AA61" s="22">
        <v>-1.3616899999999999E-2</v>
      </c>
      <c r="AB61" s="22">
        <v>51</v>
      </c>
      <c r="AC61" s="22">
        <v>1.5426599999999999</v>
      </c>
      <c r="AD61">
        <f t="shared" si="4"/>
        <v>13.616899999999999</v>
      </c>
      <c r="AE61">
        <f t="shared" si="5"/>
        <v>21.012510727999999</v>
      </c>
      <c r="AF61" s="9"/>
      <c r="AG61" s="22">
        <v>0.15686</v>
      </c>
      <c r="AH61" s="22">
        <v>358.00700000000001</v>
      </c>
      <c r="AI61" s="22">
        <v>-1.7059299999999999E-2</v>
      </c>
      <c r="AJ61" s="22">
        <v>51</v>
      </c>
      <c r="AK61" s="22">
        <v>0.156281</v>
      </c>
      <c r="AL61">
        <f t="shared" si="6"/>
        <v>17.0593</v>
      </c>
      <c r="AM61">
        <f t="shared" si="7"/>
        <v>2.6759217980000001</v>
      </c>
      <c r="AP61" s="9"/>
      <c r="AQ61" s="22">
        <v>1.54312</v>
      </c>
      <c r="AR61" s="22">
        <v>447.30799999999999</v>
      </c>
      <c r="AS61" s="22">
        <v>-1.33636E-2</v>
      </c>
      <c r="AT61" s="22">
        <v>51</v>
      </c>
      <c r="AU61" s="22">
        <v>1.5420499999999999</v>
      </c>
      <c r="AV61">
        <f t="shared" si="8"/>
        <v>13.3636</v>
      </c>
      <c r="AW61">
        <f t="shared" si="9"/>
        <v>20.621638432000001</v>
      </c>
      <c r="AX61" s="9"/>
      <c r="AY61" s="22">
        <v>0.15686</v>
      </c>
      <c r="AZ61" s="22">
        <v>524.33399999999995</v>
      </c>
      <c r="BA61" s="22">
        <v>-1.6979999999999999E-2</v>
      </c>
      <c r="BB61" s="22">
        <v>51</v>
      </c>
      <c r="BC61" s="22">
        <v>0.156281</v>
      </c>
      <c r="BD61">
        <f t="shared" si="10"/>
        <v>16.979999999999997</v>
      </c>
      <c r="BE61">
        <f t="shared" si="11"/>
        <v>2.6634827999999997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81.009100000000004</v>
      </c>
      <c r="I62" s="22">
        <v>-1.4468399999999999E-2</v>
      </c>
      <c r="J62" s="22">
        <v>52</v>
      </c>
      <c r="K62" s="22">
        <v>1.53748</v>
      </c>
      <c r="L62">
        <f t="shared" si="0"/>
        <v>14.468399999999999</v>
      </c>
      <c r="M62">
        <f t="shared" si="1"/>
        <v>22.253701355999997</v>
      </c>
      <c r="N62" s="9"/>
      <c r="O62" s="22">
        <v>0.16189600000000001</v>
      </c>
      <c r="P62" s="22">
        <v>174.97300000000001</v>
      </c>
      <c r="Q62" s="22">
        <v>-1.7120400000000001E-2</v>
      </c>
      <c r="R62" s="22">
        <v>52</v>
      </c>
      <c r="S62" s="22">
        <v>0.16128500000000001</v>
      </c>
      <c r="T62">
        <f t="shared" si="2"/>
        <v>17.1204</v>
      </c>
      <c r="U62">
        <f t="shared" si="3"/>
        <v>2.7717242784000002</v>
      </c>
      <c r="X62" s="9"/>
      <c r="Y62" s="22">
        <v>1.53809</v>
      </c>
      <c r="Z62" s="22">
        <v>292.74200000000002</v>
      </c>
      <c r="AA62" s="22">
        <v>-1.37451E-2</v>
      </c>
      <c r="AB62" s="22">
        <v>52</v>
      </c>
      <c r="AC62" s="22">
        <v>1.53748</v>
      </c>
      <c r="AD62">
        <f t="shared" si="4"/>
        <v>13.745099999999999</v>
      </c>
      <c r="AE62">
        <f t="shared" si="5"/>
        <v>21.141200858999998</v>
      </c>
      <c r="AF62" s="9"/>
      <c r="AG62" s="22">
        <v>0.16189600000000001</v>
      </c>
      <c r="AH62" s="22">
        <v>358.108</v>
      </c>
      <c r="AI62" s="22">
        <v>-1.70715E-2</v>
      </c>
      <c r="AJ62" s="22">
        <v>52</v>
      </c>
      <c r="AK62" s="22">
        <v>0.16125500000000001</v>
      </c>
      <c r="AL62">
        <f t="shared" si="6"/>
        <v>17.0715</v>
      </c>
      <c r="AM62">
        <f t="shared" si="7"/>
        <v>2.7638075640000004</v>
      </c>
      <c r="AP62" s="9"/>
      <c r="AQ62" s="22">
        <v>1.53809</v>
      </c>
      <c r="AR62" s="22">
        <v>447.40899999999999</v>
      </c>
      <c r="AS62" s="22">
        <v>-1.3522299999999999E-2</v>
      </c>
      <c r="AT62" s="22">
        <v>52</v>
      </c>
      <c r="AU62" s="22">
        <v>1.53748</v>
      </c>
      <c r="AV62">
        <f t="shared" si="8"/>
        <v>13.5223</v>
      </c>
      <c r="AW62">
        <f t="shared" si="9"/>
        <v>20.798514406999999</v>
      </c>
      <c r="AX62" s="9"/>
      <c r="AY62" s="22">
        <v>0.16189600000000001</v>
      </c>
      <c r="AZ62" s="22">
        <v>524.43399999999997</v>
      </c>
      <c r="BA62" s="22">
        <v>-1.6970800000000001E-2</v>
      </c>
      <c r="BB62" s="22">
        <v>52</v>
      </c>
      <c r="BC62" s="22">
        <v>0.16134599999999999</v>
      </c>
      <c r="BD62">
        <f t="shared" si="10"/>
        <v>16.970800000000001</v>
      </c>
      <c r="BE62">
        <f t="shared" si="11"/>
        <v>2.7475046368000005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81.109800000000007</v>
      </c>
      <c r="I63" s="22">
        <v>-1.45355E-2</v>
      </c>
      <c r="J63" s="22">
        <v>53</v>
      </c>
      <c r="K63" s="22">
        <v>1.5325899999999999</v>
      </c>
      <c r="L63">
        <f t="shared" si="0"/>
        <v>14.535499999999999</v>
      </c>
      <c r="M63">
        <f t="shared" si="1"/>
        <v>22.283648274999997</v>
      </c>
      <c r="N63" s="9"/>
      <c r="O63" s="22">
        <v>0.166931</v>
      </c>
      <c r="P63" s="22">
        <v>175.07300000000001</v>
      </c>
      <c r="Q63" s="22">
        <v>-1.71234E-2</v>
      </c>
      <c r="R63" s="22">
        <v>53</v>
      </c>
      <c r="S63" s="22">
        <v>0.16644300000000001</v>
      </c>
      <c r="T63">
        <f t="shared" si="2"/>
        <v>17.1234</v>
      </c>
      <c r="U63">
        <f t="shared" si="3"/>
        <v>2.8584262853999998</v>
      </c>
      <c r="X63" s="9"/>
      <c r="Y63" s="22">
        <v>1.53305</v>
      </c>
      <c r="Z63" s="22">
        <v>292.84199999999998</v>
      </c>
      <c r="AA63" s="22">
        <v>-1.38916E-2</v>
      </c>
      <c r="AB63" s="22">
        <v>53</v>
      </c>
      <c r="AC63" s="22">
        <v>1.5322899999999999</v>
      </c>
      <c r="AD63">
        <f t="shared" si="4"/>
        <v>13.8916</v>
      </c>
      <c r="AE63">
        <f t="shared" si="5"/>
        <v>21.296517380000001</v>
      </c>
      <c r="AF63" s="9"/>
      <c r="AG63" s="22">
        <v>0.166931</v>
      </c>
      <c r="AH63" s="22">
        <v>358.20800000000003</v>
      </c>
      <c r="AI63" s="22">
        <v>-1.70715E-2</v>
      </c>
      <c r="AJ63" s="22">
        <v>53</v>
      </c>
      <c r="AK63" s="22">
        <v>0.166321</v>
      </c>
      <c r="AL63">
        <f t="shared" si="6"/>
        <v>17.0715</v>
      </c>
      <c r="AM63">
        <f t="shared" si="7"/>
        <v>2.8497625664999999</v>
      </c>
      <c r="AP63" s="9"/>
      <c r="AQ63" s="22">
        <v>1.53305</v>
      </c>
      <c r="AR63" s="22">
        <v>447.51</v>
      </c>
      <c r="AS63" s="22">
        <v>-1.3684099999999999E-2</v>
      </c>
      <c r="AT63" s="22">
        <v>53</v>
      </c>
      <c r="AU63" s="22">
        <v>1.5325899999999999</v>
      </c>
      <c r="AV63">
        <f t="shared" si="8"/>
        <v>13.684099999999999</v>
      </c>
      <c r="AW63">
        <f t="shared" si="9"/>
        <v>20.978409504999998</v>
      </c>
      <c r="AX63" s="9"/>
      <c r="AY63" s="22">
        <v>0.166931</v>
      </c>
      <c r="AZ63" s="22">
        <v>524.53499999999997</v>
      </c>
      <c r="BA63" s="22">
        <v>-1.69769E-2</v>
      </c>
      <c r="BB63" s="22">
        <v>53</v>
      </c>
      <c r="BC63" s="22">
        <v>0.166321</v>
      </c>
      <c r="BD63">
        <f t="shared" si="10"/>
        <v>16.976900000000001</v>
      </c>
      <c r="BE63">
        <f t="shared" si="11"/>
        <v>2.8339708939000001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81.210499999999996</v>
      </c>
      <c r="I64" s="22">
        <v>-1.46637E-2</v>
      </c>
      <c r="J64" s="22">
        <v>54</v>
      </c>
      <c r="K64" s="22">
        <v>1.5274000000000001</v>
      </c>
      <c r="L64">
        <f t="shared" si="0"/>
        <v>14.6637</v>
      </c>
      <c r="M64">
        <f t="shared" si="1"/>
        <v>22.406426874000001</v>
      </c>
      <c r="N64" s="9"/>
      <c r="O64" s="22">
        <v>0.17196700000000001</v>
      </c>
      <c r="P64" s="22">
        <v>175.17400000000001</v>
      </c>
      <c r="Q64" s="22">
        <v>-1.7117299999999998E-2</v>
      </c>
      <c r="R64" s="22">
        <v>54</v>
      </c>
      <c r="S64" s="22">
        <v>0.17135600000000001</v>
      </c>
      <c r="T64">
        <f t="shared" si="2"/>
        <v>17.1173</v>
      </c>
      <c r="U64">
        <f t="shared" si="3"/>
        <v>2.9436107291</v>
      </c>
      <c r="X64" s="9"/>
      <c r="Y64" s="22">
        <v>1.5280199999999999</v>
      </c>
      <c r="Z64" s="22">
        <v>292.94299999999998</v>
      </c>
      <c r="AA64" s="22">
        <v>-1.3980100000000001E-2</v>
      </c>
      <c r="AB64" s="22">
        <v>54</v>
      </c>
      <c r="AC64" s="22">
        <v>1.5270999999999999</v>
      </c>
      <c r="AD64">
        <f t="shared" si="4"/>
        <v>13.9801</v>
      </c>
      <c r="AE64">
        <f t="shared" si="5"/>
        <v>21.361872401999999</v>
      </c>
      <c r="AF64" s="9"/>
      <c r="AG64" s="22">
        <v>0.17196700000000001</v>
      </c>
      <c r="AH64" s="22">
        <v>358.30900000000003</v>
      </c>
      <c r="AI64" s="22">
        <v>-1.70685E-2</v>
      </c>
      <c r="AJ64" s="22">
        <v>54</v>
      </c>
      <c r="AK64" s="22">
        <v>0.17135600000000001</v>
      </c>
      <c r="AL64">
        <f t="shared" si="6"/>
        <v>17.0685</v>
      </c>
      <c r="AM64">
        <f t="shared" si="7"/>
        <v>2.9352187395000002</v>
      </c>
      <c r="AP64" s="9"/>
      <c r="AQ64" s="22">
        <v>1.5280199999999999</v>
      </c>
      <c r="AR64" s="22">
        <v>447.61099999999999</v>
      </c>
      <c r="AS64" s="22">
        <v>-1.37573E-2</v>
      </c>
      <c r="AT64" s="22">
        <v>54</v>
      </c>
      <c r="AU64" s="22">
        <v>1.5277099999999999</v>
      </c>
      <c r="AV64">
        <f t="shared" si="8"/>
        <v>13.757300000000001</v>
      </c>
      <c r="AW64">
        <f t="shared" si="9"/>
        <v>21.021429546</v>
      </c>
      <c r="AX64" s="9"/>
      <c r="AY64" s="22">
        <v>0.17196700000000001</v>
      </c>
      <c r="AZ64" s="22">
        <v>524.63599999999997</v>
      </c>
      <c r="BA64" s="22">
        <v>-1.69739E-2</v>
      </c>
      <c r="BB64" s="22">
        <v>54</v>
      </c>
      <c r="BC64" s="22">
        <v>0.17132600000000001</v>
      </c>
      <c r="BD64">
        <f t="shared" si="10"/>
        <v>16.9739</v>
      </c>
      <c r="BE64">
        <f t="shared" si="11"/>
        <v>2.9189506613000002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81.311199999999999</v>
      </c>
      <c r="I65" s="22">
        <v>-1.4782699999999999E-2</v>
      </c>
      <c r="J65" s="22">
        <v>55</v>
      </c>
      <c r="K65" s="22">
        <v>1.5222199999999999</v>
      </c>
      <c r="L65">
        <f t="shared" si="0"/>
        <v>14.7827</v>
      </c>
      <c r="M65">
        <f t="shared" si="1"/>
        <v>22.513756445999999</v>
      </c>
      <c r="N65" s="9"/>
      <c r="O65" s="22">
        <v>0.17700199999999999</v>
      </c>
      <c r="P65" s="22">
        <v>175.27500000000001</v>
      </c>
      <c r="Q65" s="22">
        <v>-1.7114299999999999E-2</v>
      </c>
      <c r="R65" s="22">
        <v>55</v>
      </c>
      <c r="S65" s="22">
        <v>0.176483</v>
      </c>
      <c r="T65">
        <f t="shared" si="2"/>
        <v>17.1143</v>
      </c>
      <c r="U65">
        <f t="shared" si="3"/>
        <v>3.0292653285999998</v>
      </c>
      <c r="X65" s="9"/>
      <c r="Y65" s="22">
        <v>1.52298</v>
      </c>
      <c r="Z65" s="22">
        <v>293.04399999999998</v>
      </c>
      <c r="AA65" s="22">
        <v>-1.4120499999999999E-2</v>
      </c>
      <c r="AB65" s="22">
        <v>55</v>
      </c>
      <c r="AC65" s="22">
        <v>1.5222199999999999</v>
      </c>
      <c r="AD65">
        <f t="shared" si="4"/>
        <v>14.1205</v>
      </c>
      <c r="AE65">
        <f t="shared" si="5"/>
        <v>21.50523909</v>
      </c>
      <c r="AF65" s="9"/>
      <c r="AG65" s="22">
        <v>0.17700199999999999</v>
      </c>
      <c r="AH65" s="22">
        <v>358.41</v>
      </c>
      <c r="AI65" s="22">
        <v>-1.7065400000000001E-2</v>
      </c>
      <c r="AJ65" s="22">
        <v>55</v>
      </c>
      <c r="AK65" s="22">
        <v>0.176453</v>
      </c>
      <c r="AL65">
        <f t="shared" si="6"/>
        <v>17.0654</v>
      </c>
      <c r="AM65">
        <f t="shared" si="7"/>
        <v>3.0206099308000001</v>
      </c>
      <c r="AP65" s="9"/>
      <c r="AQ65" s="22">
        <v>1.52298</v>
      </c>
      <c r="AR65" s="22">
        <v>447.71100000000001</v>
      </c>
      <c r="AS65" s="22">
        <v>-1.3870199999999999E-2</v>
      </c>
      <c r="AT65" s="22">
        <v>55</v>
      </c>
      <c r="AU65" s="22">
        <v>1.5222199999999999</v>
      </c>
      <c r="AV65">
        <f t="shared" si="8"/>
        <v>13.870199999999999</v>
      </c>
      <c r="AW65">
        <f t="shared" si="9"/>
        <v>21.124037196</v>
      </c>
      <c r="AX65" s="9"/>
      <c r="AY65" s="22">
        <v>0.17700199999999999</v>
      </c>
      <c r="AZ65" s="22">
        <v>524.73699999999997</v>
      </c>
      <c r="BA65" s="22">
        <v>-1.6979999999999999E-2</v>
      </c>
      <c r="BB65" s="22">
        <v>55</v>
      </c>
      <c r="BC65" s="22">
        <v>0.17633099999999999</v>
      </c>
      <c r="BD65">
        <f t="shared" si="10"/>
        <v>16.979999999999997</v>
      </c>
      <c r="BE65">
        <f t="shared" si="11"/>
        <v>3.0054939599999995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81.411900000000003</v>
      </c>
      <c r="I66" s="22">
        <v>-1.4892600000000001E-2</v>
      </c>
      <c r="J66" s="22">
        <v>56</v>
      </c>
      <c r="K66" s="22">
        <v>1.5173300000000001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175.375</v>
      </c>
      <c r="Q66" s="22">
        <v>-1.71082E-2</v>
      </c>
      <c r="R66" s="22">
        <v>56</v>
      </c>
      <c r="S66" s="22">
        <v>0.18148800000000001</v>
      </c>
      <c r="T66">
        <f t="shared" si="2"/>
        <v>17.1082</v>
      </c>
      <c r="U66">
        <f t="shared" si="3"/>
        <v>3.1143254034000001</v>
      </c>
      <c r="X66" s="9"/>
      <c r="Y66" s="22">
        <v>1.5179400000000001</v>
      </c>
      <c r="Z66" s="22">
        <v>293.14400000000001</v>
      </c>
      <c r="AA66" s="22">
        <v>-1.41846E-2</v>
      </c>
      <c r="AB66" s="22">
        <v>56</v>
      </c>
      <c r="AC66" s="22">
        <v>1.5167200000000001</v>
      </c>
      <c r="AD66">
        <f t="shared" si="4"/>
        <v>14.1846</v>
      </c>
      <c r="AE66">
        <f t="shared" si="5"/>
        <v>21.531371724</v>
      </c>
      <c r="AF66" s="9"/>
      <c r="AG66" s="22">
        <v>0.182037</v>
      </c>
      <c r="AH66" s="22">
        <v>358.51100000000002</v>
      </c>
      <c r="AI66" s="22">
        <v>-1.7047099999999999E-2</v>
      </c>
      <c r="AJ66" s="22">
        <v>56</v>
      </c>
      <c r="AK66" s="22">
        <v>0.181366</v>
      </c>
      <c r="AL66">
        <f t="shared" si="6"/>
        <v>17.0471</v>
      </c>
      <c r="AM66">
        <f t="shared" si="7"/>
        <v>3.1032029427000003</v>
      </c>
      <c r="AP66" s="9"/>
      <c r="AQ66" s="22">
        <v>1.5179400000000001</v>
      </c>
      <c r="AR66" s="22">
        <v>447.81200000000001</v>
      </c>
      <c r="AS66" s="22">
        <v>-1.40381E-2</v>
      </c>
      <c r="AT66" s="22">
        <v>56</v>
      </c>
      <c r="AU66" s="22">
        <v>1.5173300000000001</v>
      </c>
      <c r="AV66">
        <f t="shared" si="8"/>
        <v>14.0381</v>
      </c>
      <c r="AW66">
        <f t="shared" si="9"/>
        <v>21.308993514000001</v>
      </c>
      <c r="AX66" s="9"/>
      <c r="AY66" s="22">
        <v>0.182037</v>
      </c>
      <c r="AZ66" s="22">
        <v>524.83699999999999</v>
      </c>
      <c r="BA66" s="22">
        <v>-1.69617E-2</v>
      </c>
      <c r="BB66" s="22">
        <v>56</v>
      </c>
      <c r="BC66" s="22">
        <v>0.18148800000000001</v>
      </c>
      <c r="BD66">
        <f t="shared" si="10"/>
        <v>16.9617</v>
      </c>
      <c r="BE66">
        <f t="shared" si="11"/>
        <v>3.0876569829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81.512600000000006</v>
      </c>
      <c r="I67" s="22">
        <v>-1.4938399999999999E-2</v>
      </c>
      <c r="J67" s="22">
        <v>57</v>
      </c>
      <c r="K67" s="22">
        <v>1.5121500000000001</v>
      </c>
      <c r="L67">
        <f t="shared" si="0"/>
        <v>14.9384</v>
      </c>
      <c r="M67">
        <f t="shared" si="1"/>
        <v>22.600454744</v>
      </c>
      <c r="N67" s="9"/>
      <c r="O67" s="22">
        <v>0.18707299999999999</v>
      </c>
      <c r="P67" s="22">
        <v>175.476</v>
      </c>
      <c r="Q67" s="22">
        <v>-1.7117299999999998E-2</v>
      </c>
      <c r="R67" s="22">
        <v>57</v>
      </c>
      <c r="S67" s="22">
        <v>0.18643199999999999</v>
      </c>
      <c r="T67">
        <f t="shared" si="2"/>
        <v>17.1173</v>
      </c>
      <c r="U67">
        <f t="shared" si="3"/>
        <v>3.2021846628999997</v>
      </c>
      <c r="X67" s="9"/>
      <c r="Y67" s="22">
        <v>1.51291</v>
      </c>
      <c r="Z67" s="22">
        <v>293.245</v>
      </c>
      <c r="AA67" s="22">
        <v>-1.4306599999999999E-2</v>
      </c>
      <c r="AB67" s="22">
        <v>57</v>
      </c>
      <c r="AC67" s="22">
        <v>1.5118400000000001</v>
      </c>
      <c r="AD67">
        <f t="shared" si="4"/>
        <v>14.3066</v>
      </c>
      <c r="AE67">
        <f t="shared" si="5"/>
        <v>21.644598205999998</v>
      </c>
      <c r="AF67" s="9"/>
      <c r="AG67" s="22">
        <v>0.18707299999999999</v>
      </c>
      <c r="AH67" s="22">
        <v>358.61099999999999</v>
      </c>
      <c r="AI67" s="22">
        <v>-1.7059299999999999E-2</v>
      </c>
      <c r="AJ67" s="22">
        <v>57</v>
      </c>
      <c r="AK67" s="22">
        <v>0.18643199999999999</v>
      </c>
      <c r="AL67">
        <f t="shared" si="6"/>
        <v>17.0593</v>
      </c>
      <c r="AM67">
        <f t="shared" si="7"/>
        <v>3.1913344288999999</v>
      </c>
      <c r="AP67" s="9"/>
      <c r="AQ67" s="22">
        <v>1.51291</v>
      </c>
      <c r="AR67" s="22">
        <v>447.91300000000001</v>
      </c>
      <c r="AS67" s="22">
        <v>-1.40594E-2</v>
      </c>
      <c r="AT67" s="22">
        <v>57</v>
      </c>
      <c r="AU67" s="22">
        <v>1.5121500000000001</v>
      </c>
      <c r="AV67">
        <f t="shared" si="8"/>
        <v>14.0594</v>
      </c>
      <c r="AW67">
        <f t="shared" si="9"/>
        <v>21.270606854</v>
      </c>
      <c r="AX67" s="9"/>
      <c r="AY67" s="22">
        <v>0.18707299999999999</v>
      </c>
      <c r="AZ67" s="22">
        <v>524.93799999999999</v>
      </c>
      <c r="BA67" s="22">
        <v>-1.69891E-2</v>
      </c>
      <c r="BB67" s="22">
        <v>57</v>
      </c>
      <c r="BC67" s="22">
        <v>0.18646199999999999</v>
      </c>
      <c r="BD67">
        <f t="shared" si="10"/>
        <v>16.989100000000001</v>
      </c>
      <c r="BE67">
        <f t="shared" si="11"/>
        <v>3.1782019042999998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81.613299999999995</v>
      </c>
      <c r="I68" s="22">
        <v>-1.5075699999999999E-2</v>
      </c>
      <c r="J68" s="22">
        <v>58</v>
      </c>
      <c r="K68" s="22">
        <v>1.50665</v>
      </c>
      <c r="L68">
        <f t="shared" si="0"/>
        <v>15.075699999999999</v>
      </c>
      <c r="M68">
        <f t="shared" si="1"/>
        <v>22.732195759</v>
      </c>
      <c r="N68" s="9"/>
      <c r="O68" s="22">
        <v>0.192108</v>
      </c>
      <c r="P68" s="22">
        <v>175.577</v>
      </c>
      <c r="Q68" s="22">
        <v>-1.7120400000000001E-2</v>
      </c>
      <c r="R68" s="22">
        <v>58</v>
      </c>
      <c r="S68" s="22">
        <v>0.19158900000000001</v>
      </c>
      <c r="T68">
        <f t="shared" si="2"/>
        <v>17.1204</v>
      </c>
      <c r="U68">
        <f t="shared" si="3"/>
        <v>3.2889658032</v>
      </c>
      <c r="X68" s="9"/>
      <c r="Y68" s="22">
        <v>1.50787</v>
      </c>
      <c r="Z68" s="22">
        <v>293.346</v>
      </c>
      <c r="AA68" s="22">
        <v>-1.4627100000000001E-2</v>
      </c>
      <c r="AB68" s="22">
        <v>58</v>
      </c>
      <c r="AC68" s="22">
        <v>1.50665</v>
      </c>
      <c r="AD68">
        <f t="shared" si="4"/>
        <v>14.6271</v>
      </c>
      <c r="AE68">
        <f t="shared" si="5"/>
        <v>22.055765277000003</v>
      </c>
      <c r="AF68" s="9"/>
      <c r="AG68" s="22">
        <v>0.192108</v>
      </c>
      <c r="AH68" s="22">
        <v>358.71199999999999</v>
      </c>
      <c r="AI68" s="22">
        <v>-1.7050200000000001E-2</v>
      </c>
      <c r="AJ68" s="22">
        <v>58</v>
      </c>
      <c r="AK68" s="22">
        <v>0.19155900000000001</v>
      </c>
      <c r="AL68">
        <f t="shared" si="6"/>
        <v>17.0502</v>
      </c>
      <c r="AM68">
        <f t="shared" si="7"/>
        <v>3.2754798216000003</v>
      </c>
      <c r="AP68" s="9"/>
      <c r="AQ68" s="22">
        <v>1.50787</v>
      </c>
      <c r="AR68" s="22">
        <v>448.01299999999998</v>
      </c>
      <c r="AS68" s="22">
        <v>-1.4190700000000001E-2</v>
      </c>
      <c r="AT68" s="22">
        <v>58</v>
      </c>
      <c r="AU68" s="22">
        <v>1.5069600000000001</v>
      </c>
      <c r="AV68">
        <f t="shared" si="8"/>
        <v>14.1907</v>
      </c>
      <c r="AW68">
        <f t="shared" si="9"/>
        <v>21.397730808999999</v>
      </c>
      <c r="AX68" s="9"/>
      <c r="AY68" s="22">
        <v>0.192108</v>
      </c>
      <c r="AZ68" s="22">
        <v>525.03899999999999</v>
      </c>
      <c r="BA68" s="22">
        <v>-1.6970800000000001E-2</v>
      </c>
      <c r="BB68" s="22">
        <v>58</v>
      </c>
      <c r="BC68" s="22">
        <v>0.19158900000000001</v>
      </c>
      <c r="BD68">
        <f t="shared" si="10"/>
        <v>16.970800000000001</v>
      </c>
      <c r="BE68">
        <f t="shared" si="11"/>
        <v>3.2602264463999999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81.713999999999999</v>
      </c>
      <c r="I69" s="22">
        <v>-1.5118400000000001E-2</v>
      </c>
      <c r="J69" s="22">
        <v>59</v>
      </c>
      <c r="K69" s="22">
        <v>1.50177</v>
      </c>
      <c r="L69">
        <f t="shared" si="0"/>
        <v>15.118400000000001</v>
      </c>
      <c r="M69">
        <f t="shared" si="1"/>
        <v>22.720536256000003</v>
      </c>
      <c r="N69" s="9"/>
      <c r="O69" s="22">
        <v>0.19714400000000001</v>
      </c>
      <c r="P69" s="22">
        <v>175.678</v>
      </c>
      <c r="Q69" s="22">
        <v>-1.7117299999999998E-2</v>
      </c>
      <c r="R69" s="22">
        <v>59</v>
      </c>
      <c r="S69" s="22">
        <v>0.19656399999999999</v>
      </c>
      <c r="T69">
        <f t="shared" si="2"/>
        <v>17.1173</v>
      </c>
      <c r="U69">
        <f t="shared" si="3"/>
        <v>3.3745729912000004</v>
      </c>
      <c r="X69" s="9"/>
      <c r="Y69" s="22">
        <v>1.50284</v>
      </c>
      <c r="Z69" s="22">
        <v>293.447</v>
      </c>
      <c r="AA69" s="22">
        <v>-1.4688100000000001E-2</v>
      </c>
      <c r="AB69" s="22">
        <v>59</v>
      </c>
      <c r="AC69" s="22">
        <v>1.50177</v>
      </c>
      <c r="AD69">
        <f t="shared" si="4"/>
        <v>14.6881</v>
      </c>
      <c r="AE69">
        <f t="shared" si="5"/>
        <v>22.073864203999999</v>
      </c>
      <c r="AF69" s="9"/>
      <c r="AG69" s="22">
        <v>0.19714400000000001</v>
      </c>
      <c r="AH69" s="22">
        <v>358.81299999999999</v>
      </c>
      <c r="AI69" s="22">
        <v>-1.7041000000000001E-2</v>
      </c>
      <c r="AJ69" s="22">
        <v>59</v>
      </c>
      <c r="AK69" s="22">
        <v>0.19644200000000001</v>
      </c>
      <c r="AL69">
        <f t="shared" si="6"/>
        <v>17.041</v>
      </c>
      <c r="AM69">
        <f t="shared" si="7"/>
        <v>3.3595309040000001</v>
      </c>
      <c r="AP69" s="9"/>
      <c r="AQ69" s="22">
        <v>1.50284</v>
      </c>
      <c r="AR69" s="22">
        <v>448.11399999999998</v>
      </c>
      <c r="AS69" s="22">
        <v>-1.4212000000000001E-2</v>
      </c>
      <c r="AT69" s="22">
        <v>59</v>
      </c>
      <c r="AU69" s="22">
        <v>1.5020800000000001</v>
      </c>
      <c r="AV69">
        <f t="shared" si="8"/>
        <v>14.212000000000002</v>
      </c>
      <c r="AW69">
        <f t="shared" si="9"/>
        <v>21.358362080000003</v>
      </c>
      <c r="AX69" s="9"/>
      <c r="AY69" s="22">
        <v>0.19714400000000001</v>
      </c>
      <c r="AZ69" s="22">
        <v>525.13900000000001</v>
      </c>
      <c r="BA69" s="22">
        <v>-1.6955600000000001E-2</v>
      </c>
      <c r="BB69" s="22">
        <v>59</v>
      </c>
      <c r="BC69" s="22">
        <v>0.19656399999999999</v>
      </c>
      <c r="BD69">
        <f t="shared" si="10"/>
        <v>16.9556</v>
      </c>
      <c r="BE69">
        <f t="shared" si="11"/>
        <v>3.3426948064000004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81.814700000000002</v>
      </c>
      <c r="I70" s="22">
        <v>-1.51459E-2</v>
      </c>
      <c r="J70" s="22">
        <v>60</v>
      </c>
      <c r="K70" s="22">
        <v>1.4975000000000001</v>
      </c>
      <c r="L70">
        <f t="shared" si="0"/>
        <v>15.145900000000001</v>
      </c>
      <c r="M70">
        <f t="shared" si="1"/>
        <v>22.685529020000001</v>
      </c>
      <c r="N70" s="9"/>
      <c r="O70" s="22">
        <v>0.202179</v>
      </c>
      <c r="P70" s="22">
        <v>175.77799999999999</v>
      </c>
      <c r="Q70" s="22">
        <v>-1.71112E-2</v>
      </c>
      <c r="R70" s="22">
        <v>60</v>
      </c>
      <c r="S70" s="22">
        <v>0.20163</v>
      </c>
      <c r="T70">
        <f t="shared" si="2"/>
        <v>17.1112</v>
      </c>
      <c r="U70">
        <f t="shared" si="3"/>
        <v>3.4595253048000001</v>
      </c>
      <c r="X70" s="9"/>
      <c r="Y70" s="22">
        <v>1.4978</v>
      </c>
      <c r="Z70" s="22">
        <v>293.54700000000003</v>
      </c>
      <c r="AA70" s="22">
        <v>-1.47186E-2</v>
      </c>
      <c r="AB70" s="22">
        <v>60</v>
      </c>
      <c r="AC70" s="22">
        <v>1.49719</v>
      </c>
      <c r="AD70">
        <f t="shared" si="4"/>
        <v>14.7186</v>
      </c>
      <c r="AE70">
        <f t="shared" si="5"/>
        <v>22.045519080000002</v>
      </c>
      <c r="AF70" s="9"/>
      <c r="AG70" s="22">
        <v>0.202179</v>
      </c>
      <c r="AH70" s="22">
        <v>358.91300000000001</v>
      </c>
      <c r="AI70" s="22">
        <v>-1.70441E-2</v>
      </c>
      <c r="AJ70" s="22">
        <v>60</v>
      </c>
      <c r="AK70" s="22">
        <v>0.20169100000000001</v>
      </c>
      <c r="AL70">
        <f t="shared" si="6"/>
        <v>17.0441</v>
      </c>
      <c r="AM70">
        <f t="shared" si="7"/>
        <v>3.4459590939</v>
      </c>
      <c r="AP70" s="9"/>
      <c r="AQ70" s="22">
        <v>1.4978</v>
      </c>
      <c r="AR70" s="22">
        <v>448.21499999999997</v>
      </c>
      <c r="AS70" s="22">
        <v>-1.43188E-2</v>
      </c>
      <c r="AT70" s="22">
        <v>60</v>
      </c>
      <c r="AU70" s="22">
        <v>1.4975000000000001</v>
      </c>
      <c r="AV70">
        <f t="shared" si="8"/>
        <v>14.3188</v>
      </c>
      <c r="AW70">
        <f t="shared" si="9"/>
        <v>21.446698640000001</v>
      </c>
      <c r="AX70" s="9"/>
      <c r="AY70" s="22">
        <v>0.202179</v>
      </c>
      <c r="AZ70" s="22">
        <v>525.24</v>
      </c>
      <c r="BA70" s="22">
        <v>-1.6955600000000001E-2</v>
      </c>
      <c r="BB70" s="22">
        <v>60</v>
      </c>
      <c r="BC70" s="22">
        <v>0.201599</v>
      </c>
      <c r="BD70">
        <f t="shared" si="10"/>
        <v>16.9556</v>
      </c>
      <c r="BE70">
        <f t="shared" si="11"/>
        <v>3.4280662523999998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81.915499999999994</v>
      </c>
      <c r="I71" s="22">
        <v>-1.5203899999999999E-2</v>
      </c>
      <c r="J71" s="22">
        <v>61</v>
      </c>
      <c r="K71" s="22">
        <v>1.492</v>
      </c>
      <c r="L71">
        <f t="shared" si="0"/>
        <v>15.203899999999999</v>
      </c>
      <c r="M71">
        <f t="shared" si="1"/>
        <v>22.695925802999998</v>
      </c>
      <c r="N71" s="9"/>
      <c r="O71" s="22">
        <v>0.20721400000000001</v>
      </c>
      <c r="P71" s="22">
        <v>175.87899999999999</v>
      </c>
      <c r="Q71" s="22">
        <v>-1.7114299999999999E-2</v>
      </c>
      <c r="R71" s="22">
        <v>61</v>
      </c>
      <c r="S71" s="22">
        <v>0.20669599999999999</v>
      </c>
      <c r="T71">
        <f t="shared" si="2"/>
        <v>17.1143</v>
      </c>
      <c r="U71">
        <f t="shared" si="3"/>
        <v>3.5463225602000001</v>
      </c>
      <c r="X71" s="9"/>
      <c r="Y71" s="22">
        <v>1.4927699999999999</v>
      </c>
      <c r="Z71" s="22">
        <v>293.64800000000002</v>
      </c>
      <c r="AA71" s="22">
        <v>-1.4694199999999999E-2</v>
      </c>
      <c r="AB71" s="22">
        <v>61</v>
      </c>
      <c r="AC71" s="22">
        <v>1.492</v>
      </c>
      <c r="AD71">
        <f t="shared" si="4"/>
        <v>14.694199999999999</v>
      </c>
      <c r="AE71">
        <f t="shared" si="5"/>
        <v>21.935060933999996</v>
      </c>
      <c r="AF71" s="9"/>
      <c r="AG71" s="22">
        <v>0.20721400000000001</v>
      </c>
      <c r="AH71" s="22">
        <v>359.01400000000001</v>
      </c>
      <c r="AI71" s="22">
        <v>-1.7053200000000001E-2</v>
      </c>
      <c r="AJ71" s="22">
        <v>61</v>
      </c>
      <c r="AK71" s="22">
        <v>0.20660400000000001</v>
      </c>
      <c r="AL71">
        <f t="shared" si="6"/>
        <v>17.0532</v>
      </c>
      <c r="AM71">
        <f t="shared" si="7"/>
        <v>3.5336617848</v>
      </c>
      <c r="AP71" s="9"/>
      <c r="AQ71" s="22">
        <v>1.4927699999999999</v>
      </c>
      <c r="AR71" s="22">
        <v>448.31599999999997</v>
      </c>
      <c r="AS71" s="22">
        <v>-1.4401199999999999E-2</v>
      </c>
      <c r="AT71" s="22">
        <v>61</v>
      </c>
      <c r="AU71" s="22">
        <v>1.492</v>
      </c>
      <c r="AV71">
        <f t="shared" si="8"/>
        <v>14.401199999999999</v>
      </c>
      <c r="AW71">
        <f t="shared" si="9"/>
        <v>21.497679323999996</v>
      </c>
      <c r="AX71" s="9"/>
      <c r="AY71" s="22">
        <v>0.20721400000000001</v>
      </c>
      <c r="AZ71" s="22">
        <v>525.34100000000001</v>
      </c>
      <c r="BA71" s="22">
        <v>-1.6940299999999998E-2</v>
      </c>
      <c r="BB71" s="22">
        <v>61</v>
      </c>
      <c r="BC71" s="22">
        <v>0.20663500000000001</v>
      </c>
      <c r="BD71">
        <f t="shared" si="10"/>
        <v>16.940299999999997</v>
      </c>
      <c r="BE71">
        <f t="shared" si="11"/>
        <v>3.5102673241999995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82.016199999999998</v>
      </c>
      <c r="I72" s="22">
        <v>-1.5280200000000001E-2</v>
      </c>
      <c r="J72" s="22">
        <v>62</v>
      </c>
      <c r="K72" s="22">
        <v>1.48682</v>
      </c>
      <c r="L72">
        <f t="shared" si="0"/>
        <v>15.280200000000001</v>
      </c>
      <c r="M72">
        <f t="shared" si="1"/>
        <v>22.732811946000002</v>
      </c>
      <c r="N72" s="9"/>
      <c r="O72" s="22">
        <v>0.21224999999999999</v>
      </c>
      <c r="P72" s="22">
        <v>175.98</v>
      </c>
      <c r="Q72" s="22">
        <v>-1.7095900000000001E-2</v>
      </c>
      <c r="R72" s="22">
        <v>62</v>
      </c>
      <c r="S72" s="22">
        <v>0.21145600000000001</v>
      </c>
      <c r="T72">
        <f t="shared" si="2"/>
        <v>17.0959</v>
      </c>
      <c r="U72">
        <f t="shared" si="3"/>
        <v>3.6286047749999999</v>
      </c>
      <c r="X72" s="9"/>
      <c r="Y72" s="22">
        <v>1.48773</v>
      </c>
      <c r="Z72" s="22">
        <v>293.74900000000002</v>
      </c>
      <c r="AA72" s="22">
        <v>-1.4733899999999999E-2</v>
      </c>
      <c r="AB72" s="22">
        <v>62</v>
      </c>
      <c r="AC72" s="22">
        <v>1.48682</v>
      </c>
      <c r="AD72">
        <f t="shared" si="4"/>
        <v>14.7339</v>
      </c>
      <c r="AE72">
        <f t="shared" si="5"/>
        <v>21.920065047000001</v>
      </c>
      <c r="AF72" s="9"/>
      <c r="AG72" s="22">
        <v>0.21224999999999999</v>
      </c>
      <c r="AH72" s="22">
        <v>359.11500000000001</v>
      </c>
      <c r="AI72" s="22">
        <v>-1.7062399999999998E-2</v>
      </c>
      <c r="AJ72" s="22">
        <v>62</v>
      </c>
      <c r="AK72" s="22">
        <v>0.2117</v>
      </c>
      <c r="AL72">
        <f t="shared" si="6"/>
        <v>17.062399999999997</v>
      </c>
      <c r="AM72">
        <f t="shared" si="7"/>
        <v>3.6214943999999991</v>
      </c>
      <c r="AP72" s="9"/>
      <c r="AQ72" s="22">
        <v>1.48773</v>
      </c>
      <c r="AR72" s="22">
        <v>448.416</v>
      </c>
      <c r="AS72" s="22">
        <v>-1.44989E-2</v>
      </c>
      <c r="AT72" s="22">
        <v>62</v>
      </c>
      <c r="AU72" s="22">
        <v>1.48743</v>
      </c>
      <c r="AV72">
        <f t="shared" si="8"/>
        <v>14.498900000000001</v>
      </c>
      <c r="AW72">
        <f t="shared" si="9"/>
        <v>21.570448497000001</v>
      </c>
      <c r="AX72" s="9"/>
      <c r="AY72" s="22">
        <v>0.21224999999999999</v>
      </c>
      <c r="AZ72" s="22">
        <v>525.44200000000001</v>
      </c>
      <c r="BA72" s="22">
        <v>-1.6949499999999999E-2</v>
      </c>
      <c r="BB72" s="22">
        <v>62</v>
      </c>
      <c r="BC72" s="22">
        <v>0.21163899999999999</v>
      </c>
      <c r="BD72">
        <f t="shared" si="10"/>
        <v>16.9495</v>
      </c>
      <c r="BE72">
        <f t="shared" si="11"/>
        <v>3.597531375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82.116900000000001</v>
      </c>
      <c r="I73" s="22">
        <v>-1.52893E-2</v>
      </c>
      <c r="J73" s="22">
        <v>63</v>
      </c>
      <c r="K73" s="22">
        <v>1.48224</v>
      </c>
      <c r="L73">
        <f t="shared" si="0"/>
        <v>15.289300000000001</v>
      </c>
      <c r="M73">
        <f t="shared" si="1"/>
        <v>22.669445109999998</v>
      </c>
      <c r="N73" s="9"/>
      <c r="O73" s="22">
        <v>0.21728500000000001</v>
      </c>
      <c r="P73" s="22">
        <v>176.08</v>
      </c>
      <c r="Q73" s="22">
        <v>-1.7102099999999999E-2</v>
      </c>
      <c r="R73" s="22">
        <v>63</v>
      </c>
      <c r="S73" s="22">
        <v>0.216614</v>
      </c>
      <c r="T73">
        <f t="shared" si="2"/>
        <v>17.1021</v>
      </c>
      <c r="U73">
        <f t="shared" si="3"/>
        <v>3.7160297985000001</v>
      </c>
      <c r="X73" s="9"/>
      <c r="Y73" s="22">
        <v>1.4826999999999999</v>
      </c>
      <c r="Z73" s="22">
        <v>293.84899999999999</v>
      </c>
      <c r="AA73" s="22">
        <v>-1.47919E-2</v>
      </c>
      <c r="AB73" s="22">
        <v>63</v>
      </c>
      <c r="AC73" s="22">
        <v>1.48224</v>
      </c>
      <c r="AD73">
        <f t="shared" si="4"/>
        <v>14.7919</v>
      </c>
      <c r="AE73">
        <f t="shared" si="5"/>
        <v>21.931950129999997</v>
      </c>
      <c r="AF73" s="9"/>
      <c r="AG73" s="22">
        <v>0.21728500000000001</v>
      </c>
      <c r="AH73" s="22">
        <v>359.21499999999997</v>
      </c>
      <c r="AI73" s="22">
        <v>-1.7041000000000001E-2</v>
      </c>
      <c r="AJ73" s="22">
        <v>63</v>
      </c>
      <c r="AK73" s="22">
        <v>0.21667500000000001</v>
      </c>
      <c r="AL73">
        <f t="shared" si="6"/>
        <v>17.041</v>
      </c>
      <c r="AM73">
        <f t="shared" si="7"/>
        <v>3.7027536850000002</v>
      </c>
      <c r="AP73" s="9"/>
      <c r="AQ73" s="22">
        <v>1.4826999999999999</v>
      </c>
      <c r="AR73" s="22">
        <v>448.517</v>
      </c>
      <c r="AS73" s="22">
        <v>-1.45477E-2</v>
      </c>
      <c r="AT73" s="22">
        <v>63</v>
      </c>
      <c r="AU73" s="22">
        <v>1.48193</v>
      </c>
      <c r="AV73">
        <f t="shared" si="8"/>
        <v>14.547700000000001</v>
      </c>
      <c r="AW73">
        <f t="shared" si="9"/>
        <v>21.56987479</v>
      </c>
      <c r="AX73" s="9"/>
      <c r="AY73" s="22">
        <v>0.21728500000000001</v>
      </c>
      <c r="AZ73" s="22">
        <v>525.54200000000003</v>
      </c>
      <c r="BA73" s="22">
        <v>-1.6949499999999999E-2</v>
      </c>
      <c r="BB73" s="22">
        <v>63</v>
      </c>
      <c r="BC73" s="22">
        <v>0.21667500000000001</v>
      </c>
      <c r="BD73">
        <f t="shared" si="10"/>
        <v>16.9495</v>
      </c>
      <c r="BE73">
        <f t="shared" si="11"/>
        <v>3.6828721075000002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82.217600000000004</v>
      </c>
      <c r="I74" s="22">
        <v>-1.5396099999999999E-2</v>
      </c>
      <c r="J74" s="22">
        <v>64</v>
      </c>
      <c r="K74" s="22">
        <v>1.47675</v>
      </c>
      <c r="L74">
        <f t="shared" si="0"/>
        <v>15.396099999999999</v>
      </c>
      <c r="M74">
        <f t="shared" si="1"/>
        <v>22.750201125999997</v>
      </c>
      <c r="N74" s="9"/>
      <c r="O74" s="22">
        <v>0.22232099999999999</v>
      </c>
      <c r="P74" s="22">
        <v>176.18100000000001</v>
      </c>
      <c r="Q74" s="22">
        <v>-1.7089799999999999E-2</v>
      </c>
      <c r="R74" s="22">
        <v>64</v>
      </c>
      <c r="S74" s="22">
        <v>0.22174099999999999</v>
      </c>
      <c r="T74">
        <f t="shared" si="2"/>
        <v>17.0898</v>
      </c>
      <c r="U74">
        <f t="shared" si="3"/>
        <v>3.7994214257999999</v>
      </c>
      <c r="X74" s="9"/>
      <c r="Y74" s="22">
        <v>1.47766</v>
      </c>
      <c r="Z74" s="22">
        <v>293.95</v>
      </c>
      <c r="AA74" s="22">
        <v>-1.48285E-2</v>
      </c>
      <c r="AB74" s="22">
        <v>64</v>
      </c>
      <c r="AC74" s="22">
        <v>1.47705</v>
      </c>
      <c r="AD74">
        <f t="shared" si="4"/>
        <v>14.8285</v>
      </c>
      <c r="AE74">
        <f t="shared" si="5"/>
        <v>21.911481309999999</v>
      </c>
      <c r="AF74" s="9"/>
      <c r="AG74" s="22">
        <v>0.22232099999999999</v>
      </c>
      <c r="AH74" s="22">
        <v>359.31599999999997</v>
      </c>
      <c r="AI74" s="22">
        <v>-1.7034899999999999E-2</v>
      </c>
      <c r="AJ74" s="22">
        <v>64</v>
      </c>
      <c r="AK74" s="22">
        <v>0.221771</v>
      </c>
      <c r="AL74">
        <f t="shared" si="6"/>
        <v>17.0349</v>
      </c>
      <c r="AM74">
        <f t="shared" si="7"/>
        <v>3.7872160028999997</v>
      </c>
      <c r="AP74" s="9"/>
      <c r="AQ74" s="22">
        <v>1.47766</v>
      </c>
      <c r="AR74" s="22">
        <v>448.61799999999999</v>
      </c>
      <c r="AS74" s="22">
        <v>-1.46667E-2</v>
      </c>
      <c r="AT74" s="22">
        <v>64</v>
      </c>
      <c r="AU74" s="22">
        <v>1.47736</v>
      </c>
      <c r="AV74">
        <f t="shared" si="8"/>
        <v>14.666699999999999</v>
      </c>
      <c r="AW74">
        <f t="shared" si="9"/>
        <v>21.672395921999996</v>
      </c>
      <c r="AX74" s="9"/>
      <c r="AY74" s="22">
        <v>0.22232099999999999</v>
      </c>
      <c r="AZ74" s="22">
        <v>525.64300000000003</v>
      </c>
      <c r="BA74" s="22">
        <v>-1.6964699999999999E-2</v>
      </c>
      <c r="BB74" s="22">
        <v>64</v>
      </c>
      <c r="BC74" s="22">
        <v>0.22164900000000001</v>
      </c>
      <c r="BD74">
        <f t="shared" si="10"/>
        <v>16.964700000000001</v>
      </c>
      <c r="BE74">
        <f t="shared" si="11"/>
        <v>3.7716090687000001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82.318299999999994</v>
      </c>
      <c r="I75" s="22">
        <v>-1.54358E-2</v>
      </c>
      <c r="J75" s="22">
        <v>65</v>
      </c>
      <c r="K75" s="22">
        <v>1.4712499999999999</v>
      </c>
      <c r="L75">
        <f t="shared" si="0"/>
        <v>15.4358</v>
      </c>
      <c r="M75">
        <f t="shared" si="1"/>
        <v>22.731222154000001</v>
      </c>
      <c r="N75" s="9"/>
      <c r="O75" s="22">
        <v>0.227356</v>
      </c>
      <c r="P75" s="22">
        <v>176.28200000000001</v>
      </c>
      <c r="Q75" s="22">
        <v>-1.7102099999999999E-2</v>
      </c>
      <c r="R75" s="22">
        <v>65</v>
      </c>
      <c r="S75" s="22">
        <v>0.226746</v>
      </c>
      <c r="T75">
        <f t="shared" si="2"/>
        <v>17.1021</v>
      </c>
      <c r="U75">
        <f t="shared" si="3"/>
        <v>3.8882650476</v>
      </c>
      <c r="X75" s="9"/>
      <c r="Y75" s="22">
        <v>1.4726300000000001</v>
      </c>
      <c r="Z75" s="22">
        <v>294.05099999999999</v>
      </c>
      <c r="AA75" s="22">
        <v>-1.4938399999999999E-2</v>
      </c>
      <c r="AB75" s="22">
        <v>65</v>
      </c>
      <c r="AC75" s="22">
        <v>1.4724699999999999</v>
      </c>
      <c r="AD75">
        <f t="shared" si="4"/>
        <v>14.9384</v>
      </c>
      <c r="AE75">
        <f t="shared" si="5"/>
        <v>21.998735992</v>
      </c>
      <c r="AF75" s="9"/>
      <c r="AG75" s="22">
        <v>0.227356</v>
      </c>
      <c r="AH75" s="22">
        <v>359.41699999999997</v>
      </c>
      <c r="AI75" s="22">
        <v>-1.7019699999999999E-2</v>
      </c>
      <c r="AJ75" s="22">
        <v>65</v>
      </c>
      <c r="AK75" s="22">
        <v>0.226746</v>
      </c>
      <c r="AL75">
        <f t="shared" si="6"/>
        <v>17.0197</v>
      </c>
      <c r="AM75">
        <f t="shared" si="7"/>
        <v>3.8695309132000002</v>
      </c>
      <c r="AP75" s="9"/>
      <c r="AQ75" s="22">
        <v>1.4726300000000001</v>
      </c>
      <c r="AR75" s="22">
        <v>448.71800000000002</v>
      </c>
      <c r="AS75" s="22">
        <v>-1.47125E-2</v>
      </c>
      <c r="AT75" s="22">
        <v>65</v>
      </c>
      <c r="AU75" s="22">
        <v>1.4718599999999999</v>
      </c>
      <c r="AV75">
        <f t="shared" si="8"/>
        <v>14.7125</v>
      </c>
      <c r="AW75">
        <f t="shared" si="9"/>
        <v>21.666068875000001</v>
      </c>
      <c r="AX75" s="9"/>
      <c r="AY75" s="22">
        <v>0.227356</v>
      </c>
      <c r="AZ75" s="22">
        <v>525.74400000000003</v>
      </c>
      <c r="BA75" s="22">
        <v>-1.6952499999999999E-2</v>
      </c>
      <c r="BB75" s="22">
        <v>65</v>
      </c>
      <c r="BC75" s="22">
        <v>0.226746</v>
      </c>
      <c r="BD75">
        <f t="shared" si="10"/>
        <v>16.952500000000001</v>
      </c>
      <c r="BE75">
        <f t="shared" si="11"/>
        <v>3.8542525900000002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82.418999999999997</v>
      </c>
      <c r="I76" s="22">
        <v>-1.54877E-2</v>
      </c>
      <c r="J76" s="22">
        <v>66</v>
      </c>
      <c r="K76" s="22">
        <v>1.46637</v>
      </c>
      <c r="L76">
        <f t="shared" ref="L76:L139" si="12">-I76/$F$2*1000</f>
        <v>15.4877</v>
      </c>
      <c r="M76">
        <f t="shared" ref="M76:M139" si="13">L76*G76</f>
        <v>22.729593643000001</v>
      </c>
      <c r="N76" s="9"/>
      <c r="O76" s="22">
        <v>0.23239099999999999</v>
      </c>
      <c r="P76" s="22">
        <v>176.38300000000001</v>
      </c>
      <c r="Q76" s="22">
        <v>-1.71082E-2</v>
      </c>
      <c r="R76" s="22">
        <v>66</v>
      </c>
      <c r="S76" s="22">
        <v>0.23184199999999999</v>
      </c>
      <c r="T76">
        <f t="shared" ref="T76:T139" si="14">-Q76/$F$2*1000</f>
        <v>17.1082</v>
      </c>
      <c r="U76">
        <f t="shared" ref="U76:U139" si="15">T76*O76</f>
        <v>3.9757917061999999</v>
      </c>
      <c r="X76" s="9"/>
      <c r="Y76" s="22">
        <v>1.46759</v>
      </c>
      <c r="Z76" s="22">
        <v>294.15199999999999</v>
      </c>
      <c r="AA76" s="22">
        <v>-1.49231E-2</v>
      </c>
      <c r="AB76" s="22">
        <v>66</v>
      </c>
      <c r="AC76" s="22">
        <v>1.46729</v>
      </c>
      <c r="AD76">
        <f t="shared" ref="AD76:AD139" si="16">-AA76/$F$2*1000</f>
        <v>14.9231</v>
      </c>
      <c r="AE76">
        <f t="shared" ref="AE76:AE139" si="17">AD76*Y76</f>
        <v>21.900992328999997</v>
      </c>
      <c r="AF76" s="9"/>
      <c r="AG76" s="22">
        <v>0.23239099999999999</v>
      </c>
      <c r="AH76" s="22">
        <v>359.51799999999997</v>
      </c>
      <c r="AI76" s="22">
        <v>-1.7031899999999999E-2</v>
      </c>
      <c r="AJ76" s="22">
        <v>66</v>
      </c>
      <c r="AK76" s="22">
        <v>0.23181199999999999</v>
      </c>
      <c r="AL76">
        <f t="shared" ref="AL76:AL139" si="18">-AI76/$F$2*1000</f>
        <v>17.0319</v>
      </c>
      <c r="AM76">
        <f t="shared" ref="AM76:AM139" si="19">AL76*AG76</f>
        <v>3.9580602728999996</v>
      </c>
      <c r="AP76" s="9"/>
      <c r="AQ76" s="22">
        <v>1.46759</v>
      </c>
      <c r="AR76" s="22">
        <v>448.81900000000002</v>
      </c>
      <c r="AS76" s="22">
        <v>-1.47522E-2</v>
      </c>
      <c r="AT76" s="22">
        <v>66</v>
      </c>
      <c r="AU76" s="22">
        <v>1.46698</v>
      </c>
      <c r="AV76">
        <f t="shared" ref="AV76:AV139" si="20">-AS76/$F$2*1000</f>
        <v>14.7522</v>
      </c>
      <c r="AW76">
        <f t="shared" ref="AW76:AW139" si="21">AV76*AQ76</f>
        <v>21.650181197999999</v>
      </c>
      <c r="AX76" s="9"/>
      <c r="AY76" s="22">
        <v>0.23239099999999999</v>
      </c>
      <c r="AZ76" s="22">
        <v>525.84400000000005</v>
      </c>
      <c r="BA76" s="22">
        <v>-1.69617E-2</v>
      </c>
      <c r="BB76" s="22">
        <v>66</v>
      </c>
      <c r="BC76" s="22">
        <v>0.23168900000000001</v>
      </c>
      <c r="BD76">
        <f t="shared" ref="BD76:BD139" si="22">-BA76/$F$2*1000</f>
        <v>16.9617</v>
      </c>
      <c r="BE76">
        <f t="shared" ref="BE76:BE139" si="23">BD76*AY76</f>
        <v>3.9417464246999998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82.5197</v>
      </c>
      <c r="I77" s="22">
        <v>-1.55701E-2</v>
      </c>
      <c r="J77" s="22">
        <v>67</v>
      </c>
      <c r="K77" s="22">
        <v>1.46149</v>
      </c>
      <c r="L77">
        <f t="shared" si="12"/>
        <v>15.5701</v>
      </c>
      <c r="M77">
        <f t="shared" si="13"/>
        <v>22.772049755000001</v>
      </c>
      <c r="N77" s="9"/>
      <c r="O77" s="22">
        <v>0.237427</v>
      </c>
      <c r="P77" s="22">
        <v>176.483</v>
      </c>
      <c r="Q77" s="22">
        <v>-1.7089799999999999E-2</v>
      </c>
      <c r="R77" s="22">
        <v>67</v>
      </c>
      <c r="S77" s="22">
        <v>0.23693800000000001</v>
      </c>
      <c r="T77">
        <f t="shared" si="14"/>
        <v>17.0898</v>
      </c>
      <c r="U77">
        <f t="shared" si="15"/>
        <v>4.0575799446000005</v>
      </c>
      <c r="X77" s="9"/>
      <c r="Y77" s="22">
        <v>1.46255</v>
      </c>
      <c r="Z77" s="22">
        <v>294.25200000000001</v>
      </c>
      <c r="AA77" s="22">
        <v>-1.50452E-2</v>
      </c>
      <c r="AB77" s="22">
        <v>67</v>
      </c>
      <c r="AC77" s="22">
        <v>1.4617899999999999</v>
      </c>
      <c r="AD77">
        <f t="shared" si="16"/>
        <v>15.045199999999999</v>
      </c>
      <c r="AE77">
        <f t="shared" si="17"/>
        <v>22.004357259999999</v>
      </c>
      <c r="AF77" s="9"/>
      <c r="AG77" s="22">
        <v>0.237427</v>
      </c>
      <c r="AH77" s="22">
        <v>359.61799999999999</v>
      </c>
      <c r="AI77" s="22">
        <v>-1.7034899999999999E-2</v>
      </c>
      <c r="AJ77" s="22">
        <v>67</v>
      </c>
      <c r="AK77" s="22">
        <v>0.23672499999999999</v>
      </c>
      <c r="AL77">
        <f t="shared" si="18"/>
        <v>17.0349</v>
      </c>
      <c r="AM77">
        <f t="shared" si="19"/>
        <v>4.0445452023000001</v>
      </c>
      <c r="AP77" s="9"/>
      <c r="AQ77" s="22">
        <v>1.46255</v>
      </c>
      <c r="AR77" s="22">
        <v>448.92</v>
      </c>
      <c r="AS77" s="22">
        <v>-1.48285E-2</v>
      </c>
      <c r="AT77" s="22">
        <v>67</v>
      </c>
      <c r="AU77" s="22">
        <v>1.46149</v>
      </c>
      <c r="AV77">
        <f t="shared" si="20"/>
        <v>14.8285</v>
      </c>
      <c r="AW77">
        <f t="shared" si="21"/>
        <v>21.687422675000001</v>
      </c>
      <c r="AX77" s="9"/>
      <c r="AY77" s="22">
        <v>0.237427</v>
      </c>
      <c r="AZ77" s="22">
        <v>525.94500000000005</v>
      </c>
      <c r="BA77" s="22">
        <v>-1.6958600000000001E-2</v>
      </c>
      <c r="BB77" s="22">
        <v>67</v>
      </c>
      <c r="BC77" s="22">
        <v>0.236786</v>
      </c>
      <c r="BD77">
        <f t="shared" si="22"/>
        <v>16.958600000000001</v>
      </c>
      <c r="BE77">
        <f t="shared" si="23"/>
        <v>4.0264295221999999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82.620400000000004</v>
      </c>
      <c r="I78" s="22">
        <v>-1.5673800000000002E-2</v>
      </c>
      <c r="J78" s="22">
        <v>68</v>
      </c>
      <c r="K78" s="22">
        <v>1.4569099999999999</v>
      </c>
      <c r="L78">
        <f t="shared" si="12"/>
        <v>15.673800000000002</v>
      </c>
      <c r="M78">
        <f t="shared" si="13"/>
        <v>22.844876976000002</v>
      </c>
      <c r="N78" s="9"/>
      <c r="O78" s="22">
        <v>0.24246200000000001</v>
      </c>
      <c r="P78" s="22">
        <v>176.584</v>
      </c>
      <c r="Q78" s="22">
        <v>-1.7092900000000001E-2</v>
      </c>
      <c r="R78" s="22">
        <v>68</v>
      </c>
      <c r="S78" s="22">
        <v>0.24185200000000001</v>
      </c>
      <c r="T78">
        <f t="shared" si="14"/>
        <v>17.0929</v>
      </c>
      <c r="U78">
        <f t="shared" si="15"/>
        <v>4.1443787198000006</v>
      </c>
      <c r="X78" s="9"/>
      <c r="Y78" s="22">
        <v>1.4575199999999999</v>
      </c>
      <c r="Z78" s="22">
        <v>294.35300000000001</v>
      </c>
      <c r="AA78" s="22">
        <v>-1.5155E-2</v>
      </c>
      <c r="AB78" s="22">
        <v>68</v>
      </c>
      <c r="AC78" s="22">
        <v>1.4572099999999999</v>
      </c>
      <c r="AD78">
        <f t="shared" si="16"/>
        <v>15.154999999999999</v>
      </c>
      <c r="AE78">
        <f t="shared" si="17"/>
        <v>22.088715599999997</v>
      </c>
      <c r="AF78" s="9"/>
      <c r="AG78" s="22">
        <v>0.24246200000000001</v>
      </c>
      <c r="AH78" s="22">
        <v>359.71899999999999</v>
      </c>
      <c r="AI78" s="22">
        <v>-1.70288E-2</v>
      </c>
      <c r="AJ78" s="22">
        <v>68</v>
      </c>
      <c r="AK78" s="22">
        <v>0.24179100000000001</v>
      </c>
      <c r="AL78">
        <f t="shared" si="18"/>
        <v>17.0288</v>
      </c>
      <c r="AM78">
        <f t="shared" si="19"/>
        <v>4.1288369056000001</v>
      </c>
      <c r="AP78" s="9"/>
      <c r="AQ78" s="22">
        <v>1.4575199999999999</v>
      </c>
      <c r="AR78" s="22">
        <v>449.02</v>
      </c>
      <c r="AS78" s="22">
        <v>-1.48621E-2</v>
      </c>
      <c r="AT78" s="22">
        <v>68</v>
      </c>
      <c r="AU78" s="22">
        <v>1.4565999999999999</v>
      </c>
      <c r="AV78">
        <f t="shared" si="20"/>
        <v>14.8621</v>
      </c>
      <c r="AW78">
        <f t="shared" si="21"/>
        <v>21.661807992</v>
      </c>
      <c r="AX78" s="9"/>
      <c r="AY78" s="22">
        <v>0.24246200000000001</v>
      </c>
      <c r="AZ78" s="22">
        <v>526.04600000000005</v>
      </c>
      <c r="BA78" s="22">
        <v>-1.6940299999999998E-2</v>
      </c>
      <c r="BB78" s="22">
        <v>68</v>
      </c>
      <c r="BC78" s="22">
        <v>0.24182100000000001</v>
      </c>
      <c r="BD78">
        <f t="shared" si="22"/>
        <v>16.940299999999997</v>
      </c>
      <c r="BE78">
        <f t="shared" si="23"/>
        <v>4.1073790185999997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82.721100000000007</v>
      </c>
      <c r="I79" s="22">
        <v>-1.5621899999999999E-2</v>
      </c>
      <c r="J79" s="22">
        <v>69</v>
      </c>
      <c r="K79" s="22">
        <v>1.4517199999999999</v>
      </c>
      <c r="L79">
        <f t="shared" si="12"/>
        <v>15.6219</v>
      </c>
      <c r="M79">
        <f t="shared" si="13"/>
        <v>22.690497312000002</v>
      </c>
      <c r="N79" s="9"/>
      <c r="O79" s="22">
        <v>0.247498</v>
      </c>
      <c r="P79" s="22">
        <v>176.685</v>
      </c>
      <c r="Q79" s="22">
        <v>-1.7086799999999999E-2</v>
      </c>
      <c r="R79" s="22">
        <v>69</v>
      </c>
      <c r="S79" s="22">
        <v>0.246887</v>
      </c>
      <c r="T79">
        <f t="shared" si="14"/>
        <v>17.0868</v>
      </c>
      <c r="U79">
        <f t="shared" si="15"/>
        <v>4.2289488263999999</v>
      </c>
      <c r="X79" s="9"/>
      <c r="Y79" s="22">
        <v>1.45248</v>
      </c>
      <c r="Z79" s="22">
        <v>294.45400000000001</v>
      </c>
      <c r="AA79" s="22">
        <v>-1.5273999999999999E-2</v>
      </c>
      <c r="AB79" s="22">
        <v>69</v>
      </c>
      <c r="AC79" s="22">
        <v>1.4523299999999999</v>
      </c>
      <c r="AD79">
        <f t="shared" si="16"/>
        <v>15.273999999999999</v>
      </c>
      <c r="AE79">
        <f t="shared" si="17"/>
        <v>22.185179519999998</v>
      </c>
      <c r="AF79" s="9"/>
      <c r="AG79" s="22">
        <v>0.247498</v>
      </c>
      <c r="AH79" s="22">
        <v>359.82</v>
      </c>
      <c r="AI79" s="22">
        <v>-1.7025800000000001E-2</v>
      </c>
      <c r="AJ79" s="22">
        <v>69</v>
      </c>
      <c r="AK79" s="22">
        <v>0.246918</v>
      </c>
      <c r="AL79">
        <f t="shared" si="18"/>
        <v>17.0258</v>
      </c>
      <c r="AM79">
        <f t="shared" si="19"/>
        <v>4.2138514483999998</v>
      </c>
      <c r="AP79" s="9"/>
      <c r="AQ79" s="22">
        <v>1.45248</v>
      </c>
      <c r="AR79" s="22">
        <v>449.12099999999998</v>
      </c>
      <c r="AS79" s="22">
        <v>-1.4932300000000001E-2</v>
      </c>
      <c r="AT79" s="22">
        <v>69</v>
      </c>
      <c r="AU79" s="22">
        <v>1.4517199999999999</v>
      </c>
      <c r="AV79">
        <f t="shared" si="20"/>
        <v>14.932300000000001</v>
      </c>
      <c r="AW79">
        <f t="shared" si="21"/>
        <v>21.688867104000003</v>
      </c>
      <c r="AX79" s="9"/>
      <c r="AY79" s="22">
        <v>0.247498</v>
      </c>
      <c r="AZ79" s="22">
        <v>526.14599999999996</v>
      </c>
      <c r="BA79" s="22">
        <v>-1.6943400000000001E-2</v>
      </c>
      <c r="BB79" s="22">
        <v>69</v>
      </c>
      <c r="BC79" s="22">
        <v>0.24685699999999999</v>
      </c>
      <c r="BD79">
        <f t="shared" si="22"/>
        <v>16.9434</v>
      </c>
      <c r="BE79">
        <f t="shared" si="23"/>
        <v>4.1934576131999997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82.821799999999996</v>
      </c>
      <c r="I80" s="22">
        <v>-1.5634200000000001E-2</v>
      </c>
      <c r="J80" s="22">
        <v>70</v>
      </c>
      <c r="K80" s="22">
        <v>1.4471400000000001</v>
      </c>
      <c r="L80">
        <f t="shared" si="12"/>
        <v>15.634200000000002</v>
      </c>
      <c r="M80">
        <f t="shared" si="13"/>
        <v>22.629722790000002</v>
      </c>
      <c r="N80" s="9"/>
      <c r="O80" s="22">
        <v>0.25253300000000001</v>
      </c>
      <c r="P80" s="22">
        <v>176.785</v>
      </c>
      <c r="Q80" s="22">
        <v>-1.7089799999999999E-2</v>
      </c>
      <c r="R80" s="22">
        <v>70</v>
      </c>
      <c r="S80" s="22">
        <v>0.25195299999999998</v>
      </c>
      <c r="T80">
        <f t="shared" si="14"/>
        <v>17.0898</v>
      </c>
      <c r="U80">
        <f t="shared" si="15"/>
        <v>4.3157384633999998</v>
      </c>
      <c r="X80" s="9"/>
      <c r="Y80" s="22">
        <v>1.4474499999999999</v>
      </c>
      <c r="Z80" s="22">
        <v>294.55399999999997</v>
      </c>
      <c r="AA80" s="22">
        <v>-1.5252699999999999E-2</v>
      </c>
      <c r="AB80" s="22">
        <v>70</v>
      </c>
      <c r="AC80" s="22">
        <v>1.4468399999999999</v>
      </c>
      <c r="AD80">
        <f t="shared" si="16"/>
        <v>15.252699999999999</v>
      </c>
      <c r="AE80">
        <f t="shared" si="17"/>
        <v>22.077520614999997</v>
      </c>
      <c r="AF80" s="9"/>
      <c r="AG80" s="22">
        <v>0.25253300000000001</v>
      </c>
      <c r="AH80" s="22">
        <v>359.92</v>
      </c>
      <c r="AI80" s="22">
        <v>-1.7013500000000001E-2</v>
      </c>
      <c r="AJ80" s="22">
        <v>70</v>
      </c>
      <c r="AK80" s="22">
        <v>0.25186199999999997</v>
      </c>
      <c r="AL80">
        <f t="shared" si="18"/>
        <v>17.013500000000001</v>
      </c>
      <c r="AM80">
        <f t="shared" si="19"/>
        <v>4.2964701955000004</v>
      </c>
      <c r="AP80" s="9"/>
      <c r="AQ80" s="22">
        <v>1.4474499999999999</v>
      </c>
      <c r="AR80" s="22">
        <v>449.22199999999998</v>
      </c>
      <c r="AS80" s="22">
        <v>-1.49902E-2</v>
      </c>
      <c r="AT80" s="22">
        <v>70</v>
      </c>
      <c r="AU80" s="22">
        <v>1.4468399999999999</v>
      </c>
      <c r="AV80">
        <f t="shared" si="20"/>
        <v>14.9902</v>
      </c>
      <c r="AW80">
        <f t="shared" si="21"/>
        <v>21.697564989999996</v>
      </c>
      <c r="AX80" s="9"/>
      <c r="AY80" s="22">
        <v>0.25253300000000001</v>
      </c>
      <c r="AZ80" s="22">
        <v>526.24699999999996</v>
      </c>
      <c r="BA80" s="22">
        <v>-1.6937299999999999E-2</v>
      </c>
      <c r="BB80" s="22">
        <v>70</v>
      </c>
      <c r="BC80" s="22">
        <v>0.25201400000000002</v>
      </c>
      <c r="BD80">
        <f t="shared" si="22"/>
        <v>16.9373</v>
      </c>
      <c r="BE80">
        <f t="shared" si="23"/>
        <v>4.2772271809000006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82.922499999999999</v>
      </c>
      <c r="I81" s="22">
        <v>-1.57196E-2</v>
      </c>
      <c r="J81" s="22">
        <v>71</v>
      </c>
      <c r="K81" s="22">
        <v>1.4413499999999999</v>
      </c>
      <c r="L81">
        <f t="shared" si="12"/>
        <v>15.7196</v>
      </c>
      <c r="M81">
        <f t="shared" si="13"/>
        <v>22.674108235999999</v>
      </c>
      <c r="N81" s="9"/>
      <c r="O81" s="22">
        <v>0.25756800000000002</v>
      </c>
      <c r="P81" s="22">
        <v>176.886</v>
      </c>
      <c r="Q81" s="22">
        <v>-1.7089799999999999E-2</v>
      </c>
      <c r="R81" s="22">
        <v>71</v>
      </c>
      <c r="S81" s="22">
        <v>0.25689699999999999</v>
      </c>
      <c r="T81">
        <f t="shared" si="14"/>
        <v>17.0898</v>
      </c>
      <c r="U81">
        <f t="shared" si="15"/>
        <v>4.4017856064000007</v>
      </c>
      <c r="X81" s="9"/>
      <c r="Y81" s="22">
        <v>1.44241</v>
      </c>
      <c r="Z81" s="22">
        <v>294.65499999999997</v>
      </c>
      <c r="AA81" s="22">
        <v>-1.52832E-2</v>
      </c>
      <c r="AB81" s="22">
        <v>71</v>
      </c>
      <c r="AC81" s="22">
        <v>1.4416500000000001</v>
      </c>
      <c r="AD81">
        <f t="shared" si="16"/>
        <v>15.283200000000001</v>
      </c>
      <c r="AE81">
        <f t="shared" si="17"/>
        <v>22.044640512000001</v>
      </c>
      <c r="AF81" s="9"/>
      <c r="AG81" s="22">
        <v>0.25756800000000002</v>
      </c>
      <c r="AH81" s="22">
        <v>360.02100000000002</v>
      </c>
      <c r="AI81" s="22">
        <v>-1.70288E-2</v>
      </c>
      <c r="AJ81" s="22">
        <v>71</v>
      </c>
      <c r="AK81" s="22">
        <v>0.25698900000000002</v>
      </c>
      <c r="AL81">
        <f t="shared" si="18"/>
        <v>17.0288</v>
      </c>
      <c r="AM81">
        <f t="shared" si="19"/>
        <v>4.3860739584000008</v>
      </c>
      <c r="AP81" s="9"/>
      <c r="AQ81" s="22">
        <v>1.44241</v>
      </c>
      <c r="AR81" s="22">
        <v>449.32299999999998</v>
      </c>
      <c r="AS81" s="22">
        <v>-1.5014599999999999E-2</v>
      </c>
      <c r="AT81" s="22">
        <v>71</v>
      </c>
      <c r="AU81" s="22">
        <v>1.4419599999999999</v>
      </c>
      <c r="AV81">
        <f t="shared" si="20"/>
        <v>15.0146</v>
      </c>
      <c r="AW81">
        <f t="shared" si="21"/>
        <v>21.657209185999999</v>
      </c>
      <c r="AX81" s="9"/>
      <c r="AY81" s="22">
        <v>0.25756800000000002</v>
      </c>
      <c r="AZ81" s="22">
        <v>526.34799999999996</v>
      </c>
      <c r="BA81" s="22">
        <v>-1.69342E-2</v>
      </c>
      <c r="BB81" s="22">
        <v>71</v>
      </c>
      <c r="BC81" s="22">
        <v>0.25692700000000002</v>
      </c>
      <c r="BD81">
        <f t="shared" si="22"/>
        <v>16.934200000000001</v>
      </c>
      <c r="BE81">
        <f t="shared" si="23"/>
        <v>4.3617080256000005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83.023200000000003</v>
      </c>
      <c r="I82" s="22">
        <v>-1.57593E-2</v>
      </c>
      <c r="J82" s="22">
        <v>72</v>
      </c>
      <c r="K82" s="22">
        <v>1.4370700000000001</v>
      </c>
      <c r="L82">
        <f t="shared" si="12"/>
        <v>15.7593</v>
      </c>
      <c r="M82">
        <f t="shared" si="13"/>
        <v>22.652102634000002</v>
      </c>
      <c r="N82" s="9"/>
      <c r="O82" s="22">
        <v>0.262604</v>
      </c>
      <c r="P82" s="22">
        <v>176.98699999999999</v>
      </c>
      <c r="Q82" s="22">
        <v>-1.7092900000000001E-2</v>
      </c>
      <c r="R82" s="22">
        <v>72</v>
      </c>
      <c r="S82" s="22">
        <v>0.261963</v>
      </c>
      <c r="T82">
        <f t="shared" si="14"/>
        <v>17.0929</v>
      </c>
      <c r="U82">
        <f t="shared" si="15"/>
        <v>4.4886639115999998</v>
      </c>
      <c r="X82" s="9"/>
      <c r="Y82" s="22">
        <v>1.4373800000000001</v>
      </c>
      <c r="Z82" s="22">
        <v>294.75599999999997</v>
      </c>
      <c r="AA82" s="22">
        <v>-1.5374799999999999E-2</v>
      </c>
      <c r="AB82" s="22">
        <v>72</v>
      </c>
      <c r="AC82" s="22">
        <v>1.4370700000000001</v>
      </c>
      <c r="AD82">
        <f t="shared" si="16"/>
        <v>15.374799999999999</v>
      </c>
      <c r="AE82">
        <f t="shared" si="17"/>
        <v>22.099430024</v>
      </c>
      <c r="AF82" s="9"/>
      <c r="AG82" s="22">
        <v>0.262604</v>
      </c>
      <c r="AH82" s="22">
        <v>360.12200000000001</v>
      </c>
      <c r="AI82" s="22">
        <v>-1.70166E-2</v>
      </c>
      <c r="AJ82" s="22">
        <v>72</v>
      </c>
      <c r="AK82" s="22">
        <v>0.261963</v>
      </c>
      <c r="AL82">
        <f t="shared" si="18"/>
        <v>17.0166</v>
      </c>
      <c r="AM82">
        <f t="shared" si="19"/>
        <v>4.4686272263999998</v>
      </c>
      <c r="AP82" s="9"/>
      <c r="AQ82" s="22">
        <v>1.4373800000000001</v>
      </c>
      <c r="AR82" s="22">
        <v>449.423</v>
      </c>
      <c r="AS82" s="22">
        <v>-1.50543E-2</v>
      </c>
      <c r="AT82" s="22">
        <v>72</v>
      </c>
      <c r="AU82" s="22">
        <v>1.4367700000000001</v>
      </c>
      <c r="AV82">
        <f t="shared" si="20"/>
        <v>15.0543</v>
      </c>
      <c r="AW82">
        <f t="shared" si="21"/>
        <v>21.638749734000001</v>
      </c>
      <c r="AX82" s="9"/>
      <c r="AY82" s="22">
        <v>0.262604</v>
      </c>
      <c r="AZ82" s="22">
        <v>526.44899999999996</v>
      </c>
      <c r="BA82" s="22">
        <v>-1.6940299999999998E-2</v>
      </c>
      <c r="BB82" s="22">
        <v>72</v>
      </c>
      <c r="BC82" s="22">
        <v>0.26190200000000002</v>
      </c>
      <c r="BD82">
        <f t="shared" si="22"/>
        <v>16.940299999999997</v>
      </c>
      <c r="BE82">
        <f t="shared" si="23"/>
        <v>4.4485905411999989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83.123900000000006</v>
      </c>
      <c r="I83" s="22">
        <v>-1.5777599999999999E-2</v>
      </c>
      <c r="J83" s="22">
        <v>73</v>
      </c>
      <c r="K83" s="22">
        <v>1.43127</v>
      </c>
      <c r="L83">
        <f t="shared" si="12"/>
        <v>15.7776</v>
      </c>
      <c r="M83">
        <f t="shared" si="13"/>
        <v>22.598887584</v>
      </c>
      <c r="N83" s="9"/>
      <c r="O83" s="22">
        <v>0.26763900000000002</v>
      </c>
      <c r="P83" s="22">
        <v>177.08799999999999</v>
      </c>
      <c r="Q83" s="22">
        <v>-1.7080700000000001E-2</v>
      </c>
      <c r="R83" s="22">
        <v>73</v>
      </c>
      <c r="S83" s="22">
        <v>0.26699800000000001</v>
      </c>
      <c r="T83">
        <f t="shared" si="14"/>
        <v>17.0807</v>
      </c>
      <c r="U83">
        <f t="shared" si="15"/>
        <v>4.5714614673000007</v>
      </c>
      <c r="X83" s="9"/>
      <c r="Y83" s="22">
        <v>1.4323399999999999</v>
      </c>
      <c r="Z83" s="22">
        <v>294.85700000000003</v>
      </c>
      <c r="AA83" s="22">
        <v>-1.5389999999999999E-2</v>
      </c>
      <c r="AB83" s="22">
        <v>73</v>
      </c>
      <c r="AC83" s="22">
        <v>1.4309700000000001</v>
      </c>
      <c r="AD83">
        <f t="shared" si="16"/>
        <v>15.389999999999999</v>
      </c>
      <c r="AE83">
        <f t="shared" si="17"/>
        <v>22.043712599999999</v>
      </c>
      <c r="AF83" s="9"/>
      <c r="AG83" s="22">
        <v>0.26763900000000002</v>
      </c>
      <c r="AH83" s="22">
        <v>360.22300000000001</v>
      </c>
      <c r="AI83" s="22">
        <v>-1.7022700000000002E-2</v>
      </c>
      <c r="AJ83" s="22">
        <v>73</v>
      </c>
      <c r="AK83" s="22">
        <v>0.26696799999999998</v>
      </c>
      <c r="AL83">
        <f t="shared" si="18"/>
        <v>17.0227</v>
      </c>
      <c r="AM83">
        <f t="shared" si="19"/>
        <v>4.5559384053</v>
      </c>
      <c r="AP83" s="9"/>
      <c r="AQ83" s="22">
        <v>1.4323399999999999</v>
      </c>
      <c r="AR83" s="22">
        <v>449.524</v>
      </c>
      <c r="AS83" s="22">
        <v>-1.51031E-2</v>
      </c>
      <c r="AT83" s="22">
        <v>73</v>
      </c>
      <c r="AU83" s="22">
        <v>1.4321900000000001</v>
      </c>
      <c r="AV83">
        <f t="shared" si="20"/>
        <v>15.1031</v>
      </c>
      <c r="AW83">
        <f t="shared" si="21"/>
        <v>21.632774253999997</v>
      </c>
      <c r="AX83" s="9"/>
      <c r="AY83" s="22">
        <v>0.26763900000000002</v>
      </c>
      <c r="AZ83" s="22">
        <v>526.54899999999998</v>
      </c>
      <c r="BA83" s="22">
        <v>-1.6937299999999999E-2</v>
      </c>
      <c r="BB83" s="22">
        <v>73</v>
      </c>
      <c r="BC83" s="22">
        <v>0.26690700000000001</v>
      </c>
      <c r="BD83">
        <f t="shared" si="22"/>
        <v>16.9373</v>
      </c>
      <c r="BE83">
        <f t="shared" si="23"/>
        <v>4.5330820347000005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83.224699999999999</v>
      </c>
      <c r="I84" s="22">
        <v>-1.5802E-2</v>
      </c>
      <c r="J84" s="22">
        <v>74</v>
      </c>
      <c r="K84" s="22">
        <v>1.4267000000000001</v>
      </c>
      <c r="L84">
        <f t="shared" si="12"/>
        <v>15.802</v>
      </c>
      <c r="M84">
        <f t="shared" si="13"/>
        <v>22.55435262</v>
      </c>
      <c r="N84" s="9"/>
      <c r="O84" s="22">
        <v>0.272675</v>
      </c>
      <c r="P84" s="22">
        <v>177.18799999999999</v>
      </c>
      <c r="Q84" s="22">
        <v>-1.7077599999999998E-2</v>
      </c>
      <c r="R84" s="22">
        <v>74</v>
      </c>
      <c r="S84" s="22">
        <v>0.27194200000000002</v>
      </c>
      <c r="T84">
        <f t="shared" si="14"/>
        <v>17.077599999999997</v>
      </c>
      <c r="U84">
        <f t="shared" si="15"/>
        <v>4.6566345799999995</v>
      </c>
      <c r="X84" s="9"/>
      <c r="Y84" s="22">
        <v>1.4273100000000001</v>
      </c>
      <c r="Z84" s="22">
        <v>294.95699999999999</v>
      </c>
      <c r="AA84" s="22">
        <v>-1.5389999999999999E-2</v>
      </c>
      <c r="AB84" s="22">
        <v>74</v>
      </c>
      <c r="AC84" s="22">
        <v>1.4267000000000001</v>
      </c>
      <c r="AD84">
        <f t="shared" si="16"/>
        <v>15.389999999999999</v>
      </c>
      <c r="AE84">
        <f t="shared" si="17"/>
        <v>21.9663009</v>
      </c>
      <c r="AF84" s="9"/>
      <c r="AG84" s="22">
        <v>0.272675</v>
      </c>
      <c r="AH84" s="22">
        <v>360.32299999999998</v>
      </c>
      <c r="AI84" s="22">
        <v>-1.70288E-2</v>
      </c>
      <c r="AJ84" s="22">
        <v>74</v>
      </c>
      <c r="AK84" s="22">
        <v>0.27194200000000002</v>
      </c>
      <c r="AL84">
        <f t="shared" si="18"/>
        <v>17.0288</v>
      </c>
      <c r="AM84">
        <f t="shared" si="19"/>
        <v>4.6433280400000001</v>
      </c>
      <c r="AP84" s="9"/>
      <c r="AQ84" s="22">
        <v>1.4273100000000001</v>
      </c>
      <c r="AR84" s="22">
        <v>449.625</v>
      </c>
      <c r="AS84" s="22">
        <v>-1.51825E-2</v>
      </c>
      <c r="AT84" s="22">
        <v>74</v>
      </c>
      <c r="AU84" s="22">
        <v>1.4267000000000001</v>
      </c>
      <c r="AV84">
        <f t="shared" si="20"/>
        <v>15.182499999999999</v>
      </c>
      <c r="AW84">
        <f t="shared" si="21"/>
        <v>21.670134075</v>
      </c>
      <c r="AX84" s="9"/>
      <c r="AY84" s="22">
        <v>0.272675</v>
      </c>
      <c r="AZ84" s="22">
        <v>526.65</v>
      </c>
      <c r="BA84" s="22">
        <v>-1.6937299999999999E-2</v>
      </c>
      <c r="BB84" s="22">
        <v>74</v>
      </c>
      <c r="BC84" s="22">
        <v>0.27197300000000002</v>
      </c>
      <c r="BD84">
        <f t="shared" si="22"/>
        <v>16.9373</v>
      </c>
      <c r="BE84">
        <f t="shared" si="23"/>
        <v>4.6183782774999997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83.325400000000002</v>
      </c>
      <c r="I85" s="22">
        <v>-1.5832499999999999E-2</v>
      </c>
      <c r="J85" s="22">
        <v>75</v>
      </c>
      <c r="K85" s="22">
        <v>1.4221200000000001</v>
      </c>
      <c r="L85">
        <f t="shared" si="12"/>
        <v>15.8325</v>
      </c>
      <c r="M85">
        <f t="shared" si="13"/>
        <v>22.518089774999996</v>
      </c>
      <c r="N85" s="9"/>
      <c r="O85" s="22">
        <v>0.27771000000000001</v>
      </c>
      <c r="P85" s="22">
        <v>177.28899999999999</v>
      </c>
      <c r="Q85" s="22">
        <v>-1.7086799999999999E-2</v>
      </c>
      <c r="R85" s="22">
        <v>75</v>
      </c>
      <c r="S85" s="22">
        <v>0.27703899999999998</v>
      </c>
      <c r="T85">
        <f t="shared" si="14"/>
        <v>17.0868</v>
      </c>
      <c r="U85">
        <f t="shared" si="15"/>
        <v>4.7451752279999999</v>
      </c>
      <c r="X85" s="9"/>
      <c r="Y85" s="22">
        <v>1.4222699999999999</v>
      </c>
      <c r="Z85" s="22">
        <v>295.05799999999999</v>
      </c>
      <c r="AA85" s="22">
        <v>-1.54358E-2</v>
      </c>
      <c r="AB85" s="22">
        <v>75</v>
      </c>
      <c r="AC85" s="22">
        <v>1.4212</v>
      </c>
      <c r="AD85">
        <f t="shared" si="16"/>
        <v>15.4358</v>
      </c>
      <c r="AE85">
        <f t="shared" si="17"/>
        <v>21.953875266000001</v>
      </c>
      <c r="AF85" s="9"/>
      <c r="AG85" s="22">
        <v>0.27771000000000001</v>
      </c>
      <c r="AH85" s="22">
        <v>360.42399999999998</v>
      </c>
      <c r="AI85" s="22">
        <v>-1.7019699999999999E-2</v>
      </c>
      <c r="AJ85" s="22">
        <v>75</v>
      </c>
      <c r="AK85" s="22">
        <v>0.27710000000000001</v>
      </c>
      <c r="AL85">
        <f t="shared" si="18"/>
        <v>17.0197</v>
      </c>
      <c r="AM85">
        <f t="shared" si="19"/>
        <v>4.7265408870000005</v>
      </c>
      <c r="AP85" s="9"/>
      <c r="AQ85" s="22">
        <v>1.4222699999999999</v>
      </c>
      <c r="AR85" s="22">
        <v>449.72500000000002</v>
      </c>
      <c r="AS85" s="22">
        <v>-1.5240500000000001E-2</v>
      </c>
      <c r="AT85" s="22">
        <v>75</v>
      </c>
      <c r="AU85" s="22">
        <v>1.42181</v>
      </c>
      <c r="AV85">
        <f t="shared" si="20"/>
        <v>15.240500000000001</v>
      </c>
      <c r="AW85">
        <f t="shared" si="21"/>
        <v>21.676105934999999</v>
      </c>
      <c r="AX85" s="9"/>
      <c r="AY85" s="22">
        <v>0.27771000000000001</v>
      </c>
      <c r="AZ85" s="22">
        <v>526.75099999999998</v>
      </c>
      <c r="BA85" s="22">
        <v>-1.6912799999999999E-2</v>
      </c>
      <c r="BB85" s="22">
        <v>75</v>
      </c>
      <c r="BC85" s="22">
        <v>0.27712999999999999</v>
      </c>
      <c r="BD85">
        <f t="shared" si="22"/>
        <v>16.912799999999997</v>
      </c>
      <c r="BE85">
        <f t="shared" si="23"/>
        <v>4.6968536879999991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83.426100000000005</v>
      </c>
      <c r="I86" s="22">
        <v>-1.5838600000000001E-2</v>
      </c>
      <c r="J86" s="22">
        <v>76</v>
      </c>
      <c r="K86" s="22">
        <v>1.41693</v>
      </c>
      <c r="L86">
        <f t="shared" si="12"/>
        <v>15.838600000000001</v>
      </c>
      <c r="M86">
        <f t="shared" si="13"/>
        <v>22.447097464000002</v>
      </c>
      <c r="N86" s="9"/>
      <c r="O86" s="22">
        <v>0.28274500000000002</v>
      </c>
      <c r="P86" s="22">
        <v>177.39</v>
      </c>
      <c r="Q86" s="22">
        <v>-1.7080700000000001E-2</v>
      </c>
      <c r="R86" s="22">
        <v>76</v>
      </c>
      <c r="S86" s="22">
        <v>0.28213500000000002</v>
      </c>
      <c r="T86">
        <f t="shared" si="14"/>
        <v>17.0807</v>
      </c>
      <c r="U86">
        <f t="shared" si="15"/>
        <v>4.8294825215000001</v>
      </c>
      <c r="X86" s="9"/>
      <c r="Y86" s="22">
        <v>1.4172400000000001</v>
      </c>
      <c r="Z86" s="22">
        <v>295.15899999999999</v>
      </c>
      <c r="AA86" s="22">
        <v>-1.54968E-2</v>
      </c>
      <c r="AB86" s="22">
        <v>76</v>
      </c>
      <c r="AC86" s="22">
        <v>1.4160200000000001</v>
      </c>
      <c r="AD86">
        <f t="shared" si="16"/>
        <v>15.4968</v>
      </c>
      <c r="AE86">
        <f t="shared" si="17"/>
        <v>21.962684832000001</v>
      </c>
      <c r="AF86" s="9"/>
      <c r="AG86" s="22">
        <v>0.28274500000000002</v>
      </c>
      <c r="AH86" s="22">
        <v>360.52499999999998</v>
      </c>
      <c r="AI86" s="22">
        <v>-1.70166E-2</v>
      </c>
      <c r="AJ86" s="22">
        <v>76</v>
      </c>
      <c r="AK86" s="22">
        <v>0.28204299999999999</v>
      </c>
      <c r="AL86">
        <f t="shared" si="18"/>
        <v>17.0166</v>
      </c>
      <c r="AM86">
        <f t="shared" si="19"/>
        <v>4.8113585670000001</v>
      </c>
      <c r="AP86" s="9"/>
      <c r="AQ86" s="22">
        <v>1.4172400000000001</v>
      </c>
      <c r="AR86" s="22">
        <v>449.82600000000002</v>
      </c>
      <c r="AS86" s="22">
        <v>-1.5255700000000001E-2</v>
      </c>
      <c r="AT86" s="22">
        <v>76</v>
      </c>
      <c r="AU86" s="22">
        <v>1.4166300000000001</v>
      </c>
      <c r="AV86">
        <f t="shared" si="20"/>
        <v>15.255700000000001</v>
      </c>
      <c r="AW86">
        <f t="shared" si="21"/>
        <v>21.620988268000001</v>
      </c>
      <c r="AX86" s="9"/>
      <c r="AY86" s="22">
        <v>0.28274500000000002</v>
      </c>
      <c r="AZ86" s="22">
        <v>526.851</v>
      </c>
      <c r="BA86" s="22">
        <v>-1.6897599999999999E-2</v>
      </c>
      <c r="BB86" s="22">
        <v>76</v>
      </c>
      <c r="BC86" s="22">
        <v>0.28207399999999999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83.526799999999994</v>
      </c>
      <c r="I87" s="22">
        <v>-1.58295E-2</v>
      </c>
      <c r="J87" s="22">
        <v>77</v>
      </c>
      <c r="K87" s="22">
        <v>1.41174</v>
      </c>
      <c r="L87">
        <f t="shared" si="12"/>
        <v>15.829499999999999</v>
      </c>
      <c r="M87">
        <f t="shared" si="13"/>
        <v>22.354419899999996</v>
      </c>
      <c r="N87" s="9"/>
      <c r="O87" s="22">
        <v>0.28778100000000001</v>
      </c>
      <c r="P87" s="22">
        <v>177.49</v>
      </c>
      <c r="Q87" s="22">
        <v>-1.7086799999999999E-2</v>
      </c>
      <c r="R87" s="22">
        <v>77</v>
      </c>
      <c r="S87" s="22">
        <v>0.28723100000000001</v>
      </c>
      <c r="T87">
        <f t="shared" si="14"/>
        <v>17.0868</v>
      </c>
      <c r="U87">
        <f t="shared" si="15"/>
        <v>4.9172563908000004</v>
      </c>
      <c r="X87" s="9"/>
      <c r="Y87" s="22">
        <v>1.4121999999999999</v>
      </c>
      <c r="Z87" s="22">
        <v>295.25900000000001</v>
      </c>
      <c r="AA87" s="22">
        <v>-1.55304E-2</v>
      </c>
      <c r="AB87" s="22">
        <v>77</v>
      </c>
      <c r="AC87" s="22">
        <v>1.41205</v>
      </c>
      <c r="AD87">
        <f t="shared" si="16"/>
        <v>15.5304</v>
      </c>
      <c r="AE87">
        <f t="shared" si="17"/>
        <v>21.932030879999999</v>
      </c>
      <c r="AF87" s="9"/>
      <c r="AG87" s="22">
        <v>0.28778100000000001</v>
      </c>
      <c r="AH87" s="22">
        <v>360.625</v>
      </c>
      <c r="AI87" s="22">
        <v>-1.7004399999999999E-2</v>
      </c>
      <c r="AJ87" s="22">
        <v>77</v>
      </c>
      <c r="AK87" s="22">
        <v>0.287109</v>
      </c>
      <c r="AL87">
        <f t="shared" si="18"/>
        <v>17.0044</v>
      </c>
      <c r="AM87">
        <f t="shared" si="19"/>
        <v>4.8935432364000002</v>
      </c>
      <c r="AP87" s="9"/>
      <c r="AQ87" s="22">
        <v>1.4121999999999999</v>
      </c>
      <c r="AR87" s="22">
        <v>449.92700000000002</v>
      </c>
      <c r="AS87" s="22">
        <v>-1.5295400000000001E-2</v>
      </c>
      <c r="AT87" s="22">
        <v>77</v>
      </c>
      <c r="AU87" s="22">
        <v>1.41205</v>
      </c>
      <c r="AV87">
        <f t="shared" si="20"/>
        <v>15.295400000000001</v>
      </c>
      <c r="AW87">
        <f t="shared" si="21"/>
        <v>21.60016388</v>
      </c>
      <c r="AX87" s="9"/>
      <c r="AY87" s="22">
        <v>0.28778100000000001</v>
      </c>
      <c r="AZ87" s="22">
        <v>526.952</v>
      </c>
      <c r="BA87" s="22">
        <v>-1.6900600000000002E-2</v>
      </c>
      <c r="BB87" s="22">
        <v>77</v>
      </c>
      <c r="BC87" s="22">
        <v>0.287109</v>
      </c>
      <c r="BD87">
        <f t="shared" si="22"/>
        <v>16.900600000000001</v>
      </c>
      <c r="BE87">
        <f t="shared" si="23"/>
        <v>4.8636715686000001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83.627499999999998</v>
      </c>
      <c r="I88" s="22">
        <v>-1.5893600000000001E-2</v>
      </c>
      <c r="J88" s="22">
        <v>78</v>
      </c>
      <c r="K88" s="22">
        <v>1.40656</v>
      </c>
      <c r="L88">
        <f t="shared" si="12"/>
        <v>15.893600000000001</v>
      </c>
      <c r="M88">
        <f t="shared" si="13"/>
        <v>22.364997112000001</v>
      </c>
      <c r="N88" s="9"/>
      <c r="O88" s="22">
        <v>0.29281600000000002</v>
      </c>
      <c r="P88" s="22">
        <v>177.59100000000001</v>
      </c>
      <c r="Q88" s="22">
        <v>-1.7086799999999999E-2</v>
      </c>
      <c r="R88" s="22">
        <v>78</v>
      </c>
      <c r="S88" s="22">
        <v>0.29232799999999998</v>
      </c>
      <c r="T88">
        <f t="shared" si="14"/>
        <v>17.0868</v>
      </c>
      <c r="U88">
        <f t="shared" si="15"/>
        <v>5.0032884288000004</v>
      </c>
      <c r="X88" s="9"/>
      <c r="Y88" s="22">
        <v>1.40717</v>
      </c>
      <c r="Z88" s="22">
        <v>295.36</v>
      </c>
      <c r="AA88" s="22">
        <v>-1.55792E-2</v>
      </c>
      <c r="AB88" s="22">
        <v>78</v>
      </c>
      <c r="AC88" s="22">
        <v>1.40686</v>
      </c>
      <c r="AD88">
        <f t="shared" si="16"/>
        <v>15.5792</v>
      </c>
      <c r="AE88">
        <f t="shared" si="17"/>
        <v>21.922582864000002</v>
      </c>
      <c r="AF88" s="9"/>
      <c r="AG88" s="22">
        <v>0.29281600000000002</v>
      </c>
      <c r="AH88" s="22">
        <v>360.726</v>
      </c>
      <c r="AI88" s="22">
        <v>-1.6992199999999999E-2</v>
      </c>
      <c r="AJ88" s="22">
        <v>78</v>
      </c>
      <c r="AK88" s="22">
        <v>0.29211399999999998</v>
      </c>
      <c r="AL88">
        <f t="shared" si="18"/>
        <v>16.9922</v>
      </c>
      <c r="AM88">
        <f t="shared" si="19"/>
        <v>4.9755880352000004</v>
      </c>
      <c r="AP88" s="9"/>
      <c r="AQ88" s="22">
        <v>1.40717</v>
      </c>
      <c r="AR88" s="22">
        <v>450.02800000000002</v>
      </c>
      <c r="AS88" s="22">
        <v>-1.5329000000000001E-2</v>
      </c>
      <c r="AT88" s="22">
        <v>78</v>
      </c>
      <c r="AU88" s="22">
        <v>1.40625</v>
      </c>
      <c r="AV88">
        <f t="shared" si="20"/>
        <v>15.329000000000001</v>
      </c>
      <c r="AW88">
        <f t="shared" si="21"/>
        <v>21.570508930000003</v>
      </c>
      <c r="AX88" s="9"/>
      <c r="AY88" s="22">
        <v>0.29281600000000002</v>
      </c>
      <c r="AZ88" s="22">
        <v>527.053</v>
      </c>
      <c r="BA88" s="22">
        <v>-1.69067E-2</v>
      </c>
      <c r="BB88" s="22">
        <v>78</v>
      </c>
      <c r="BC88" s="22">
        <v>0.29220600000000002</v>
      </c>
      <c r="BD88">
        <f t="shared" si="22"/>
        <v>16.906700000000001</v>
      </c>
      <c r="BE88">
        <f t="shared" si="23"/>
        <v>4.9505522672000009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83.728200000000001</v>
      </c>
      <c r="I89" s="22">
        <v>-1.5960700000000001E-2</v>
      </c>
      <c r="J89" s="22">
        <v>79</v>
      </c>
      <c r="K89" s="22">
        <v>1.40167</v>
      </c>
      <c r="L89">
        <f t="shared" si="12"/>
        <v>15.960700000000001</v>
      </c>
      <c r="M89">
        <f t="shared" si="13"/>
        <v>22.378976291000004</v>
      </c>
      <c r="N89" s="9"/>
      <c r="O89" s="22">
        <v>0.29785200000000001</v>
      </c>
      <c r="P89" s="22">
        <v>177.69200000000001</v>
      </c>
      <c r="Q89" s="22">
        <v>-1.7086799999999999E-2</v>
      </c>
      <c r="R89" s="22">
        <v>79</v>
      </c>
      <c r="S89" s="22">
        <v>0.29718</v>
      </c>
      <c r="T89">
        <f t="shared" si="14"/>
        <v>17.0868</v>
      </c>
      <c r="U89">
        <f t="shared" si="15"/>
        <v>5.0893375536000001</v>
      </c>
      <c r="X89" s="9"/>
      <c r="Y89" s="22">
        <v>1.4021300000000001</v>
      </c>
      <c r="Z89" s="22">
        <v>295.46100000000001</v>
      </c>
      <c r="AA89" s="22">
        <v>-1.56372E-2</v>
      </c>
      <c r="AB89" s="22">
        <v>79</v>
      </c>
      <c r="AC89" s="22">
        <v>1.40167</v>
      </c>
      <c r="AD89">
        <f t="shared" si="16"/>
        <v>15.6372</v>
      </c>
      <c r="AE89">
        <f t="shared" si="17"/>
        <v>21.925387236000002</v>
      </c>
      <c r="AF89" s="9"/>
      <c r="AG89" s="22">
        <v>0.29785200000000001</v>
      </c>
      <c r="AH89" s="22">
        <v>360.827</v>
      </c>
      <c r="AI89" s="22">
        <v>-1.6995199999999999E-2</v>
      </c>
      <c r="AJ89" s="22">
        <v>79</v>
      </c>
      <c r="AK89" s="22">
        <v>0.29718</v>
      </c>
      <c r="AL89">
        <f t="shared" si="18"/>
        <v>16.995199999999997</v>
      </c>
      <c r="AM89">
        <f t="shared" si="19"/>
        <v>5.0620543103999989</v>
      </c>
      <c r="AP89" s="9"/>
      <c r="AQ89" s="22">
        <v>1.4021300000000001</v>
      </c>
      <c r="AR89" s="22">
        <v>450.12799999999999</v>
      </c>
      <c r="AS89" s="22">
        <v>-1.53534E-2</v>
      </c>
      <c r="AT89" s="22">
        <v>79</v>
      </c>
      <c r="AU89" s="22">
        <v>1.40106</v>
      </c>
      <c r="AV89">
        <f t="shared" si="20"/>
        <v>15.353399999999999</v>
      </c>
      <c r="AW89">
        <f t="shared" si="21"/>
        <v>21.527462742000001</v>
      </c>
      <c r="AX89" s="9"/>
      <c r="AY89" s="22">
        <v>0.29785200000000001</v>
      </c>
      <c r="AZ89" s="22">
        <v>527.154</v>
      </c>
      <c r="BA89" s="22">
        <v>-1.6922E-2</v>
      </c>
      <c r="BB89" s="22">
        <v>79</v>
      </c>
      <c r="BC89" s="22">
        <v>0.29708899999999999</v>
      </c>
      <c r="BD89">
        <f t="shared" si="22"/>
        <v>16.922000000000001</v>
      </c>
      <c r="BE89">
        <f t="shared" si="23"/>
        <v>5.0402515440000002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83.828900000000004</v>
      </c>
      <c r="I90" s="22">
        <v>-1.59515E-2</v>
      </c>
      <c r="J90" s="22">
        <v>80</v>
      </c>
      <c r="K90" s="22">
        <v>1.3964799999999999</v>
      </c>
      <c r="L90">
        <f t="shared" si="12"/>
        <v>15.951500000000001</v>
      </c>
      <c r="M90">
        <f t="shared" si="13"/>
        <v>22.285681135000001</v>
      </c>
      <c r="N90" s="9"/>
      <c r="O90" s="22">
        <v>0.30288700000000002</v>
      </c>
      <c r="P90" s="22">
        <v>177.792</v>
      </c>
      <c r="Q90" s="22">
        <v>-1.70715E-2</v>
      </c>
      <c r="R90" s="22">
        <v>80</v>
      </c>
      <c r="S90" s="22">
        <v>0.30218499999999998</v>
      </c>
      <c r="T90">
        <f t="shared" si="14"/>
        <v>17.0715</v>
      </c>
      <c r="U90">
        <f t="shared" si="15"/>
        <v>5.1707354205000007</v>
      </c>
      <c r="X90" s="9"/>
      <c r="Y90" s="22">
        <v>1.3970899999999999</v>
      </c>
      <c r="Z90" s="22">
        <v>295.56099999999998</v>
      </c>
      <c r="AA90" s="22">
        <v>-1.5643299999999999E-2</v>
      </c>
      <c r="AB90" s="22">
        <v>80</v>
      </c>
      <c r="AC90" s="22">
        <v>1.39618</v>
      </c>
      <c r="AD90">
        <f t="shared" si="16"/>
        <v>15.643299999999998</v>
      </c>
      <c r="AE90">
        <f t="shared" si="17"/>
        <v>21.855097996999998</v>
      </c>
      <c r="AF90" s="9"/>
      <c r="AG90" s="22">
        <v>0.30288700000000002</v>
      </c>
      <c r="AH90" s="22">
        <v>360.928</v>
      </c>
      <c r="AI90" s="22">
        <v>-1.6998300000000001E-2</v>
      </c>
      <c r="AJ90" s="22">
        <v>80</v>
      </c>
      <c r="AK90" s="22">
        <v>0.30218499999999998</v>
      </c>
      <c r="AL90">
        <f t="shared" si="18"/>
        <v>16.9983</v>
      </c>
      <c r="AM90">
        <f t="shared" si="19"/>
        <v>5.1485640921</v>
      </c>
      <c r="AP90" s="9"/>
      <c r="AQ90" s="22">
        <v>1.3970899999999999</v>
      </c>
      <c r="AR90" s="22">
        <v>450.22899999999998</v>
      </c>
      <c r="AS90" s="22">
        <v>-1.53931E-2</v>
      </c>
      <c r="AT90" s="22">
        <v>80</v>
      </c>
      <c r="AU90" s="22">
        <v>1.3970899999999999</v>
      </c>
      <c r="AV90">
        <f t="shared" si="20"/>
        <v>15.3931</v>
      </c>
      <c r="AW90">
        <f t="shared" si="21"/>
        <v>21.505546078999998</v>
      </c>
      <c r="AX90" s="9"/>
      <c r="AY90" s="22">
        <v>0.30288700000000002</v>
      </c>
      <c r="AZ90" s="22">
        <v>527.25400000000002</v>
      </c>
      <c r="BA90" s="22">
        <v>-1.6912799999999999E-2</v>
      </c>
      <c r="BB90" s="22">
        <v>80</v>
      </c>
      <c r="BC90" s="22">
        <v>0.30215500000000001</v>
      </c>
      <c r="BD90">
        <f t="shared" si="22"/>
        <v>16.912799999999997</v>
      </c>
      <c r="BE90">
        <f t="shared" si="23"/>
        <v>5.1226672535999995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83.929599999999994</v>
      </c>
      <c r="I91" s="22">
        <v>-1.5988200000000001E-2</v>
      </c>
      <c r="J91" s="22">
        <v>81</v>
      </c>
      <c r="K91" s="22">
        <v>1.39191</v>
      </c>
      <c r="L91">
        <f t="shared" si="12"/>
        <v>15.988200000000001</v>
      </c>
      <c r="M91">
        <f t="shared" si="13"/>
        <v>22.256533692000001</v>
      </c>
      <c r="N91" s="9"/>
      <c r="O91" s="22">
        <v>0.30792199999999997</v>
      </c>
      <c r="P91" s="22">
        <v>177.893</v>
      </c>
      <c r="Q91" s="22">
        <v>-1.7080700000000001E-2</v>
      </c>
      <c r="R91" s="22">
        <v>81</v>
      </c>
      <c r="S91" s="22">
        <v>0.30731199999999997</v>
      </c>
      <c r="T91">
        <f t="shared" si="14"/>
        <v>17.0807</v>
      </c>
      <c r="U91">
        <f t="shared" si="15"/>
        <v>5.2595233053999992</v>
      </c>
      <c r="X91" s="9"/>
      <c r="Y91" s="22">
        <v>1.3920600000000001</v>
      </c>
      <c r="Z91" s="22">
        <v>295.66199999999998</v>
      </c>
      <c r="AA91" s="22">
        <v>-1.5655499999999999E-2</v>
      </c>
      <c r="AB91" s="22">
        <v>81</v>
      </c>
      <c r="AC91" s="22">
        <v>1.3915999999999999</v>
      </c>
      <c r="AD91">
        <f t="shared" si="16"/>
        <v>15.6555</v>
      </c>
      <c r="AE91">
        <f t="shared" si="17"/>
        <v>21.793395330000003</v>
      </c>
      <c r="AF91" s="9"/>
      <c r="AG91" s="22">
        <v>0.30792199999999997</v>
      </c>
      <c r="AH91" s="22">
        <v>361.02800000000002</v>
      </c>
      <c r="AI91" s="22">
        <v>-1.6998300000000001E-2</v>
      </c>
      <c r="AJ91" s="22">
        <v>81</v>
      </c>
      <c r="AK91" s="22">
        <v>0.30721999999999999</v>
      </c>
      <c r="AL91">
        <f t="shared" si="18"/>
        <v>16.9983</v>
      </c>
      <c r="AM91">
        <f t="shared" si="19"/>
        <v>5.2341505325999993</v>
      </c>
      <c r="AP91" s="9"/>
      <c r="AQ91" s="22">
        <v>1.3920600000000001</v>
      </c>
      <c r="AR91" s="22">
        <v>450.33</v>
      </c>
      <c r="AS91" s="22">
        <v>-1.54205E-2</v>
      </c>
      <c r="AT91" s="22">
        <v>81</v>
      </c>
      <c r="AU91" s="22">
        <v>1.39069</v>
      </c>
      <c r="AV91">
        <f t="shared" si="20"/>
        <v>15.420500000000001</v>
      </c>
      <c r="AW91">
        <f t="shared" si="21"/>
        <v>21.466261230000001</v>
      </c>
      <c r="AX91" s="9"/>
      <c r="AY91" s="22">
        <v>0.30792199999999997</v>
      </c>
      <c r="AZ91" s="22">
        <v>527.35500000000002</v>
      </c>
      <c r="BA91" s="22">
        <v>-1.6922E-2</v>
      </c>
      <c r="BB91" s="22">
        <v>81</v>
      </c>
      <c r="BC91" s="22">
        <v>0.30731199999999997</v>
      </c>
      <c r="BD91">
        <f t="shared" si="22"/>
        <v>16.922000000000001</v>
      </c>
      <c r="BE91">
        <f t="shared" si="23"/>
        <v>5.210656084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84.030299999999997</v>
      </c>
      <c r="I92" s="22">
        <v>-1.6024799999999999E-2</v>
      </c>
      <c r="J92" s="22">
        <v>82</v>
      </c>
      <c r="K92" s="22">
        <v>1.38611</v>
      </c>
      <c r="L92">
        <f t="shared" si="12"/>
        <v>16.024799999999999</v>
      </c>
      <c r="M92">
        <f t="shared" si="13"/>
        <v>22.226718095999999</v>
      </c>
      <c r="N92" s="9"/>
      <c r="O92" s="22">
        <v>0.31295800000000001</v>
      </c>
      <c r="P92" s="22">
        <v>177.994</v>
      </c>
      <c r="Q92" s="22">
        <v>-1.7050200000000001E-2</v>
      </c>
      <c r="R92" s="22">
        <v>82</v>
      </c>
      <c r="S92" s="22">
        <v>0.31228600000000001</v>
      </c>
      <c r="T92">
        <f t="shared" si="14"/>
        <v>17.0502</v>
      </c>
      <c r="U92">
        <f t="shared" si="15"/>
        <v>5.3359964916000004</v>
      </c>
      <c r="X92" s="9"/>
      <c r="Y92" s="22">
        <v>1.3870199999999999</v>
      </c>
      <c r="Z92" s="22">
        <v>295.76299999999998</v>
      </c>
      <c r="AA92" s="22">
        <v>-1.56799E-2</v>
      </c>
      <c r="AB92" s="22">
        <v>82</v>
      </c>
      <c r="AC92" s="22">
        <v>1.3864099999999999</v>
      </c>
      <c r="AD92">
        <f t="shared" si="16"/>
        <v>15.6799</v>
      </c>
      <c r="AE92">
        <f t="shared" si="17"/>
        <v>21.748334898</v>
      </c>
      <c r="AF92" s="9"/>
      <c r="AG92" s="22">
        <v>0.31295800000000001</v>
      </c>
      <c r="AH92" s="22">
        <v>361.12900000000002</v>
      </c>
      <c r="AI92" s="22">
        <v>-1.70013E-2</v>
      </c>
      <c r="AJ92" s="22">
        <v>82</v>
      </c>
      <c r="AK92" s="22">
        <v>0.31225599999999998</v>
      </c>
      <c r="AL92">
        <f t="shared" si="18"/>
        <v>17.001300000000001</v>
      </c>
      <c r="AM92">
        <f t="shared" si="19"/>
        <v>5.3206928454</v>
      </c>
      <c r="AP92" s="9"/>
      <c r="AQ92" s="22">
        <v>1.3870199999999999</v>
      </c>
      <c r="AR92" s="22">
        <v>450.43</v>
      </c>
      <c r="AS92" s="22">
        <v>-1.5438800000000001E-2</v>
      </c>
      <c r="AT92" s="22">
        <v>82</v>
      </c>
      <c r="AU92" s="22">
        <v>1.3864099999999999</v>
      </c>
      <c r="AV92">
        <f t="shared" si="20"/>
        <v>15.438800000000001</v>
      </c>
      <c r="AW92">
        <f t="shared" si="21"/>
        <v>21.413924376000001</v>
      </c>
      <c r="AX92" s="9"/>
      <c r="AY92" s="22">
        <v>0.31295800000000001</v>
      </c>
      <c r="AZ92" s="22">
        <v>527.45600000000002</v>
      </c>
      <c r="BA92" s="22">
        <v>-1.69067E-2</v>
      </c>
      <c r="BB92" s="22">
        <v>82</v>
      </c>
      <c r="BC92" s="22">
        <v>0.31228600000000001</v>
      </c>
      <c r="BD92">
        <f t="shared" si="22"/>
        <v>16.906700000000001</v>
      </c>
      <c r="BE92">
        <f t="shared" si="23"/>
        <v>5.2910870186000007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84.131</v>
      </c>
      <c r="I93" s="22">
        <v>-1.6036999999999999E-2</v>
      </c>
      <c r="J93" s="22">
        <v>83</v>
      </c>
      <c r="K93" s="22">
        <v>1.3815299999999999</v>
      </c>
      <c r="L93">
        <f t="shared" si="12"/>
        <v>16.036999999999999</v>
      </c>
      <c r="M93">
        <f t="shared" si="13"/>
        <v>22.16297363</v>
      </c>
      <c r="N93" s="9"/>
      <c r="O93" s="22">
        <v>0.31799300000000003</v>
      </c>
      <c r="P93" s="22">
        <v>178.095</v>
      </c>
      <c r="Q93" s="22">
        <v>-1.7053200000000001E-2</v>
      </c>
      <c r="R93" s="22">
        <v>83</v>
      </c>
      <c r="S93" s="22">
        <v>0.31732199999999999</v>
      </c>
      <c r="T93">
        <f t="shared" si="14"/>
        <v>17.0532</v>
      </c>
      <c r="U93">
        <f t="shared" si="15"/>
        <v>5.4227982276000004</v>
      </c>
      <c r="X93" s="9"/>
      <c r="Y93" s="22">
        <v>1.3819900000000001</v>
      </c>
      <c r="Z93" s="22">
        <v>295.86399999999998</v>
      </c>
      <c r="AA93" s="22">
        <v>-1.57471E-2</v>
      </c>
      <c r="AB93" s="22">
        <v>83</v>
      </c>
      <c r="AC93" s="22">
        <v>1.3809199999999999</v>
      </c>
      <c r="AD93">
        <f t="shared" si="16"/>
        <v>15.7471</v>
      </c>
      <c r="AE93">
        <f t="shared" si="17"/>
        <v>21.762334728999999</v>
      </c>
      <c r="AF93" s="9"/>
      <c r="AG93" s="22">
        <v>0.31799300000000003</v>
      </c>
      <c r="AH93" s="22">
        <v>361.23</v>
      </c>
      <c r="AI93" s="22">
        <v>-1.6992199999999999E-2</v>
      </c>
      <c r="AJ93" s="22">
        <v>83</v>
      </c>
      <c r="AK93" s="22">
        <v>0.31729099999999999</v>
      </c>
      <c r="AL93">
        <f t="shared" si="18"/>
        <v>16.9922</v>
      </c>
      <c r="AM93">
        <f t="shared" si="19"/>
        <v>5.4034006546000004</v>
      </c>
      <c r="AP93" s="9"/>
      <c r="AQ93" s="22">
        <v>1.3819900000000001</v>
      </c>
      <c r="AR93" s="22">
        <v>450.53100000000001</v>
      </c>
      <c r="AS93" s="22">
        <v>-1.5469399999999999E-2</v>
      </c>
      <c r="AT93" s="22">
        <v>83</v>
      </c>
      <c r="AU93" s="22">
        <v>1.38123</v>
      </c>
      <c r="AV93">
        <f t="shared" si="20"/>
        <v>15.4694</v>
      </c>
      <c r="AW93">
        <f t="shared" si="21"/>
        <v>21.378556106000001</v>
      </c>
      <c r="AX93" s="9"/>
      <c r="AY93" s="22">
        <v>0.31799300000000003</v>
      </c>
      <c r="AZ93" s="22">
        <v>527.55600000000004</v>
      </c>
      <c r="BA93" s="22">
        <v>-1.6915900000000001E-2</v>
      </c>
      <c r="BB93" s="22">
        <v>83</v>
      </c>
      <c r="BC93" s="22">
        <v>0.31723000000000001</v>
      </c>
      <c r="BD93">
        <f t="shared" si="22"/>
        <v>16.915900000000001</v>
      </c>
      <c r="BE93">
        <f t="shared" si="23"/>
        <v>5.3791377887000005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84.231700000000004</v>
      </c>
      <c r="I94" s="22">
        <v>-1.6064499999999999E-2</v>
      </c>
      <c r="J94" s="22">
        <v>84</v>
      </c>
      <c r="K94" s="22">
        <v>1.3763399999999999</v>
      </c>
      <c r="L94">
        <f t="shared" si="12"/>
        <v>16.064499999999999</v>
      </c>
      <c r="M94">
        <f t="shared" si="13"/>
        <v>22.120013274999998</v>
      </c>
      <c r="N94" s="9"/>
      <c r="O94" s="22">
        <v>0.32302900000000001</v>
      </c>
      <c r="P94" s="22">
        <v>178.19499999999999</v>
      </c>
      <c r="Q94" s="22">
        <v>-1.70563E-2</v>
      </c>
      <c r="R94" s="22">
        <v>84</v>
      </c>
      <c r="S94" s="22">
        <v>0.32251000000000002</v>
      </c>
      <c r="T94">
        <f t="shared" si="14"/>
        <v>17.0563</v>
      </c>
      <c r="U94">
        <f t="shared" si="15"/>
        <v>5.5096795326999999</v>
      </c>
      <c r="X94" s="9"/>
      <c r="Y94" s="22">
        <v>1.3769499999999999</v>
      </c>
      <c r="Z94" s="22">
        <v>295.964</v>
      </c>
      <c r="AA94" s="22">
        <v>-1.57745E-2</v>
      </c>
      <c r="AB94" s="22">
        <v>84</v>
      </c>
      <c r="AC94" s="22">
        <v>1.3763399999999999</v>
      </c>
      <c r="AD94">
        <f t="shared" si="16"/>
        <v>15.7745</v>
      </c>
      <c r="AE94">
        <f t="shared" si="17"/>
        <v>21.720697774999998</v>
      </c>
      <c r="AF94" s="9"/>
      <c r="AG94" s="22">
        <v>0.32302900000000001</v>
      </c>
      <c r="AH94" s="22">
        <v>361.33</v>
      </c>
      <c r="AI94" s="22">
        <v>-1.70013E-2</v>
      </c>
      <c r="AJ94" s="22">
        <v>84</v>
      </c>
      <c r="AK94" s="22">
        <v>0.322266</v>
      </c>
      <c r="AL94">
        <f t="shared" si="18"/>
        <v>17.001300000000001</v>
      </c>
      <c r="AM94">
        <f t="shared" si="19"/>
        <v>5.4919129377000004</v>
      </c>
      <c r="AP94" s="9"/>
      <c r="AQ94" s="22">
        <v>1.3769499999999999</v>
      </c>
      <c r="AR94" s="22">
        <v>450.63200000000001</v>
      </c>
      <c r="AS94" s="22">
        <v>-1.55151E-2</v>
      </c>
      <c r="AT94" s="22">
        <v>84</v>
      </c>
      <c r="AU94" s="22">
        <v>1.3766499999999999</v>
      </c>
      <c r="AV94">
        <f t="shared" si="20"/>
        <v>15.5151</v>
      </c>
      <c r="AW94">
        <f t="shared" si="21"/>
        <v>21.363516944999997</v>
      </c>
      <c r="AX94" s="9"/>
      <c r="AY94" s="22">
        <v>0.32302900000000001</v>
      </c>
      <c r="AZ94" s="22">
        <v>527.65700000000004</v>
      </c>
      <c r="BA94" s="22">
        <v>-1.68915E-2</v>
      </c>
      <c r="BB94" s="22">
        <v>84</v>
      </c>
      <c r="BC94" s="22">
        <v>0.322357</v>
      </c>
      <c r="BD94">
        <f t="shared" si="22"/>
        <v>16.891500000000001</v>
      </c>
      <c r="BE94">
        <f t="shared" si="23"/>
        <v>5.4564443535000002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84.332400000000007</v>
      </c>
      <c r="I95" s="22">
        <v>-1.6082800000000001E-2</v>
      </c>
      <c r="J95" s="22">
        <v>85</v>
      </c>
      <c r="K95" s="22">
        <v>1.3714599999999999</v>
      </c>
      <c r="L95">
        <f t="shared" si="12"/>
        <v>16.082800000000002</v>
      </c>
      <c r="M95">
        <f t="shared" si="13"/>
        <v>22.064314976000002</v>
      </c>
      <c r="N95" s="9"/>
      <c r="O95" s="22">
        <v>0.32806400000000002</v>
      </c>
      <c r="P95" s="22">
        <v>178.29599999999999</v>
      </c>
      <c r="Q95" s="22">
        <v>-1.7059299999999999E-2</v>
      </c>
      <c r="R95" s="22">
        <v>85</v>
      </c>
      <c r="S95" s="22">
        <v>0.327484</v>
      </c>
      <c r="T95">
        <f t="shared" si="14"/>
        <v>17.0593</v>
      </c>
      <c r="U95">
        <f t="shared" si="15"/>
        <v>5.5965421952000005</v>
      </c>
      <c r="X95" s="9"/>
      <c r="Y95" s="22">
        <v>1.37192</v>
      </c>
      <c r="Z95" s="22">
        <v>296.065</v>
      </c>
      <c r="AA95" s="22">
        <v>-1.5805099999999999E-2</v>
      </c>
      <c r="AB95" s="22">
        <v>85</v>
      </c>
      <c r="AC95" s="22">
        <v>1.3705400000000001</v>
      </c>
      <c r="AD95">
        <f t="shared" si="16"/>
        <v>15.805099999999999</v>
      </c>
      <c r="AE95">
        <f t="shared" si="17"/>
        <v>21.683332791999998</v>
      </c>
      <c r="AF95" s="9"/>
      <c r="AG95" s="22">
        <v>0.32806400000000002</v>
      </c>
      <c r="AH95" s="22">
        <v>361.43099999999998</v>
      </c>
      <c r="AI95" s="22">
        <v>-1.6995199999999999E-2</v>
      </c>
      <c r="AJ95" s="22">
        <v>85</v>
      </c>
      <c r="AK95" s="22">
        <v>0.32736199999999999</v>
      </c>
      <c r="AL95">
        <f t="shared" si="18"/>
        <v>16.995199999999997</v>
      </c>
      <c r="AM95">
        <f t="shared" si="19"/>
        <v>5.5755132927999993</v>
      </c>
      <c r="AP95" s="9"/>
      <c r="AQ95" s="22">
        <v>1.37192</v>
      </c>
      <c r="AR95" s="22">
        <v>450.733</v>
      </c>
      <c r="AS95" s="22">
        <v>-1.5573099999999999E-2</v>
      </c>
      <c r="AT95" s="22">
        <v>85</v>
      </c>
      <c r="AU95" s="22">
        <v>1.3717699999999999</v>
      </c>
      <c r="AV95">
        <f t="shared" si="20"/>
        <v>15.5731</v>
      </c>
      <c r="AW95">
        <f t="shared" si="21"/>
        <v>21.365047352000001</v>
      </c>
      <c r="AX95" s="9"/>
      <c r="AY95" s="22">
        <v>0.32806400000000002</v>
      </c>
      <c r="AZ95" s="22">
        <v>527.75800000000004</v>
      </c>
      <c r="BA95" s="22">
        <v>-1.68915E-2</v>
      </c>
      <c r="BB95" s="22">
        <v>85</v>
      </c>
      <c r="BC95" s="22">
        <v>0.32742300000000002</v>
      </c>
      <c r="BD95">
        <f t="shared" si="22"/>
        <v>16.891500000000001</v>
      </c>
      <c r="BE95">
        <f t="shared" si="23"/>
        <v>5.5414930560000002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84.433199999999999</v>
      </c>
      <c r="I96" s="22">
        <v>-1.6098000000000001E-2</v>
      </c>
      <c r="J96" s="22">
        <v>86</v>
      </c>
      <c r="K96" s="22">
        <v>1.3659699999999999</v>
      </c>
      <c r="L96">
        <f t="shared" si="12"/>
        <v>16.098000000000003</v>
      </c>
      <c r="M96">
        <f t="shared" si="13"/>
        <v>22.004034240000006</v>
      </c>
      <c r="N96" s="9"/>
      <c r="O96" s="22">
        <v>0.33309899999999998</v>
      </c>
      <c r="P96" s="22">
        <v>178.39699999999999</v>
      </c>
      <c r="Q96" s="22">
        <v>-1.70563E-2</v>
      </c>
      <c r="R96" s="22">
        <v>86</v>
      </c>
      <c r="S96" s="22">
        <v>0.332428</v>
      </c>
      <c r="T96">
        <f t="shared" si="14"/>
        <v>17.0563</v>
      </c>
      <c r="U96">
        <f t="shared" si="15"/>
        <v>5.6814364736999998</v>
      </c>
      <c r="X96" s="9"/>
      <c r="Y96" s="22">
        <v>1.3668800000000001</v>
      </c>
      <c r="Z96" s="22">
        <v>296.166</v>
      </c>
      <c r="AA96" s="22">
        <v>-1.5847799999999999E-2</v>
      </c>
      <c r="AB96" s="22">
        <v>86</v>
      </c>
      <c r="AC96" s="22">
        <v>1.3659699999999999</v>
      </c>
      <c r="AD96">
        <f t="shared" si="16"/>
        <v>15.847799999999999</v>
      </c>
      <c r="AE96">
        <f t="shared" si="17"/>
        <v>21.662040864000002</v>
      </c>
      <c r="AF96" s="9"/>
      <c r="AG96" s="22">
        <v>0.33309899999999998</v>
      </c>
      <c r="AH96" s="22">
        <v>361.53199999999998</v>
      </c>
      <c r="AI96" s="22">
        <v>-1.6992199999999999E-2</v>
      </c>
      <c r="AJ96" s="22">
        <v>86</v>
      </c>
      <c r="AK96" s="22">
        <v>0.33248899999999998</v>
      </c>
      <c r="AL96">
        <f t="shared" si="18"/>
        <v>16.9922</v>
      </c>
      <c r="AM96">
        <f t="shared" si="19"/>
        <v>5.6600848277999996</v>
      </c>
      <c r="AP96" s="9"/>
      <c r="AQ96" s="22">
        <v>1.3668800000000001</v>
      </c>
      <c r="AR96" s="22">
        <v>450.83300000000003</v>
      </c>
      <c r="AS96" s="22">
        <v>-1.5625E-2</v>
      </c>
      <c r="AT96" s="22">
        <v>86</v>
      </c>
      <c r="AU96" s="22">
        <v>1.3665799999999999</v>
      </c>
      <c r="AV96">
        <f t="shared" si="20"/>
        <v>15.625</v>
      </c>
      <c r="AW96">
        <f t="shared" si="21"/>
        <v>21.357500000000002</v>
      </c>
      <c r="AX96" s="9"/>
      <c r="AY96" s="22">
        <v>0.33309899999999998</v>
      </c>
      <c r="AZ96" s="22">
        <v>527.85900000000004</v>
      </c>
      <c r="BA96" s="22">
        <v>-1.6888400000000001E-2</v>
      </c>
      <c r="BB96" s="22">
        <v>86</v>
      </c>
      <c r="BC96" s="22">
        <v>0.33248899999999998</v>
      </c>
      <c r="BD96">
        <f t="shared" si="22"/>
        <v>16.888400000000001</v>
      </c>
      <c r="BE96">
        <f t="shared" si="23"/>
        <v>5.6255091516000002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84.533900000000003</v>
      </c>
      <c r="I97" s="22">
        <v>-1.6134599999999999E-2</v>
      </c>
      <c r="J97" s="22">
        <v>87</v>
      </c>
      <c r="K97" s="22">
        <v>1.3610800000000001</v>
      </c>
      <c r="L97">
        <f t="shared" si="12"/>
        <v>16.134599999999999</v>
      </c>
      <c r="M97">
        <f t="shared" si="13"/>
        <v>21.972905009999998</v>
      </c>
      <c r="N97" s="9"/>
      <c r="O97" s="22">
        <v>0.33813500000000002</v>
      </c>
      <c r="P97" s="22">
        <v>178.49700000000001</v>
      </c>
      <c r="Q97" s="22">
        <v>-1.7053200000000001E-2</v>
      </c>
      <c r="R97" s="22">
        <v>87</v>
      </c>
      <c r="S97" s="22">
        <v>0.33740199999999998</v>
      </c>
      <c r="T97">
        <f t="shared" si="14"/>
        <v>17.0532</v>
      </c>
      <c r="U97">
        <f t="shared" si="15"/>
        <v>5.7662837820000004</v>
      </c>
      <c r="X97" s="9"/>
      <c r="Y97" s="22">
        <v>1.36185</v>
      </c>
      <c r="Z97" s="22">
        <v>296.26600000000002</v>
      </c>
      <c r="AA97" s="22">
        <v>-1.5881300000000001E-2</v>
      </c>
      <c r="AB97" s="22">
        <v>87</v>
      </c>
      <c r="AC97" s="22">
        <v>1.3607800000000001</v>
      </c>
      <c r="AD97">
        <f t="shared" si="16"/>
        <v>15.881300000000001</v>
      </c>
      <c r="AE97">
        <f t="shared" si="17"/>
        <v>21.627948405000001</v>
      </c>
      <c r="AF97" s="9"/>
      <c r="AG97" s="22">
        <v>0.33813500000000002</v>
      </c>
      <c r="AH97" s="22">
        <v>361.63200000000001</v>
      </c>
      <c r="AI97" s="22">
        <v>-1.6986100000000001E-2</v>
      </c>
      <c r="AJ97" s="22">
        <v>87</v>
      </c>
      <c r="AK97" s="22">
        <v>0.33752399999999999</v>
      </c>
      <c r="AL97">
        <f t="shared" si="18"/>
        <v>16.9861</v>
      </c>
      <c r="AM97">
        <f t="shared" si="19"/>
        <v>5.7435949235000008</v>
      </c>
      <c r="AP97" s="9"/>
      <c r="AQ97" s="22">
        <v>1.36185</v>
      </c>
      <c r="AR97" s="22">
        <v>450.93400000000003</v>
      </c>
      <c r="AS97" s="22">
        <v>-1.5646400000000001E-2</v>
      </c>
      <c r="AT97" s="22">
        <v>87</v>
      </c>
      <c r="AU97" s="22">
        <v>1.3607800000000001</v>
      </c>
      <c r="AV97">
        <f t="shared" si="20"/>
        <v>15.646400000000002</v>
      </c>
      <c r="AW97">
        <f t="shared" si="21"/>
        <v>21.308049840000002</v>
      </c>
      <c r="AX97" s="9"/>
      <c r="AY97" s="22">
        <v>0.33813500000000002</v>
      </c>
      <c r="AZ97" s="22">
        <v>527.95899999999995</v>
      </c>
      <c r="BA97" s="22">
        <v>-1.6888400000000001E-2</v>
      </c>
      <c r="BB97" s="22">
        <v>87</v>
      </c>
      <c r="BC97" s="22">
        <v>0.33743299999999998</v>
      </c>
      <c r="BD97">
        <f t="shared" si="22"/>
        <v>16.888400000000001</v>
      </c>
      <c r="BE97">
        <f t="shared" si="23"/>
        <v>5.7105591340000004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84.634600000000006</v>
      </c>
      <c r="I98" s="22">
        <v>-1.6134599999999999E-2</v>
      </c>
      <c r="J98" s="22">
        <v>88</v>
      </c>
      <c r="K98" s="22">
        <v>1.3565100000000001</v>
      </c>
      <c r="L98">
        <f t="shared" si="12"/>
        <v>16.134599999999999</v>
      </c>
      <c r="M98">
        <f t="shared" si="13"/>
        <v>21.891586625999999</v>
      </c>
      <c r="N98" s="9"/>
      <c r="O98" s="22">
        <v>0.34316999999999998</v>
      </c>
      <c r="P98" s="22">
        <v>178.59800000000001</v>
      </c>
      <c r="Q98" s="22">
        <v>-1.7047099999999999E-2</v>
      </c>
      <c r="R98" s="22">
        <v>88</v>
      </c>
      <c r="S98" s="22">
        <v>0.34262100000000001</v>
      </c>
      <c r="T98">
        <f t="shared" si="14"/>
        <v>17.0471</v>
      </c>
      <c r="U98">
        <f t="shared" si="15"/>
        <v>5.8500533069999996</v>
      </c>
      <c r="X98" s="9"/>
      <c r="Y98" s="22">
        <v>1.3568100000000001</v>
      </c>
      <c r="Z98" s="22">
        <v>296.36700000000002</v>
      </c>
      <c r="AA98" s="22">
        <v>-1.5881300000000001E-2</v>
      </c>
      <c r="AB98" s="22">
        <v>88</v>
      </c>
      <c r="AC98" s="22">
        <v>1.3565100000000001</v>
      </c>
      <c r="AD98">
        <f t="shared" si="16"/>
        <v>15.881300000000001</v>
      </c>
      <c r="AE98">
        <f t="shared" si="17"/>
        <v>21.547906653000002</v>
      </c>
      <c r="AF98" s="9"/>
      <c r="AG98" s="22">
        <v>0.34316999999999998</v>
      </c>
      <c r="AH98" s="22">
        <v>361.733</v>
      </c>
      <c r="AI98" s="22">
        <v>-1.69891E-2</v>
      </c>
      <c r="AJ98" s="22">
        <v>88</v>
      </c>
      <c r="AK98" s="22">
        <v>0.34246799999999999</v>
      </c>
      <c r="AL98">
        <f t="shared" si="18"/>
        <v>16.989100000000001</v>
      </c>
      <c r="AM98">
        <f t="shared" si="19"/>
        <v>5.8301494470000002</v>
      </c>
      <c r="AP98" s="9"/>
      <c r="AQ98" s="22">
        <v>1.3568100000000001</v>
      </c>
      <c r="AR98" s="22">
        <v>451.03500000000003</v>
      </c>
      <c r="AS98" s="22">
        <v>-1.5670799999999999E-2</v>
      </c>
      <c r="AT98" s="22">
        <v>88</v>
      </c>
      <c r="AU98" s="22">
        <v>1.3555900000000001</v>
      </c>
      <c r="AV98">
        <f t="shared" si="20"/>
        <v>15.670799999999998</v>
      </c>
      <c r="AW98">
        <f t="shared" si="21"/>
        <v>21.262298147999999</v>
      </c>
      <c r="AX98" s="9"/>
      <c r="AY98" s="22">
        <v>0.34316999999999998</v>
      </c>
      <c r="AZ98" s="22">
        <v>528.05999999999995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84.735299999999995</v>
      </c>
      <c r="I99" s="22">
        <v>-1.6131599999999999E-2</v>
      </c>
      <c r="J99" s="22">
        <v>89</v>
      </c>
      <c r="K99" s="22">
        <v>1.3507100000000001</v>
      </c>
      <c r="L99">
        <f t="shared" si="12"/>
        <v>16.131599999999999</v>
      </c>
      <c r="M99">
        <f t="shared" si="13"/>
        <v>21.806374247999997</v>
      </c>
      <c r="N99" s="9"/>
      <c r="O99" s="22">
        <v>0.34820600000000002</v>
      </c>
      <c r="P99" s="22">
        <v>178.69900000000001</v>
      </c>
      <c r="Q99" s="22">
        <v>-1.70563E-2</v>
      </c>
      <c r="R99" s="22">
        <v>89</v>
      </c>
      <c r="S99" s="22">
        <v>0.34747299999999998</v>
      </c>
      <c r="T99">
        <f t="shared" si="14"/>
        <v>17.0563</v>
      </c>
      <c r="U99">
        <f t="shared" si="15"/>
        <v>5.9391059978000005</v>
      </c>
      <c r="X99" s="9"/>
      <c r="Y99" s="22">
        <v>1.35178</v>
      </c>
      <c r="Z99" s="22">
        <v>296.46800000000002</v>
      </c>
      <c r="AA99" s="22">
        <v>-1.5933200000000002E-2</v>
      </c>
      <c r="AB99" s="22">
        <v>89</v>
      </c>
      <c r="AC99" s="22">
        <v>1.3507100000000001</v>
      </c>
      <c r="AD99">
        <f t="shared" si="16"/>
        <v>15.933200000000001</v>
      </c>
      <c r="AE99">
        <f t="shared" si="17"/>
        <v>21.538181096000002</v>
      </c>
      <c r="AF99" s="9"/>
      <c r="AG99" s="22">
        <v>0.34820600000000002</v>
      </c>
      <c r="AH99" s="22">
        <v>361.834</v>
      </c>
      <c r="AI99" s="22">
        <v>-1.70013E-2</v>
      </c>
      <c r="AJ99" s="22">
        <v>89</v>
      </c>
      <c r="AK99" s="22">
        <v>0.34756500000000001</v>
      </c>
      <c r="AL99">
        <f t="shared" si="18"/>
        <v>17.001300000000001</v>
      </c>
      <c r="AM99">
        <f t="shared" si="19"/>
        <v>5.9199546678000008</v>
      </c>
      <c r="AP99" s="9"/>
      <c r="AQ99" s="22">
        <v>1.35178</v>
      </c>
      <c r="AR99" s="22">
        <v>451.13499999999999</v>
      </c>
      <c r="AS99" s="22">
        <v>-1.5713499999999998E-2</v>
      </c>
      <c r="AT99" s="22">
        <v>89</v>
      </c>
      <c r="AU99" s="22">
        <v>1.3507100000000001</v>
      </c>
      <c r="AV99">
        <f t="shared" si="20"/>
        <v>15.713499999999998</v>
      </c>
      <c r="AW99">
        <f t="shared" si="21"/>
        <v>21.241195029999997</v>
      </c>
      <c r="AX99" s="9"/>
      <c r="AY99" s="22">
        <v>0.34820600000000002</v>
      </c>
      <c r="AZ99" s="22">
        <v>528.16099999999994</v>
      </c>
      <c r="BA99" s="22">
        <v>-1.6861000000000001E-2</v>
      </c>
      <c r="BB99" s="22">
        <v>89</v>
      </c>
      <c r="BC99" s="22">
        <v>0.34753400000000001</v>
      </c>
      <c r="BD99">
        <f t="shared" si="22"/>
        <v>16.861000000000001</v>
      </c>
      <c r="BE99">
        <f t="shared" si="23"/>
        <v>5.8711013660000004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84.835999999999999</v>
      </c>
      <c r="I100" s="22">
        <v>-1.6134599999999999E-2</v>
      </c>
      <c r="J100" s="22">
        <v>90</v>
      </c>
      <c r="K100" s="22">
        <v>1.34613</v>
      </c>
      <c r="L100">
        <f t="shared" si="12"/>
        <v>16.134599999999999</v>
      </c>
      <c r="M100">
        <f t="shared" si="13"/>
        <v>21.729111203999999</v>
      </c>
      <c r="N100" s="9"/>
      <c r="O100" s="22">
        <v>0.35324100000000003</v>
      </c>
      <c r="P100" s="22">
        <v>178.8</v>
      </c>
      <c r="Q100" s="22">
        <v>-1.70441E-2</v>
      </c>
      <c r="R100" s="22">
        <v>90</v>
      </c>
      <c r="S100" s="22">
        <v>0.35238599999999998</v>
      </c>
      <c r="T100">
        <f t="shared" si="14"/>
        <v>17.0441</v>
      </c>
      <c r="U100">
        <f t="shared" si="15"/>
        <v>6.0206749281000009</v>
      </c>
      <c r="X100" s="9"/>
      <c r="Y100" s="22">
        <v>1.34674</v>
      </c>
      <c r="Z100" s="22">
        <v>296.56900000000002</v>
      </c>
      <c r="AA100" s="22">
        <v>-1.5976000000000001E-2</v>
      </c>
      <c r="AB100" s="22">
        <v>90</v>
      </c>
      <c r="AC100" s="22">
        <v>1.34552</v>
      </c>
      <c r="AD100">
        <f t="shared" si="16"/>
        <v>15.976000000000001</v>
      </c>
      <c r="AE100">
        <f t="shared" si="17"/>
        <v>21.515518240000002</v>
      </c>
      <c r="AF100" s="9"/>
      <c r="AG100" s="22">
        <v>0.35324100000000003</v>
      </c>
      <c r="AH100" s="22">
        <v>361.935</v>
      </c>
      <c r="AI100" s="22">
        <v>-1.70013E-2</v>
      </c>
      <c r="AJ100" s="22">
        <v>90</v>
      </c>
      <c r="AK100" s="22">
        <v>0.35263100000000003</v>
      </c>
      <c r="AL100">
        <f t="shared" si="18"/>
        <v>17.001300000000001</v>
      </c>
      <c r="AM100">
        <f t="shared" si="19"/>
        <v>6.0055562133000002</v>
      </c>
      <c r="AP100" s="9"/>
      <c r="AQ100" s="22">
        <v>1.34674</v>
      </c>
      <c r="AR100" s="22">
        <v>451.23599999999999</v>
      </c>
      <c r="AS100" s="22">
        <v>-1.5753199999999998E-2</v>
      </c>
      <c r="AT100" s="22">
        <v>90</v>
      </c>
      <c r="AU100" s="22">
        <v>1.34613</v>
      </c>
      <c r="AV100">
        <f t="shared" si="20"/>
        <v>15.753199999999998</v>
      </c>
      <c r="AW100">
        <f t="shared" si="21"/>
        <v>21.215464567999998</v>
      </c>
      <c r="AX100" s="9"/>
      <c r="AY100" s="22">
        <v>0.35324100000000003</v>
      </c>
      <c r="AZ100" s="22">
        <v>528.26099999999997</v>
      </c>
      <c r="BA100" s="22">
        <v>-1.6873200000000001E-2</v>
      </c>
      <c r="BB100" s="22">
        <v>90</v>
      </c>
      <c r="BC100" s="22">
        <v>0.35253899999999999</v>
      </c>
      <c r="BD100">
        <f t="shared" si="22"/>
        <v>16.873200000000001</v>
      </c>
      <c r="BE100">
        <f t="shared" si="23"/>
        <v>5.9603060412000008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84.936700000000002</v>
      </c>
      <c r="I101" s="22">
        <v>-1.6131599999999999E-2</v>
      </c>
      <c r="J101" s="22">
        <v>91</v>
      </c>
      <c r="K101" s="22">
        <v>1.3406400000000001</v>
      </c>
      <c r="L101">
        <f t="shared" si="12"/>
        <v>16.131599999999999</v>
      </c>
      <c r="M101">
        <f t="shared" si="13"/>
        <v>21.643929035999999</v>
      </c>
      <c r="N101" s="9"/>
      <c r="O101" s="22">
        <v>0.35827599999999998</v>
      </c>
      <c r="P101" s="22">
        <v>178.9</v>
      </c>
      <c r="Q101" s="22">
        <v>-1.7031899999999999E-2</v>
      </c>
      <c r="R101" s="22">
        <v>91</v>
      </c>
      <c r="S101" s="22">
        <v>0.35760500000000001</v>
      </c>
      <c r="T101">
        <f t="shared" si="14"/>
        <v>17.0319</v>
      </c>
      <c r="U101">
        <f t="shared" si="15"/>
        <v>6.1021210043999998</v>
      </c>
      <c r="X101" s="9"/>
      <c r="Y101" s="22">
        <v>1.34171</v>
      </c>
      <c r="Z101" s="22">
        <v>296.66899999999998</v>
      </c>
      <c r="AA101" s="22">
        <v>-1.5982099999999999E-2</v>
      </c>
      <c r="AB101" s="22">
        <v>91</v>
      </c>
      <c r="AC101" s="22">
        <v>1.3418600000000001</v>
      </c>
      <c r="AD101">
        <f t="shared" si="16"/>
        <v>15.982099999999999</v>
      </c>
      <c r="AE101">
        <f t="shared" si="17"/>
        <v>21.443343390999999</v>
      </c>
      <c r="AF101" s="9"/>
      <c r="AG101" s="22">
        <v>0.35827599999999998</v>
      </c>
      <c r="AH101" s="22">
        <v>362.03500000000003</v>
      </c>
      <c r="AI101" s="22">
        <v>-1.7007399999999999E-2</v>
      </c>
      <c r="AJ101" s="22">
        <v>91</v>
      </c>
      <c r="AK101" s="22">
        <v>0.35760500000000001</v>
      </c>
      <c r="AL101">
        <f t="shared" si="18"/>
        <v>17.007400000000001</v>
      </c>
      <c r="AM101">
        <f t="shared" si="19"/>
        <v>6.0933432423999996</v>
      </c>
      <c r="AP101" s="9"/>
      <c r="AQ101" s="22">
        <v>1.34171</v>
      </c>
      <c r="AR101" s="22">
        <v>451.33699999999999</v>
      </c>
      <c r="AS101" s="22">
        <v>-1.5792799999999999E-2</v>
      </c>
      <c r="AT101" s="22">
        <v>91</v>
      </c>
      <c r="AU101" s="22">
        <v>1.34094</v>
      </c>
      <c r="AV101">
        <f t="shared" si="20"/>
        <v>15.7928</v>
      </c>
      <c r="AW101">
        <f t="shared" si="21"/>
        <v>21.189357687999998</v>
      </c>
      <c r="AX101" s="9"/>
      <c r="AY101" s="22">
        <v>0.35827599999999998</v>
      </c>
      <c r="AZ101" s="22">
        <v>528.36199999999997</v>
      </c>
      <c r="BA101" s="22">
        <v>-1.6867099999999999E-2</v>
      </c>
      <c r="BB101" s="22">
        <v>91</v>
      </c>
      <c r="BC101" s="22">
        <v>0.35760500000000001</v>
      </c>
      <c r="BD101">
        <f t="shared" si="22"/>
        <v>16.867100000000001</v>
      </c>
      <c r="BE101">
        <f t="shared" si="23"/>
        <v>6.0430771196000004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85.037400000000005</v>
      </c>
      <c r="I102" s="22">
        <v>-1.6149899999999998E-2</v>
      </c>
      <c r="J102" s="22">
        <v>92</v>
      </c>
      <c r="K102" s="22">
        <v>1.33545</v>
      </c>
      <c r="L102">
        <f t="shared" si="12"/>
        <v>16.149899999999999</v>
      </c>
      <c r="M102">
        <f t="shared" si="13"/>
        <v>21.587086832999997</v>
      </c>
      <c r="N102" s="9"/>
      <c r="O102" s="22">
        <v>0.36331200000000002</v>
      </c>
      <c r="P102" s="22">
        <v>179.001</v>
      </c>
      <c r="Q102" s="22">
        <v>-1.70441E-2</v>
      </c>
      <c r="R102" s="22">
        <v>92</v>
      </c>
      <c r="S102" s="22">
        <v>0.36267100000000002</v>
      </c>
      <c r="T102">
        <f t="shared" si="14"/>
        <v>17.0441</v>
      </c>
      <c r="U102">
        <f t="shared" si="15"/>
        <v>6.1923260592000009</v>
      </c>
      <c r="X102" s="9"/>
      <c r="Y102" s="22">
        <v>1.33667</v>
      </c>
      <c r="Z102" s="22">
        <v>296.77</v>
      </c>
      <c r="AA102" s="22">
        <v>-1.6015600000000001E-2</v>
      </c>
      <c r="AB102" s="22">
        <v>92</v>
      </c>
      <c r="AC102" s="22">
        <v>1.33575</v>
      </c>
      <c r="AD102">
        <f t="shared" si="16"/>
        <v>16.015600000000003</v>
      </c>
      <c r="AE102">
        <f t="shared" si="17"/>
        <v>21.407572052000003</v>
      </c>
      <c r="AF102" s="9"/>
      <c r="AG102" s="22">
        <v>0.36331200000000002</v>
      </c>
      <c r="AH102" s="22">
        <v>362.13600000000002</v>
      </c>
      <c r="AI102" s="22">
        <v>-1.69891E-2</v>
      </c>
      <c r="AJ102" s="22">
        <v>92</v>
      </c>
      <c r="AK102" s="22">
        <v>0.36264000000000002</v>
      </c>
      <c r="AL102">
        <f t="shared" si="18"/>
        <v>16.989100000000001</v>
      </c>
      <c r="AM102">
        <f t="shared" si="19"/>
        <v>6.1723438992000004</v>
      </c>
      <c r="AP102" s="9"/>
      <c r="AQ102" s="22">
        <v>1.33667</v>
      </c>
      <c r="AR102" s="22">
        <v>451.43700000000001</v>
      </c>
      <c r="AS102" s="22">
        <v>-1.5811200000000001E-2</v>
      </c>
      <c r="AT102" s="22">
        <v>92</v>
      </c>
      <c r="AU102" s="22">
        <v>1.33545</v>
      </c>
      <c r="AV102">
        <f t="shared" si="20"/>
        <v>15.811200000000001</v>
      </c>
      <c r="AW102">
        <f t="shared" si="21"/>
        <v>21.134356704000002</v>
      </c>
      <c r="AX102" s="9"/>
      <c r="AY102" s="22">
        <v>0.36331200000000002</v>
      </c>
      <c r="AZ102" s="22">
        <v>528.46299999999997</v>
      </c>
      <c r="BA102" s="22">
        <v>-1.6885399999999998E-2</v>
      </c>
      <c r="BB102" s="22">
        <v>92</v>
      </c>
      <c r="BC102" s="22">
        <v>0.36260999999999999</v>
      </c>
      <c r="BD102">
        <f t="shared" si="22"/>
        <v>16.885399999999997</v>
      </c>
      <c r="BE102">
        <f t="shared" si="23"/>
        <v>6.1346684447999991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85.138099999999994</v>
      </c>
      <c r="I103" s="22">
        <v>-1.6186499999999999E-2</v>
      </c>
      <c r="J103" s="22">
        <v>93</v>
      </c>
      <c r="K103" s="22">
        <v>1.33118</v>
      </c>
      <c r="L103">
        <f t="shared" si="12"/>
        <v>16.186499999999999</v>
      </c>
      <c r="M103">
        <f t="shared" si="13"/>
        <v>21.554428994999999</v>
      </c>
      <c r="N103" s="9"/>
      <c r="O103" s="22">
        <v>0.36834699999999998</v>
      </c>
      <c r="P103" s="22">
        <v>179.102</v>
      </c>
      <c r="Q103" s="22">
        <v>-1.7031899999999999E-2</v>
      </c>
      <c r="R103" s="22">
        <v>93</v>
      </c>
      <c r="S103" s="22">
        <v>0.36776700000000001</v>
      </c>
      <c r="T103">
        <f t="shared" si="14"/>
        <v>17.0319</v>
      </c>
      <c r="U103">
        <f t="shared" si="15"/>
        <v>6.2736492692999999</v>
      </c>
      <c r="X103" s="9"/>
      <c r="Y103" s="22">
        <v>1.3316300000000001</v>
      </c>
      <c r="Z103" s="22">
        <v>296.87099999999998</v>
      </c>
      <c r="AA103" s="22">
        <v>-1.60614E-2</v>
      </c>
      <c r="AB103" s="22">
        <v>93</v>
      </c>
      <c r="AC103" s="22">
        <v>1.33148</v>
      </c>
      <c r="AD103">
        <f t="shared" si="16"/>
        <v>16.061399999999999</v>
      </c>
      <c r="AE103">
        <f t="shared" si="17"/>
        <v>21.387842081999999</v>
      </c>
      <c r="AF103" s="9"/>
      <c r="AG103" s="22">
        <v>0.36834699999999998</v>
      </c>
      <c r="AH103" s="22">
        <v>362.23700000000002</v>
      </c>
      <c r="AI103" s="22">
        <v>-1.7007399999999999E-2</v>
      </c>
      <c r="AJ103" s="22">
        <v>93</v>
      </c>
      <c r="AK103" s="22">
        <v>0.36773699999999998</v>
      </c>
      <c r="AL103">
        <f t="shared" si="18"/>
        <v>17.007400000000001</v>
      </c>
      <c r="AM103">
        <f t="shared" si="19"/>
        <v>6.2646247678</v>
      </c>
      <c r="AP103" s="9"/>
      <c r="AQ103" s="22">
        <v>1.3316300000000001</v>
      </c>
      <c r="AR103" s="22">
        <v>451.53800000000001</v>
      </c>
      <c r="AS103" s="22">
        <v>-1.5835599999999998E-2</v>
      </c>
      <c r="AT103" s="22">
        <v>93</v>
      </c>
      <c r="AU103" s="22">
        <v>1.33057</v>
      </c>
      <c r="AV103">
        <f t="shared" si="20"/>
        <v>15.835599999999998</v>
      </c>
      <c r="AW103">
        <f t="shared" si="21"/>
        <v>21.087160028</v>
      </c>
      <c r="AX103" s="9"/>
      <c r="AY103" s="22">
        <v>0.36834699999999998</v>
      </c>
      <c r="AZ103" s="22">
        <v>528.56299999999999</v>
      </c>
      <c r="BA103" s="22">
        <v>-1.68793E-2</v>
      </c>
      <c r="BB103" s="22">
        <v>93</v>
      </c>
      <c r="BC103" s="22">
        <v>0.36758400000000002</v>
      </c>
      <c r="BD103">
        <f t="shared" si="22"/>
        <v>16.879300000000001</v>
      </c>
      <c r="BE103">
        <f t="shared" si="23"/>
        <v>6.2174395170999999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85.238799999999998</v>
      </c>
      <c r="I104" s="22">
        <v>-1.6189599999999998E-2</v>
      </c>
      <c r="J104" s="22">
        <v>94</v>
      </c>
      <c r="K104" s="22">
        <v>1.32568</v>
      </c>
      <c r="L104">
        <f t="shared" si="12"/>
        <v>16.189599999999999</v>
      </c>
      <c r="M104">
        <f t="shared" si="13"/>
        <v>21.477123359999997</v>
      </c>
      <c r="N104" s="9"/>
      <c r="O104" s="22">
        <v>0.37338300000000002</v>
      </c>
      <c r="P104" s="22">
        <v>179.202</v>
      </c>
      <c r="Q104" s="22">
        <v>-1.7022700000000002E-2</v>
      </c>
      <c r="R104" s="22">
        <v>94</v>
      </c>
      <c r="S104" s="22">
        <v>0.37271100000000001</v>
      </c>
      <c r="T104">
        <f t="shared" si="14"/>
        <v>17.0227</v>
      </c>
      <c r="U104">
        <f t="shared" si="15"/>
        <v>6.3559867941000006</v>
      </c>
      <c r="X104" s="9"/>
      <c r="Y104" s="22">
        <v>1.3266</v>
      </c>
      <c r="Z104" s="22">
        <v>296.971</v>
      </c>
      <c r="AA104" s="22">
        <v>-1.6055300000000002E-2</v>
      </c>
      <c r="AB104" s="22">
        <v>94</v>
      </c>
      <c r="AC104" s="22">
        <v>1.32599</v>
      </c>
      <c r="AD104">
        <f t="shared" si="16"/>
        <v>16.055300000000003</v>
      </c>
      <c r="AE104">
        <f t="shared" si="17"/>
        <v>21.298960980000004</v>
      </c>
      <c r="AF104" s="9"/>
      <c r="AG104" s="22">
        <v>0.37338300000000002</v>
      </c>
      <c r="AH104" s="22">
        <v>362.33699999999999</v>
      </c>
      <c r="AI104" s="22">
        <v>-1.6995199999999999E-2</v>
      </c>
      <c r="AJ104" s="22">
        <v>94</v>
      </c>
      <c r="AK104" s="22">
        <v>0.372589</v>
      </c>
      <c r="AL104">
        <f t="shared" si="18"/>
        <v>16.995199999999997</v>
      </c>
      <c r="AM104">
        <f t="shared" si="19"/>
        <v>6.3457187615999988</v>
      </c>
      <c r="AP104" s="9"/>
      <c r="AQ104" s="22">
        <v>1.3266</v>
      </c>
      <c r="AR104" s="22">
        <v>451.63900000000001</v>
      </c>
      <c r="AS104" s="22">
        <v>-1.5862999999999999E-2</v>
      </c>
      <c r="AT104" s="22">
        <v>94</v>
      </c>
      <c r="AU104" s="22">
        <v>1.32629</v>
      </c>
      <c r="AV104">
        <f t="shared" si="20"/>
        <v>15.862999999999998</v>
      </c>
      <c r="AW104">
        <f t="shared" si="21"/>
        <v>21.043855799999996</v>
      </c>
      <c r="AX104" s="9"/>
      <c r="AY104" s="22">
        <v>0.37338300000000002</v>
      </c>
      <c r="AZ104" s="22">
        <v>528.66399999999999</v>
      </c>
      <c r="BA104" s="22">
        <v>-1.6888400000000001E-2</v>
      </c>
      <c r="BB104" s="22">
        <v>94</v>
      </c>
      <c r="BC104" s="22">
        <v>0.37277199999999999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85.339500000000001</v>
      </c>
      <c r="I105" s="22">
        <v>-1.6189599999999998E-2</v>
      </c>
      <c r="J105" s="22">
        <v>95</v>
      </c>
      <c r="K105" s="22">
        <v>1.32111</v>
      </c>
      <c r="L105">
        <f t="shared" si="12"/>
        <v>16.189599999999999</v>
      </c>
      <c r="M105">
        <f t="shared" si="13"/>
        <v>21.395527775999998</v>
      </c>
      <c r="N105" s="9"/>
      <c r="O105" s="22">
        <v>0.37841799999999998</v>
      </c>
      <c r="P105" s="22">
        <v>179.303</v>
      </c>
      <c r="Q105" s="22">
        <v>-1.7031899999999999E-2</v>
      </c>
      <c r="R105" s="22">
        <v>95</v>
      </c>
      <c r="S105" s="22">
        <v>0.37780799999999998</v>
      </c>
      <c r="T105">
        <f t="shared" si="14"/>
        <v>17.0319</v>
      </c>
      <c r="U105">
        <f t="shared" si="15"/>
        <v>6.4451775341999999</v>
      </c>
      <c r="X105" s="9"/>
      <c r="Y105" s="22">
        <v>1.3215600000000001</v>
      </c>
      <c r="Z105" s="22">
        <v>297.072</v>
      </c>
      <c r="AA105" s="22">
        <v>-1.6067499999999998E-2</v>
      </c>
      <c r="AB105" s="22">
        <v>95</v>
      </c>
      <c r="AC105" s="22">
        <v>1.32141</v>
      </c>
      <c r="AD105">
        <f t="shared" si="16"/>
        <v>16.067499999999999</v>
      </c>
      <c r="AE105">
        <f t="shared" si="17"/>
        <v>21.234165300000001</v>
      </c>
      <c r="AF105" s="9"/>
      <c r="AG105" s="22">
        <v>0.37841799999999998</v>
      </c>
      <c r="AH105" s="22">
        <v>362.43799999999999</v>
      </c>
      <c r="AI105" s="22">
        <v>-1.69891E-2</v>
      </c>
      <c r="AJ105" s="22">
        <v>95</v>
      </c>
      <c r="AK105" s="22">
        <v>0.37780799999999998</v>
      </c>
      <c r="AL105">
        <f t="shared" si="18"/>
        <v>16.989100000000001</v>
      </c>
      <c r="AM105">
        <f t="shared" si="19"/>
        <v>6.4289812438</v>
      </c>
      <c r="AP105" s="9"/>
      <c r="AQ105" s="22">
        <v>1.3215600000000001</v>
      </c>
      <c r="AR105" s="22">
        <v>451.74</v>
      </c>
      <c r="AS105" s="22">
        <v>-1.59119E-2</v>
      </c>
      <c r="AT105" s="22">
        <v>95</v>
      </c>
      <c r="AU105" s="22">
        <v>1.3208</v>
      </c>
      <c r="AV105">
        <f t="shared" si="20"/>
        <v>15.911899999999999</v>
      </c>
      <c r="AW105">
        <f t="shared" si="21"/>
        <v>21.028530564</v>
      </c>
      <c r="AX105" s="9"/>
      <c r="AY105" s="22">
        <v>0.37841799999999998</v>
      </c>
      <c r="AZ105" s="22">
        <v>528.76499999999999</v>
      </c>
      <c r="BA105" s="22">
        <v>-1.6867099999999999E-2</v>
      </c>
      <c r="BB105" s="22">
        <v>95</v>
      </c>
      <c r="BC105" s="22">
        <v>0.37780799999999998</v>
      </c>
      <c r="BD105">
        <f t="shared" si="22"/>
        <v>16.867100000000001</v>
      </c>
      <c r="BE105">
        <f t="shared" si="23"/>
        <v>6.3828142477999998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85.440200000000004</v>
      </c>
      <c r="I106" s="22">
        <v>-1.61835E-2</v>
      </c>
      <c r="J106" s="22">
        <v>96</v>
      </c>
      <c r="K106" s="22">
        <v>1.3162199999999999</v>
      </c>
      <c r="L106">
        <f t="shared" si="12"/>
        <v>16.183499999999999</v>
      </c>
      <c r="M106">
        <f t="shared" si="13"/>
        <v>21.306063254999998</v>
      </c>
      <c r="N106" s="9"/>
      <c r="O106" s="22">
        <v>0.38345299999999999</v>
      </c>
      <c r="P106" s="22">
        <v>179.404</v>
      </c>
      <c r="Q106" s="22">
        <v>-1.7022700000000002E-2</v>
      </c>
      <c r="R106" s="22">
        <v>96</v>
      </c>
      <c r="S106" s="22">
        <v>0.38284299999999999</v>
      </c>
      <c r="T106">
        <f t="shared" si="14"/>
        <v>17.0227</v>
      </c>
      <c r="U106">
        <f t="shared" si="15"/>
        <v>6.5274053830999996</v>
      </c>
      <c r="X106" s="9"/>
      <c r="Y106" s="22">
        <v>1.31653</v>
      </c>
      <c r="Z106" s="22">
        <v>297.173</v>
      </c>
      <c r="AA106" s="22">
        <v>-1.6079699999999999E-2</v>
      </c>
      <c r="AB106" s="22">
        <v>96</v>
      </c>
      <c r="AC106" s="22">
        <v>1.31592</v>
      </c>
      <c r="AD106">
        <f t="shared" si="16"/>
        <v>16.079699999999999</v>
      </c>
      <c r="AE106">
        <f t="shared" si="17"/>
        <v>21.169407440999997</v>
      </c>
      <c r="AF106" s="9"/>
      <c r="AG106" s="22">
        <v>0.38345299999999999</v>
      </c>
      <c r="AH106" s="22">
        <v>362.53899999999999</v>
      </c>
      <c r="AI106" s="22">
        <v>-1.6979999999999999E-2</v>
      </c>
      <c r="AJ106" s="22">
        <v>96</v>
      </c>
      <c r="AK106" s="22">
        <v>0.38284299999999999</v>
      </c>
      <c r="AL106">
        <f t="shared" si="18"/>
        <v>16.979999999999997</v>
      </c>
      <c r="AM106">
        <f t="shared" si="19"/>
        <v>6.5110319399999987</v>
      </c>
      <c r="AP106" s="9"/>
      <c r="AQ106" s="22">
        <v>1.31653</v>
      </c>
      <c r="AR106" s="22">
        <v>451.84</v>
      </c>
      <c r="AS106" s="22">
        <v>-1.5905800000000001E-2</v>
      </c>
      <c r="AT106" s="22">
        <v>96</v>
      </c>
      <c r="AU106" s="22">
        <v>1.31592</v>
      </c>
      <c r="AV106">
        <f t="shared" si="20"/>
        <v>15.905800000000001</v>
      </c>
      <c r="AW106">
        <f t="shared" si="21"/>
        <v>20.940462874000001</v>
      </c>
      <c r="AX106" s="9"/>
      <c r="AY106" s="22">
        <v>0.38345299999999999</v>
      </c>
      <c r="AZ106" s="22">
        <v>528.86599999999999</v>
      </c>
      <c r="BA106" s="22">
        <v>-1.6867099999999999E-2</v>
      </c>
      <c r="BB106" s="22">
        <v>96</v>
      </c>
      <c r="BC106" s="22">
        <v>0.38281300000000001</v>
      </c>
      <c r="BD106">
        <f t="shared" si="22"/>
        <v>16.867100000000001</v>
      </c>
      <c r="BE106">
        <f t="shared" si="23"/>
        <v>6.4677400963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85.540899999999993</v>
      </c>
      <c r="I107" s="22">
        <v>-1.6192600000000001E-2</v>
      </c>
      <c r="J107" s="22">
        <v>97</v>
      </c>
      <c r="K107" s="22">
        <v>1.31104</v>
      </c>
      <c r="L107">
        <f t="shared" si="12"/>
        <v>16.192600000000002</v>
      </c>
      <c r="M107">
        <f t="shared" si="13"/>
        <v>21.236432974000003</v>
      </c>
      <c r="N107" s="9"/>
      <c r="O107" s="22">
        <v>0.38848899999999997</v>
      </c>
      <c r="P107" s="22">
        <v>179.505</v>
      </c>
      <c r="Q107" s="22">
        <v>-1.7025800000000001E-2</v>
      </c>
      <c r="R107" s="22">
        <v>97</v>
      </c>
      <c r="S107" s="22">
        <v>0.38781700000000002</v>
      </c>
      <c r="T107">
        <f t="shared" si="14"/>
        <v>17.0258</v>
      </c>
      <c r="U107">
        <f t="shared" si="15"/>
        <v>6.6143360161999993</v>
      </c>
      <c r="X107" s="9"/>
      <c r="Y107" s="22">
        <v>1.31149</v>
      </c>
      <c r="Z107" s="22">
        <v>297.274</v>
      </c>
      <c r="AA107" s="22">
        <v>-1.6107199999999999E-2</v>
      </c>
      <c r="AB107" s="22">
        <v>97</v>
      </c>
      <c r="AC107" s="22">
        <v>1.31104</v>
      </c>
      <c r="AD107">
        <f t="shared" si="16"/>
        <v>16.107199999999999</v>
      </c>
      <c r="AE107">
        <f t="shared" si="17"/>
        <v>21.124431727999998</v>
      </c>
      <c r="AF107" s="9"/>
      <c r="AG107" s="22">
        <v>0.38848899999999997</v>
      </c>
      <c r="AH107" s="22">
        <v>362.64</v>
      </c>
      <c r="AI107" s="22">
        <v>-1.6970800000000001E-2</v>
      </c>
      <c r="AJ107" s="22">
        <v>97</v>
      </c>
      <c r="AK107" s="22">
        <v>0.38778699999999999</v>
      </c>
      <c r="AL107">
        <f t="shared" si="18"/>
        <v>16.970800000000001</v>
      </c>
      <c r="AM107">
        <f t="shared" si="19"/>
        <v>6.5929691211999994</v>
      </c>
      <c r="AP107" s="9"/>
      <c r="AQ107" s="22">
        <v>1.31149</v>
      </c>
      <c r="AR107" s="22">
        <v>451.94099999999997</v>
      </c>
      <c r="AS107" s="22">
        <v>-1.5908800000000001E-2</v>
      </c>
      <c r="AT107" s="22">
        <v>97</v>
      </c>
      <c r="AU107" s="22">
        <v>1.3104199999999999</v>
      </c>
      <c r="AV107">
        <f t="shared" si="20"/>
        <v>15.908800000000001</v>
      </c>
      <c r="AW107">
        <f t="shared" si="21"/>
        <v>20.864232112000003</v>
      </c>
      <c r="AX107" s="9"/>
      <c r="AY107" s="22">
        <v>0.38848899999999997</v>
      </c>
      <c r="AZ107" s="22">
        <v>528.96600000000001</v>
      </c>
      <c r="BA107" s="22">
        <v>-1.68518E-2</v>
      </c>
      <c r="BB107" s="22">
        <v>97</v>
      </c>
      <c r="BC107" s="22">
        <v>0.38781700000000002</v>
      </c>
      <c r="BD107">
        <f t="shared" si="22"/>
        <v>16.851800000000001</v>
      </c>
      <c r="BE107">
        <f t="shared" si="23"/>
        <v>6.5467389302000001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85.641599999999997</v>
      </c>
      <c r="I108" s="22">
        <v>-1.62109E-2</v>
      </c>
      <c r="J108" s="22">
        <v>98</v>
      </c>
      <c r="K108" s="22">
        <v>1.3055399999999999</v>
      </c>
      <c r="L108">
        <f t="shared" si="12"/>
        <v>16.210899999999999</v>
      </c>
      <c r="M108">
        <f t="shared" si="13"/>
        <v>21.178892413999996</v>
      </c>
      <c r="N108" s="9"/>
      <c r="O108" s="22">
        <v>0.39352399999999998</v>
      </c>
      <c r="P108" s="22">
        <v>179.60499999999999</v>
      </c>
      <c r="Q108" s="22">
        <v>-1.7022700000000002E-2</v>
      </c>
      <c r="R108" s="22">
        <v>98</v>
      </c>
      <c r="S108" s="22">
        <v>0.39288299999999998</v>
      </c>
      <c r="T108">
        <f t="shared" si="14"/>
        <v>17.0227</v>
      </c>
      <c r="U108">
        <f t="shared" si="15"/>
        <v>6.6988409948000003</v>
      </c>
      <c r="X108" s="9"/>
      <c r="Y108" s="22">
        <v>1.30646</v>
      </c>
      <c r="Z108" s="22">
        <v>297.37400000000002</v>
      </c>
      <c r="AA108" s="22">
        <v>-1.6107199999999999E-2</v>
      </c>
      <c r="AB108" s="22">
        <v>98</v>
      </c>
      <c r="AC108" s="22">
        <v>1.30585</v>
      </c>
      <c r="AD108">
        <f t="shared" si="16"/>
        <v>16.107199999999999</v>
      </c>
      <c r="AE108">
        <f t="shared" si="17"/>
        <v>21.043412511999996</v>
      </c>
      <c r="AF108" s="9"/>
      <c r="AG108" s="22">
        <v>0.39352399999999998</v>
      </c>
      <c r="AH108" s="22">
        <v>362.74</v>
      </c>
      <c r="AI108" s="22">
        <v>-1.6970800000000001E-2</v>
      </c>
      <c r="AJ108" s="22">
        <v>98</v>
      </c>
      <c r="AK108" s="22">
        <v>0.39297500000000002</v>
      </c>
      <c r="AL108">
        <f t="shared" si="18"/>
        <v>16.970800000000001</v>
      </c>
      <c r="AM108">
        <f t="shared" si="19"/>
        <v>6.6784170991999998</v>
      </c>
      <c r="AP108" s="9"/>
      <c r="AQ108" s="22">
        <v>1.30646</v>
      </c>
      <c r="AR108" s="22">
        <v>452.04199999999997</v>
      </c>
      <c r="AS108" s="22">
        <v>-1.59515E-2</v>
      </c>
      <c r="AT108" s="22">
        <v>98</v>
      </c>
      <c r="AU108" s="22">
        <v>1.30585</v>
      </c>
      <c r="AV108">
        <f t="shared" si="20"/>
        <v>15.951500000000001</v>
      </c>
      <c r="AW108">
        <f t="shared" si="21"/>
        <v>20.83999669</v>
      </c>
      <c r="AX108" s="9"/>
      <c r="AY108" s="22">
        <v>0.39352399999999998</v>
      </c>
      <c r="AZ108" s="22">
        <v>529.06700000000001</v>
      </c>
      <c r="BA108" s="22">
        <v>-1.6854899999999999E-2</v>
      </c>
      <c r="BB108" s="22">
        <v>98</v>
      </c>
      <c r="BC108" s="22">
        <v>0.39294400000000002</v>
      </c>
      <c r="BD108">
        <f t="shared" si="22"/>
        <v>16.854900000000001</v>
      </c>
      <c r="BE108">
        <f t="shared" si="23"/>
        <v>6.6328076675999998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85.742400000000004</v>
      </c>
      <c r="I109" s="22">
        <v>-1.62262E-2</v>
      </c>
      <c r="J109" s="22">
        <v>99</v>
      </c>
      <c r="K109" s="22">
        <v>1.3006599999999999</v>
      </c>
      <c r="L109">
        <f t="shared" si="12"/>
        <v>16.226199999999999</v>
      </c>
      <c r="M109">
        <f t="shared" si="13"/>
        <v>21.117101203999997</v>
      </c>
      <c r="N109" s="9"/>
      <c r="O109" s="22">
        <v>0.39856000000000003</v>
      </c>
      <c r="P109" s="22">
        <v>179.70599999999999</v>
      </c>
      <c r="Q109" s="22">
        <v>-1.7025800000000001E-2</v>
      </c>
      <c r="R109" s="22">
        <v>99</v>
      </c>
      <c r="S109" s="22">
        <v>0.397949</v>
      </c>
      <c r="T109">
        <f t="shared" si="14"/>
        <v>17.0258</v>
      </c>
      <c r="U109">
        <f t="shared" si="15"/>
        <v>6.7858028480000003</v>
      </c>
      <c r="X109" s="9"/>
      <c r="Y109" s="22">
        <v>1.30142</v>
      </c>
      <c r="Z109" s="22">
        <v>297.47500000000002</v>
      </c>
      <c r="AA109" s="22">
        <v>-1.61163E-2</v>
      </c>
      <c r="AB109" s="22">
        <v>99</v>
      </c>
      <c r="AC109" s="22">
        <v>1.3003499999999999</v>
      </c>
      <c r="AD109">
        <f t="shared" si="16"/>
        <v>16.116299999999999</v>
      </c>
      <c r="AE109">
        <f t="shared" si="17"/>
        <v>20.974075146000001</v>
      </c>
      <c r="AF109" s="9"/>
      <c r="AG109" s="22">
        <v>0.39856000000000003</v>
      </c>
      <c r="AH109" s="22">
        <v>362.84100000000001</v>
      </c>
      <c r="AI109" s="22">
        <v>-1.6979999999999999E-2</v>
      </c>
      <c r="AJ109" s="22">
        <v>99</v>
      </c>
      <c r="AK109" s="22">
        <v>0.397949</v>
      </c>
      <c r="AL109">
        <f t="shared" si="18"/>
        <v>16.979999999999997</v>
      </c>
      <c r="AM109">
        <f t="shared" si="19"/>
        <v>6.7675487999999993</v>
      </c>
      <c r="AP109" s="9"/>
      <c r="AQ109" s="22">
        <v>1.30142</v>
      </c>
      <c r="AR109" s="22">
        <v>452.142</v>
      </c>
      <c r="AS109" s="22">
        <v>-1.5945399999999998E-2</v>
      </c>
      <c r="AT109" s="22">
        <v>99</v>
      </c>
      <c r="AU109" s="22">
        <v>1.3006599999999999</v>
      </c>
      <c r="AV109">
        <f t="shared" si="20"/>
        <v>15.945399999999999</v>
      </c>
      <c r="AW109">
        <f t="shared" si="21"/>
        <v>20.751662467999999</v>
      </c>
      <c r="AX109" s="9"/>
      <c r="AY109" s="22">
        <v>0.39856000000000003</v>
      </c>
      <c r="AZ109" s="22">
        <v>529.16800000000001</v>
      </c>
      <c r="BA109" s="22">
        <v>-1.6848800000000001E-2</v>
      </c>
      <c r="BB109" s="22">
        <v>99</v>
      </c>
      <c r="BC109" s="22">
        <v>0.39798</v>
      </c>
      <c r="BD109">
        <f t="shared" si="22"/>
        <v>16.848800000000001</v>
      </c>
      <c r="BE109">
        <f t="shared" si="23"/>
        <v>6.715257728000001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85.843100000000007</v>
      </c>
      <c r="I110" s="22">
        <v>-1.6241499999999999E-2</v>
      </c>
      <c r="J110" s="22">
        <v>100</v>
      </c>
      <c r="K110" s="22">
        <v>1.2960799999999999</v>
      </c>
      <c r="L110">
        <f t="shared" si="12"/>
        <v>16.241499999999998</v>
      </c>
      <c r="M110">
        <f t="shared" si="13"/>
        <v>21.055318184999997</v>
      </c>
      <c r="N110" s="9"/>
      <c r="O110" s="22">
        <v>0.40359499999999998</v>
      </c>
      <c r="P110" s="22">
        <v>179.80699999999999</v>
      </c>
      <c r="Q110" s="22">
        <v>-1.7007399999999999E-2</v>
      </c>
      <c r="R110" s="22">
        <v>100</v>
      </c>
      <c r="S110" s="22">
        <v>0.40301500000000001</v>
      </c>
      <c r="T110">
        <f t="shared" si="14"/>
        <v>17.007400000000001</v>
      </c>
      <c r="U110">
        <f t="shared" si="15"/>
        <v>6.8641016029999999</v>
      </c>
      <c r="X110" s="9"/>
      <c r="Y110" s="22">
        <v>1.2963899999999999</v>
      </c>
      <c r="Z110" s="22">
        <v>297.57600000000002</v>
      </c>
      <c r="AA110" s="22">
        <v>-1.6134599999999999E-2</v>
      </c>
      <c r="AB110" s="22">
        <v>100</v>
      </c>
      <c r="AC110" s="22">
        <v>1.2951699999999999</v>
      </c>
      <c r="AD110">
        <f t="shared" si="16"/>
        <v>16.134599999999999</v>
      </c>
      <c r="AE110">
        <f t="shared" si="17"/>
        <v>20.916734093999999</v>
      </c>
      <c r="AF110" s="9"/>
      <c r="AG110" s="22">
        <v>0.40359499999999998</v>
      </c>
      <c r="AH110" s="22">
        <v>362.94200000000001</v>
      </c>
      <c r="AI110" s="22">
        <v>-1.69769E-2</v>
      </c>
      <c r="AJ110" s="22">
        <v>100</v>
      </c>
      <c r="AK110" s="22">
        <v>0.40295399999999998</v>
      </c>
      <c r="AL110">
        <f t="shared" si="18"/>
        <v>16.976900000000001</v>
      </c>
      <c r="AM110">
        <f t="shared" si="19"/>
        <v>6.8517919554999995</v>
      </c>
      <c r="AP110" s="9"/>
      <c r="AQ110" s="22">
        <v>1.2963899999999999</v>
      </c>
      <c r="AR110" s="22">
        <v>452.24299999999999</v>
      </c>
      <c r="AS110" s="22">
        <v>-1.5930199999999999E-2</v>
      </c>
      <c r="AT110" s="22">
        <v>100</v>
      </c>
      <c r="AU110" s="22">
        <v>1.2960799999999999</v>
      </c>
      <c r="AV110">
        <f t="shared" si="20"/>
        <v>15.930199999999999</v>
      </c>
      <c r="AW110">
        <f t="shared" si="21"/>
        <v>20.651751977999997</v>
      </c>
      <c r="AX110" s="9"/>
      <c r="AY110" s="22">
        <v>0.40359499999999998</v>
      </c>
      <c r="AZ110" s="22">
        <v>529.26800000000003</v>
      </c>
      <c r="BA110" s="22">
        <v>-1.6842699999999999E-2</v>
      </c>
      <c r="BB110" s="22">
        <v>100</v>
      </c>
      <c r="BC110" s="22">
        <v>0.402924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85.943799999999996</v>
      </c>
      <c r="I111" s="22">
        <v>-1.6247600000000001E-2</v>
      </c>
      <c r="J111" s="22">
        <v>101</v>
      </c>
      <c r="K111" s="22">
        <v>1.2905899999999999</v>
      </c>
      <c r="L111">
        <f t="shared" si="12"/>
        <v>16.247600000000002</v>
      </c>
      <c r="M111">
        <f t="shared" si="13"/>
        <v>20.981338260000001</v>
      </c>
      <c r="N111" s="9"/>
      <c r="O111" s="22">
        <v>0.40862999999999999</v>
      </c>
      <c r="P111" s="22">
        <v>179.90700000000001</v>
      </c>
      <c r="Q111" s="22">
        <v>-1.7007399999999999E-2</v>
      </c>
      <c r="R111" s="22">
        <v>101</v>
      </c>
      <c r="S111" s="22">
        <v>0.40786699999999998</v>
      </c>
      <c r="T111">
        <f t="shared" si="14"/>
        <v>17.007400000000001</v>
      </c>
      <c r="U111">
        <f t="shared" si="15"/>
        <v>6.9497338620000004</v>
      </c>
      <c r="X111" s="9"/>
      <c r="Y111" s="22">
        <v>1.29135</v>
      </c>
      <c r="Z111" s="22">
        <v>297.67599999999999</v>
      </c>
      <c r="AA111" s="22">
        <v>-1.6119399999999999E-2</v>
      </c>
      <c r="AB111" s="22">
        <v>101</v>
      </c>
      <c r="AC111" s="22">
        <v>1.2911999999999999</v>
      </c>
      <c r="AD111">
        <f t="shared" si="16"/>
        <v>16.119399999999999</v>
      </c>
      <c r="AE111">
        <f t="shared" si="17"/>
        <v>20.815787189999998</v>
      </c>
      <c r="AF111" s="9"/>
      <c r="AG111" s="22">
        <v>0.40862999999999999</v>
      </c>
      <c r="AH111" s="22">
        <v>363.04199999999997</v>
      </c>
      <c r="AI111" s="22">
        <v>-1.6967800000000002E-2</v>
      </c>
      <c r="AJ111" s="22">
        <v>101</v>
      </c>
      <c r="AK111" s="22">
        <v>0.40799000000000002</v>
      </c>
      <c r="AL111">
        <f t="shared" si="18"/>
        <v>16.9678</v>
      </c>
      <c r="AM111">
        <f t="shared" si="19"/>
        <v>6.9335521140000003</v>
      </c>
      <c r="AP111" s="9"/>
      <c r="AQ111" s="22">
        <v>1.29135</v>
      </c>
      <c r="AR111" s="22">
        <v>452.34399999999999</v>
      </c>
      <c r="AS111" s="22">
        <v>-1.5945399999999998E-2</v>
      </c>
      <c r="AT111" s="22">
        <v>101</v>
      </c>
      <c r="AU111" s="22">
        <v>1.2908900000000001</v>
      </c>
      <c r="AV111">
        <f t="shared" si="20"/>
        <v>15.945399999999999</v>
      </c>
      <c r="AW111">
        <f t="shared" si="21"/>
        <v>20.591092289999999</v>
      </c>
      <c r="AX111" s="9"/>
      <c r="AY111" s="22">
        <v>0.40862999999999999</v>
      </c>
      <c r="AZ111" s="22">
        <v>529.36900000000003</v>
      </c>
      <c r="BA111" s="22">
        <v>-1.68518E-2</v>
      </c>
      <c r="BB111" s="22">
        <v>101</v>
      </c>
      <c r="BC111" s="22">
        <v>0.40799000000000002</v>
      </c>
      <c r="BD111">
        <f t="shared" si="22"/>
        <v>16.851800000000001</v>
      </c>
      <c r="BE111">
        <f t="shared" si="23"/>
        <v>6.8861510340000001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86.044499999999999</v>
      </c>
      <c r="I112" s="22">
        <v>-1.62506E-2</v>
      </c>
      <c r="J112" s="22">
        <v>102</v>
      </c>
      <c r="K112" s="22">
        <v>1.2857099999999999</v>
      </c>
      <c r="L112">
        <f t="shared" si="12"/>
        <v>16.250600000000002</v>
      </c>
      <c r="M112">
        <f t="shared" si="13"/>
        <v>20.903471792000001</v>
      </c>
      <c r="N112" s="9"/>
      <c r="O112" s="22">
        <v>0.41366599999999998</v>
      </c>
      <c r="P112" s="22">
        <v>180.00800000000001</v>
      </c>
      <c r="Q112" s="22">
        <v>-1.70013E-2</v>
      </c>
      <c r="R112" s="22">
        <v>102</v>
      </c>
      <c r="S112" s="22">
        <v>0.412964</v>
      </c>
      <c r="T112">
        <f t="shared" si="14"/>
        <v>17.001300000000001</v>
      </c>
      <c r="U112">
        <f t="shared" si="15"/>
        <v>7.0328597657999996</v>
      </c>
      <c r="X112" s="9"/>
      <c r="Y112" s="22">
        <v>1.2863199999999999</v>
      </c>
      <c r="Z112" s="22">
        <v>297.77699999999999</v>
      </c>
      <c r="AA112" s="22">
        <v>-1.6156E-2</v>
      </c>
      <c r="AB112" s="22">
        <v>102</v>
      </c>
      <c r="AC112" s="22">
        <v>1.2850999999999999</v>
      </c>
      <c r="AD112">
        <f t="shared" si="16"/>
        <v>16.155999999999999</v>
      </c>
      <c r="AE112">
        <f t="shared" si="17"/>
        <v>20.781785919999997</v>
      </c>
      <c r="AF112" s="9"/>
      <c r="AG112" s="22">
        <v>0.41366599999999998</v>
      </c>
      <c r="AH112" s="22">
        <v>363.14299999999997</v>
      </c>
      <c r="AI112" s="22">
        <v>-1.6964699999999999E-2</v>
      </c>
      <c r="AJ112" s="22">
        <v>102</v>
      </c>
      <c r="AK112" s="22">
        <v>0.41302499999999998</v>
      </c>
      <c r="AL112">
        <f t="shared" si="18"/>
        <v>16.964700000000001</v>
      </c>
      <c r="AM112">
        <f t="shared" si="19"/>
        <v>7.0177195901999996</v>
      </c>
      <c r="AP112" s="9"/>
      <c r="AQ112" s="22">
        <v>1.2863199999999999</v>
      </c>
      <c r="AR112" s="22">
        <v>452.44499999999999</v>
      </c>
      <c r="AS112" s="22">
        <v>-1.59668E-2</v>
      </c>
      <c r="AT112" s="22">
        <v>102</v>
      </c>
      <c r="AU112" s="22">
        <v>1.2860100000000001</v>
      </c>
      <c r="AV112">
        <f t="shared" si="20"/>
        <v>15.966799999999999</v>
      </c>
      <c r="AW112">
        <f t="shared" si="21"/>
        <v>20.538414175999996</v>
      </c>
      <c r="AX112" s="9"/>
      <c r="AY112" s="22">
        <v>0.41366599999999998</v>
      </c>
      <c r="AZ112" s="22">
        <v>529.47</v>
      </c>
      <c r="BA112" s="22">
        <v>-1.6848800000000001E-2</v>
      </c>
      <c r="BB112" s="22">
        <v>102</v>
      </c>
      <c r="BC112" s="22">
        <v>0.41302499999999998</v>
      </c>
      <c r="BD112">
        <f t="shared" si="22"/>
        <v>16.848800000000001</v>
      </c>
      <c r="BE112">
        <f t="shared" si="23"/>
        <v>6.9697757007999996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86.145200000000003</v>
      </c>
      <c r="I113" s="22">
        <v>-1.62659E-2</v>
      </c>
      <c r="J113" s="22">
        <v>103</v>
      </c>
      <c r="K113" s="22">
        <v>1.2802100000000001</v>
      </c>
      <c r="L113">
        <f t="shared" si="12"/>
        <v>16.265899999999998</v>
      </c>
      <c r="M113">
        <f t="shared" si="13"/>
        <v>20.841172351999997</v>
      </c>
      <c r="N113" s="9"/>
      <c r="O113" s="22">
        <v>0.41870099999999999</v>
      </c>
      <c r="P113" s="22">
        <v>180.10900000000001</v>
      </c>
      <c r="Q113" s="22">
        <v>-1.70166E-2</v>
      </c>
      <c r="R113" s="22">
        <v>103</v>
      </c>
      <c r="S113" s="22">
        <v>0.41812100000000002</v>
      </c>
      <c r="T113">
        <f t="shared" si="14"/>
        <v>17.0166</v>
      </c>
      <c r="U113">
        <f t="shared" si="15"/>
        <v>7.1248674365999998</v>
      </c>
      <c r="X113" s="9"/>
      <c r="Y113" s="22">
        <v>1.28128</v>
      </c>
      <c r="Z113" s="22">
        <v>297.87799999999999</v>
      </c>
      <c r="AA113" s="22">
        <v>-1.61713E-2</v>
      </c>
      <c r="AB113" s="22">
        <v>103</v>
      </c>
      <c r="AC113" s="22">
        <v>1.2802100000000001</v>
      </c>
      <c r="AD113">
        <f t="shared" si="16"/>
        <v>16.171299999999999</v>
      </c>
      <c r="AE113">
        <f t="shared" si="17"/>
        <v>20.719963263999997</v>
      </c>
      <c r="AF113" s="9"/>
      <c r="AG113" s="22">
        <v>0.41870099999999999</v>
      </c>
      <c r="AH113" s="22">
        <v>363.24400000000003</v>
      </c>
      <c r="AI113" s="22">
        <v>-1.6958600000000001E-2</v>
      </c>
      <c r="AJ113" s="22">
        <v>103</v>
      </c>
      <c r="AK113" s="22">
        <v>0.41803000000000001</v>
      </c>
      <c r="AL113">
        <f t="shared" si="18"/>
        <v>16.958600000000001</v>
      </c>
      <c r="AM113">
        <f t="shared" si="19"/>
        <v>7.1005827785999998</v>
      </c>
      <c r="AP113" s="9"/>
      <c r="AQ113" s="22">
        <v>1.28128</v>
      </c>
      <c r="AR113" s="22">
        <v>452.54500000000002</v>
      </c>
      <c r="AS113" s="22">
        <v>-1.5960700000000001E-2</v>
      </c>
      <c r="AT113" s="22">
        <v>103</v>
      </c>
      <c r="AU113" s="22">
        <v>1.2811300000000001</v>
      </c>
      <c r="AV113">
        <f t="shared" si="20"/>
        <v>15.960700000000001</v>
      </c>
      <c r="AW113">
        <f t="shared" si="21"/>
        <v>20.450125696000001</v>
      </c>
      <c r="AX113" s="9"/>
      <c r="AY113" s="22">
        <v>0.41870099999999999</v>
      </c>
      <c r="AZ113" s="22">
        <v>529.57100000000003</v>
      </c>
      <c r="BA113" s="22">
        <v>-1.68518E-2</v>
      </c>
      <c r="BB113" s="22">
        <v>103</v>
      </c>
      <c r="BC113" s="22">
        <v>0.41805999999999999</v>
      </c>
      <c r="BD113">
        <f t="shared" si="22"/>
        <v>16.851800000000001</v>
      </c>
      <c r="BE113">
        <f t="shared" si="23"/>
        <v>7.0558655118000004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86.245900000000006</v>
      </c>
      <c r="I114" s="22">
        <v>-1.62659E-2</v>
      </c>
      <c r="J114" s="22">
        <v>104</v>
      </c>
      <c r="K114" s="22">
        <v>1.27563</v>
      </c>
      <c r="L114">
        <f t="shared" si="12"/>
        <v>16.265899999999998</v>
      </c>
      <c r="M114">
        <f t="shared" si="13"/>
        <v>20.759354875</v>
      </c>
      <c r="N114" s="9"/>
      <c r="O114" s="22">
        <v>0.42373699999999997</v>
      </c>
      <c r="P114" s="22">
        <v>180.209</v>
      </c>
      <c r="Q114" s="22">
        <v>-1.7007399999999999E-2</v>
      </c>
      <c r="R114" s="22">
        <v>104</v>
      </c>
      <c r="S114" s="22">
        <v>0.42321799999999998</v>
      </c>
      <c r="T114">
        <f t="shared" si="14"/>
        <v>17.007400000000001</v>
      </c>
      <c r="U114">
        <f t="shared" si="15"/>
        <v>7.2066646537999999</v>
      </c>
      <c r="X114" s="9"/>
      <c r="Y114" s="22">
        <v>1.2762500000000001</v>
      </c>
      <c r="Z114" s="22">
        <v>297.97800000000001</v>
      </c>
      <c r="AA114" s="22">
        <v>-1.6180400000000001E-2</v>
      </c>
      <c r="AB114" s="22">
        <v>104</v>
      </c>
      <c r="AC114" s="22">
        <v>1.2759400000000001</v>
      </c>
      <c r="AD114">
        <f t="shared" si="16"/>
        <v>16.180400000000002</v>
      </c>
      <c r="AE114">
        <f t="shared" si="17"/>
        <v>20.650235500000004</v>
      </c>
      <c r="AF114" s="9"/>
      <c r="AG114" s="22">
        <v>0.42373699999999997</v>
      </c>
      <c r="AH114" s="22">
        <v>363.34500000000003</v>
      </c>
      <c r="AI114" s="22">
        <v>-1.69739E-2</v>
      </c>
      <c r="AJ114" s="22">
        <v>104</v>
      </c>
      <c r="AK114" s="22">
        <v>0.42306500000000002</v>
      </c>
      <c r="AL114">
        <f t="shared" si="18"/>
        <v>16.9739</v>
      </c>
      <c r="AM114">
        <f t="shared" si="19"/>
        <v>7.1924694642999993</v>
      </c>
      <c r="AP114" s="9"/>
      <c r="AQ114" s="22">
        <v>1.2762500000000001</v>
      </c>
      <c r="AR114" s="22">
        <v>452.64600000000002</v>
      </c>
      <c r="AS114" s="22">
        <v>-1.5991200000000001E-2</v>
      </c>
      <c r="AT114" s="22">
        <v>104</v>
      </c>
      <c r="AU114" s="22">
        <v>1.27563</v>
      </c>
      <c r="AV114">
        <f t="shared" si="20"/>
        <v>15.991200000000001</v>
      </c>
      <c r="AW114">
        <f t="shared" si="21"/>
        <v>20.408769000000003</v>
      </c>
      <c r="AX114" s="9"/>
      <c r="AY114" s="22">
        <v>0.42373699999999997</v>
      </c>
      <c r="AZ114" s="22">
        <v>529.67100000000005</v>
      </c>
      <c r="BA114" s="22">
        <v>-1.6833500000000001E-2</v>
      </c>
      <c r="BB114" s="22">
        <v>104</v>
      </c>
      <c r="BC114" s="22">
        <v>0.42303499999999999</v>
      </c>
      <c r="BD114">
        <f t="shared" si="22"/>
        <v>16.833500000000001</v>
      </c>
      <c r="BE114">
        <f t="shared" si="23"/>
        <v>7.1329767894999998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86.346599999999995</v>
      </c>
      <c r="I115" s="22">
        <v>-1.6271999999999998E-2</v>
      </c>
      <c r="J115" s="22">
        <v>105</v>
      </c>
      <c r="K115" s="22">
        <v>1.2710600000000001</v>
      </c>
      <c r="L115">
        <f t="shared" si="12"/>
        <v>16.271999999999998</v>
      </c>
      <c r="M115">
        <f t="shared" si="13"/>
        <v>20.685129119999996</v>
      </c>
      <c r="N115" s="9"/>
      <c r="O115" s="22">
        <v>0.42877199999999999</v>
      </c>
      <c r="P115" s="22">
        <v>180.31</v>
      </c>
      <c r="Q115" s="22">
        <v>-1.7004399999999999E-2</v>
      </c>
      <c r="R115" s="22">
        <v>105</v>
      </c>
      <c r="S115" s="22">
        <v>0.42810100000000001</v>
      </c>
      <c r="T115">
        <f t="shared" si="14"/>
        <v>17.0044</v>
      </c>
      <c r="U115">
        <f t="shared" si="15"/>
        <v>7.2910105967999996</v>
      </c>
      <c r="X115" s="9"/>
      <c r="Y115" s="22">
        <v>1.27121</v>
      </c>
      <c r="Z115" s="22">
        <v>298.07900000000001</v>
      </c>
      <c r="AA115" s="22">
        <v>-1.61987E-2</v>
      </c>
      <c r="AB115" s="22">
        <v>105</v>
      </c>
      <c r="AC115" s="22">
        <v>1.27014</v>
      </c>
      <c r="AD115">
        <f t="shared" si="16"/>
        <v>16.198699999999999</v>
      </c>
      <c r="AE115">
        <f t="shared" si="17"/>
        <v>20.591949426999996</v>
      </c>
      <c r="AF115" s="9"/>
      <c r="AG115" s="22">
        <v>0.42877199999999999</v>
      </c>
      <c r="AH115" s="22">
        <v>363.44499999999999</v>
      </c>
      <c r="AI115" s="22">
        <v>-1.6955600000000001E-2</v>
      </c>
      <c r="AJ115" s="22">
        <v>105</v>
      </c>
      <c r="AK115" s="22">
        <v>0.42813099999999998</v>
      </c>
      <c r="AL115">
        <f t="shared" si="18"/>
        <v>16.9556</v>
      </c>
      <c r="AM115">
        <f t="shared" si="19"/>
        <v>7.2700865231999998</v>
      </c>
      <c r="AP115" s="9"/>
      <c r="AQ115" s="22">
        <v>1.27121</v>
      </c>
      <c r="AR115" s="22">
        <v>452.74700000000001</v>
      </c>
      <c r="AS115" s="22">
        <v>-1.6000400000000001E-2</v>
      </c>
      <c r="AT115" s="22">
        <v>105</v>
      </c>
      <c r="AU115" s="22">
        <v>1.2704500000000001</v>
      </c>
      <c r="AV115">
        <f t="shared" si="20"/>
        <v>16.000400000000003</v>
      </c>
      <c r="AW115">
        <f t="shared" si="21"/>
        <v>20.339868484000004</v>
      </c>
      <c r="AX115" s="9"/>
      <c r="AY115" s="22">
        <v>0.42877199999999999</v>
      </c>
      <c r="AZ115" s="22">
        <v>529.77200000000005</v>
      </c>
      <c r="BA115" s="22">
        <v>-1.6836500000000001E-2</v>
      </c>
      <c r="BB115" s="22">
        <v>105</v>
      </c>
      <c r="BC115" s="22">
        <v>0.42813099999999998</v>
      </c>
      <c r="BD115">
        <f t="shared" si="22"/>
        <v>16.836500000000001</v>
      </c>
      <c r="BE115">
        <f t="shared" si="23"/>
        <v>7.2190197779999998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86.447299999999998</v>
      </c>
      <c r="I116" s="22">
        <v>-1.6262800000000001E-2</v>
      </c>
      <c r="J116" s="22">
        <v>106</v>
      </c>
      <c r="K116" s="22">
        <v>1.26556</v>
      </c>
      <c r="L116">
        <f t="shared" si="12"/>
        <v>16.262800000000002</v>
      </c>
      <c r="M116">
        <f t="shared" si="13"/>
        <v>20.591469476000004</v>
      </c>
      <c r="N116" s="9"/>
      <c r="O116" s="22">
        <v>0.433807</v>
      </c>
      <c r="P116" s="22">
        <v>180.411</v>
      </c>
      <c r="Q116" s="22">
        <v>-1.7013500000000001E-2</v>
      </c>
      <c r="R116" s="22">
        <v>106</v>
      </c>
      <c r="S116" s="22">
        <v>0.433197</v>
      </c>
      <c r="T116">
        <f t="shared" si="14"/>
        <v>17.013500000000001</v>
      </c>
      <c r="U116">
        <f t="shared" si="15"/>
        <v>7.3805753945000001</v>
      </c>
      <c r="X116" s="9"/>
      <c r="Y116" s="22">
        <v>1.26617</v>
      </c>
      <c r="Z116" s="22">
        <v>298.18</v>
      </c>
      <c r="AA116" s="22">
        <v>-1.61987E-2</v>
      </c>
      <c r="AB116" s="22">
        <v>106</v>
      </c>
      <c r="AC116" s="22">
        <v>1.26556</v>
      </c>
      <c r="AD116">
        <f t="shared" si="16"/>
        <v>16.198699999999999</v>
      </c>
      <c r="AE116">
        <f t="shared" si="17"/>
        <v>20.510307979</v>
      </c>
      <c r="AF116" s="9"/>
      <c r="AG116" s="22">
        <v>0.433807</v>
      </c>
      <c r="AH116" s="22">
        <v>363.54599999999999</v>
      </c>
      <c r="AI116" s="22">
        <v>-1.69464E-2</v>
      </c>
      <c r="AJ116" s="22">
        <v>106</v>
      </c>
      <c r="AK116" s="22">
        <v>0.433228</v>
      </c>
      <c r="AL116">
        <f t="shared" si="18"/>
        <v>16.946400000000001</v>
      </c>
      <c r="AM116">
        <f t="shared" si="19"/>
        <v>7.3514669448000003</v>
      </c>
      <c r="AP116" s="9"/>
      <c r="AQ116" s="22">
        <v>1.26617</v>
      </c>
      <c r="AR116" s="22">
        <v>452.84699999999998</v>
      </c>
      <c r="AS116" s="22">
        <v>-1.6009499999999999E-2</v>
      </c>
      <c r="AT116" s="22">
        <v>106</v>
      </c>
      <c r="AU116" s="22">
        <v>1.2652600000000001</v>
      </c>
      <c r="AV116">
        <f t="shared" si="20"/>
        <v>16.009499999999999</v>
      </c>
      <c r="AW116">
        <f t="shared" si="21"/>
        <v>20.270748614999999</v>
      </c>
      <c r="AX116" s="9"/>
      <c r="AY116" s="22">
        <v>0.433807</v>
      </c>
      <c r="AZ116" s="22">
        <v>529.87300000000005</v>
      </c>
      <c r="BA116" s="22">
        <v>-1.6845700000000002E-2</v>
      </c>
      <c r="BB116" s="22">
        <v>106</v>
      </c>
      <c r="BC116" s="22">
        <v>0.43316700000000002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86.548000000000002</v>
      </c>
      <c r="I117" s="22">
        <v>-1.6299399999999999E-2</v>
      </c>
      <c r="J117" s="22">
        <v>107</v>
      </c>
      <c r="K117" s="22">
        <v>1.26068</v>
      </c>
      <c r="L117">
        <f t="shared" si="12"/>
        <v>16.299399999999999</v>
      </c>
      <c r="M117">
        <f t="shared" si="13"/>
        <v>20.555825315999996</v>
      </c>
      <c r="N117" s="9"/>
      <c r="O117" s="22">
        <v>0.43884299999999998</v>
      </c>
      <c r="P117" s="22">
        <v>180.512</v>
      </c>
      <c r="Q117" s="22">
        <v>-1.7019699999999999E-2</v>
      </c>
      <c r="R117" s="22">
        <v>107</v>
      </c>
      <c r="S117" s="22">
        <v>0.43817099999999998</v>
      </c>
      <c r="T117">
        <f t="shared" si="14"/>
        <v>17.0197</v>
      </c>
      <c r="U117">
        <f t="shared" si="15"/>
        <v>7.4689762070999999</v>
      </c>
      <c r="X117" s="9"/>
      <c r="Y117" s="22">
        <v>1.2611399999999999</v>
      </c>
      <c r="Z117" s="22">
        <v>298.28100000000001</v>
      </c>
      <c r="AA117" s="22">
        <v>-1.6235400000000001E-2</v>
      </c>
      <c r="AB117" s="22">
        <v>107</v>
      </c>
      <c r="AC117" s="22">
        <v>1.26007</v>
      </c>
      <c r="AD117">
        <f t="shared" si="16"/>
        <v>16.235400000000002</v>
      </c>
      <c r="AE117">
        <f t="shared" si="17"/>
        <v>20.475112356</v>
      </c>
      <c r="AF117" s="9"/>
      <c r="AG117" s="22">
        <v>0.43884299999999998</v>
      </c>
      <c r="AH117" s="22">
        <v>363.64699999999999</v>
      </c>
      <c r="AI117" s="22">
        <v>-1.6952499999999999E-2</v>
      </c>
      <c r="AJ117" s="22">
        <v>107</v>
      </c>
      <c r="AK117" s="22">
        <v>0.43811</v>
      </c>
      <c r="AL117">
        <f t="shared" si="18"/>
        <v>16.952500000000001</v>
      </c>
      <c r="AM117">
        <f t="shared" si="19"/>
        <v>7.4394859574999996</v>
      </c>
      <c r="AP117" s="9"/>
      <c r="AQ117" s="22">
        <v>1.2611399999999999</v>
      </c>
      <c r="AR117" s="22">
        <v>452.94799999999998</v>
      </c>
      <c r="AS117" s="22">
        <v>-1.6009499999999999E-2</v>
      </c>
      <c r="AT117" s="22">
        <v>107</v>
      </c>
      <c r="AU117" s="22">
        <v>1.26007</v>
      </c>
      <c r="AV117">
        <f t="shared" si="20"/>
        <v>16.009499999999999</v>
      </c>
      <c r="AW117">
        <f t="shared" si="21"/>
        <v>20.190220829999998</v>
      </c>
      <c r="AX117" s="9"/>
      <c r="AY117" s="22">
        <v>0.43884299999999998</v>
      </c>
      <c r="AZ117" s="22">
        <v>529.97299999999996</v>
      </c>
      <c r="BA117" s="22">
        <v>-1.6833500000000001E-2</v>
      </c>
      <c r="BB117" s="22">
        <v>107</v>
      </c>
      <c r="BC117" s="22">
        <v>0.43804900000000002</v>
      </c>
      <c r="BD117">
        <f t="shared" si="22"/>
        <v>16.833500000000001</v>
      </c>
      <c r="BE117">
        <f t="shared" si="23"/>
        <v>7.3872636405000005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86.648700000000005</v>
      </c>
      <c r="I118" s="22">
        <v>-1.6284199999999999E-2</v>
      </c>
      <c r="J118" s="22">
        <v>108</v>
      </c>
      <c r="K118" s="22">
        <v>1.25549</v>
      </c>
      <c r="L118">
        <f t="shared" si="12"/>
        <v>16.284199999999998</v>
      </c>
      <c r="M118">
        <f t="shared" si="13"/>
        <v>20.454583619999998</v>
      </c>
      <c r="N118" s="9"/>
      <c r="O118" s="22">
        <v>0.44387799999999999</v>
      </c>
      <c r="P118" s="22">
        <v>180.61199999999999</v>
      </c>
      <c r="Q118" s="22">
        <v>-1.7010500000000001E-2</v>
      </c>
      <c r="R118" s="22">
        <v>108</v>
      </c>
      <c r="S118" s="22">
        <v>0.44323699999999999</v>
      </c>
      <c r="T118">
        <f t="shared" si="14"/>
        <v>17.0105</v>
      </c>
      <c r="U118">
        <f t="shared" si="15"/>
        <v>7.550586719</v>
      </c>
      <c r="X118" s="9"/>
      <c r="Y118" s="22">
        <v>1.2561</v>
      </c>
      <c r="Z118" s="22">
        <v>298.38099999999997</v>
      </c>
      <c r="AA118" s="22">
        <v>-1.62506E-2</v>
      </c>
      <c r="AB118" s="22">
        <v>108</v>
      </c>
      <c r="AC118" s="22">
        <v>1.25519</v>
      </c>
      <c r="AD118">
        <f t="shared" si="16"/>
        <v>16.250600000000002</v>
      </c>
      <c r="AE118">
        <f t="shared" si="17"/>
        <v>20.412378660000002</v>
      </c>
      <c r="AF118" s="9"/>
      <c r="AG118" s="22">
        <v>0.44387799999999999</v>
      </c>
      <c r="AH118" s="22">
        <v>363.74700000000001</v>
      </c>
      <c r="AI118" s="22">
        <v>-1.6955600000000001E-2</v>
      </c>
      <c r="AJ118" s="22">
        <v>108</v>
      </c>
      <c r="AK118" s="22">
        <v>0.443268</v>
      </c>
      <c r="AL118">
        <f t="shared" si="18"/>
        <v>16.9556</v>
      </c>
      <c r="AM118">
        <f t="shared" si="19"/>
        <v>7.5262178168</v>
      </c>
      <c r="AP118" s="9"/>
      <c r="AQ118" s="22">
        <v>1.2561</v>
      </c>
      <c r="AR118" s="22">
        <v>453.04899999999998</v>
      </c>
      <c r="AS118" s="22">
        <v>-1.6039999999999999E-2</v>
      </c>
      <c r="AT118" s="22">
        <v>108</v>
      </c>
      <c r="AU118" s="22">
        <v>1.25519</v>
      </c>
      <c r="AV118">
        <f t="shared" si="20"/>
        <v>16.04</v>
      </c>
      <c r="AW118">
        <f t="shared" si="21"/>
        <v>20.147843999999999</v>
      </c>
      <c r="AX118" s="9"/>
      <c r="AY118" s="22">
        <v>0.44387799999999999</v>
      </c>
      <c r="AZ118" s="22">
        <v>530.07399999999996</v>
      </c>
      <c r="BA118" s="22">
        <v>-1.6818199999999998E-2</v>
      </c>
      <c r="BB118" s="22">
        <v>108</v>
      </c>
      <c r="BC118" s="22">
        <v>0.443268</v>
      </c>
      <c r="BD118">
        <f t="shared" si="22"/>
        <v>16.818199999999997</v>
      </c>
      <c r="BE118">
        <f t="shared" si="23"/>
        <v>7.4652289795999991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86.749399999999994</v>
      </c>
      <c r="I119" s="22">
        <v>-1.6290300000000001E-2</v>
      </c>
      <c r="J119" s="22">
        <v>109</v>
      </c>
      <c r="K119" s="22">
        <v>1.25031</v>
      </c>
      <c r="L119">
        <f t="shared" si="12"/>
        <v>16.290300000000002</v>
      </c>
      <c r="M119">
        <f t="shared" si="13"/>
        <v>20.380305621000002</v>
      </c>
      <c r="N119" s="9"/>
      <c r="O119" s="22">
        <v>0.44891399999999998</v>
      </c>
      <c r="P119" s="22">
        <v>180.71299999999999</v>
      </c>
      <c r="Q119" s="22">
        <v>-1.70166E-2</v>
      </c>
      <c r="R119" s="22">
        <v>109</v>
      </c>
      <c r="S119" s="22">
        <v>0.44827299999999998</v>
      </c>
      <c r="T119">
        <f t="shared" si="14"/>
        <v>17.0166</v>
      </c>
      <c r="U119">
        <f t="shared" si="15"/>
        <v>7.6389899724000001</v>
      </c>
      <c r="X119" s="9"/>
      <c r="Y119" s="22">
        <v>1.2510699999999999</v>
      </c>
      <c r="Z119" s="22">
        <v>298.48200000000003</v>
      </c>
      <c r="AA119" s="22">
        <v>-1.6259800000000001E-2</v>
      </c>
      <c r="AB119" s="22">
        <v>109</v>
      </c>
      <c r="AC119" s="22">
        <v>1.24969</v>
      </c>
      <c r="AD119">
        <f t="shared" si="16"/>
        <v>16.259800000000002</v>
      </c>
      <c r="AE119">
        <f t="shared" si="17"/>
        <v>20.342147986000001</v>
      </c>
      <c r="AF119" s="9"/>
      <c r="AG119" s="22">
        <v>0.44891399999999998</v>
      </c>
      <c r="AH119" s="22">
        <v>363.84800000000001</v>
      </c>
      <c r="AI119" s="22">
        <v>-1.6955600000000001E-2</v>
      </c>
      <c r="AJ119" s="22">
        <v>109</v>
      </c>
      <c r="AK119" s="22">
        <v>0.448181</v>
      </c>
      <c r="AL119">
        <f t="shared" si="18"/>
        <v>16.9556</v>
      </c>
      <c r="AM119">
        <f t="shared" si="19"/>
        <v>7.6116062183999995</v>
      </c>
      <c r="AP119" s="9"/>
      <c r="AQ119" s="22">
        <v>1.2510699999999999</v>
      </c>
      <c r="AR119" s="22">
        <v>453.15</v>
      </c>
      <c r="AS119" s="22">
        <v>-1.6067499999999998E-2</v>
      </c>
      <c r="AT119" s="22">
        <v>109</v>
      </c>
      <c r="AU119" s="22">
        <v>1.25061</v>
      </c>
      <c r="AV119">
        <f t="shared" si="20"/>
        <v>16.067499999999999</v>
      </c>
      <c r="AW119">
        <f t="shared" si="21"/>
        <v>20.101567224999997</v>
      </c>
      <c r="AX119" s="9"/>
      <c r="AY119" s="22">
        <v>0.44891399999999998</v>
      </c>
      <c r="AZ119" s="22">
        <v>530.17499999999995</v>
      </c>
      <c r="BA119" s="22">
        <v>-1.6833500000000001E-2</v>
      </c>
      <c r="BB119" s="22">
        <v>109</v>
      </c>
      <c r="BC119" s="22">
        <v>0.44827299999999998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86.850099999999998</v>
      </c>
      <c r="I120" s="22">
        <v>-1.6296399999999999E-2</v>
      </c>
      <c r="J120" s="22">
        <v>110</v>
      </c>
      <c r="K120" s="22">
        <v>1.24512</v>
      </c>
      <c r="L120">
        <f t="shared" si="12"/>
        <v>16.296399999999998</v>
      </c>
      <c r="M120">
        <f t="shared" si="13"/>
        <v>20.305803291999997</v>
      </c>
      <c r="N120" s="9"/>
      <c r="O120" s="22">
        <v>0.45394899999999999</v>
      </c>
      <c r="P120" s="22">
        <v>180.81399999999999</v>
      </c>
      <c r="Q120" s="22">
        <v>-1.70013E-2</v>
      </c>
      <c r="R120" s="22">
        <v>110</v>
      </c>
      <c r="S120" s="22">
        <v>0.45327800000000001</v>
      </c>
      <c r="T120">
        <f t="shared" si="14"/>
        <v>17.001300000000001</v>
      </c>
      <c r="U120">
        <f t="shared" si="15"/>
        <v>7.7177231336999998</v>
      </c>
      <c r="X120" s="9"/>
      <c r="Y120" s="22">
        <v>1.24603</v>
      </c>
      <c r="Z120" s="22">
        <v>298.58300000000003</v>
      </c>
      <c r="AA120" s="22">
        <v>-1.62506E-2</v>
      </c>
      <c r="AB120" s="22">
        <v>110</v>
      </c>
      <c r="AC120" s="22">
        <v>1.24481</v>
      </c>
      <c r="AD120">
        <f t="shared" si="16"/>
        <v>16.250600000000002</v>
      </c>
      <c r="AE120">
        <f t="shared" si="17"/>
        <v>20.248735118000003</v>
      </c>
      <c r="AF120" s="9"/>
      <c r="AG120" s="22">
        <v>0.45394899999999999</v>
      </c>
      <c r="AH120" s="22">
        <v>363.94900000000001</v>
      </c>
      <c r="AI120" s="22">
        <v>-1.6955600000000001E-2</v>
      </c>
      <c r="AJ120" s="22">
        <v>110</v>
      </c>
      <c r="AK120" s="22">
        <v>0.45324700000000001</v>
      </c>
      <c r="AL120">
        <f t="shared" si="18"/>
        <v>16.9556</v>
      </c>
      <c r="AM120">
        <f t="shared" si="19"/>
        <v>7.6969776644000003</v>
      </c>
      <c r="AP120" s="9"/>
      <c r="AQ120" s="22">
        <v>1.24603</v>
      </c>
      <c r="AR120" s="22">
        <v>453.25</v>
      </c>
      <c r="AS120" s="22">
        <v>-1.6098000000000001E-2</v>
      </c>
      <c r="AT120" s="22">
        <v>110</v>
      </c>
      <c r="AU120" s="22">
        <v>1.24451</v>
      </c>
      <c r="AV120">
        <f t="shared" si="20"/>
        <v>16.098000000000003</v>
      </c>
      <c r="AW120">
        <f t="shared" si="21"/>
        <v>20.058590940000002</v>
      </c>
      <c r="AX120" s="9"/>
      <c r="AY120" s="22">
        <v>0.45394899999999999</v>
      </c>
      <c r="AZ120" s="22">
        <v>530.27499999999998</v>
      </c>
      <c r="BA120" s="22">
        <v>-1.6842699999999999E-2</v>
      </c>
      <c r="BB120" s="22">
        <v>110</v>
      </c>
      <c r="BC120" s="22">
        <v>0.45336900000000002</v>
      </c>
      <c r="BD120">
        <f t="shared" si="22"/>
        <v>16.842699999999997</v>
      </c>
      <c r="BE120">
        <f t="shared" si="23"/>
        <v>7.6457268222999986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86.950900000000004</v>
      </c>
      <c r="I121" s="22">
        <v>-1.6299399999999999E-2</v>
      </c>
      <c r="J121" s="22">
        <v>111</v>
      </c>
      <c r="K121" s="22">
        <v>1.2402299999999999</v>
      </c>
      <c r="L121">
        <f t="shared" si="12"/>
        <v>16.299399999999999</v>
      </c>
      <c r="M121">
        <f t="shared" si="13"/>
        <v>20.2275554</v>
      </c>
      <c r="N121" s="9"/>
      <c r="O121" s="22">
        <v>0.458984</v>
      </c>
      <c r="P121" s="22">
        <v>180.91399999999999</v>
      </c>
      <c r="Q121" s="22">
        <v>-1.6995199999999999E-2</v>
      </c>
      <c r="R121" s="22">
        <v>111</v>
      </c>
      <c r="S121" s="22">
        <v>0.45816000000000001</v>
      </c>
      <c r="T121">
        <f t="shared" si="14"/>
        <v>16.995199999999997</v>
      </c>
      <c r="U121">
        <f t="shared" si="15"/>
        <v>7.8005248767999991</v>
      </c>
      <c r="X121" s="9"/>
      <c r="Y121" s="22">
        <v>1.2410000000000001</v>
      </c>
      <c r="Z121" s="22">
        <v>298.68299999999999</v>
      </c>
      <c r="AA121" s="22">
        <v>-1.62384E-2</v>
      </c>
      <c r="AB121" s="22">
        <v>111</v>
      </c>
      <c r="AC121" s="22">
        <v>1.24054</v>
      </c>
      <c r="AD121">
        <f t="shared" si="16"/>
        <v>16.238399999999999</v>
      </c>
      <c r="AE121">
        <f t="shared" si="17"/>
        <v>20.151854400000001</v>
      </c>
      <c r="AF121" s="9"/>
      <c r="AG121" s="22">
        <v>0.458984</v>
      </c>
      <c r="AH121" s="22">
        <v>364.04899999999998</v>
      </c>
      <c r="AI121" s="22">
        <v>-1.6955600000000001E-2</v>
      </c>
      <c r="AJ121" s="22">
        <v>111</v>
      </c>
      <c r="AK121" s="22">
        <v>0.458374</v>
      </c>
      <c r="AL121">
        <f t="shared" si="18"/>
        <v>16.9556</v>
      </c>
      <c r="AM121">
        <f t="shared" si="19"/>
        <v>7.7823491104000002</v>
      </c>
      <c r="AP121" s="9"/>
      <c r="AQ121" s="22">
        <v>1.2410000000000001</v>
      </c>
      <c r="AR121" s="22">
        <v>453.351</v>
      </c>
      <c r="AS121" s="22">
        <v>-1.60889E-2</v>
      </c>
      <c r="AT121" s="22">
        <v>111</v>
      </c>
      <c r="AU121" s="22">
        <v>1.24054</v>
      </c>
      <c r="AV121">
        <f t="shared" si="20"/>
        <v>16.088899999999999</v>
      </c>
      <c r="AW121">
        <f t="shared" si="21"/>
        <v>19.9663249</v>
      </c>
      <c r="AX121" s="9"/>
      <c r="AY121" s="22">
        <v>0.458984</v>
      </c>
      <c r="AZ121" s="22">
        <v>530.37599999999998</v>
      </c>
      <c r="BA121" s="22">
        <v>-1.6833500000000001E-2</v>
      </c>
      <c r="BB121" s="22">
        <v>111</v>
      </c>
      <c r="BC121" s="22">
        <v>0.45831300000000003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87.051599999999993</v>
      </c>
      <c r="I122" s="22">
        <v>-1.6302500000000001E-2</v>
      </c>
      <c r="J122" s="22">
        <v>112</v>
      </c>
      <c r="K122" s="22">
        <v>1.2359599999999999</v>
      </c>
      <c r="L122">
        <f t="shared" si="12"/>
        <v>16.302500000000002</v>
      </c>
      <c r="M122">
        <f t="shared" si="13"/>
        <v>20.149237900000003</v>
      </c>
      <c r="N122" s="9"/>
      <c r="O122" s="22">
        <v>0.46401999999999999</v>
      </c>
      <c r="P122" s="22">
        <v>181.01499999999999</v>
      </c>
      <c r="Q122" s="22">
        <v>-1.6995199999999999E-2</v>
      </c>
      <c r="R122" s="22">
        <v>112</v>
      </c>
      <c r="S122" s="22">
        <v>0.46344000000000002</v>
      </c>
      <c r="T122">
        <f t="shared" si="14"/>
        <v>16.995199999999997</v>
      </c>
      <c r="U122">
        <f t="shared" si="15"/>
        <v>7.8861127039999985</v>
      </c>
      <c r="X122" s="9"/>
      <c r="Y122" s="22">
        <v>1.2359599999999999</v>
      </c>
      <c r="Z122" s="22">
        <v>298.78399999999999</v>
      </c>
      <c r="AA122" s="22">
        <v>-1.6253699999999999E-2</v>
      </c>
      <c r="AB122" s="22">
        <v>112</v>
      </c>
      <c r="AC122" s="22">
        <v>1.23505</v>
      </c>
      <c r="AD122">
        <f t="shared" si="16"/>
        <v>16.253699999999998</v>
      </c>
      <c r="AE122">
        <f t="shared" si="17"/>
        <v>20.088923051999998</v>
      </c>
      <c r="AF122" s="9"/>
      <c r="AG122" s="22">
        <v>0.46401999999999999</v>
      </c>
      <c r="AH122" s="22">
        <v>364.15</v>
      </c>
      <c r="AI122" s="22">
        <v>-1.69617E-2</v>
      </c>
      <c r="AJ122" s="22">
        <v>112</v>
      </c>
      <c r="AK122" s="22">
        <v>0.46334799999999998</v>
      </c>
      <c r="AL122">
        <f t="shared" si="18"/>
        <v>16.9617</v>
      </c>
      <c r="AM122">
        <f t="shared" si="19"/>
        <v>7.8705680339999997</v>
      </c>
      <c r="AP122" s="9"/>
      <c r="AQ122" s="22">
        <v>1.2359599999999999</v>
      </c>
      <c r="AR122" s="22">
        <v>453.452</v>
      </c>
      <c r="AS122" s="22">
        <v>-1.6107199999999999E-2</v>
      </c>
      <c r="AT122" s="22">
        <v>112</v>
      </c>
      <c r="AU122" s="22">
        <v>1.23505</v>
      </c>
      <c r="AV122">
        <f t="shared" si="20"/>
        <v>16.107199999999999</v>
      </c>
      <c r="AW122">
        <f t="shared" si="21"/>
        <v>19.907854911999998</v>
      </c>
      <c r="AX122" s="9"/>
      <c r="AY122" s="22">
        <v>0.46401999999999999</v>
      </c>
      <c r="AZ122" s="22">
        <v>530.47699999999998</v>
      </c>
      <c r="BA122" s="22">
        <v>-1.6830399999999999E-2</v>
      </c>
      <c r="BB122" s="22">
        <v>112</v>
      </c>
      <c r="BC122" s="22">
        <v>0.463196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87.152299999999997</v>
      </c>
      <c r="I123" s="22">
        <v>-1.6330000000000001E-2</v>
      </c>
      <c r="J123" s="22">
        <v>113</v>
      </c>
      <c r="K123" s="22">
        <v>1.2301599999999999</v>
      </c>
      <c r="L123">
        <f t="shared" si="12"/>
        <v>16.330000000000002</v>
      </c>
      <c r="M123">
        <f t="shared" si="13"/>
        <v>20.101086900000002</v>
      </c>
      <c r="N123" s="9"/>
      <c r="O123" s="22">
        <v>0.469055</v>
      </c>
      <c r="P123" s="22">
        <v>181.11600000000001</v>
      </c>
      <c r="Q123" s="22">
        <v>-1.70013E-2</v>
      </c>
      <c r="R123" s="22">
        <v>113</v>
      </c>
      <c r="S123" s="22">
        <v>0.46847499999999997</v>
      </c>
      <c r="T123">
        <f t="shared" si="14"/>
        <v>17.001300000000001</v>
      </c>
      <c r="U123">
        <f t="shared" si="15"/>
        <v>7.9745447715000006</v>
      </c>
      <c r="X123" s="9"/>
      <c r="Y123" s="22">
        <v>1.2309300000000001</v>
      </c>
      <c r="Z123" s="22">
        <v>298.88499999999999</v>
      </c>
      <c r="AA123" s="22">
        <v>-1.6262800000000001E-2</v>
      </c>
      <c r="AB123" s="22">
        <v>113</v>
      </c>
      <c r="AC123" s="22">
        <v>1.2301599999999999</v>
      </c>
      <c r="AD123">
        <f t="shared" si="16"/>
        <v>16.262800000000002</v>
      </c>
      <c r="AE123">
        <f t="shared" si="17"/>
        <v>20.018368404000004</v>
      </c>
      <c r="AF123" s="9"/>
      <c r="AG123" s="22">
        <v>0.469055</v>
      </c>
      <c r="AH123" s="22">
        <v>364.25099999999998</v>
      </c>
      <c r="AI123" s="22">
        <v>-1.6955600000000001E-2</v>
      </c>
      <c r="AJ123" s="22">
        <v>113</v>
      </c>
      <c r="AK123" s="22">
        <v>0.46838400000000002</v>
      </c>
      <c r="AL123">
        <f t="shared" si="18"/>
        <v>16.9556</v>
      </c>
      <c r="AM123">
        <f t="shared" si="19"/>
        <v>7.9531089580000005</v>
      </c>
      <c r="AP123" s="9"/>
      <c r="AQ123" s="22">
        <v>1.2309300000000001</v>
      </c>
      <c r="AR123" s="22">
        <v>453.55200000000002</v>
      </c>
      <c r="AS123" s="22">
        <v>-1.61285E-2</v>
      </c>
      <c r="AT123" s="22">
        <v>113</v>
      </c>
      <c r="AU123" s="22">
        <v>1.2301599999999999</v>
      </c>
      <c r="AV123">
        <f t="shared" si="20"/>
        <v>16.128499999999999</v>
      </c>
      <c r="AW123">
        <f t="shared" si="21"/>
        <v>19.853054504999999</v>
      </c>
      <c r="AX123" s="9"/>
      <c r="AY123" s="22">
        <v>0.469055</v>
      </c>
      <c r="AZ123" s="22">
        <v>530.57799999999997</v>
      </c>
      <c r="BA123" s="22">
        <v>-1.6815199999999999E-2</v>
      </c>
      <c r="BB123" s="22">
        <v>113</v>
      </c>
      <c r="BC123" s="22">
        <v>0.46838400000000002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87.253</v>
      </c>
      <c r="I124" s="22">
        <v>-1.6342200000000001E-2</v>
      </c>
      <c r="J124" s="22">
        <v>114</v>
      </c>
      <c r="K124" s="22">
        <v>1.2252799999999999</v>
      </c>
      <c r="L124">
        <f t="shared" si="12"/>
        <v>16.342200000000002</v>
      </c>
      <c r="M124">
        <f t="shared" si="13"/>
        <v>20.033739558000001</v>
      </c>
      <c r="N124" s="9"/>
      <c r="O124" s="22">
        <v>0.47409099999999998</v>
      </c>
      <c r="P124" s="22">
        <v>181.21700000000001</v>
      </c>
      <c r="Q124" s="22">
        <v>-1.6992199999999999E-2</v>
      </c>
      <c r="R124" s="22">
        <v>114</v>
      </c>
      <c r="S124" s="22">
        <v>0.47344999999999998</v>
      </c>
      <c r="T124">
        <f t="shared" si="14"/>
        <v>16.9922</v>
      </c>
      <c r="U124">
        <f t="shared" si="15"/>
        <v>8.0558490902000006</v>
      </c>
      <c r="X124" s="9"/>
      <c r="Y124" s="22">
        <v>1.2258899999999999</v>
      </c>
      <c r="Z124" s="22">
        <v>298.98599999999999</v>
      </c>
      <c r="AA124" s="22">
        <v>-1.6271999999999998E-2</v>
      </c>
      <c r="AB124" s="22">
        <v>114</v>
      </c>
      <c r="AC124" s="22">
        <v>1.22498</v>
      </c>
      <c r="AD124">
        <f t="shared" si="16"/>
        <v>16.271999999999998</v>
      </c>
      <c r="AE124">
        <f t="shared" si="17"/>
        <v>19.947682079999996</v>
      </c>
      <c r="AF124" s="9"/>
      <c r="AG124" s="22">
        <v>0.47409099999999998</v>
      </c>
      <c r="AH124" s="22">
        <v>364.35199999999998</v>
      </c>
      <c r="AI124" s="22">
        <v>-1.6937299999999999E-2</v>
      </c>
      <c r="AJ124" s="22">
        <v>114</v>
      </c>
      <c r="AK124" s="22">
        <v>0.47351100000000002</v>
      </c>
      <c r="AL124">
        <f t="shared" si="18"/>
        <v>16.9373</v>
      </c>
      <c r="AM124">
        <f t="shared" si="19"/>
        <v>8.0298214943000001</v>
      </c>
      <c r="AP124" s="9"/>
      <c r="AQ124" s="22">
        <v>1.2258899999999999</v>
      </c>
      <c r="AR124" s="22">
        <v>453.65300000000002</v>
      </c>
      <c r="AS124" s="22">
        <v>-1.6149899999999998E-2</v>
      </c>
      <c r="AT124" s="22">
        <v>114</v>
      </c>
      <c r="AU124" s="22">
        <v>1.2252799999999999</v>
      </c>
      <c r="AV124">
        <f t="shared" si="20"/>
        <v>16.149899999999999</v>
      </c>
      <c r="AW124">
        <f t="shared" si="21"/>
        <v>19.798000910999999</v>
      </c>
      <c r="AX124" s="9"/>
      <c r="AY124" s="22">
        <v>0.47409099999999998</v>
      </c>
      <c r="AZ124" s="22">
        <v>530.678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87.353700000000003</v>
      </c>
      <c r="I125" s="22">
        <v>-1.63605E-2</v>
      </c>
      <c r="J125" s="22">
        <v>115</v>
      </c>
      <c r="K125" s="22">
        <v>1.2200899999999999</v>
      </c>
      <c r="L125">
        <f t="shared" si="12"/>
        <v>16.360500000000002</v>
      </c>
      <c r="M125">
        <f t="shared" si="13"/>
        <v>19.973880030000004</v>
      </c>
      <c r="N125" s="9"/>
      <c r="O125" s="22">
        <v>0.479126</v>
      </c>
      <c r="P125" s="22">
        <v>181.31700000000001</v>
      </c>
      <c r="Q125" s="22">
        <v>-1.6986100000000001E-2</v>
      </c>
      <c r="R125" s="22">
        <v>115</v>
      </c>
      <c r="S125" s="22">
        <v>0.47848499999999999</v>
      </c>
      <c r="T125">
        <f t="shared" si="14"/>
        <v>16.9861</v>
      </c>
      <c r="U125">
        <f t="shared" si="15"/>
        <v>8.1384821485999996</v>
      </c>
      <c r="X125" s="9"/>
      <c r="Y125" s="22">
        <v>1.2208600000000001</v>
      </c>
      <c r="Z125" s="22">
        <v>299.08600000000001</v>
      </c>
      <c r="AA125" s="22">
        <v>-1.62811E-2</v>
      </c>
      <c r="AB125" s="22">
        <v>115</v>
      </c>
      <c r="AC125" s="22">
        <v>1.2200899999999999</v>
      </c>
      <c r="AD125">
        <f t="shared" si="16"/>
        <v>16.281099999999999</v>
      </c>
      <c r="AE125">
        <f t="shared" si="17"/>
        <v>19.876943745999998</v>
      </c>
      <c r="AF125" s="9"/>
      <c r="AG125" s="22">
        <v>0.479126</v>
      </c>
      <c r="AH125" s="22">
        <v>364.452</v>
      </c>
      <c r="AI125" s="22">
        <v>-1.6943400000000001E-2</v>
      </c>
      <c r="AJ125" s="22">
        <v>115</v>
      </c>
      <c r="AK125" s="22">
        <v>0.47839399999999999</v>
      </c>
      <c r="AL125">
        <f t="shared" si="18"/>
        <v>16.9434</v>
      </c>
      <c r="AM125">
        <f t="shared" si="19"/>
        <v>8.1180234684000006</v>
      </c>
      <c r="AP125" s="9"/>
      <c r="AQ125" s="22">
        <v>1.2208600000000001</v>
      </c>
      <c r="AR125" s="22">
        <v>453.75400000000002</v>
      </c>
      <c r="AS125" s="22">
        <v>-1.6149899999999998E-2</v>
      </c>
      <c r="AT125" s="22">
        <v>115</v>
      </c>
      <c r="AU125" s="22">
        <v>1.2197899999999999</v>
      </c>
      <c r="AV125">
        <f t="shared" si="20"/>
        <v>16.149899999999999</v>
      </c>
      <c r="AW125">
        <f t="shared" si="21"/>
        <v>19.716766914000001</v>
      </c>
      <c r="AX125" s="9"/>
      <c r="AY125" s="22">
        <v>0.479126</v>
      </c>
      <c r="AZ125" s="22">
        <v>530.779</v>
      </c>
      <c r="BA125" s="22">
        <v>-1.6830399999999999E-2</v>
      </c>
      <c r="BB125" s="22">
        <v>115</v>
      </c>
      <c r="BC125" s="22">
        <v>0.47845500000000002</v>
      </c>
      <c r="BD125">
        <f t="shared" si="22"/>
        <v>16.830399999999997</v>
      </c>
      <c r="BE125">
        <f t="shared" si="23"/>
        <v>8.0638822303999991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87.454400000000007</v>
      </c>
      <c r="I126" s="22">
        <v>-1.6354400000000002E-2</v>
      </c>
      <c r="J126" s="22">
        <v>116</v>
      </c>
      <c r="K126" s="22">
        <v>1.2142900000000001</v>
      </c>
      <c r="L126">
        <f t="shared" si="12"/>
        <v>16.354400000000002</v>
      </c>
      <c r="M126">
        <f t="shared" si="13"/>
        <v>19.884006608</v>
      </c>
      <c r="N126" s="9"/>
      <c r="O126" s="22">
        <v>0.48416100000000001</v>
      </c>
      <c r="P126" s="22">
        <v>181.41800000000001</v>
      </c>
      <c r="Q126" s="22">
        <v>-1.6979999999999999E-2</v>
      </c>
      <c r="R126" s="22">
        <v>116</v>
      </c>
      <c r="S126" s="22">
        <v>0.48355100000000001</v>
      </c>
      <c r="T126">
        <f t="shared" si="14"/>
        <v>16.979999999999997</v>
      </c>
      <c r="U126">
        <f t="shared" si="15"/>
        <v>8.2210537799999983</v>
      </c>
      <c r="X126" s="9"/>
      <c r="Y126" s="22">
        <v>1.2158199999999999</v>
      </c>
      <c r="Z126" s="22">
        <v>299.18700000000001</v>
      </c>
      <c r="AA126" s="22">
        <v>-1.6302500000000001E-2</v>
      </c>
      <c r="AB126" s="22">
        <v>116</v>
      </c>
      <c r="AC126" s="22">
        <v>1.2152099999999999</v>
      </c>
      <c r="AD126">
        <f t="shared" si="16"/>
        <v>16.302500000000002</v>
      </c>
      <c r="AE126">
        <f t="shared" si="17"/>
        <v>19.820905549999999</v>
      </c>
      <c r="AF126" s="9"/>
      <c r="AG126" s="22">
        <v>0.48416100000000001</v>
      </c>
      <c r="AH126" s="22">
        <v>364.553</v>
      </c>
      <c r="AI126" s="22">
        <v>-1.69342E-2</v>
      </c>
      <c r="AJ126" s="22">
        <v>116</v>
      </c>
      <c r="AK126" s="22">
        <v>0.48352099999999998</v>
      </c>
      <c r="AL126">
        <f t="shared" si="18"/>
        <v>16.934200000000001</v>
      </c>
      <c r="AM126">
        <f t="shared" si="19"/>
        <v>8.1988792062000009</v>
      </c>
      <c r="AP126" s="9"/>
      <c r="AQ126" s="22">
        <v>1.2158199999999999</v>
      </c>
      <c r="AR126" s="22">
        <v>453.85399999999998</v>
      </c>
      <c r="AS126" s="22">
        <v>-1.61713E-2</v>
      </c>
      <c r="AT126" s="22">
        <v>116</v>
      </c>
      <c r="AU126" s="22">
        <v>1.2152099999999999</v>
      </c>
      <c r="AV126">
        <f t="shared" si="20"/>
        <v>16.171299999999999</v>
      </c>
      <c r="AW126">
        <f t="shared" si="21"/>
        <v>19.661389965999998</v>
      </c>
      <c r="AX126" s="9"/>
      <c r="AY126" s="22">
        <v>0.48416100000000001</v>
      </c>
      <c r="AZ126" s="22">
        <v>530.88</v>
      </c>
      <c r="BA126" s="22">
        <v>-1.6827399999999999E-2</v>
      </c>
      <c r="BB126" s="22">
        <v>116</v>
      </c>
      <c r="BC126" s="22">
        <v>0.48336800000000002</v>
      </c>
      <c r="BD126">
        <f t="shared" si="22"/>
        <v>16.827400000000001</v>
      </c>
      <c r="BE126">
        <f t="shared" si="23"/>
        <v>8.1471708114000005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87.555099999999996</v>
      </c>
      <c r="I127" s="22">
        <v>-1.6351299999999999E-2</v>
      </c>
      <c r="J127" s="22">
        <v>117</v>
      </c>
      <c r="K127" s="22">
        <v>1.2094100000000001</v>
      </c>
      <c r="L127">
        <f t="shared" si="12"/>
        <v>16.351299999999998</v>
      </c>
      <c r="M127">
        <f t="shared" si="13"/>
        <v>19.797827013999999</v>
      </c>
      <c r="N127" s="9"/>
      <c r="O127" s="22">
        <v>0.48919699999999999</v>
      </c>
      <c r="P127" s="22">
        <v>181.51900000000001</v>
      </c>
      <c r="Q127" s="22">
        <v>-1.69739E-2</v>
      </c>
      <c r="R127" s="22">
        <v>117</v>
      </c>
      <c r="S127" s="22">
        <v>0.48849500000000001</v>
      </c>
      <c r="T127">
        <f t="shared" si="14"/>
        <v>16.9739</v>
      </c>
      <c r="U127">
        <f t="shared" si="15"/>
        <v>8.3035809582999995</v>
      </c>
      <c r="X127" s="9"/>
      <c r="Y127" s="22">
        <v>1.21078</v>
      </c>
      <c r="Z127" s="22">
        <v>299.28800000000001</v>
      </c>
      <c r="AA127" s="22">
        <v>-1.62811E-2</v>
      </c>
      <c r="AB127" s="22">
        <v>117</v>
      </c>
      <c r="AC127" s="22">
        <v>1.2097199999999999</v>
      </c>
      <c r="AD127">
        <f t="shared" si="16"/>
        <v>16.281099999999999</v>
      </c>
      <c r="AE127">
        <f t="shared" si="17"/>
        <v>19.712830257999997</v>
      </c>
      <c r="AF127" s="9"/>
      <c r="AG127" s="22">
        <v>0.48919699999999999</v>
      </c>
      <c r="AH127" s="22">
        <v>364.654</v>
      </c>
      <c r="AI127" s="22">
        <v>-1.69464E-2</v>
      </c>
      <c r="AJ127" s="22">
        <v>117</v>
      </c>
      <c r="AK127" s="22">
        <v>0.48849500000000001</v>
      </c>
      <c r="AL127">
        <f t="shared" si="18"/>
        <v>16.946400000000001</v>
      </c>
      <c r="AM127">
        <f t="shared" si="19"/>
        <v>8.2901280408000009</v>
      </c>
      <c r="AP127" s="9"/>
      <c r="AQ127" s="22">
        <v>1.21078</v>
      </c>
      <c r="AR127" s="22">
        <v>453.95499999999998</v>
      </c>
      <c r="AS127" s="22">
        <v>-1.6174299999999999E-2</v>
      </c>
      <c r="AT127" s="22">
        <v>117</v>
      </c>
      <c r="AU127" s="22">
        <v>1.2100200000000001</v>
      </c>
      <c r="AV127">
        <f t="shared" si="20"/>
        <v>16.174299999999999</v>
      </c>
      <c r="AW127">
        <f t="shared" si="21"/>
        <v>19.583518953999999</v>
      </c>
      <c r="AX127" s="9"/>
      <c r="AY127" s="22">
        <v>0.48919699999999999</v>
      </c>
      <c r="AZ127" s="22">
        <v>530.98</v>
      </c>
      <c r="BA127" s="22">
        <v>-1.68243E-2</v>
      </c>
      <c r="BB127" s="22">
        <v>117</v>
      </c>
      <c r="BC127" s="22">
        <v>0.48858600000000002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87.655799999999999</v>
      </c>
      <c r="I128" s="22">
        <v>-1.63483E-2</v>
      </c>
      <c r="J128" s="22">
        <v>118</v>
      </c>
      <c r="K128" s="22">
        <v>1.2051400000000001</v>
      </c>
      <c r="L128">
        <f t="shared" si="12"/>
        <v>16.348299999999998</v>
      </c>
      <c r="M128">
        <f t="shared" si="13"/>
        <v>19.711962724999999</v>
      </c>
      <c r="N128" s="9"/>
      <c r="O128" s="22">
        <v>0.494232</v>
      </c>
      <c r="P128" s="22">
        <v>181.619</v>
      </c>
      <c r="Q128" s="22">
        <v>-1.6967800000000002E-2</v>
      </c>
      <c r="R128" s="22">
        <v>118</v>
      </c>
      <c r="S128" s="22">
        <v>0.49368299999999998</v>
      </c>
      <c r="T128">
        <f t="shared" si="14"/>
        <v>16.9678</v>
      </c>
      <c r="U128">
        <f t="shared" si="15"/>
        <v>8.3860297296000006</v>
      </c>
      <c r="X128" s="9"/>
      <c r="Y128" s="22">
        <v>1.2057500000000001</v>
      </c>
      <c r="Z128" s="22">
        <v>299.38799999999998</v>
      </c>
      <c r="AA128" s="22">
        <v>-1.6305500000000001E-2</v>
      </c>
      <c r="AB128" s="22">
        <v>118</v>
      </c>
      <c r="AC128" s="22">
        <v>1.2042200000000001</v>
      </c>
      <c r="AD128">
        <f t="shared" si="16"/>
        <v>16.305500000000002</v>
      </c>
      <c r="AE128">
        <f t="shared" si="17"/>
        <v>19.660356625000006</v>
      </c>
      <c r="AF128" s="9"/>
      <c r="AG128" s="22">
        <v>0.494232</v>
      </c>
      <c r="AH128" s="22">
        <v>364.75400000000002</v>
      </c>
      <c r="AI128" s="22">
        <v>-1.69312E-2</v>
      </c>
      <c r="AJ128" s="22">
        <v>118</v>
      </c>
      <c r="AK128" s="22">
        <v>0.493591</v>
      </c>
      <c r="AL128">
        <f t="shared" si="18"/>
        <v>16.9312</v>
      </c>
      <c r="AM128">
        <f t="shared" si="19"/>
        <v>8.3679408384000009</v>
      </c>
      <c r="AP128" s="9"/>
      <c r="AQ128" s="22">
        <v>1.2057500000000001</v>
      </c>
      <c r="AR128" s="22">
        <v>454.05599999999998</v>
      </c>
      <c r="AS128" s="22">
        <v>-1.6165200000000001E-2</v>
      </c>
      <c r="AT128" s="22">
        <v>118</v>
      </c>
      <c r="AU128" s="22">
        <v>1.2048300000000001</v>
      </c>
      <c r="AV128">
        <f t="shared" si="20"/>
        <v>16.165200000000002</v>
      </c>
      <c r="AW128">
        <f t="shared" si="21"/>
        <v>19.491189900000006</v>
      </c>
      <c r="AX128" s="9"/>
      <c r="AY128" s="22">
        <v>0.494232</v>
      </c>
      <c r="AZ128" s="22">
        <v>531.08100000000002</v>
      </c>
      <c r="BA128" s="22">
        <v>-1.67999E-2</v>
      </c>
      <c r="BB128" s="22">
        <v>118</v>
      </c>
      <c r="BC128" s="22">
        <v>0.493591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87.756500000000003</v>
      </c>
      <c r="I129" s="22">
        <v>-1.63605E-2</v>
      </c>
      <c r="J129" s="22">
        <v>119</v>
      </c>
      <c r="K129" s="22">
        <v>1.1999500000000001</v>
      </c>
      <c r="L129">
        <f t="shared" si="12"/>
        <v>16.360500000000002</v>
      </c>
      <c r="M129">
        <f t="shared" si="13"/>
        <v>19.644215955</v>
      </c>
      <c r="N129" s="9"/>
      <c r="O129" s="22">
        <v>0.49926799999999999</v>
      </c>
      <c r="P129" s="22">
        <v>181.72</v>
      </c>
      <c r="Q129" s="22">
        <v>-1.69617E-2</v>
      </c>
      <c r="R129" s="22">
        <v>119</v>
      </c>
      <c r="S129" s="22">
        <v>0.49862699999999999</v>
      </c>
      <c r="T129">
        <f t="shared" si="14"/>
        <v>16.9617</v>
      </c>
      <c r="U129">
        <f t="shared" si="15"/>
        <v>8.4684340355999996</v>
      </c>
      <c r="X129" s="9"/>
      <c r="Y129" s="22">
        <v>1.2007099999999999</v>
      </c>
      <c r="Z129" s="22">
        <v>299.48899999999998</v>
      </c>
      <c r="AA129" s="22">
        <v>-1.6302500000000001E-2</v>
      </c>
      <c r="AB129" s="22">
        <v>119</v>
      </c>
      <c r="AC129" s="22">
        <v>1.1999500000000001</v>
      </c>
      <c r="AD129">
        <f t="shared" si="16"/>
        <v>16.302500000000002</v>
      </c>
      <c r="AE129">
        <f t="shared" si="17"/>
        <v>19.574574775000002</v>
      </c>
      <c r="AF129" s="9"/>
      <c r="AG129" s="22">
        <v>0.49926799999999999</v>
      </c>
      <c r="AH129" s="22">
        <v>364.85500000000002</v>
      </c>
      <c r="AI129" s="22">
        <v>-1.6912799999999999E-2</v>
      </c>
      <c r="AJ129" s="22">
        <v>119</v>
      </c>
      <c r="AK129" s="22">
        <v>0.49859599999999998</v>
      </c>
      <c r="AL129">
        <f t="shared" si="18"/>
        <v>16.912799999999997</v>
      </c>
      <c r="AM129">
        <f t="shared" si="19"/>
        <v>8.4440198303999985</v>
      </c>
      <c r="AP129" s="9"/>
      <c r="AQ129" s="22">
        <v>1.2007099999999999</v>
      </c>
      <c r="AR129" s="22">
        <v>454.15699999999998</v>
      </c>
      <c r="AS129" s="22">
        <v>-1.6174299999999999E-2</v>
      </c>
      <c r="AT129" s="22">
        <v>119</v>
      </c>
      <c r="AU129" s="22">
        <v>1.1993400000000001</v>
      </c>
      <c r="AV129">
        <f t="shared" si="20"/>
        <v>16.174299999999999</v>
      </c>
      <c r="AW129">
        <f t="shared" si="21"/>
        <v>19.420643752999997</v>
      </c>
      <c r="AX129" s="9"/>
      <c r="AY129" s="22">
        <v>0.49926799999999999</v>
      </c>
      <c r="AZ129" s="22">
        <v>531.18200000000002</v>
      </c>
      <c r="BA129" s="22">
        <v>-1.6815199999999999E-2</v>
      </c>
      <c r="BB129" s="22">
        <v>119</v>
      </c>
      <c r="BC129" s="22">
        <v>0.49859599999999998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87.857200000000006</v>
      </c>
      <c r="I130" s="22">
        <v>-1.6369600000000002E-2</v>
      </c>
      <c r="J130" s="22">
        <v>120</v>
      </c>
      <c r="K130" s="22">
        <v>1.19476</v>
      </c>
      <c r="L130">
        <f t="shared" si="12"/>
        <v>16.369600000000002</v>
      </c>
      <c r="M130">
        <f t="shared" si="13"/>
        <v>19.572803328000003</v>
      </c>
      <c r="N130" s="9"/>
      <c r="O130" s="22">
        <v>0.50430299999999995</v>
      </c>
      <c r="P130" s="22">
        <v>181.821</v>
      </c>
      <c r="Q130" s="22">
        <v>-1.6970800000000001E-2</v>
      </c>
      <c r="R130" s="22">
        <v>120</v>
      </c>
      <c r="S130" s="22">
        <v>0.50363199999999997</v>
      </c>
      <c r="T130">
        <f t="shared" si="14"/>
        <v>16.970800000000001</v>
      </c>
      <c r="U130">
        <f t="shared" si="15"/>
        <v>8.5584253523999987</v>
      </c>
      <c r="X130" s="9"/>
      <c r="Y130" s="22">
        <v>1.1956800000000001</v>
      </c>
      <c r="Z130" s="22">
        <v>299.58999999999997</v>
      </c>
      <c r="AA130" s="22">
        <v>-1.6314700000000001E-2</v>
      </c>
      <c r="AB130" s="22">
        <v>120</v>
      </c>
      <c r="AC130" s="22">
        <v>1.1944600000000001</v>
      </c>
      <c r="AD130">
        <f t="shared" si="16"/>
        <v>16.314700000000002</v>
      </c>
      <c r="AE130">
        <f t="shared" si="17"/>
        <v>19.507160496000004</v>
      </c>
      <c r="AF130" s="9"/>
      <c r="AG130" s="22">
        <v>0.50430299999999995</v>
      </c>
      <c r="AH130" s="22">
        <v>364.95600000000002</v>
      </c>
      <c r="AI130" s="22">
        <v>-1.6915900000000001E-2</v>
      </c>
      <c r="AJ130" s="22">
        <v>120</v>
      </c>
      <c r="AK130" s="22">
        <v>0.50372300000000003</v>
      </c>
      <c r="AL130">
        <f t="shared" si="18"/>
        <v>16.915900000000001</v>
      </c>
      <c r="AM130">
        <f t="shared" si="19"/>
        <v>8.5307391176999996</v>
      </c>
      <c r="AP130" s="9"/>
      <c r="AQ130" s="22">
        <v>1.1956800000000001</v>
      </c>
      <c r="AR130" s="22">
        <v>454.25700000000001</v>
      </c>
      <c r="AS130" s="22">
        <v>-1.61957E-2</v>
      </c>
      <c r="AT130" s="22">
        <v>120</v>
      </c>
      <c r="AU130" s="22">
        <v>1.1944600000000001</v>
      </c>
      <c r="AV130">
        <f t="shared" si="20"/>
        <v>16.195699999999999</v>
      </c>
      <c r="AW130">
        <f t="shared" si="21"/>
        <v>19.364874575999998</v>
      </c>
      <c r="AX130" s="9"/>
      <c r="AY130" s="22">
        <v>0.50430299999999995</v>
      </c>
      <c r="AZ130" s="22">
        <v>531.28300000000002</v>
      </c>
      <c r="BA130" s="22">
        <v>-1.6815199999999999E-2</v>
      </c>
      <c r="BB130" s="22">
        <v>120</v>
      </c>
      <c r="BC130" s="22">
        <v>0.50366200000000005</v>
      </c>
      <c r="BD130">
        <f t="shared" si="22"/>
        <v>16.815199999999997</v>
      </c>
      <c r="BE130">
        <f t="shared" si="23"/>
        <v>8.4799558055999977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87.957899999999995</v>
      </c>
      <c r="I131" s="22">
        <v>-1.6369600000000002E-2</v>
      </c>
      <c r="J131" s="22">
        <v>121</v>
      </c>
      <c r="K131" s="22">
        <v>1.1901900000000001</v>
      </c>
      <c r="L131">
        <f t="shared" si="12"/>
        <v>16.369600000000002</v>
      </c>
      <c r="M131">
        <f t="shared" si="13"/>
        <v>19.490300544</v>
      </c>
      <c r="N131" s="9"/>
      <c r="O131" s="22">
        <v>0.50933799999999996</v>
      </c>
      <c r="P131" s="22">
        <v>181.922</v>
      </c>
      <c r="Q131" s="22">
        <v>-1.6970800000000001E-2</v>
      </c>
      <c r="R131" s="22">
        <v>121</v>
      </c>
      <c r="S131" s="22">
        <v>0.50863599999999998</v>
      </c>
      <c r="T131">
        <f t="shared" si="14"/>
        <v>16.970800000000001</v>
      </c>
      <c r="U131">
        <f t="shared" si="15"/>
        <v>8.6438733303999999</v>
      </c>
      <c r="X131" s="9"/>
      <c r="Y131" s="22">
        <v>1.1906399999999999</v>
      </c>
      <c r="Z131" s="22">
        <v>299.69</v>
      </c>
      <c r="AA131" s="22">
        <v>-1.6317700000000001E-2</v>
      </c>
      <c r="AB131" s="22">
        <v>121</v>
      </c>
      <c r="AC131" s="22">
        <v>1.1895800000000001</v>
      </c>
      <c r="AD131">
        <f t="shared" si="16"/>
        <v>16.317700000000002</v>
      </c>
      <c r="AE131">
        <f t="shared" si="17"/>
        <v>19.428506328000001</v>
      </c>
      <c r="AF131" s="9"/>
      <c r="AG131" s="22">
        <v>0.50933799999999996</v>
      </c>
      <c r="AH131" s="22">
        <v>365.05700000000002</v>
      </c>
      <c r="AI131" s="22">
        <v>-1.6912799999999999E-2</v>
      </c>
      <c r="AJ131" s="22">
        <v>121</v>
      </c>
      <c r="AK131" s="22">
        <v>0.50869799999999998</v>
      </c>
      <c r="AL131">
        <f t="shared" si="18"/>
        <v>16.912799999999997</v>
      </c>
      <c r="AM131">
        <f t="shared" si="19"/>
        <v>8.6143317263999979</v>
      </c>
      <c r="AP131" s="9"/>
      <c r="AQ131" s="22">
        <v>1.1906399999999999</v>
      </c>
      <c r="AR131" s="22">
        <v>454.358</v>
      </c>
      <c r="AS131" s="22">
        <v>-1.6180400000000001E-2</v>
      </c>
      <c r="AT131" s="22">
        <v>121</v>
      </c>
      <c r="AU131" s="22">
        <v>1.18988</v>
      </c>
      <c r="AV131">
        <f t="shared" si="20"/>
        <v>16.180400000000002</v>
      </c>
      <c r="AW131">
        <f t="shared" si="21"/>
        <v>19.265031456000003</v>
      </c>
      <c r="AX131" s="9"/>
      <c r="AY131" s="22">
        <v>0.50933799999999996</v>
      </c>
      <c r="AZ131" s="22">
        <v>531.38300000000004</v>
      </c>
      <c r="BA131" s="22">
        <v>-1.6827399999999999E-2</v>
      </c>
      <c r="BB131" s="22">
        <v>121</v>
      </c>
      <c r="BC131" s="22">
        <v>0.508606</v>
      </c>
      <c r="BD131">
        <f t="shared" si="22"/>
        <v>16.827400000000001</v>
      </c>
      <c r="BE131">
        <f t="shared" si="23"/>
        <v>8.5708342611999999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88.058599999999998</v>
      </c>
      <c r="I132" s="22">
        <v>-1.6384900000000001E-2</v>
      </c>
      <c r="J132" s="22">
        <v>122</v>
      </c>
      <c r="K132" s="22">
        <v>1.18469</v>
      </c>
      <c r="L132">
        <f t="shared" si="12"/>
        <v>16.384900000000002</v>
      </c>
      <c r="M132">
        <f t="shared" si="13"/>
        <v>19.426101289000002</v>
      </c>
      <c r="N132" s="9"/>
      <c r="O132" s="22">
        <v>0.514374</v>
      </c>
      <c r="P132" s="22">
        <v>182.02199999999999</v>
      </c>
      <c r="Q132" s="22">
        <v>-1.6967800000000002E-2</v>
      </c>
      <c r="R132" s="22">
        <v>122</v>
      </c>
      <c r="S132" s="22">
        <v>0.51367200000000002</v>
      </c>
      <c r="T132">
        <f t="shared" si="14"/>
        <v>16.9678</v>
      </c>
      <c r="U132">
        <f t="shared" si="15"/>
        <v>8.727795157200001</v>
      </c>
      <c r="X132" s="9"/>
      <c r="Y132" s="22">
        <v>1.1856100000000001</v>
      </c>
      <c r="Z132" s="22">
        <v>299.791</v>
      </c>
      <c r="AA132" s="22">
        <v>-1.6333E-2</v>
      </c>
      <c r="AB132" s="22">
        <v>122</v>
      </c>
      <c r="AC132" s="22">
        <v>1.18469</v>
      </c>
      <c r="AD132">
        <f t="shared" si="16"/>
        <v>16.333000000000002</v>
      </c>
      <c r="AE132">
        <f t="shared" si="17"/>
        <v>19.364568130000002</v>
      </c>
      <c r="AF132" s="9"/>
      <c r="AG132" s="22">
        <v>0.514374</v>
      </c>
      <c r="AH132" s="22">
        <v>365.15699999999998</v>
      </c>
      <c r="AI132" s="22">
        <v>-1.69067E-2</v>
      </c>
      <c r="AJ132" s="22">
        <v>122</v>
      </c>
      <c r="AK132" s="22">
        <v>0.51370199999999999</v>
      </c>
      <c r="AL132">
        <f t="shared" si="18"/>
        <v>16.906700000000001</v>
      </c>
      <c r="AM132">
        <f t="shared" si="19"/>
        <v>8.6963669057999997</v>
      </c>
      <c r="AP132" s="9"/>
      <c r="AQ132" s="22">
        <v>1.1856100000000001</v>
      </c>
      <c r="AR132" s="22">
        <v>454.459</v>
      </c>
      <c r="AS132" s="22">
        <v>-1.6189599999999998E-2</v>
      </c>
      <c r="AT132" s="22">
        <v>122</v>
      </c>
      <c r="AU132" s="22">
        <v>1.1850000000000001</v>
      </c>
      <c r="AV132">
        <f t="shared" si="20"/>
        <v>16.189599999999999</v>
      </c>
      <c r="AW132">
        <f t="shared" si="21"/>
        <v>19.194551655999998</v>
      </c>
      <c r="AX132" s="9"/>
      <c r="AY132" s="22">
        <v>0.514374</v>
      </c>
      <c r="AZ132" s="22">
        <v>531.48400000000004</v>
      </c>
      <c r="BA132" s="22">
        <v>-1.6815199999999999E-2</v>
      </c>
      <c r="BB132" s="22">
        <v>122</v>
      </c>
      <c r="BC132" s="22">
        <v>0.51367200000000002</v>
      </c>
      <c r="BD132">
        <f t="shared" si="22"/>
        <v>16.815199999999997</v>
      </c>
      <c r="BE132">
        <f t="shared" si="23"/>
        <v>8.6493016847999993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88.159300000000002</v>
      </c>
      <c r="I133" s="22">
        <v>-1.6390999999999999E-2</v>
      </c>
      <c r="J133" s="22">
        <v>123</v>
      </c>
      <c r="K133" s="22">
        <v>1.17981</v>
      </c>
      <c r="L133">
        <f t="shared" si="12"/>
        <v>16.390999999999998</v>
      </c>
      <c r="M133">
        <f t="shared" si="13"/>
        <v>19.350722869999995</v>
      </c>
      <c r="N133" s="9"/>
      <c r="O133" s="22">
        <v>0.51940900000000001</v>
      </c>
      <c r="P133" s="22">
        <v>182.12299999999999</v>
      </c>
      <c r="Q133" s="22">
        <v>-1.6970800000000001E-2</v>
      </c>
      <c r="R133" s="22">
        <v>123</v>
      </c>
      <c r="S133" s="22">
        <v>0.51879900000000001</v>
      </c>
      <c r="T133">
        <f t="shared" si="14"/>
        <v>16.970800000000001</v>
      </c>
      <c r="U133">
        <f t="shared" si="15"/>
        <v>8.8147862571999998</v>
      </c>
      <c r="X133" s="9"/>
      <c r="Y133" s="22">
        <v>1.1805699999999999</v>
      </c>
      <c r="Z133" s="22">
        <v>299.892</v>
      </c>
      <c r="AA133" s="22">
        <v>-1.6345200000000001E-2</v>
      </c>
      <c r="AB133" s="22">
        <v>123</v>
      </c>
      <c r="AC133" s="22">
        <v>1.17981</v>
      </c>
      <c r="AD133">
        <f t="shared" si="16"/>
        <v>16.345200000000002</v>
      </c>
      <c r="AE133">
        <f t="shared" si="17"/>
        <v>19.296652764000001</v>
      </c>
      <c r="AF133" s="9"/>
      <c r="AG133" s="22">
        <v>0.51940900000000001</v>
      </c>
      <c r="AH133" s="22">
        <v>365.25799999999998</v>
      </c>
      <c r="AI133" s="22">
        <v>-1.6922E-2</v>
      </c>
      <c r="AJ133" s="22">
        <v>123</v>
      </c>
      <c r="AK133" s="22">
        <v>0.51876800000000001</v>
      </c>
      <c r="AL133">
        <f t="shared" si="18"/>
        <v>16.922000000000001</v>
      </c>
      <c r="AM133">
        <f t="shared" si="19"/>
        <v>8.7894390980000008</v>
      </c>
      <c r="AP133" s="9"/>
      <c r="AQ133" s="22">
        <v>1.1805699999999999</v>
      </c>
      <c r="AR133" s="22">
        <v>454.55900000000003</v>
      </c>
      <c r="AS133" s="22">
        <v>-1.6201799999999999E-2</v>
      </c>
      <c r="AT133" s="22">
        <v>123</v>
      </c>
      <c r="AU133" s="22">
        <v>1.17981</v>
      </c>
      <c r="AV133">
        <f t="shared" si="20"/>
        <v>16.201799999999999</v>
      </c>
      <c r="AW133">
        <f t="shared" si="21"/>
        <v>19.127359025999997</v>
      </c>
      <c r="AX133" s="9"/>
      <c r="AY133" s="22">
        <v>0.51940900000000001</v>
      </c>
      <c r="AZ133" s="22">
        <v>531.58500000000004</v>
      </c>
      <c r="BA133" s="22">
        <v>-1.6821300000000001E-2</v>
      </c>
      <c r="BB133" s="22">
        <v>123</v>
      </c>
      <c r="BC133" s="22">
        <v>0.51849400000000001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88.260099999999994</v>
      </c>
      <c r="I134" s="22">
        <v>-1.6397100000000001E-2</v>
      </c>
      <c r="J134" s="22">
        <v>124</v>
      </c>
      <c r="K134" s="22">
        <v>1.17554</v>
      </c>
      <c r="L134">
        <f t="shared" si="12"/>
        <v>16.397100000000002</v>
      </c>
      <c r="M134">
        <f t="shared" si="13"/>
        <v>19.275446934000001</v>
      </c>
      <c r="N134" s="9"/>
      <c r="O134" s="22">
        <v>0.52444500000000005</v>
      </c>
      <c r="P134" s="22">
        <v>182.22399999999999</v>
      </c>
      <c r="Q134" s="22">
        <v>-1.6967800000000002E-2</v>
      </c>
      <c r="R134" s="22">
        <v>124</v>
      </c>
      <c r="S134" s="22">
        <v>0.52368199999999998</v>
      </c>
      <c r="T134">
        <f t="shared" si="14"/>
        <v>16.9678</v>
      </c>
      <c r="U134">
        <f t="shared" si="15"/>
        <v>8.8986778710000003</v>
      </c>
      <c r="X134" s="9"/>
      <c r="Y134" s="22">
        <v>1.17554</v>
      </c>
      <c r="Z134" s="22">
        <v>299.99299999999999</v>
      </c>
      <c r="AA134" s="22">
        <v>-1.6336099999999999E-2</v>
      </c>
      <c r="AB134" s="22">
        <v>124</v>
      </c>
      <c r="AC134" s="22">
        <v>1.17401</v>
      </c>
      <c r="AD134">
        <f t="shared" si="16"/>
        <v>16.336099999999998</v>
      </c>
      <c r="AE134">
        <f t="shared" si="17"/>
        <v>19.203738993999998</v>
      </c>
      <c r="AF134" s="9"/>
      <c r="AG134" s="22">
        <v>0.52444500000000005</v>
      </c>
      <c r="AH134" s="22">
        <v>365.35899999999998</v>
      </c>
      <c r="AI134" s="22">
        <v>-1.6909799999999999E-2</v>
      </c>
      <c r="AJ134" s="22">
        <v>124</v>
      </c>
      <c r="AK134" s="22">
        <v>0.52374299999999996</v>
      </c>
      <c r="AL134">
        <f t="shared" si="18"/>
        <v>16.909800000000001</v>
      </c>
      <c r="AM134">
        <f t="shared" si="19"/>
        <v>8.8682600610000009</v>
      </c>
      <c r="AP134" s="9"/>
      <c r="AQ134" s="22">
        <v>1.17554</v>
      </c>
      <c r="AR134" s="22">
        <v>454.66</v>
      </c>
      <c r="AS134" s="22">
        <v>-1.62109E-2</v>
      </c>
      <c r="AT134" s="22">
        <v>124</v>
      </c>
      <c r="AU134" s="22">
        <v>1.17432</v>
      </c>
      <c r="AV134">
        <f t="shared" si="20"/>
        <v>16.210899999999999</v>
      </c>
      <c r="AW134">
        <f t="shared" si="21"/>
        <v>19.056561385999998</v>
      </c>
      <c r="AX134" s="9"/>
      <c r="AY134" s="22">
        <v>0.52444500000000005</v>
      </c>
      <c r="AZ134" s="22">
        <v>531.68499999999995</v>
      </c>
      <c r="BA134" s="22">
        <v>-1.6815199999999999E-2</v>
      </c>
      <c r="BB134" s="22">
        <v>124</v>
      </c>
      <c r="BC134" s="22">
        <v>0.52374299999999996</v>
      </c>
      <c r="BD134">
        <f t="shared" si="22"/>
        <v>16.815199999999997</v>
      </c>
      <c r="BE134">
        <f t="shared" si="23"/>
        <v>8.8186475639999991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88.360799999999998</v>
      </c>
      <c r="I135" s="22">
        <v>-1.6393999999999999E-2</v>
      </c>
      <c r="J135" s="22">
        <v>125</v>
      </c>
      <c r="K135" s="22">
        <v>1.16943</v>
      </c>
      <c r="L135">
        <f t="shared" si="12"/>
        <v>16.393999999999998</v>
      </c>
      <c r="M135">
        <f t="shared" si="13"/>
        <v>19.189177000000001</v>
      </c>
      <c r="N135" s="9"/>
      <c r="O135" s="22">
        <v>0.52947999999999995</v>
      </c>
      <c r="P135" s="22">
        <v>182.32400000000001</v>
      </c>
      <c r="Q135" s="22">
        <v>-1.69617E-2</v>
      </c>
      <c r="R135" s="22">
        <v>125</v>
      </c>
      <c r="S135" s="22">
        <v>0.528748</v>
      </c>
      <c r="T135">
        <f t="shared" si="14"/>
        <v>16.9617</v>
      </c>
      <c r="U135">
        <f t="shared" si="15"/>
        <v>8.9808809160000003</v>
      </c>
      <c r="X135" s="9"/>
      <c r="Y135" s="22">
        <v>1.1705000000000001</v>
      </c>
      <c r="Z135" s="22">
        <v>300.09300000000002</v>
      </c>
      <c r="AA135" s="22">
        <v>-1.63483E-2</v>
      </c>
      <c r="AB135" s="22">
        <v>125</v>
      </c>
      <c r="AC135" s="22">
        <v>1.16882</v>
      </c>
      <c r="AD135">
        <f t="shared" si="16"/>
        <v>16.348299999999998</v>
      </c>
      <c r="AE135">
        <f t="shared" si="17"/>
        <v>19.13568515</v>
      </c>
      <c r="AF135" s="9"/>
      <c r="AG135" s="22">
        <v>0.52947999999999995</v>
      </c>
      <c r="AH135" s="22">
        <v>365.459</v>
      </c>
      <c r="AI135" s="22">
        <v>-1.6915900000000001E-2</v>
      </c>
      <c r="AJ135" s="22">
        <v>125</v>
      </c>
      <c r="AK135" s="22">
        <v>0.52883899999999995</v>
      </c>
      <c r="AL135">
        <f t="shared" si="18"/>
        <v>16.915900000000001</v>
      </c>
      <c r="AM135">
        <f t="shared" si="19"/>
        <v>8.9566307319999989</v>
      </c>
      <c r="AP135" s="9"/>
      <c r="AQ135" s="22">
        <v>1.1705000000000001</v>
      </c>
      <c r="AR135" s="22">
        <v>454.76100000000002</v>
      </c>
      <c r="AS135" s="22">
        <v>-1.6216999999999999E-2</v>
      </c>
      <c r="AT135" s="22">
        <v>125</v>
      </c>
      <c r="AU135" s="22">
        <v>1.16943</v>
      </c>
      <c r="AV135">
        <f t="shared" si="20"/>
        <v>16.216999999999999</v>
      </c>
      <c r="AW135">
        <f t="shared" si="21"/>
        <v>18.9819985</v>
      </c>
      <c r="AX135" s="9"/>
      <c r="AY135" s="22">
        <v>0.52947999999999995</v>
      </c>
      <c r="AZ135" s="22">
        <v>531.78599999999994</v>
      </c>
      <c r="BA135" s="22">
        <v>-1.6806000000000001E-2</v>
      </c>
      <c r="BB135" s="22">
        <v>125</v>
      </c>
      <c r="BC135" s="22">
        <v>0.52877799999999997</v>
      </c>
      <c r="BD135">
        <f t="shared" si="22"/>
        <v>16.806000000000001</v>
      </c>
      <c r="BE135">
        <f t="shared" si="23"/>
        <v>8.898440879999999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88.461500000000001</v>
      </c>
      <c r="I136" s="22">
        <v>-1.64154E-2</v>
      </c>
      <c r="J136" s="22">
        <v>126</v>
      </c>
      <c r="K136" s="22">
        <v>1.16486</v>
      </c>
      <c r="L136">
        <f t="shared" si="12"/>
        <v>16.415400000000002</v>
      </c>
      <c r="M136">
        <f t="shared" si="13"/>
        <v>19.131656238000001</v>
      </c>
      <c r="N136" s="9"/>
      <c r="O136" s="22">
        <v>0.53451499999999996</v>
      </c>
      <c r="P136" s="22">
        <v>182.42500000000001</v>
      </c>
      <c r="Q136" s="22">
        <v>-1.6949499999999999E-2</v>
      </c>
      <c r="R136" s="22">
        <v>126</v>
      </c>
      <c r="S136" s="22">
        <v>0.53381299999999998</v>
      </c>
      <c r="T136">
        <f t="shared" si="14"/>
        <v>16.9495</v>
      </c>
      <c r="U136">
        <f t="shared" si="15"/>
        <v>9.0597619925000004</v>
      </c>
      <c r="X136" s="9"/>
      <c r="Y136" s="22">
        <v>1.16547</v>
      </c>
      <c r="Z136" s="22">
        <v>300.19400000000002</v>
      </c>
      <c r="AA136" s="22">
        <v>-1.6354400000000002E-2</v>
      </c>
      <c r="AB136" s="22">
        <v>126</v>
      </c>
      <c r="AC136" s="22">
        <v>1.16486</v>
      </c>
      <c r="AD136">
        <f t="shared" si="16"/>
        <v>16.354400000000002</v>
      </c>
      <c r="AE136">
        <f t="shared" si="17"/>
        <v>19.060562568000002</v>
      </c>
      <c r="AF136" s="9"/>
      <c r="AG136" s="22">
        <v>0.53451499999999996</v>
      </c>
      <c r="AH136" s="22">
        <v>365.56</v>
      </c>
      <c r="AI136" s="22">
        <v>-1.69067E-2</v>
      </c>
      <c r="AJ136" s="22">
        <v>126</v>
      </c>
      <c r="AK136" s="22">
        <v>0.53381299999999998</v>
      </c>
      <c r="AL136">
        <f t="shared" si="18"/>
        <v>16.906700000000001</v>
      </c>
      <c r="AM136">
        <f t="shared" si="19"/>
        <v>9.0368847505000005</v>
      </c>
      <c r="AP136" s="9"/>
      <c r="AQ136" s="22">
        <v>1.16547</v>
      </c>
      <c r="AR136" s="22">
        <v>454.86200000000002</v>
      </c>
      <c r="AS136" s="22">
        <v>-1.6216999999999999E-2</v>
      </c>
      <c r="AT136" s="22">
        <v>126</v>
      </c>
      <c r="AU136" s="22">
        <v>1.16455</v>
      </c>
      <c r="AV136">
        <f t="shared" si="20"/>
        <v>16.216999999999999</v>
      </c>
      <c r="AW136">
        <f t="shared" si="21"/>
        <v>18.90042699</v>
      </c>
      <c r="AX136" s="9"/>
      <c r="AY136" s="22">
        <v>0.53451499999999996</v>
      </c>
      <c r="AZ136" s="22">
        <v>531.88699999999994</v>
      </c>
      <c r="BA136" s="22">
        <v>-1.68091E-2</v>
      </c>
      <c r="BB136" s="22">
        <v>126</v>
      </c>
      <c r="BC136" s="22">
        <v>0.53384399999999999</v>
      </c>
      <c r="BD136">
        <f t="shared" si="22"/>
        <v>16.809100000000001</v>
      </c>
      <c r="BE136">
        <f t="shared" si="23"/>
        <v>8.9847160865000006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88.562200000000004</v>
      </c>
      <c r="I137" s="22">
        <v>-1.6412400000000001E-2</v>
      </c>
      <c r="J137" s="22">
        <v>127</v>
      </c>
      <c r="K137" s="22">
        <v>1.1605799999999999</v>
      </c>
      <c r="L137">
        <f t="shared" si="12"/>
        <v>16.412400000000002</v>
      </c>
      <c r="M137">
        <f t="shared" si="13"/>
        <v>19.045441332000003</v>
      </c>
      <c r="N137" s="9"/>
      <c r="O137" s="22">
        <v>0.539551</v>
      </c>
      <c r="P137" s="22">
        <v>182.52600000000001</v>
      </c>
      <c r="Q137" s="22">
        <v>-1.6952499999999999E-2</v>
      </c>
      <c r="R137" s="22">
        <v>127</v>
      </c>
      <c r="S137" s="22">
        <v>0.53881800000000002</v>
      </c>
      <c r="T137">
        <f t="shared" si="14"/>
        <v>16.952500000000001</v>
      </c>
      <c r="U137">
        <f t="shared" si="15"/>
        <v>9.1467383274999996</v>
      </c>
      <c r="X137" s="9"/>
      <c r="Y137" s="22">
        <v>1.1604300000000001</v>
      </c>
      <c r="Z137" s="22">
        <v>300.29500000000002</v>
      </c>
      <c r="AA137" s="22">
        <v>-1.6342200000000001E-2</v>
      </c>
      <c r="AB137" s="22">
        <v>127</v>
      </c>
      <c r="AC137" s="22">
        <v>1.15967</v>
      </c>
      <c r="AD137">
        <f t="shared" si="16"/>
        <v>16.342200000000002</v>
      </c>
      <c r="AE137">
        <f t="shared" si="17"/>
        <v>18.963979146000003</v>
      </c>
      <c r="AF137" s="9"/>
      <c r="AG137" s="22">
        <v>0.539551</v>
      </c>
      <c r="AH137" s="22">
        <v>365.661</v>
      </c>
      <c r="AI137" s="22">
        <v>-1.6897599999999999E-2</v>
      </c>
      <c r="AJ137" s="22">
        <v>127</v>
      </c>
      <c r="AK137" s="22">
        <v>0.53884900000000002</v>
      </c>
      <c r="AL137">
        <f t="shared" si="18"/>
        <v>16.897599999999997</v>
      </c>
      <c r="AM137">
        <f t="shared" si="19"/>
        <v>9.1171169775999985</v>
      </c>
      <c r="AP137" s="9"/>
      <c r="AQ137" s="22">
        <v>1.1604300000000001</v>
      </c>
      <c r="AR137" s="22">
        <v>454.96199999999999</v>
      </c>
      <c r="AS137" s="22">
        <v>-1.6235400000000001E-2</v>
      </c>
      <c r="AT137" s="22">
        <v>127</v>
      </c>
      <c r="AU137" s="22">
        <v>1.1593599999999999</v>
      </c>
      <c r="AV137">
        <f t="shared" si="20"/>
        <v>16.235400000000002</v>
      </c>
      <c r="AW137">
        <f t="shared" si="21"/>
        <v>18.840045222000004</v>
      </c>
      <c r="AX137" s="9"/>
      <c r="AY137" s="22">
        <v>0.539551</v>
      </c>
      <c r="AZ137" s="22">
        <v>531.98800000000006</v>
      </c>
      <c r="BA137" s="22">
        <v>-1.67999E-2</v>
      </c>
      <c r="BB137" s="22">
        <v>127</v>
      </c>
      <c r="BC137" s="22">
        <v>0.53884900000000002</v>
      </c>
      <c r="BD137">
        <f t="shared" si="22"/>
        <v>16.799900000000001</v>
      </c>
      <c r="BE137">
        <f t="shared" si="23"/>
        <v>9.0644028449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88.662899999999993</v>
      </c>
      <c r="I138" s="22">
        <v>-1.6421499999999999E-2</v>
      </c>
      <c r="J138" s="22">
        <v>128</v>
      </c>
      <c r="K138" s="22">
        <v>1.15448</v>
      </c>
      <c r="L138">
        <f t="shared" si="12"/>
        <v>16.421499999999998</v>
      </c>
      <c r="M138">
        <f t="shared" si="13"/>
        <v>18.973401099999997</v>
      </c>
      <c r="N138" s="9"/>
      <c r="O138" s="22">
        <v>0.54458600000000001</v>
      </c>
      <c r="P138" s="22">
        <v>182.626</v>
      </c>
      <c r="Q138" s="22">
        <v>-1.69464E-2</v>
      </c>
      <c r="R138" s="22">
        <v>128</v>
      </c>
      <c r="S138" s="22">
        <v>0.54385399999999995</v>
      </c>
      <c r="T138">
        <f t="shared" si="14"/>
        <v>16.946400000000001</v>
      </c>
      <c r="U138">
        <f t="shared" si="15"/>
        <v>9.2287721904000009</v>
      </c>
      <c r="X138" s="9"/>
      <c r="Y138" s="22">
        <v>1.1554</v>
      </c>
      <c r="Z138" s="22">
        <v>300.39499999999998</v>
      </c>
      <c r="AA138" s="22">
        <v>-1.63635E-2</v>
      </c>
      <c r="AB138" s="22">
        <v>128</v>
      </c>
      <c r="AC138" s="22">
        <v>1.15479</v>
      </c>
      <c r="AD138">
        <f t="shared" si="16"/>
        <v>16.363499999999998</v>
      </c>
      <c r="AE138">
        <f t="shared" si="17"/>
        <v>18.906387899999999</v>
      </c>
      <c r="AF138" s="9"/>
      <c r="AG138" s="22">
        <v>0.54458600000000001</v>
      </c>
      <c r="AH138" s="22">
        <v>365.762</v>
      </c>
      <c r="AI138" s="22">
        <v>-1.6897599999999999E-2</v>
      </c>
      <c r="AJ138" s="22">
        <v>128</v>
      </c>
      <c r="AK138" s="22">
        <v>0.54394500000000001</v>
      </c>
      <c r="AL138">
        <f t="shared" si="18"/>
        <v>16.897599999999997</v>
      </c>
      <c r="AM138">
        <f t="shared" si="19"/>
        <v>9.2021963935999995</v>
      </c>
      <c r="AP138" s="9"/>
      <c r="AQ138" s="22">
        <v>1.1554</v>
      </c>
      <c r="AR138" s="22">
        <v>455.06299999999999</v>
      </c>
      <c r="AS138" s="22">
        <v>-1.62506E-2</v>
      </c>
      <c r="AT138" s="22">
        <v>128</v>
      </c>
      <c r="AU138" s="22">
        <v>1.15448</v>
      </c>
      <c r="AV138">
        <f t="shared" si="20"/>
        <v>16.250600000000002</v>
      </c>
      <c r="AW138">
        <f t="shared" si="21"/>
        <v>18.775943240000004</v>
      </c>
      <c r="AX138" s="9"/>
      <c r="AY138" s="22">
        <v>0.54458600000000001</v>
      </c>
      <c r="AZ138" s="22">
        <v>532.08799999999997</v>
      </c>
      <c r="BA138" s="22">
        <v>-1.6802999999999998E-2</v>
      </c>
      <c r="BB138" s="22">
        <v>128</v>
      </c>
      <c r="BC138" s="22">
        <v>0.54385399999999995</v>
      </c>
      <c r="BD138">
        <f t="shared" si="22"/>
        <v>16.802999999999997</v>
      </c>
      <c r="BE138">
        <f t="shared" si="23"/>
        <v>9.1506785579999992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88.763599999999997</v>
      </c>
      <c r="I139" s="22">
        <v>-1.6436800000000001E-2</v>
      </c>
      <c r="J139" s="22">
        <v>129</v>
      </c>
      <c r="K139" s="22">
        <v>1.1496</v>
      </c>
      <c r="L139">
        <f t="shared" si="12"/>
        <v>16.436800000000002</v>
      </c>
      <c r="M139">
        <f t="shared" si="13"/>
        <v>18.908237248000002</v>
      </c>
      <c r="N139" s="9"/>
      <c r="O139" s="22">
        <v>0.54962200000000005</v>
      </c>
      <c r="P139" s="22">
        <v>182.727</v>
      </c>
      <c r="Q139" s="22">
        <v>-1.69342E-2</v>
      </c>
      <c r="R139" s="22">
        <v>129</v>
      </c>
      <c r="S139" s="22">
        <v>0.54895000000000005</v>
      </c>
      <c r="T139">
        <f t="shared" si="14"/>
        <v>16.934200000000001</v>
      </c>
      <c r="U139">
        <f t="shared" si="15"/>
        <v>9.3074088724000017</v>
      </c>
      <c r="X139" s="9"/>
      <c r="Y139" s="22">
        <v>1.15036</v>
      </c>
      <c r="Z139" s="22">
        <v>300.49599999999998</v>
      </c>
      <c r="AA139" s="22">
        <v>-1.63635E-2</v>
      </c>
      <c r="AB139" s="22">
        <v>129</v>
      </c>
      <c r="AC139" s="22">
        <v>1.14899</v>
      </c>
      <c r="AD139">
        <f t="shared" si="16"/>
        <v>16.363499999999998</v>
      </c>
      <c r="AE139">
        <f t="shared" si="17"/>
        <v>18.82391586</v>
      </c>
      <c r="AF139" s="9"/>
      <c r="AG139" s="22">
        <v>0.54962200000000005</v>
      </c>
      <c r="AH139" s="22">
        <v>365.86200000000002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1.15036</v>
      </c>
      <c r="AR139" s="22">
        <v>455.16399999999999</v>
      </c>
      <c r="AS139" s="22">
        <v>-1.6247600000000001E-2</v>
      </c>
      <c r="AT139" s="22">
        <v>129</v>
      </c>
      <c r="AU139" s="22">
        <v>1.1496</v>
      </c>
      <c r="AV139">
        <f t="shared" si="20"/>
        <v>16.247600000000002</v>
      </c>
      <c r="AW139">
        <f t="shared" si="21"/>
        <v>18.690589136000003</v>
      </c>
      <c r="AX139" s="9"/>
      <c r="AY139" s="22">
        <v>0.54962200000000005</v>
      </c>
      <c r="AZ139" s="22">
        <v>532.18899999999996</v>
      </c>
      <c r="BA139" s="22">
        <v>-1.67999E-2</v>
      </c>
      <c r="BB139" s="22">
        <v>129</v>
      </c>
      <c r="BC139" s="22">
        <v>0.54904200000000003</v>
      </c>
      <c r="BD139">
        <f t="shared" si="22"/>
        <v>16.799900000000001</v>
      </c>
      <c r="BE139">
        <f t="shared" si="23"/>
        <v>9.2335946378000013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88.8643</v>
      </c>
      <c r="I140" s="22">
        <v>-1.6418499999999999E-2</v>
      </c>
      <c r="J140" s="22">
        <v>130</v>
      </c>
      <c r="K140" s="22">
        <v>1.1440999999999999</v>
      </c>
      <c r="L140">
        <f t="shared" ref="L140:L203" si="24">-I140/$F$2*1000</f>
        <v>16.418499999999998</v>
      </c>
      <c r="M140">
        <f t="shared" ref="M140:M203" si="25">L140*G140</f>
        <v>18.804436419999995</v>
      </c>
      <c r="N140" s="9"/>
      <c r="O140" s="22">
        <v>0.55465699999999996</v>
      </c>
      <c r="P140" s="22">
        <v>182.828</v>
      </c>
      <c r="Q140" s="22">
        <v>-1.6924999999999999E-2</v>
      </c>
      <c r="R140" s="22">
        <v>130</v>
      </c>
      <c r="S140" s="22">
        <v>0.553894</v>
      </c>
      <c r="T140">
        <f t="shared" ref="T140:T203" si="26">-Q140/$F$2*1000</f>
        <v>16.925000000000001</v>
      </c>
      <c r="U140">
        <f t="shared" ref="U140:U203" si="27">T140*O140</f>
        <v>9.3875697249999988</v>
      </c>
      <c r="X140" s="9"/>
      <c r="Y140" s="22">
        <v>1.1453199999999999</v>
      </c>
      <c r="Z140" s="22">
        <v>300.59699999999998</v>
      </c>
      <c r="AA140" s="22">
        <v>-1.63483E-2</v>
      </c>
      <c r="AB140" s="22">
        <v>130</v>
      </c>
      <c r="AC140" s="22">
        <v>1.1447099999999999</v>
      </c>
      <c r="AD140">
        <f t="shared" ref="AD140:AD203" si="28">-AA140/$F$2*1000</f>
        <v>16.348299999999998</v>
      </c>
      <c r="AE140">
        <f t="shared" ref="AE140:AE203" si="29">AD140*Y140</f>
        <v>18.724034955999997</v>
      </c>
      <c r="AF140" s="9"/>
      <c r="AG140" s="22">
        <v>0.55465699999999996</v>
      </c>
      <c r="AH140" s="22">
        <v>365.96300000000002</v>
      </c>
      <c r="AI140" s="22">
        <v>-1.6882299999999999E-2</v>
      </c>
      <c r="AJ140" s="22">
        <v>130</v>
      </c>
      <c r="AK140" s="22">
        <v>0.553894</v>
      </c>
      <c r="AL140">
        <f t="shared" ref="AL140:AL203" si="30">-AI140/$F$2*1000</f>
        <v>16.882300000000001</v>
      </c>
      <c r="AM140">
        <f t="shared" ref="AM140:AM203" si="31">AL140*AG140</f>
        <v>9.363885871099999</v>
      </c>
      <c r="AP140" s="9"/>
      <c r="AQ140" s="22">
        <v>1.1453199999999999</v>
      </c>
      <c r="AR140" s="22">
        <v>455.26400000000001</v>
      </c>
      <c r="AS140" s="22">
        <v>-1.6256699999999999E-2</v>
      </c>
      <c r="AT140" s="22">
        <v>130</v>
      </c>
      <c r="AU140" s="22">
        <v>1.1444099999999999</v>
      </c>
      <c r="AV140">
        <f t="shared" ref="AV140:AV203" si="32">-AS140/$F$2*1000</f>
        <v>16.256699999999999</v>
      </c>
      <c r="AW140">
        <f t="shared" ref="AW140:AW203" si="33">AV140*AQ140</f>
        <v>18.619123643999998</v>
      </c>
      <c r="AX140" s="9"/>
      <c r="AY140" s="22">
        <v>0.55465699999999996</v>
      </c>
      <c r="AZ140" s="22">
        <v>532.29</v>
      </c>
      <c r="BA140" s="22">
        <v>-1.6790800000000002E-2</v>
      </c>
      <c r="BB140" s="22">
        <v>130</v>
      </c>
      <c r="BC140" s="22">
        <v>0.55395499999999998</v>
      </c>
      <c r="BD140">
        <f t="shared" ref="BD140:BD203" si="34">-BA140/$F$2*1000</f>
        <v>16.790800000000001</v>
      </c>
      <c r="BE140">
        <f t="shared" ref="BE140:BE203" si="35">BD140*AY140</f>
        <v>9.3131347556000001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88.965000000000003</v>
      </c>
      <c r="I141" s="22">
        <v>-1.6433699999999999E-2</v>
      </c>
      <c r="J141" s="22">
        <v>131</v>
      </c>
      <c r="K141" s="22">
        <v>1.1389199999999999</v>
      </c>
      <c r="L141">
        <f t="shared" si="24"/>
        <v>16.433699999999998</v>
      </c>
      <c r="M141">
        <f t="shared" si="25"/>
        <v>18.739183772999997</v>
      </c>
      <c r="N141" s="9"/>
      <c r="O141" s="22">
        <v>0.55969199999999997</v>
      </c>
      <c r="P141" s="22">
        <v>182.929</v>
      </c>
      <c r="Q141" s="22">
        <v>-1.69342E-2</v>
      </c>
      <c r="R141" s="22">
        <v>131</v>
      </c>
      <c r="S141" s="22">
        <v>0.55902099999999999</v>
      </c>
      <c r="T141">
        <f t="shared" si="26"/>
        <v>16.934200000000001</v>
      </c>
      <c r="U141">
        <f t="shared" si="27"/>
        <v>9.4779362664000004</v>
      </c>
      <c r="X141" s="9"/>
      <c r="Y141" s="22">
        <v>1.14029</v>
      </c>
      <c r="Z141" s="22">
        <v>300.69799999999998</v>
      </c>
      <c r="AA141" s="22">
        <v>-1.6381799999999998E-2</v>
      </c>
      <c r="AB141" s="22">
        <v>131</v>
      </c>
      <c r="AC141" s="22">
        <v>1.1389199999999999</v>
      </c>
      <c r="AD141">
        <f t="shared" si="28"/>
        <v>16.381799999999998</v>
      </c>
      <c r="AE141">
        <f t="shared" si="29"/>
        <v>18.680002721999998</v>
      </c>
      <c r="AF141" s="9"/>
      <c r="AG141" s="22">
        <v>0.55969199999999997</v>
      </c>
      <c r="AH141" s="22">
        <v>366.06400000000002</v>
      </c>
      <c r="AI141" s="22">
        <v>-1.68915E-2</v>
      </c>
      <c r="AJ141" s="22">
        <v>131</v>
      </c>
      <c r="AK141" s="22">
        <v>0.55902099999999999</v>
      </c>
      <c r="AL141">
        <f t="shared" si="30"/>
        <v>16.891500000000001</v>
      </c>
      <c r="AM141">
        <f t="shared" si="31"/>
        <v>9.4540374180000004</v>
      </c>
      <c r="AP141" s="9"/>
      <c r="AQ141" s="22">
        <v>1.14029</v>
      </c>
      <c r="AR141" s="22">
        <v>455.36500000000001</v>
      </c>
      <c r="AS141" s="22">
        <v>-1.6262800000000001E-2</v>
      </c>
      <c r="AT141" s="22">
        <v>131</v>
      </c>
      <c r="AU141" s="22">
        <v>1.1386099999999999</v>
      </c>
      <c r="AV141">
        <f t="shared" si="32"/>
        <v>16.262800000000002</v>
      </c>
      <c r="AW141">
        <f t="shared" si="33"/>
        <v>18.544308212000004</v>
      </c>
      <c r="AX141" s="9"/>
      <c r="AY141" s="22">
        <v>0.55969199999999997</v>
      </c>
      <c r="AZ141" s="22">
        <v>532.39</v>
      </c>
      <c r="BA141" s="22">
        <v>-1.6793800000000001E-2</v>
      </c>
      <c r="BB141" s="22">
        <v>131</v>
      </c>
      <c r="BC141" s="22">
        <v>0.55905199999999999</v>
      </c>
      <c r="BD141">
        <f t="shared" si="34"/>
        <v>16.793800000000001</v>
      </c>
      <c r="BE141">
        <f t="shared" si="35"/>
        <v>9.3993555095999994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89.065700000000007</v>
      </c>
      <c r="I142" s="22">
        <v>-1.6430699999999999E-2</v>
      </c>
      <c r="J142" s="22">
        <v>132</v>
      </c>
      <c r="K142" s="22">
        <v>1.1346400000000001</v>
      </c>
      <c r="L142">
        <f t="shared" si="24"/>
        <v>16.430699999999998</v>
      </c>
      <c r="M142">
        <f t="shared" si="25"/>
        <v>18.652952174999999</v>
      </c>
      <c r="N142" s="9"/>
      <c r="O142" s="22">
        <v>0.56472800000000001</v>
      </c>
      <c r="P142" s="22">
        <v>183.029</v>
      </c>
      <c r="Q142" s="22">
        <v>-1.6949499999999999E-2</v>
      </c>
      <c r="R142" s="22">
        <v>132</v>
      </c>
      <c r="S142" s="22">
        <v>0.56408700000000001</v>
      </c>
      <c r="T142">
        <f t="shared" si="26"/>
        <v>16.9495</v>
      </c>
      <c r="U142">
        <f t="shared" si="27"/>
        <v>9.5718572359999996</v>
      </c>
      <c r="X142" s="9"/>
      <c r="Y142" s="22">
        <v>1.1352500000000001</v>
      </c>
      <c r="Z142" s="22">
        <v>300.798</v>
      </c>
      <c r="AA142" s="22">
        <v>-1.6409300000000002E-2</v>
      </c>
      <c r="AB142" s="22">
        <v>132</v>
      </c>
      <c r="AC142" s="22">
        <v>1.1346400000000001</v>
      </c>
      <c r="AD142">
        <f t="shared" si="28"/>
        <v>16.409300000000002</v>
      </c>
      <c r="AE142">
        <f t="shared" si="29"/>
        <v>18.628657825000005</v>
      </c>
      <c r="AF142" s="9"/>
      <c r="AG142" s="22">
        <v>0.56472800000000001</v>
      </c>
      <c r="AH142" s="22">
        <v>366.16399999999999</v>
      </c>
      <c r="AI142" s="22">
        <v>-1.6888400000000001E-2</v>
      </c>
      <c r="AJ142" s="22">
        <v>132</v>
      </c>
      <c r="AK142" s="22">
        <v>0.56387299999999996</v>
      </c>
      <c r="AL142">
        <f t="shared" si="30"/>
        <v>16.888400000000001</v>
      </c>
      <c r="AM142">
        <f t="shared" si="31"/>
        <v>9.5373523552000012</v>
      </c>
      <c r="AP142" s="9"/>
      <c r="AQ142" s="22">
        <v>1.1352500000000001</v>
      </c>
      <c r="AR142" s="22">
        <v>455.46600000000001</v>
      </c>
      <c r="AS142" s="22">
        <v>-1.6287200000000002E-2</v>
      </c>
      <c r="AT142" s="22">
        <v>132</v>
      </c>
      <c r="AU142" s="22">
        <v>1.1343399999999999</v>
      </c>
      <c r="AV142">
        <f t="shared" si="32"/>
        <v>16.287200000000002</v>
      </c>
      <c r="AW142">
        <f t="shared" si="33"/>
        <v>18.490043800000002</v>
      </c>
      <c r="AX142" s="9"/>
      <c r="AY142" s="22">
        <v>0.56472800000000001</v>
      </c>
      <c r="AZ142" s="22">
        <v>532.49099999999999</v>
      </c>
      <c r="BA142" s="22">
        <v>-1.6781600000000001E-2</v>
      </c>
      <c r="BB142" s="22">
        <v>132</v>
      </c>
      <c r="BC142" s="22">
        <v>0.56402600000000003</v>
      </c>
      <c r="BD142">
        <f t="shared" si="34"/>
        <v>16.781600000000001</v>
      </c>
      <c r="BE142">
        <f t="shared" si="35"/>
        <v>9.4770394048000011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89.166399999999996</v>
      </c>
      <c r="I143" s="22">
        <v>-1.6448999999999998E-2</v>
      </c>
      <c r="J143" s="22">
        <v>133</v>
      </c>
      <c r="K143" s="22">
        <v>1.1291500000000001</v>
      </c>
      <c r="L143">
        <f t="shared" si="24"/>
        <v>16.448999999999998</v>
      </c>
      <c r="M143">
        <f t="shared" si="25"/>
        <v>18.590988779999996</v>
      </c>
      <c r="N143" s="9"/>
      <c r="O143" s="22">
        <v>0.56976300000000002</v>
      </c>
      <c r="P143" s="22">
        <v>183.13</v>
      </c>
      <c r="Q143" s="22">
        <v>-1.69464E-2</v>
      </c>
      <c r="R143" s="22">
        <v>133</v>
      </c>
      <c r="S143" s="22">
        <v>0.56899999999999995</v>
      </c>
      <c r="T143">
        <f t="shared" si="26"/>
        <v>16.946400000000001</v>
      </c>
      <c r="U143">
        <f t="shared" si="27"/>
        <v>9.6554317032000014</v>
      </c>
      <c r="X143" s="9"/>
      <c r="Y143" s="22">
        <v>1.13022</v>
      </c>
      <c r="Z143" s="22">
        <v>300.899</v>
      </c>
      <c r="AA143" s="22">
        <v>-1.6412400000000001E-2</v>
      </c>
      <c r="AB143" s="22">
        <v>133</v>
      </c>
      <c r="AC143" s="22">
        <v>1.1297600000000001</v>
      </c>
      <c r="AD143">
        <f t="shared" si="28"/>
        <v>16.412400000000002</v>
      </c>
      <c r="AE143">
        <f t="shared" si="29"/>
        <v>18.549622728000003</v>
      </c>
      <c r="AF143" s="9"/>
      <c r="AG143" s="22">
        <v>0.56976300000000002</v>
      </c>
      <c r="AH143" s="22">
        <v>366.26499999999999</v>
      </c>
      <c r="AI143" s="22">
        <v>-1.6885399999999998E-2</v>
      </c>
      <c r="AJ143" s="22">
        <v>133</v>
      </c>
      <c r="AK143" s="22">
        <v>0.569214</v>
      </c>
      <c r="AL143">
        <f t="shared" si="30"/>
        <v>16.885399999999997</v>
      </c>
      <c r="AM143">
        <f t="shared" si="31"/>
        <v>9.6206761601999986</v>
      </c>
      <c r="AP143" s="9"/>
      <c r="AQ143" s="22">
        <v>1.13022</v>
      </c>
      <c r="AR143" s="22">
        <v>455.56700000000001</v>
      </c>
      <c r="AS143" s="22">
        <v>-1.62811E-2</v>
      </c>
      <c r="AT143" s="22">
        <v>133</v>
      </c>
      <c r="AU143" s="22">
        <v>1.1297600000000001</v>
      </c>
      <c r="AV143">
        <f t="shared" si="32"/>
        <v>16.281099999999999</v>
      </c>
      <c r="AW143">
        <f t="shared" si="33"/>
        <v>18.401224841999998</v>
      </c>
      <c r="AX143" s="9"/>
      <c r="AY143" s="22">
        <v>0.56976300000000002</v>
      </c>
      <c r="AZ143" s="22">
        <v>532.59199999999998</v>
      </c>
      <c r="BA143" s="22">
        <v>-1.67969E-2</v>
      </c>
      <c r="BB143" s="22">
        <v>133</v>
      </c>
      <c r="BC143" s="22">
        <v>0.56912200000000002</v>
      </c>
      <c r="BD143">
        <f t="shared" si="34"/>
        <v>16.796900000000001</v>
      </c>
      <c r="BE143">
        <f t="shared" si="35"/>
        <v>9.5702521347000005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89.267099999999999</v>
      </c>
      <c r="I144" s="22">
        <v>-1.6445899999999999E-2</v>
      </c>
      <c r="J144" s="22">
        <v>134</v>
      </c>
      <c r="K144" s="22">
        <v>1.1245700000000001</v>
      </c>
      <c r="L144">
        <f t="shared" si="24"/>
        <v>16.445899999999998</v>
      </c>
      <c r="M144">
        <f t="shared" si="25"/>
        <v>18.504597762</v>
      </c>
      <c r="N144" s="9"/>
      <c r="O144" s="22">
        <v>0.57479899999999995</v>
      </c>
      <c r="P144" s="22">
        <v>183.23099999999999</v>
      </c>
      <c r="Q144" s="22">
        <v>-1.6937299999999999E-2</v>
      </c>
      <c r="R144" s="22">
        <v>134</v>
      </c>
      <c r="S144" s="22">
        <v>0.57409699999999997</v>
      </c>
      <c r="T144">
        <f t="shared" si="26"/>
        <v>16.9373</v>
      </c>
      <c r="U144">
        <f t="shared" si="27"/>
        <v>9.7355431026999995</v>
      </c>
      <c r="X144" s="9"/>
      <c r="Y144" s="22">
        <v>1.1251800000000001</v>
      </c>
      <c r="Z144" s="22">
        <v>301</v>
      </c>
      <c r="AA144" s="22">
        <v>-1.6409300000000002E-2</v>
      </c>
      <c r="AB144" s="22">
        <v>134</v>
      </c>
      <c r="AC144" s="22">
        <v>1.1245700000000001</v>
      </c>
      <c r="AD144">
        <f t="shared" si="28"/>
        <v>16.409300000000002</v>
      </c>
      <c r="AE144">
        <f t="shared" si="29"/>
        <v>18.463416174000002</v>
      </c>
      <c r="AF144" s="9"/>
      <c r="AG144" s="22">
        <v>0.57479899999999995</v>
      </c>
      <c r="AH144" s="22">
        <v>366.36599999999999</v>
      </c>
      <c r="AI144" s="22">
        <v>-1.6873200000000001E-2</v>
      </c>
      <c r="AJ144" s="22">
        <v>134</v>
      </c>
      <c r="AK144" s="22">
        <v>0.57418800000000003</v>
      </c>
      <c r="AL144">
        <f t="shared" si="30"/>
        <v>16.873200000000001</v>
      </c>
      <c r="AM144">
        <f t="shared" si="31"/>
        <v>9.6986984867999997</v>
      </c>
      <c r="AP144" s="9"/>
      <c r="AQ144" s="22">
        <v>1.1251800000000001</v>
      </c>
      <c r="AR144" s="22">
        <v>455.66699999999997</v>
      </c>
      <c r="AS144" s="22">
        <v>-1.62811E-2</v>
      </c>
      <c r="AT144" s="22">
        <v>134</v>
      </c>
      <c r="AU144" s="22">
        <v>1.1239600000000001</v>
      </c>
      <c r="AV144">
        <f t="shared" si="32"/>
        <v>16.281099999999999</v>
      </c>
      <c r="AW144">
        <f t="shared" si="33"/>
        <v>18.319168097999999</v>
      </c>
      <c r="AX144" s="9"/>
      <c r="AY144" s="22">
        <v>0.57479899999999995</v>
      </c>
      <c r="AZ144" s="22">
        <v>532.69200000000001</v>
      </c>
      <c r="BA144" s="22">
        <v>-1.6790800000000002E-2</v>
      </c>
      <c r="BB144" s="22">
        <v>134</v>
      </c>
      <c r="BC144" s="22">
        <v>0.57406599999999997</v>
      </c>
      <c r="BD144">
        <f t="shared" si="34"/>
        <v>16.790800000000001</v>
      </c>
      <c r="BE144">
        <f t="shared" si="35"/>
        <v>9.6513350492000001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89.367800000000003</v>
      </c>
      <c r="I145" s="22">
        <v>-1.64551E-2</v>
      </c>
      <c r="J145" s="22">
        <v>135</v>
      </c>
      <c r="K145" s="22">
        <v>1.1196900000000001</v>
      </c>
      <c r="L145">
        <f t="shared" si="24"/>
        <v>16.455100000000002</v>
      </c>
      <c r="M145">
        <f t="shared" si="25"/>
        <v>18.432180265000003</v>
      </c>
      <c r="N145" s="9"/>
      <c r="O145" s="22">
        <v>0.57983399999999996</v>
      </c>
      <c r="P145" s="22">
        <v>183.33099999999999</v>
      </c>
      <c r="Q145" s="22">
        <v>-1.6937299999999999E-2</v>
      </c>
      <c r="R145" s="22">
        <v>135</v>
      </c>
      <c r="S145" s="22">
        <v>0.57916299999999998</v>
      </c>
      <c r="T145">
        <f t="shared" si="26"/>
        <v>16.9373</v>
      </c>
      <c r="U145">
        <f t="shared" si="27"/>
        <v>9.8208224081999997</v>
      </c>
      <c r="X145" s="9"/>
      <c r="Y145" s="22">
        <v>1.12015</v>
      </c>
      <c r="Z145" s="22">
        <v>301.10000000000002</v>
      </c>
      <c r="AA145" s="22">
        <v>-1.6397100000000001E-2</v>
      </c>
      <c r="AB145" s="22">
        <v>135</v>
      </c>
      <c r="AC145" s="22">
        <v>1.11938</v>
      </c>
      <c r="AD145">
        <f t="shared" si="28"/>
        <v>16.397100000000002</v>
      </c>
      <c r="AE145">
        <f t="shared" si="29"/>
        <v>18.367211565000002</v>
      </c>
      <c r="AF145" s="9"/>
      <c r="AG145" s="22">
        <v>0.57983399999999996</v>
      </c>
      <c r="AH145" s="22">
        <v>366.46600000000001</v>
      </c>
      <c r="AI145" s="22">
        <v>-1.6885399999999998E-2</v>
      </c>
      <c r="AJ145" s="22">
        <v>135</v>
      </c>
      <c r="AK145" s="22">
        <v>0.57904100000000003</v>
      </c>
      <c r="AL145">
        <f t="shared" si="30"/>
        <v>16.885399999999997</v>
      </c>
      <c r="AM145">
        <f t="shared" si="31"/>
        <v>9.7907290235999973</v>
      </c>
      <c r="AP145" s="9"/>
      <c r="AQ145" s="22">
        <v>1.12015</v>
      </c>
      <c r="AR145" s="22">
        <v>455.76799999999997</v>
      </c>
      <c r="AS145" s="22">
        <v>-1.6284199999999999E-2</v>
      </c>
      <c r="AT145" s="22">
        <v>135</v>
      </c>
      <c r="AU145" s="22">
        <v>1.1190800000000001</v>
      </c>
      <c r="AV145">
        <f t="shared" si="32"/>
        <v>16.284199999999998</v>
      </c>
      <c r="AW145">
        <f t="shared" si="33"/>
        <v>18.240746629999997</v>
      </c>
      <c r="AX145" s="9"/>
      <c r="AY145" s="22">
        <v>0.57983399999999996</v>
      </c>
      <c r="AZ145" s="22">
        <v>532.79300000000001</v>
      </c>
      <c r="BA145" s="22">
        <v>-1.6787699999999999E-2</v>
      </c>
      <c r="BB145" s="22">
        <v>135</v>
      </c>
      <c r="BC145" s="22">
        <v>0.579071</v>
      </c>
      <c r="BD145">
        <f t="shared" si="34"/>
        <v>16.787699999999997</v>
      </c>
      <c r="BE145">
        <f t="shared" si="35"/>
        <v>9.7340792417999982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89.468599999999995</v>
      </c>
      <c r="I146" s="22">
        <v>-1.6473399999999999E-2</v>
      </c>
      <c r="J146" s="22">
        <v>136</v>
      </c>
      <c r="K146" s="22">
        <v>1.1142000000000001</v>
      </c>
      <c r="L146">
        <f t="shared" si="24"/>
        <v>16.473399999999998</v>
      </c>
      <c r="M146">
        <f t="shared" si="25"/>
        <v>18.369653073999999</v>
      </c>
      <c r="N146" s="9"/>
      <c r="O146" s="22">
        <v>0.58486899999999997</v>
      </c>
      <c r="P146" s="22">
        <v>183.43199999999999</v>
      </c>
      <c r="Q146" s="22">
        <v>-1.6949499999999999E-2</v>
      </c>
      <c r="R146" s="22">
        <v>136</v>
      </c>
      <c r="S146" s="22">
        <v>0.58413700000000002</v>
      </c>
      <c r="T146">
        <f t="shared" si="26"/>
        <v>16.9495</v>
      </c>
      <c r="U146">
        <f t="shared" si="27"/>
        <v>9.9132371154999994</v>
      </c>
      <c r="X146" s="9"/>
      <c r="Y146" s="22">
        <v>1.11511</v>
      </c>
      <c r="Z146" s="22">
        <v>301.20100000000002</v>
      </c>
      <c r="AA146" s="22">
        <v>-1.6400100000000001E-2</v>
      </c>
      <c r="AB146" s="22">
        <v>136</v>
      </c>
      <c r="AC146" s="22">
        <v>1.11389</v>
      </c>
      <c r="AD146">
        <f t="shared" si="28"/>
        <v>16.400100000000002</v>
      </c>
      <c r="AE146">
        <f t="shared" si="29"/>
        <v>18.287915511000001</v>
      </c>
      <c r="AF146" s="9"/>
      <c r="AG146" s="22">
        <v>0.58486899999999997</v>
      </c>
      <c r="AH146" s="22">
        <v>366.56700000000001</v>
      </c>
      <c r="AI146" s="22">
        <v>-1.68915E-2</v>
      </c>
      <c r="AJ146" s="22">
        <v>136</v>
      </c>
      <c r="AK146" s="22">
        <v>0.58435099999999995</v>
      </c>
      <c r="AL146">
        <f t="shared" si="30"/>
        <v>16.891500000000001</v>
      </c>
      <c r="AM146">
        <f t="shared" si="31"/>
        <v>9.8793147134999995</v>
      </c>
      <c r="AP146" s="9"/>
      <c r="AQ146" s="22">
        <v>1.11511</v>
      </c>
      <c r="AR146" s="22">
        <v>455.86900000000003</v>
      </c>
      <c r="AS146" s="22">
        <v>-1.6308599999999999E-2</v>
      </c>
      <c r="AT146" s="22">
        <v>136</v>
      </c>
      <c r="AU146" s="22">
        <v>1.11389</v>
      </c>
      <c r="AV146">
        <f t="shared" si="32"/>
        <v>16.308599999999998</v>
      </c>
      <c r="AW146">
        <f t="shared" si="33"/>
        <v>18.185882946</v>
      </c>
      <c r="AX146" s="9"/>
      <c r="AY146" s="22">
        <v>0.58486899999999997</v>
      </c>
      <c r="AZ146" s="22">
        <v>532.89400000000001</v>
      </c>
      <c r="BA146" s="22">
        <v>-1.6793800000000001E-2</v>
      </c>
      <c r="BB146" s="22">
        <v>136</v>
      </c>
      <c r="BC146" s="22">
        <v>0.58416699999999999</v>
      </c>
      <c r="BD146">
        <f t="shared" si="34"/>
        <v>16.793800000000001</v>
      </c>
      <c r="BE146">
        <f t="shared" si="35"/>
        <v>9.8221730122000004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89.569299999999998</v>
      </c>
      <c r="I147" s="22">
        <v>-1.64856E-2</v>
      </c>
      <c r="J147" s="22">
        <v>137</v>
      </c>
      <c r="K147" s="22">
        <v>1.1096200000000001</v>
      </c>
      <c r="L147">
        <f t="shared" si="24"/>
        <v>16.485599999999998</v>
      </c>
      <c r="M147">
        <f t="shared" si="25"/>
        <v>18.300334847999999</v>
      </c>
      <c r="N147" s="9"/>
      <c r="O147" s="22">
        <v>0.58990500000000001</v>
      </c>
      <c r="P147" s="22">
        <v>183.53299999999999</v>
      </c>
      <c r="Q147" s="22">
        <v>-1.6943400000000001E-2</v>
      </c>
      <c r="R147" s="22">
        <v>137</v>
      </c>
      <c r="S147" s="22">
        <v>0.58920300000000003</v>
      </c>
      <c r="T147">
        <f t="shared" si="26"/>
        <v>16.9434</v>
      </c>
      <c r="U147">
        <f t="shared" si="27"/>
        <v>9.9949963769999997</v>
      </c>
      <c r="X147" s="9"/>
      <c r="Y147" s="22">
        <v>1.11008</v>
      </c>
      <c r="Z147" s="22">
        <v>301.30200000000002</v>
      </c>
      <c r="AA147" s="22">
        <v>-1.6393999999999999E-2</v>
      </c>
      <c r="AB147" s="22">
        <v>137</v>
      </c>
      <c r="AC147" s="22">
        <v>1.1087</v>
      </c>
      <c r="AD147">
        <f t="shared" si="28"/>
        <v>16.393999999999998</v>
      </c>
      <c r="AE147">
        <f t="shared" si="29"/>
        <v>18.198651519999999</v>
      </c>
      <c r="AF147" s="9"/>
      <c r="AG147" s="22">
        <v>0.58990500000000001</v>
      </c>
      <c r="AH147" s="22">
        <v>366.66800000000001</v>
      </c>
      <c r="AI147" s="22">
        <v>-1.6867099999999999E-2</v>
      </c>
      <c r="AJ147" s="22">
        <v>137</v>
      </c>
      <c r="AK147" s="22">
        <v>0.58932499999999999</v>
      </c>
      <c r="AL147">
        <f t="shared" si="30"/>
        <v>16.867100000000001</v>
      </c>
      <c r="AM147">
        <f t="shared" si="31"/>
        <v>9.9499866255000011</v>
      </c>
      <c r="AP147" s="9"/>
      <c r="AQ147" s="22">
        <v>1.11008</v>
      </c>
      <c r="AR147" s="22">
        <v>455.96899999999999</v>
      </c>
      <c r="AS147" s="22">
        <v>-1.63208E-2</v>
      </c>
      <c r="AT147" s="22">
        <v>137</v>
      </c>
      <c r="AU147" s="22">
        <v>1.1090100000000001</v>
      </c>
      <c r="AV147">
        <f t="shared" si="32"/>
        <v>16.320799999999998</v>
      </c>
      <c r="AW147">
        <f t="shared" si="33"/>
        <v>18.117393663999998</v>
      </c>
      <c r="AX147" s="9"/>
      <c r="AY147" s="22">
        <v>0.58990500000000001</v>
      </c>
      <c r="AZ147" s="22">
        <v>532.995</v>
      </c>
      <c r="BA147" s="22">
        <v>-1.6778600000000001E-2</v>
      </c>
      <c r="BB147" s="22">
        <v>137</v>
      </c>
      <c r="BC147" s="22">
        <v>0.58926400000000001</v>
      </c>
      <c r="BD147">
        <f t="shared" si="34"/>
        <v>16.778600000000001</v>
      </c>
      <c r="BE147">
        <f t="shared" si="35"/>
        <v>9.8977800330000001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89.67</v>
      </c>
      <c r="I148" s="22">
        <v>-1.6476399999999999E-2</v>
      </c>
      <c r="J148" s="22">
        <v>138</v>
      </c>
      <c r="K148" s="22">
        <v>1.1041300000000001</v>
      </c>
      <c r="L148">
        <f t="shared" si="24"/>
        <v>16.476399999999998</v>
      </c>
      <c r="M148">
        <f t="shared" si="25"/>
        <v>18.207081056</v>
      </c>
      <c r="N148" s="9"/>
      <c r="O148" s="22">
        <v>0.59494000000000002</v>
      </c>
      <c r="P148" s="22">
        <v>183.63399999999999</v>
      </c>
      <c r="Q148" s="22">
        <v>-1.69312E-2</v>
      </c>
      <c r="R148" s="22">
        <v>138</v>
      </c>
      <c r="S148" s="22">
        <v>0.594055</v>
      </c>
      <c r="T148">
        <f t="shared" si="26"/>
        <v>16.9312</v>
      </c>
      <c r="U148">
        <f t="shared" si="27"/>
        <v>10.073048128</v>
      </c>
      <c r="X148" s="9"/>
      <c r="Y148" s="22">
        <v>1.10504</v>
      </c>
      <c r="Z148" s="22">
        <v>301.40300000000002</v>
      </c>
      <c r="AA148" s="22">
        <v>-1.64154E-2</v>
      </c>
      <c r="AB148" s="22">
        <v>138</v>
      </c>
      <c r="AC148" s="22">
        <v>1.10382</v>
      </c>
      <c r="AD148">
        <f t="shared" si="28"/>
        <v>16.415400000000002</v>
      </c>
      <c r="AE148">
        <f t="shared" si="29"/>
        <v>18.139673616000003</v>
      </c>
      <c r="AF148" s="9"/>
      <c r="AG148" s="22">
        <v>0.59494000000000002</v>
      </c>
      <c r="AH148" s="22">
        <v>366.76900000000001</v>
      </c>
      <c r="AI148" s="22">
        <v>-1.6882299999999999E-2</v>
      </c>
      <c r="AJ148" s="22">
        <v>138</v>
      </c>
      <c r="AK148" s="22">
        <v>0.59423800000000004</v>
      </c>
      <c r="AL148">
        <f t="shared" si="30"/>
        <v>16.882300000000001</v>
      </c>
      <c r="AM148">
        <f t="shared" si="31"/>
        <v>10.043955562000001</v>
      </c>
      <c r="AP148" s="9"/>
      <c r="AQ148" s="22">
        <v>1.10504</v>
      </c>
      <c r="AR148" s="22">
        <v>456.07</v>
      </c>
      <c r="AS148" s="22">
        <v>-1.6317700000000001E-2</v>
      </c>
      <c r="AT148" s="22">
        <v>138</v>
      </c>
      <c r="AU148" s="22">
        <v>1.1041300000000001</v>
      </c>
      <c r="AV148">
        <f t="shared" si="32"/>
        <v>16.317700000000002</v>
      </c>
      <c r="AW148">
        <f t="shared" si="33"/>
        <v>18.031711208000004</v>
      </c>
      <c r="AX148" s="9"/>
      <c r="AY148" s="22">
        <v>0.59494000000000002</v>
      </c>
      <c r="AZ148" s="22">
        <v>533.09500000000003</v>
      </c>
      <c r="BA148" s="22">
        <v>-1.6778600000000001E-2</v>
      </c>
      <c r="BB148" s="22">
        <v>138</v>
      </c>
      <c r="BC148" s="22">
        <v>0.59426900000000005</v>
      </c>
      <c r="BD148">
        <f t="shared" si="34"/>
        <v>16.778600000000001</v>
      </c>
      <c r="BE148">
        <f t="shared" si="35"/>
        <v>9.9822602840000005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89.770700000000005</v>
      </c>
      <c r="I149" s="22">
        <v>-1.6479500000000001E-2</v>
      </c>
      <c r="J149" s="22">
        <v>139</v>
      </c>
      <c r="K149" s="22">
        <v>1.09924</v>
      </c>
      <c r="L149">
        <f t="shared" si="24"/>
        <v>16.479500000000002</v>
      </c>
      <c r="M149">
        <f t="shared" si="25"/>
        <v>18.127614795</v>
      </c>
      <c r="N149" s="9"/>
      <c r="O149" s="22">
        <v>0.59997599999999995</v>
      </c>
      <c r="P149" s="22">
        <v>183.73400000000001</v>
      </c>
      <c r="Q149" s="22">
        <v>-1.69312E-2</v>
      </c>
      <c r="R149" s="22">
        <v>139</v>
      </c>
      <c r="S149" s="22">
        <v>0.59936500000000004</v>
      </c>
      <c r="T149">
        <f t="shared" si="26"/>
        <v>16.9312</v>
      </c>
      <c r="U149">
        <f t="shared" si="27"/>
        <v>10.1583136512</v>
      </c>
      <c r="X149" s="9"/>
      <c r="Y149" s="22">
        <v>1.1000099999999999</v>
      </c>
      <c r="Z149" s="22">
        <v>301.50299999999999</v>
      </c>
      <c r="AA149" s="22">
        <v>-1.6427600000000001E-2</v>
      </c>
      <c r="AB149" s="22">
        <v>139</v>
      </c>
      <c r="AC149" s="22">
        <v>1.09863</v>
      </c>
      <c r="AD149">
        <f t="shared" si="28"/>
        <v>16.427600000000002</v>
      </c>
      <c r="AE149">
        <f t="shared" si="29"/>
        <v>18.070524276</v>
      </c>
      <c r="AF149" s="9"/>
      <c r="AG149" s="22">
        <v>0.59997599999999995</v>
      </c>
      <c r="AH149" s="22">
        <v>366.86900000000003</v>
      </c>
      <c r="AI149" s="22">
        <v>-1.6867099999999999E-2</v>
      </c>
      <c r="AJ149" s="22">
        <v>139</v>
      </c>
      <c r="AK149" s="22">
        <v>0.59930399999999995</v>
      </c>
      <c r="AL149">
        <f t="shared" si="30"/>
        <v>16.867100000000001</v>
      </c>
      <c r="AM149">
        <f t="shared" si="31"/>
        <v>10.119855189599999</v>
      </c>
      <c r="AP149" s="9"/>
      <c r="AQ149" s="22">
        <v>1.1000099999999999</v>
      </c>
      <c r="AR149" s="22">
        <v>456.17099999999999</v>
      </c>
      <c r="AS149" s="22">
        <v>-1.6305500000000001E-2</v>
      </c>
      <c r="AT149" s="22">
        <v>139</v>
      </c>
      <c r="AU149" s="22">
        <v>1.09924</v>
      </c>
      <c r="AV149">
        <f t="shared" si="32"/>
        <v>16.305500000000002</v>
      </c>
      <c r="AW149">
        <f t="shared" si="33"/>
        <v>17.936213055</v>
      </c>
      <c r="AX149" s="9"/>
      <c r="AY149" s="22">
        <v>0.59997599999999995</v>
      </c>
      <c r="AZ149" s="22">
        <v>533.19600000000003</v>
      </c>
      <c r="BA149" s="22">
        <v>-1.6781600000000001E-2</v>
      </c>
      <c r="BB149" s="22">
        <v>139</v>
      </c>
      <c r="BC149" s="22">
        <v>0.59939600000000004</v>
      </c>
      <c r="BD149">
        <f t="shared" si="34"/>
        <v>16.781600000000001</v>
      </c>
      <c r="BE149">
        <f t="shared" si="35"/>
        <v>10.068557241600001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89.871399999999994</v>
      </c>
      <c r="I150" s="22">
        <v>-1.6479500000000001E-2</v>
      </c>
      <c r="J150" s="22">
        <v>140</v>
      </c>
      <c r="K150" s="22">
        <v>1.09375</v>
      </c>
      <c r="L150">
        <f t="shared" si="24"/>
        <v>16.479500000000002</v>
      </c>
      <c r="M150">
        <f t="shared" si="25"/>
        <v>18.044558115000001</v>
      </c>
      <c r="N150" s="9"/>
      <c r="O150" s="22">
        <v>0.60501099999999997</v>
      </c>
      <c r="P150" s="22">
        <v>183.83500000000001</v>
      </c>
      <c r="Q150" s="22">
        <v>-1.69312E-2</v>
      </c>
      <c r="R150" s="22">
        <v>140</v>
      </c>
      <c r="S150" s="22">
        <v>0.60427900000000001</v>
      </c>
      <c r="T150">
        <f t="shared" si="26"/>
        <v>16.9312</v>
      </c>
      <c r="U150">
        <f t="shared" si="27"/>
        <v>10.2435622432</v>
      </c>
      <c r="X150" s="9"/>
      <c r="Y150" s="22">
        <v>1.09497</v>
      </c>
      <c r="Z150" s="22">
        <v>301.60399999999998</v>
      </c>
      <c r="AA150" s="22">
        <v>-1.6439800000000001E-2</v>
      </c>
      <c r="AB150" s="22">
        <v>140</v>
      </c>
      <c r="AC150" s="22">
        <v>1.09467</v>
      </c>
      <c r="AD150">
        <f t="shared" si="28"/>
        <v>16.439800000000002</v>
      </c>
      <c r="AE150">
        <f t="shared" si="29"/>
        <v>18.001087806000001</v>
      </c>
      <c r="AF150" s="9"/>
      <c r="AG150" s="22">
        <v>0.60501099999999997</v>
      </c>
      <c r="AH150" s="22">
        <v>366.97</v>
      </c>
      <c r="AI150" s="22">
        <v>-1.6864000000000001E-2</v>
      </c>
      <c r="AJ150" s="22">
        <v>140</v>
      </c>
      <c r="AK150" s="22">
        <v>0.60433999999999999</v>
      </c>
      <c r="AL150">
        <f t="shared" si="30"/>
        <v>16.864000000000001</v>
      </c>
      <c r="AM150">
        <f t="shared" si="31"/>
        <v>10.202905504</v>
      </c>
      <c r="AP150" s="9"/>
      <c r="AQ150" s="22">
        <v>1.09497</v>
      </c>
      <c r="AR150" s="22">
        <v>456.27100000000002</v>
      </c>
      <c r="AS150" s="22">
        <v>-1.6323899999999999E-2</v>
      </c>
      <c r="AT150" s="22">
        <v>140</v>
      </c>
      <c r="AU150" s="22">
        <v>1.09436</v>
      </c>
      <c r="AV150">
        <f t="shared" si="32"/>
        <v>16.323899999999998</v>
      </c>
      <c r="AW150">
        <f t="shared" si="33"/>
        <v>17.874180782999996</v>
      </c>
      <c r="AX150" s="9"/>
      <c r="AY150" s="22">
        <v>0.60501099999999997</v>
      </c>
      <c r="AZ150" s="22">
        <v>533.29700000000003</v>
      </c>
      <c r="BA150" s="22">
        <v>-1.6781600000000001E-2</v>
      </c>
      <c r="BB150" s="22">
        <v>140</v>
      </c>
      <c r="BC150" s="22">
        <v>0.60421800000000003</v>
      </c>
      <c r="BD150">
        <f t="shared" si="34"/>
        <v>16.781600000000001</v>
      </c>
      <c r="BE150">
        <f t="shared" si="35"/>
        <v>10.1530525976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89.972099999999998</v>
      </c>
      <c r="I151" s="22">
        <v>-1.64948E-2</v>
      </c>
      <c r="J151" s="22">
        <v>141</v>
      </c>
      <c r="K151" s="22">
        <v>1.08948</v>
      </c>
      <c r="L151">
        <f t="shared" si="24"/>
        <v>16.494800000000001</v>
      </c>
      <c r="M151">
        <f t="shared" si="25"/>
        <v>17.978342311999999</v>
      </c>
      <c r="N151" s="9"/>
      <c r="O151" s="22">
        <v>0.61004599999999998</v>
      </c>
      <c r="P151" s="22">
        <v>183.93600000000001</v>
      </c>
      <c r="Q151" s="22">
        <v>-1.6918900000000001E-2</v>
      </c>
      <c r="R151" s="22">
        <v>141</v>
      </c>
      <c r="S151" s="22">
        <v>0.609375</v>
      </c>
      <c r="T151">
        <f t="shared" si="26"/>
        <v>16.918900000000001</v>
      </c>
      <c r="U151">
        <f t="shared" si="27"/>
        <v>10.3213072694</v>
      </c>
      <c r="X151" s="9"/>
      <c r="Y151" s="22">
        <v>1.0899399999999999</v>
      </c>
      <c r="Z151" s="22">
        <v>301.70499999999998</v>
      </c>
      <c r="AA151" s="22">
        <v>-1.6445899999999999E-2</v>
      </c>
      <c r="AB151" s="22">
        <v>141</v>
      </c>
      <c r="AC151" s="22">
        <v>1.08917</v>
      </c>
      <c r="AD151">
        <f t="shared" si="28"/>
        <v>16.445899999999998</v>
      </c>
      <c r="AE151">
        <f t="shared" si="29"/>
        <v>17.925044245999995</v>
      </c>
      <c r="AF151" s="9"/>
      <c r="AG151" s="22">
        <v>0.61004599999999998</v>
      </c>
      <c r="AH151" s="22">
        <v>367.07100000000003</v>
      </c>
      <c r="AI151" s="22">
        <v>-1.6864000000000001E-2</v>
      </c>
      <c r="AJ151" s="22">
        <v>141</v>
      </c>
      <c r="AK151" s="22">
        <v>0.60928300000000002</v>
      </c>
      <c r="AL151">
        <f t="shared" si="30"/>
        <v>16.864000000000001</v>
      </c>
      <c r="AM151">
        <f t="shared" si="31"/>
        <v>10.287815744</v>
      </c>
      <c r="AP151" s="9"/>
      <c r="AQ151" s="22">
        <v>1.0899399999999999</v>
      </c>
      <c r="AR151" s="22">
        <v>456.37200000000001</v>
      </c>
      <c r="AS151" s="22">
        <v>-1.6314700000000001E-2</v>
      </c>
      <c r="AT151" s="22">
        <v>141</v>
      </c>
      <c r="AU151" s="22">
        <v>1.08887</v>
      </c>
      <c r="AV151">
        <f t="shared" si="32"/>
        <v>16.314700000000002</v>
      </c>
      <c r="AW151">
        <f t="shared" si="33"/>
        <v>17.782044118000002</v>
      </c>
      <c r="AX151" s="9"/>
      <c r="AY151" s="22">
        <v>0.61004599999999998</v>
      </c>
      <c r="AZ151" s="22">
        <v>533.39700000000005</v>
      </c>
      <c r="BA151" s="22">
        <v>-1.6778600000000001E-2</v>
      </c>
      <c r="BB151" s="22">
        <v>141</v>
      </c>
      <c r="BC151" s="22">
        <v>0.609344</v>
      </c>
      <c r="BD151">
        <f t="shared" si="34"/>
        <v>16.778600000000001</v>
      </c>
      <c r="BE151">
        <f t="shared" si="35"/>
        <v>10.235717815599999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90.072800000000001</v>
      </c>
      <c r="I152" s="22">
        <v>-1.6482500000000001E-2</v>
      </c>
      <c r="J152" s="22">
        <v>142</v>
      </c>
      <c r="K152" s="22">
        <v>1.0839799999999999</v>
      </c>
      <c r="L152">
        <f t="shared" si="24"/>
        <v>16.482500000000002</v>
      </c>
      <c r="M152">
        <f t="shared" si="25"/>
        <v>17.881864250000003</v>
      </c>
      <c r="N152" s="9"/>
      <c r="O152" s="22">
        <v>0.61508200000000002</v>
      </c>
      <c r="P152" s="22">
        <v>184.036</v>
      </c>
      <c r="Q152" s="22">
        <v>-1.6918900000000001E-2</v>
      </c>
      <c r="R152" s="22">
        <v>142</v>
      </c>
      <c r="S152" s="22">
        <v>0.61453199999999997</v>
      </c>
      <c r="T152">
        <f t="shared" si="26"/>
        <v>16.918900000000001</v>
      </c>
      <c r="U152">
        <f t="shared" si="27"/>
        <v>10.4065108498</v>
      </c>
      <c r="X152" s="9"/>
      <c r="Y152" s="22">
        <v>1.0849</v>
      </c>
      <c r="Z152" s="22">
        <v>301.80500000000001</v>
      </c>
      <c r="AA152" s="22">
        <v>-1.64551E-2</v>
      </c>
      <c r="AB152" s="22">
        <v>142</v>
      </c>
      <c r="AC152" s="22">
        <v>1.08429</v>
      </c>
      <c r="AD152">
        <f t="shared" si="28"/>
        <v>16.455100000000002</v>
      </c>
      <c r="AE152">
        <f t="shared" si="29"/>
        <v>17.852137990000003</v>
      </c>
      <c r="AF152" s="9"/>
      <c r="AG152" s="22">
        <v>0.61508200000000002</v>
      </c>
      <c r="AH152" s="22">
        <v>367.17099999999999</v>
      </c>
      <c r="AI152" s="22">
        <v>-1.6867099999999999E-2</v>
      </c>
      <c r="AJ152" s="22">
        <v>142</v>
      </c>
      <c r="AK152" s="22">
        <v>0.61434900000000003</v>
      </c>
      <c r="AL152">
        <f t="shared" si="30"/>
        <v>16.867100000000001</v>
      </c>
      <c r="AM152">
        <f t="shared" si="31"/>
        <v>10.3746496022</v>
      </c>
      <c r="AP152" s="9"/>
      <c r="AQ152" s="22">
        <v>1.0849</v>
      </c>
      <c r="AR152" s="22">
        <v>456.47300000000001</v>
      </c>
      <c r="AS152" s="22">
        <v>-1.6333E-2</v>
      </c>
      <c r="AT152" s="22">
        <v>142</v>
      </c>
      <c r="AU152" s="22">
        <v>1.0833699999999999</v>
      </c>
      <c r="AV152">
        <f t="shared" si="32"/>
        <v>16.333000000000002</v>
      </c>
      <c r="AW152">
        <f t="shared" si="33"/>
        <v>17.719671700000003</v>
      </c>
      <c r="AX152" s="9"/>
      <c r="AY152" s="22">
        <v>0.61508200000000002</v>
      </c>
      <c r="AZ152" s="22">
        <v>533.49800000000005</v>
      </c>
      <c r="BA152" s="22">
        <v>-1.6778600000000001E-2</v>
      </c>
      <c r="BB152" s="22">
        <v>142</v>
      </c>
      <c r="BC152" s="22">
        <v>0.61444100000000001</v>
      </c>
      <c r="BD152">
        <f t="shared" si="34"/>
        <v>16.778600000000001</v>
      </c>
      <c r="BE152">
        <f t="shared" si="35"/>
        <v>10.320214845200001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90.173500000000004</v>
      </c>
      <c r="I153" s="22">
        <v>-1.6503899999999998E-2</v>
      </c>
      <c r="J153" s="22">
        <v>143</v>
      </c>
      <c r="K153" s="22">
        <v>1.0788</v>
      </c>
      <c r="L153">
        <f t="shared" si="24"/>
        <v>16.503899999999998</v>
      </c>
      <c r="M153">
        <f t="shared" si="25"/>
        <v>17.821901453999999</v>
      </c>
      <c r="N153" s="9"/>
      <c r="O153" s="22">
        <v>0.62011700000000003</v>
      </c>
      <c r="P153" s="22">
        <v>184.137</v>
      </c>
      <c r="Q153" s="22">
        <v>-1.6918900000000001E-2</v>
      </c>
      <c r="R153" s="22">
        <v>143</v>
      </c>
      <c r="S153" s="22">
        <v>0.61941500000000005</v>
      </c>
      <c r="T153">
        <f t="shared" si="26"/>
        <v>16.918900000000001</v>
      </c>
      <c r="U153">
        <f t="shared" si="27"/>
        <v>10.491697511300002</v>
      </c>
      <c r="X153" s="9"/>
      <c r="Y153" s="22">
        <v>1.07986</v>
      </c>
      <c r="Z153" s="22">
        <v>301.90600000000001</v>
      </c>
      <c r="AA153" s="22">
        <v>-1.6452000000000001E-2</v>
      </c>
      <c r="AB153" s="22">
        <v>143</v>
      </c>
      <c r="AC153" s="22">
        <v>1.0788</v>
      </c>
      <c r="AD153">
        <f t="shared" si="28"/>
        <v>16.452000000000002</v>
      </c>
      <c r="AE153">
        <f t="shared" si="29"/>
        <v>17.765856720000002</v>
      </c>
      <c r="AF153" s="9"/>
      <c r="AG153" s="22">
        <v>0.62011700000000003</v>
      </c>
      <c r="AH153" s="22">
        <v>367.27199999999999</v>
      </c>
      <c r="AI153" s="22">
        <v>-1.6861000000000001E-2</v>
      </c>
      <c r="AJ153" s="22">
        <v>143</v>
      </c>
      <c r="AK153" s="22">
        <v>0.61950700000000003</v>
      </c>
      <c r="AL153">
        <f t="shared" si="30"/>
        <v>16.861000000000001</v>
      </c>
      <c r="AM153">
        <f t="shared" si="31"/>
        <v>10.455792737000001</v>
      </c>
      <c r="AP153" s="9"/>
      <c r="AQ153" s="22">
        <v>1.07986</v>
      </c>
      <c r="AR153" s="22">
        <v>456.57400000000001</v>
      </c>
      <c r="AS153" s="22">
        <v>-1.63483E-2</v>
      </c>
      <c r="AT153" s="22">
        <v>143</v>
      </c>
      <c r="AU153" s="22">
        <v>1.0788</v>
      </c>
      <c r="AV153">
        <f t="shared" si="32"/>
        <v>16.348299999999998</v>
      </c>
      <c r="AW153">
        <f t="shared" si="33"/>
        <v>17.653875237999998</v>
      </c>
      <c r="AX153" s="9"/>
      <c r="AY153" s="22">
        <v>0.62011700000000003</v>
      </c>
      <c r="AZ153" s="22">
        <v>533.59900000000005</v>
      </c>
      <c r="BA153" s="22">
        <v>-1.6747999999999999E-2</v>
      </c>
      <c r="BB153" s="22">
        <v>143</v>
      </c>
      <c r="BC153" s="22">
        <v>0.61935399999999996</v>
      </c>
      <c r="BD153">
        <f t="shared" si="34"/>
        <v>16.747999999999998</v>
      </c>
      <c r="BE153">
        <f t="shared" si="35"/>
        <v>10.385719515999998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90.274199999999993</v>
      </c>
      <c r="I154" s="22">
        <v>-1.6507000000000001E-2</v>
      </c>
      <c r="J154" s="22">
        <v>144</v>
      </c>
      <c r="K154" s="22">
        <v>1.07422</v>
      </c>
      <c r="L154">
        <f t="shared" si="24"/>
        <v>16.507000000000001</v>
      </c>
      <c r="M154">
        <f t="shared" si="25"/>
        <v>17.742218810000001</v>
      </c>
      <c r="N154" s="9"/>
      <c r="O154" s="22">
        <v>0.62515299999999996</v>
      </c>
      <c r="P154" s="22">
        <v>184.238</v>
      </c>
      <c r="Q154" s="22">
        <v>-1.69067E-2</v>
      </c>
      <c r="R154" s="22">
        <v>144</v>
      </c>
      <c r="S154" s="22">
        <v>0.62445099999999998</v>
      </c>
      <c r="T154">
        <f t="shared" si="26"/>
        <v>16.906700000000001</v>
      </c>
      <c r="U154">
        <f t="shared" si="27"/>
        <v>10.569274225099999</v>
      </c>
      <c r="X154" s="9"/>
      <c r="Y154" s="22">
        <v>1.07483</v>
      </c>
      <c r="Z154" s="22">
        <v>302.00700000000001</v>
      </c>
      <c r="AA154" s="22">
        <v>-1.64551E-2</v>
      </c>
      <c r="AB154" s="22">
        <v>144</v>
      </c>
      <c r="AC154" s="22">
        <v>1.0745199999999999</v>
      </c>
      <c r="AD154">
        <f t="shared" si="28"/>
        <v>16.455100000000002</v>
      </c>
      <c r="AE154">
        <f t="shared" si="29"/>
        <v>17.686435133</v>
      </c>
      <c r="AF154" s="9"/>
      <c r="AG154" s="22">
        <v>0.62515299999999996</v>
      </c>
      <c r="AH154" s="22">
        <v>367.37299999999999</v>
      </c>
      <c r="AI154" s="22">
        <v>-1.6864000000000001E-2</v>
      </c>
      <c r="AJ154" s="22">
        <v>144</v>
      </c>
      <c r="AK154" s="22">
        <v>0.62454200000000004</v>
      </c>
      <c r="AL154">
        <f t="shared" si="30"/>
        <v>16.864000000000001</v>
      </c>
      <c r="AM154">
        <f t="shared" si="31"/>
        <v>10.542580191999999</v>
      </c>
      <c r="AP154" s="9"/>
      <c r="AQ154" s="22">
        <v>1.07483</v>
      </c>
      <c r="AR154" s="22">
        <v>456.67399999999998</v>
      </c>
      <c r="AS154" s="22">
        <v>-1.6351299999999999E-2</v>
      </c>
      <c r="AT154" s="22">
        <v>144</v>
      </c>
      <c r="AU154" s="22">
        <v>1.07361</v>
      </c>
      <c r="AV154">
        <f t="shared" si="32"/>
        <v>16.351299999999998</v>
      </c>
      <c r="AW154">
        <f t="shared" si="33"/>
        <v>17.574867778999998</v>
      </c>
      <c r="AX154" s="9"/>
      <c r="AY154" s="22">
        <v>0.62515299999999996</v>
      </c>
      <c r="AZ154" s="22">
        <v>533.70000000000005</v>
      </c>
      <c r="BA154" s="22">
        <v>-1.6744999999999999E-2</v>
      </c>
      <c r="BB154" s="22">
        <v>144</v>
      </c>
      <c r="BC154" s="22">
        <v>0.62445099999999998</v>
      </c>
      <c r="BD154">
        <f t="shared" si="34"/>
        <v>16.745000000000001</v>
      </c>
      <c r="BE154">
        <f t="shared" si="35"/>
        <v>10.468186984999999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90.374899999999997</v>
      </c>
      <c r="I155" s="22">
        <v>-1.6516099999999999E-2</v>
      </c>
      <c r="J155" s="22">
        <v>145</v>
      </c>
      <c r="K155" s="22">
        <v>1.0684199999999999</v>
      </c>
      <c r="L155">
        <f t="shared" si="24"/>
        <v>16.516099999999998</v>
      </c>
      <c r="M155">
        <f t="shared" si="25"/>
        <v>17.668758618999998</v>
      </c>
      <c r="N155" s="9"/>
      <c r="O155" s="22">
        <v>0.63018799999999997</v>
      </c>
      <c r="P155" s="22">
        <v>184.33799999999999</v>
      </c>
      <c r="Q155" s="22">
        <v>-1.6888400000000001E-2</v>
      </c>
      <c r="R155" s="22">
        <v>145</v>
      </c>
      <c r="S155" s="22">
        <v>0.62951699999999999</v>
      </c>
      <c r="T155">
        <f t="shared" si="26"/>
        <v>16.888400000000001</v>
      </c>
      <c r="U155">
        <f t="shared" si="27"/>
        <v>10.642867019200001</v>
      </c>
      <c r="X155" s="9"/>
      <c r="Y155" s="22">
        <v>1.06979</v>
      </c>
      <c r="Z155" s="22">
        <v>302.10700000000003</v>
      </c>
      <c r="AA155" s="22">
        <v>-1.6452000000000001E-2</v>
      </c>
      <c r="AB155" s="22">
        <v>145</v>
      </c>
      <c r="AC155" s="22">
        <v>1.06934</v>
      </c>
      <c r="AD155">
        <f t="shared" si="28"/>
        <v>16.452000000000002</v>
      </c>
      <c r="AE155">
        <f t="shared" si="29"/>
        <v>17.600185080000003</v>
      </c>
      <c r="AF155" s="9"/>
      <c r="AG155" s="22">
        <v>0.63018799999999997</v>
      </c>
      <c r="AH155" s="22">
        <v>367.47399999999999</v>
      </c>
      <c r="AI155" s="22">
        <v>-1.6873200000000001E-2</v>
      </c>
      <c r="AJ155" s="22">
        <v>145</v>
      </c>
      <c r="AK155" s="22">
        <v>0.62957799999999997</v>
      </c>
      <c r="AL155">
        <f t="shared" si="30"/>
        <v>16.873200000000001</v>
      </c>
      <c r="AM155">
        <f t="shared" si="31"/>
        <v>10.633288161599999</v>
      </c>
      <c r="AP155" s="9"/>
      <c r="AQ155" s="22">
        <v>1.06979</v>
      </c>
      <c r="AR155" s="22">
        <v>456.77499999999998</v>
      </c>
      <c r="AS155" s="22">
        <v>-1.6369600000000002E-2</v>
      </c>
      <c r="AT155" s="22">
        <v>145</v>
      </c>
      <c r="AU155" s="22">
        <v>1.06812</v>
      </c>
      <c r="AV155">
        <f t="shared" si="32"/>
        <v>16.369600000000002</v>
      </c>
      <c r="AW155">
        <f t="shared" si="33"/>
        <v>17.512034384000003</v>
      </c>
      <c r="AX155" s="9"/>
      <c r="AY155" s="22">
        <v>0.63018799999999997</v>
      </c>
      <c r="AZ155" s="22">
        <v>533.79999999999995</v>
      </c>
      <c r="BA155" s="22">
        <v>-1.6744999999999999E-2</v>
      </c>
      <c r="BB155" s="22">
        <v>145</v>
      </c>
      <c r="BC155" s="22">
        <v>0.62951699999999999</v>
      </c>
      <c r="BD155">
        <f t="shared" si="34"/>
        <v>16.745000000000001</v>
      </c>
      <c r="BE155">
        <f t="shared" si="35"/>
        <v>10.55249806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90.4756</v>
      </c>
      <c r="I156" s="22">
        <v>-1.6519200000000001E-2</v>
      </c>
      <c r="J156" s="22">
        <v>146</v>
      </c>
      <c r="K156" s="22">
        <v>1.0638399999999999</v>
      </c>
      <c r="L156">
        <f t="shared" si="24"/>
        <v>16.519200000000001</v>
      </c>
      <c r="M156">
        <f t="shared" si="25"/>
        <v>17.588983391999999</v>
      </c>
      <c r="N156" s="9"/>
      <c r="O156" s="22">
        <v>0.63522299999999998</v>
      </c>
      <c r="P156" s="22">
        <v>184.43899999999999</v>
      </c>
      <c r="Q156" s="22">
        <v>-1.68915E-2</v>
      </c>
      <c r="R156" s="22">
        <v>146</v>
      </c>
      <c r="S156" s="22">
        <v>0.634552</v>
      </c>
      <c r="T156">
        <f t="shared" si="26"/>
        <v>16.891500000000001</v>
      </c>
      <c r="U156">
        <f t="shared" si="27"/>
        <v>10.729869304499999</v>
      </c>
      <c r="X156" s="9"/>
      <c r="Y156" s="22">
        <v>1.0647599999999999</v>
      </c>
      <c r="Z156" s="22">
        <v>302.20800000000003</v>
      </c>
      <c r="AA156" s="22">
        <v>-1.6473399999999999E-2</v>
      </c>
      <c r="AB156" s="22">
        <v>146</v>
      </c>
      <c r="AC156" s="22">
        <v>1.0638399999999999</v>
      </c>
      <c r="AD156">
        <f t="shared" si="28"/>
        <v>16.473399999999998</v>
      </c>
      <c r="AE156">
        <f t="shared" si="29"/>
        <v>17.540217383999998</v>
      </c>
      <c r="AF156" s="9"/>
      <c r="AG156" s="22">
        <v>0.63522299999999998</v>
      </c>
      <c r="AH156" s="22">
        <v>367.57400000000001</v>
      </c>
      <c r="AI156" s="22">
        <v>-1.6861000000000001E-2</v>
      </c>
      <c r="AJ156" s="22">
        <v>146</v>
      </c>
      <c r="AK156" s="22">
        <v>0.634521</v>
      </c>
      <c r="AL156">
        <f t="shared" si="30"/>
        <v>16.861000000000001</v>
      </c>
      <c r="AM156">
        <f t="shared" si="31"/>
        <v>10.710495003</v>
      </c>
      <c r="AP156" s="9"/>
      <c r="AQ156" s="22">
        <v>1.0647599999999999</v>
      </c>
      <c r="AR156" s="22">
        <v>456.87599999999998</v>
      </c>
      <c r="AS156" s="22">
        <v>-1.6381799999999998E-2</v>
      </c>
      <c r="AT156" s="22">
        <v>146</v>
      </c>
      <c r="AU156" s="22">
        <v>1.0644499999999999</v>
      </c>
      <c r="AV156">
        <f t="shared" si="32"/>
        <v>16.381799999999998</v>
      </c>
      <c r="AW156">
        <f t="shared" si="33"/>
        <v>17.442685367999996</v>
      </c>
      <c r="AX156" s="9"/>
      <c r="AY156" s="22">
        <v>0.63522299999999998</v>
      </c>
      <c r="AZ156" s="22">
        <v>533.90099999999995</v>
      </c>
      <c r="BA156" s="22">
        <v>-1.67572E-2</v>
      </c>
      <c r="BB156" s="22">
        <v>146</v>
      </c>
      <c r="BC156" s="22">
        <v>0.63449100000000003</v>
      </c>
      <c r="BD156">
        <f t="shared" si="34"/>
        <v>16.757200000000001</v>
      </c>
      <c r="BE156">
        <f t="shared" si="35"/>
        <v>10.6445588556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90.576300000000003</v>
      </c>
      <c r="I157" s="22">
        <v>-1.6528299999999999E-2</v>
      </c>
      <c r="J157" s="22">
        <v>147</v>
      </c>
      <c r="K157" s="22">
        <v>1.0586500000000001</v>
      </c>
      <c r="L157">
        <f t="shared" si="24"/>
        <v>16.528299999999998</v>
      </c>
      <c r="M157">
        <f t="shared" si="25"/>
        <v>17.515370075999996</v>
      </c>
      <c r="N157" s="9"/>
      <c r="O157" s="22">
        <v>0.64025900000000002</v>
      </c>
      <c r="P157" s="22">
        <v>184.54</v>
      </c>
      <c r="Q157" s="22">
        <v>-1.68945E-2</v>
      </c>
      <c r="R157" s="22">
        <v>147</v>
      </c>
      <c r="S157" s="22">
        <v>0.63955700000000004</v>
      </c>
      <c r="T157">
        <f t="shared" si="26"/>
        <v>16.894500000000001</v>
      </c>
      <c r="U157">
        <f t="shared" si="27"/>
        <v>10.816855675500001</v>
      </c>
      <c r="X157" s="9"/>
      <c r="Y157" s="22">
        <v>1.05972</v>
      </c>
      <c r="Z157" s="22">
        <v>302.30900000000003</v>
      </c>
      <c r="AA157" s="22">
        <v>-1.64856E-2</v>
      </c>
      <c r="AB157" s="22">
        <v>147</v>
      </c>
      <c r="AC157" s="22">
        <v>1.0589599999999999</v>
      </c>
      <c r="AD157">
        <f t="shared" si="28"/>
        <v>16.485599999999998</v>
      </c>
      <c r="AE157">
        <f t="shared" si="29"/>
        <v>17.470120031999997</v>
      </c>
      <c r="AF157" s="9"/>
      <c r="AG157" s="22">
        <v>0.64025900000000002</v>
      </c>
      <c r="AH157" s="22">
        <v>367.67500000000001</v>
      </c>
      <c r="AI157" s="22">
        <v>-1.6854899999999999E-2</v>
      </c>
      <c r="AJ157" s="22">
        <v>147</v>
      </c>
      <c r="AK157" s="22">
        <v>0.639679</v>
      </c>
      <c r="AL157">
        <f t="shared" si="30"/>
        <v>16.854900000000001</v>
      </c>
      <c r="AM157">
        <f t="shared" si="31"/>
        <v>10.791501419100001</v>
      </c>
      <c r="AP157" s="9"/>
      <c r="AQ157" s="22">
        <v>1.05972</v>
      </c>
      <c r="AR157" s="22">
        <v>456.976</v>
      </c>
      <c r="AS157" s="22">
        <v>-1.63879E-2</v>
      </c>
      <c r="AT157" s="22">
        <v>147</v>
      </c>
      <c r="AU157" s="22">
        <v>1.0586500000000001</v>
      </c>
      <c r="AV157">
        <f t="shared" si="32"/>
        <v>16.387900000000002</v>
      </c>
      <c r="AW157">
        <f t="shared" si="33"/>
        <v>17.366585388000001</v>
      </c>
      <c r="AX157" s="9"/>
      <c r="AY157" s="22">
        <v>0.64025900000000002</v>
      </c>
      <c r="AZ157" s="22">
        <v>534.00199999999995</v>
      </c>
      <c r="BA157" s="22">
        <v>-1.6741900000000001E-2</v>
      </c>
      <c r="BB157" s="22">
        <v>147</v>
      </c>
      <c r="BC157" s="22">
        <v>0.63949599999999995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90.677000000000007</v>
      </c>
      <c r="I158" s="22">
        <v>-1.6528299999999999E-2</v>
      </c>
      <c r="J158" s="22">
        <v>148</v>
      </c>
      <c r="K158" s="22">
        <v>1.0534699999999999</v>
      </c>
      <c r="L158">
        <f t="shared" si="24"/>
        <v>16.528299999999998</v>
      </c>
      <c r="M158">
        <f t="shared" si="25"/>
        <v>17.432232726999995</v>
      </c>
      <c r="N158" s="9"/>
      <c r="O158" s="22">
        <v>0.64529400000000003</v>
      </c>
      <c r="P158" s="22">
        <v>184.64099999999999</v>
      </c>
      <c r="Q158" s="22">
        <v>-1.6897599999999999E-2</v>
      </c>
      <c r="R158" s="22">
        <v>148</v>
      </c>
      <c r="S158" s="22">
        <v>0.64450099999999999</v>
      </c>
      <c r="T158">
        <f t="shared" si="26"/>
        <v>16.897599999999997</v>
      </c>
      <c r="U158">
        <f t="shared" si="27"/>
        <v>10.9039198944</v>
      </c>
      <c r="X158" s="9"/>
      <c r="Y158" s="22">
        <v>1.0546899999999999</v>
      </c>
      <c r="Z158" s="22">
        <v>302.41000000000003</v>
      </c>
      <c r="AA158" s="22">
        <v>-1.6479500000000001E-2</v>
      </c>
      <c r="AB158" s="22">
        <v>148</v>
      </c>
      <c r="AC158" s="22">
        <v>1.0540799999999999</v>
      </c>
      <c r="AD158">
        <f t="shared" si="28"/>
        <v>16.479500000000002</v>
      </c>
      <c r="AE158">
        <f t="shared" si="29"/>
        <v>17.380763855000001</v>
      </c>
      <c r="AF158" s="9"/>
      <c r="AG158" s="22">
        <v>0.64529400000000003</v>
      </c>
      <c r="AH158" s="22">
        <v>367.77600000000001</v>
      </c>
      <c r="AI158" s="22">
        <v>-1.6857899999999999E-2</v>
      </c>
      <c r="AJ158" s="22">
        <v>148</v>
      </c>
      <c r="AK158" s="22">
        <v>0.64465300000000003</v>
      </c>
      <c r="AL158">
        <f t="shared" si="30"/>
        <v>16.857899999999997</v>
      </c>
      <c r="AM158">
        <f t="shared" si="31"/>
        <v>10.878301722599998</v>
      </c>
      <c r="AP158" s="9"/>
      <c r="AQ158" s="22">
        <v>1.0546899999999999</v>
      </c>
      <c r="AR158" s="22">
        <v>457.077</v>
      </c>
      <c r="AS158" s="22">
        <v>-1.6384900000000001E-2</v>
      </c>
      <c r="AT158" s="22">
        <v>148</v>
      </c>
      <c r="AU158" s="22">
        <v>1.0534699999999999</v>
      </c>
      <c r="AV158">
        <f t="shared" si="32"/>
        <v>16.384900000000002</v>
      </c>
      <c r="AW158">
        <f t="shared" si="33"/>
        <v>17.280990181</v>
      </c>
      <c r="AX158" s="9"/>
      <c r="AY158" s="22">
        <v>0.64529400000000003</v>
      </c>
      <c r="AZ158" s="22">
        <v>534.10199999999998</v>
      </c>
      <c r="BA158" s="22">
        <v>-1.6760299999999999E-2</v>
      </c>
      <c r="BB158" s="22">
        <v>148</v>
      </c>
      <c r="BC158" s="22">
        <v>0.64456199999999997</v>
      </c>
      <c r="BD158">
        <f t="shared" si="34"/>
        <v>16.760299999999997</v>
      </c>
      <c r="BE158">
        <f t="shared" si="35"/>
        <v>10.8153210282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90.777799999999999</v>
      </c>
      <c r="I159" s="22">
        <v>-1.65375E-2</v>
      </c>
      <c r="J159" s="22">
        <v>149</v>
      </c>
      <c r="K159" s="22">
        <v>1.0485800000000001</v>
      </c>
      <c r="L159">
        <f t="shared" si="24"/>
        <v>16.537500000000001</v>
      </c>
      <c r="M159">
        <f t="shared" si="25"/>
        <v>17.358586875</v>
      </c>
      <c r="N159" s="9"/>
      <c r="O159" s="22">
        <v>0.65032999999999996</v>
      </c>
      <c r="P159" s="22">
        <v>184.74100000000001</v>
      </c>
      <c r="Q159" s="22">
        <v>-1.68915E-2</v>
      </c>
      <c r="R159" s="22">
        <v>149</v>
      </c>
      <c r="S159" s="22">
        <v>0.64965799999999996</v>
      </c>
      <c r="T159">
        <f t="shared" si="26"/>
        <v>16.891500000000001</v>
      </c>
      <c r="U159">
        <f t="shared" si="27"/>
        <v>10.985049195</v>
      </c>
      <c r="X159" s="9"/>
      <c r="Y159" s="22">
        <v>1.04965</v>
      </c>
      <c r="Z159" s="22">
        <v>302.51</v>
      </c>
      <c r="AA159" s="22">
        <v>-1.64948E-2</v>
      </c>
      <c r="AB159" s="22">
        <v>149</v>
      </c>
      <c r="AC159" s="22">
        <v>1.0485800000000001</v>
      </c>
      <c r="AD159">
        <f t="shared" si="28"/>
        <v>16.494800000000001</v>
      </c>
      <c r="AE159">
        <f t="shared" si="29"/>
        <v>17.313766820000001</v>
      </c>
      <c r="AF159" s="9"/>
      <c r="AG159" s="22">
        <v>0.65032999999999996</v>
      </c>
      <c r="AH159" s="22">
        <v>367.87599999999998</v>
      </c>
      <c r="AI159" s="22">
        <v>-1.6864000000000001E-2</v>
      </c>
      <c r="AJ159" s="22">
        <v>149</v>
      </c>
      <c r="AK159" s="22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2">
        <v>1.04965</v>
      </c>
      <c r="AR159" s="22">
        <v>457.178</v>
      </c>
      <c r="AS159" s="22">
        <v>-1.64032E-2</v>
      </c>
      <c r="AT159" s="22">
        <v>149</v>
      </c>
      <c r="AU159" s="22">
        <v>1.0485800000000001</v>
      </c>
      <c r="AV159">
        <f t="shared" si="32"/>
        <v>16.403199999999998</v>
      </c>
      <c r="AW159">
        <f t="shared" si="33"/>
        <v>17.217618879999996</v>
      </c>
      <c r="AX159" s="9"/>
      <c r="AY159" s="22">
        <v>0.65032999999999996</v>
      </c>
      <c r="AZ159" s="22">
        <v>534.20299999999997</v>
      </c>
      <c r="BA159" s="22">
        <v>-1.6781600000000001E-2</v>
      </c>
      <c r="BB159" s="22">
        <v>149</v>
      </c>
      <c r="BC159" s="22">
        <v>0.64962799999999998</v>
      </c>
      <c r="BD159">
        <f t="shared" si="34"/>
        <v>16.781600000000001</v>
      </c>
      <c r="BE159">
        <f t="shared" si="35"/>
        <v>10.913577928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90.878500000000003</v>
      </c>
      <c r="I160" s="22">
        <v>-1.65405E-2</v>
      </c>
      <c r="J160" s="22">
        <v>150</v>
      </c>
      <c r="K160" s="22">
        <v>1.0437000000000001</v>
      </c>
      <c r="L160">
        <f t="shared" si="24"/>
        <v>16.540499999999998</v>
      </c>
      <c r="M160">
        <f t="shared" si="25"/>
        <v>17.278537109999998</v>
      </c>
      <c r="N160" s="9"/>
      <c r="O160" s="22">
        <v>0.65536499999999998</v>
      </c>
      <c r="P160" s="22">
        <v>184.84200000000001</v>
      </c>
      <c r="Q160" s="22">
        <v>-1.6900600000000002E-2</v>
      </c>
      <c r="R160" s="22">
        <v>150</v>
      </c>
      <c r="S160" s="22">
        <v>0.65472399999999997</v>
      </c>
      <c r="T160">
        <f t="shared" si="26"/>
        <v>16.900600000000001</v>
      </c>
      <c r="U160">
        <f t="shared" si="27"/>
        <v>11.076061719</v>
      </c>
      <c r="X160" s="9"/>
      <c r="Y160" s="22">
        <v>1.0446200000000001</v>
      </c>
      <c r="Z160" s="22">
        <v>302.61099999999999</v>
      </c>
      <c r="AA160" s="22">
        <v>-1.64856E-2</v>
      </c>
      <c r="AB160" s="22">
        <v>150</v>
      </c>
      <c r="AC160" s="22">
        <v>1.0434000000000001</v>
      </c>
      <c r="AD160">
        <f t="shared" si="28"/>
        <v>16.485599999999998</v>
      </c>
      <c r="AE160">
        <f t="shared" si="29"/>
        <v>17.221187472</v>
      </c>
      <c r="AF160" s="9"/>
      <c r="AG160" s="22">
        <v>0.65536499999999998</v>
      </c>
      <c r="AH160" s="22">
        <v>367.97699999999998</v>
      </c>
      <c r="AI160" s="22">
        <v>-1.6842699999999999E-2</v>
      </c>
      <c r="AJ160" s="22">
        <v>150</v>
      </c>
      <c r="AK160" s="22">
        <v>0.65475499999999998</v>
      </c>
      <c r="AL160">
        <f t="shared" si="30"/>
        <v>16.842699999999997</v>
      </c>
      <c r="AM160">
        <f t="shared" si="31"/>
        <v>11.038116085499997</v>
      </c>
      <c r="AP160" s="9"/>
      <c r="AQ160" s="22">
        <v>1.0446200000000001</v>
      </c>
      <c r="AR160" s="22">
        <v>457.279</v>
      </c>
      <c r="AS160" s="22">
        <v>-1.6390999999999999E-2</v>
      </c>
      <c r="AT160" s="22">
        <v>150</v>
      </c>
      <c r="AU160" s="22">
        <v>1.0440100000000001</v>
      </c>
      <c r="AV160">
        <f t="shared" si="32"/>
        <v>16.390999999999998</v>
      </c>
      <c r="AW160">
        <f t="shared" si="33"/>
        <v>17.122366419999999</v>
      </c>
      <c r="AX160" s="9"/>
      <c r="AY160" s="22">
        <v>0.65536499999999998</v>
      </c>
      <c r="AZ160" s="22">
        <v>534.30399999999997</v>
      </c>
      <c r="BA160" s="22">
        <v>-1.67542E-2</v>
      </c>
      <c r="BB160" s="22">
        <v>150</v>
      </c>
      <c r="BC160" s="22">
        <v>0.65466299999999999</v>
      </c>
      <c r="BD160">
        <f t="shared" si="34"/>
        <v>16.754200000000001</v>
      </c>
      <c r="BE160">
        <f t="shared" si="35"/>
        <v>10.980116283000001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90.979200000000006</v>
      </c>
      <c r="I161" s="22">
        <v>-1.6546600000000002E-2</v>
      </c>
      <c r="J161" s="22">
        <v>151</v>
      </c>
      <c r="K161" s="22">
        <v>1.0388200000000001</v>
      </c>
      <c r="L161">
        <f t="shared" si="24"/>
        <v>16.546600000000002</v>
      </c>
      <c r="M161">
        <f t="shared" si="25"/>
        <v>17.201514427999999</v>
      </c>
      <c r="N161" s="9"/>
      <c r="O161" s="22">
        <v>0.66039999999999999</v>
      </c>
      <c r="P161" s="22">
        <v>184.94300000000001</v>
      </c>
      <c r="Q161" s="22">
        <v>-1.6885399999999998E-2</v>
      </c>
      <c r="R161" s="22">
        <v>151</v>
      </c>
      <c r="S161" s="22">
        <v>0.65972900000000001</v>
      </c>
      <c r="T161">
        <f t="shared" si="26"/>
        <v>16.885399999999997</v>
      </c>
      <c r="U161">
        <f t="shared" si="27"/>
        <v>11.151118159999998</v>
      </c>
      <c r="X161" s="9"/>
      <c r="Y161" s="22">
        <v>1.0395799999999999</v>
      </c>
      <c r="Z161" s="22">
        <v>302.71199999999999</v>
      </c>
      <c r="AA161" s="22">
        <v>-1.64703E-2</v>
      </c>
      <c r="AB161" s="22">
        <v>151</v>
      </c>
      <c r="AC161" s="22">
        <v>1.03912</v>
      </c>
      <c r="AD161">
        <f t="shared" si="28"/>
        <v>16.470300000000002</v>
      </c>
      <c r="AE161">
        <f t="shared" si="29"/>
        <v>17.122194474</v>
      </c>
      <c r="AF161" s="9"/>
      <c r="AG161" s="22">
        <v>0.66039999999999999</v>
      </c>
      <c r="AH161" s="22">
        <v>368.07799999999997</v>
      </c>
      <c r="AI161" s="22">
        <v>-1.6842699999999999E-2</v>
      </c>
      <c r="AJ161" s="22">
        <v>151</v>
      </c>
      <c r="AK161" s="22">
        <v>0.65972900000000001</v>
      </c>
      <c r="AL161">
        <f t="shared" si="30"/>
        <v>16.842699999999997</v>
      </c>
      <c r="AM161">
        <f t="shared" si="31"/>
        <v>11.122919079999997</v>
      </c>
      <c r="AP161" s="9"/>
      <c r="AQ161" s="22">
        <v>1.0395799999999999</v>
      </c>
      <c r="AR161" s="22">
        <v>457.37900000000002</v>
      </c>
      <c r="AS161" s="22">
        <v>-1.6406299999999999E-2</v>
      </c>
      <c r="AT161" s="22">
        <v>151</v>
      </c>
      <c r="AU161" s="22">
        <v>1.0382100000000001</v>
      </c>
      <c r="AV161">
        <f t="shared" si="32"/>
        <v>16.406299999999998</v>
      </c>
      <c r="AW161">
        <f t="shared" si="33"/>
        <v>17.055661353999998</v>
      </c>
      <c r="AX161" s="9"/>
      <c r="AY161" s="22">
        <v>0.66039999999999999</v>
      </c>
      <c r="AZ161" s="22">
        <v>534.40499999999997</v>
      </c>
      <c r="BA161" s="22">
        <v>-1.6751100000000001E-2</v>
      </c>
      <c r="BB161" s="22">
        <v>151</v>
      </c>
      <c r="BC161" s="22">
        <v>0.65978999999999999</v>
      </c>
      <c r="BD161">
        <f t="shared" si="34"/>
        <v>16.751100000000001</v>
      </c>
      <c r="BE161">
        <f t="shared" si="35"/>
        <v>11.062426440000001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91.079899999999995</v>
      </c>
      <c r="I162" s="22">
        <v>-1.6567999999999999E-2</v>
      </c>
      <c r="J162" s="22">
        <v>152</v>
      </c>
      <c r="K162" s="22">
        <v>1.0333300000000001</v>
      </c>
      <c r="L162">
        <f t="shared" si="24"/>
        <v>16.567999999999998</v>
      </c>
      <c r="M162">
        <f t="shared" si="25"/>
        <v>17.140424400000001</v>
      </c>
      <c r="N162" s="9"/>
      <c r="O162" s="22">
        <v>0.66543600000000003</v>
      </c>
      <c r="P162" s="22">
        <v>185.04300000000001</v>
      </c>
      <c r="Q162" s="22">
        <v>-1.68793E-2</v>
      </c>
      <c r="R162" s="22">
        <v>152</v>
      </c>
      <c r="S162" s="22">
        <v>0.66473400000000005</v>
      </c>
      <c r="T162">
        <f t="shared" si="26"/>
        <v>16.879300000000001</v>
      </c>
      <c r="U162">
        <f t="shared" si="27"/>
        <v>11.2320938748</v>
      </c>
      <c r="X162" s="9"/>
      <c r="Y162" s="22">
        <v>1.0345500000000001</v>
      </c>
      <c r="Z162" s="22">
        <v>302.81200000000001</v>
      </c>
      <c r="AA162" s="22">
        <v>-1.6482500000000001E-2</v>
      </c>
      <c r="AB162" s="22">
        <v>152</v>
      </c>
      <c r="AC162" s="22">
        <v>1.0333300000000001</v>
      </c>
      <c r="AD162">
        <f t="shared" si="28"/>
        <v>16.482500000000002</v>
      </c>
      <c r="AE162">
        <f t="shared" si="29"/>
        <v>17.051970375000003</v>
      </c>
      <c r="AF162" s="9"/>
      <c r="AG162" s="22">
        <v>0.66543600000000003</v>
      </c>
      <c r="AH162" s="22">
        <v>368.178</v>
      </c>
      <c r="AI162" s="22">
        <v>-1.6845700000000002E-2</v>
      </c>
      <c r="AJ162" s="22">
        <v>152</v>
      </c>
      <c r="AK162" s="22">
        <v>0.66479500000000002</v>
      </c>
      <c r="AL162">
        <f t="shared" si="30"/>
        <v>16.845700000000001</v>
      </c>
      <c r="AM162">
        <f t="shared" si="31"/>
        <v>11.209735225200001</v>
      </c>
      <c r="AP162" s="9"/>
      <c r="AQ162" s="22">
        <v>1.0345500000000001</v>
      </c>
      <c r="AR162" s="22">
        <v>457.48</v>
      </c>
      <c r="AS162" s="22">
        <v>-1.6412400000000001E-2</v>
      </c>
      <c r="AT162" s="22">
        <v>152</v>
      </c>
      <c r="AU162" s="22">
        <v>1.0333300000000001</v>
      </c>
      <c r="AV162">
        <f t="shared" si="32"/>
        <v>16.412400000000002</v>
      </c>
      <c r="AW162">
        <f t="shared" si="33"/>
        <v>16.979448420000004</v>
      </c>
      <c r="AX162" s="9"/>
      <c r="AY162" s="22">
        <v>0.66543600000000003</v>
      </c>
      <c r="AZ162" s="22">
        <v>534.505</v>
      </c>
      <c r="BA162" s="22">
        <v>-1.6738900000000001E-2</v>
      </c>
      <c r="BB162" s="22">
        <v>152</v>
      </c>
      <c r="BC162" s="22">
        <v>0.66488599999999998</v>
      </c>
      <c r="BD162">
        <f t="shared" si="34"/>
        <v>16.738900000000001</v>
      </c>
      <c r="BE162">
        <f t="shared" si="35"/>
        <v>11.138666660400002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91.180599999999998</v>
      </c>
      <c r="I163" s="22">
        <v>-1.6558799999999999E-2</v>
      </c>
      <c r="J163" s="22">
        <v>153</v>
      </c>
      <c r="K163" s="22">
        <v>1.0287500000000001</v>
      </c>
      <c r="L163">
        <f t="shared" si="24"/>
        <v>16.558799999999998</v>
      </c>
      <c r="M163">
        <f t="shared" si="25"/>
        <v>17.047450187999996</v>
      </c>
      <c r="N163" s="9"/>
      <c r="O163" s="22">
        <v>0.67047100000000004</v>
      </c>
      <c r="P163" s="22">
        <v>185.14400000000001</v>
      </c>
      <c r="Q163" s="22">
        <v>-1.6885399999999998E-2</v>
      </c>
      <c r="R163" s="22">
        <v>153</v>
      </c>
      <c r="S163" s="22">
        <v>0.66961700000000002</v>
      </c>
      <c r="T163">
        <f t="shared" si="26"/>
        <v>16.885399999999997</v>
      </c>
      <c r="U163">
        <f t="shared" si="27"/>
        <v>11.321171023399998</v>
      </c>
      <c r="X163" s="9"/>
      <c r="Y163" s="22">
        <v>1.0295099999999999</v>
      </c>
      <c r="Z163" s="22">
        <v>302.91300000000001</v>
      </c>
      <c r="AA163" s="22">
        <v>-1.651E-2</v>
      </c>
      <c r="AB163" s="22">
        <v>153</v>
      </c>
      <c r="AC163" s="22">
        <v>1.02844</v>
      </c>
      <c r="AD163">
        <f t="shared" si="28"/>
        <v>16.510000000000002</v>
      </c>
      <c r="AE163">
        <f t="shared" si="29"/>
        <v>16.9972101</v>
      </c>
      <c r="AF163" s="9"/>
      <c r="AG163" s="22">
        <v>0.67047100000000004</v>
      </c>
      <c r="AH163" s="22">
        <v>368.279</v>
      </c>
      <c r="AI163" s="22">
        <v>-1.6833500000000001E-2</v>
      </c>
      <c r="AJ163" s="22">
        <v>153</v>
      </c>
      <c r="AK163" s="22">
        <v>0.66973899999999997</v>
      </c>
      <c r="AL163">
        <f t="shared" si="30"/>
        <v>16.833500000000001</v>
      </c>
      <c r="AM163">
        <f t="shared" si="31"/>
        <v>11.286373578500001</v>
      </c>
      <c r="AP163" s="9"/>
      <c r="AQ163" s="22">
        <v>1.0295099999999999</v>
      </c>
      <c r="AR163" s="22">
        <v>457.58100000000002</v>
      </c>
      <c r="AS163" s="22">
        <v>-1.6412400000000001E-2</v>
      </c>
      <c r="AT163" s="22">
        <v>153</v>
      </c>
      <c r="AU163" s="22">
        <v>1.0287500000000001</v>
      </c>
      <c r="AV163">
        <f t="shared" si="32"/>
        <v>16.412400000000002</v>
      </c>
      <c r="AW163">
        <f t="shared" si="33"/>
        <v>16.896729923999999</v>
      </c>
      <c r="AX163" s="9"/>
      <c r="AY163" s="22">
        <v>0.67047100000000004</v>
      </c>
      <c r="AZ163" s="22">
        <v>534.60599999999999</v>
      </c>
      <c r="BA163" s="22">
        <v>-1.6744999999999999E-2</v>
      </c>
      <c r="BB163" s="22">
        <v>153</v>
      </c>
      <c r="BC163" s="22">
        <v>0.66986100000000004</v>
      </c>
      <c r="BD163">
        <f t="shared" si="34"/>
        <v>16.745000000000001</v>
      </c>
      <c r="BE163">
        <f t="shared" si="35"/>
        <v>11.227036895000001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91.281300000000002</v>
      </c>
      <c r="I164" s="22">
        <v>-1.6558799999999999E-2</v>
      </c>
      <c r="J164" s="22">
        <v>154</v>
      </c>
      <c r="K164" s="22">
        <v>1.02325</v>
      </c>
      <c r="L164">
        <f t="shared" si="24"/>
        <v>16.558799999999998</v>
      </c>
      <c r="M164">
        <f t="shared" si="25"/>
        <v>16.964159423999998</v>
      </c>
      <c r="N164" s="9"/>
      <c r="O164" s="22">
        <v>0.67550699999999997</v>
      </c>
      <c r="P164" s="22">
        <v>185.245</v>
      </c>
      <c r="Q164" s="22">
        <v>-1.6873200000000001E-2</v>
      </c>
      <c r="R164" s="22">
        <v>154</v>
      </c>
      <c r="S164" s="22">
        <v>0.67477399999999998</v>
      </c>
      <c r="T164">
        <f t="shared" si="26"/>
        <v>16.873200000000001</v>
      </c>
      <c r="U164">
        <f t="shared" si="27"/>
        <v>11.3979647124</v>
      </c>
      <c r="X164" s="9"/>
      <c r="Y164" s="22">
        <v>1.0244800000000001</v>
      </c>
      <c r="Z164" s="22">
        <v>303.01400000000001</v>
      </c>
      <c r="AA164" s="22">
        <v>-1.64978E-2</v>
      </c>
      <c r="AB164" s="22">
        <v>154</v>
      </c>
      <c r="AC164" s="22">
        <v>1.02386</v>
      </c>
      <c r="AD164">
        <f t="shared" si="28"/>
        <v>16.497800000000002</v>
      </c>
      <c r="AE164">
        <f t="shared" si="29"/>
        <v>16.901666144000004</v>
      </c>
      <c r="AF164" s="9"/>
      <c r="AG164" s="22">
        <v>0.67550699999999997</v>
      </c>
      <c r="AH164" s="22">
        <v>368.38</v>
      </c>
      <c r="AI164" s="22">
        <v>-1.6842699999999999E-2</v>
      </c>
      <c r="AJ164" s="22">
        <v>154</v>
      </c>
      <c r="AK164" s="22">
        <v>0.67492700000000005</v>
      </c>
      <c r="AL164">
        <f t="shared" si="30"/>
        <v>16.842699999999997</v>
      </c>
      <c r="AM164">
        <f t="shared" si="31"/>
        <v>11.377361748899997</v>
      </c>
      <c r="AP164" s="9"/>
      <c r="AQ164" s="22">
        <v>1.0244800000000001</v>
      </c>
      <c r="AR164" s="22">
        <v>457.68099999999998</v>
      </c>
      <c r="AS164" s="22">
        <v>-1.6421499999999999E-2</v>
      </c>
      <c r="AT164" s="22">
        <v>154</v>
      </c>
      <c r="AU164" s="22">
        <v>1.02386</v>
      </c>
      <c r="AV164">
        <f t="shared" si="32"/>
        <v>16.421499999999998</v>
      </c>
      <c r="AW164">
        <f t="shared" si="33"/>
        <v>16.823498319999999</v>
      </c>
      <c r="AX164" s="9"/>
      <c r="AY164" s="22">
        <v>0.67550699999999997</v>
      </c>
      <c r="AZ164" s="22">
        <v>534.70699999999999</v>
      </c>
      <c r="BA164" s="22">
        <v>-1.6741900000000001E-2</v>
      </c>
      <c r="BB164" s="22">
        <v>154</v>
      </c>
      <c r="BC164" s="22">
        <v>0.67480499999999999</v>
      </c>
      <c r="BD164">
        <f t="shared" si="34"/>
        <v>16.741900000000001</v>
      </c>
      <c r="BE164">
        <f t="shared" si="35"/>
        <v>11.3092706433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91.382000000000005</v>
      </c>
      <c r="I165" s="22">
        <v>-1.65649E-2</v>
      </c>
      <c r="J165" s="22">
        <v>155</v>
      </c>
      <c r="K165" s="22">
        <v>1.01807</v>
      </c>
      <c r="L165">
        <f t="shared" si="24"/>
        <v>16.564900000000002</v>
      </c>
      <c r="M165">
        <f t="shared" si="25"/>
        <v>16.886921655999998</v>
      </c>
      <c r="N165" s="9"/>
      <c r="O165" s="22">
        <v>0.68054199999999998</v>
      </c>
      <c r="P165" s="22">
        <v>185.346</v>
      </c>
      <c r="Q165" s="22">
        <v>-1.6864000000000001E-2</v>
      </c>
      <c r="R165" s="22">
        <v>155</v>
      </c>
      <c r="S165" s="22">
        <v>0.67984</v>
      </c>
      <c r="T165">
        <f t="shared" si="26"/>
        <v>16.864000000000001</v>
      </c>
      <c r="U165">
        <f t="shared" si="27"/>
        <v>11.476660288</v>
      </c>
      <c r="X165" s="9"/>
      <c r="Y165" s="22">
        <v>1.0194399999999999</v>
      </c>
      <c r="Z165" s="22">
        <v>303.11500000000001</v>
      </c>
      <c r="AA165" s="22">
        <v>-1.651E-2</v>
      </c>
      <c r="AB165" s="22">
        <v>155</v>
      </c>
      <c r="AC165" s="22">
        <v>1.01807</v>
      </c>
      <c r="AD165">
        <f t="shared" si="28"/>
        <v>16.510000000000002</v>
      </c>
      <c r="AE165">
        <f t="shared" si="29"/>
        <v>16.8309544</v>
      </c>
      <c r="AF165" s="9"/>
      <c r="AG165" s="22">
        <v>0.68054199999999998</v>
      </c>
      <c r="AH165" s="22">
        <v>368.48099999999999</v>
      </c>
      <c r="AI165" s="22">
        <v>-1.6836500000000001E-2</v>
      </c>
      <c r="AJ165" s="22">
        <v>155</v>
      </c>
      <c r="AK165" s="22">
        <v>0.67993199999999998</v>
      </c>
      <c r="AL165">
        <f t="shared" si="30"/>
        <v>16.836500000000001</v>
      </c>
      <c r="AM165">
        <f t="shared" si="31"/>
        <v>11.457945383</v>
      </c>
      <c r="AP165" s="9"/>
      <c r="AQ165" s="22">
        <v>1.0194399999999999</v>
      </c>
      <c r="AR165" s="22">
        <v>457.78199999999998</v>
      </c>
      <c r="AS165" s="22">
        <v>-1.6430699999999999E-2</v>
      </c>
      <c r="AT165" s="22">
        <v>155</v>
      </c>
      <c r="AU165" s="22">
        <v>1.01929</v>
      </c>
      <c r="AV165">
        <f t="shared" si="32"/>
        <v>16.430699999999998</v>
      </c>
      <c r="AW165">
        <f t="shared" si="33"/>
        <v>16.750112807999997</v>
      </c>
      <c r="AX165" s="9"/>
      <c r="AY165" s="22">
        <v>0.68054199999999998</v>
      </c>
      <c r="AZ165" s="22">
        <v>534.80700000000002</v>
      </c>
      <c r="BA165" s="22">
        <v>-1.67297E-2</v>
      </c>
      <c r="BB165" s="22">
        <v>155</v>
      </c>
      <c r="BC165" s="22">
        <v>0.67984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91.482699999999994</v>
      </c>
      <c r="I166" s="22">
        <v>-1.6577100000000001E-2</v>
      </c>
      <c r="J166" s="22">
        <v>156</v>
      </c>
      <c r="K166" s="22">
        <v>1.01349</v>
      </c>
      <c r="L166">
        <f t="shared" si="24"/>
        <v>16.577100000000002</v>
      </c>
      <c r="M166">
        <f t="shared" si="25"/>
        <v>16.815810240000001</v>
      </c>
      <c r="N166" s="9"/>
      <c r="O166" s="22">
        <v>0.68557699999999999</v>
      </c>
      <c r="P166" s="22">
        <v>185.446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1.0144</v>
      </c>
      <c r="Z166" s="22">
        <v>303.21499999999997</v>
      </c>
      <c r="AA166" s="22">
        <v>-1.6507000000000001E-2</v>
      </c>
      <c r="AB166" s="22">
        <v>156</v>
      </c>
      <c r="AC166" s="22">
        <v>1.01349</v>
      </c>
      <c r="AD166">
        <f t="shared" si="28"/>
        <v>16.507000000000001</v>
      </c>
      <c r="AE166">
        <f t="shared" si="29"/>
        <v>16.7447008</v>
      </c>
      <c r="AF166" s="9"/>
      <c r="AG166" s="22">
        <v>0.68557699999999999</v>
      </c>
      <c r="AH166" s="22">
        <v>368.58100000000002</v>
      </c>
      <c r="AI166" s="22">
        <v>-1.6836500000000001E-2</v>
      </c>
      <c r="AJ166" s="22">
        <v>156</v>
      </c>
      <c r="AK166" s="22">
        <v>0.68502799999999997</v>
      </c>
      <c r="AL166">
        <f t="shared" si="30"/>
        <v>16.836500000000001</v>
      </c>
      <c r="AM166">
        <f t="shared" si="31"/>
        <v>11.542717160500001</v>
      </c>
      <c r="AP166" s="9"/>
      <c r="AQ166" s="22">
        <v>1.0144</v>
      </c>
      <c r="AR166" s="22">
        <v>457.88299999999998</v>
      </c>
      <c r="AS166" s="22">
        <v>-1.6433699999999999E-2</v>
      </c>
      <c r="AT166" s="22">
        <v>156</v>
      </c>
      <c r="AU166" s="22">
        <v>1.01349</v>
      </c>
      <c r="AV166">
        <f t="shared" si="32"/>
        <v>16.433699999999998</v>
      </c>
      <c r="AW166">
        <f t="shared" si="33"/>
        <v>16.670345279999999</v>
      </c>
      <c r="AX166" s="9"/>
      <c r="AY166" s="22">
        <v>0.68557699999999999</v>
      </c>
      <c r="AZ166" s="22">
        <v>534.90800000000002</v>
      </c>
      <c r="BA166" s="22">
        <v>-1.67297E-2</v>
      </c>
      <c r="BB166" s="22">
        <v>156</v>
      </c>
      <c r="BC166" s="22">
        <v>0.68496699999999999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91.583399999999997</v>
      </c>
      <c r="I167" s="22">
        <v>-1.65649E-2</v>
      </c>
      <c r="J167" s="22">
        <v>157</v>
      </c>
      <c r="K167" s="22">
        <v>1.00922</v>
      </c>
      <c r="L167">
        <f t="shared" si="24"/>
        <v>16.564900000000002</v>
      </c>
      <c r="M167">
        <f t="shared" si="25"/>
        <v>16.720113113000004</v>
      </c>
      <c r="N167" s="9"/>
      <c r="O167" s="22">
        <v>0.69061300000000003</v>
      </c>
      <c r="P167" s="22">
        <v>185.547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1.0093700000000001</v>
      </c>
      <c r="Z167" s="22">
        <v>303.31599999999997</v>
      </c>
      <c r="AA167" s="22">
        <v>-1.6519200000000001E-2</v>
      </c>
      <c r="AB167" s="22">
        <v>157</v>
      </c>
      <c r="AC167" s="22">
        <v>1.0083</v>
      </c>
      <c r="AD167">
        <f t="shared" si="28"/>
        <v>16.519200000000001</v>
      </c>
      <c r="AE167">
        <f t="shared" si="29"/>
        <v>16.673984904000005</v>
      </c>
      <c r="AF167" s="9"/>
      <c r="AG167" s="22">
        <v>0.69061300000000003</v>
      </c>
      <c r="AH167" s="22">
        <v>368.68200000000002</v>
      </c>
      <c r="AI167" s="22">
        <v>-1.68396E-2</v>
      </c>
      <c r="AJ167" s="22">
        <v>157</v>
      </c>
      <c r="AK167" s="22">
        <v>0.68994100000000003</v>
      </c>
      <c r="AL167">
        <f t="shared" si="30"/>
        <v>16.839600000000001</v>
      </c>
      <c r="AM167">
        <f t="shared" si="31"/>
        <v>11.629646674800002</v>
      </c>
      <c r="AP167" s="9"/>
      <c r="AQ167" s="22">
        <v>1.0093700000000001</v>
      </c>
      <c r="AR167" s="22">
        <v>457.98399999999998</v>
      </c>
      <c r="AS167" s="22">
        <v>-1.6445899999999999E-2</v>
      </c>
      <c r="AT167" s="22">
        <v>157</v>
      </c>
      <c r="AU167" s="22">
        <v>1.0083</v>
      </c>
      <c r="AV167">
        <f t="shared" si="32"/>
        <v>16.445899999999998</v>
      </c>
      <c r="AW167">
        <f t="shared" si="33"/>
        <v>16.599998082999999</v>
      </c>
      <c r="AX167" s="9"/>
      <c r="AY167" s="22">
        <v>0.69061300000000003</v>
      </c>
      <c r="AZ167" s="22">
        <v>535.00900000000001</v>
      </c>
      <c r="BA167" s="22">
        <v>-1.67297E-2</v>
      </c>
      <c r="BB167" s="22">
        <v>157</v>
      </c>
      <c r="BC167" s="22">
        <v>0.68994100000000003</v>
      </c>
      <c r="BD167">
        <f t="shared" si="34"/>
        <v>16.729700000000001</v>
      </c>
      <c r="BE167">
        <f t="shared" si="35"/>
        <v>11.553748306100001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91.684100000000001</v>
      </c>
      <c r="I168" s="22">
        <v>-1.6567999999999999E-2</v>
      </c>
      <c r="J168" s="22">
        <v>158</v>
      </c>
      <c r="K168" s="22">
        <v>1.00342</v>
      </c>
      <c r="L168">
        <f t="shared" si="24"/>
        <v>16.567999999999998</v>
      </c>
      <c r="M168">
        <f t="shared" si="25"/>
        <v>16.639739439999996</v>
      </c>
      <c r="N168" s="9"/>
      <c r="O168" s="22">
        <v>0.69564800000000004</v>
      </c>
      <c r="P168" s="22">
        <v>185.648</v>
      </c>
      <c r="Q168" s="22">
        <v>-1.6857899999999999E-2</v>
      </c>
      <c r="R168" s="22">
        <v>158</v>
      </c>
      <c r="S168" s="22">
        <v>0.69494599999999995</v>
      </c>
      <c r="T168">
        <f t="shared" si="26"/>
        <v>16.857899999999997</v>
      </c>
      <c r="U168">
        <f t="shared" si="27"/>
        <v>11.727164419199999</v>
      </c>
      <c r="X168" s="9"/>
      <c r="Y168" s="22">
        <v>1.0043299999999999</v>
      </c>
      <c r="Z168" s="22">
        <v>303.41699999999997</v>
      </c>
      <c r="AA168" s="22">
        <v>-1.65253E-2</v>
      </c>
      <c r="AB168" s="22">
        <v>158</v>
      </c>
      <c r="AC168" s="22">
        <v>1.00281</v>
      </c>
      <c r="AD168">
        <f t="shared" si="28"/>
        <v>16.525300000000001</v>
      </c>
      <c r="AE168">
        <f t="shared" si="29"/>
        <v>16.596854549</v>
      </c>
      <c r="AF168" s="9"/>
      <c r="AG168" s="22">
        <v>0.69564800000000004</v>
      </c>
      <c r="AH168" s="22">
        <v>368.78300000000002</v>
      </c>
      <c r="AI168" s="22">
        <v>-1.6833500000000001E-2</v>
      </c>
      <c r="AJ168" s="22">
        <v>158</v>
      </c>
      <c r="AK168" s="22">
        <v>0.69497699999999996</v>
      </c>
      <c r="AL168">
        <f t="shared" si="30"/>
        <v>16.833500000000001</v>
      </c>
      <c r="AM168">
        <f t="shared" si="31"/>
        <v>11.710190608000001</v>
      </c>
      <c r="AP168" s="9"/>
      <c r="AQ168" s="22">
        <v>1.0043299999999999</v>
      </c>
      <c r="AR168" s="22">
        <v>458.084</v>
      </c>
      <c r="AS168" s="22">
        <v>-1.64551E-2</v>
      </c>
      <c r="AT168" s="22">
        <v>158</v>
      </c>
      <c r="AU168" s="22">
        <v>1.00342</v>
      </c>
      <c r="AV168">
        <f t="shared" si="32"/>
        <v>16.455100000000002</v>
      </c>
      <c r="AW168">
        <f t="shared" si="33"/>
        <v>16.526350582999999</v>
      </c>
      <c r="AX168" s="9"/>
      <c r="AY168" s="22">
        <v>0.69564800000000004</v>
      </c>
      <c r="AZ168" s="22">
        <v>535.10900000000004</v>
      </c>
      <c r="BA168" s="22">
        <v>-1.6726700000000001E-2</v>
      </c>
      <c r="BB168" s="22">
        <v>158</v>
      </c>
      <c r="BC168" s="22">
        <v>0.69497699999999996</v>
      </c>
      <c r="BD168">
        <f t="shared" si="34"/>
        <v>16.726700000000001</v>
      </c>
      <c r="BE168">
        <f t="shared" si="35"/>
        <v>11.635895401600001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91.784800000000004</v>
      </c>
      <c r="I169" s="22">
        <v>-1.6589400000000001E-2</v>
      </c>
      <c r="J169" s="22">
        <v>159</v>
      </c>
      <c r="K169" s="22">
        <v>0.99853499999999995</v>
      </c>
      <c r="L169">
        <f t="shared" si="24"/>
        <v>16.589400000000001</v>
      </c>
      <c r="M169">
        <f t="shared" si="25"/>
        <v>16.577754241200001</v>
      </c>
      <c r="N169" s="9"/>
      <c r="O169" s="22">
        <v>0.70068399999999997</v>
      </c>
      <c r="P169" s="22">
        <v>185.74799999999999</v>
      </c>
      <c r="Q169" s="22">
        <v>-1.6857899999999999E-2</v>
      </c>
      <c r="R169" s="22">
        <v>159</v>
      </c>
      <c r="S169" s="22">
        <v>0.70001199999999997</v>
      </c>
      <c r="T169">
        <f t="shared" si="26"/>
        <v>16.857899999999997</v>
      </c>
      <c r="U169">
        <f t="shared" si="27"/>
        <v>11.812060803599998</v>
      </c>
      <c r="X169" s="9"/>
      <c r="Y169" s="22">
        <v>0.99929800000000002</v>
      </c>
      <c r="Z169" s="22">
        <v>303.517</v>
      </c>
      <c r="AA169" s="22">
        <v>-1.65253E-2</v>
      </c>
      <c r="AB169" s="22">
        <v>159</v>
      </c>
      <c r="AC169" s="22">
        <v>0.99822999999999995</v>
      </c>
      <c r="AD169">
        <f t="shared" si="28"/>
        <v>16.525300000000001</v>
      </c>
      <c r="AE169">
        <f t="shared" si="29"/>
        <v>16.513699239400001</v>
      </c>
      <c r="AF169" s="9"/>
      <c r="AG169" s="22">
        <v>0.70068399999999997</v>
      </c>
      <c r="AH169" s="22">
        <v>368.88299999999998</v>
      </c>
      <c r="AI169" s="22">
        <v>-1.68243E-2</v>
      </c>
      <c r="AJ169" s="22">
        <v>159</v>
      </c>
      <c r="AK169" s="22">
        <v>0.69998199999999999</v>
      </c>
      <c r="AL169">
        <f t="shared" si="30"/>
        <v>16.824300000000001</v>
      </c>
      <c r="AM169">
        <f t="shared" si="31"/>
        <v>11.788517821200001</v>
      </c>
      <c r="AP169" s="9"/>
      <c r="AQ169" s="22">
        <v>0.99929800000000002</v>
      </c>
      <c r="AR169" s="22">
        <v>458.185</v>
      </c>
      <c r="AS169" s="22">
        <v>-1.6448999999999998E-2</v>
      </c>
      <c r="AT169" s="22">
        <v>159</v>
      </c>
      <c r="AU169" s="22">
        <v>0.99822999999999995</v>
      </c>
      <c r="AV169">
        <f t="shared" si="32"/>
        <v>16.448999999999998</v>
      </c>
      <c r="AW169">
        <f t="shared" si="33"/>
        <v>16.437452801999999</v>
      </c>
      <c r="AX169" s="9"/>
      <c r="AY169" s="22">
        <v>0.70068399999999997</v>
      </c>
      <c r="AZ169" s="22">
        <v>535.21</v>
      </c>
      <c r="BA169" s="22">
        <v>-1.6720599999999999E-2</v>
      </c>
      <c r="BB169" s="22">
        <v>159</v>
      </c>
      <c r="BC169" s="22">
        <v>0.70007299999999995</v>
      </c>
      <c r="BD169">
        <f t="shared" si="34"/>
        <v>16.720599999999997</v>
      </c>
      <c r="BE169">
        <f t="shared" si="35"/>
        <v>11.715856890399998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91.885499999999993</v>
      </c>
      <c r="I170" s="22">
        <v>-1.6589400000000001E-2</v>
      </c>
      <c r="J170" s="22">
        <v>160</v>
      </c>
      <c r="K170" s="22">
        <v>0.99334699999999998</v>
      </c>
      <c r="L170">
        <f t="shared" si="24"/>
        <v>16.589400000000001</v>
      </c>
      <c r="M170">
        <f t="shared" si="25"/>
        <v>16.494226612200002</v>
      </c>
      <c r="N170" s="9"/>
      <c r="O170" s="22">
        <v>0.70571899999999999</v>
      </c>
      <c r="P170" s="22">
        <v>185.84899999999999</v>
      </c>
      <c r="Q170" s="22">
        <v>-1.6854899999999999E-2</v>
      </c>
      <c r="R170" s="22">
        <v>160</v>
      </c>
      <c r="S170" s="22">
        <v>0.70510899999999999</v>
      </c>
      <c r="T170">
        <f t="shared" si="26"/>
        <v>16.854900000000001</v>
      </c>
      <c r="U170">
        <f t="shared" si="27"/>
        <v>11.894823173100001</v>
      </c>
      <c r="X170" s="9"/>
      <c r="Y170" s="22">
        <v>0.99426300000000001</v>
      </c>
      <c r="Z170" s="22">
        <v>303.61799999999999</v>
      </c>
      <c r="AA170" s="22">
        <v>-1.65405E-2</v>
      </c>
      <c r="AB170" s="22">
        <v>160</v>
      </c>
      <c r="AC170" s="22">
        <v>0.99304199999999998</v>
      </c>
      <c r="AD170">
        <f t="shared" si="28"/>
        <v>16.540499999999998</v>
      </c>
      <c r="AE170">
        <f t="shared" si="29"/>
        <v>16.445607151499999</v>
      </c>
      <c r="AF170" s="9"/>
      <c r="AG170" s="22">
        <v>0.70571899999999999</v>
      </c>
      <c r="AH170" s="22">
        <v>368.98399999999998</v>
      </c>
      <c r="AI170" s="22">
        <v>-1.68243E-2</v>
      </c>
      <c r="AJ170" s="22">
        <v>160</v>
      </c>
      <c r="AK170" s="22">
        <v>0.70498700000000003</v>
      </c>
      <c r="AL170">
        <f t="shared" si="30"/>
        <v>16.824300000000001</v>
      </c>
      <c r="AM170">
        <f t="shared" si="31"/>
        <v>11.873228171700001</v>
      </c>
      <c r="AP170" s="9"/>
      <c r="AQ170" s="22">
        <v>0.99426300000000001</v>
      </c>
      <c r="AR170" s="22">
        <v>458.286</v>
      </c>
      <c r="AS170" s="22">
        <v>-1.6461199999999999E-2</v>
      </c>
      <c r="AT170" s="22">
        <v>160</v>
      </c>
      <c r="AU170" s="22">
        <v>0.99365199999999998</v>
      </c>
      <c r="AV170">
        <f t="shared" si="32"/>
        <v>16.461199999999998</v>
      </c>
      <c r="AW170">
        <f t="shared" si="33"/>
        <v>16.366762095599999</v>
      </c>
      <c r="AX170" s="9"/>
      <c r="AY170" s="22">
        <v>0.70571899999999999</v>
      </c>
      <c r="AZ170" s="22">
        <v>535.31100000000004</v>
      </c>
      <c r="BA170" s="22">
        <v>-1.67023E-2</v>
      </c>
      <c r="BB170" s="22">
        <v>160</v>
      </c>
      <c r="BC170" s="22">
        <v>0.70513899999999996</v>
      </c>
      <c r="BD170">
        <f t="shared" si="34"/>
        <v>16.702300000000001</v>
      </c>
      <c r="BE170">
        <f t="shared" si="35"/>
        <v>11.7871304537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91.9863</v>
      </c>
      <c r="I171" s="22">
        <v>-1.6601600000000001E-2</v>
      </c>
      <c r="J171" s="22">
        <v>161</v>
      </c>
      <c r="K171" s="22">
        <v>0.98815900000000001</v>
      </c>
      <c r="L171">
        <f t="shared" si="24"/>
        <v>16.601600000000001</v>
      </c>
      <c r="M171">
        <f t="shared" si="25"/>
        <v>16.422750963200002</v>
      </c>
      <c r="N171" s="9"/>
      <c r="O171" s="22">
        <v>0.710754</v>
      </c>
      <c r="P171" s="22">
        <v>185.95</v>
      </c>
      <c r="Q171" s="22">
        <v>-1.6854899999999999E-2</v>
      </c>
      <c r="R171" s="22">
        <v>161</v>
      </c>
      <c r="S171" s="22">
        <v>0.70996099999999995</v>
      </c>
      <c r="T171">
        <f t="shared" si="26"/>
        <v>16.854900000000001</v>
      </c>
      <c r="U171">
        <f t="shared" si="27"/>
        <v>11.9796875946</v>
      </c>
      <c r="X171" s="9"/>
      <c r="Y171" s="22">
        <v>0.98922699999999997</v>
      </c>
      <c r="Z171" s="22">
        <v>303.71899999999999</v>
      </c>
      <c r="AA171" s="22">
        <v>-1.6549700000000001E-2</v>
      </c>
      <c r="AB171" s="22">
        <v>161</v>
      </c>
      <c r="AC171" s="22">
        <v>0.98877000000000004</v>
      </c>
      <c r="AD171">
        <f t="shared" si="28"/>
        <v>16.549700000000001</v>
      </c>
      <c r="AE171">
        <f t="shared" si="29"/>
        <v>16.371410081900002</v>
      </c>
      <c r="AF171" s="9"/>
      <c r="AG171" s="22">
        <v>0.710754</v>
      </c>
      <c r="AH171" s="22">
        <v>369.08499999999998</v>
      </c>
      <c r="AI171" s="22">
        <v>-1.68243E-2</v>
      </c>
      <c r="AJ171" s="22">
        <v>161</v>
      </c>
      <c r="AK171" s="22">
        <v>0.71002200000000004</v>
      </c>
      <c r="AL171">
        <f t="shared" si="30"/>
        <v>16.824300000000001</v>
      </c>
      <c r="AM171">
        <f t="shared" si="31"/>
        <v>11.957938522200001</v>
      </c>
      <c r="AP171" s="9"/>
      <c r="AQ171" s="22">
        <v>0.98922699999999997</v>
      </c>
      <c r="AR171" s="22">
        <v>458.38600000000002</v>
      </c>
      <c r="AS171" s="22">
        <v>-1.6461199999999999E-2</v>
      </c>
      <c r="AT171" s="22">
        <v>161</v>
      </c>
      <c r="AU171" s="22">
        <v>0.98815900000000001</v>
      </c>
      <c r="AV171">
        <f t="shared" si="32"/>
        <v>16.461199999999998</v>
      </c>
      <c r="AW171">
        <f t="shared" si="33"/>
        <v>16.283863492399998</v>
      </c>
      <c r="AX171" s="9"/>
      <c r="AY171" s="22">
        <v>0.710754</v>
      </c>
      <c r="AZ171" s="22">
        <v>535.41200000000003</v>
      </c>
      <c r="BA171" s="22">
        <v>-1.6711400000000001E-2</v>
      </c>
      <c r="BB171" s="22">
        <v>161</v>
      </c>
      <c r="BC171" s="22">
        <v>0.71008300000000002</v>
      </c>
      <c r="BD171">
        <f t="shared" si="34"/>
        <v>16.711400000000001</v>
      </c>
      <c r="BE171">
        <f t="shared" si="35"/>
        <v>11.877694395600001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92.087000000000003</v>
      </c>
      <c r="I172" s="22">
        <v>-1.66077E-2</v>
      </c>
      <c r="J172" s="22">
        <v>162</v>
      </c>
      <c r="K172" s="22">
        <v>0.98297100000000004</v>
      </c>
      <c r="L172">
        <f t="shared" si="24"/>
        <v>16.607700000000001</v>
      </c>
      <c r="M172">
        <f t="shared" si="25"/>
        <v>16.345165478400002</v>
      </c>
      <c r="N172" s="9"/>
      <c r="O172" s="22">
        <v>0.71579000000000004</v>
      </c>
      <c r="P172" s="22">
        <v>186.05099999999999</v>
      </c>
      <c r="Q172" s="22">
        <v>-1.68396E-2</v>
      </c>
      <c r="R172" s="22">
        <v>162</v>
      </c>
      <c r="S172" s="22">
        <v>0.71505700000000005</v>
      </c>
      <c r="T172">
        <f t="shared" si="26"/>
        <v>16.839600000000001</v>
      </c>
      <c r="U172">
        <f t="shared" si="27"/>
        <v>12.053617284000001</v>
      </c>
      <c r="X172" s="9"/>
      <c r="Y172" s="22">
        <v>0.98419199999999996</v>
      </c>
      <c r="Z172" s="22">
        <v>303.82</v>
      </c>
      <c r="AA172" s="22">
        <v>-1.6549700000000001E-2</v>
      </c>
      <c r="AB172" s="22">
        <v>162</v>
      </c>
      <c r="AC172" s="22">
        <v>0.98297100000000004</v>
      </c>
      <c r="AD172">
        <f t="shared" si="28"/>
        <v>16.549700000000001</v>
      </c>
      <c r="AE172">
        <f t="shared" si="29"/>
        <v>16.288082342399999</v>
      </c>
      <c r="AF172" s="9"/>
      <c r="AG172" s="22">
        <v>0.71579000000000004</v>
      </c>
      <c r="AH172" s="22">
        <v>369.18599999999998</v>
      </c>
      <c r="AI172" s="22">
        <v>-1.6821300000000001E-2</v>
      </c>
      <c r="AJ172" s="22">
        <v>162</v>
      </c>
      <c r="AK172" s="22">
        <v>0.71521000000000001</v>
      </c>
      <c r="AL172">
        <f t="shared" si="30"/>
        <v>16.821300000000001</v>
      </c>
      <c r="AM172">
        <f t="shared" si="31"/>
        <v>12.040518327000001</v>
      </c>
      <c r="AP172" s="9"/>
      <c r="AQ172" s="22">
        <v>0.98419199999999996</v>
      </c>
      <c r="AR172" s="22">
        <v>458.48700000000002</v>
      </c>
      <c r="AS172" s="22">
        <v>-1.64581E-2</v>
      </c>
      <c r="AT172" s="22">
        <v>162</v>
      </c>
      <c r="AU172" s="22">
        <v>0.98297100000000004</v>
      </c>
      <c r="AV172">
        <f t="shared" si="32"/>
        <v>16.458099999999998</v>
      </c>
      <c r="AW172">
        <f t="shared" si="33"/>
        <v>16.197930355199997</v>
      </c>
      <c r="AX172" s="9"/>
      <c r="AY172" s="22">
        <v>0.71579000000000004</v>
      </c>
      <c r="AZ172" s="22">
        <v>535.51199999999994</v>
      </c>
      <c r="BA172" s="22">
        <v>-1.6705299999999999E-2</v>
      </c>
      <c r="BB172" s="22">
        <v>162</v>
      </c>
      <c r="BC172" s="22">
        <v>0.71523999999999999</v>
      </c>
      <c r="BD172">
        <f t="shared" si="34"/>
        <v>16.705299999999998</v>
      </c>
      <c r="BE172">
        <f t="shared" si="35"/>
        <v>11.957486686999999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92.187700000000007</v>
      </c>
      <c r="I173" s="22">
        <v>-1.6595499999999999E-2</v>
      </c>
      <c r="J173" s="22">
        <v>163</v>
      </c>
      <c r="K173" s="22">
        <v>0.97839399999999999</v>
      </c>
      <c r="L173">
        <f t="shared" si="24"/>
        <v>16.595499999999998</v>
      </c>
      <c r="M173">
        <f t="shared" si="25"/>
        <v>16.249583397999999</v>
      </c>
      <c r="N173" s="9"/>
      <c r="O173" s="22">
        <v>0.72082500000000005</v>
      </c>
      <c r="P173" s="22">
        <v>186.15100000000001</v>
      </c>
      <c r="Q173" s="22">
        <v>-1.6842699999999999E-2</v>
      </c>
      <c r="R173" s="22">
        <v>163</v>
      </c>
      <c r="S173" s="22">
        <v>0.72021500000000005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0.97915600000000003</v>
      </c>
      <c r="Z173" s="22">
        <v>303.92</v>
      </c>
      <c r="AA173" s="22">
        <v>-1.65405E-2</v>
      </c>
      <c r="AB173" s="22">
        <v>163</v>
      </c>
      <c r="AC173" s="22">
        <v>0.97869899999999999</v>
      </c>
      <c r="AD173">
        <f t="shared" si="28"/>
        <v>16.540499999999998</v>
      </c>
      <c r="AE173">
        <f t="shared" si="29"/>
        <v>16.195729818</v>
      </c>
      <c r="AF173" s="9"/>
      <c r="AG173" s="22">
        <v>0.72082500000000005</v>
      </c>
      <c r="AH173" s="22">
        <v>369.286</v>
      </c>
      <c r="AI173" s="22">
        <v>-1.6815199999999999E-2</v>
      </c>
      <c r="AJ173" s="22">
        <v>163</v>
      </c>
      <c r="AK173" s="22">
        <v>0.72018400000000005</v>
      </c>
      <c r="AL173">
        <f t="shared" si="30"/>
        <v>16.815199999999997</v>
      </c>
      <c r="AM173">
        <f t="shared" si="31"/>
        <v>12.120816539999998</v>
      </c>
      <c r="AP173" s="9"/>
      <c r="AQ173" s="22">
        <v>0.97915600000000003</v>
      </c>
      <c r="AR173" s="22">
        <v>458.58800000000002</v>
      </c>
      <c r="AS173" s="22">
        <v>-1.6476399999999999E-2</v>
      </c>
      <c r="AT173" s="22">
        <v>163</v>
      </c>
      <c r="AU173" s="22">
        <v>0.97808799999999996</v>
      </c>
      <c r="AV173">
        <f t="shared" si="32"/>
        <v>16.476399999999998</v>
      </c>
      <c r="AW173">
        <f t="shared" si="33"/>
        <v>16.1329659184</v>
      </c>
      <c r="AX173" s="9"/>
      <c r="AY173" s="22">
        <v>0.72082500000000005</v>
      </c>
      <c r="AZ173" s="22">
        <v>535.61300000000006</v>
      </c>
      <c r="BA173" s="22">
        <v>-1.6693099999999999E-2</v>
      </c>
      <c r="BB173" s="22">
        <v>163</v>
      </c>
      <c r="BC173" s="22">
        <v>0.72018400000000005</v>
      </c>
      <c r="BD173">
        <f t="shared" si="34"/>
        <v>16.693099999999998</v>
      </c>
      <c r="BE173">
        <f t="shared" si="35"/>
        <v>12.032803807499999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92.288399999999996</v>
      </c>
      <c r="I174" s="22">
        <v>-1.6616800000000001E-2</v>
      </c>
      <c r="J174" s="22">
        <v>164</v>
      </c>
      <c r="K174" s="22">
        <v>0.97320600000000002</v>
      </c>
      <c r="L174">
        <f t="shared" si="24"/>
        <v>16.616800000000001</v>
      </c>
      <c r="M174">
        <f t="shared" si="25"/>
        <v>16.1867738328</v>
      </c>
      <c r="N174" s="9"/>
      <c r="O174" s="22">
        <v>0.72586099999999998</v>
      </c>
      <c r="P174" s="22">
        <v>186.25200000000001</v>
      </c>
      <c r="Q174" s="22">
        <v>-1.68396E-2</v>
      </c>
      <c r="R174" s="22">
        <v>164</v>
      </c>
      <c r="S174" s="22">
        <v>0.72512799999999999</v>
      </c>
      <c r="T174">
        <f t="shared" si="26"/>
        <v>16.839600000000001</v>
      </c>
      <c r="U174">
        <f t="shared" si="27"/>
        <v>12.223208895600001</v>
      </c>
      <c r="X174" s="9"/>
      <c r="Y174" s="22">
        <v>0.97412100000000001</v>
      </c>
      <c r="Z174" s="22">
        <v>304.02100000000002</v>
      </c>
      <c r="AA174" s="22">
        <v>-1.6555799999999999E-2</v>
      </c>
      <c r="AB174" s="22">
        <v>164</v>
      </c>
      <c r="AC174" s="22">
        <v>0.97320600000000002</v>
      </c>
      <c r="AD174">
        <f t="shared" si="28"/>
        <v>16.555799999999998</v>
      </c>
      <c r="AE174">
        <f t="shared" si="29"/>
        <v>16.127352451799997</v>
      </c>
      <c r="AF174" s="9"/>
      <c r="AG174" s="22">
        <v>0.72586099999999998</v>
      </c>
      <c r="AH174" s="22">
        <v>369.387</v>
      </c>
      <c r="AI174" s="22">
        <v>-1.6802999999999998E-2</v>
      </c>
      <c r="AJ174" s="22">
        <v>164</v>
      </c>
      <c r="AK174" s="22">
        <v>0.72528099999999995</v>
      </c>
      <c r="AL174">
        <f t="shared" si="30"/>
        <v>16.802999999999997</v>
      </c>
      <c r="AM174">
        <f t="shared" si="31"/>
        <v>12.196642382999997</v>
      </c>
      <c r="AP174" s="9"/>
      <c r="AQ174" s="22">
        <v>0.97412100000000001</v>
      </c>
      <c r="AR174" s="22">
        <v>458.68799999999999</v>
      </c>
      <c r="AS174" s="22">
        <v>-1.64978E-2</v>
      </c>
      <c r="AT174" s="22">
        <v>164</v>
      </c>
      <c r="AU174" s="22">
        <v>0.97351100000000002</v>
      </c>
      <c r="AV174">
        <f t="shared" si="32"/>
        <v>16.497800000000002</v>
      </c>
      <c r="AW174">
        <f t="shared" si="33"/>
        <v>16.070853433800004</v>
      </c>
      <c r="AX174" s="9"/>
      <c r="AY174" s="22">
        <v>0.72586099999999998</v>
      </c>
      <c r="AZ174" s="22">
        <v>535.71400000000006</v>
      </c>
      <c r="BA174" s="22">
        <v>-1.67023E-2</v>
      </c>
      <c r="BB174" s="22">
        <v>164</v>
      </c>
      <c r="BC174" s="22">
        <v>0.72512799999999999</v>
      </c>
      <c r="BD174">
        <f t="shared" si="34"/>
        <v>16.702300000000001</v>
      </c>
      <c r="BE174">
        <f t="shared" si="35"/>
        <v>12.1235481803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92.389099999999999</v>
      </c>
      <c r="I175" s="22">
        <v>-1.66199E-2</v>
      </c>
      <c r="J175" s="22">
        <v>165</v>
      </c>
      <c r="K175" s="22">
        <v>0.96832300000000004</v>
      </c>
      <c r="L175">
        <f t="shared" si="24"/>
        <v>16.619900000000001</v>
      </c>
      <c r="M175">
        <f t="shared" si="25"/>
        <v>16.106112411400002</v>
      </c>
      <c r="N175" s="9"/>
      <c r="O175" s="22">
        <v>0.73089599999999999</v>
      </c>
      <c r="P175" s="22">
        <v>186.35300000000001</v>
      </c>
      <c r="Q175" s="22">
        <v>-1.6854899999999999E-2</v>
      </c>
      <c r="R175" s="22">
        <v>165</v>
      </c>
      <c r="S175" s="22">
        <v>0.73025499999999999</v>
      </c>
      <c r="T175">
        <f t="shared" si="26"/>
        <v>16.854900000000001</v>
      </c>
      <c r="U175">
        <f t="shared" si="27"/>
        <v>12.319178990400001</v>
      </c>
      <c r="X175" s="9"/>
      <c r="Y175" s="22">
        <v>0.969086</v>
      </c>
      <c r="Z175" s="22">
        <v>304.12200000000001</v>
      </c>
      <c r="AA175" s="22">
        <v>-1.65527E-2</v>
      </c>
      <c r="AB175" s="22">
        <v>165</v>
      </c>
      <c r="AC175" s="22">
        <v>0.96771200000000002</v>
      </c>
      <c r="AD175">
        <f t="shared" si="28"/>
        <v>16.552700000000002</v>
      </c>
      <c r="AE175">
        <f t="shared" si="29"/>
        <v>16.040989832200001</v>
      </c>
      <c r="AF175" s="9"/>
      <c r="AG175" s="22">
        <v>0.73089599999999999</v>
      </c>
      <c r="AH175" s="22">
        <v>369.488</v>
      </c>
      <c r="AI175" s="22">
        <v>-1.6793800000000001E-2</v>
      </c>
      <c r="AJ175" s="22">
        <v>165</v>
      </c>
      <c r="AK175" s="22">
        <v>0.73022500000000001</v>
      </c>
      <c r="AL175">
        <f t="shared" si="30"/>
        <v>16.793800000000001</v>
      </c>
      <c r="AM175">
        <f t="shared" si="31"/>
        <v>12.274521244800001</v>
      </c>
      <c r="AP175" s="9"/>
      <c r="AQ175" s="22">
        <v>0.969086</v>
      </c>
      <c r="AR175" s="22">
        <v>458.78899999999999</v>
      </c>
      <c r="AS175" s="22">
        <v>-1.64856E-2</v>
      </c>
      <c r="AT175" s="22">
        <v>165</v>
      </c>
      <c r="AU175" s="22">
        <v>0.96771200000000002</v>
      </c>
      <c r="AV175">
        <f t="shared" si="32"/>
        <v>16.485599999999998</v>
      </c>
      <c r="AW175">
        <f t="shared" si="33"/>
        <v>15.975964161599999</v>
      </c>
      <c r="AX175" s="9"/>
      <c r="AY175" s="22">
        <v>0.73089599999999999</v>
      </c>
      <c r="AZ175" s="22">
        <v>535.81399999999996</v>
      </c>
      <c r="BA175" s="22">
        <v>-1.6708400000000002E-2</v>
      </c>
      <c r="BB175" s="22">
        <v>165</v>
      </c>
      <c r="BC175" s="22">
        <v>0.73019400000000001</v>
      </c>
      <c r="BD175">
        <f t="shared" si="34"/>
        <v>16.708400000000001</v>
      </c>
      <c r="BE175">
        <f t="shared" si="35"/>
        <v>12.212102726400001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92.489800000000002</v>
      </c>
      <c r="I176" s="22">
        <v>-1.6622899999999999E-2</v>
      </c>
      <c r="J176" s="22">
        <v>166</v>
      </c>
      <c r="K176" s="22">
        <v>0.96313499999999996</v>
      </c>
      <c r="L176">
        <f t="shared" si="24"/>
        <v>16.622899999999998</v>
      </c>
      <c r="M176">
        <f t="shared" si="25"/>
        <v>16.025306744999998</v>
      </c>
      <c r="N176" s="9"/>
      <c r="O176" s="22">
        <v>0.735931</v>
      </c>
      <c r="P176" s="22">
        <v>186.453</v>
      </c>
      <c r="Q176" s="22">
        <v>-1.6848800000000001E-2</v>
      </c>
      <c r="R176" s="22">
        <v>166</v>
      </c>
      <c r="S176" s="22">
        <v>0.73529100000000003</v>
      </c>
      <c r="T176">
        <f t="shared" si="26"/>
        <v>16.848800000000001</v>
      </c>
      <c r="U176">
        <f t="shared" si="27"/>
        <v>12.3995542328</v>
      </c>
      <c r="X176" s="9"/>
      <c r="Y176" s="22">
        <v>0.96404999999999996</v>
      </c>
      <c r="Z176" s="22">
        <v>304.22199999999998</v>
      </c>
      <c r="AA176" s="22">
        <v>-1.6567999999999999E-2</v>
      </c>
      <c r="AB176" s="22">
        <v>166</v>
      </c>
      <c r="AC176" s="22">
        <v>0.96313499999999996</v>
      </c>
      <c r="AD176">
        <f t="shared" si="28"/>
        <v>16.567999999999998</v>
      </c>
      <c r="AE176">
        <f t="shared" si="29"/>
        <v>15.972380399999997</v>
      </c>
      <c r="AF176" s="9"/>
      <c r="AG176" s="22">
        <v>0.735931</v>
      </c>
      <c r="AH176" s="22">
        <v>369.58800000000002</v>
      </c>
      <c r="AI176" s="22">
        <v>-1.67969E-2</v>
      </c>
      <c r="AJ176" s="22">
        <v>166</v>
      </c>
      <c r="AK176" s="22">
        <v>0.73529100000000003</v>
      </c>
      <c r="AL176">
        <f t="shared" si="30"/>
        <v>16.796900000000001</v>
      </c>
      <c r="AM176">
        <f t="shared" si="31"/>
        <v>12.361359413900001</v>
      </c>
      <c r="AP176" s="9"/>
      <c r="AQ176" s="22">
        <v>0.96404999999999996</v>
      </c>
      <c r="AR176" s="22">
        <v>458.89</v>
      </c>
      <c r="AS176" s="22">
        <v>-1.64856E-2</v>
      </c>
      <c r="AT176" s="22">
        <v>166</v>
      </c>
      <c r="AU176" s="22">
        <v>0.96313499999999996</v>
      </c>
      <c r="AV176">
        <f t="shared" si="32"/>
        <v>16.485599999999998</v>
      </c>
      <c r="AW176">
        <f t="shared" si="33"/>
        <v>15.892942679999997</v>
      </c>
      <c r="AX176" s="9"/>
      <c r="AY176" s="22">
        <v>0.735931</v>
      </c>
      <c r="AZ176" s="22">
        <v>535.91499999999996</v>
      </c>
      <c r="BA176" s="22">
        <v>-1.6711400000000001E-2</v>
      </c>
      <c r="BB176" s="22">
        <v>166</v>
      </c>
      <c r="BC176" s="22">
        <v>0.73526000000000002</v>
      </c>
      <c r="BD176">
        <f t="shared" si="34"/>
        <v>16.711400000000001</v>
      </c>
      <c r="BE176">
        <f t="shared" si="35"/>
        <v>12.298437313400001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92.590500000000006</v>
      </c>
      <c r="I177" s="22">
        <v>-1.66351E-2</v>
      </c>
      <c r="J177" s="22">
        <v>167</v>
      </c>
      <c r="K177" s="22">
        <v>0.95794699999999999</v>
      </c>
      <c r="L177">
        <f t="shared" si="24"/>
        <v>16.635100000000001</v>
      </c>
      <c r="M177">
        <f t="shared" si="25"/>
        <v>15.9533104265</v>
      </c>
      <c r="N177" s="9"/>
      <c r="O177" s="22">
        <v>0.74096700000000004</v>
      </c>
      <c r="P177" s="22">
        <v>186.554</v>
      </c>
      <c r="Q177" s="22">
        <v>-1.6864000000000001E-2</v>
      </c>
      <c r="R177" s="22">
        <v>167</v>
      </c>
      <c r="S177" s="22">
        <v>0.74029500000000004</v>
      </c>
      <c r="T177">
        <f t="shared" si="26"/>
        <v>16.864000000000001</v>
      </c>
      <c r="U177">
        <f t="shared" si="27"/>
        <v>12.495667488</v>
      </c>
      <c r="X177" s="9"/>
      <c r="Y177" s="22">
        <v>0.95901499999999995</v>
      </c>
      <c r="Z177" s="22">
        <v>304.32299999999998</v>
      </c>
      <c r="AA177" s="22">
        <v>-1.6574100000000001E-2</v>
      </c>
      <c r="AB177" s="22">
        <v>167</v>
      </c>
      <c r="AC177" s="22">
        <v>0.95825199999999999</v>
      </c>
      <c r="AD177">
        <f t="shared" si="28"/>
        <v>16.574100000000001</v>
      </c>
      <c r="AE177">
        <f t="shared" si="29"/>
        <v>15.894810511500001</v>
      </c>
      <c r="AF177" s="9"/>
      <c r="AG177" s="22">
        <v>0.74096700000000004</v>
      </c>
      <c r="AH177" s="22">
        <v>369.68900000000002</v>
      </c>
      <c r="AI177" s="22">
        <v>-1.67969E-2</v>
      </c>
      <c r="AJ177" s="22">
        <v>167</v>
      </c>
      <c r="AK177" s="22">
        <v>0.74023399999999995</v>
      </c>
      <c r="AL177">
        <f t="shared" si="30"/>
        <v>16.796900000000001</v>
      </c>
      <c r="AM177">
        <f t="shared" si="31"/>
        <v>12.445948602300001</v>
      </c>
      <c r="AP177" s="9"/>
      <c r="AQ177" s="22">
        <v>0.95901499999999995</v>
      </c>
      <c r="AR177" s="22">
        <v>458.99099999999999</v>
      </c>
      <c r="AS177" s="22">
        <v>-1.6503899999999998E-2</v>
      </c>
      <c r="AT177" s="22">
        <v>167</v>
      </c>
      <c r="AU177" s="22">
        <v>0.95825199999999999</v>
      </c>
      <c r="AV177">
        <f t="shared" si="32"/>
        <v>16.503899999999998</v>
      </c>
      <c r="AW177">
        <f t="shared" si="33"/>
        <v>15.827487658499997</v>
      </c>
      <c r="AX177" s="9"/>
      <c r="AY177" s="22">
        <v>0.74096700000000004</v>
      </c>
      <c r="AZ177" s="22">
        <v>536.01599999999996</v>
      </c>
      <c r="BA177" s="22">
        <v>-1.6693099999999999E-2</v>
      </c>
      <c r="BB177" s="22">
        <v>167</v>
      </c>
      <c r="BC177" s="22">
        <v>0.74026499999999995</v>
      </c>
      <c r="BD177">
        <f t="shared" si="34"/>
        <v>16.693099999999998</v>
      </c>
      <c r="BE177">
        <f t="shared" si="35"/>
        <v>12.369036227699999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92.691199999999995</v>
      </c>
      <c r="I178" s="22">
        <v>-1.6641199999999998E-2</v>
      </c>
      <c r="J178" s="22">
        <v>168</v>
      </c>
      <c r="K178" s="22">
        <v>0.95336900000000002</v>
      </c>
      <c r="L178">
        <f t="shared" si="24"/>
        <v>16.641199999999998</v>
      </c>
      <c r="M178">
        <f t="shared" si="25"/>
        <v>15.875355334799998</v>
      </c>
      <c r="N178" s="9"/>
      <c r="O178" s="22">
        <v>0.74600200000000005</v>
      </c>
      <c r="P178" s="22">
        <v>186.655</v>
      </c>
      <c r="Q178" s="22">
        <v>-1.6857899999999999E-2</v>
      </c>
      <c r="R178" s="22">
        <v>168</v>
      </c>
      <c r="S178" s="22">
        <v>0.74536100000000005</v>
      </c>
      <c r="T178">
        <f t="shared" si="26"/>
        <v>16.857899999999997</v>
      </c>
      <c r="U178">
        <f t="shared" si="27"/>
        <v>12.576027115799999</v>
      </c>
      <c r="X178" s="9"/>
      <c r="Y178" s="22">
        <v>0.95397900000000002</v>
      </c>
      <c r="Z178" s="22">
        <v>304.42399999999998</v>
      </c>
      <c r="AA178" s="22">
        <v>-1.6577100000000001E-2</v>
      </c>
      <c r="AB178" s="22">
        <v>168</v>
      </c>
      <c r="AC178" s="22">
        <v>0.95336900000000002</v>
      </c>
      <c r="AD178">
        <f t="shared" si="28"/>
        <v>16.577100000000002</v>
      </c>
      <c r="AE178">
        <f t="shared" si="29"/>
        <v>15.814205280900001</v>
      </c>
      <c r="AF178" s="9"/>
      <c r="AG178" s="22">
        <v>0.74600200000000005</v>
      </c>
      <c r="AH178" s="22">
        <v>369.79</v>
      </c>
      <c r="AI178" s="22">
        <v>-1.6787699999999999E-2</v>
      </c>
      <c r="AJ178" s="22">
        <v>168</v>
      </c>
      <c r="AK178" s="22">
        <v>0.74533099999999997</v>
      </c>
      <c r="AL178">
        <f t="shared" si="30"/>
        <v>16.787699999999997</v>
      </c>
      <c r="AM178">
        <f t="shared" si="31"/>
        <v>12.523657775399998</v>
      </c>
      <c r="AP178" s="9"/>
      <c r="AQ178" s="22">
        <v>0.95397900000000002</v>
      </c>
      <c r="AR178" s="22">
        <v>459.09100000000001</v>
      </c>
      <c r="AS178" s="22">
        <v>-1.6519200000000001E-2</v>
      </c>
      <c r="AT178" s="22">
        <v>168</v>
      </c>
      <c r="AU178" s="22">
        <v>0.95336900000000002</v>
      </c>
      <c r="AV178">
        <f t="shared" si="32"/>
        <v>16.519200000000001</v>
      </c>
      <c r="AW178">
        <f t="shared" si="33"/>
        <v>15.758969896800002</v>
      </c>
      <c r="AX178" s="9"/>
      <c r="AY178" s="22">
        <v>0.74600200000000005</v>
      </c>
      <c r="AZ178" s="22">
        <v>536.11699999999996</v>
      </c>
      <c r="BA178" s="22">
        <v>-1.6680899999999999E-2</v>
      </c>
      <c r="BB178" s="22">
        <v>168</v>
      </c>
      <c r="BC178" s="22">
        <v>0.74529999999999996</v>
      </c>
      <c r="BD178">
        <f t="shared" si="34"/>
        <v>16.680899999999998</v>
      </c>
      <c r="BE178">
        <f t="shared" si="35"/>
        <v>12.443984761799999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92.791899999999998</v>
      </c>
      <c r="I179" s="22">
        <v>-1.66351E-2</v>
      </c>
      <c r="J179" s="22">
        <v>169</v>
      </c>
      <c r="K179" s="22">
        <v>0.94818100000000005</v>
      </c>
      <c r="L179">
        <f t="shared" si="24"/>
        <v>16.635100000000001</v>
      </c>
      <c r="M179">
        <f t="shared" si="25"/>
        <v>15.785778334400002</v>
      </c>
      <c r="N179" s="9"/>
      <c r="O179" s="22">
        <v>0.75103799999999998</v>
      </c>
      <c r="P179" s="22">
        <v>186.755</v>
      </c>
      <c r="Q179" s="22">
        <v>-1.68396E-2</v>
      </c>
      <c r="R179" s="22">
        <v>169</v>
      </c>
      <c r="S179" s="22">
        <v>0.75027500000000003</v>
      </c>
      <c r="T179">
        <f t="shared" si="26"/>
        <v>16.839600000000001</v>
      </c>
      <c r="U179">
        <f t="shared" si="27"/>
        <v>12.6471795048</v>
      </c>
      <c r="X179" s="9"/>
      <c r="Y179" s="22">
        <v>0.94894400000000001</v>
      </c>
      <c r="Z179" s="22">
        <v>304.524</v>
      </c>
      <c r="AA179" s="22">
        <v>-1.6577100000000001E-2</v>
      </c>
      <c r="AB179" s="22">
        <v>169</v>
      </c>
      <c r="AC179" s="22">
        <v>0.94787600000000005</v>
      </c>
      <c r="AD179">
        <f t="shared" si="28"/>
        <v>16.577100000000002</v>
      </c>
      <c r="AE179">
        <f t="shared" si="29"/>
        <v>15.730739582400002</v>
      </c>
      <c r="AF179" s="9"/>
      <c r="AG179" s="22">
        <v>0.75103799999999998</v>
      </c>
      <c r="AH179" s="22">
        <v>369.89100000000002</v>
      </c>
      <c r="AI179" s="22">
        <v>-1.6772499999999999E-2</v>
      </c>
      <c r="AJ179" s="22">
        <v>169</v>
      </c>
      <c r="AK179" s="22">
        <v>0.75024400000000002</v>
      </c>
      <c r="AL179">
        <f t="shared" si="30"/>
        <v>16.772500000000001</v>
      </c>
      <c r="AM179">
        <f t="shared" si="31"/>
        <v>12.596784855000001</v>
      </c>
      <c r="AP179" s="9"/>
      <c r="AQ179" s="22">
        <v>0.94894400000000001</v>
      </c>
      <c r="AR179" s="22">
        <v>459.19200000000001</v>
      </c>
      <c r="AS179" s="22">
        <v>-1.6531400000000002E-2</v>
      </c>
      <c r="AT179" s="22">
        <v>169</v>
      </c>
      <c r="AU179" s="22">
        <v>0.94787600000000005</v>
      </c>
      <c r="AV179">
        <f t="shared" si="32"/>
        <v>16.531400000000001</v>
      </c>
      <c r="AW179">
        <f t="shared" si="33"/>
        <v>15.687372841600002</v>
      </c>
      <c r="AX179" s="9"/>
      <c r="AY179" s="22">
        <v>0.75103799999999998</v>
      </c>
      <c r="AZ179" s="22">
        <v>536.21699999999998</v>
      </c>
      <c r="BA179" s="22">
        <v>-1.66748E-2</v>
      </c>
      <c r="BB179" s="22">
        <v>169</v>
      </c>
      <c r="BC179" s="22">
        <v>0.750305</v>
      </c>
      <c r="BD179">
        <f t="shared" si="34"/>
        <v>16.674800000000001</v>
      </c>
      <c r="BE179">
        <f t="shared" si="35"/>
        <v>12.523408442400001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92.892600000000002</v>
      </c>
      <c r="I180" s="22">
        <v>-1.6641199999999998E-2</v>
      </c>
      <c r="J180" s="22">
        <v>170</v>
      </c>
      <c r="K180" s="22">
        <v>0.94329799999999997</v>
      </c>
      <c r="L180">
        <f t="shared" si="24"/>
        <v>16.641199999999998</v>
      </c>
      <c r="M180">
        <f t="shared" si="25"/>
        <v>15.707778450799998</v>
      </c>
      <c r="N180" s="9"/>
      <c r="O180" s="22">
        <v>0.756073</v>
      </c>
      <c r="P180" s="22">
        <v>186.85599999999999</v>
      </c>
      <c r="Q180" s="22">
        <v>-1.6821300000000001E-2</v>
      </c>
      <c r="R180" s="22">
        <v>170</v>
      </c>
      <c r="S180" s="22">
        <v>0.75531000000000004</v>
      </c>
      <c r="T180">
        <f t="shared" si="26"/>
        <v>16.821300000000001</v>
      </c>
      <c r="U180">
        <f t="shared" si="27"/>
        <v>12.718130754900001</v>
      </c>
      <c r="X180" s="9"/>
      <c r="Y180" s="22">
        <v>0.943909</v>
      </c>
      <c r="Z180" s="22">
        <v>304.625</v>
      </c>
      <c r="AA180" s="22">
        <v>-1.65802E-2</v>
      </c>
      <c r="AB180" s="22">
        <v>170</v>
      </c>
      <c r="AC180" s="22">
        <v>0.94299299999999997</v>
      </c>
      <c r="AD180">
        <f t="shared" si="28"/>
        <v>16.580200000000001</v>
      </c>
      <c r="AE180">
        <f t="shared" si="29"/>
        <v>15.650200001800002</v>
      </c>
      <c r="AF180" s="9"/>
      <c r="AG180" s="22">
        <v>0.756073</v>
      </c>
      <c r="AH180" s="22">
        <v>369.99099999999999</v>
      </c>
      <c r="AI180" s="22">
        <v>-1.6760299999999999E-2</v>
      </c>
      <c r="AJ180" s="22">
        <v>170</v>
      </c>
      <c r="AK180" s="22">
        <v>0.75531000000000004</v>
      </c>
      <c r="AL180">
        <f t="shared" si="30"/>
        <v>16.760299999999997</v>
      </c>
      <c r="AM180">
        <f t="shared" si="31"/>
        <v>12.672010301899999</v>
      </c>
      <c r="AP180" s="9"/>
      <c r="AQ180" s="22">
        <v>0.943909</v>
      </c>
      <c r="AR180" s="22">
        <v>459.29300000000001</v>
      </c>
      <c r="AS180" s="22">
        <v>-1.6522200000000001E-2</v>
      </c>
      <c r="AT180" s="22">
        <v>170</v>
      </c>
      <c r="AU180" s="22">
        <v>0.94329799999999997</v>
      </c>
      <c r="AV180">
        <f t="shared" si="32"/>
        <v>16.522200000000002</v>
      </c>
      <c r="AW180">
        <f t="shared" si="33"/>
        <v>15.595453279800001</v>
      </c>
      <c r="AX180" s="9"/>
      <c r="AY180" s="22">
        <v>0.756073</v>
      </c>
      <c r="AZ180" s="22">
        <v>536.31799999999998</v>
      </c>
      <c r="BA180" s="22">
        <v>-1.6677899999999999E-2</v>
      </c>
      <c r="BB180" s="22">
        <v>170</v>
      </c>
      <c r="BC180" s="22">
        <v>0.75500500000000004</v>
      </c>
      <c r="BD180">
        <f t="shared" si="34"/>
        <v>16.677899999999998</v>
      </c>
      <c r="BE180">
        <f t="shared" si="35"/>
        <v>12.609709886699997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92.993300000000005</v>
      </c>
      <c r="I181" s="22">
        <v>-1.6650399999999999E-2</v>
      </c>
      <c r="J181" s="22">
        <v>171</v>
      </c>
      <c r="K181" s="22">
        <v>0.93811</v>
      </c>
      <c r="L181">
        <f t="shared" si="24"/>
        <v>16.650399999999998</v>
      </c>
      <c r="M181">
        <f t="shared" si="25"/>
        <v>15.632610999199997</v>
      </c>
      <c r="N181" s="9"/>
      <c r="O181" s="22">
        <v>0.76110800000000001</v>
      </c>
      <c r="P181" s="22">
        <v>186.95699999999999</v>
      </c>
      <c r="Q181" s="22">
        <v>-1.6818199999999998E-2</v>
      </c>
      <c r="R181" s="22">
        <v>171</v>
      </c>
      <c r="S181" s="22">
        <v>0.76049800000000001</v>
      </c>
      <c r="T181">
        <f t="shared" si="26"/>
        <v>16.818199999999997</v>
      </c>
      <c r="U181">
        <f t="shared" si="27"/>
        <v>12.800466565599999</v>
      </c>
      <c r="X181" s="9"/>
      <c r="Y181" s="22">
        <v>0.93887299999999996</v>
      </c>
      <c r="Z181" s="22">
        <v>304.726</v>
      </c>
      <c r="AA181" s="22">
        <v>-1.6598499999999999E-2</v>
      </c>
      <c r="AB181" s="22">
        <v>171</v>
      </c>
      <c r="AC181" s="22">
        <v>0.937805</v>
      </c>
      <c r="AD181">
        <f t="shared" si="28"/>
        <v>16.598499999999998</v>
      </c>
      <c r="AE181">
        <f t="shared" si="29"/>
        <v>15.583883490499998</v>
      </c>
      <c r="AF181" s="9"/>
      <c r="AG181" s="22">
        <v>0.76110800000000001</v>
      </c>
      <c r="AH181" s="22">
        <v>370.09199999999998</v>
      </c>
      <c r="AI181" s="22">
        <v>-1.6763299999999998E-2</v>
      </c>
      <c r="AJ181" s="22">
        <v>171</v>
      </c>
      <c r="AK181" s="22">
        <v>0.76049800000000001</v>
      </c>
      <c r="AL181">
        <f t="shared" si="30"/>
        <v>16.763299999999997</v>
      </c>
      <c r="AM181">
        <f t="shared" si="31"/>
        <v>12.758681736399998</v>
      </c>
      <c r="AP181" s="9"/>
      <c r="AQ181" s="22">
        <v>0.93887299999999996</v>
      </c>
      <c r="AR181" s="22">
        <v>459.39299999999997</v>
      </c>
      <c r="AS181" s="22">
        <v>-1.6543599999999999E-2</v>
      </c>
      <c r="AT181" s="22">
        <v>171</v>
      </c>
      <c r="AU181" s="22">
        <v>0.937805</v>
      </c>
      <c r="AV181">
        <f t="shared" si="32"/>
        <v>16.543599999999998</v>
      </c>
      <c r="AW181">
        <f t="shared" si="33"/>
        <v>15.532339362799997</v>
      </c>
      <c r="AX181" s="9"/>
      <c r="AY181" s="22">
        <v>0.76110800000000001</v>
      </c>
      <c r="AZ181" s="22">
        <v>536.41899999999998</v>
      </c>
      <c r="BA181" s="22">
        <v>-1.6687E-2</v>
      </c>
      <c r="BB181" s="22">
        <v>171</v>
      </c>
      <c r="BC181" s="22">
        <v>0.76049800000000001</v>
      </c>
      <c r="BD181">
        <f t="shared" si="34"/>
        <v>16.687000000000001</v>
      </c>
      <c r="BE181">
        <f t="shared" si="35"/>
        <v>12.700609196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93.093999999999994</v>
      </c>
      <c r="I182" s="22">
        <v>-1.66473E-2</v>
      </c>
      <c r="J182" s="22">
        <v>172</v>
      </c>
      <c r="K182" s="22">
        <v>0.93322799999999995</v>
      </c>
      <c r="L182">
        <f t="shared" si="24"/>
        <v>16.647300000000001</v>
      </c>
      <c r="M182">
        <f t="shared" si="25"/>
        <v>15.545881337400001</v>
      </c>
      <c r="N182" s="9"/>
      <c r="O182" s="22">
        <v>0.76614400000000005</v>
      </c>
      <c r="P182" s="22">
        <v>187.05799999999999</v>
      </c>
      <c r="Q182" s="22">
        <v>-1.6818199999999998E-2</v>
      </c>
      <c r="R182" s="22">
        <v>172</v>
      </c>
      <c r="S182" s="22">
        <v>0.76538099999999998</v>
      </c>
      <c r="T182">
        <f t="shared" si="26"/>
        <v>16.818199999999997</v>
      </c>
      <c r="U182">
        <f t="shared" si="27"/>
        <v>12.885163020799999</v>
      </c>
      <c r="X182" s="9"/>
      <c r="Y182" s="22">
        <v>0.93383799999999995</v>
      </c>
      <c r="Z182" s="22">
        <v>304.827</v>
      </c>
      <c r="AA182" s="22">
        <v>-1.6604600000000001E-2</v>
      </c>
      <c r="AB182" s="22">
        <v>172</v>
      </c>
      <c r="AC182" s="22">
        <v>0.93292200000000003</v>
      </c>
      <c r="AD182">
        <f t="shared" si="28"/>
        <v>16.604600000000001</v>
      </c>
      <c r="AE182">
        <f t="shared" si="29"/>
        <v>15.5060064548</v>
      </c>
      <c r="AF182" s="9"/>
      <c r="AG182" s="22">
        <v>0.76614400000000005</v>
      </c>
      <c r="AH182" s="22">
        <v>370.19299999999998</v>
      </c>
      <c r="AI182" s="22">
        <v>-1.6760299999999999E-2</v>
      </c>
      <c r="AJ182" s="22">
        <v>172</v>
      </c>
      <c r="AK182" s="22">
        <v>0.76507599999999998</v>
      </c>
      <c r="AL182">
        <f t="shared" si="30"/>
        <v>16.760299999999997</v>
      </c>
      <c r="AM182">
        <f t="shared" si="31"/>
        <v>12.840803283199998</v>
      </c>
      <c r="AP182" s="9"/>
      <c r="AQ182" s="22">
        <v>0.93383799999999995</v>
      </c>
      <c r="AR182" s="22">
        <v>459.49400000000003</v>
      </c>
      <c r="AS182" s="22">
        <v>-1.6543599999999999E-2</v>
      </c>
      <c r="AT182" s="22">
        <v>172</v>
      </c>
      <c r="AU182" s="22">
        <v>0.93353299999999995</v>
      </c>
      <c r="AV182">
        <f t="shared" si="32"/>
        <v>16.543599999999998</v>
      </c>
      <c r="AW182">
        <f t="shared" si="33"/>
        <v>15.449042336799996</v>
      </c>
      <c r="AX182" s="9"/>
      <c r="AY182" s="22">
        <v>0.76614400000000005</v>
      </c>
      <c r="AZ182" s="22">
        <v>536.51900000000001</v>
      </c>
      <c r="BA182" s="22">
        <v>-1.6677899999999999E-2</v>
      </c>
      <c r="BB182" s="22">
        <v>172</v>
      </c>
      <c r="BC182" s="22">
        <v>0.76507599999999998</v>
      </c>
      <c r="BD182">
        <f t="shared" si="34"/>
        <v>16.677899999999998</v>
      </c>
      <c r="BE182">
        <f t="shared" si="35"/>
        <v>12.7776730176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93.194699999999997</v>
      </c>
      <c r="I183" s="22">
        <v>-1.6659500000000001E-2</v>
      </c>
      <c r="J183" s="22">
        <v>173</v>
      </c>
      <c r="K183" s="22">
        <v>0.92773399999999995</v>
      </c>
      <c r="L183">
        <f t="shared" si="24"/>
        <v>16.659500000000001</v>
      </c>
      <c r="M183">
        <f t="shared" si="25"/>
        <v>15.473376919000001</v>
      </c>
      <c r="N183" s="9"/>
      <c r="O183" s="22">
        <v>0.77117899999999995</v>
      </c>
      <c r="P183" s="22">
        <v>187.15799999999999</v>
      </c>
      <c r="Q183" s="22">
        <v>-1.6815199999999999E-2</v>
      </c>
      <c r="R183" s="22">
        <v>173</v>
      </c>
      <c r="S183" s="22">
        <v>0.77026399999999995</v>
      </c>
      <c r="T183">
        <f t="shared" si="26"/>
        <v>16.815199999999997</v>
      </c>
      <c r="U183">
        <f t="shared" si="27"/>
        <v>12.967529120799997</v>
      </c>
      <c r="X183" s="9"/>
      <c r="Y183" s="22">
        <v>0.92880200000000002</v>
      </c>
      <c r="Z183" s="22">
        <v>304.92700000000002</v>
      </c>
      <c r="AA183" s="22">
        <v>-1.6601600000000001E-2</v>
      </c>
      <c r="AB183" s="22">
        <v>173</v>
      </c>
      <c r="AC183" s="22">
        <v>0.92773399999999995</v>
      </c>
      <c r="AD183">
        <f t="shared" si="28"/>
        <v>16.601600000000001</v>
      </c>
      <c r="AE183">
        <f t="shared" si="29"/>
        <v>15.419599283200002</v>
      </c>
      <c r="AF183" s="9"/>
      <c r="AG183" s="22">
        <v>0.77117899999999995</v>
      </c>
      <c r="AH183" s="22">
        <v>370.29300000000001</v>
      </c>
      <c r="AI183" s="22">
        <v>-1.6772499999999999E-2</v>
      </c>
      <c r="AJ183" s="22">
        <v>173</v>
      </c>
      <c r="AK183" s="22">
        <v>0.77117899999999995</v>
      </c>
      <c r="AL183">
        <f t="shared" si="30"/>
        <v>16.772500000000001</v>
      </c>
      <c r="AM183">
        <f t="shared" si="31"/>
        <v>12.934599777499999</v>
      </c>
      <c r="AP183" s="9"/>
      <c r="AQ183" s="22">
        <v>0.92880200000000002</v>
      </c>
      <c r="AR183" s="22">
        <v>459.59500000000003</v>
      </c>
      <c r="AS183" s="22">
        <v>-1.6546600000000002E-2</v>
      </c>
      <c r="AT183" s="22">
        <v>173</v>
      </c>
      <c r="AU183" s="22">
        <v>0.92864999999999998</v>
      </c>
      <c r="AV183">
        <f t="shared" si="32"/>
        <v>16.546600000000002</v>
      </c>
      <c r="AW183">
        <f t="shared" si="33"/>
        <v>15.368515173200002</v>
      </c>
      <c r="AX183" s="9"/>
      <c r="AY183" s="22">
        <v>0.77117899999999995</v>
      </c>
      <c r="AZ183" s="22">
        <v>536.62</v>
      </c>
      <c r="BA183" s="22">
        <v>-1.6687E-2</v>
      </c>
      <c r="BB183" s="22">
        <v>173</v>
      </c>
      <c r="BC183" s="22">
        <v>0.77117899999999995</v>
      </c>
      <c r="BD183">
        <f t="shared" si="34"/>
        <v>16.687000000000001</v>
      </c>
      <c r="BE183">
        <f t="shared" si="35"/>
        <v>12.868663973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93.295500000000004</v>
      </c>
      <c r="I184" s="22">
        <v>-1.6665599999999999E-2</v>
      </c>
      <c r="J184" s="22">
        <v>174</v>
      </c>
      <c r="K184" s="22">
        <v>0.92315700000000001</v>
      </c>
      <c r="L184">
        <f t="shared" si="24"/>
        <v>16.665599999999998</v>
      </c>
      <c r="M184">
        <f t="shared" si="25"/>
        <v>15.395131315199999</v>
      </c>
      <c r="N184" s="9"/>
      <c r="O184" s="22">
        <v>0.77621499999999999</v>
      </c>
      <c r="P184" s="22">
        <v>187.25899999999999</v>
      </c>
      <c r="Q184" s="22">
        <v>-1.6821300000000001E-2</v>
      </c>
      <c r="R184" s="22">
        <v>174</v>
      </c>
      <c r="S184" s="22">
        <v>0.775146</v>
      </c>
      <c r="T184">
        <f t="shared" si="26"/>
        <v>16.821300000000001</v>
      </c>
      <c r="U184">
        <f t="shared" si="27"/>
        <v>13.0569453795</v>
      </c>
      <c r="X184" s="9"/>
      <c r="Y184" s="22">
        <v>0.923767</v>
      </c>
      <c r="Z184" s="22">
        <v>305.02800000000002</v>
      </c>
      <c r="AA184" s="22">
        <v>-1.6613800000000001E-2</v>
      </c>
      <c r="AB184" s="22">
        <v>174</v>
      </c>
      <c r="AC184" s="22">
        <v>0.92254599999999998</v>
      </c>
      <c r="AD184">
        <f t="shared" si="28"/>
        <v>16.613800000000001</v>
      </c>
      <c r="AE184">
        <f t="shared" si="29"/>
        <v>15.347280184600001</v>
      </c>
      <c r="AF184" s="9"/>
      <c r="AG184" s="22">
        <v>0.77621499999999999</v>
      </c>
      <c r="AH184" s="22">
        <v>370.39400000000001</v>
      </c>
      <c r="AI184" s="22">
        <v>-1.6766400000000001E-2</v>
      </c>
      <c r="AJ184" s="22">
        <v>174</v>
      </c>
      <c r="AK184" s="22">
        <v>0.77545200000000003</v>
      </c>
      <c r="AL184">
        <f t="shared" si="30"/>
        <v>16.766400000000001</v>
      </c>
      <c r="AM184">
        <f t="shared" si="31"/>
        <v>13.014331176000001</v>
      </c>
      <c r="AP184" s="9"/>
      <c r="AQ184" s="22">
        <v>0.923767</v>
      </c>
      <c r="AR184" s="22">
        <v>459.69600000000003</v>
      </c>
      <c r="AS184" s="22">
        <v>-1.65405E-2</v>
      </c>
      <c r="AT184" s="22">
        <v>174</v>
      </c>
      <c r="AU184" s="22">
        <v>0.92315700000000001</v>
      </c>
      <c r="AV184">
        <f t="shared" si="32"/>
        <v>16.540499999999998</v>
      </c>
      <c r="AW184">
        <f t="shared" si="33"/>
        <v>15.279568063499998</v>
      </c>
      <c r="AX184" s="9"/>
      <c r="AY184" s="22">
        <v>0.77621499999999999</v>
      </c>
      <c r="AZ184" s="22">
        <v>536.721</v>
      </c>
      <c r="BA184" s="22">
        <v>-1.6687E-2</v>
      </c>
      <c r="BB184" s="22">
        <v>174</v>
      </c>
      <c r="BC184" s="22">
        <v>0.77545200000000003</v>
      </c>
      <c r="BD184">
        <f t="shared" si="34"/>
        <v>16.687000000000001</v>
      </c>
      <c r="BE184">
        <f t="shared" si="35"/>
        <v>12.952699705000001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93.396199999999993</v>
      </c>
      <c r="I185" s="22">
        <v>-1.6656500000000001E-2</v>
      </c>
      <c r="J185" s="22">
        <v>175</v>
      </c>
      <c r="K185" s="22">
        <v>0.91766400000000004</v>
      </c>
      <c r="L185">
        <f t="shared" si="24"/>
        <v>16.656500000000001</v>
      </c>
      <c r="M185">
        <f t="shared" si="25"/>
        <v>15.302859558000002</v>
      </c>
      <c r="N185" s="9"/>
      <c r="O185" s="22">
        <v>0.78125</v>
      </c>
      <c r="P185" s="22">
        <v>187.36</v>
      </c>
      <c r="Q185" s="22">
        <v>-1.68121E-2</v>
      </c>
      <c r="R185" s="22">
        <v>175</v>
      </c>
      <c r="S185" s="22">
        <v>0.780945</v>
      </c>
      <c r="T185">
        <f t="shared" si="26"/>
        <v>16.812100000000001</v>
      </c>
      <c r="U185">
        <f t="shared" si="27"/>
        <v>13.134453125</v>
      </c>
      <c r="X185" s="9"/>
      <c r="Y185" s="22">
        <v>0.91873199999999999</v>
      </c>
      <c r="Z185" s="22">
        <v>305.12900000000002</v>
      </c>
      <c r="AA185" s="22">
        <v>-1.6616800000000001E-2</v>
      </c>
      <c r="AB185" s="22">
        <v>175</v>
      </c>
      <c r="AC185" s="22">
        <v>0.91766400000000004</v>
      </c>
      <c r="AD185">
        <f t="shared" si="28"/>
        <v>16.616800000000001</v>
      </c>
      <c r="AE185">
        <f t="shared" si="29"/>
        <v>15.266385897600001</v>
      </c>
      <c r="AF185" s="9"/>
      <c r="AG185" s="22">
        <v>0.78125</v>
      </c>
      <c r="AH185" s="22">
        <v>370.495</v>
      </c>
      <c r="AI185" s="22">
        <v>-1.67694E-2</v>
      </c>
      <c r="AJ185" s="22">
        <v>175</v>
      </c>
      <c r="AK185" s="22">
        <v>0.780945</v>
      </c>
      <c r="AL185">
        <f t="shared" si="30"/>
        <v>16.769400000000001</v>
      </c>
      <c r="AM185">
        <f t="shared" si="31"/>
        <v>13.10109375</v>
      </c>
      <c r="AP185" s="9"/>
      <c r="AQ185" s="22">
        <v>0.91873199999999999</v>
      </c>
      <c r="AR185" s="22">
        <v>459.79599999999999</v>
      </c>
      <c r="AS185" s="22">
        <v>-1.6543599999999999E-2</v>
      </c>
      <c r="AT185" s="22">
        <v>175</v>
      </c>
      <c r="AU185" s="22">
        <v>0.91827400000000003</v>
      </c>
      <c r="AV185">
        <f t="shared" si="32"/>
        <v>16.543599999999998</v>
      </c>
      <c r="AW185">
        <f t="shared" si="33"/>
        <v>15.199134715199998</v>
      </c>
      <c r="AX185" s="9"/>
      <c r="AY185" s="22">
        <v>0.78125</v>
      </c>
      <c r="AZ185" s="22">
        <v>536.822</v>
      </c>
      <c r="BA185" s="22">
        <v>-1.66748E-2</v>
      </c>
      <c r="BB185" s="22">
        <v>175</v>
      </c>
      <c r="BC185" s="22">
        <v>0.78064</v>
      </c>
      <c r="BD185">
        <f t="shared" si="34"/>
        <v>16.674800000000001</v>
      </c>
      <c r="BE185">
        <f t="shared" si="35"/>
        <v>13.0271875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93.496899999999997</v>
      </c>
      <c r="I186" s="22">
        <v>-1.6659500000000001E-2</v>
      </c>
      <c r="J186" s="22">
        <v>176</v>
      </c>
      <c r="K186" s="22">
        <v>0.91247599999999995</v>
      </c>
      <c r="L186">
        <f t="shared" si="24"/>
        <v>16.659500000000001</v>
      </c>
      <c r="M186">
        <f t="shared" si="25"/>
        <v>15.221718512000001</v>
      </c>
      <c r="N186" s="9"/>
      <c r="O186" s="22">
        <v>0.78628500000000001</v>
      </c>
      <c r="P186" s="22">
        <v>187.46</v>
      </c>
      <c r="Q186" s="22">
        <v>-1.6815199999999999E-2</v>
      </c>
      <c r="R186" s="22">
        <v>176</v>
      </c>
      <c r="S186" s="22">
        <v>0.78521700000000005</v>
      </c>
      <c r="T186">
        <f t="shared" si="26"/>
        <v>16.815199999999997</v>
      </c>
      <c r="U186">
        <f t="shared" si="27"/>
        <v>13.221539531999998</v>
      </c>
      <c r="X186" s="9"/>
      <c r="Y186" s="22">
        <v>0.91369599999999995</v>
      </c>
      <c r="Z186" s="22">
        <v>305.22899999999998</v>
      </c>
      <c r="AA186" s="22">
        <v>-1.6622899999999999E-2</v>
      </c>
      <c r="AB186" s="22">
        <v>176</v>
      </c>
      <c r="AC186" s="22">
        <v>0.91278099999999995</v>
      </c>
      <c r="AD186">
        <f t="shared" si="28"/>
        <v>16.622899999999998</v>
      </c>
      <c r="AE186">
        <f t="shared" si="29"/>
        <v>15.188277238399998</v>
      </c>
      <c r="AF186" s="9"/>
      <c r="AG186" s="22">
        <v>0.78628500000000001</v>
      </c>
      <c r="AH186" s="22">
        <v>370.59500000000003</v>
      </c>
      <c r="AI186" s="22">
        <v>-1.6760299999999999E-2</v>
      </c>
      <c r="AJ186" s="22">
        <v>176</v>
      </c>
      <c r="AK186" s="22">
        <v>0.78552200000000005</v>
      </c>
      <c r="AL186">
        <f t="shared" si="30"/>
        <v>16.760299999999997</v>
      </c>
      <c r="AM186">
        <f t="shared" si="31"/>
        <v>13.178372485499999</v>
      </c>
      <c r="AP186" s="9"/>
      <c r="AQ186" s="22">
        <v>0.91369599999999995</v>
      </c>
      <c r="AR186" s="22">
        <v>459.89699999999999</v>
      </c>
      <c r="AS186" s="22">
        <v>-1.65375E-2</v>
      </c>
      <c r="AT186" s="22">
        <v>176</v>
      </c>
      <c r="AU186" s="22">
        <v>0.91247599999999995</v>
      </c>
      <c r="AV186">
        <f t="shared" si="32"/>
        <v>16.537500000000001</v>
      </c>
      <c r="AW186">
        <f t="shared" si="33"/>
        <v>15.110247600000001</v>
      </c>
      <c r="AX186" s="9"/>
      <c r="AY186" s="22">
        <v>0.78628500000000001</v>
      </c>
      <c r="AZ186" s="22">
        <v>536.92200000000003</v>
      </c>
      <c r="BA186" s="22">
        <v>-1.6656500000000001E-2</v>
      </c>
      <c r="BB186" s="22">
        <v>176</v>
      </c>
      <c r="BC186" s="22">
        <v>0.78552200000000005</v>
      </c>
      <c r="BD186">
        <f t="shared" si="34"/>
        <v>16.656500000000001</v>
      </c>
      <c r="BE186">
        <f t="shared" si="35"/>
        <v>13.096756102500001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93.5976</v>
      </c>
      <c r="I187" s="22">
        <v>-1.6665599999999999E-2</v>
      </c>
      <c r="J187" s="22">
        <v>177</v>
      </c>
      <c r="K187" s="22">
        <v>0.90728799999999998</v>
      </c>
      <c r="L187">
        <f t="shared" si="24"/>
        <v>16.665599999999998</v>
      </c>
      <c r="M187">
        <f t="shared" si="25"/>
        <v>15.1433807616</v>
      </c>
      <c r="N187" s="9"/>
      <c r="O187" s="22">
        <v>0.79132100000000005</v>
      </c>
      <c r="P187" s="22">
        <v>187.56100000000001</v>
      </c>
      <c r="Q187" s="22">
        <v>-1.6787699999999999E-2</v>
      </c>
      <c r="R187" s="22">
        <v>177</v>
      </c>
      <c r="S187" s="22">
        <v>0.79040500000000002</v>
      </c>
      <c r="T187">
        <f t="shared" si="26"/>
        <v>16.787699999999997</v>
      </c>
      <c r="U187">
        <f t="shared" si="27"/>
        <v>13.284459551699999</v>
      </c>
      <c r="X187" s="9"/>
      <c r="Y187" s="22">
        <v>0.90866100000000005</v>
      </c>
      <c r="Z187" s="22">
        <v>305.33</v>
      </c>
      <c r="AA187" s="22">
        <v>-1.66077E-2</v>
      </c>
      <c r="AB187" s="22">
        <v>177</v>
      </c>
      <c r="AC187" s="22">
        <v>0.90789799999999998</v>
      </c>
      <c r="AD187">
        <f t="shared" si="28"/>
        <v>16.607700000000001</v>
      </c>
      <c r="AE187">
        <f t="shared" si="29"/>
        <v>15.090769289700003</v>
      </c>
      <c r="AF187" s="9"/>
      <c r="AG187" s="22">
        <v>0.79132100000000005</v>
      </c>
      <c r="AH187" s="22">
        <v>370.69600000000003</v>
      </c>
      <c r="AI187" s="22">
        <v>-1.67572E-2</v>
      </c>
      <c r="AJ187" s="22">
        <v>177</v>
      </c>
      <c r="AK187" s="22">
        <v>0.79040500000000002</v>
      </c>
      <c r="AL187">
        <f t="shared" si="30"/>
        <v>16.757200000000001</v>
      </c>
      <c r="AM187">
        <f t="shared" si="31"/>
        <v>13.260324261200001</v>
      </c>
      <c r="AP187" s="9"/>
      <c r="AQ187" s="22">
        <v>0.90866100000000005</v>
      </c>
      <c r="AR187" s="22">
        <v>459.99799999999999</v>
      </c>
      <c r="AS187" s="22">
        <v>-1.6546600000000002E-2</v>
      </c>
      <c r="AT187" s="22">
        <v>177</v>
      </c>
      <c r="AU187" s="22">
        <v>0.90759299999999998</v>
      </c>
      <c r="AV187">
        <f t="shared" si="32"/>
        <v>16.546600000000002</v>
      </c>
      <c r="AW187">
        <f t="shared" si="33"/>
        <v>15.035250102600003</v>
      </c>
      <c r="AX187" s="9"/>
      <c r="AY187" s="22">
        <v>0.79132100000000005</v>
      </c>
      <c r="AZ187" s="22">
        <v>537.02300000000002</v>
      </c>
      <c r="BA187" s="22">
        <v>-1.66473E-2</v>
      </c>
      <c r="BB187" s="22">
        <v>177</v>
      </c>
      <c r="BC187" s="22">
        <v>0.79071000000000002</v>
      </c>
      <c r="BD187">
        <f t="shared" si="34"/>
        <v>16.647300000000001</v>
      </c>
      <c r="BE187">
        <f t="shared" si="35"/>
        <v>13.173358083300002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93.698300000000003</v>
      </c>
      <c r="I188" s="22">
        <v>-1.66748E-2</v>
      </c>
      <c r="J188" s="22">
        <v>178</v>
      </c>
      <c r="K188" s="22">
        <v>0.90301500000000001</v>
      </c>
      <c r="L188">
        <f t="shared" si="24"/>
        <v>16.674800000000001</v>
      </c>
      <c r="M188">
        <f t="shared" si="25"/>
        <v>15.067766150000001</v>
      </c>
      <c r="N188" s="9"/>
      <c r="O188" s="22">
        <v>0.79635599999999995</v>
      </c>
      <c r="P188" s="22">
        <v>187.66200000000001</v>
      </c>
      <c r="Q188" s="22">
        <v>-1.67999E-2</v>
      </c>
      <c r="R188" s="22">
        <v>178</v>
      </c>
      <c r="S188" s="22">
        <v>0.79528799999999999</v>
      </c>
      <c r="T188">
        <f t="shared" si="26"/>
        <v>16.799900000000001</v>
      </c>
      <c r="U188">
        <f t="shared" si="27"/>
        <v>13.378701164400001</v>
      </c>
      <c r="X188" s="9"/>
      <c r="Y188" s="22">
        <v>0.90362500000000001</v>
      </c>
      <c r="Z188" s="22">
        <v>305.43099999999998</v>
      </c>
      <c r="AA188" s="22">
        <v>-1.6629000000000001E-2</v>
      </c>
      <c r="AB188" s="22">
        <v>178</v>
      </c>
      <c r="AC188" s="22">
        <v>0.90240500000000001</v>
      </c>
      <c r="AD188">
        <f t="shared" si="28"/>
        <v>16.629000000000001</v>
      </c>
      <c r="AE188">
        <f t="shared" si="29"/>
        <v>15.026380125000001</v>
      </c>
      <c r="AF188" s="9"/>
      <c r="AG188" s="22">
        <v>0.79635599999999995</v>
      </c>
      <c r="AH188" s="22">
        <v>370.79700000000003</v>
      </c>
      <c r="AI188" s="22">
        <v>-1.6751100000000001E-2</v>
      </c>
      <c r="AJ188" s="22">
        <v>178</v>
      </c>
      <c r="AK188" s="22">
        <v>0.79559299999999999</v>
      </c>
      <c r="AL188">
        <f t="shared" si="30"/>
        <v>16.751100000000001</v>
      </c>
      <c r="AM188">
        <f t="shared" si="31"/>
        <v>13.339838991600001</v>
      </c>
      <c r="AP188" s="9"/>
      <c r="AQ188" s="22">
        <v>0.90362500000000001</v>
      </c>
      <c r="AR188" s="22">
        <v>460.09800000000001</v>
      </c>
      <c r="AS188" s="22">
        <v>-1.6549700000000001E-2</v>
      </c>
      <c r="AT188" s="22">
        <v>178</v>
      </c>
      <c r="AU188" s="22">
        <v>0.90210000000000001</v>
      </c>
      <c r="AV188">
        <f t="shared" si="32"/>
        <v>16.549700000000001</v>
      </c>
      <c r="AW188">
        <f t="shared" si="33"/>
        <v>14.954722662500002</v>
      </c>
      <c r="AX188" s="9"/>
      <c r="AY188" s="22">
        <v>0.79635599999999995</v>
      </c>
      <c r="AZ188" s="22">
        <v>537.12400000000002</v>
      </c>
      <c r="BA188" s="22">
        <v>-1.6656500000000001E-2</v>
      </c>
      <c r="BB188" s="22">
        <v>178</v>
      </c>
      <c r="BC188" s="22">
        <v>0.79559299999999999</v>
      </c>
      <c r="BD188">
        <f t="shared" si="34"/>
        <v>16.656500000000001</v>
      </c>
      <c r="BE188">
        <f t="shared" si="35"/>
        <v>13.264503714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93.799000000000007</v>
      </c>
      <c r="I189" s="22">
        <v>-1.6677899999999999E-2</v>
      </c>
      <c r="J189" s="22">
        <v>179</v>
      </c>
      <c r="K189" s="22">
        <v>0.89752200000000004</v>
      </c>
      <c r="L189">
        <f t="shared" si="24"/>
        <v>16.677899999999998</v>
      </c>
      <c r="M189">
        <f t="shared" si="25"/>
        <v>14.986594160999998</v>
      </c>
      <c r="N189" s="9"/>
      <c r="O189" s="22">
        <v>0.80139199999999999</v>
      </c>
      <c r="P189" s="22">
        <v>187.76300000000001</v>
      </c>
      <c r="Q189" s="22">
        <v>-1.6793800000000001E-2</v>
      </c>
      <c r="R189" s="22">
        <v>179</v>
      </c>
      <c r="S189" s="22">
        <v>0.80017099999999997</v>
      </c>
      <c r="T189">
        <f t="shared" si="26"/>
        <v>16.793800000000001</v>
      </c>
      <c r="U189">
        <f t="shared" si="27"/>
        <v>13.4584169696</v>
      </c>
      <c r="X189" s="9"/>
      <c r="Y189" s="22">
        <v>0.89859</v>
      </c>
      <c r="Z189" s="22">
        <v>305.53199999999998</v>
      </c>
      <c r="AA189" s="22">
        <v>-1.6638199999999999E-2</v>
      </c>
      <c r="AB189" s="22">
        <v>179</v>
      </c>
      <c r="AC189" s="22">
        <v>0.89752200000000004</v>
      </c>
      <c r="AD189">
        <f t="shared" si="28"/>
        <v>16.638199999999998</v>
      </c>
      <c r="AE189">
        <f t="shared" si="29"/>
        <v>14.950920137999997</v>
      </c>
      <c r="AF189" s="9"/>
      <c r="AG189" s="22">
        <v>0.80139199999999999</v>
      </c>
      <c r="AH189" s="22">
        <v>370.89800000000002</v>
      </c>
      <c r="AI189" s="22">
        <v>-1.6747999999999999E-2</v>
      </c>
      <c r="AJ189" s="22">
        <v>179</v>
      </c>
      <c r="AK189" s="22">
        <v>0.80047599999999997</v>
      </c>
      <c r="AL189">
        <f t="shared" si="30"/>
        <v>16.747999999999998</v>
      </c>
      <c r="AM189">
        <f t="shared" si="31"/>
        <v>13.421713215999999</v>
      </c>
      <c r="AP189" s="9"/>
      <c r="AQ189" s="22">
        <v>0.89859</v>
      </c>
      <c r="AR189" s="22">
        <v>460.19900000000001</v>
      </c>
      <c r="AS189" s="22">
        <v>-1.6567999999999999E-2</v>
      </c>
      <c r="AT189" s="22">
        <v>179</v>
      </c>
      <c r="AU189" s="22">
        <v>0.89721700000000004</v>
      </c>
      <c r="AV189">
        <f t="shared" si="32"/>
        <v>16.567999999999998</v>
      </c>
      <c r="AW189">
        <f t="shared" si="33"/>
        <v>14.887839119999999</v>
      </c>
      <c r="AX189" s="9"/>
      <c r="AY189" s="22">
        <v>0.80139199999999999</v>
      </c>
      <c r="AZ189" s="22">
        <v>537.22400000000005</v>
      </c>
      <c r="BA189" s="22">
        <v>-1.66473E-2</v>
      </c>
      <c r="BB189" s="22">
        <v>179</v>
      </c>
      <c r="BC189" s="22">
        <v>0.80108599999999996</v>
      </c>
      <c r="BD189">
        <f t="shared" si="34"/>
        <v>16.647300000000001</v>
      </c>
      <c r="BE189">
        <f t="shared" si="35"/>
        <v>13.3410130416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93.899699999999996</v>
      </c>
      <c r="I190" s="22">
        <v>-1.6687E-2</v>
      </c>
      <c r="J190" s="22">
        <v>180</v>
      </c>
      <c r="K190" s="22">
        <v>0.89233399999999996</v>
      </c>
      <c r="L190">
        <f t="shared" si="24"/>
        <v>16.687000000000001</v>
      </c>
      <c r="M190">
        <f t="shared" si="25"/>
        <v>14.910752285000001</v>
      </c>
      <c r="N190" s="9"/>
      <c r="O190" s="22">
        <v>0.806427</v>
      </c>
      <c r="P190" s="22">
        <v>187.863</v>
      </c>
      <c r="Q190" s="22">
        <v>-1.6790800000000002E-2</v>
      </c>
      <c r="R190" s="22">
        <v>180</v>
      </c>
      <c r="S190" s="22">
        <v>0.80535900000000005</v>
      </c>
      <c r="T190">
        <f t="shared" si="26"/>
        <v>16.790800000000001</v>
      </c>
      <c r="U190">
        <f t="shared" si="27"/>
        <v>13.5405544716</v>
      </c>
      <c r="X190" s="9"/>
      <c r="Y190" s="22">
        <v>0.89355499999999999</v>
      </c>
      <c r="Z190" s="22">
        <v>305.63200000000001</v>
      </c>
      <c r="AA190" s="22">
        <v>-1.66473E-2</v>
      </c>
      <c r="AB190" s="22">
        <v>180</v>
      </c>
      <c r="AC190" s="22">
        <v>0.89263899999999996</v>
      </c>
      <c r="AD190">
        <f t="shared" si="28"/>
        <v>16.647300000000001</v>
      </c>
      <c r="AE190">
        <f t="shared" si="29"/>
        <v>14.875278151500002</v>
      </c>
      <c r="AF190" s="9"/>
      <c r="AG190" s="22">
        <v>0.806427</v>
      </c>
      <c r="AH190" s="22">
        <v>370.99799999999999</v>
      </c>
      <c r="AI190" s="22">
        <v>-1.6735799999999999E-2</v>
      </c>
      <c r="AJ190" s="22">
        <v>180</v>
      </c>
      <c r="AK190" s="22">
        <v>0.80566400000000005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0.89355499999999999</v>
      </c>
      <c r="AR190" s="22">
        <v>460.3</v>
      </c>
      <c r="AS190" s="22">
        <v>-1.6558799999999999E-2</v>
      </c>
      <c r="AT190" s="22">
        <v>180</v>
      </c>
      <c r="AU190" s="22">
        <v>0.89294399999999996</v>
      </c>
      <c r="AV190">
        <f t="shared" si="32"/>
        <v>16.558799999999998</v>
      </c>
      <c r="AW190">
        <f t="shared" si="33"/>
        <v>14.796198533999998</v>
      </c>
      <c r="AX190" s="9"/>
      <c r="AY190" s="22">
        <v>0.806427</v>
      </c>
      <c r="AZ190" s="22">
        <v>537.32500000000005</v>
      </c>
      <c r="BA190" s="22">
        <v>-1.6656500000000001E-2</v>
      </c>
      <c r="BB190" s="22">
        <v>180</v>
      </c>
      <c r="BC190" s="22">
        <v>0.80566400000000005</v>
      </c>
      <c r="BD190">
        <f t="shared" si="34"/>
        <v>16.656500000000001</v>
      </c>
      <c r="BE190">
        <f t="shared" si="35"/>
        <v>13.432251325500001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94.000399999999999</v>
      </c>
      <c r="I191" s="22">
        <v>-1.6696200000000001E-2</v>
      </c>
      <c r="J191" s="22">
        <v>181</v>
      </c>
      <c r="K191" s="22">
        <v>0.88714599999999999</v>
      </c>
      <c r="L191">
        <f t="shared" si="24"/>
        <v>16.696200000000001</v>
      </c>
      <c r="M191">
        <f t="shared" si="25"/>
        <v>14.8348909278</v>
      </c>
      <c r="N191" s="9"/>
      <c r="O191" s="22">
        <v>0.81146200000000002</v>
      </c>
      <c r="P191" s="22">
        <v>187.964</v>
      </c>
      <c r="Q191" s="22">
        <v>-1.6781600000000001E-2</v>
      </c>
      <c r="R191" s="22">
        <v>181</v>
      </c>
      <c r="S191" s="22">
        <v>0.81085200000000002</v>
      </c>
      <c r="T191">
        <f t="shared" si="26"/>
        <v>16.781600000000001</v>
      </c>
      <c r="U191">
        <f t="shared" si="27"/>
        <v>13.617630699200001</v>
      </c>
      <c r="X191" s="9"/>
      <c r="Y191" s="22">
        <v>0.88851899999999995</v>
      </c>
      <c r="Z191" s="22">
        <v>305.733</v>
      </c>
      <c r="AA191" s="22">
        <v>-1.6650399999999999E-2</v>
      </c>
      <c r="AB191" s="22">
        <v>181</v>
      </c>
      <c r="AC191" s="22">
        <v>0.88806200000000002</v>
      </c>
      <c r="AD191">
        <f t="shared" si="28"/>
        <v>16.650399999999998</v>
      </c>
      <c r="AE191">
        <f t="shared" si="29"/>
        <v>14.794196757599996</v>
      </c>
      <c r="AF191" s="9"/>
      <c r="AG191" s="22">
        <v>0.81146200000000002</v>
      </c>
      <c r="AH191" s="22">
        <v>371.09899999999999</v>
      </c>
      <c r="AI191" s="22">
        <v>-1.6744999999999999E-2</v>
      </c>
      <c r="AJ191" s="22">
        <v>181</v>
      </c>
      <c r="AK191" s="22">
        <v>0.81024200000000002</v>
      </c>
      <c r="AL191">
        <f t="shared" si="30"/>
        <v>16.745000000000001</v>
      </c>
      <c r="AM191">
        <f t="shared" si="31"/>
        <v>13.587931190000001</v>
      </c>
      <c r="AP191" s="9"/>
      <c r="AQ191" s="22">
        <v>0.88851899999999995</v>
      </c>
      <c r="AR191" s="22">
        <v>460.4</v>
      </c>
      <c r="AS191" s="22">
        <v>-1.6577100000000001E-2</v>
      </c>
      <c r="AT191" s="22">
        <v>181</v>
      </c>
      <c r="AU191" s="22">
        <v>0.88806200000000002</v>
      </c>
      <c r="AV191">
        <f t="shared" si="32"/>
        <v>16.577100000000002</v>
      </c>
      <c r="AW191">
        <f t="shared" si="33"/>
        <v>14.729068314900001</v>
      </c>
      <c r="AX191" s="9"/>
      <c r="AY191" s="22">
        <v>0.81146200000000002</v>
      </c>
      <c r="AZ191" s="22">
        <v>537.42600000000004</v>
      </c>
      <c r="BA191" s="22">
        <v>-1.6656500000000001E-2</v>
      </c>
      <c r="BB191" s="22">
        <v>181</v>
      </c>
      <c r="BC191" s="22">
        <v>0.81085200000000002</v>
      </c>
      <c r="BD191">
        <f t="shared" si="34"/>
        <v>16.656500000000001</v>
      </c>
      <c r="BE191">
        <f t="shared" si="35"/>
        <v>13.516116803000001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94.101100000000002</v>
      </c>
      <c r="I192" s="22">
        <v>-1.67023E-2</v>
      </c>
      <c r="J192" s="22">
        <v>182</v>
      </c>
      <c r="K192" s="22">
        <v>0.88226300000000002</v>
      </c>
      <c r="L192">
        <f t="shared" si="24"/>
        <v>16.702300000000001</v>
      </c>
      <c r="M192">
        <f t="shared" si="25"/>
        <v>14.756214813200002</v>
      </c>
      <c r="N192" s="9"/>
      <c r="O192" s="22">
        <v>0.81649799999999995</v>
      </c>
      <c r="P192" s="22">
        <v>188.065</v>
      </c>
      <c r="Q192" s="22">
        <v>-1.67969E-2</v>
      </c>
      <c r="R192" s="22">
        <v>182</v>
      </c>
      <c r="S192" s="22">
        <v>0.81573499999999999</v>
      </c>
      <c r="T192">
        <f t="shared" si="26"/>
        <v>16.796900000000001</v>
      </c>
      <c r="U192">
        <f t="shared" si="27"/>
        <v>13.714635256199999</v>
      </c>
      <c r="X192" s="9"/>
      <c r="Y192" s="22">
        <v>0.88348400000000005</v>
      </c>
      <c r="Z192" s="22">
        <v>305.834</v>
      </c>
      <c r="AA192" s="22">
        <v>-1.6659500000000001E-2</v>
      </c>
      <c r="AB192" s="22">
        <v>182</v>
      </c>
      <c r="AC192" s="22">
        <v>0.88226300000000002</v>
      </c>
      <c r="AD192">
        <f t="shared" si="28"/>
        <v>16.659500000000001</v>
      </c>
      <c r="AE192">
        <f t="shared" si="29"/>
        <v>14.718401698000003</v>
      </c>
      <c r="AF192" s="9"/>
      <c r="AG192" s="22">
        <v>0.81649799999999995</v>
      </c>
      <c r="AH192" s="22">
        <v>371.2</v>
      </c>
      <c r="AI192" s="22">
        <v>-1.6744999999999999E-2</v>
      </c>
      <c r="AJ192" s="22">
        <v>182</v>
      </c>
      <c r="AK192" s="22">
        <v>0.81542999999999999</v>
      </c>
      <c r="AL192">
        <f t="shared" si="30"/>
        <v>16.745000000000001</v>
      </c>
      <c r="AM192">
        <f t="shared" si="31"/>
        <v>13.672259009999999</v>
      </c>
      <c r="AP192" s="9"/>
      <c r="AQ192" s="22">
        <v>0.88348400000000005</v>
      </c>
      <c r="AR192" s="22">
        <v>460.50099999999998</v>
      </c>
      <c r="AS192" s="22">
        <v>-1.6589400000000001E-2</v>
      </c>
      <c r="AT192" s="22">
        <v>182</v>
      </c>
      <c r="AU192" s="22">
        <v>0.88256800000000002</v>
      </c>
      <c r="AV192">
        <f t="shared" si="32"/>
        <v>16.589400000000001</v>
      </c>
      <c r="AW192">
        <f t="shared" si="33"/>
        <v>14.656469469600001</v>
      </c>
      <c r="AX192" s="9"/>
      <c r="AY192" s="22">
        <v>0.81649799999999995</v>
      </c>
      <c r="AZ192" s="22">
        <v>537.52599999999995</v>
      </c>
      <c r="BA192" s="22">
        <v>-1.6641199999999998E-2</v>
      </c>
      <c r="BB192" s="22">
        <v>182</v>
      </c>
      <c r="BC192" s="22">
        <v>0.81542999999999999</v>
      </c>
      <c r="BD192">
        <f t="shared" si="34"/>
        <v>16.641199999999998</v>
      </c>
      <c r="BE192">
        <f t="shared" si="35"/>
        <v>13.587506517599998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94.201800000000006</v>
      </c>
      <c r="I193" s="22">
        <v>-1.6699200000000001E-2</v>
      </c>
      <c r="J193" s="22">
        <v>183</v>
      </c>
      <c r="K193" s="22">
        <v>0.87707500000000005</v>
      </c>
      <c r="L193">
        <f t="shared" si="24"/>
        <v>16.699200000000001</v>
      </c>
      <c r="M193">
        <f t="shared" si="25"/>
        <v>14.6693788416</v>
      </c>
      <c r="N193" s="9"/>
      <c r="O193" s="22">
        <v>0.82153299999999996</v>
      </c>
      <c r="P193" s="22">
        <v>188.16499999999999</v>
      </c>
      <c r="Q193" s="22">
        <v>-1.6775499999999999E-2</v>
      </c>
      <c r="R193" s="22">
        <v>183</v>
      </c>
      <c r="S193" s="22">
        <v>0.82092299999999996</v>
      </c>
      <c r="T193">
        <f t="shared" si="26"/>
        <v>16.775499999999997</v>
      </c>
      <c r="U193">
        <f t="shared" si="27"/>
        <v>13.781626841499998</v>
      </c>
      <c r="X193" s="9"/>
      <c r="Y193" s="22">
        <v>0.87844800000000001</v>
      </c>
      <c r="Z193" s="22">
        <v>305.93400000000003</v>
      </c>
      <c r="AA193" s="22">
        <v>-1.6653399999999999E-2</v>
      </c>
      <c r="AB193" s="22">
        <v>183</v>
      </c>
      <c r="AC193" s="22">
        <v>0.87738000000000005</v>
      </c>
      <c r="AD193">
        <f t="shared" si="28"/>
        <v>16.653399999999998</v>
      </c>
      <c r="AE193">
        <f t="shared" si="29"/>
        <v>14.629145923199998</v>
      </c>
      <c r="AF193" s="9"/>
      <c r="AG193" s="22">
        <v>0.82153299999999996</v>
      </c>
      <c r="AH193" s="22">
        <v>371.3</v>
      </c>
      <c r="AI193" s="22">
        <v>-1.6735799999999999E-2</v>
      </c>
      <c r="AJ193" s="22">
        <v>183</v>
      </c>
      <c r="AK193" s="22">
        <v>0.82061799999999996</v>
      </c>
      <c r="AL193">
        <f t="shared" si="30"/>
        <v>16.735799999999998</v>
      </c>
      <c r="AM193">
        <f t="shared" si="31"/>
        <v>13.749011981399997</v>
      </c>
      <c r="AP193" s="9"/>
      <c r="AQ193" s="22">
        <v>0.87844800000000001</v>
      </c>
      <c r="AR193" s="22">
        <v>460.60199999999998</v>
      </c>
      <c r="AS193" s="22">
        <v>-1.6577100000000001E-2</v>
      </c>
      <c r="AT193" s="22">
        <v>183</v>
      </c>
      <c r="AU193" s="22">
        <v>0.87738000000000005</v>
      </c>
      <c r="AV193">
        <f t="shared" si="32"/>
        <v>16.577100000000002</v>
      </c>
      <c r="AW193">
        <f t="shared" si="33"/>
        <v>14.562120340800002</v>
      </c>
      <c r="AX193" s="9"/>
      <c r="AY193" s="22">
        <v>0.82153299999999996</v>
      </c>
      <c r="AZ193" s="22">
        <v>537.62699999999995</v>
      </c>
      <c r="BA193" s="22">
        <v>-1.6653399999999999E-2</v>
      </c>
      <c r="BB193" s="22">
        <v>183</v>
      </c>
      <c r="BC193" s="22">
        <v>0.82061799999999996</v>
      </c>
      <c r="BD193">
        <f t="shared" si="34"/>
        <v>16.653399999999998</v>
      </c>
      <c r="BE193">
        <f t="shared" si="35"/>
        <v>13.681317662199998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94.302499999999995</v>
      </c>
      <c r="I194" s="22">
        <v>-1.6723600000000002E-2</v>
      </c>
      <c r="J194" s="22">
        <v>184</v>
      </c>
      <c r="K194" s="22">
        <v>0.87219199999999997</v>
      </c>
      <c r="L194">
        <f t="shared" si="24"/>
        <v>16.723600000000001</v>
      </c>
      <c r="M194">
        <f t="shared" si="25"/>
        <v>14.606609646800001</v>
      </c>
      <c r="N194" s="9"/>
      <c r="O194" s="22">
        <v>0.826569</v>
      </c>
      <c r="P194" s="22">
        <v>188.26599999999999</v>
      </c>
      <c r="Q194" s="22">
        <v>-1.6778600000000001E-2</v>
      </c>
      <c r="R194" s="22">
        <v>184</v>
      </c>
      <c r="S194" s="22">
        <v>0.82580600000000004</v>
      </c>
      <c r="T194">
        <f t="shared" si="26"/>
        <v>16.778600000000001</v>
      </c>
      <c r="U194">
        <f t="shared" si="27"/>
        <v>13.8686706234</v>
      </c>
      <c r="X194" s="9"/>
      <c r="Y194" s="22">
        <v>0.87341299999999999</v>
      </c>
      <c r="Z194" s="22">
        <v>306.03500000000003</v>
      </c>
      <c r="AA194" s="22">
        <v>-1.6671800000000001E-2</v>
      </c>
      <c r="AB194" s="22">
        <v>184</v>
      </c>
      <c r="AC194" s="22">
        <v>0.872498</v>
      </c>
      <c r="AD194">
        <f t="shared" si="28"/>
        <v>16.671800000000001</v>
      </c>
      <c r="AE194">
        <f t="shared" si="29"/>
        <v>14.561366853400001</v>
      </c>
      <c r="AF194" s="9"/>
      <c r="AG194" s="22">
        <v>0.826569</v>
      </c>
      <c r="AH194" s="22">
        <v>371.40100000000001</v>
      </c>
      <c r="AI194" s="22">
        <v>-1.6747999999999999E-2</v>
      </c>
      <c r="AJ194" s="22">
        <v>184</v>
      </c>
      <c r="AK194" s="22">
        <v>0.82550000000000001</v>
      </c>
      <c r="AL194">
        <f t="shared" si="30"/>
        <v>16.747999999999998</v>
      </c>
      <c r="AM194">
        <f t="shared" si="31"/>
        <v>13.843377611999998</v>
      </c>
      <c r="AP194" s="9"/>
      <c r="AQ194" s="22">
        <v>0.87341299999999999</v>
      </c>
      <c r="AR194" s="22">
        <v>460.70299999999997</v>
      </c>
      <c r="AS194" s="22">
        <v>-1.6583299999999999E-2</v>
      </c>
      <c r="AT194" s="22">
        <v>184</v>
      </c>
      <c r="AU194" s="22">
        <v>0.872803</v>
      </c>
      <c r="AV194">
        <f t="shared" si="32"/>
        <v>16.583299999999998</v>
      </c>
      <c r="AW194">
        <f t="shared" si="33"/>
        <v>14.484069802899999</v>
      </c>
      <c r="AX194" s="9"/>
      <c r="AY194" s="22">
        <v>0.826569</v>
      </c>
      <c r="AZ194" s="22">
        <v>537.72799999999995</v>
      </c>
      <c r="BA194" s="22">
        <v>-1.66473E-2</v>
      </c>
      <c r="BB194" s="22">
        <v>184</v>
      </c>
      <c r="BC194" s="22">
        <v>0.82519500000000001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94.403199999999998</v>
      </c>
      <c r="I195" s="22">
        <v>-1.67175E-2</v>
      </c>
      <c r="J195" s="22">
        <v>185</v>
      </c>
      <c r="K195" s="22">
        <v>0.86761500000000003</v>
      </c>
      <c r="L195">
        <f t="shared" si="24"/>
        <v>16.717500000000001</v>
      </c>
      <c r="M195">
        <f t="shared" si="25"/>
        <v>14.517109215000001</v>
      </c>
      <c r="N195" s="9"/>
      <c r="O195" s="22">
        <v>0.83160400000000001</v>
      </c>
      <c r="P195" s="22">
        <v>188.36699999999999</v>
      </c>
      <c r="Q195" s="22">
        <v>-1.6781600000000001E-2</v>
      </c>
      <c r="R195" s="22">
        <v>185</v>
      </c>
      <c r="S195" s="22">
        <v>0.83129900000000001</v>
      </c>
      <c r="T195">
        <f t="shared" si="26"/>
        <v>16.781600000000001</v>
      </c>
      <c r="U195">
        <f t="shared" si="27"/>
        <v>13.9556456864</v>
      </c>
      <c r="X195" s="9"/>
      <c r="Y195" s="22">
        <v>0.86837799999999998</v>
      </c>
      <c r="Z195" s="22">
        <v>306.13600000000002</v>
      </c>
      <c r="AA195" s="22">
        <v>-1.6677899999999999E-2</v>
      </c>
      <c r="AB195" s="22">
        <v>185</v>
      </c>
      <c r="AC195" s="22">
        <v>0.86731000000000003</v>
      </c>
      <c r="AD195">
        <f t="shared" si="28"/>
        <v>16.677899999999998</v>
      </c>
      <c r="AE195">
        <f t="shared" si="29"/>
        <v>14.482721446199998</v>
      </c>
      <c r="AF195" s="9"/>
      <c r="AG195" s="22">
        <v>0.83160400000000001</v>
      </c>
      <c r="AH195" s="22">
        <v>371.50200000000001</v>
      </c>
      <c r="AI195" s="22">
        <v>-1.6741900000000001E-2</v>
      </c>
      <c r="AJ195" s="22">
        <v>185</v>
      </c>
      <c r="AK195" s="22">
        <v>0.83068799999999998</v>
      </c>
      <c r="AL195">
        <f t="shared" si="30"/>
        <v>16.741900000000001</v>
      </c>
      <c r="AM195">
        <f t="shared" si="31"/>
        <v>13.922631007600001</v>
      </c>
      <c r="AP195" s="9"/>
      <c r="AQ195" s="22">
        <v>0.86837799999999998</v>
      </c>
      <c r="AR195" s="22">
        <v>460.803</v>
      </c>
      <c r="AS195" s="22">
        <v>-1.65924E-2</v>
      </c>
      <c r="AT195" s="22">
        <v>185</v>
      </c>
      <c r="AU195" s="22">
        <v>0.866699</v>
      </c>
      <c r="AV195">
        <f t="shared" si="32"/>
        <v>16.592400000000001</v>
      </c>
      <c r="AW195">
        <f t="shared" si="33"/>
        <v>14.408475127200001</v>
      </c>
      <c r="AX195" s="9"/>
      <c r="AY195" s="22">
        <v>0.83160400000000001</v>
      </c>
      <c r="AZ195" s="22">
        <v>537.82899999999995</v>
      </c>
      <c r="BA195" s="22">
        <v>-1.6644300000000001E-2</v>
      </c>
      <c r="BB195" s="22">
        <v>185</v>
      </c>
      <c r="BC195" s="22">
        <v>0.83007799999999998</v>
      </c>
      <c r="BD195">
        <f t="shared" si="34"/>
        <v>16.644300000000001</v>
      </c>
      <c r="BE195">
        <f t="shared" si="35"/>
        <v>13.841466457200001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94.504000000000005</v>
      </c>
      <c r="I196" s="22">
        <v>-1.6723600000000002E-2</v>
      </c>
      <c r="J196" s="22">
        <v>186</v>
      </c>
      <c r="K196" s="22">
        <v>0.86273200000000005</v>
      </c>
      <c r="L196">
        <f t="shared" si="24"/>
        <v>16.723600000000001</v>
      </c>
      <c r="M196">
        <f t="shared" si="25"/>
        <v>14.438186271200001</v>
      </c>
      <c r="N196" s="9"/>
      <c r="O196" s="22">
        <v>0.83663900000000002</v>
      </c>
      <c r="P196" s="22">
        <v>188.46799999999999</v>
      </c>
      <c r="Q196" s="22">
        <v>-1.6772499999999999E-2</v>
      </c>
      <c r="R196" s="22">
        <v>186</v>
      </c>
      <c r="S196" s="22">
        <v>0.83557099999999995</v>
      </c>
      <c r="T196">
        <f t="shared" si="26"/>
        <v>16.772500000000001</v>
      </c>
      <c r="U196">
        <f t="shared" si="27"/>
        <v>14.0325276275</v>
      </c>
      <c r="X196" s="9"/>
      <c r="Y196" s="22">
        <v>0.86334200000000005</v>
      </c>
      <c r="Z196" s="22">
        <v>306.23700000000002</v>
      </c>
      <c r="AA196" s="22">
        <v>-1.6668700000000002E-2</v>
      </c>
      <c r="AB196" s="22">
        <v>186</v>
      </c>
      <c r="AC196" s="22">
        <v>0.86242700000000005</v>
      </c>
      <c r="AD196">
        <f t="shared" si="28"/>
        <v>16.668700000000001</v>
      </c>
      <c r="AE196">
        <f t="shared" si="29"/>
        <v>14.390788795400002</v>
      </c>
      <c r="AF196" s="9"/>
      <c r="AG196" s="22">
        <v>0.83663900000000002</v>
      </c>
      <c r="AH196" s="22">
        <v>371.60300000000001</v>
      </c>
      <c r="AI196" s="22">
        <v>-1.6741900000000001E-2</v>
      </c>
      <c r="AJ196" s="22">
        <v>186</v>
      </c>
      <c r="AK196" s="22">
        <v>0.83526599999999995</v>
      </c>
      <c r="AL196">
        <f t="shared" si="30"/>
        <v>16.741900000000001</v>
      </c>
      <c r="AM196">
        <f t="shared" si="31"/>
        <v>14.006926474100002</v>
      </c>
      <c r="AP196" s="9"/>
      <c r="AQ196" s="22">
        <v>0.86334200000000005</v>
      </c>
      <c r="AR196" s="22">
        <v>460.904</v>
      </c>
      <c r="AS196" s="22">
        <v>-1.6604600000000001E-2</v>
      </c>
      <c r="AT196" s="22">
        <v>186</v>
      </c>
      <c r="AU196" s="22">
        <v>0.86242700000000005</v>
      </c>
      <c r="AV196">
        <f t="shared" si="32"/>
        <v>16.604600000000001</v>
      </c>
      <c r="AW196">
        <f t="shared" si="33"/>
        <v>14.335448573200003</v>
      </c>
      <c r="AX196" s="9"/>
      <c r="AY196" s="22">
        <v>0.83663900000000002</v>
      </c>
      <c r="AZ196" s="22">
        <v>537.92899999999997</v>
      </c>
      <c r="BA196" s="22">
        <v>-1.6659500000000001E-2</v>
      </c>
      <c r="BB196" s="22">
        <v>186</v>
      </c>
      <c r="BC196" s="22">
        <v>0.83587599999999995</v>
      </c>
      <c r="BD196">
        <f t="shared" si="34"/>
        <v>16.659500000000001</v>
      </c>
      <c r="BE196">
        <f t="shared" si="35"/>
        <v>13.937987420500001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94.604699999999994</v>
      </c>
      <c r="I197" s="22">
        <v>-1.6720599999999999E-2</v>
      </c>
      <c r="J197" s="22">
        <v>187</v>
      </c>
      <c r="K197" s="22">
        <v>0.85784899999999997</v>
      </c>
      <c r="L197">
        <f t="shared" si="24"/>
        <v>16.720599999999997</v>
      </c>
      <c r="M197">
        <f t="shared" si="25"/>
        <v>14.351408024199998</v>
      </c>
      <c r="N197" s="9"/>
      <c r="O197" s="22">
        <v>0.84167499999999995</v>
      </c>
      <c r="P197" s="22">
        <v>188.56800000000001</v>
      </c>
      <c r="Q197" s="22">
        <v>-1.6778600000000001E-2</v>
      </c>
      <c r="R197" s="22">
        <v>187</v>
      </c>
      <c r="S197" s="22">
        <v>0.84075900000000003</v>
      </c>
      <c r="T197">
        <f t="shared" si="26"/>
        <v>16.778600000000001</v>
      </c>
      <c r="U197">
        <f t="shared" si="27"/>
        <v>14.122128155</v>
      </c>
      <c r="X197" s="9"/>
      <c r="Y197" s="22">
        <v>0.85830700000000004</v>
      </c>
      <c r="Z197" s="22">
        <v>306.33699999999999</v>
      </c>
      <c r="AA197" s="22">
        <v>-1.6668700000000002E-2</v>
      </c>
      <c r="AB197" s="22">
        <v>187</v>
      </c>
      <c r="AC197" s="22">
        <v>0.85754399999999997</v>
      </c>
      <c r="AD197">
        <f t="shared" si="28"/>
        <v>16.668700000000001</v>
      </c>
      <c r="AE197">
        <f t="shared" si="29"/>
        <v>14.306861890900002</v>
      </c>
      <c r="AF197" s="9"/>
      <c r="AG197" s="22">
        <v>0.84167499999999995</v>
      </c>
      <c r="AH197" s="22">
        <v>371.70299999999997</v>
      </c>
      <c r="AI197" s="22">
        <v>-1.6726700000000001E-2</v>
      </c>
      <c r="AJ197" s="22">
        <v>187</v>
      </c>
      <c r="AK197" s="22">
        <v>0.84136999999999995</v>
      </c>
      <c r="AL197">
        <f t="shared" si="30"/>
        <v>16.726700000000001</v>
      </c>
      <c r="AM197">
        <f t="shared" si="31"/>
        <v>14.078445222499999</v>
      </c>
      <c r="AP197" s="9"/>
      <c r="AQ197" s="22">
        <v>0.85830700000000004</v>
      </c>
      <c r="AR197" s="22">
        <v>461.005</v>
      </c>
      <c r="AS197" s="22">
        <v>-1.6622899999999999E-2</v>
      </c>
      <c r="AT197" s="22">
        <v>187</v>
      </c>
      <c r="AU197" s="22">
        <v>0.85754399999999997</v>
      </c>
      <c r="AV197">
        <f t="shared" si="32"/>
        <v>16.622899999999998</v>
      </c>
      <c r="AW197">
        <f t="shared" si="33"/>
        <v>14.267551430299999</v>
      </c>
      <c r="AX197" s="9"/>
      <c r="AY197" s="22">
        <v>0.84167499999999995</v>
      </c>
      <c r="AZ197" s="22">
        <v>538.03</v>
      </c>
      <c r="BA197" s="22">
        <v>-1.6622899999999999E-2</v>
      </c>
      <c r="BB197" s="22">
        <v>187</v>
      </c>
      <c r="BC197" s="22">
        <v>0.84045400000000003</v>
      </c>
      <c r="BD197">
        <f t="shared" si="34"/>
        <v>16.622899999999998</v>
      </c>
      <c r="BE197">
        <f t="shared" si="35"/>
        <v>13.991079357499997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94.705399999999997</v>
      </c>
      <c r="I198" s="22">
        <v>-1.6726700000000001E-2</v>
      </c>
      <c r="J198" s="22">
        <v>188</v>
      </c>
      <c r="K198" s="22">
        <v>0.852966</v>
      </c>
      <c r="L198">
        <f t="shared" si="24"/>
        <v>16.726700000000001</v>
      </c>
      <c r="M198">
        <f t="shared" si="25"/>
        <v>14.272408035700002</v>
      </c>
      <c r="N198" s="9"/>
      <c r="O198" s="22">
        <v>0.84670999999999996</v>
      </c>
      <c r="P198" s="22">
        <v>188.66900000000001</v>
      </c>
      <c r="Q198" s="22">
        <v>-1.6751100000000001E-2</v>
      </c>
      <c r="R198" s="22">
        <v>188</v>
      </c>
      <c r="S198" s="22">
        <v>0.845947</v>
      </c>
      <c r="T198">
        <f t="shared" si="26"/>
        <v>16.751100000000001</v>
      </c>
      <c r="U198">
        <f t="shared" si="27"/>
        <v>14.183323881</v>
      </c>
      <c r="X198" s="9"/>
      <c r="Y198" s="22">
        <v>0.853271</v>
      </c>
      <c r="Z198" s="22">
        <v>306.43799999999999</v>
      </c>
      <c r="AA198" s="22">
        <v>-1.6677899999999999E-2</v>
      </c>
      <c r="AB198" s="22">
        <v>188</v>
      </c>
      <c r="AC198" s="22">
        <v>0.852051</v>
      </c>
      <c r="AD198">
        <f t="shared" si="28"/>
        <v>16.677899999999998</v>
      </c>
      <c r="AE198">
        <f t="shared" si="29"/>
        <v>14.230768410899998</v>
      </c>
      <c r="AF198" s="9"/>
      <c r="AG198" s="22">
        <v>0.84670999999999996</v>
      </c>
      <c r="AH198" s="22">
        <v>371.80399999999997</v>
      </c>
      <c r="AI198" s="22">
        <v>-1.67175E-2</v>
      </c>
      <c r="AJ198" s="22">
        <v>188</v>
      </c>
      <c r="AK198" s="22">
        <v>0.845947</v>
      </c>
      <c r="AL198">
        <f t="shared" si="30"/>
        <v>16.717500000000001</v>
      </c>
      <c r="AM198">
        <f t="shared" si="31"/>
        <v>14.154874425000001</v>
      </c>
      <c r="AP198" s="9"/>
      <c r="AQ198" s="22">
        <v>0.853271</v>
      </c>
      <c r="AR198" s="22">
        <v>461.10500000000002</v>
      </c>
      <c r="AS198" s="22">
        <v>-1.6622899999999999E-2</v>
      </c>
      <c r="AT198" s="22">
        <v>188</v>
      </c>
      <c r="AU198" s="22">
        <v>0.852966</v>
      </c>
      <c r="AV198">
        <f t="shared" si="32"/>
        <v>16.622899999999998</v>
      </c>
      <c r="AW198">
        <f t="shared" si="33"/>
        <v>14.183838505899999</v>
      </c>
      <c r="AX198" s="9"/>
      <c r="AY198" s="22">
        <v>0.84670999999999996</v>
      </c>
      <c r="AZ198" s="22">
        <v>538.13099999999997</v>
      </c>
      <c r="BA198" s="22">
        <v>-1.6625999999999998E-2</v>
      </c>
      <c r="BB198" s="22">
        <v>188</v>
      </c>
      <c r="BC198" s="22">
        <v>0.845947</v>
      </c>
      <c r="BD198">
        <f t="shared" si="34"/>
        <v>16.625999999999998</v>
      </c>
      <c r="BE198">
        <f t="shared" si="35"/>
        <v>14.077400459999998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94.806100000000001</v>
      </c>
      <c r="I199" s="22">
        <v>-1.6732799999999999E-2</v>
      </c>
      <c r="J199" s="22">
        <v>189</v>
      </c>
      <c r="K199" s="22">
        <v>0.84747300000000003</v>
      </c>
      <c r="L199">
        <f t="shared" si="24"/>
        <v>16.732799999999997</v>
      </c>
      <c r="M199">
        <f t="shared" si="25"/>
        <v>14.193363340799998</v>
      </c>
      <c r="N199" s="9"/>
      <c r="O199" s="22">
        <v>0.851746</v>
      </c>
      <c r="P199" s="22">
        <v>188.77</v>
      </c>
      <c r="Q199" s="22">
        <v>-1.6744999999999999E-2</v>
      </c>
      <c r="R199" s="22">
        <v>189</v>
      </c>
      <c r="S199" s="22">
        <v>0.851746</v>
      </c>
      <c r="T199">
        <f t="shared" si="26"/>
        <v>16.745000000000001</v>
      </c>
      <c r="U199">
        <f t="shared" si="27"/>
        <v>14.262486770000001</v>
      </c>
      <c r="X199" s="9"/>
      <c r="Y199" s="22">
        <v>0.84823599999999999</v>
      </c>
      <c r="Z199" s="22">
        <v>306.53899999999999</v>
      </c>
      <c r="AA199" s="22">
        <v>-1.6690099999999999E-2</v>
      </c>
      <c r="AB199" s="22">
        <v>189</v>
      </c>
      <c r="AC199" s="22">
        <v>0.84747300000000003</v>
      </c>
      <c r="AD199">
        <f t="shared" si="28"/>
        <v>16.690100000000001</v>
      </c>
      <c r="AE199">
        <f t="shared" si="29"/>
        <v>14.157143663600001</v>
      </c>
      <c r="AF199" s="9"/>
      <c r="AG199" s="22">
        <v>0.851746</v>
      </c>
      <c r="AH199" s="22">
        <v>371.90499999999997</v>
      </c>
      <c r="AI199" s="22">
        <v>-1.6726700000000001E-2</v>
      </c>
      <c r="AJ199" s="22">
        <v>189</v>
      </c>
      <c r="AK199" s="22">
        <v>0.85113499999999997</v>
      </c>
      <c r="AL199">
        <f t="shared" si="30"/>
        <v>16.726700000000001</v>
      </c>
      <c r="AM199">
        <f t="shared" si="31"/>
        <v>14.246899818200001</v>
      </c>
      <c r="AP199" s="9"/>
      <c r="AQ199" s="22">
        <v>0.84823599999999999</v>
      </c>
      <c r="AR199" s="22">
        <v>461.20600000000002</v>
      </c>
      <c r="AS199" s="22">
        <v>-1.66199E-2</v>
      </c>
      <c r="AT199" s="22">
        <v>189</v>
      </c>
      <c r="AU199" s="22">
        <v>0.84747300000000003</v>
      </c>
      <c r="AV199">
        <f t="shared" si="32"/>
        <v>16.619900000000001</v>
      </c>
      <c r="AW199">
        <f t="shared" si="33"/>
        <v>14.097597496400001</v>
      </c>
      <c r="AX199" s="9"/>
      <c r="AY199" s="22">
        <v>0.851746</v>
      </c>
      <c r="AZ199" s="22">
        <v>538.23099999999999</v>
      </c>
      <c r="BA199" s="22">
        <v>-1.66199E-2</v>
      </c>
      <c r="BB199" s="22">
        <v>189</v>
      </c>
      <c r="BC199" s="22">
        <v>0.85082999999999998</v>
      </c>
      <c r="BD199">
        <f t="shared" si="34"/>
        <v>16.619900000000001</v>
      </c>
      <c r="BE199">
        <f t="shared" si="35"/>
        <v>14.155933345400001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94.906800000000004</v>
      </c>
      <c r="I200" s="22">
        <v>-1.6741900000000001E-2</v>
      </c>
      <c r="J200" s="22">
        <v>190</v>
      </c>
      <c r="K200" s="22">
        <v>0.84258999999999995</v>
      </c>
      <c r="L200">
        <f t="shared" si="24"/>
        <v>16.741900000000001</v>
      </c>
      <c r="M200">
        <f t="shared" si="25"/>
        <v>14.1167868219</v>
      </c>
      <c r="N200" s="9"/>
      <c r="O200" s="22">
        <v>0.85678100000000001</v>
      </c>
      <c r="P200" s="22">
        <v>188.87</v>
      </c>
      <c r="Q200" s="22">
        <v>-1.6751100000000001E-2</v>
      </c>
      <c r="R200" s="22">
        <v>190</v>
      </c>
      <c r="S200" s="22">
        <v>0.85632299999999995</v>
      </c>
      <c r="T200">
        <f t="shared" si="26"/>
        <v>16.751100000000001</v>
      </c>
      <c r="U200">
        <f t="shared" si="27"/>
        <v>14.352024209100001</v>
      </c>
      <c r="X200" s="9"/>
      <c r="Y200" s="22">
        <v>0.84320099999999998</v>
      </c>
      <c r="Z200" s="22">
        <v>306.63900000000001</v>
      </c>
      <c r="AA200" s="22">
        <v>-1.6687E-2</v>
      </c>
      <c r="AB200" s="22">
        <v>190</v>
      </c>
      <c r="AC200" s="22">
        <v>0.84228499999999995</v>
      </c>
      <c r="AD200">
        <f t="shared" si="28"/>
        <v>16.687000000000001</v>
      </c>
      <c r="AE200">
        <f t="shared" si="29"/>
        <v>14.070495087000001</v>
      </c>
      <c r="AF200" s="9"/>
      <c r="AG200" s="22">
        <v>0.85678100000000001</v>
      </c>
      <c r="AH200" s="22">
        <v>372.005</v>
      </c>
      <c r="AI200" s="22">
        <v>-1.6723600000000002E-2</v>
      </c>
      <c r="AJ200" s="22">
        <v>190</v>
      </c>
      <c r="AK200" s="22">
        <v>0.85540799999999995</v>
      </c>
      <c r="AL200">
        <f t="shared" si="30"/>
        <v>16.723600000000001</v>
      </c>
      <c r="AM200">
        <f t="shared" si="31"/>
        <v>14.328462731600002</v>
      </c>
      <c r="AP200" s="9"/>
      <c r="AQ200" s="22">
        <v>0.84320099999999998</v>
      </c>
      <c r="AR200" s="22">
        <v>461.30700000000002</v>
      </c>
      <c r="AS200" s="22">
        <v>-1.66199E-2</v>
      </c>
      <c r="AT200" s="22">
        <v>190</v>
      </c>
      <c r="AU200" s="22">
        <v>0.84197999999999995</v>
      </c>
      <c r="AV200">
        <f t="shared" si="32"/>
        <v>16.619900000000001</v>
      </c>
      <c r="AW200">
        <f t="shared" si="33"/>
        <v>14.0139162999</v>
      </c>
      <c r="AX200" s="9"/>
      <c r="AY200" s="22">
        <v>0.85678100000000001</v>
      </c>
      <c r="AZ200" s="22">
        <v>538.33199999999999</v>
      </c>
      <c r="BA200" s="22">
        <v>-1.6613800000000001E-2</v>
      </c>
      <c r="BB200" s="22">
        <v>190</v>
      </c>
      <c r="BC200" s="22">
        <v>0.85510299999999995</v>
      </c>
      <c r="BD200">
        <f t="shared" si="34"/>
        <v>16.613800000000001</v>
      </c>
      <c r="BE200">
        <f t="shared" si="35"/>
        <v>14.234388177800001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95.007499999999993</v>
      </c>
      <c r="I201" s="22">
        <v>-1.6738900000000001E-2</v>
      </c>
      <c r="J201" s="22">
        <v>191</v>
      </c>
      <c r="K201" s="22">
        <v>0.83709699999999998</v>
      </c>
      <c r="L201">
        <f t="shared" si="24"/>
        <v>16.738900000000001</v>
      </c>
      <c r="M201">
        <f t="shared" si="25"/>
        <v>14.029960118500002</v>
      </c>
      <c r="N201" s="9"/>
      <c r="O201" s="22">
        <v>0.86181600000000003</v>
      </c>
      <c r="P201" s="22">
        <v>188.971</v>
      </c>
      <c r="Q201" s="22">
        <v>-1.6760299999999999E-2</v>
      </c>
      <c r="R201" s="22">
        <v>191</v>
      </c>
      <c r="S201" s="22">
        <v>0.86059600000000003</v>
      </c>
      <c r="T201">
        <f t="shared" si="26"/>
        <v>16.760299999999997</v>
      </c>
      <c r="U201">
        <f t="shared" si="27"/>
        <v>14.444294704799999</v>
      </c>
      <c r="X201" s="9"/>
      <c r="Y201" s="22">
        <v>0.83816500000000005</v>
      </c>
      <c r="Z201" s="22">
        <v>306.74</v>
      </c>
      <c r="AA201" s="22">
        <v>-1.6699200000000001E-2</v>
      </c>
      <c r="AB201" s="22">
        <v>191</v>
      </c>
      <c r="AC201" s="22">
        <v>0.83770800000000001</v>
      </c>
      <c r="AD201">
        <f t="shared" si="28"/>
        <v>16.699200000000001</v>
      </c>
      <c r="AE201">
        <f t="shared" si="29"/>
        <v>13.996684968000002</v>
      </c>
      <c r="AF201" s="9"/>
      <c r="AG201" s="22">
        <v>0.86181600000000003</v>
      </c>
      <c r="AH201" s="22">
        <v>372.10599999999999</v>
      </c>
      <c r="AI201" s="22">
        <v>-1.6720599999999999E-2</v>
      </c>
      <c r="AJ201" s="22">
        <v>191</v>
      </c>
      <c r="AK201" s="22">
        <v>0.86120600000000003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0.83816500000000005</v>
      </c>
      <c r="AR201" s="22">
        <v>461.40800000000002</v>
      </c>
      <c r="AS201" s="22">
        <v>-1.6629000000000001E-2</v>
      </c>
      <c r="AT201" s="22">
        <v>191</v>
      </c>
      <c r="AU201" s="22">
        <v>0.83740199999999998</v>
      </c>
      <c r="AV201">
        <f t="shared" si="32"/>
        <v>16.629000000000001</v>
      </c>
      <c r="AW201">
        <f t="shared" si="33"/>
        <v>13.937845785000002</v>
      </c>
      <c r="AX201" s="9"/>
      <c r="AY201" s="22">
        <v>0.86181600000000003</v>
      </c>
      <c r="AZ201" s="22">
        <v>538.43299999999999</v>
      </c>
      <c r="BA201" s="22">
        <v>-1.6610699999999999E-2</v>
      </c>
      <c r="BB201" s="22">
        <v>191</v>
      </c>
      <c r="BC201" s="22">
        <v>0.86120600000000003</v>
      </c>
      <c r="BD201">
        <f t="shared" si="34"/>
        <v>16.610699999999998</v>
      </c>
      <c r="BE201">
        <f t="shared" si="35"/>
        <v>14.315367031199999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95.108199999999997</v>
      </c>
      <c r="I202" s="22">
        <v>-1.6751100000000001E-2</v>
      </c>
      <c r="J202" s="22">
        <v>192</v>
      </c>
      <c r="K202" s="22">
        <v>0.83221400000000001</v>
      </c>
      <c r="L202">
        <f t="shared" si="24"/>
        <v>16.751100000000001</v>
      </c>
      <c r="M202">
        <f t="shared" si="25"/>
        <v>13.955843943000001</v>
      </c>
      <c r="N202" s="9"/>
      <c r="O202" s="22">
        <v>0.86685199999999996</v>
      </c>
      <c r="P202" s="22">
        <v>189.072</v>
      </c>
      <c r="Q202" s="22">
        <v>-1.67542E-2</v>
      </c>
      <c r="R202" s="22">
        <v>192</v>
      </c>
      <c r="S202" s="22">
        <v>0.865479</v>
      </c>
      <c r="T202">
        <f t="shared" si="26"/>
        <v>16.754200000000001</v>
      </c>
      <c r="U202">
        <f t="shared" si="27"/>
        <v>14.5234117784</v>
      </c>
      <c r="X202" s="9"/>
      <c r="Y202" s="22">
        <v>0.83313000000000004</v>
      </c>
      <c r="Z202" s="22">
        <v>306.84100000000001</v>
      </c>
      <c r="AA202" s="22">
        <v>-1.6711400000000001E-2</v>
      </c>
      <c r="AB202" s="22">
        <v>192</v>
      </c>
      <c r="AC202" s="22">
        <v>0.83252000000000004</v>
      </c>
      <c r="AD202">
        <f t="shared" si="28"/>
        <v>16.711400000000001</v>
      </c>
      <c r="AE202">
        <f t="shared" si="29"/>
        <v>13.922768682000001</v>
      </c>
      <c r="AF202" s="9"/>
      <c r="AG202" s="22">
        <v>0.86685199999999996</v>
      </c>
      <c r="AH202" s="22">
        <v>372.20699999999999</v>
      </c>
      <c r="AI202" s="22">
        <v>-1.6711400000000001E-2</v>
      </c>
      <c r="AJ202" s="22">
        <v>192</v>
      </c>
      <c r="AK202" s="22">
        <v>0.865784</v>
      </c>
      <c r="AL202">
        <f t="shared" si="30"/>
        <v>16.711400000000001</v>
      </c>
      <c r="AM202">
        <f t="shared" si="31"/>
        <v>14.486310512799999</v>
      </c>
      <c r="AP202" s="9"/>
      <c r="AQ202" s="22">
        <v>0.83313000000000004</v>
      </c>
      <c r="AR202" s="22">
        <v>461.50799999999998</v>
      </c>
      <c r="AS202" s="22">
        <v>-1.6625999999999998E-2</v>
      </c>
      <c r="AT202" s="22">
        <v>192</v>
      </c>
      <c r="AU202" s="22">
        <v>0.83282500000000004</v>
      </c>
      <c r="AV202">
        <f t="shared" si="32"/>
        <v>16.625999999999998</v>
      </c>
      <c r="AW202">
        <f t="shared" si="33"/>
        <v>13.851619379999999</v>
      </c>
      <c r="AX202" s="9"/>
      <c r="AY202" s="22">
        <v>0.86685199999999996</v>
      </c>
      <c r="AZ202" s="22">
        <v>538.53399999999999</v>
      </c>
      <c r="BA202" s="22">
        <v>-1.6610699999999999E-2</v>
      </c>
      <c r="BB202" s="22">
        <v>192</v>
      </c>
      <c r="BC202" s="22">
        <v>0.866394</v>
      </c>
      <c r="BD202">
        <f t="shared" si="34"/>
        <v>16.610699999999998</v>
      </c>
      <c r="BE202">
        <f t="shared" si="35"/>
        <v>14.399018516399998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95.2089</v>
      </c>
      <c r="I203" s="22">
        <v>-1.6751100000000001E-2</v>
      </c>
      <c r="J203" s="22">
        <v>193</v>
      </c>
      <c r="K203" s="22">
        <v>0.82763699999999996</v>
      </c>
      <c r="L203">
        <f t="shared" si="24"/>
        <v>16.751100000000001</v>
      </c>
      <c r="M203">
        <f t="shared" si="25"/>
        <v>13.871485403400001</v>
      </c>
      <c r="N203" s="9"/>
      <c r="O203" s="22">
        <v>0.87188699999999997</v>
      </c>
      <c r="P203" s="22">
        <v>189.172</v>
      </c>
      <c r="Q203" s="22">
        <v>-1.6741900000000001E-2</v>
      </c>
      <c r="R203" s="22">
        <v>193</v>
      </c>
      <c r="S203" s="22">
        <v>0.87066699999999997</v>
      </c>
      <c r="T203">
        <f t="shared" si="26"/>
        <v>16.741900000000001</v>
      </c>
      <c r="U203">
        <f t="shared" si="27"/>
        <v>14.5970449653</v>
      </c>
      <c r="X203" s="9"/>
      <c r="Y203" s="22">
        <v>0.828094</v>
      </c>
      <c r="Z203" s="22">
        <v>306.94099999999997</v>
      </c>
      <c r="AA203" s="22">
        <v>-1.6720599999999999E-2</v>
      </c>
      <c r="AB203" s="22">
        <v>193</v>
      </c>
      <c r="AC203" s="22">
        <v>0.82672100000000004</v>
      </c>
      <c r="AD203">
        <f t="shared" si="28"/>
        <v>16.720599999999997</v>
      </c>
      <c r="AE203">
        <f t="shared" si="29"/>
        <v>13.846228536399998</v>
      </c>
      <c r="AF203" s="9"/>
      <c r="AG203" s="22">
        <v>0.87188699999999997</v>
      </c>
      <c r="AH203" s="22">
        <v>372.30799999999999</v>
      </c>
      <c r="AI203" s="22">
        <v>-1.6708400000000002E-2</v>
      </c>
      <c r="AJ203" s="22">
        <v>193</v>
      </c>
      <c r="AK203" s="22">
        <v>0.87097199999999997</v>
      </c>
      <c r="AL203">
        <f t="shared" si="30"/>
        <v>16.708400000000001</v>
      </c>
      <c r="AM203">
        <f t="shared" si="31"/>
        <v>14.5678367508</v>
      </c>
      <c r="AP203" s="9"/>
      <c r="AQ203" s="22">
        <v>0.828094</v>
      </c>
      <c r="AR203" s="22">
        <v>461.60899999999998</v>
      </c>
      <c r="AS203" s="22">
        <v>-1.66351E-2</v>
      </c>
      <c r="AT203" s="22">
        <v>193</v>
      </c>
      <c r="AU203" s="22">
        <v>0.82672100000000004</v>
      </c>
      <c r="AV203">
        <f t="shared" si="32"/>
        <v>16.635100000000001</v>
      </c>
      <c r="AW203">
        <f t="shared" si="33"/>
        <v>13.775426499400002</v>
      </c>
      <c r="AX203" s="9"/>
      <c r="AY203" s="22">
        <v>0.87188699999999997</v>
      </c>
      <c r="AZ203" s="22">
        <v>538.63400000000001</v>
      </c>
      <c r="BA203" s="22">
        <v>-1.6610699999999999E-2</v>
      </c>
      <c r="BB203" s="22">
        <v>193</v>
      </c>
      <c r="BC203" s="22">
        <v>0.87005600000000005</v>
      </c>
      <c r="BD203">
        <f t="shared" si="34"/>
        <v>16.610699999999998</v>
      </c>
      <c r="BE203">
        <f t="shared" si="35"/>
        <v>14.482653390899998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95.309600000000003</v>
      </c>
      <c r="I204" s="22">
        <v>-1.6760299999999999E-2</v>
      </c>
      <c r="J204" s="22">
        <v>194</v>
      </c>
      <c r="K204" s="22">
        <v>0.82244899999999999</v>
      </c>
      <c r="L204">
        <f t="shared" ref="L204:L267" si="36">-I204/$F$2*1000</f>
        <v>16.760299999999997</v>
      </c>
      <c r="M204">
        <f t="shared" ref="M204:M267" si="37">L204*G204</f>
        <v>13.794715757699997</v>
      </c>
      <c r="N204" s="9"/>
      <c r="O204" s="22">
        <v>0.87692300000000001</v>
      </c>
      <c r="P204" s="22">
        <v>189.273</v>
      </c>
      <c r="Q204" s="22">
        <v>-1.6760299999999999E-2</v>
      </c>
      <c r="R204" s="22">
        <v>194</v>
      </c>
      <c r="S204" s="22">
        <v>0.87585400000000002</v>
      </c>
      <c r="T204">
        <f t="shared" ref="T204:T267" si="38">-Q204/$F$2*1000</f>
        <v>16.760299999999997</v>
      </c>
      <c r="U204">
        <f t="shared" ref="U204:U267" si="39">T204*O204</f>
        <v>14.697492556899999</v>
      </c>
      <c r="X204" s="9"/>
      <c r="Y204" s="22">
        <v>0.82305899999999999</v>
      </c>
      <c r="Z204" s="22">
        <v>307.04199999999997</v>
      </c>
      <c r="AA204" s="22">
        <v>-1.6720599999999999E-2</v>
      </c>
      <c r="AB204" s="22">
        <v>194</v>
      </c>
      <c r="AC204" s="22">
        <v>0.82214399999999999</v>
      </c>
      <c r="AD204">
        <f t="shared" ref="AD204:AD267" si="40">-AA204/$F$2*1000</f>
        <v>16.720599999999997</v>
      </c>
      <c r="AE204">
        <f t="shared" ref="AE204:AE267" si="41">AD204*Y204</f>
        <v>13.762040315399998</v>
      </c>
      <c r="AF204" s="9"/>
      <c r="AG204" s="22">
        <v>0.87692300000000001</v>
      </c>
      <c r="AH204" s="22">
        <v>372.40800000000002</v>
      </c>
      <c r="AI204" s="22">
        <v>-1.6699200000000001E-2</v>
      </c>
      <c r="AJ204" s="22">
        <v>194</v>
      </c>
      <c r="AK204" s="22">
        <v>0.87616000000000005</v>
      </c>
      <c r="AL204">
        <f t="shared" ref="AL204:AL267" si="42">-AI204/$F$2*1000</f>
        <v>16.699200000000001</v>
      </c>
      <c r="AM204">
        <f t="shared" ref="AM204:AM267" si="43">AL204*AG204</f>
        <v>14.643912561600001</v>
      </c>
      <c r="AP204" s="9"/>
      <c r="AQ204" s="22">
        <v>0.82305899999999999</v>
      </c>
      <c r="AR204" s="22">
        <v>461.71</v>
      </c>
      <c r="AS204" s="22">
        <v>-1.6629000000000001E-2</v>
      </c>
      <c r="AT204" s="22">
        <v>194</v>
      </c>
      <c r="AU204" s="22">
        <v>0.82244899999999999</v>
      </c>
      <c r="AV204">
        <f t="shared" ref="AV204:AV267" si="44">-AS204/$F$2*1000</f>
        <v>16.629000000000001</v>
      </c>
      <c r="AW204">
        <f t="shared" ref="AW204:AW267" si="45">AV204*AQ204</f>
        <v>13.686648111</v>
      </c>
      <c r="AX204" s="9"/>
      <c r="AY204" s="22">
        <v>0.87692300000000001</v>
      </c>
      <c r="AZ204" s="22">
        <v>538.73500000000001</v>
      </c>
      <c r="BA204" s="22">
        <v>-1.6601600000000001E-2</v>
      </c>
      <c r="BB204" s="22">
        <v>194</v>
      </c>
      <c r="BC204" s="22">
        <v>0.87585400000000002</v>
      </c>
      <c r="BD204">
        <f t="shared" ref="BD204:BD267" si="46">-BA204/$F$2*1000</f>
        <v>16.601600000000001</v>
      </c>
      <c r="BE204">
        <f t="shared" ref="BE204:BE267" si="47">BD204*AY204</f>
        <v>14.5583248768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95.410300000000007</v>
      </c>
      <c r="I205" s="22">
        <v>-1.6772499999999999E-2</v>
      </c>
      <c r="J205" s="22">
        <v>195</v>
      </c>
      <c r="K205" s="22">
        <v>0.81695600000000002</v>
      </c>
      <c r="L205">
        <f t="shared" si="36"/>
        <v>16.772500000000001</v>
      </c>
      <c r="M205">
        <f t="shared" si="37"/>
        <v>13.72030754</v>
      </c>
      <c r="N205" s="9"/>
      <c r="O205" s="22">
        <v>0.88195800000000002</v>
      </c>
      <c r="P205" s="22">
        <v>189.374</v>
      </c>
      <c r="Q205" s="22">
        <v>-1.6744999999999999E-2</v>
      </c>
      <c r="R205" s="22">
        <v>195</v>
      </c>
      <c r="S205" s="22">
        <v>0.88104199999999999</v>
      </c>
      <c r="T205">
        <f t="shared" si="38"/>
        <v>16.745000000000001</v>
      </c>
      <c r="U205">
        <f t="shared" si="39"/>
        <v>14.768386710000001</v>
      </c>
      <c r="X205" s="9"/>
      <c r="Y205" s="22">
        <v>0.81802399999999997</v>
      </c>
      <c r="Z205" s="22">
        <v>307.14299999999997</v>
      </c>
      <c r="AA205" s="22">
        <v>-1.6726700000000001E-2</v>
      </c>
      <c r="AB205" s="22">
        <v>195</v>
      </c>
      <c r="AC205" s="22">
        <v>0.81695600000000002</v>
      </c>
      <c r="AD205">
        <f t="shared" si="40"/>
        <v>16.726700000000001</v>
      </c>
      <c r="AE205">
        <f t="shared" si="41"/>
        <v>13.682842040800001</v>
      </c>
      <c r="AF205" s="9"/>
      <c r="AG205" s="22">
        <v>0.88195800000000002</v>
      </c>
      <c r="AH205" s="22">
        <v>372.50900000000001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0.81802399999999997</v>
      </c>
      <c r="AR205" s="22">
        <v>461.81</v>
      </c>
      <c r="AS205" s="22">
        <v>-1.6625999999999998E-2</v>
      </c>
      <c r="AT205" s="22">
        <v>195</v>
      </c>
      <c r="AU205" s="22">
        <v>0.81726100000000002</v>
      </c>
      <c r="AV205">
        <f t="shared" si="44"/>
        <v>16.625999999999998</v>
      </c>
      <c r="AW205">
        <f t="shared" si="45"/>
        <v>13.600467023999999</v>
      </c>
      <c r="AX205" s="9"/>
      <c r="AY205" s="22">
        <v>0.88195800000000002</v>
      </c>
      <c r="AZ205" s="22">
        <v>538.83600000000001</v>
      </c>
      <c r="BA205" s="22">
        <v>-1.6595499999999999E-2</v>
      </c>
      <c r="BB205" s="22">
        <v>195</v>
      </c>
      <c r="BC205" s="22">
        <v>0.88104199999999999</v>
      </c>
      <c r="BD205">
        <f t="shared" si="46"/>
        <v>16.595499999999998</v>
      </c>
      <c r="BE205">
        <f t="shared" si="47"/>
        <v>14.636533988999998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95.510999999999996</v>
      </c>
      <c r="I206" s="22">
        <v>-1.67694E-2</v>
      </c>
      <c r="J206" s="22">
        <v>196</v>
      </c>
      <c r="K206" s="22">
        <v>0.81146200000000002</v>
      </c>
      <c r="L206">
        <f t="shared" si="36"/>
        <v>16.769400000000001</v>
      </c>
      <c r="M206">
        <f t="shared" si="37"/>
        <v>13.633320967200001</v>
      </c>
      <c r="N206" s="9"/>
      <c r="O206" s="22">
        <v>0.88699300000000003</v>
      </c>
      <c r="P206" s="22">
        <v>189.47499999999999</v>
      </c>
      <c r="Q206" s="22">
        <v>-1.6741900000000001E-2</v>
      </c>
      <c r="R206" s="22">
        <v>196</v>
      </c>
      <c r="S206" s="22">
        <v>0.88622999999999996</v>
      </c>
      <c r="T206">
        <f t="shared" si="38"/>
        <v>16.741900000000001</v>
      </c>
      <c r="U206">
        <f t="shared" si="39"/>
        <v>14.849948106700001</v>
      </c>
      <c r="X206" s="9"/>
      <c r="Y206" s="22">
        <v>0.81298800000000004</v>
      </c>
      <c r="Z206" s="22">
        <v>307.24400000000003</v>
      </c>
      <c r="AA206" s="22">
        <v>-1.6726700000000001E-2</v>
      </c>
      <c r="AB206" s="22">
        <v>196</v>
      </c>
      <c r="AC206" s="22">
        <v>0.81146200000000002</v>
      </c>
      <c r="AD206">
        <f t="shared" si="40"/>
        <v>16.726700000000001</v>
      </c>
      <c r="AE206">
        <f t="shared" si="41"/>
        <v>13.598606379600001</v>
      </c>
      <c r="AF206" s="9"/>
      <c r="AG206" s="22">
        <v>0.88699300000000003</v>
      </c>
      <c r="AH206" s="22">
        <v>372.61</v>
      </c>
      <c r="AI206" s="22">
        <v>-1.66748E-2</v>
      </c>
      <c r="AJ206" s="22">
        <v>196</v>
      </c>
      <c r="AK206" s="22">
        <v>0.88653599999999999</v>
      </c>
      <c r="AL206">
        <f t="shared" si="42"/>
        <v>16.674800000000001</v>
      </c>
      <c r="AM206">
        <f t="shared" si="43"/>
        <v>14.790430876400002</v>
      </c>
      <c r="AP206" s="9"/>
      <c r="AQ206" s="22">
        <v>0.81298800000000004</v>
      </c>
      <c r="AR206" s="22">
        <v>461.911</v>
      </c>
      <c r="AS206" s="22">
        <v>-1.66351E-2</v>
      </c>
      <c r="AT206" s="22">
        <v>196</v>
      </c>
      <c r="AU206" s="22">
        <v>0.81237800000000004</v>
      </c>
      <c r="AV206">
        <f t="shared" si="44"/>
        <v>16.635100000000001</v>
      </c>
      <c r="AW206">
        <f t="shared" si="45"/>
        <v>13.524136678800001</v>
      </c>
      <c r="AX206" s="9"/>
      <c r="AY206" s="22">
        <v>0.88699300000000003</v>
      </c>
      <c r="AZ206" s="22">
        <v>538.93600000000004</v>
      </c>
      <c r="BA206" s="22">
        <v>-1.6586299999999998E-2</v>
      </c>
      <c r="BB206" s="22">
        <v>196</v>
      </c>
      <c r="BC206" s="22">
        <v>0.88622999999999996</v>
      </c>
      <c r="BD206">
        <f t="shared" si="46"/>
        <v>16.586299999999998</v>
      </c>
      <c r="BE206">
        <f t="shared" si="47"/>
        <v>14.711931995899999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95.611699999999999</v>
      </c>
      <c r="I207" s="22">
        <v>-1.6766400000000001E-2</v>
      </c>
      <c r="J207" s="22">
        <v>197</v>
      </c>
      <c r="K207" s="22">
        <v>0.80688499999999996</v>
      </c>
      <c r="L207">
        <f t="shared" si="36"/>
        <v>16.766400000000001</v>
      </c>
      <c r="M207">
        <f t="shared" si="37"/>
        <v>13.546463179200002</v>
      </c>
      <c r="N207" s="9"/>
      <c r="O207" s="22">
        <v>0.89202899999999996</v>
      </c>
      <c r="P207" s="22">
        <v>189.57499999999999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0.80795300000000003</v>
      </c>
      <c r="Z207" s="22">
        <v>307.34399999999999</v>
      </c>
      <c r="AA207" s="22">
        <v>-1.6723600000000002E-2</v>
      </c>
      <c r="AB207" s="22">
        <v>197</v>
      </c>
      <c r="AC207" s="22">
        <v>0.80749499999999996</v>
      </c>
      <c r="AD207">
        <f t="shared" si="40"/>
        <v>16.723600000000001</v>
      </c>
      <c r="AE207">
        <f t="shared" si="41"/>
        <v>13.511882790800001</v>
      </c>
      <c r="AF207" s="9"/>
      <c r="AG207" s="22">
        <v>0.89202899999999996</v>
      </c>
      <c r="AH207" s="22">
        <v>372.71</v>
      </c>
      <c r="AI207" s="22">
        <v>-1.66748E-2</v>
      </c>
      <c r="AJ207" s="22">
        <v>197</v>
      </c>
      <c r="AK207" s="22">
        <v>0.89080800000000004</v>
      </c>
      <c r="AL207">
        <f t="shared" si="42"/>
        <v>16.674800000000001</v>
      </c>
      <c r="AM207">
        <f t="shared" si="43"/>
        <v>14.874405169200001</v>
      </c>
      <c r="AP207" s="9"/>
      <c r="AQ207" s="22">
        <v>0.80795300000000003</v>
      </c>
      <c r="AR207" s="22">
        <v>462.012</v>
      </c>
      <c r="AS207" s="22">
        <v>-1.6644300000000001E-2</v>
      </c>
      <c r="AT207" s="22">
        <v>197</v>
      </c>
      <c r="AU207" s="22">
        <v>0.80718999999999996</v>
      </c>
      <c r="AV207">
        <f t="shared" si="44"/>
        <v>16.644300000000001</v>
      </c>
      <c r="AW207">
        <f t="shared" si="45"/>
        <v>13.447812117900002</v>
      </c>
      <c r="AX207" s="9"/>
      <c r="AY207" s="22">
        <v>0.89202899999999996</v>
      </c>
      <c r="AZ207" s="22">
        <v>539.03700000000003</v>
      </c>
      <c r="BA207" s="22">
        <v>-1.6583299999999999E-2</v>
      </c>
      <c r="BB207" s="22">
        <v>197</v>
      </c>
      <c r="BC207" s="22">
        <v>0.89141800000000004</v>
      </c>
      <c r="BD207">
        <f t="shared" si="46"/>
        <v>16.583299999999998</v>
      </c>
      <c r="BE207">
        <f t="shared" si="47"/>
        <v>14.792784515699998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95.712400000000002</v>
      </c>
      <c r="I208" s="22">
        <v>-1.6781600000000001E-2</v>
      </c>
      <c r="J208" s="22">
        <v>198</v>
      </c>
      <c r="K208" s="22">
        <v>0.80200199999999999</v>
      </c>
      <c r="L208">
        <f t="shared" si="36"/>
        <v>16.781600000000001</v>
      </c>
      <c r="M208">
        <f t="shared" si="37"/>
        <v>13.4742319272</v>
      </c>
      <c r="N208" s="9"/>
      <c r="O208" s="22">
        <v>0.89706399999999997</v>
      </c>
      <c r="P208" s="22">
        <v>189.67599999999999</v>
      </c>
      <c r="Q208" s="22">
        <v>-1.6735799999999999E-2</v>
      </c>
      <c r="R208" s="22">
        <v>198</v>
      </c>
      <c r="S208" s="22">
        <v>0.89599600000000001</v>
      </c>
      <c r="T208">
        <f t="shared" si="38"/>
        <v>16.735799999999998</v>
      </c>
      <c r="U208">
        <f t="shared" si="39"/>
        <v>15.013083691199997</v>
      </c>
      <c r="X208" s="9"/>
      <c r="Y208" s="22">
        <v>0.80291699999999999</v>
      </c>
      <c r="Z208" s="22">
        <v>307.44499999999999</v>
      </c>
      <c r="AA208" s="22">
        <v>-1.67297E-2</v>
      </c>
      <c r="AB208" s="22">
        <v>198</v>
      </c>
      <c r="AC208" s="22">
        <v>0.80230699999999999</v>
      </c>
      <c r="AD208">
        <f t="shared" si="40"/>
        <v>16.729700000000001</v>
      </c>
      <c r="AE208">
        <f t="shared" si="41"/>
        <v>13.4325605349</v>
      </c>
      <c r="AF208" s="9"/>
      <c r="AG208" s="22">
        <v>0.89706399999999997</v>
      </c>
      <c r="AH208" s="22">
        <v>372.81099999999998</v>
      </c>
      <c r="AI208" s="22">
        <v>-1.6687E-2</v>
      </c>
      <c r="AJ208" s="22">
        <v>198</v>
      </c>
      <c r="AK208" s="22">
        <v>0.89569100000000001</v>
      </c>
      <c r="AL208">
        <f t="shared" si="42"/>
        <v>16.687000000000001</v>
      </c>
      <c r="AM208">
        <f t="shared" si="43"/>
        <v>14.969306968</v>
      </c>
      <c r="AP208" s="9"/>
      <c r="AQ208" s="22">
        <v>0.80291699999999999</v>
      </c>
      <c r="AR208" s="22">
        <v>462.113</v>
      </c>
      <c r="AS208" s="22">
        <v>-1.6653399999999999E-2</v>
      </c>
      <c r="AT208" s="22">
        <v>198</v>
      </c>
      <c r="AU208" s="22">
        <v>0.80169699999999999</v>
      </c>
      <c r="AV208">
        <f t="shared" si="44"/>
        <v>16.653399999999998</v>
      </c>
      <c r="AW208">
        <f t="shared" si="45"/>
        <v>13.371297967799999</v>
      </c>
      <c r="AX208" s="9"/>
      <c r="AY208" s="22">
        <v>0.89706399999999997</v>
      </c>
      <c r="AZ208" s="22">
        <v>539.13800000000003</v>
      </c>
      <c r="BA208" s="22">
        <v>-1.6583299999999999E-2</v>
      </c>
      <c r="BB208" s="22">
        <v>198</v>
      </c>
      <c r="BC208" s="22">
        <v>0.89538600000000002</v>
      </c>
      <c r="BD208">
        <f t="shared" si="46"/>
        <v>16.583299999999998</v>
      </c>
      <c r="BE208">
        <f t="shared" si="47"/>
        <v>14.876281431199997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95.813199999999995</v>
      </c>
      <c r="I209" s="22">
        <v>-1.6787699999999999E-2</v>
      </c>
      <c r="J209" s="22">
        <v>199</v>
      </c>
      <c r="K209" s="22">
        <v>0.79650900000000002</v>
      </c>
      <c r="L209">
        <f t="shared" si="36"/>
        <v>16.787699999999997</v>
      </c>
      <c r="M209">
        <f t="shared" si="37"/>
        <v>13.394603651399997</v>
      </c>
      <c r="N209" s="9"/>
      <c r="O209" s="22">
        <v>0.90210000000000001</v>
      </c>
      <c r="P209" s="22">
        <v>189.77699999999999</v>
      </c>
      <c r="Q209" s="22">
        <v>-1.6723600000000002E-2</v>
      </c>
      <c r="R209" s="22">
        <v>199</v>
      </c>
      <c r="S209" s="22">
        <v>0.90179399999999998</v>
      </c>
      <c r="T209">
        <f t="shared" si="38"/>
        <v>16.723600000000001</v>
      </c>
      <c r="U209">
        <f t="shared" si="39"/>
        <v>15.086359560000002</v>
      </c>
      <c r="X209" s="9"/>
      <c r="Y209" s="22">
        <v>0.79788199999999998</v>
      </c>
      <c r="Z209" s="22">
        <v>307.54599999999999</v>
      </c>
      <c r="AA209" s="22">
        <v>-1.6732799999999999E-2</v>
      </c>
      <c r="AB209" s="22">
        <v>199</v>
      </c>
      <c r="AC209" s="22">
        <v>0.79742400000000002</v>
      </c>
      <c r="AD209">
        <f t="shared" si="40"/>
        <v>16.732799999999997</v>
      </c>
      <c r="AE209">
        <f t="shared" si="41"/>
        <v>13.350799929599997</v>
      </c>
      <c r="AF209" s="9"/>
      <c r="AG209" s="22">
        <v>0.90210000000000001</v>
      </c>
      <c r="AH209" s="22">
        <v>372.91199999999998</v>
      </c>
      <c r="AI209" s="22">
        <v>-1.66748E-2</v>
      </c>
      <c r="AJ209" s="22">
        <v>199</v>
      </c>
      <c r="AK209" s="22">
        <v>0.90118399999999999</v>
      </c>
      <c r="AL209">
        <f t="shared" si="42"/>
        <v>16.674800000000001</v>
      </c>
      <c r="AM209">
        <f t="shared" si="43"/>
        <v>15.042337080000001</v>
      </c>
      <c r="AP209" s="9"/>
      <c r="AQ209" s="22">
        <v>0.79788199999999998</v>
      </c>
      <c r="AR209" s="22">
        <v>462.21300000000002</v>
      </c>
      <c r="AS209" s="22">
        <v>-1.66473E-2</v>
      </c>
      <c r="AT209" s="22">
        <v>199</v>
      </c>
      <c r="AU209" s="22">
        <v>0.79711900000000002</v>
      </c>
      <c r="AV209">
        <f t="shared" si="44"/>
        <v>16.647300000000001</v>
      </c>
      <c r="AW209">
        <f t="shared" si="45"/>
        <v>13.2825810186</v>
      </c>
      <c r="AX209" s="9"/>
      <c r="AY209" s="22">
        <v>0.90210000000000001</v>
      </c>
      <c r="AZ209" s="22">
        <v>539.23900000000003</v>
      </c>
      <c r="BA209" s="22">
        <v>-1.6577100000000001E-2</v>
      </c>
      <c r="BB209" s="22">
        <v>199</v>
      </c>
      <c r="BC209" s="22">
        <v>0.90148899999999998</v>
      </c>
      <c r="BD209">
        <f t="shared" si="46"/>
        <v>16.577100000000002</v>
      </c>
      <c r="BE209">
        <f t="shared" si="47"/>
        <v>14.954201910000002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95.913899999999998</v>
      </c>
      <c r="I210" s="22">
        <v>-1.67847E-2</v>
      </c>
      <c r="J210" s="22">
        <v>200</v>
      </c>
      <c r="K210" s="22">
        <v>0.79254199999999997</v>
      </c>
      <c r="L210">
        <f t="shared" si="36"/>
        <v>16.784700000000001</v>
      </c>
      <c r="M210">
        <f t="shared" si="37"/>
        <v>13.307699040899999</v>
      </c>
      <c r="N210" s="9"/>
      <c r="O210" s="22">
        <v>0.90713500000000002</v>
      </c>
      <c r="P210" s="22">
        <v>189.87700000000001</v>
      </c>
      <c r="Q210" s="22">
        <v>-1.6723600000000002E-2</v>
      </c>
      <c r="R210" s="22">
        <v>200</v>
      </c>
      <c r="S210" s="22">
        <v>0.90637199999999996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0.79284699999999997</v>
      </c>
      <c r="Z210" s="22">
        <v>307.64600000000002</v>
      </c>
      <c r="AA210" s="22">
        <v>-1.6738900000000001E-2</v>
      </c>
      <c r="AB210" s="22">
        <v>200</v>
      </c>
      <c r="AC210" s="22">
        <v>0.79193100000000005</v>
      </c>
      <c r="AD210">
        <f t="shared" si="40"/>
        <v>16.738900000000001</v>
      </c>
      <c r="AE210">
        <f t="shared" si="41"/>
        <v>13.2713866483</v>
      </c>
      <c r="AF210" s="9"/>
      <c r="AG210" s="22">
        <v>0.90713500000000002</v>
      </c>
      <c r="AH210" s="22">
        <v>373.012</v>
      </c>
      <c r="AI210" s="22">
        <v>-1.6687E-2</v>
      </c>
      <c r="AJ210" s="22">
        <v>200</v>
      </c>
      <c r="AK210" s="22">
        <v>0.90606699999999996</v>
      </c>
      <c r="AL210">
        <f t="shared" si="42"/>
        <v>16.687000000000001</v>
      </c>
      <c r="AM210">
        <f t="shared" si="43"/>
        <v>15.137361745000002</v>
      </c>
      <c r="AP210" s="9"/>
      <c r="AQ210" s="22">
        <v>0.79284699999999997</v>
      </c>
      <c r="AR210" s="22">
        <v>462.31400000000002</v>
      </c>
      <c r="AS210" s="22">
        <v>-1.66626E-2</v>
      </c>
      <c r="AT210" s="22">
        <v>200</v>
      </c>
      <c r="AU210" s="22">
        <v>0.79223600000000005</v>
      </c>
      <c r="AV210">
        <f t="shared" si="44"/>
        <v>16.662600000000001</v>
      </c>
      <c r="AW210">
        <f t="shared" si="45"/>
        <v>13.210892422200001</v>
      </c>
      <c r="AX210" s="9"/>
      <c r="AY210" s="22">
        <v>0.90713500000000002</v>
      </c>
      <c r="AZ210" s="22">
        <v>539.33900000000006</v>
      </c>
      <c r="BA210" s="22">
        <v>-1.6570999999999999E-2</v>
      </c>
      <c r="BB210" s="22">
        <v>200</v>
      </c>
      <c r="BC210" s="22">
        <v>0.90667699999999996</v>
      </c>
      <c r="BD210">
        <f t="shared" si="46"/>
        <v>16.570999999999998</v>
      </c>
      <c r="BE210">
        <f t="shared" si="47"/>
        <v>15.032134084999999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96.014600000000002</v>
      </c>
      <c r="I211" s="22">
        <v>-1.6787699999999999E-2</v>
      </c>
      <c r="J211" s="22">
        <v>201</v>
      </c>
      <c r="K211" s="22">
        <v>0.787354</v>
      </c>
      <c r="L211">
        <f t="shared" si="36"/>
        <v>16.787699999999997</v>
      </c>
      <c r="M211">
        <f t="shared" si="37"/>
        <v>13.225534724699999</v>
      </c>
      <c r="N211" s="9"/>
      <c r="O211" s="22">
        <v>0.91217000000000004</v>
      </c>
      <c r="P211" s="22">
        <v>189.97800000000001</v>
      </c>
      <c r="Q211" s="22">
        <v>-1.67297E-2</v>
      </c>
      <c r="R211" s="22">
        <v>201</v>
      </c>
      <c r="S211" s="22">
        <v>0.91217000000000004</v>
      </c>
      <c r="T211">
        <f t="shared" si="38"/>
        <v>16.729700000000001</v>
      </c>
      <c r="U211">
        <f t="shared" si="39"/>
        <v>15.260330449000001</v>
      </c>
      <c r="X211" s="9"/>
      <c r="Y211" s="22">
        <v>0.78781100000000004</v>
      </c>
      <c r="Z211" s="22">
        <v>307.74700000000001</v>
      </c>
      <c r="AA211" s="22">
        <v>-1.6760299999999999E-2</v>
      </c>
      <c r="AB211" s="22">
        <v>201</v>
      </c>
      <c r="AC211" s="22">
        <v>0.787354</v>
      </c>
      <c r="AD211">
        <f t="shared" si="40"/>
        <v>16.760299999999997</v>
      </c>
      <c r="AE211">
        <f t="shared" si="41"/>
        <v>13.203948703299998</v>
      </c>
      <c r="AF211" s="9"/>
      <c r="AG211" s="22">
        <v>0.91217000000000004</v>
      </c>
      <c r="AH211" s="22">
        <v>373.113</v>
      </c>
      <c r="AI211" s="22">
        <v>-1.6668700000000002E-2</v>
      </c>
      <c r="AJ211" s="22">
        <v>201</v>
      </c>
      <c r="AK211" s="22">
        <v>0.91156000000000004</v>
      </c>
      <c r="AL211">
        <f t="shared" si="42"/>
        <v>16.668700000000001</v>
      </c>
      <c r="AM211">
        <f t="shared" si="43"/>
        <v>15.204688079000002</v>
      </c>
      <c r="AP211" s="9"/>
      <c r="AQ211" s="22">
        <v>0.78781100000000004</v>
      </c>
      <c r="AR211" s="22">
        <v>462.41500000000002</v>
      </c>
      <c r="AS211" s="22">
        <v>-1.6668700000000002E-2</v>
      </c>
      <c r="AT211" s="22">
        <v>201</v>
      </c>
      <c r="AU211" s="22">
        <v>0.78674299999999997</v>
      </c>
      <c r="AV211">
        <f t="shared" si="44"/>
        <v>16.668700000000001</v>
      </c>
      <c r="AW211">
        <f t="shared" si="45"/>
        <v>13.131785215700001</v>
      </c>
      <c r="AX211" s="9"/>
      <c r="AY211" s="22">
        <v>0.91217000000000004</v>
      </c>
      <c r="AZ211" s="22">
        <v>539.44000000000005</v>
      </c>
      <c r="BA211" s="22">
        <v>-1.6561900000000001E-2</v>
      </c>
      <c r="BB211" s="22">
        <v>201</v>
      </c>
      <c r="BC211" s="22">
        <v>0.91156000000000004</v>
      </c>
      <c r="BD211">
        <f t="shared" si="46"/>
        <v>16.561900000000001</v>
      </c>
      <c r="BE211">
        <f t="shared" si="47"/>
        <v>15.107268323000001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96.115300000000005</v>
      </c>
      <c r="I212" s="22">
        <v>-1.6790800000000002E-2</v>
      </c>
      <c r="J212" s="22">
        <v>202</v>
      </c>
      <c r="K212" s="22">
        <v>0.78186</v>
      </c>
      <c r="L212">
        <f t="shared" si="36"/>
        <v>16.790800000000001</v>
      </c>
      <c r="M212">
        <f t="shared" si="37"/>
        <v>13.1434352608</v>
      </c>
      <c r="N212" s="9"/>
      <c r="O212" s="22">
        <v>0.91720599999999997</v>
      </c>
      <c r="P212" s="22">
        <v>190.07900000000001</v>
      </c>
      <c r="Q212" s="22">
        <v>-1.67297E-2</v>
      </c>
      <c r="R212" s="22">
        <v>202</v>
      </c>
      <c r="S212" s="22">
        <v>0.91644300000000001</v>
      </c>
      <c r="T212">
        <f t="shared" si="38"/>
        <v>16.729700000000001</v>
      </c>
      <c r="U212">
        <f t="shared" si="39"/>
        <v>15.3445812182</v>
      </c>
      <c r="X212" s="9"/>
      <c r="Y212" s="22">
        <v>0.78277600000000003</v>
      </c>
      <c r="Z212" s="22">
        <v>307.84800000000001</v>
      </c>
      <c r="AA212" s="22">
        <v>-1.67542E-2</v>
      </c>
      <c r="AB212" s="22">
        <v>202</v>
      </c>
      <c r="AC212" s="22">
        <v>0.78186</v>
      </c>
      <c r="AD212">
        <f t="shared" si="40"/>
        <v>16.754200000000001</v>
      </c>
      <c r="AE212">
        <f t="shared" si="41"/>
        <v>13.114785659200001</v>
      </c>
      <c r="AF212" s="9"/>
      <c r="AG212" s="22">
        <v>0.91720599999999997</v>
      </c>
      <c r="AH212" s="22">
        <v>373.214</v>
      </c>
      <c r="AI212" s="22">
        <v>-1.66626E-2</v>
      </c>
      <c r="AJ212" s="22">
        <v>202</v>
      </c>
      <c r="AK212" s="22">
        <v>0.91705300000000001</v>
      </c>
      <c r="AL212">
        <f t="shared" si="42"/>
        <v>16.662600000000001</v>
      </c>
      <c r="AM212">
        <f t="shared" si="43"/>
        <v>15.2830366956</v>
      </c>
      <c r="AP212" s="9"/>
      <c r="AQ212" s="22">
        <v>0.78277600000000003</v>
      </c>
      <c r="AR212" s="22">
        <v>462.51499999999999</v>
      </c>
      <c r="AS212" s="22">
        <v>-1.66748E-2</v>
      </c>
      <c r="AT212" s="22">
        <v>202</v>
      </c>
      <c r="AU212" s="22">
        <v>0.78186</v>
      </c>
      <c r="AV212">
        <f t="shared" si="44"/>
        <v>16.674800000000001</v>
      </c>
      <c r="AW212">
        <f t="shared" si="45"/>
        <v>13.052633244800001</v>
      </c>
      <c r="AX212" s="9"/>
      <c r="AY212" s="22">
        <v>0.91720599999999997</v>
      </c>
      <c r="AZ212" s="22">
        <v>539.54100000000005</v>
      </c>
      <c r="BA212" s="22">
        <v>-1.6555799999999999E-2</v>
      </c>
      <c r="BB212" s="22">
        <v>202</v>
      </c>
      <c r="BC212" s="22">
        <v>0.91644300000000001</v>
      </c>
      <c r="BD212">
        <f t="shared" si="46"/>
        <v>16.555799999999998</v>
      </c>
      <c r="BE212">
        <f t="shared" si="47"/>
        <v>15.185079094799997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96.215999999999994</v>
      </c>
      <c r="I213" s="22">
        <v>-1.6781600000000001E-2</v>
      </c>
      <c r="J213" s="22">
        <v>203</v>
      </c>
      <c r="K213" s="22">
        <v>0.77636700000000003</v>
      </c>
      <c r="L213">
        <f t="shared" si="36"/>
        <v>16.781600000000001</v>
      </c>
      <c r="M213">
        <f t="shared" si="37"/>
        <v>13.051721584000001</v>
      </c>
      <c r="N213" s="9"/>
      <c r="O213" s="22">
        <v>0.92224099999999998</v>
      </c>
      <c r="P213" s="22">
        <v>190.18</v>
      </c>
      <c r="Q213" s="22">
        <v>-1.6720599999999999E-2</v>
      </c>
      <c r="R213" s="22">
        <v>203</v>
      </c>
      <c r="S213" s="22">
        <v>0.92132599999999998</v>
      </c>
      <c r="T213">
        <f t="shared" si="38"/>
        <v>16.720599999999997</v>
      </c>
      <c r="U213">
        <f t="shared" si="39"/>
        <v>15.420422864599997</v>
      </c>
      <c r="X213" s="9"/>
      <c r="Y213" s="22">
        <v>0.77773999999999999</v>
      </c>
      <c r="Z213" s="22">
        <v>307.94900000000001</v>
      </c>
      <c r="AA213" s="22">
        <v>-1.6747999999999999E-2</v>
      </c>
      <c r="AB213" s="22">
        <v>203</v>
      </c>
      <c r="AC213" s="22">
        <v>0.77697799999999995</v>
      </c>
      <c r="AD213">
        <f t="shared" si="40"/>
        <v>16.747999999999998</v>
      </c>
      <c r="AE213">
        <f t="shared" si="41"/>
        <v>13.025589519999999</v>
      </c>
      <c r="AF213" s="9"/>
      <c r="AG213" s="22">
        <v>0.92224099999999998</v>
      </c>
      <c r="AH213" s="22">
        <v>373.315</v>
      </c>
      <c r="AI213" s="22">
        <v>-1.6665599999999999E-2</v>
      </c>
      <c r="AJ213" s="22">
        <v>203</v>
      </c>
      <c r="AK213" s="22">
        <v>0.92163099999999998</v>
      </c>
      <c r="AL213">
        <f t="shared" si="42"/>
        <v>16.665599999999998</v>
      </c>
      <c r="AM213">
        <f t="shared" si="43"/>
        <v>15.369699609599998</v>
      </c>
      <c r="AP213" s="9"/>
      <c r="AQ213" s="22">
        <v>0.77773999999999999</v>
      </c>
      <c r="AR213" s="22">
        <v>462.61599999999999</v>
      </c>
      <c r="AS213" s="22">
        <v>-1.6677899999999999E-2</v>
      </c>
      <c r="AT213" s="22">
        <v>203</v>
      </c>
      <c r="AU213" s="22">
        <v>0.77667200000000003</v>
      </c>
      <c r="AV213">
        <f t="shared" si="44"/>
        <v>16.677899999999998</v>
      </c>
      <c r="AW213">
        <f t="shared" si="45"/>
        <v>12.971069945999998</v>
      </c>
      <c r="AX213" s="9"/>
      <c r="AY213" s="22">
        <v>0.92224099999999998</v>
      </c>
      <c r="AZ213" s="22">
        <v>539.64099999999996</v>
      </c>
      <c r="BA213" s="22">
        <v>-1.6558799999999999E-2</v>
      </c>
      <c r="BB213" s="22">
        <v>203</v>
      </c>
      <c r="BC213" s="22">
        <v>0.92163099999999998</v>
      </c>
      <c r="BD213">
        <f t="shared" si="46"/>
        <v>16.558799999999998</v>
      </c>
      <c r="BE213">
        <f t="shared" si="47"/>
        <v>15.271204270799998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96.316699999999997</v>
      </c>
      <c r="I214" s="22">
        <v>-1.67999E-2</v>
      </c>
      <c r="J214" s="22">
        <v>204</v>
      </c>
      <c r="K214" s="22">
        <v>0.77209499999999998</v>
      </c>
      <c r="L214">
        <f t="shared" si="36"/>
        <v>16.799900000000001</v>
      </c>
      <c r="M214">
        <f t="shared" si="37"/>
        <v>12.981366729499999</v>
      </c>
      <c r="N214" s="9"/>
      <c r="O214" s="22">
        <v>0.92727700000000002</v>
      </c>
      <c r="P214" s="22">
        <v>190.28</v>
      </c>
      <c r="Q214" s="22">
        <v>-1.67175E-2</v>
      </c>
      <c r="R214" s="22">
        <v>204</v>
      </c>
      <c r="S214" s="22">
        <v>0.92590300000000003</v>
      </c>
      <c r="T214">
        <f t="shared" si="38"/>
        <v>16.717500000000001</v>
      </c>
      <c r="U214">
        <f t="shared" si="39"/>
        <v>15.501753247500002</v>
      </c>
      <c r="X214" s="9"/>
      <c r="Y214" s="22">
        <v>0.77270499999999998</v>
      </c>
      <c r="Z214" s="22">
        <v>308.04899999999998</v>
      </c>
      <c r="AA214" s="22">
        <v>-1.6751100000000001E-2</v>
      </c>
      <c r="AB214" s="22">
        <v>204</v>
      </c>
      <c r="AC214" s="22">
        <v>0.77209499999999998</v>
      </c>
      <c r="AD214">
        <f t="shared" si="40"/>
        <v>16.751100000000001</v>
      </c>
      <c r="AE214">
        <f t="shared" si="41"/>
        <v>12.943658725500001</v>
      </c>
      <c r="AF214" s="9"/>
      <c r="AG214" s="22">
        <v>0.92727700000000002</v>
      </c>
      <c r="AH214" s="22">
        <v>373.41500000000002</v>
      </c>
      <c r="AI214" s="22">
        <v>-1.66626E-2</v>
      </c>
      <c r="AJ214" s="22">
        <v>204</v>
      </c>
      <c r="AK214" s="22">
        <v>0.92681899999999995</v>
      </c>
      <c r="AL214">
        <f t="shared" si="42"/>
        <v>16.662600000000001</v>
      </c>
      <c r="AM214">
        <f t="shared" si="43"/>
        <v>15.450845740200002</v>
      </c>
      <c r="AP214" s="9"/>
      <c r="AQ214" s="22">
        <v>0.77270499999999998</v>
      </c>
      <c r="AR214" s="22">
        <v>462.71699999999998</v>
      </c>
      <c r="AS214" s="22">
        <v>-1.66626E-2</v>
      </c>
      <c r="AT214" s="22">
        <v>204</v>
      </c>
      <c r="AU214" s="22">
        <v>0.77239999999999998</v>
      </c>
      <c r="AV214">
        <f t="shared" si="44"/>
        <v>16.662600000000001</v>
      </c>
      <c r="AW214">
        <f t="shared" si="45"/>
        <v>12.875274333</v>
      </c>
      <c r="AX214" s="9"/>
      <c r="AY214" s="22">
        <v>0.92727700000000002</v>
      </c>
      <c r="AZ214" s="22">
        <v>539.74199999999996</v>
      </c>
      <c r="BA214" s="22">
        <v>-1.6546600000000002E-2</v>
      </c>
      <c r="BB214" s="22">
        <v>204</v>
      </c>
      <c r="BC214" s="22">
        <v>0.92651399999999995</v>
      </c>
      <c r="BD214">
        <f t="shared" si="46"/>
        <v>16.546600000000002</v>
      </c>
      <c r="BE214">
        <f t="shared" si="47"/>
        <v>15.343281608200002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96.417400000000001</v>
      </c>
      <c r="I215" s="22">
        <v>-1.67969E-2</v>
      </c>
      <c r="J215" s="22">
        <v>205</v>
      </c>
      <c r="K215" s="22">
        <v>0.76690700000000001</v>
      </c>
      <c r="L215">
        <f t="shared" si="36"/>
        <v>16.796900000000001</v>
      </c>
      <c r="M215">
        <f t="shared" si="37"/>
        <v>12.894476223</v>
      </c>
      <c r="N215" s="9"/>
      <c r="O215" s="22">
        <v>0.93231200000000003</v>
      </c>
      <c r="P215" s="22">
        <v>190.381</v>
      </c>
      <c r="Q215" s="22">
        <v>-1.67145E-2</v>
      </c>
      <c r="R215" s="22">
        <v>205</v>
      </c>
      <c r="S215" s="22">
        <v>0.93170200000000003</v>
      </c>
      <c r="T215">
        <f t="shared" si="38"/>
        <v>16.714500000000001</v>
      </c>
      <c r="U215">
        <f t="shared" si="39"/>
        <v>15.583128924000002</v>
      </c>
      <c r="X215" s="9"/>
      <c r="Y215" s="22">
        <v>0.76766999999999996</v>
      </c>
      <c r="Z215" s="22">
        <v>308.14999999999998</v>
      </c>
      <c r="AA215" s="22">
        <v>-1.67572E-2</v>
      </c>
      <c r="AB215" s="22">
        <v>205</v>
      </c>
      <c r="AC215" s="22">
        <v>0.76660200000000001</v>
      </c>
      <c r="AD215">
        <f t="shared" si="40"/>
        <v>16.757200000000001</v>
      </c>
      <c r="AE215">
        <f t="shared" si="41"/>
        <v>12.863999724000001</v>
      </c>
      <c r="AF215" s="9"/>
      <c r="AG215" s="22">
        <v>0.93231200000000003</v>
      </c>
      <c r="AH215" s="22">
        <v>373.51600000000002</v>
      </c>
      <c r="AI215" s="22">
        <v>-1.66626E-2</v>
      </c>
      <c r="AJ215" s="22">
        <v>205</v>
      </c>
      <c r="AK215" s="22">
        <v>0.931396</v>
      </c>
      <c r="AL215">
        <f t="shared" si="42"/>
        <v>16.662600000000001</v>
      </c>
      <c r="AM215">
        <f t="shared" si="43"/>
        <v>15.534741931200001</v>
      </c>
      <c r="AP215" s="9"/>
      <c r="AQ215" s="22">
        <v>0.76766999999999996</v>
      </c>
      <c r="AR215" s="22">
        <v>462.81700000000001</v>
      </c>
      <c r="AS215" s="22">
        <v>-1.66748E-2</v>
      </c>
      <c r="AT215" s="22">
        <v>205</v>
      </c>
      <c r="AU215" s="22">
        <v>0.76690700000000001</v>
      </c>
      <c r="AV215">
        <f t="shared" si="44"/>
        <v>16.674800000000001</v>
      </c>
      <c r="AW215">
        <f t="shared" si="45"/>
        <v>12.800743715999999</v>
      </c>
      <c r="AX215" s="9"/>
      <c r="AY215" s="22">
        <v>0.93231200000000003</v>
      </c>
      <c r="AZ215" s="22">
        <v>539.84299999999996</v>
      </c>
      <c r="BA215" s="22">
        <v>-1.6531400000000002E-2</v>
      </c>
      <c r="BB215" s="22">
        <v>205</v>
      </c>
      <c r="BC215" s="22">
        <v>0.93170200000000003</v>
      </c>
      <c r="BD215">
        <f t="shared" si="46"/>
        <v>16.531400000000001</v>
      </c>
      <c r="BE215">
        <f t="shared" si="47"/>
        <v>15.412422596800003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96.518100000000004</v>
      </c>
      <c r="I216" s="22">
        <v>-1.6793800000000001E-2</v>
      </c>
      <c r="J216" s="22">
        <v>206</v>
      </c>
      <c r="K216" s="22">
        <v>0.76202400000000003</v>
      </c>
      <c r="L216">
        <f t="shared" si="36"/>
        <v>16.793800000000001</v>
      </c>
      <c r="M216">
        <f t="shared" si="37"/>
        <v>12.807522869200001</v>
      </c>
      <c r="N216" s="9"/>
      <c r="O216" s="22">
        <v>0.93734700000000004</v>
      </c>
      <c r="P216" s="22">
        <v>190.482</v>
      </c>
      <c r="Q216" s="22">
        <v>-1.6708400000000002E-2</v>
      </c>
      <c r="R216" s="22">
        <v>206</v>
      </c>
      <c r="S216" s="22">
        <v>0.93627899999999997</v>
      </c>
      <c r="T216">
        <f t="shared" si="38"/>
        <v>16.708400000000001</v>
      </c>
      <c r="U216">
        <f t="shared" si="39"/>
        <v>15.661568614800002</v>
      </c>
      <c r="X216" s="9"/>
      <c r="Y216" s="22">
        <v>0.76263400000000003</v>
      </c>
      <c r="Z216" s="22">
        <v>308.25099999999998</v>
      </c>
      <c r="AA216" s="22">
        <v>-1.6763299999999998E-2</v>
      </c>
      <c r="AB216" s="22">
        <v>206</v>
      </c>
      <c r="AC216" s="22">
        <v>0.76141400000000004</v>
      </c>
      <c r="AD216">
        <f t="shared" si="40"/>
        <v>16.763299999999997</v>
      </c>
      <c r="AE216">
        <f t="shared" si="41"/>
        <v>12.784262532199998</v>
      </c>
      <c r="AF216" s="9"/>
      <c r="AG216" s="22">
        <v>0.93734700000000004</v>
      </c>
      <c r="AH216" s="22">
        <v>373.61700000000002</v>
      </c>
      <c r="AI216" s="22">
        <v>-1.66473E-2</v>
      </c>
      <c r="AJ216" s="22">
        <v>206</v>
      </c>
      <c r="AK216" s="22">
        <v>0.93658399999999997</v>
      </c>
      <c r="AL216">
        <f t="shared" si="42"/>
        <v>16.647300000000001</v>
      </c>
      <c r="AM216">
        <f t="shared" si="43"/>
        <v>15.604296713100002</v>
      </c>
      <c r="AP216" s="9"/>
      <c r="AQ216" s="22">
        <v>0.76263400000000003</v>
      </c>
      <c r="AR216" s="22">
        <v>462.91800000000001</v>
      </c>
      <c r="AS216" s="22">
        <v>-1.6680899999999999E-2</v>
      </c>
      <c r="AT216" s="22">
        <v>206</v>
      </c>
      <c r="AU216" s="22">
        <v>0.76171900000000003</v>
      </c>
      <c r="AV216">
        <f t="shared" si="44"/>
        <v>16.680899999999998</v>
      </c>
      <c r="AW216">
        <f t="shared" si="45"/>
        <v>12.721421490599999</v>
      </c>
      <c r="AX216" s="9"/>
      <c r="AY216" s="22">
        <v>0.93734700000000004</v>
      </c>
      <c r="AZ216" s="22">
        <v>539.94299999999998</v>
      </c>
      <c r="BA216" s="22">
        <v>-1.65253E-2</v>
      </c>
      <c r="BB216" s="22">
        <v>206</v>
      </c>
      <c r="BC216" s="22">
        <v>0.93658399999999997</v>
      </c>
      <c r="BD216">
        <f t="shared" si="46"/>
        <v>16.525300000000001</v>
      </c>
      <c r="BE216">
        <f t="shared" si="47"/>
        <v>15.489940379100002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96.618799999999993</v>
      </c>
      <c r="I217" s="22">
        <v>-1.67847E-2</v>
      </c>
      <c r="J217" s="22">
        <v>207</v>
      </c>
      <c r="K217" s="22">
        <v>0.75683599999999995</v>
      </c>
      <c r="L217">
        <f t="shared" si="36"/>
        <v>16.784700000000001</v>
      </c>
      <c r="M217">
        <f t="shared" si="37"/>
        <v>12.7160719353</v>
      </c>
      <c r="N217" s="9"/>
      <c r="O217" s="22">
        <v>0.94238299999999997</v>
      </c>
      <c r="P217" s="22">
        <v>190.58199999999999</v>
      </c>
      <c r="Q217" s="22">
        <v>-1.6708400000000002E-2</v>
      </c>
      <c r="R217" s="22">
        <v>207</v>
      </c>
      <c r="S217" s="22">
        <v>0.94177200000000005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0.75759900000000002</v>
      </c>
      <c r="Z217" s="22">
        <v>308.351</v>
      </c>
      <c r="AA217" s="22">
        <v>-1.6744999999999999E-2</v>
      </c>
      <c r="AB217" s="22">
        <v>207</v>
      </c>
      <c r="AC217" s="22">
        <v>0.75683599999999995</v>
      </c>
      <c r="AD217">
        <f t="shared" si="40"/>
        <v>16.745000000000001</v>
      </c>
      <c r="AE217">
        <f t="shared" si="41"/>
        <v>12.685995255000002</v>
      </c>
      <c r="AF217" s="9"/>
      <c r="AG217" s="22">
        <v>0.94238299999999997</v>
      </c>
      <c r="AH217" s="22">
        <v>373.71699999999998</v>
      </c>
      <c r="AI217" s="22">
        <v>-1.6641199999999998E-2</v>
      </c>
      <c r="AJ217" s="22">
        <v>207</v>
      </c>
      <c r="AK217" s="22">
        <v>0.94146700000000005</v>
      </c>
      <c r="AL217">
        <f t="shared" si="42"/>
        <v>16.641199999999998</v>
      </c>
      <c r="AM217">
        <f t="shared" si="43"/>
        <v>15.682383979599997</v>
      </c>
      <c r="AP217" s="9"/>
      <c r="AQ217" s="22">
        <v>0.75759900000000002</v>
      </c>
      <c r="AR217" s="22">
        <v>463.01900000000001</v>
      </c>
      <c r="AS217" s="22">
        <v>-1.6687E-2</v>
      </c>
      <c r="AT217" s="22">
        <v>207</v>
      </c>
      <c r="AU217" s="22">
        <v>0.75683599999999995</v>
      </c>
      <c r="AV217">
        <f t="shared" si="44"/>
        <v>16.687000000000001</v>
      </c>
      <c r="AW217">
        <f t="shared" si="45"/>
        <v>12.642054513000001</v>
      </c>
      <c r="AX217" s="9"/>
      <c r="AY217" s="22">
        <v>0.94238299999999997</v>
      </c>
      <c r="AZ217" s="22">
        <v>540.04399999999998</v>
      </c>
      <c r="BA217" s="22">
        <v>-1.65253E-2</v>
      </c>
      <c r="BB217" s="22">
        <v>207</v>
      </c>
      <c r="BC217" s="22">
        <v>0.94116200000000005</v>
      </c>
      <c r="BD217">
        <f t="shared" si="46"/>
        <v>16.525300000000001</v>
      </c>
      <c r="BE217">
        <f t="shared" si="47"/>
        <v>15.5731617899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96.719499999999996</v>
      </c>
      <c r="I218" s="22">
        <v>-1.67999E-2</v>
      </c>
      <c r="J218" s="22">
        <v>208</v>
      </c>
      <c r="K218" s="22">
        <v>0.75195299999999998</v>
      </c>
      <c r="L218">
        <f t="shared" si="36"/>
        <v>16.799900000000001</v>
      </c>
      <c r="M218">
        <f t="shared" si="37"/>
        <v>12.6429831437</v>
      </c>
      <c r="N218" s="9"/>
      <c r="O218" s="22">
        <v>0.94741799999999998</v>
      </c>
      <c r="P218" s="22">
        <v>190.68299999999999</v>
      </c>
      <c r="Q218" s="22">
        <v>-1.6708400000000002E-2</v>
      </c>
      <c r="R218" s="22">
        <v>208</v>
      </c>
      <c r="S218" s="22">
        <v>0.94604500000000002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0.75256299999999998</v>
      </c>
      <c r="Z218" s="22">
        <v>308.452</v>
      </c>
      <c r="AA218" s="22">
        <v>-1.67542E-2</v>
      </c>
      <c r="AB218" s="22">
        <v>208</v>
      </c>
      <c r="AC218" s="22">
        <v>0.75225799999999998</v>
      </c>
      <c r="AD218">
        <f t="shared" si="40"/>
        <v>16.754200000000001</v>
      </c>
      <c r="AE218">
        <f t="shared" si="41"/>
        <v>12.6085910146</v>
      </c>
      <c r="AF218" s="9"/>
      <c r="AG218" s="22">
        <v>0.94741799999999998</v>
      </c>
      <c r="AH218" s="22">
        <v>373.81799999999998</v>
      </c>
      <c r="AI218" s="22">
        <v>-1.6638199999999999E-2</v>
      </c>
      <c r="AJ218" s="22">
        <v>208</v>
      </c>
      <c r="AK218" s="22">
        <v>0.94635000000000002</v>
      </c>
      <c r="AL218">
        <f t="shared" si="42"/>
        <v>16.638199999999998</v>
      </c>
      <c r="AM218">
        <f t="shared" si="43"/>
        <v>15.763330167599998</v>
      </c>
      <c r="AP218" s="9"/>
      <c r="AQ218" s="22">
        <v>0.75256299999999998</v>
      </c>
      <c r="AR218" s="22">
        <v>463.12</v>
      </c>
      <c r="AS218" s="22">
        <v>-1.66748E-2</v>
      </c>
      <c r="AT218" s="22">
        <v>208</v>
      </c>
      <c r="AU218" s="22">
        <v>0.75134299999999998</v>
      </c>
      <c r="AV218">
        <f t="shared" si="44"/>
        <v>16.674800000000001</v>
      </c>
      <c r="AW218">
        <f t="shared" si="45"/>
        <v>12.5488375124</v>
      </c>
      <c r="AX218" s="9"/>
      <c r="AY218" s="22">
        <v>0.94741799999999998</v>
      </c>
      <c r="AZ218" s="22">
        <v>540.14499999999998</v>
      </c>
      <c r="BA218" s="22">
        <v>-1.6513099999999999E-2</v>
      </c>
      <c r="BB218" s="22">
        <v>208</v>
      </c>
      <c r="BC218" s="22">
        <v>0.94604500000000002</v>
      </c>
      <c r="BD218">
        <f t="shared" si="46"/>
        <v>16.513099999999998</v>
      </c>
      <c r="BE218">
        <f t="shared" si="47"/>
        <v>15.644808175799998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96.8202</v>
      </c>
      <c r="I219" s="22">
        <v>-1.6806000000000001E-2</v>
      </c>
      <c r="J219" s="22">
        <v>209</v>
      </c>
      <c r="K219" s="22">
        <v>0.74673500000000004</v>
      </c>
      <c r="L219">
        <f t="shared" si="36"/>
        <v>16.806000000000001</v>
      </c>
      <c r="M219">
        <f t="shared" si="37"/>
        <v>12.562955568</v>
      </c>
      <c r="N219" s="9"/>
      <c r="O219" s="22">
        <v>0.95245400000000002</v>
      </c>
      <c r="P219" s="22">
        <v>190.78399999999999</v>
      </c>
      <c r="Q219" s="22">
        <v>-1.6693099999999999E-2</v>
      </c>
      <c r="R219" s="22">
        <v>209</v>
      </c>
      <c r="S219" s="22">
        <v>0.951233</v>
      </c>
      <c r="T219">
        <f t="shared" si="38"/>
        <v>16.693099999999998</v>
      </c>
      <c r="U219">
        <f t="shared" si="39"/>
        <v>15.899409867399998</v>
      </c>
      <c r="X219" s="9"/>
      <c r="Y219" s="22">
        <v>0.74752799999999997</v>
      </c>
      <c r="Z219" s="22">
        <v>308.553</v>
      </c>
      <c r="AA219" s="22">
        <v>-1.6766400000000001E-2</v>
      </c>
      <c r="AB219" s="22">
        <v>209</v>
      </c>
      <c r="AC219" s="22">
        <v>0.74685699999999999</v>
      </c>
      <c r="AD219">
        <f t="shared" si="40"/>
        <v>16.766400000000001</v>
      </c>
      <c r="AE219">
        <f t="shared" si="41"/>
        <v>12.533353459200001</v>
      </c>
      <c r="AF219" s="9"/>
      <c r="AG219" s="22">
        <v>0.95245400000000002</v>
      </c>
      <c r="AH219" s="22">
        <v>373.91899999999998</v>
      </c>
      <c r="AI219" s="22">
        <v>-1.6629000000000001E-2</v>
      </c>
      <c r="AJ219" s="22">
        <v>209</v>
      </c>
      <c r="AK219" s="22">
        <v>0.95184299999999999</v>
      </c>
      <c r="AL219">
        <f t="shared" si="42"/>
        <v>16.629000000000001</v>
      </c>
      <c r="AM219">
        <f t="shared" si="43"/>
        <v>15.838357566000001</v>
      </c>
      <c r="AP219" s="9"/>
      <c r="AQ219" s="22">
        <v>0.74752799999999997</v>
      </c>
      <c r="AR219" s="22">
        <v>463.22</v>
      </c>
      <c r="AS219" s="22">
        <v>-1.6687E-2</v>
      </c>
      <c r="AT219" s="22">
        <v>209</v>
      </c>
      <c r="AU219" s="22">
        <v>0.74685699999999999</v>
      </c>
      <c r="AV219">
        <f t="shared" si="44"/>
        <v>16.687000000000001</v>
      </c>
      <c r="AW219">
        <f t="shared" si="45"/>
        <v>12.473999736</v>
      </c>
      <c r="AX219" s="9"/>
      <c r="AY219" s="22">
        <v>0.95245400000000002</v>
      </c>
      <c r="AZ219" s="22">
        <v>540.24599999999998</v>
      </c>
      <c r="BA219" s="22">
        <v>-1.651E-2</v>
      </c>
      <c r="BB219" s="22">
        <v>209</v>
      </c>
      <c r="BC219" s="22">
        <v>0.95153799999999999</v>
      </c>
      <c r="BD219">
        <f t="shared" si="46"/>
        <v>16.510000000000002</v>
      </c>
      <c r="BE219">
        <f t="shared" si="47"/>
        <v>15.725015540000001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96.920900000000003</v>
      </c>
      <c r="I220" s="22">
        <v>-1.68121E-2</v>
      </c>
      <c r="J220" s="22">
        <v>210</v>
      </c>
      <c r="K220" s="22">
        <v>0.74179099999999998</v>
      </c>
      <c r="L220">
        <f t="shared" si="36"/>
        <v>16.812100000000001</v>
      </c>
      <c r="M220">
        <f t="shared" si="37"/>
        <v>12.4828665653</v>
      </c>
      <c r="N220" s="9"/>
      <c r="O220" s="22">
        <v>0.95748900000000003</v>
      </c>
      <c r="P220" s="22">
        <v>190.88499999999999</v>
      </c>
      <c r="Q220" s="22">
        <v>-1.6693099999999999E-2</v>
      </c>
      <c r="R220" s="22">
        <v>210</v>
      </c>
      <c r="S220" s="22">
        <v>0.95642099999999997</v>
      </c>
      <c r="T220">
        <f t="shared" si="38"/>
        <v>16.693099999999998</v>
      </c>
      <c r="U220">
        <f t="shared" si="39"/>
        <v>15.983459625899998</v>
      </c>
      <c r="X220" s="9"/>
      <c r="Y220" s="22">
        <v>0.74249299999999996</v>
      </c>
      <c r="Z220" s="22">
        <v>308.654</v>
      </c>
      <c r="AA220" s="22">
        <v>-1.6760299999999999E-2</v>
      </c>
      <c r="AB220" s="22">
        <v>210</v>
      </c>
      <c r="AC220" s="22">
        <v>0.74166900000000002</v>
      </c>
      <c r="AD220">
        <f t="shared" si="40"/>
        <v>16.760299999999997</v>
      </c>
      <c r="AE220">
        <f t="shared" si="41"/>
        <v>12.444405427899998</v>
      </c>
      <c r="AF220" s="9"/>
      <c r="AG220" s="22">
        <v>0.95748900000000003</v>
      </c>
      <c r="AH220" s="22">
        <v>374.02</v>
      </c>
      <c r="AI220" s="22">
        <v>-1.6629000000000001E-2</v>
      </c>
      <c r="AJ220" s="22">
        <v>210</v>
      </c>
      <c r="AK220" s="22">
        <v>0.95611599999999997</v>
      </c>
      <c r="AL220">
        <f t="shared" si="42"/>
        <v>16.629000000000001</v>
      </c>
      <c r="AM220">
        <f t="shared" si="43"/>
        <v>15.922084581000002</v>
      </c>
      <c r="AP220" s="9"/>
      <c r="AQ220" s="22">
        <v>0.74249299999999996</v>
      </c>
      <c r="AR220" s="22">
        <v>463.32100000000003</v>
      </c>
      <c r="AS220" s="22">
        <v>-1.6690099999999999E-2</v>
      </c>
      <c r="AT220" s="22">
        <v>210</v>
      </c>
      <c r="AU220" s="22">
        <v>0.74175999999999997</v>
      </c>
      <c r="AV220">
        <f t="shared" si="44"/>
        <v>16.690100000000001</v>
      </c>
      <c r="AW220">
        <f t="shared" si="45"/>
        <v>12.392282419300001</v>
      </c>
      <c r="AX220" s="9"/>
      <c r="AY220" s="22">
        <v>0.95748900000000003</v>
      </c>
      <c r="AZ220" s="22">
        <v>540.346</v>
      </c>
      <c r="BA220" s="22">
        <v>-1.651E-2</v>
      </c>
      <c r="BB220" s="22">
        <v>210</v>
      </c>
      <c r="BC220" s="22">
        <v>0.95581099999999997</v>
      </c>
      <c r="BD220">
        <f t="shared" si="46"/>
        <v>16.510000000000002</v>
      </c>
      <c r="BE220">
        <f t="shared" si="47"/>
        <v>15.808143390000001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97.021699999999996</v>
      </c>
      <c r="I221" s="22">
        <v>-1.67969E-2</v>
      </c>
      <c r="J221" s="22">
        <v>211</v>
      </c>
      <c r="K221" s="22">
        <v>0.73675500000000005</v>
      </c>
      <c r="L221">
        <f t="shared" si="36"/>
        <v>16.796900000000001</v>
      </c>
      <c r="M221">
        <f t="shared" si="37"/>
        <v>12.386991483300001</v>
      </c>
      <c r="N221" s="9"/>
      <c r="O221" s="22">
        <v>0.96252400000000005</v>
      </c>
      <c r="P221" s="22">
        <v>190.98500000000001</v>
      </c>
      <c r="Q221" s="22">
        <v>-1.6696200000000001E-2</v>
      </c>
      <c r="R221" s="22">
        <v>211</v>
      </c>
      <c r="S221" s="22">
        <v>0.96160900000000005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0.73745700000000003</v>
      </c>
      <c r="Z221" s="22">
        <v>308.75400000000002</v>
      </c>
      <c r="AA221" s="22">
        <v>-1.6763299999999998E-2</v>
      </c>
      <c r="AB221" s="22">
        <v>211</v>
      </c>
      <c r="AC221" s="22">
        <v>0.73666399999999999</v>
      </c>
      <c r="AD221">
        <f t="shared" si="40"/>
        <v>16.763299999999997</v>
      </c>
      <c r="AE221">
        <f t="shared" si="41"/>
        <v>12.362212928099998</v>
      </c>
      <c r="AF221" s="9"/>
      <c r="AG221" s="22">
        <v>0.96252400000000005</v>
      </c>
      <c r="AH221" s="22">
        <v>374.12</v>
      </c>
      <c r="AI221" s="22">
        <v>-1.6613800000000001E-2</v>
      </c>
      <c r="AJ221" s="22">
        <v>211</v>
      </c>
      <c r="AK221" s="22">
        <v>0.96252400000000005</v>
      </c>
      <c r="AL221">
        <f t="shared" si="42"/>
        <v>16.613800000000001</v>
      </c>
      <c r="AM221">
        <f t="shared" si="43"/>
        <v>15.991181231200002</v>
      </c>
      <c r="AP221" s="9"/>
      <c r="AQ221" s="22">
        <v>0.73745700000000003</v>
      </c>
      <c r="AR221" s="22">
        <v>463.42200000000003</v>
      </c>
      <c r="AS221" s="22">
        <v>-1.6699200000000001E-2</v>
      </c>
      <c r="AT221" s="22">
        <v>211</v>
      </c>
      <c r="AU221" s="22">
        <v>0.73684700000000003</v>
      </c>
      <c r="AV221">
        <f t="shared" si="44"/>
        <v>16.699200000000001</v>
      </c>
      <c r="AW221">
        <f t="shared" si="45"/>
        <v>12.314941934400002</v>
      </c>
      <c r="AX221" s="9"/>
      <c r="AY221" s="22">
        <v>0.96252400000000005</v>
      </c>
      <c r="AZ221" s="22">
        <v>540.447</v>
      </c>
      <c r="BA221" s="22">
        <v>-1.6503899999999998E-2</v>
      </c>
      <c r="BB221" s="22">
        <v>211</v>
      </c>
      <c r="BC221" s="22">
        <v>0.96160900000000005</v>
      </c>
      <c r="BD221">
        <f t="shared" si="46"/>
        <v>16.503899999999998</v>
      </c>
      <c r="BE221">
        <f t="shared" si="47"/>
        <v>15.885399843599998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97.122399999999999</v>
      </c>
      <c r="I222" s="22">
        <v>-1.68091E-2</v>
      </c>
      <c r="J222" s="22">
        <v>212</v>
      </c>
      <c r="K222" s="22">
        <v>0.73172000000000004</v>
      </c>
      <c r="L222">
        <f t="shared" si="36"/>
        <v>16.809100000000001</v>
      </c>
      <c r="M222">
        <f t="shared" si="37"/>
        <v>12.311354640200001</v>
      </c>
      <c r="N222" s="9"/>
      <c r="O222" s="22">
        <v>0.96755999999999998</v>
      </c>
      <c r="P222" s="22">
        <v>191.08600000000001</v>
      </c>
      <c r="Q222" s="22">
        <v>-1.6687E-2</v>
      </c>
      <c r="R222" s="22">
        <v>212</v>
      </c>
      <c r="S222" s="22">
        <v>0.96649200000000002</v>
      </c>
      <c r="T222">
        <f t="shared" si="38"/>
        <v>16.687000000000001</v>
      </c>
      <c r="U222">
        <f t="shared" si="39"/>
        <v>16.145673720000001</v>
      </c>
      <c r="X222" s="9"/>
      <c r="Y222" s="22">
        <v>0.73242200000000002</v>
      </c>
      <c r="Z222" s="22">
        <v>308.85500000000002</v>
      </c>
      <c r="AA222" s="22">
        <v>-1.67572E-2</v>
      </c>
      <c r="AB222" s="22">
        <v>212</v>
      </c>
      <c r="AC222" s="22">
        <v>0.73199499999999995</v>
      </c>
      <c r="AD222">
        <f t="shared" si="40"/>
        <v>16.757200000000001</v>
      </c>
      <c r="AE222">
        <f t="shared" si="41"/>
        <v>12.273341938400002</v>
      </c>
      <c r="AF222" s="9"/>
      <c r="AG222" s="22">
        <v>0.96755999999999998</v>
      </c>
      <c r="AH222" s="22">
        <v>374.221</v>
      </c>
      <c r="AI222" s="22">
        <v>-1.6625999999999998E-2</v>
      </c>
      <c r="AJ222" s="22">
        <v>212</v>
      </c>
      <c r="AK222" s="22">
        <v>0.96679700000000002</v>
      </c>
      <c r="AL222">
        <f t="shared" si="42"/>
        <v>16.625999999999998</v>
      </c>
      <c r="AM222">
        <f t="shared" si="43"/>
        <v>16.086652559999997</v>
      </c>
      <c r="AP222" s="9"/>
      <c r="AQ222" s="22">
        <v>0.73242200000000002</v>
      </c>
      <c r="AR222" s="22">
        <v>463.52199999999999</v>
      </c>
      <c r="AS222" s="22">
        <v>-1.6711400000000001E-2</v>
      </c>
      <c r="AT222" s="22">
        <v>212</v>
      </c>
      <c r="AU222" s="22">
        <v>0.73162799999999995</v>
      </c>
      <c r="AV222">
        <f t="shared" si="44"/>
        <v>16.711400000000001</v>
      </c>
      <c r="AW222">
        <f t="shared" si="45"/>
        <v>12.2397970108</v>
      </c>
      <c r="AX222" s="9"/>
      <c r="AY222" s="22">
        <v>0.96755999999999998</v>
      </c>
      <c r="AZ222" s="22">
        <v>540.548</v>
      </c>
      <c r="BA222" s="22">
        <v>-1.6500899999999999E-2</v>
      </c>
      <c r="BB222" s="22">
        <v>212</v>
      </c>
      <c r="BC222" s="22">
        <v>0.96649200000000002</v>
      </c>
      <c r="BD222">
        <f t="shared" si="46"/>
        <v>16.500899999999998</v>
      </c>
      <c r="BE222">
        <f t="shared" si="47"/>
        <v>15.965610803999997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97.223100000000002</v>
      </c>
      <c r="I223" s="22">
        <v>-1.6830399999999999E-2</v>
      </c>
      <c r="J223" s="22">
        <v>213</v>
      </c>
      <c r="K223" s="22">
        <v>0.72668500000000003</v>
      </c>
      <c r="L223">
        <f t="shared" si="36"/>
        <v>16.830399999999997</v>
      </c>
      <c r="M223">
        <f t="shared" si="37"/>
        <v>12.242197334399998</v>
      </c>
      <c r="N223" s="9"/>
      <c r="O223" s="22">
        <v>0.97259499999999999</v>
      </c>
      <c r="P223" s="22">
        <v>191.18700000000001</v>
      </c>
      <c r="Q223" s="22">
        <v>-1.6690099999999999E-2</v>
      </c>
      <c r="R223" s="22">
        <v>213</v>
      </c>
      <c r="S223" s="22">
        <v>0.97137499999999999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0.72738599999999998</v>
      </c>
      <c r="Z223" s="22">
        <v>308.95600000000002</v>
      </c>
      <c r="AA223" s="22">
        <v>-1.6772499999999999E-2</v>
      </c>
      <c r="AB223" s="22">
        <v>213</v>
      </c>
      <c r="AC223" s="22">
        <v>0.72668500000000003</v>
      </c>
      <c r="AD223">
        <f t="shared" si="40"/>
        <v>16.772500000000001</v>
      </c>
      <c r="AE223">
        <f t="shared" si="41"/>
        <v>12.200081685000001</v>
      </c>
      <c r="AF223" s="9"/>
      <c r="AG223" s="22">
        <v>0.97259499999999999</v>
      </c>
      <c r="AH223" s="22">
        <v>374.322</v>
      </c>
      <c r="AI223" s="22">
        <v>-1.6613800000000001E-2</v>
      </c>
      <c r="AJ223" s="22">
        <v>213</v>
      </c>
      <c r="AK223" s="22">
        <v>0.97198499999999999</v>
      </c>
      <c r="AL223">
        <f t="shared" si="42"/>
        <v>16.613800000000001</v>
      </c>
      <c r="AM223">
        <f t="shared" si="43"/>
        <v>16.158498811000001</v>
      </c>
      <c r="AP223" s="9"/>
      <c r="AQ223" s="22">
        <v>0.72738599999999998</v>
      </c>
      <c r="AR223" s="22">
        <v>463.62299999999999</v>
      </c>
      <c r="AS223" s="22">
        <v>-1.6699200000000001E-2</v>
      </c>
      <c r="AT223" s="22">
        <v>213</v>
      </c>
      <c r="AU223" s="22">
        <v>0.72668500000000003</v>
      </c>
      <c r="AV223">
        <f t="shared" si="44"/>
        <v>16.699200000000001</v>
      </c>
      <c r="AW223">
        <f t="shared" si="45"/>
        <v>12.1467642912</v>
      </c>
      <c r="AX223" s="9"/>
      <c r="AY223" s="22">
        <v>0.97259499999999999</v>
      </c>
      <c r="AZ223" s="22">
        <v>540.64800000000002</v>
      </c>
      <c r="BA223" s="22">
        <v>-1.6491700000000001E-2</v>
      </c>
      <c r="BB223" s="22">
        <v>213</v>
      </c>
      <c r="BC223" s="22">
        <v>0.97198499999999999</v>
      </c>
      <c r="BD223">
        <f t="shared" si="46"/>
        <v>16.491700000000002</v>
      </c>
      <c r="BE223">
        <f t="shared" si="47"/>
        <v>16.039744961500002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97.323800000000006</v>
      </c>
      <c r="I224" s="22">
        <v>-1.6833500000000001E-2</v>
      </c>
      <c r="J224" s="22">
        <v>214</v>
      </c>
      <c r="K224" s="22">
        <v>0.72164899999999998</v>
      </c>
      <c r="L224">
        <f t="shared" si="36"/>
        <v>16.833500000000001</v>
      </c>
      <c r="M224">
        <f t="shared" si="37"/>
        <v>12.159695558499999</v>
      </c>
      <c r="N224" s="9"/>
      <c r="O224" s="22">
        <v>0.97763100000000003</v>
      </c>
      <c r="P224" s="22">
        <v>191.28700000000001</v>
      </c>
      <c r="Q224" s="22">
        <v>-1.6684000000000001E-2</v>
      </c>
      <c r="R224" s="22">
        <v>214</v>
      </c>
      <c r="S224" s="22">
        <v>0.97686799999999996</v>
      </c>
      <c r="T224">
        <f t="shared" si="38"/>
        <v>16.684000000000001</v>
      </c>
      <c r="U224">
        <f t="shared" si="39"/>
        <v>16.310795604000003</v>
      </c>
      <c r="X224" s="9"/>
      <c r="Y224" s="22">
        <v>0.72235099999999997</v>
      </c>
      <c r="Z224" s="22">
        <v>309.05599999999998</v>
      </c>
      <c r="AA224" s="22">
        <v>-1.6760299999999999E-2</v>
      </c>
      <c r="AB224" s="22">
        <v>214</v>
      </c>
      <c r="AC224" s="22">
        <v>0.72161900000000001</v>
      </c>
      <c r="AD224">
        <f t="shared" si="40"/>
        <v>16.760299999999997</v>
      </c>
      <c r="AE224">
        <f t="shared" si="41"/>
        <v>12.106819465299997</v>
      </c>
      <c r="AF224" s="9"/>
      <c r="AG224" s="22">
        <v>0.97763100000000003</v>
      </c>
      <c r="AH224" s="22">
        <v>374.42200000000003</v>
      </c>
      <c r="AI224" s="22">
        <v>-1.66077E-2</v>
      </c>
      <c r="AJ224" s="22">
        <v>214</v>
      </c>
      <c r="AK224" s="22">
        <v>0.97717299999999996</v>
      </c>
      <c r="AL224">
        <f t="shared" si="42"/>
        <v>16.607700000000001</v>
      </c>
      <c r="AM224">
        <f t="shared" si="43"/>
        <v>16.236202358700002</v>
      </c>
      <c r="AP224" s="9"/>
      <c r="AQ224" s="22">
        <v>0.72235099999999997</v>
      </c>
      <c r="AR224" s="22">
        <v>463.72399999999999</v>
      </c>
      <c r="AS224" s="22">
        <v>-1.67023E-2</v>
      </c>
      <c r="AT224" s="22">
        <v>214</v>
      </c>
      <c r="AU224" s="22">
        <v>0.72164899999999998</v>
      </c>
      <c r="AV224">
        <f t="shared" si="44"/>
        <v>16.702300000000001</v>
      </c>
      <c r="AW224">
        <f t="shared" si="45"/>
        <v>12.0649231073</v>
      </c>
      <c r="AX224" s="9"/>
      <c r="AY224" s="22">
        <v>0.97763100000000003</v>
      </c>
      <c r="AZ224" s="22">
        <v>540.74900000000002</v>
      </c>
      <c r="BA224" s="22">
        <v>-1.6507000000000001E-2</v>
      </c>
      <c r="BB224" s="22">
        <v>214</v>
      </c>
      <c r="BC224" s="22">
        <v>0.97686799999999996</v>
      </c>
      <c r="BD224">
        <f t="shared" si="46"/>
        <v>16.507000000000001</v>
      </c>
      <c r="BE224">
        <f t="shared" si="47"/>
        <v>16.137754917000002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97.424499999999995</v>
      </c>
      <c r="I225" s="22">
        <v>-1.68396E-2</v>
      </c>
      <c r="J225" s="22">
        <v>215</v>
      </c>
      <c r="K225" s="22">
        <v>0.71658299999999997</v>
      </c>
      <c r="L225">
        <f t="shared" si="36"/>
        <v>16.839600000000001</v>
      </c>
      <c r="M225">
        <f t="shared" si="37"/>
        <v>12.0793145136</v>
      </c>
      <c r="N225" s="9"/>
      <c r="O225" s="22">
        <v>0.98266600000000004</v>
      </c>
      <c r="P225" s="22">
        <v>191.38800000000001</v>
      </c>
      <c r="Q225" s="22">
        <v>-1.6665599999999999E-2</v>
      </c>
      <c r="R225" s="22">
        <v>215</v>
      </c>
      <c r="S225" s="22">
        <v>0.98175000000000001</v>
      </c>
      <c r="T225">
        <f t="shared" si="38"/>
        <v>16.665599999999998</v>
      </c>
      <c r="U225">
        <f t="shared" si="39"/>
        <v>16.376718489599998</v>
      </c>
      <c r="X225" s="9"/>
      <c r="Y225" s="22">
        <v>0.71731599999999995</v>
      </c>
      <c r="Z225" s="22">
        <v>309.15699999999998</v>
      </c>
      <c r="AA225" s="22">
        <v>-1.6760299999999999E-2</v>
      </c>
      <c r="AB225" s="22">
        <v>215</v>
      </c>
      <c r="AC225" s="22">
        <v>0.71673600000000004</v>
      </c>
      <c r="AD225">
        <f t="shared" si="40"/>
        <v>16.760299999999997</v>
      </c>
      <c r="AE225">
        <f t="shared" si="41"/>
        <v>12.022431354799997</v>
      </c>
      <c r="AF225" s="9"/>
      <c r="AG225" s="22">
        <v>0.98266600000000004</v>
      </c>
      <c r="AH225" s="22">
        <v>374.52300000000002</v>
      </c>
      <c r="AI225" s="22">
        <v>-1.66077E-2</v>
      </c>
      <c r="AJ225" s="22">
        <v>215</v>
      </c>
      <c r="AK225" s="22">
        <v>0.98144500000000001</v>
      </c>
      <c r="AL225">
        <f t="shared" si="42"/>
        <v>16.607700000000001</v>
      </c>
      <c r="AM225">
        <f t="shared" si="43"/>
        <v>16.319822128200002</v>
      </c>
      <c r="AP225" s="9"/>
      <c r="AQ225" s="22">
        <v>0.71731599999999995</v>
      </c>
      <c r="AR225" s="22">
        <v>463.82499999999999</v>
      </c>
      <c r="AS225" s="22">
        <v>-1.67145E-2</v>
      </c>
      <c r="AT225" s="22">
        <v>215</v>
      </c>
      <c r="AU225" s="22">
        <v>0.71664399999999995</v>
      </c>
      <c r="AV225">
        <f t="shared" si="44"/>
        <v>16.714500000000001</v>
      </c>
      <c r="AW225">
        <f t="shared" si="45"/>
        <v>11.989578282</v>
      </c>
      <c r="AX225" s="9"/>
      <c r="AY225" s="22">
        <v>0.98266600000000004</v>
      </c>
      <c r="AZ225" s="22">
        <v>540.85</v>
      </c>
      <c r="BA225" s="22">
        <v>-1.6476399999999999E-2</v>
      </c>
      <c r="BB225" s="22">
        <v>215</v>
      </c>
      <c r="BC225" s="22">
        <v>0.98175000000000001</v>
      </c>
      <c r="BD225">
        <f t="shared" si="46"/>
        <v>16.476399999999998</v>
      </c>
      <c r="BE225">
        <f t="shared" si="47"/>
        <v>16.190798082399997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97.525199999999998</v>
      </c>
      <c r="I226" s="22">
        <v>-1.6845700000000002E-2</v>
      </c>
      <c r="J226" s="22">
        <v>216</v>
      </c>
      <c r="K226" s="22">
        <v>0.7117</v>
      </c>
      <c r="L226">
        <f t="shared" si="36"/>
        <v>16.845700000000001</v>
      </c>
      <c r="M226">
        <f t="shared" si="37"/>
        <v>11.998855196000001</v>
      </c>
      <c r="N226" s="9"/>
      <c r="O226" s="22">
        <v>0.98770100000000005</v>
      </c>
      <c r="P226" s="22">
        <v>191.489</v>
      </c>
      <c r="Q226" s="22">
        <v>-1.6668700000000002E-2</v>
      </c>
      <c r="R226" s="22">
        <v>216</v>
      </c>
      <c r="S226" s="22">
        <v>0.98663299999999998</v>
      </c>
      <c r="T226">
        <f t="shared" si="38"/>
        <v>16.668700000000001</v>
      </c>
      <c r="U226">
        <f t="shared" si="39"/>
        <v>16.463691658700004</v>
      </c>
      <c r="X226" s="9"/>
      <c r="Y226" s="22">
        <v>0.71228000000000002</v>
      </c>
      <c r="Z226" s="22">
        <v>309.25799999999998</v>
      </c>
      <c r="AA226" s="22">
        <v>-1.6766400000000001E-2</v>
      </c>
      <c r="AB226" s="22">
        <v>216</v>
      </c>
      <c r="AC226" s="22">
        <v>0.7117</v>
      </c>
      <c r="AD226">
        <f t="shared" si="40"/>
        <v>16.766400000000001</v>
      </c>
      <c r="AE226">
        <f t="shared" si="41"/>
        <v>11.942371392000002</v>
      </c>
      <c r="AF226" s="9"/>
      <c r="AG226" s="22">
        <v>0.98770100000000005</v>
      </c>
      <c r="AH226" s="22">
        <v>374.62400000000002</v>
      </c>
      <c r="AI226" s="22">
        <v>-1.6604600000000001E-2</v>
      </c>
      <c r="AJ226" s="22">
        <v>216</v>
      </c>
      <c r="AK226" s="22">
        <v>0.98693799999999998</v>
      </c>
      <c r="AL226">
        <f t="shared" si="42"/>
        <v>16.604600000000001</v>
      </c>
      <c r="AM226">
        <f t="shared" si="43"/>
        <v>16.4003800246</v>
      </c>
      <c r="AP226" s="9"/>
      <c r="AQ226" s="22">
        <v>0.71228000000000002</v>
      </c>
      <c r="AR226" s="22">
        <v>463.92500000000001</v>
      </c>
      <c r="AS226" s="22">
        <v>-1.67175E-2</v>
      </c>
      <c r="AT226" s="22">
        <v>216</v>
      </c>
      <c r="AU226" s="22">
        <v>0.71148699999999998</v>
      </c>
      <c r="AV226">
        <f t="shared" si="44"/>
        <v>16.717500000000001</v>
      </c>
      <c r="AW226">
        <f t="shared" si="45"/>
        <v>11.907540900000001</v>
      </c>
      <c r="AX226" s="9"/>
      <c r="AY226" s="22">
        <v>0.98770100000000005</v>
      </c>
      <c r="AZ226" s="22">
        <v>540.95100000000002</v>
      </c>
      <c r="BA226" s="22">
        <v>-1.6479500000000001E-2</v>
      </c>
      <c r="BB226" s="22">
        <v>216</v>
      </c>
      <c r="BC226" s="22">
        <v>0.98693799999999998</v>
      </c>
      <c r="BD226">
        <f t="shared" si="46"/>
        <v>16.479500000000002</v>
      </c>
      <c r="BE226">
        <f t="shared" si="47"/>
        <v>16.276818629500003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97.625900000000001</v>
      </c>
      <c r="I227" s="22">
        <v>-1.6845700000000002E-2</v>
      </c>
      <c r="J227" s="22">
        <v>217</v>
      </c>
      <c r="K227" s="22">
        <v>0.70657300000000001</v>
      </c>
      <c r="L227">
        <f t="shared" si="36"/>
        <v>16.845700000000001</v>
      </c>
      <c r="M227">
        <f t="shared" si="37"/>
        <v>11.914037096500001</v>
      </c>
      <c r="N227" s="9"/>
      <c r="O227" s="22">
        <v>0.99273699999999998</v>
      </c>
      <c r="P227" s="22">
        <v>191.589</v>
      </c>
      <c r="Q227" s="22">
        <v>-1.66626E-2</v>
      </c>
      <c r="R227" s="22">
        <v>217</v>
      </c>
      <c r="S227" s="22">
        <v>0.99182099999999995</v>
      </c>
      <c r="T227">
        <f t="shared" si="38"/>
        <v>16.662600000000001</v>
      </c>
      <c r="U227">
        <f t="shared" si="39"/>
        <v>16.5415795362</v>
      </c>
      <c r="X227" s="9"/>
      <c r="Y227" s="22">
        <v>0.70724500000000001</v>
      </c>
      <c r="Z227" s="22">
        <v>309.358</v>
      </c>
      <c r="AA227" s="22">
        <v>-1.67847E-2</v>
      </c>
      <c r="AB227" s="22">
        <v>217</v>
      </c>
      <c r="AC227" s="22">
        <v>0.70660400000000001</v>
      </c>
      <c r="AD227">
        <f t="shared" si="40"/>
        <v>16.784700000000001</v>
      </c>
      <c r="AE227">
        <f t="shared" si="41"/>
        <v>11.870895151500001</v>
      </c>
      <c r="AF227" s="9"/>
      <c r="AG227" s="22">
        <v>0.99273699999999998</v>
      </c>
      <c r="AH227" s="22">
        <v>374.72500000000002</v>
      </c>
      <c r="AI227" s="22">
        <v>-1.6601600000000001E-2</v>
      </c>
      <c r="AJ227" s="22">
        <v>217</v>
      </c>
      <c r="AK227" s="22">
        <v>0.99151599999999995</v>
      </c>
      <c r="AL227">
        <f t="shared" si="42"/>
        <v>16.601600000000001</v>
      </c>
      <c r="AM227">
        <f t="shared" si="43"/>
        <v>16.481022579200001</v>
      </c>
      <c r="AP227" s="9"/>
      <c r="AQ227" s="22">
        <v>0.70724500000000001</v>
      </c>
      <c r="AR227" s="22">
        <v>464.02600000000001</v>
      </c>
      <c r="AS227" s="22">
        <v>-1.6720599999999999E-2</v>
      </c>
      <c r="AT227" s="22">
        <v>217</v>
      </c>
      <c r="AU227" s="22">
        <v>0.70660400000000001</v>
      </c>
      <c r="AV227">
        <f t="shared" si="44"/>
        <v>16.720599999999997</v>
      </c>
      <c r="AW227">
        <f t="shared" si="45"/>
        <v>11.825560746999999</v>
      </c>
      <c r="AX227" s="9"/>
      <c r="AY227" s="22">
        <v>0.99273699999999998</v>
      </c>
      <c r="AZ227" s="22">
        <v>541.05100000000004</v>
      </c>
      <c r="BA227" s="22">
        <v>-1.6467300000000001E-2</v>
      </c>
      <c r="BB227" s="22">
        <v>217</v>
      </c>
      <c r="BC227" s="22">
        <v>0.99212599999999995</v>
      </c>
      <c r="BD227">
        <f t="shared" si="46"/>
        <v>16.467300000000002</v>
      </c>
      <c r="BE227">
        <f t="shared" si="47"/>
        <v>16.347698000100003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97.726600000000005</v>
      </c>
      <c r="I228" s="22">
        <v>-1.6845700000000002E-2</v>
      </c>
      <c r="J228" s="22">
        <v>218</v>
      </c>
      <c r="K228" s="22">
        <v>0.70150800000000002</v>
      </c>
      <c r="L228">
        <f t="shared" si="36"/>
        <v>16.845700000000001</v>
      </c>
      <c r="M228">
        <f t="shared" si="37"/>
        <v>11.829202151300001</v>
      </c>
      <c r="N228" s="9"/>
      <c r="O228" s="22">
        <v>0.99777199999999999</v>
      </c>
      <c r="P228" s="22">
        <v>191.69</v>
      </c>
      <c r="Q228" s="22">
        <v>-1.66626E-2</v>
      </c>
      <c r="R228" s="22">
        <v>218</v>
      </c>
      <c r="S228" s="22">
        <v>0.99700900000000003</v>
      </c>
      <c r="T228">
        <f t="shared" si="38"/>
        <v>16.662600000000001</v>
      </c>
      <c r="U228">
        <f t="shared" si="39"/>
        <v>16.625475727200001</v>
      </c>
      <c r="X228" s="9"/>
      <c r="Y228" s="22">
        <v>0.70220899999999997</v>
      </c>
      <c r="Z228" s="22">
        <v>309.459</v>
      </c>
      <c r="AA228" s="22">
        <v>-1.67969E-2</v>
      </c>
      <c r="AB228" s="22">
        <v>218</v>
      </c>
      <c r="AC228" s="22">
        <v>0.701569</v>
      </c>
      <c r="AD228">
        <f t="shared" si="40"/>
        <v>16.796900000000001</v>
      </c>
      <c r="AE228">
        <f t="shared" si="41"/>
        <v>11.7949343521</v>
      </c>
      <c r="AF228" s="9"/>
      <c r="AG228" s="22">
        <v>0.99777199999999999</v>
      </c>
      <c r="AH228" s="22">
        <v>374.82499999999999</v>
      </c>
      <c r="AI228" s="22">
        <v>-1.6586299999999998E-2</v>
      </c>
      <c r="AJ228" s="22">
        <v>218</v>
      </c>
      <c r="AK228" s="22">
        <v>0.99639900000000003</v>
      </c>
      <c r="AL228">
        <f t="shared" si="42"/>
        <v>16.586299999999998</v>
      </c>
      <c r="AM228">
        <f t="shared" si="43"/>
        <v>16.549345723599998</v>
      </c>
      <c r="AP228" s="9"/>
      <c r="AQ228" s="22">
        <v>0.70220899999999997</v>
      </c>
      <c r="AR228" s="22">
        <v>464.12700000000001</v>
      </c>
      <c r="AS228" s="22">
        <v>-1.6720599999999999E-2</v>
      </c>
      <c r="AT228" s="22">
        <v>218</v>
      </c>
      <c r="AU228" s="22">
        <v>0.70147700000000002</v>
      </c>
      <c r="AV228">
        <f t="shared" si="44"/>
        <v>16.720599999999997</v>
      </c>
      <c r="AW228">
        <f t="shared" si="45"/>
        <v>11.741355805399998</v>
      </c>
      <c r="AX228" s="9"/>
      <c r="AY228" s="22">
        <v>0.99777199999999999</v>
      </c>
      <c r="AZ228" s="22">
        <v>541.15200000000004</v>
      </c>
      <c r="BA228" s="22">
        <v>-1.6479500000000001E-2</v>
      </c>
      <c r="BB228" s="22">
        <v>218</v>
      </c>
      <c r="BC228" s="22">
        <v>0.99639900000000003</v>
      </c>
      <c r="BD228">
        <f t="shared" si="46"/>
        <v>16.479500000000002</v>
      </c>
      <c r="BE228">
        <f t="shared" si="47"/>
        <v>16.442783674000001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97.827299999999994</v>
      </c>
      <c r="I229" s="22">
        <v>-1.6845700000000002E-2</v>
      </c>
      <c r="J229" s="22">
        <v>219</v>
      </c>
      <c r="K229" s="22">
        <v>0.69650299999999998</v>
      </c>
      <c r="L229">
        <f t="shared" si="36"/>
        <v>16.845700000000001</v>
      </c>
      <c r="M229">
        <f t="shared" si="37"/>
        <v>11.744384051799999</v>
      </c>
      <c r="N229" s="9"/>
      <c r="O229" s="22">
        <v>1.00281</v>
      </c>
      <c r="P229" s="22">
        <v>191.791</v>
      </c>
      <c r="Q229" s="22">
        <v>-1.66626E-2</v>
      </c>
      <c r="R229" s="22">
        <v>219</v>
      </c>
      <c r="S229" s="22">
        <v>1.0018899999999999</v>
      </c>
      <c r="T229">
        <f t="shared" si="38"/>
        <v>16.662600000000001</v>
      </c>
      <c r="U229">
        <f t="shared" si="39"/>
        <v>16.709421905999999</v>
      </c>
      <c r="X229" s="9"/>
      <c r="Y229" s="22">
        <v>0.69717399999999996</v>
      </c>
      <c r="Z229" s="22">
        <v>309.56</v>
      </c>
      <c r="AA229" s="22">
        <v>-1.67999E-2</v>
      </c>
      <c r="AB229" s="22">
        <v>219</v>
      </c>
      <c r="AC229" s="22">
        <v>0.69644200000000001</v>
      </c>
      <c r="AD229">
        <f t="shared" si="40"/>
        <v>16.799900000000001</v>
      </c>
      <c r="AE229">
        <f t="shared" si="41"/>
        <v>11.712453482600001</v>
      </c>
      <c r="AF229" s="9"/>
      <c r="AG229" s="22">
        <v>1.00281</v>
      </c>
      <c r="AH229" s="22">
        <v>374.92599999999999</v>
      </c>
      <c r="AI229" s="22">
        <v>-1.65924E-2</v>
      </c>
      <c r="AJ229" s="22">
        <v>219</v>
      </c>
      <c r="AK229" s="22">
        <v>1.0018899999999999</v>
      </c>
      <c r="AL229">
        <f t="shared" si="42"/>
        <v>16.592400000000001</v>
      </c>
      <c r="AM229">
        <f t="shared" si="43"/>
        <v>16.639024644000003</v>
      </c>
      <c r="AP229" s="9"/>
      <c r="AQ229" s="22">
        <v>0.69717399999999996</v>
      </c>
      <c r="AR229" s="22">
        <v>464.22699999999998</v>
      </c>
      <c r="AS229" s="22">
        <v>-1.6744999999999999E-2</v>
      </c>
      <c r="AT229" s="22">
        <v>219</v>
      </c>
      <c r="AU229" s="22">
        <v>0.69647199999999998</v>
      </c>
      <c r="AV229">
        <f t="shared" si="44"/>
        <v>16.745000000000001</v>
      </c>
      <c r="AW229">
        <f t="shared" si="45"/>
        <v>11.67417863</v>
      </c>
      <c r="AX229" s="9"/>
      <c r="AY229" s="22">
        <v>1.00281</v>
      </c>
      <c r="AZ229" s="22">
        <v>541.25300000000004</v>
      </c>
      <c r="BA229" s="22">
        <v>-1.6482500000000001E-2</v>
      </c>
      <c r="BB229" s="22">
        <v>219</v>
      </c>
      <c r="BC229" s="22">
        <v>1.0018899999999999</v>
      </c>
      <c r="BD229">
        <f t="shared" si="46"/>
        <v>16.482500000000002</v>
      </c>
      <c r="BE229">
        <f t="shared" si="47"/>
        <v>16.528815825000002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97.927999999999997</v>
      </c>
      <c r="I230" s="22">
        <v>-1.68396E-2</v>
      </c>
      <c r="J230" s="22">
        <v>220</v>
      </c>
      <c r="K230" s="22">
        <v>0.69149799999999995</v>
      </c>
      <c r="L230">
        <f t="shared" si="36"/>
        <v>16.839600000000001</v>
      </c>
      <c r="M230">
        <f t="shared" si="37"/>
        <v>11.6553439044</v>
      </c>
      <c r="N230" s="9"/>
      <c r="O230" s="22">
        <v>1.0078400000000001</v>
      </c>
      <c r="P230" s="22">
        <v>191.892</v>
      </c>
      <c r="Q230" s="22">
        <v>-1.6650399999999999E-2</v>
      </c>
      <c r="R230" s="22">
        <v>220</v>
      </c>
      <c r="S230" s="22">
        <v>1.0061599999999999</v>
      </c>
      <c r="T230">
        <f t="shared" si="38"/>
        <v>16.650399999999998</v>
      </c>
      <c r="U230">
        <f t="shared" si="39"/>
        <v>16.780939135999997</v>
      </c>
      <c r="X230" s="9"/>
      <c r="Y230" s="22">
        <v>0.69213899999999995</v>
      </c>
      <c r="Z230" s="22">
        <v>309.661</v>
      </c>
      <c r="AA230" s="22">
        <v>-1.67999E-2</v>
      </c>
      <c r="AB230" s="22">
        <v>220</v>
      </c>
      <c r="AC230" s="22">
        <v>0.69137599999999999</v>
      </c>
      <c r="AD230">
        <f t="shared" si="40"/>
        <v>16.799900000000001</v>
      </c>
      <c r="AE230">
        <f t="shared" si="41"/>
        <v>11.6278659861</v>
      </c>
      <c r="AF230" s="9"/>
      <c r="AG230" s="22">
        <v>1.0078400000000001</v>
      </c>
      <c r="AH230" s="22">
        <v>375.02699999999999</v>
      </c>
      <c r="AI230" s="22">
        <v>-1.6595499999999999E-2</v>
      </c>
      <c r="AJ230" s="22">
        <v>220</v>
      </c>
      <c r="AK230" s="22">
        <v>1.00647</v>
      </c>
      <c r="AL230">
        <f t="shared" si="42"/>
        <v>16.595499999999998</v>
      </c>
      <c r="AM230">
        <f t="shared" si="43"/>
        <v>16.72560872</v>
      </c>
      <c r="AP230" s="9"/>
      <c r="AQ230" s="22">
        <v>0.69213899999999995</v>
      </c>
      <c r="AR230" s="22">
        <v>464.32799999999997</v>
      </c>
      <c r="AS230" s="22">
        <v>-1.6732799999999999E-2</v>
      </c>
      <c r="AT230" s="22">
        <v>220</v>
      </c>
      <c r="AU230" s="22">
        <v>0.69143699999999997</v>
      </c>
      <c r="AV230">
        <f t="shared" si="44"/>
        <v>16.732799999999997</v>
      </c>
      <c r="AW230">
        <f t="shared" si="45"/>
        <v>11.581423459199998</v>
      </c>
      <c r="AX230" s="9"/>
      <c r="AY230" s="22">
        <v>1.0078400000000001</v>
      </c>
      <c r="AZ230" s="22">
        <v>541.35299999999995</v>
      </c>
      <c r="BA230" s="22">
        <v>-1.6476399999999999E-2</v>
      </c>
      <c r="BB230" s="22">
        <v>220</v>
      </c>
      <c r="BC230" s="22">
        <v>1.0067699999999999</v>
      </c>
      <c r="BD230">
        <f t="shared" si="46"/>
        <v>16.476399999999998</v>
      </c>
      <c r="BE230">
        <f t="shared" si="47"/>
        <v>16.605574976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98.028700000000001</v>
      </c>
      <c r="I231" s="22">
        <v>-1.6864000000000001E-2</v>
      </c>
      <c r="J231" s="22">
        <v>221</v>
      </c>
      <c r="K231" s="22">
        <v>0.68637099999999995</v>
      </c>
      <c r="L231">
        <f t="shared" si="36"/>
        <v>16.864000000000001</v>
      </c>
      <c r="M231">
        <f t="shared" si="37"/>
        <v>11.587304992</v>
      </c>
      <c r="N231" s="9"/>
      <c r="O231" s="22">
        <v>1.01288</v>
      </c>
      <c r="P231" s="22">
        <v>191.99199999999999</v>
      </c>
      <c r="Q231" s="22">
        <v>-1.66321E-2</v>
      </c>
      <c r="R231" s="22">
        <v>221</v>
      </c>
      <c r="S231" s="22">
        <v>1.01227</v>
      </c>
      <c r="T231">
        <f t="shared" si="38"/>
        <v>16.632100000000001</v>
      </c>
      <c r="U231">
        <f t="shared" si="39"/>
        <v>16.846321448000001</v>
      </c>
      <c r="X231" s="9"/>
      <c r="Y231" s="22">
        <v>0.68710300000000002</v>
      </c>
      <c r="Z231" s="22">
        <v>309.76100000000002</v>
      </c>
      <c r="AA231" s="22">
        <v>-1.6818199999999998E-2</v>
      </c>
      <c r="AB231" s="22">
        <v>221</v>
      </c>
      <c r="AC231" s="22">
        <v>0.68649300000000002</v>
      </c>
      <c r="AD231">
        <f t="shared" si="40"/>
        <v>16.818199999999997</v>
      </c>
      <c r="AE231">
        <f t="shared" si="41"/>
        <v>11.555835674599999</v>
      </c>
      <c r="AF231" s="9"/>
      <c r="AG231" s="22">
        <v>1.01288</v>
      </c>
      <c r="AH231" s="22">
        <v>375.12700000000001</v>
      </c>
      <c r="AI231" s="22">
        <v>-1.6595499999999999E-2</v>
      </c>
      <c r="AJ231" s="22">
        <v>221</v>
      </c>
      <c r="AK231" s="22">
        <v>1.01166</v>
      </c>
      <c r="AL231">
        <f t="shared" si="42"/>
        <v>16.595499999999998</v>
      </c>
      <c r="AM231">
        <f t="shared" si="43"/>
        <v>16.809250039999998</v>
      </c>
      <c r="AP231" s="9"/>
      <c r="AQ231" s="22">
        <v>0.68710300000000002</v>
      </c>
      <c r="AR231" s="22">
        <v>464.42899999999997</v>
      </c>
      <c r="AS231" s="22">
        <v>-1.6738900000000001E-2</v>
      </c>
      <c r="AT231" s="22">
        <v>221</v>
      </c>
      <c r="AU231" s="22">
        <v>0.68646200000000002</v>
      </c>
      <c r="AV231">
        <f t="shared" si="44"/>
        <v>16.738900000000001</v>
      </c>
      <c r="AW231">
        <f t="shared" si="45"/>
        <v>11.501348406700002</v>
      </c>
      <c r="AX231" s="9"/>
      <c r="AY231" s="22">
        <v>1.01288</v>
      </c>
      <c r="AZ231" s="22">
        <v>541.45399999999995</v>
      </c>
      <c r="BA231" s="22">
        <v>-1.6467300000000001E-2</v>
      </c>
      <c r="BB231" s="22">
        <v>221</v>
      </c>
      <c r="BC231" s="22">
        <v>1.01166</v>
      </c>
      <c r="BD231">
        <f t="shared" si="46"/>
        <v>16.467300000000002</v>
      </c>
      <c r="BE231">
        <f t="shared" si="47"/>
        <v>16.679398824000003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98.129400000000004</v>
      </c>
      <c r="I232" s="22">
        <v>-1.68518E-2</v>
      </c>
      <c r="J232" s="22">
        <v>222</v>
      </c>
      <c r="K232" s="22">
        <v>0.681427</v>
      </c>
      <c r="L232">
        <f t="shared" si="36"/>
        <v>16.851800000000001</v>
      </c>
      <c r="M232">
        <f t="shared" si="37"/>
        <v>11.494073522400001</v>
      </c>
      <c r="N232" s="9"/>
      <c r="O232" s="22">
        <v>1.0179100000000001</v>
      </c>
      <c r="P232" s="22">
        <v>192.09299999999999</v>
      </c>
      <c r="Q232" s="22">
        <v>-1.66351E-2</v>
      </c>
      <c r="R232" s="22">
        <v>222</v>
      </c>
      <c r="S232" s="22">
        <v>1.01715</v>
      </c>
      <c r="T232">
        <f t="shared" si="38"/>
        <v>16.635100000000001</v>
      </c>
      <c r="U232">
        <f t="shared" si="39"/>
        <v>16.933034641000003</v>
      </c>
      <c r="X232" s="9"/>
      <c r="Y232" s="22">
        <v>0.68206800000000001</v>
      </c>
      <c r="Z232" s="22">
        <v>309.86200000000002</v>
      </c>
      <c r="AA232" s="22">
        <v>-1.67999E-2</v>
      </c>
      <c r="AB232" s="22">
        <v>222</v>
      </c>
      <c r="AC232" s="22">
        <v>0.68145800000000001</v>
      </c>
      <c r="AD232">
        <f t="shared" si="40"/>
        <v>16.799900000000001</v>
      </c>
      <c r="AE232">
        <f t="shared" si="41"/>
        <v>11.4586741932</v>
      </c>
      <c r="AF232" s="9"/>
      <c r="AG232" s="22">
        <v>1.0179100000000001</v>
      </c>
      <c r="AH232" s="22">
        <v>375.22800000000001</v>
      </c>
      <c r="AI232" s="22">
        <v>-1.6595499999999999E-2</v>
      </c>
      <c r="AJ232" s="22">
        <v>222</v>
      </c>
      <c r="AK232" s="22">
        <v>1.01715</v>
      </c>
      <c r="AL232">
        <f t="shared" si="42"/>
        <v>16.595499999999998</v>
      </c>
      <c r="AM232">
        <f t="shared" si="43"/>
        <v>16.892725405</v>
      </c>
      <c r="AP232" s="9"/>
      <c r="AQ232" s="22">
        <v>0.68206800000000001</v>
      </c>
      <c r="AR232" s="22">
        <v>464.53</v>
      </c>
      <c r="AS232" s="22">
        <v>-1.6744999999999999E-2</v>
      </c>
      <c r="AT232" s="22">
        <v>222</v>
      </c>
      <c r="AU232" s="22">
        <v>0.68133500000000002</v>
      </c>
      <c r="AV232">
        <f t="shared" si="44"/>
        <v>16.745000000000001</v>
      </c>
      <c r="AW232">
        <f t="shared" si="45"/>
        <v>11.421228660000001</v>
      </c>
      <c r="AX232" s="9"/>
      <c r="AY232" s="22">
        <v>1.0179100000000001</v>
      </c>
      <c r="AZ232" s="22">
        <v>541.55499999999995</v>
      </c>
      <c r="BA232" s="22">
        <v>-1.64703E-2</v>
      </c>
      <c r="BB232" s="22">
        <v>222</v>
      </c>
      <c r="BC232" s="22">
        <v>1.01685</v>
      </c>
      <c r="BD232">
        <f t="shared" si="46"/>
        <v>16.470300000000002</v>
      </c>
      <c r="BE232">
        <f t="shared" si="47"/>
        <v>16.765283073000003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98.230099999999993</v>
      </c>
      <c r="I233" s="22">
        <v>-1.6857899999999999E-2</v>
      </c>
      <c r="J233" s="22">
        <v>223</v>
      </c>
      <c r="K233" s="22">
        <v>0.67627000000000004</v>
      </c>
      <c r="L233">
        <f t="shared" si="36"/>
        <v>16.857899999999997</v>
      </c>
      <c r="M233">
        <f t="shared" si="37"/>
        <v>11.413337752799997</v>
      </c>
      <c r="N233" s="9"/>
      <c r="O233" s="22">
        <v>1.02295</v>
      </c>
      <c r="P233" s="22">
        <v>192.19399999999999</v>
      </c>
      <c r="Q233" s="22">
        <v>-1.6622899999999999E-2</v>
      </c>
      <c r="R233" s="22">
        <v>223</v>
      </c>
      <c r="S233" s="22">
        <v>1.02173</v>
      </c>
      <c r="T233">
        <f t="shared" si="38"/>
        <v>16.622899999999998</v>
      </c>
      <c r="U233">
        <f t="shared" si="39"/>
        <v>17.004395554999999</v>
      </c>
      <c r="X233" s="9"/>
      <c r="Y233" s="22">
        <v>0.67703199999999997</v>
      </c>
      <c r="Z233" s="22">
        <v>309.96300000000002</v>
      </c>
      <c r="AA233" s="22">
        <v>-1.68121E-2</v>
      </c>
      <c r="AB233" s="22">
        <v>223</v>
      </c>
      <c r="AC233" s="22">
        <v>0.67636099999999999</v>
      </c>
      <c r="AD233">
        <f t="shared" si="40"/>
        <v>16.812100000000001</v>
      </c>
      <c r="AE233">
        <f t="shared" si="41"/>
        <v>11.3823296872</v>
      </c>
      <c r="AF233" s="9"/>
      <c r="AG233" s="22">
        <v>1.02295</v>
      </c>
      <c r="AH233" s="22">
        <v>375.32900000000001</v>
      </c>
      <c r="AI233" s="22">
        <v>-1.6574100000000001E-2</v>
      </c>
      <c r="AJ233" s="22">
        <v>223</v>
      </c>
      <c r="AK233" s="22">
        <v>1.02234</v>
      </c>
      <c r="AL233">
        <f t="shared" si="42"/>
        <v>16.574100000000001</v>
      </c>
      <c r="AM233">
        <f t="shared" si="43"/>
        <v>16.954475595000002</v>
      </c>
      <c r="AP233" s="9"/>
      <c r="AQ233" s="22">
        <v>0.67703199999999997</v>
      </c>
      <c r="AR233" s="22">
        <v>464.63</v>
      </c>
      <c r="AS233" s="22">
        <v>-1.6751100000000001E-2</v>
      </c>
      <c r="AT233" s="22">
        <v>223</v>
      </c>
      <c r="AU233" s="22">
        <v>0.67639199999999999</v>
      </c>
      <c r="AV233">
        <f t="shared" si="44"/>
        <v>16.751100000000001</v>
      </c>
      <c r="AW233">
        <f t="shared" si="45"/>
        <v>11.3410307352</v>
      </c>
      <c r="AX233" s="9"/>
      <c r="AY233" s="22">
        <v>1.02295</v>
      </c>
      <c r="AZ233" s="22">
        <v>541.65499999999997</v>
      </c>
      <c r="BA233" s="22">
        <v>-1.6464199999999998E-2</v>
      </c>
      <c r="BB233" s="22">
        <v>223</v>
      </c>
      <c r="BC233" s="22">
        <v>1.02142</v>
      </c>
      <c r="BD233">
        <f t="shared" si="46"/>
        <v>16.464199999999998</v>
      </c>
      <c r="BE233">
        <f t="shared" si="47"/>
        <v>16.84205339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98.3309</v>
      </c>
      <c r="I234" s="22">
        <v>-1.6867099999999999E-2</v>
      </c>
      <c r="J234" s="22">
        <v>224</v>
      </c>
      <c r="K234" s="22">
        <v>0.67129499999999998</v>
      </c>
      <c r="L234">
        <f t="shared" si="36"/>
        <v>16.867100000000001</v>
      </c>
      <c r="M234">
        <f t="shared" si="37"/>
        <v>11.3346405987</v>
      </c>
      <c r="N234" s="9"/>
      <c r="O234" s="22">
        <v>1.0279799999999999</v>
      </c>
      <c r="P234" s="22">
        <v>192.29400000000001</v>
      </c>
      <c r="Q234" s="22">
        <v>-1.6625999999999998E-2</v>
      </c>
      <c r="R234" s="22">
        <v>224</v>
      </c>
      <c r="S234" s="22">
        <v>1.02722</v>
      </c>
      <c r="T234">
        <f t="shared" si="38"/>
        <v>16.625999999999998</v>
      </c>
      <c r="U234">
        <f t="shared" si="39"/>
        <v>17.091195479999996</v>
      </c>
      <c r="X234" s="9"/>
      <c r="Y234" s="22">
        <v>0.67199699999999996</v>
      </c>
      <c r="Z234" s="22">
        <v>310.06299999999999</v>
      </c>
      <c r="AA234" s="22">
        <v>-1.68121E-2</v>
      </c>
      <c r="AB234" s="22">
        <v>224</v>
      </c>
      <c r="AC234" s="22">
        <v>0.67129499999999998</v>
      </c>
      <c r="AD234">
        <f t="shared" si="40"/>
        <v>16.812100000000001</v>
      </c>
      <c r="AE234">
        <f t="shared" si="41"/>
        <v>11.297680763700001</v>
      </c>
      <c r="AF234" s="9"/>
      <c r="AG234" s="22">
        <v>1.0279799999999999</v>
      </c>
      <c r="AH234" s="22">
        <v>375.42899999999997</v>
      </c>
      <c r="AI234" s="22">
        <v>-1.65649E-2</v>
      </c>
      <c r="AJ234" s="22">
        <v>224</v>
      </c>
      <c r="AK234" s="22">
        <v>1.02661</v>
      </c>
      <c r="AL234">
        <f t="shared" si="42"/>
        <v>16.564900000000002</v>
      </c>
      <c r="AM234">
        <f t="shared" si="43"/>
        <v>17.028385902</v>
      </c>
      <c r="AP234" s="9"/>
      <c r="AQ234" s="22">
        <v>0.67199699999999996</v>
      </c>
      <c r="AR234" s="22">
        <v>464.73099999999999</v>
      </c>
      <c r="AS234" s="22">
        <v>-1.6747999999999999E-2</v>
      </c>
      <c r="AT234" s="22">
        <v>224</v>
      </c>
      <c r="AU234" s="22">
        <v>0.67132599999999998</v>
      </c>
      <c r="AV234">
        <f t="shared" si="44"/>
        <v>16.747999999999998</v>
      </c>
      <c r="AW234">
        <f t="shared" si="45"/>
        <v>11.254605755999998</v>
      </c>
      <c r="AX234" s="9"/>
      <c r="AY234" s="22">
        <v>1.0279799999999999</v>
      </c>
      <c r="AZ234" s="22">
        <v>541.75599999999997</v>
      </c>
      <c r="BA234" s="22">
        <v>-1.6452000000000001E-2</v>
      </c>
      <c r="BB234" s="22">
        <v>224</v>
      </c>
      <c r="BC234" s="22">
        <v>1.0275300000000001</v>
      </c>
      <c r="BD234">
        <f t="shared" si="46"/>
        <v>16.452000000000002</v>
      </c>
      <c r="BE234">
        <f t="shared" si="47"/>
        <v>16.912326960000001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98.431600000000003</v>
      </c>
      <c r="I235" s="22">
        <v>-1.6867099999999999E-2</v>
      </c>
      <c r="J235" s="22">
        <v>225</v>
      </c>
      <c r="K235" s="22">
        <v>0.66629000000000005</v>
      </c>
      <c r="L235">
        <f t="shared" si="36"/>
        <v>16.867100000000001</v>
      </c>
      <c r="M235">
        <f t="shared" si="37"/>
        <v>11.249714750200001</v>
      </c>
      <c r="N235" s="9"/>
      <c r="O235" s="22">
        <v>1.03302</v>
      </c>
      <c r="P235" s="22">
        <v>192.39500000000001</v>
      </c>
      <c r="Q235" s="22">
        <v>-1.66077E-2</v>
      </c>
      <c r="R235" s="22">
        <v>225</v>
      </c>
      <c r="S235" s="22">
        <v>1.0321</v>
      </c>
      <c r="T235">
        <f t="shared" si="38"/>
        <v>16.607700000000001</v>
      </c>
      <c r="U235">
        <f t="shared" si="39"/>
        <v>17.156086254000002</v>
      </c>
      <c r="X235" s="9"/>
      <c r="Y235" s="22">
        <v>0.66696200000000005</v>
      </c>
      <c r="Z235" s="22">
        <v>310.16399999999999</v>
      </c>
      <c r="AA235" s="22">
        <v>-1.6802999999999998E-2</v>
      </c>
      <c r="AB235" s="22">
        <v>225</v>
      </c>
      <c r="AC235" s="22">
        <v>0.66632100000000005</v>
      </c>
      <c r="AD235">
        <f t="shared" si="40"/>
        <v>16.802999999999997</v>
      </c>
      <c r="AE235">
        <f t="shared" si="41"/>
        <v>11.206962485999998</v>
      </c>
      <c r="AF235" s="9"/>
      <c r="AG235" s="22">
        <v>1.03302</v>
      </c>
      <c r="AH235" s="22">
        <v>375.53</v>
      </c>
      <c r="AI235" s="22">
        <v>-1.6558799999999999E-2</v>
      </c>
      <c r="AJ235" s="22">
        <v>225</v>
      </c>
      <c r="AK235" s="22">
        <v>1.03149</v>
      </c>
      <c r="AL235">
        <f t="shared" si="42"/>
        <v>16.558799999999998</v>
      </c>
      <c r="AM235">
        <f t="shared" si="43"/>
        <v>17.105571575999999</v>
      </c>
      <c r="AP235" s="9"/>
      <c r="AQ235" s="22">
        <v>0.66696200000000005</v>
      </c>
      <c r="AR235" s="22">
        <v>464.83199999999999</v>
      </c>
      <c r="AS235" s="22">
        <v>-1.67572E-2</v>
      </c>
      <c r="AT235" s="22">
        <v>225</v>
      </c>
      <c r="AU235" s="22">
        <v>0.66638200000000003</v>
      </c>
      <c r="AV235">
        <f t="shared" si="44"/>
        <v>16.757200000000001</v>
      </c>
      <c r="AW235">
        <f t="shared" si="45"/>
        <v>11.176415626400001</v>
      </c>
      <c r="AX235" s="9"/>
      <c r="AY235" s="22">
        <v>1.03302</v>
      </c>
      <c r="AZ235" s="22">
        <v>541.85699999999997</v>
      </c>
      <c r="BA235" s="22">
        <v>-1.6464199999999998E-2</v>
      </c>
      <c r="BB235" s="22">
        <v>225</v>
      </c>
      <c r="BC235" s="22">
        <v>1.03149</v>
      </c>
      <c r="BD235">
        <f t="shared" si="46"/>
        <v>16.464199999999998</v>
      </c>
      <c r="BE235">
        <f t="shared" si="47"/>
        <v>17.007847884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98.532300000000006</v>
      </c>
      <c r="I236" s="22">
        <v>-1.6861000000000001E-2</v>
      </c>
      <c r="J236" s="22">
        <v>226</v>
      </c>
      <c r="K236" s="22">
        <v>0.66128500000000001</v>
      </c>
      <c r="L236">
        <f t="shared" si="36"/>
        <v>16.861000000000001</v>
      </c>
      <c r="M236">
        <f t="shared" si="37"/>
        <v>11.160734286</v>
      </c>
      <c r="N236" s="9"/>
      <c r="O236" s="22">
        <v>1.03806</v>
      </c>
      <c r="P236" s="22">
        <v>192.49600000000001</v>
      </c>
      <c r="Q236" s="22">
        <v>-1.6613800000000001E-2</v>
      </c>
      <c r="R236" s="22">
        <v>226</v>
      </c>
      <c r="S236" s="22">
        <v>1.03729</v>
      </c>
      <c r="T236">
        <f t="shared" si="38"/>
        <v>16.613800000000001</v>
      </c>
      <c r="U236">
        <f t="shared" si="39"/>
        <v>17.246121228</v>
      </c>
      <c r="X236" s="9"/>
      <c r="Y236" s="22">
        <v>0.66192600000000001</v>
      </c>
      <c r="Z236" s="22">
        <v>310.26499999999999</v>
      </c>
      <c r="AA236" s="22">
        <v>-1.68121E-2</v>
      </c>
      <c r="AB236" s="22">
        <v>226</v>
      </c>
      <c r="AC236" s="22">
        <v>0.66128500000000001</v>
      </c>
      <c r="AD236">
        <f t="shared" si="40"/>
        <v>16.812100000000001</v>
      </c>
      <c r="AE236">
        <f t="shared" si="41"/>
        <v>11.128366104600001</v>
      </c>
      <c r="AF236" s="9"/>
      <c r="AG236" s="22">
        <v>1.03806</v>
      </c>
      <c r="AH236" s="22">
        <v>375.63099999999997</v>
      </c>
      <c r="AI236" s="22">
        <v>-1.65527E-2</v>
      </c>
      <c r="AJ236" s="22">
        <v>226</v>
      </c>
      <c r="AK236" s="22">
        <v>1.03668</v>
      </c>
      <c r="AL236">
        <f t="shared" si="42"/>
        <v>16.552700000000002</v>
      </c>
      <c r="AM236">
        <f t="shared" si="43"/>
        <v>17.182695762000002</v>
      </c>
      <c r="AP236" s="9"/>
      <c r="AQ236" s="22">
        <v>0.66192600000000001</v>
      </c>
      <c r="AR236" s="22">
        <v>464.93200000000002</v>
      </c>
      <c r="AS236" s="22">
        <v>-1.6738900000000001E-2</v>
      </c>
      <c r="AT236" s="22">
        <v>226</v>
      </c>
      <c r="AU236" s="22">
        <v>0.66125500000000004</v>
      </c>
      <c r="AV236">
        <f t="shared" si="44"/>
        <v>16.738900000000001</v>
      </c>
      <c r="AW236">
        <f t="shared" si="45"/>
        <v>11.079913121400001</v>
      </c>
      <c r="AX236" s="9"/>
      <c r="AY236" s="22">
        <v>1.03806</v>
      </c>
      <c r="AZ236" s="22">
        <v>541.95799999999997</v>
      </c>
      <c r="BA236" s="22">
        <v>-1.6436800000000001E-2</v>
      </c>
      <c r="BB236" s="22">
        <v>226</v>
      </c>
      <c r="BC236" s="22">
        <v>1.0369900000000001</v>
      </c>
      <c r="BD236">
        <f t="shared" si="46"/>
        <v>16.436800000000002</v>
      </c>
      <c r="BE236">
        <f t="shared" si="47"/>
        <v>17.062384608000002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98.632999999999996</v>
      </c>
      <c r="I237" s="22">
        <v>-1.6857899999999999E-2</v>
      </c>
      <c r="J237" s="22">
        <v>227</v>
      </c>
      <c r="K237" s="22">
        <v>0.65609700000000004</v>
      </c>
      <c r="L237">
        <f t="shared" si="36"/>
        <v>16.857899999999997</v>
      </c>
      <c r="M237">
        <f t="shared" si="37"/>
        <v>11.073802788899998</v>
      </c>
      <c r="N237" s="9"/>
      <c r="O237" s="22">
        <v>1.0430900000000001</v>
      </c>
      <c r="P237" s="22">
        <v>192.59700000000001</v>
      </c>
      <c r="Q237" s="22">
        <v>-1.6616800000000001E-2</v>
      </c>
      <c r="R237" s="22">
        <v>227</v>
      </c>
      <c r="S237" s="22">
        <v>1.0418700000000001</v>
      </c>
      <c r="T237">
        <f t="shared" si="38"/>
        <v>16.616800000000001</v>
      </c>
      <c r="U237">
        <f t="shared" si="39"/>
        <v>17.332817912000003</v>
      </c>
      <c r="X237" s="9"/>
      <c r="Y237" s="22">
        <v>0.656891</v>
      </c>
      <c r="Z237" s="22">
        <v>310.36599999999999</v>
      </c>
      <c r="AA237" s="22">
        <v>-1.68121E-2</v>
      </c>
      <c r="AB237" s="22">
        <v>227</v>
      </c>
      <c r="AC237" s="22">
        <v>0.65615800000000002</v>
      </c>
      <c r="AD237">
        <f t="shared" si="40"/>
        <v>16.812100000000001</v>
      </c>
      <c r="AE237">
        <f t="shared" si="41"/>
        <v>11.0437171811</v>
      </c>
      <c r="AF237" s="9"/>
      <c r="AG237" s="22">
        <v>1.0430900000000001</v>
      </c>
      <c r="AH237" s="22">
        <v>375.73200000000003</v>
      </c>
      <c r="AI237" s="22">
        <v>-1.6561900000000001E-2</v>
      </c>
      <c r="AJ237" s="22">
        <v>227</v>
      </c>
      <c r="AK237" s="22">
        <v>1.0424800000000001</v>
      </c>
      <c r="AL237">
        <f t="shared" si="42"/>
        <v>16.561900000000001</v>
      </c>
      <c r="AM237">
        <f t="shared" si="43"/>
        <v>17.275552271000002</v>
      </c>
      <c r="AP237" s="9"/>
      <c r="AQ237" s="22">
        <v>0.656891</v>
      </c>
      <c r="AR237" s="22">
        <v>465.03300000000002</v>
      </c>
      <c r="AS237" s="22">
        <v>-1.6760299999999999E-2</v>
      </c>
      <c r="AT237" s="22">
        <v>227</v>
      </c>
      <c r="AU237" s="22">
        <v>0.65612800000000004</v>
      </c>
      <c r="AV237">
        <f t="shared" si="44"/>
        <v>16.760299999999997</v>
      </c>
      <c r="AW237">
        <f t="shared" si="45"/>
        <v>11.009690227299998</v>
      </c>
      <c r="AX237" s="9"/>
      <c r="AY237" s="22">
        <v>1.0430900000000001</v>
      </c>
      <c r="AZ237" s="22">
        <v>542.05799999999999</v>
      </c>
      <c r="BA237" s="22">
        <v>-1.6433699999999999E-2</v>
      </c>
      <c r="BB237" s="22">
        <v>227</v>
      </c>
      <c r="BC237" s="22">
        <v>1.0421800000000001</v>
      </c>
      <c r="BD237">
        <f t="shared" si="46"/>
        <v>16.433699999999998</v>
      </c>
      <c r="BE237">
        <f t="shared" si="47"/>
        <v>17.141828133000001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98.733699999999999</v>
      </c>
      <c r="I238" s="22">
        <v>-1.6876200000000001E-2</v>
      </c>
      <c r="J238" s="22">
        <v>228</v>
      </c>
      <c r="K238" s="22">
        <v>0.65115400000000001</v>
      </c>
      <c r="L238">
        <f t="shared" si="36"/>
        <v>16.876200000000001</v>
      </c>
      <c r="M238">
        <f t="shared" si="37"/>
        <v>11.000835350999999</v>
      </c>
      <c r="N238" s="9"/>
      <c r="O238" s="22">
        <v>1.04813</v>
      </c>
      <c r="P238" s="22">
        <v>192.697</v>
      </c>
      <c r="Q238" s="22">
        <v>-1.6601600000000001E-2</v>
      </c>
      <c r="R238" s="22">
        <v>228</v>
      </c>
      <c r="S238" s="22">
        <v>1.0467500000000001</v>
      </c>
      <c r="T238">
        <f t="shared" si="38"/>
        <v>16.601600000000001</v>
      </c>
      <c r="U238">
        <f t="shared" si="39"/>
        <v>17.400635008000002</v>
      </c>
      <c r="X238" s="9"/>
      <c r="Y238" s="22">
        <v>0.65185499999999996</v>
      </c>
      <c r="Z238" s="22">
        <v>310.46600000000001</v>
      </c>
      <c r="AA238" s="22">
        <v>-1.68243E-2</v>
      </c>
      <c r="AB238" s="22">
        <v>228</v>
      </c>
      <c r="AC238" s="22">
        <v>0.65112300000000001</v>
      </c>
      <c r="AD238">
        <f t="shared" si="40"/>
        <v>16.824300000000001</v>
      </c>
      <c r="AE238">
        <f t="shared" si="41"/>
        <v>10.9670040765</v>
      </c>
      <c r="AF238" s="9"/>
      <c r="AG238" s="22">
        <v>1.04813</v>
      </c>
      <c r="AH238" s="22">
        <v>375.83199999999999</v>
      </c>
      <c r="AI238" s="22">
        <v>-1.6561900000000001E-2</v>
      </c>
      <c r="AJ238" s="22">
        <v>228</v>
      </c>
      <c r="AK238" s="22">
        <v>1.0470600000000001</v>
      </c>
      <c r="AL238">
        <f t="shared" si="42"/>
        <v>16.561900000000001</v>
      </c>
      <c r="AM238">
        <f t="shared" si="43"/>
        <v>17.359024247000001</v>
      </c>
      <c r="AP238" s="9"/>
      <c r="AQ238" s="22">
        <v>0.65185499999999996</v>
      </c>
      <c r="AR238" s="22">
        <v>465.13400000000001</v>
      </c>
      <c r="AS238" s="22">
        <v>-1.6772499999999999E-2</v>
      </c>
      <c r="AT238" s="22">
        <v>228</v>
      </c>
      <c r="AU238" s="22">
        <v>0.65118399999999999</v>
      </c>
      <c r="AV238">
        <f t="shared" si="44"/>
        <v>16.772500000000001</v>
      </c>
      <c r="AW238">
        <f t="shared" si="45"/>
        <v>10.9332379875</v>
      </c>
      <c r="AX238" s="9"/>
      <c r="AY238" s="22">
        <v>1.04813</v>
      </c>
      <c r="AZ238" s="22">
        <v>542.15899999999999</v>
      </c>
      <c r="BA238" s="22">
        <v>-1.6427600000000001E-2</v>
      </c>
      <c r="BB238" s="22">
        <v>228</v>
      </c>
      <c r="BC238" s="22">
        <v>1.0470600000000001</v>
      </c>
      <c r="BD238">
        <f t="shared" si="46"/>
        <v>16.427600000000002</v>
      </c>
      <c r="BE238">
        <f t="shared" si="47"/>
        <v>17.218260388000001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98.834400000000002</v>
      </c>
      <c r="I239" s="22">
        <v>-1.68793E-2</v>
      </c>
      <c r="J239" s="22">
        <v>229</v>
      </c>
      <c r="K239" s="22">
        <v>0.646088</v>
      </c>
      <c r="L239">
        <f t="shared" si="36"/>
        <v>16.879300000000001</v>
      </c>
      <c r="M239">
        <f t="shared" si="37"/>
        <v>10.917868825999999</v>
      </c>
      <c r="N239" s="9"/>
      <c r="O239" s="22">
        <v>1.0531600000000001</v>
      </c>
      <c r="P239" s="22">
        <v>192.798</v>
      </c>
      <c r="Q239" s="22">
        <v>-1.6613800000000001E-2</v>
      </c>
      <c r="R239" s="22">
        <v>229</v>
      </c>
      <c r="S239" s="22">
        <v>1.0522499999999999</v>
      </c>
      <c r="T239">
        <f t="shared" si="38"/>
        <v>16.613800000000001</v>
      </c>
      <c r="U239">
        <f t="shared" si="39"/>
        <v>17.496989608000003</v>
      </c>
      <c r="X239" s="9"/>
      <c r="Y239" s="22">
        <v>0.64681999999999995</v>
      </c>
      <c r="Z239" s="22">
        <v>310.56700000000001</v>
      </c>
      <c r="AA239" s="22">
        <v>-1.6830399999999999E-2</v>
      </c>
      <c r="AB239" s="22">
        <v>229</v>
      </c>
      <c r="AC239" s="22">
        <v>0.64620999999999995</v>
      </c>
      <c r="AD239">
        <f t="shared" si="40"/>
        <v>16.830399999999997</v>
      </c>
      <c r="AE239">
        <f t="shared" si="41"/>
        <v>10.886239327999997</v>
      </c>
      <c r="AF239" s="9"/>
      <c r="AG239" s="22">
        <v>1.0531600000000001</v>
      </c>
      <c r="AH239" s="22">
        <v>375.93299999999999</v>
      </c>
      <c r="AI239" s="22">
        <v>-1.6549700000000001E-2</v>
      </c>
      <c r="AJ239" s="22">
        <v>229</v>
      </c>
      <c r="AK239" s="22">
        <v>1.0519400000000001</v>
      </c>
      <c r="AL239">
        <f t="shared" si="42"/>
        <v>16.549700000000001</v>
      </c>
      <c r="AM239">
        <f t="shared" si="43"/>
        <v>17.429482052000004</v>
      </c>
      <c r="AP239" s="9"/>
      <c r="AQ239" s="22">
        <v>0.64681999999999995</v>
      </c>
      <c r="AR239" s="22">
        <v>465.23399999999998</v>
      </c>
      <c r="AS239" s="22">
        <v>-1.6760299999999999E-2</v>
      </c>
      <c r="AT239" s="22">
        <v>229</v>
      </c>
      <c r="AU239" s="22">
        <v>0.64611799999999997</v>
      </c>
      <c r="AV239">
        <f t="shared" si="44"/>
        <v>16.760299999999997</v>
      </c>
      <c r="AW239">
        <f t="shared" si="45"/>
        <v>10.840897245999997</v>
      </c>
      <c r="AX239" s="9"/>
      <c r="AY239" s="22">
        <v>1.0531600000000001</v>
      </c>
      <c r="AZ239" s="22">
        <v>542.26</v>
      </c>
      <c r="BA239" s="22">
        <v>-1.6427600000000001E-2</v>
      </c>
      <c r="BB239" s="22">
        <v>229</v>
      </c>
      <c r="BC239" s="22">
        <v>1.0522499999999999</v>
      </c>
      <c r="BD239">
        <f t="shared" si="46"/>
        <v>16.427600000000002</v>
      </c>
      <c r="BE239">
        <f t="shared" si="47"/>
        <v>17.300891216000004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98.935100000000006</v>
      </c>
      <c r="I240" s="22">
        <v>-1.68793E-2</v>
      </c>
      <c r="J240" s="22">
        <v>230</v>
      </c>
      <c r="K240" s="22">
        <v>0.64111300000000004</v>
      </c>
      <c r="L240">
        <f t="shared" si="36"/>
        <v>16.879300000000001</v>
      </c>
      <c r="M240">
        <f t="shared" si="37"/>
        <v>10.832881550500002</v>
      </c>
      <c r="N240" s="9"/>
      <c r="O240" s="22">
        <v>1.0582</v>
      </c>
      <c r="P240" s="22">
        <v>192.899</v>
      </c>
      <c r="Q240" s="22">
        <v>-1.6601600000000001E-2</v>
      </c>
      <c r="R240" s="22">
        <v>230</v>
      </c>
      <c r="S240" s="22">
        <v>1.0568200000000001</v>
      </c>
      <c r="T240">
        <f t="shared" si="38"/>
        <v>16.601600000000001</v>
      </c>
      <c r="U240">
        <f t="shared" si="39"/>
        <v>17.56781312</v>
      </c>
      <c r="X240" s="9"/>
      <c r="Y240" s="22">
        <v>0.64178500000000005</v>
      </c>
      <c r="Z240" s="22">
        <v>310.66800000000001</v>
      </c>
      <c r="AA240" s="22">
        <v>-1.6833500000000001E-2</v>
      </c>
      <c r="AB240" s="22">
        <v>230</v>
      </c>
      <c r="AC240" s="22">
        <v>0.640961</v>
      </c>
      <c r="AD240">
        <f t="shared" si="40"/>
        <v>16.833500000000001</v>
      </c>
      <c r="AE240">
        <f t="shared" si="41"/>
        <v>10.803487797500001</v>
      </c>
      <c r="AF240" s="9"/>
      <c r="AG240" s="22">
        <v>1.0582</v>
      </c>
      <c r="AH240" s="22">
        <v>376.03399999999999</v>
      </c>
      <c r="AI240" s="22">
        <v>-1.6549700000000001E-2</v>
      </c>
      <c r="AJ240" s="22">
        <v>230</v>
      </c>
      <c r="AK240" s="22">
        <v>1.0574300000000001</v>
      </c>
      <c r="AL240">
        <f t="shared" si="42"/>
        <v>16.549700000000001</v>
      </c>
      <c r="AM240">
        <f t="shared" si="43"/>
        <v>17.512892540000003</v>
      </c>
      <c r="AP240" s="9"/>
      <c r="AQ240" s="22">
        <v>0.64178500000000005</v>
      </c>
      <c r="AR240" s="22">
        <v>465.33499999999998</v>
      </c>
      <c r="AS240" s="22">
        <v>-1.6766400000000001E-2</v>
      </c>
      <c r="AT240" s="22">
        <v>230</v>
      </c>
      <c r="AU240" s="22">
        <v>0.641235</v>
      </c>
      <c r="AV240">
        <f t="shared" si="44"/>
        <v>16.766400000000001</v>
      </c>
      <c r="AW240">
        <f t="shared" si="45"/>
        <v>10.760424024000001</v>
      </c>
      <c r="AX240" s="9"/>
      <c r="AY240" s="22">
        <v>1.0582</v>
      </c>
      <c r="AZ240" s="22">
        <v>542.36</v>
      </c>
      <c r="BA240" s="22">
        <v>-1.6424600000000001E-2</v>
      </c>
      <c r="BB240" s="22">
        <v>230</v>
      </c>
      <c r="BC240" s="22">
        <v>1.0574300000000001</v>
      </c>
      <c r="BD240">
        <f t="shared" si="46"/>
        <v>16.424600000000002</v>
      </c>
      <c r="BE240">
        <f t="shared" si="47"/>
        <v>17.380511720000001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99.035799999999995</v>
      </c>
      <c r="I241" s="22">
        <v>-1.6876200000000001E-2</v>
      </c>
      <c r="J241" s="22">
        <v>231</v>
      </c>
      <c r="K241" s="22">
        <v>0.63604700000000003</v>
      </c>
      <c r="L241">
        <f t="shared" si="36"/>
        <v>16.876200000000001</v>
      </c>
      <c r="M241">
        <f t="shared" si="37"/>
        <v>10.7459034738</v>
      </c>
      <c r="N241" s="9"/>
      <c r="O241" s="22">
        <v>1.0632299999999999</v>
      </c>
      <c r="P241" s="22">
        <v>192.999</v>
      </c>
      <c r="Q241" s="22">
        <v>-1.65924E-2</v>
      </c>
      <c r="R241" s="22">
        <v>231</v>
      </c>
      <c r="S241" s="22">
        <v>1.0623199999999999</v>
      </c>
      <c r="T241">
        <f t="shared" si="38"/>
        <v>16.592400000000001</v>
      </c>
      <c r="U241">
        <f t="shared" si="39"/>
        <v>17.641537452000001</v>
      </c>
      <c r="X241" s="9"/>
      <c r="Y241" s="22">
        <v>0.63674900000000001</v>
      </c>
      <c r="Z241" s="22">
        <v>310.76799999999997</v>
      </c>
      <c r="AA241" s="22">
        <v>-1.6845700000000002E-2</v>
      </c>
      <c r="AB241" s="22">
        <v>231</v>
      </c>
      <c r="AC241" s="22">
        <v>0.63592499999999996</v>
      </c>
      <c r="AD241">
        <f t="shared" si="40"/>
        <v>16.845700000000001</v>
      </c>
      <c r="AE241">
        <f t="shared" si="41"/>
        <v>10.726482629300001</v>
      </c>
      <c r="AF241" s="9"/>
      <c r="AG241" s="22">
        <v>1.0632299999999999</v>
      </c>
      <c r="AH241" s="22">
        <v>376.13400000000001</v>
      </c>
      <c r="AI241" s="22">
        <v>-1.6543599999999999E-2</v>
      </c>
      <c r="AJ241" s="22">
        <v>231</v>
      </c>
      <c r="AK241" s="22">
        <v>1.0626199999999999</v>
      </c>
      <c r="AL241">
        <f t="shared" si="42"/>
        <v>16.543599999999998</v>
      </c>
      <c r="AM241">
        <f t="shared" si="43"/>
        <v>17.589651827999997</v>
      </c>
      <c r="AP241" s="9"/>
      <c r="AQ241" s="22">
        <v>0.63674900000000001</v>
      </c>
      <c r="AR241" s="22">
        <v>465.43599999999998</v>
      </c>
      <c r="AS241" s="22">
        <v>-1.6763299999999998E-2</v>
      </c>
      <c r="AT241" s="22">
        <v>231</v>
      </c>
      <c r="AU241" s="22">
        <v>0.63601700000000005</v>
      </c>
      <c r="AV241">
        <f t="shared" si="44"/>
        <v>16.763299999999997</v>
      </c>
      <c r="AW241">
        <f t="shared" si="45"/>
        <v>10.674014511699999</v>
      </c>
      <c r="AX241" s="9"/>
      <c r="AY241" s="22">
        <v>1.0632299999999999</v>
      </c>
      <c r="AZ241" s="22">
        <v>542.46100000000001</v>
      </c>
      <c r="BA241" s="22">
        <v>-1.6430699999999999E-2</v>
      </c>
      <c r="BB241" s="22">
        <v>231</v>
      </c>
      <c r="BC241" s="22">
        <v>1.0623199999999999</v>
      </c>
      <c r="BD241">
        <f t="shared" si="46"/>
        <v>16.430699999999998</v>
      </c>
      <c r="BE241">
        <f t="shared" si="47"/>
        <v>17.469613160999995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99.136499999999998</v>
      </c>
      <c r="I242" s="22">
        <v>-1.6888400000000001E-2</v>
      </c>
      <c r="J242" s="22">
        <v>232</v>
      </c>
      <c r="K242" s="22">
        <v>0.63113399999999997</v>
      </c>
      <c r="L242">
        <f t="shared" si="36"/>
        <v>16.888400000000001</v>
      </c>
      <c r="M242">
        <f t="shared" si="37"/>
        <v>10.6686387176</v>
      </c>
      <c r="N242" s="9"/>
      <c r="O242" s="22">
        <v>1.0682700000000001</v>
      </c>
      <c r="P242" s="22">
        <v>193.1</v>
      </c>
      <c r="Q242" s="22">
        <v>-1.6583299999999999E-2</v>
      </c>
      <c r="R242" s="22">
        <v>232</v>
      </c>
      <c r="S242" s="22">
        <v>1.0671999999999999</v>
      </c>
      <c r="T242">
        <f t="shared" si="38"/>
        <v>16.583299999999998</v>
      </c>
      <c r="U242">
        <f t="shared" si="39"/>
        <v>17.715441890999998</v>
      </c>
      <c r="X242" s="9"/>
      <c r="Y242" s="22">
        <v>0.631714</v>
      </c>
      <c r="Z242" s="22">
        <v>310.86900000000003</v>
      </c>
      <c r="AA242" s="22">
        <v>-1.6848800000000001E-2</v>
      </c>
      <c r="AB242" s="22">
        <v>232</v>
      </c>
      <c r="AC242" s="22">
        <v>0.63098100000000001</v>
      </c>
      <c r="AD242">
        <f t="shared" si="40"/>
        <v>16.848800000000001</v>
      </c>
      <c r="AE242">
        <f t="shared" si="41"/>
        <v>10.643622843200001</v>
      </c>
      <c r="AF242" s="9"/>
      <c r="AG242" s="22">
        <v>1.0682700000000001</v>
      </c>
      <c r="AH242" s="22">
        <v>376.23500000000001</v>
      </c>
      <c r="AI242" s="22">
        <v>-1.65405E-2</v>
      </c>
      <c r="AJ242" s="22">
        <v>232</v>
      </c>
      <c r="AK242" s="22">
        <v>1.0671999999999999</v>
      </c>
      <c r="AL242">
        <f t="shared" si="42"/>
        <v>16.540499999999998</v>
      </c>
      <c r="AM242">
        <f t="shared" si="43"/>
        <v>17.669719935</v>
      </c>
      <c r="AP242" s="9"/>
      <c r="AQ242" s="22">
        <v>0.631714</v>
      </c>
      <c r="AR242" s="22">
        <v>465.53699999999998</v>
      </c>
      <c r="AS242" s="22">
        <v>-1.67542E-2</v>
      </c>
      <c r="AT242" s="22">
        <v>232</v>
      </c>
      <c r="AU242" s="22">
        <v>0.63095100000000004</v>
      </c>
      <c r="AV242">
        <f t="shared" si="44"/>
        <v>16.754200000000001</v>
      </c>
      <c r="AW242">
        <f t="shared" si="45"/>
        <v>10.583862698800001</v>
      </c>
      <c r="AX242" s="9"/>
      <c r="AY242" s="22">
        <v>1.0682700000000001</v>
      </c>
      <c r="AZ242" s="22">
        <v>542.56200000000001</v>
      </c>
      <c r="BA242" s="22">
        <v>-1.6421499999999999E-2</v>
      </c>
      <c r="BB242" s="22">
        <v>232</v>
      </c>
      <c r="BC242" s="22">
        <v>1.0674999999999999</v>
      </c>
      <c r="BD242">
        <f t="shared" si="46"/>
        <v>16.421499999999998</v>
      </c>
      <c r="BE242">
        <f t="shared" si="47"/>
        <v>17.542595804999998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99.237200000000001</v>
      </c>
      <c r="I243" s="22">
        <v>-1.6900600000000002E-2</v>
      </c>
      <c r="J243" s="22">
        <v>233</v>
      </c>
      <c r="K243" s="22">
        <v>0.62600699999999998</v>
      </c>
      <c r="L243">
        <f t="shared" si="36"/>
        <v>16.900600000000001</v>
      </c>
      <c r="M243">
        <f t="shared" si="37"/>
        <v>10.591234206799999</v>
      </c>
      <c r="N243" s="9"/>
      <c r="O243" s="22">
        <v>1.0732999999999999</v>
      </c>
      <c r="P243" s="22">
        <v>193.20099999999999</v>
      </c>
      <c r="Q243" s="22">
        <v>-1.6589400000000001E-2</v>
      </c>
      <c r="R243" s="22">
        <v>233</v>
      </c>
      <c r="S243" s="22">
        <v>1.07239</v>
      </c>
      <c r="T243">
        <f t="shared" si="38"/>
        <v>16.589400000000001</v>
      </c>
      <c r="U243">
        <f t="shared" si="39"/>
        <v>17.80540302</v>
      </c>
      <c r="X243" s="9"/>
      <c r="Y243" s="22">
        <v>0.62667799999999996</v>
      </c>
      <c r="Z243" s="22">
        <v>310.97000000000003</v>
      </c>
      <c r="AA243" s="22">
        <v>-1.6845700000000002E-2</v>
      </c>
      <c r="AB243" s="22">
        <v>233</v>
      </c>
      <c r="AC243" s="22">
        <v>0.62600699999999998</v>
      </c>
      <c r="AD243">
        <f t="shared" si="40"/>
        <v>16.845700000000001</v>
      </c>
      <c r="AE243">
        <f t="shared" si="41"/>
        <v>10.556829584599999</v>
      </c>
      <c r="AF243" s="9"/>
      <c r="AG243" s="22">
        <v>1.0732999999999999</v>
      </c>
      <c r="AH243" s="22">
        <v>376.33600000000001</v>
      </c>
      <c r="AI243" s="22">
        <v>-1.65375E-2</v>
      </c>
      <c r="AJ243" s="22">
        <v>233</v>
      </c>
      <c r="AK243" s="22">
        <v>1.0726899999999999</v>
      </c>
      <c r="AL243">
        <f t="shared" si="42"/>
        <v>16.537500000000001</v>
      </c>
      <c r="AM243">
        <f t="shared" si="43"/>
        <v>17.74969875</v>
      </c>
      <c r="AP243" s="9"/>
      <c r="AQ243" s="22">
        <v>0.62667799999999996</v>
      </c>
      <c r="AR243" s="22">
        <v>465.637</v>
      </c>
      <c r="AS243" s="22">
        <v>-1.6775499999999999E-2</v>
      </c>
      <c r="AT243" s="22">
        <v>233</v>
      </c>
      <c r="AU243" s="22">
        <v>0.625946</v>
      </c>
      <c r="AV243">
        <f t="shared" si="44"/>
        <v>16.775499999999997</v>
      </c>
      <c r="AW243">
        <f t="shared" si="45"/>
        <v>10.512836788999998</v>
      </c>
      <c r="AX243" s="9"/>
      <c r="AY243" s="22">
        <v>1.0732999999999999</v>
      </c>
      <c r="AZ243" s="22">
        <v>542.66300000000001</v>
      </c>
      <c r="BA243" s="22">
        <v>-1.6424600000000001E-2</v>
      </c>
      <c r="BB243" s="22">
        <v>233</v>
      </c>
      <c r="BC243" s="22">
        <v>1.0720799999999999</v>
      </c>
      <c r="BD243">
        <f t="shared" si="46"/>
        <v>16.424600000000002</v>
      </c>
      <c r="BE243">
        <f t="shared" si="47"/>
        <v>17.628523180000002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99.337900000000005</v>
      </c>
      <c r="I244" s="22">
        <v>-1.68945E-2</v>
      </c>
      <c r="J244" s="22">
        <v>234</v>
      </c>
      <c r="K244" s="22">
        <v>0.62085000000000001</v>
      </c>
      <c r="L244">
        <f t="shared" si="36"/>
        <v>16.894500000000001</v>
      </c>
      <c r="M244">
        <f t="shared" si="37"/>
        <v>10.5023476635</v>
      </c>
      <c r="N244" s="9"/>
      <c r="O244" s="22">
        <v>1.0783400000000001</v>
      </c>
      <c r="P244" s="22">
        <v>193.30199999999999</v>
      </c>
      <c r="Q244" s="22">
        <v>-1.6586299999999998E-2</v>
      </c>
      <c r="R244" s="22">
        <v>234</v>
      </c>
      <c r="S244" s="22">
        <v>1.07758</v>
      </c>
      <c r="T244">
        <f t="shared" si="38"/>
        <v>16.586299999999998</v>
      </c>
      <c r="U244">
        <f t="shared" si="39"/>
        <v>17.885670741999999</v>
      </c>
      <c r="X244" s="9"/>
      <c r="Y244" s="22">
        <v>0.62164299999999995</v>
      </c>
      <c r="Z244" s="22">
        <v>311.07100000000003</v>
      </c>
      <c r="AA244" s="22">
        <v>-1.6845700000000002E-2</v>
      </c>
      <c r="AB244" s="22">
        <v>234</v>
      </c>
      <c r="AC244" s="22">
        <v>0.62097199999999997</v>
      </c>
      <c r="AD244">
        <f t="shared" si="40"/>
        <v>16.845700000000001</v>
      </c>
      <c r="AE244">
        <f t="shared" si="41"/>
        <v>10.472011485099999</v>
      </c>
      <c r="AF244" s="9"/>
      <c r="AG244" s="22">
        <v>1.0783400000000001</v>
      </c>
      <c r="AH244" s="22">
        <v>376.43700000000001</v>
      </c>
      <c r="AI244" s="22">
        <v>-1.65405E-2</v>
      </c>
      <c r="AJ244" s="22">
        <v>234</v>
      </c>
      <c r="AK244" s="22">
        <v>1.07697</v>
      </c>
      <c r="AL244">
        <f t="shared" si="42"/>
        <v>16.540499999999998</v>
      </c>
      <c r="AM244">
        <f t="shared" si="43"/>
        <v>17.83628277</v>
      </c>
      <c r="AP244" s="9"/>
      <c r="AQ244" s="22">
        <v>0.62164299999999995</v>
      </c>
      <c r="AR244" s="22">
        <v>465.738</v>
      </c>
      <c r="AS244" s="22">
        <v>-1.6772499999999999E-2</v>
      </c>
      <c r="AT244" s="22">
        <v>234</v>
      </c>
      <c r="AU244" s="22">
        <v>0.62094099999999997</v>
      </c>
      <c r="AV244">
        <f t="shared" si="44"/>
        <v>16.772500000000001</v>
      </c>
      <c r="AW244">
        <f t="shared" si="45"/>
        <v>10.426507217499999</v>
      </c>
      <c r="AX244" s="9"/>
      <c r="AY244" s="22">
        <v>1.0783400000000001</v>
      </c>
      <c r="AZ244" s="22">
        <v>542.76300000000003</v>
      </c>
      <c r="BA244" s="22">
        <v>-1.6406299999999999E-2</v>
      </c>
      <c r="BB244" s="22">
        <v>234</v>
      </c>
      <c r="BC244" s="22">
        <v>1.0772699999999999</v>
      </c>
      <c r="BD244">
        <f t="shared" si="46"/>
        <v>16.406299999999998</v>
      </c>
      <c r="BE244">
        <f t="shared" si="47"/>
        <v>17.691569542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99.438599999999994</v>
      </c>
      <c r="I245" s="22">
        <v>-1.69067E-2</v>
      </c>
      <c r="J245" s="22">
        <v>235</v>
      </c>
      <c r="K245" s="22">
        <v>0.61587499999999995</v>
      </c>
      <c r="L245">
        <f t="shared" si="36"/>
        <v>16.906700000000001</v>
      </c>
      <c r="M245">
        <f t="shared" si="37"/>
        <v>10.4248064736</v>
      </c>
      <c r="N245" s="9"/>
      <c r="O245" s="22">
        <v>1.0833699999999999</v>
      </c>
      <c r="P245" s="22">
        <v>193.40199999999999</v>
      </c>
      <c r="Q245" s="22">
        <v>-1.65649E-2</v>
      </c>
      <c r="R245" s="22">
        <v>235</v>
      </c>
      <c r="S245" s="22">
        <v>1.0827599999999999</v>
      </c>
      <c r="T245">
        <f t="shared" si="38"/>
        <v>16.564900000000002</v>
      </c>
      <c r="U245">
        <f t="shared" si="39"/>
        <v>17.945915713000002</v>
      </c>
      <c r="X245" s="9"/>
      <c r="Y245" s="22">
        <v>0.61660800000000004</v>
      </c>
      <c r="Z245" s="22">
        <v>311.17099999999999</v>
      </c>
      <c r="AA245" s="22">
        <v>-1.6836500000000001E-2</v>
      </c>
      <c r="AB245" s="22">
        <v>235</v>
      </c>
      <c r="AC245" s="22">
        <v>0.61596700000000004</v>
      </c>
      <c r="AD245">
        <f t="shared" si="40"/>
        <v>16.836500000000001</v>
      </c>
      <c r="AE245">
        <f t="shared" si="41"/>
        <v>10.381520592000001</v>
      </c>
      <c r="AF245" s="9"/>
      <c r="AG245" s="22">
        <v>1.0833699999999999</v>
      </c>
      <c r="AH245" s="22">
        <v>376.53699999999998</v>
      </c>
      <c r="AI245" s="22">
        <v>-1.6522200000000001E-2</v>
      </c>
      <c r="AJ245" s="22">
        <v>235</v>
      </c>
      <c r="AK245" s="22">
        <v>1.08185</v>
      </c>
      <c r="AL245">
        <f t="shared" si="42"/>
        <v>16.522200000000002</v>
      </c>
      <c r="AM245">
        <f t="shared" si="43"/>
        <v>17.899655813999999</v>
      </c>
      <c r="AP245" s="9"/>
      <c r="AQ245" s="22">
        <v>0.61660800000000004</v>
      </c>
      <c r="AR245" s="22">
        <v>465.839</v>
      </c>
      <c r="AS245" s="22">
        <v>-1.6778600000000001E-2</v>
      </c>
      <c r="AT245" s="22">
        <v>235</v>
      </c>
      <c r="AU245" s="22">
        <v>0.61593600000000004</v>
      </c>
      <c r="AV245">
        <f t="shared" si="44"/>
        <v>16.778600000000001</v>
      </c>
      <c r="AW245">
        <f t="shared" si="45"/>
        <v>10.345818988800001</v>
      </c>
      <c r="AX245" s="9"/>
      <c r="AY245" s="22">
        <v>1.0833699999999999</v>
      </c>
      <c r="AZ245" s="22">
        <v>542.86400000000003</v>
      </c>
      <c r="BA245" s="22">
        <v>-1.6393999999999999E-2</v>
      </c>
      <c r="BB245" s="22">
        <v>235</v>
      </c>
      <c r="BC245" s="22">
        <v>1.08246</v>
      </c>
      <c r="BD245">
        <f t="shared" si="46"/>
        <v>16.393999999999998</v>
      </c>
      <c r="BE245">
        <f t="shared" si="47"/>
        <v>17.760767779999998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99.539400000000001</v>
      </c>
      <c r="I246" s="22">
        <v>-1.6897599999999999E-2</v>
      </c>
      <c r="J246" s="22">
        <v>236</v>
      </c>
      <c r="K246" s="22">
        <v>0.61084000000000005</v>
      </c>
      <c r="L246">
        <f t="shared" si="36"/>
        <v>16.897599999999997</v>
      </c>
      <c r="M246">
        <f t="shared" si="37"/>
        <v>10.334099027199999</v>
      </c>
      <c r="N246" s="9"/>
      <c r="O246" s="22">
        <v>1.0884100000000001</v>
      </c>
      <c r="P246" s="22">
        <v>193.50299999999999</v>
      </c>
      <c r="Q246" s="22">
        <v>-1.6558799999999999E-2</v>
      </c>
      <c r="R246" s="22">
        <v>236</v>
      </c>
      <c r="S246" s="22">
        <v>1.08734</v>
      </c>
      <c r="T246">
        <f t="shared" si="38"/>
        <v>16.558799999999998</v>
      </c>
      <c r="U246">
        <f t="shared" si="39"/>
        <v>18.022763508000001</v>
      </c>
      <c r="X246" s="9"/>
      <c r="Y246" s="22">
        <v>0.611572</v>
      </c>
      <c r="Z246" s="22">
        <v>311.27199999999999</v>
      </c>
      <c r="AA246" s="22">
        <v>-1.68396E-2</v>
      </c>
      <c r="AB246" s="22">
        <v>236</v>
      </c>
      <c r="AC246" s="22">
        <v>0.610931</v>
      </c>
      <c r="AD246">
        <f t="shared" si="40"/>
        <v>16.839600000000001</v>
      </c>
      <c r="AE246">
        <f t="shared" si="41"/>
        <v>10.298627851200001</v>
      </c>
      <c r="AF246" s="9"/>
      <c r="AG246" s="22">
        <v>1.0884100000000001</v>
      </c>
      <c r="AH246" s="22">
        <v>376.63799999999998</v>
      </c>
      <c r="AI246" s="22">
        <v>-1.6516099999999999E-2</v>
      </c>
      <c r="AJ246" s="22">
        <v>236</v>
      </c>
      <c r="AK246" s="22">
        <v>1.08765</v>
      </c>
      <c r="AL246">
        <f t="shared" si="42"/>
        <v>16.516099999999998</v>
      </c>
      <c r="AM246">
        <f t="shared" si="43"/>
        <v>17.976288400999998</v>
      </c>
      <c r="AP246" s="9"/>
      <c r="AQ246" s="22">
        <v>0.611572</v>
      </c>
      <c r="AR246" s="22">
        <v>465.93900000000002</v>
      </c>
      <c r="AS246" s="22">
        <v>-1.6781600000000001E-2</v>
      </c>
      <c r="AT246" s="22">
        <v>236</v>
      </c>
      <c r="AU246" s="22">
        <v>0.61074799999999996</v>
      </c>
      <c r="AV246">
        <f t="shared" si="44"/>
        <v>16.781600000000001</v>
      </c>
      <c r="AW246">
        <f t="shared" si="45"/>
        <v>10.263156675200001</v>
      </c>
      <c r="AX246" s="9"/>
      <c r="AY246" s="22">
        <v>1.0884100000000001</v>
      </c>
      <c r="AZ246" s="22">
        <v>542.96500000000003</v>
      </c>
      <c r="BA246" s="22">
        <v>-1.64032E-2</v>
      </c>
      <c r="BB246" s="22">
        <v>236</v>
      </c>
      <c r="BC246" s="22">
        <v>1.08734</v>
      </c>
      <c r="BD246">
        <f t="shared" si="46"/>
        <v>16.403199999999998</v>
      </c>
      <c r="BE246">
        <f t="shared" si="47"/>
        <v>17.853406912000001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99.640100000000004</v>
      </c>
      <c r="I247" s="22">
        <v>-1.6900600000000002E-2</v>
      </c>
      <c r="J247" s="22">
        <v>237</v>
      </c>
      <c r="K247" s="22">
        <v>0.60577400000000003</v>
      </c>
      <c r="L247">
        <f t="shared" si="36"/>
        <v>16.900600000000001</v>
      </c>
      <c r="M247">
        <f t="shared" si="37"/>
        <v>10.2508392222</v>
      </c>
      <c r="N247" s="9"/>
      <c r="O247" s="22">
        <v>1.09344</v>
      </c>
      <c r="P247" s="22">
        <v>193.60400000000001</v>
      </c>
      <c r="Q247" s="22">
        <v>-1.6555799999999999E-2</v>
      </c>
      <c r="R247" s="22">
        <v>237</v>
      </c>
      <c r="S247" s="22">
        <v>1.09222</v>
      </c>
      <c r="T247">
        <f t="shared" si="38"/>
        <v>16.555799999999998</v>
      </c>
      <c r="U247">
        <f t="shared" si="39"/>
        <v>18.102773951999996</v>
      </c>
      <c r="X247" s="9"/>
      <c r="Y247" s="22">
        <v>0.60653699999999999</v>
      </c>
      <c r="Z247" s="22">
        <v>311.37299999999999</v>
      </c>
      <c r="AA247" s="22">
        <v>-1.6857899999999999E-2</v>
      </c>
      <c r="AB247" s="22">
        <v>237</v>
      </c>
      <c r="AC247" s="22">
        <v>0.60580400000000001</v>
      </c>
      <c r="AD247">
        <f t="shared" si="40"/>
        <v>16.857899999999997</v>
      </c>
      <c r="AE247">
        <f t="shared" si="41"/>
        <v>10.224940092299999</v>
      </c>
      <c r="AF247" s="9"/>
      <c r="AG247" s="22">
        <v>1.09344</v>
      </c>
      <c r="AH247" s="22">
        <v>376.73899999999998</v>
      </c>
      <c r="AI247" s="22">
        <v>-1.6513099999999999E-2</v>
      </c>
      <c r="AJ247" s="22">
        <v>237</v>
      </c>
      <c r="AK247" s="22">
        <v>1.09222</v>
      </c>
      <c r="AL247">
        <f t="shared" si="42"/>
        <v>16.513099999999998</v>
      </c>
      <c r="AM247">
        <f t="shared" si="43"/>
        <v>18.056084063999997</v>
      </c>
      <c r="AP247" s="9"/>
      <c r="AQ247" s="22">
        <v>0.60653699999999999</v>
      </c>
      <c r="AR247" s="22">
        <v>466.04</v>
      </c>
      <c r="AS247" s="22">
        <v>-1.67969E-2</v>
      </c>
      <c r="AT247" s="22">
        <v>237</v>
      </c>
      <c r="AU247" s="22">
        <v>0.60589599999999999</v>
      </c>
      <c r="AV247">
        <f t="shared" si="44"/>
        <v>16.796900000000001</v>
      </c>
      <c r="AW247">
        <f t="shared" si="45"/>
        <v>10.1879413353</v>
      </c>
      <c r="AX247" s="9"/>
      <c r="AY247" s="22">
        <v>1.09344</v>
      </c>
      <c r="AZ247" s="22">
        <v>543.06500000000005</v>
      </c>
      <c r="BA247" s="22">
        <v>-1.63879E-2</v>
      </c>
      <c r="BB247" s="22">
        <v>237</v>
      </c>
      <c r="BC247" s="22">
        <v>1.09314</v>
      </c>
      <c r="BD247">
        <f t="shared" si="46"/>
        <v>16.387900000000002</v>
      </c>
      <c r="BE247">
        <f t="shared" si="47"/>
        <v>17.919185376000001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99.740799999999993</v>
      </c>
      <c r="I248" s="22">
        <v>-1.6909799999999999E-2</v>
      </c>
      <c r="J248" s="22">
        <v>238</v>
      </c>
      <c r="K248" s="22">
        <v>0.6008</v>
      </c>
      <c r="L248">
        <f t="shared" si="36"/>
        <v>16.909800000000001</v>
      </c>
      <c r="M248">
        <f t="shared" si="37"/>
        <v>10.1712616098</v>
      </c>
      <c r="N248" s="9"/>
      <c r="O248" s="22">
        <v>1.0984799999999999</v>
      </c>
      <c r="P248" s="22">
        <v>193.70400000000001</v>
      </c>
      <c r="Q248" s="22">
        <v>-1.6567999999999999E-2</v>
      </c>
      <c r="R248" s="22">
        <v>238</v>
      </c>
      <c r="S248" s="22">
        <v>1.09711</v>
      </c>
      <c r="T248">
        <f t="shared" si="38"/>
        <v>16.567999999999998</v>
      </c>
      <c r="U248">
        <f t="shared" si="39"/>
        <v>18.199616639999995</v>
      </c>
      <c r="X248" s="9"/>
      <c r="Y248" s="22">
        <v>0.60150099999999995</v>
      </c>
      <c r="Z248" s="22">
        <v>311.47300000000001</v>
      </c>
      <c r="AA248" s="22">
        <v>-1.6848800000000001E-2</v>
      </c>
      <c r="AB248" s="22">
        <v>238</v>
      </c>
      <c r="AC248" s="22">
        <v>0.60086099999999998</v>
      </c>
      <c r="AD248">
        <f t="shared" si="40"/>
        <v>16.848800000000001</v>
      </c>
      <c r="AE248">
        <f t="shared" si="41"/>
        <v>10.134570048799999</v>
      </c>
      <c r="AF248" s="9"/>
      <c r="AG248" s="22">
        <v>1.0984799999999999</v>
      </c>
      <c r="AH248" s="22">
        <v>376.839</v>
      </c>
      <c r="AI248" s="22">
        <v>-1.6503899999999998E-2</v>
      </c>
      <c r="AJ248" s="22">
        <v>238</v>
      </c>
      <c r="AK248" s="22">
        <v>1.09741</v>
      </c>
      <c r="AL248">
        <f t="shared" si="42"/>
        <v>16.503899999999998</v>
      </c>
      <c r="AM248">
        <f t="shared" si="43"/>
        <v>18.129204071999997</v>
      </c>
      <c r="AP248" s="9"/>
      <c r="AQ248" s="22">
        <v>0.60150099999999995</v>
      </c>
      <c r="AR248" s="22">
        <v>466.14100000000002</v>
      </c>
      <c r="AS248" s="22">
        <v>-1.67847E-2</v>
      </c>
      <c r="AT248" s="22">
        <v>238</v>
      </c>
      <c r="AU248" s="22">
        <v>0.60082999999999998</v>
      </c>
      <c r="AV248">
        <f t="shared" si="44"/>
        <v>16.784700000000001</v>
      </c>
      <c r="AW248">
        <f t="shared" si="45"/>
        <v>10.096013834699999</v>
      </c>
      <c r="AX248" s="9"/>
      <c r="AY248" s="22">
        <v>1.0984799999999999</v>
      </c>
      <c r="AZ248" s="22">
        <v>543.16600000000005</v>
      </c>
      <c r="BA248" s="22">
        <v>-1.6400100000000001E-2</v>
      </c>
      <c r="BB248" s="22">
        <v>238</v>
      </c>
      <c r="BC248" s="22">
        <v>1.09772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99.841499999999996</v>
      </c>
      <c r="I249" s="22">
        <v>-1.6912799999999999E-2</v>
      </c>
      <c r="J249" s="22">
        <v>239</v>
      </c>
      <c r="K249" s="22">
        <v>0.59573399999999999</v>
      </c>
      <c r="L249">
        <f t="shared" si="36"/>
        <v>16.912799999999997</v>
      </c>
      <c r="M249">
        <f t="shared" si="37"/>
        <v>10.087910164799998</v>
      </c>
      <c r="N249" s="9"/>
      <c r="O249" s="22">
        <v>1.1035200000000001</v>
      </c>
      <c r="P249" s="22">
        <v>193.80500000000001</v>
      </c>
      <c r="Q249" s="22">
        <v>-1.65527E-2</v>
      </c>
      <c r="R249" s="22">
        <v>239</v>
      </c>
      <c r="S249" s="22">
        <v>1.10229</v>
      </c>
      <c r="T249">
        <f t="shared" si="38"/>
        <v>16.552700000000002</v>
      </c>
      <c r="U249">
        <f t="shared" si="39"/>
        <v>18.266235504000001</v>
      </c>
      <c r="X249" s="9"/>
      <c r="Y249" s="22">
        <v>0.59646600000000005</v>
      </c>
      <c r="Z249" s="22">
        <v>311.57400000000001</v>
      </c>
      <c r="AA249" s="22">
        <v>-1.6854899999999999E-2</v>
      </c>
      <c r="AB249" s="22">
        <v>239</v>
      </c>
      <c r="AC249" s="22">
        <v>0.59582500000000005</v>
      </c>
      <c r="AD249">
        <f t="shared" si="40"/>
        <v>16.854900000000001</v>
      </c>
      <c r="AE249">
        <f t="shared" si="41"/>
        <v>10.053374783400001</v>
      </c>
      <c r="AF249" s="9"/>
      <c r="AG249" s="22">
        <v>1.1035200000000001</v>
      </c>
      <c r="AH249" s="22">
        <v>376.94</v>
      </c>
      <c r="AI249" s="22">
        <v>-1.64978E-2</v>
      </c>
      <c r="AJ249" s="22">
        <v>239</v>
      </c>
      <c r="AK249" s="22">
        <v>1.1026</v>
      </c>
      <c r="AL249">
        <f t="shared" si="42"/>
        <v>16.497800000000002</v>
      </c>
      <c r="AM249">
        <f t="shared" si="43"/>
        <v>18.205652256000004</v>
      </c>
      <c r="AP249" s="9"/>
      <c r="AQ249" s="22">
        <v>0.59646600000000005</v>
      </c>
      <c r="AR249" s="22">
        <v>466.24200000000002</v>
      </c>
      <c r="AS249" s="22">
        <v>-1.6787699999999999E-2</v>
      </c>
      <c r="AT249" s="22">
        <v>239</v>
      </c>
      <c r="AU249" s="22">
        <v>0.59576399999999996</v>
      </c>
      <c r="AV249">
        <f t="shared" si="44"/>
        <v>16.787699999999997</v>
      </c>
      <c r="AW249">
        <f t="shared" si="45"/>
        <v>10.013292268199999</v>
      </c>
      <c r="AX249" s="9"/>
      <c r="AY249" s="22">
        <v>1.1035200000000001</v>
      </c>
      <c r="AZ249" s="22">
        <v>543.26700000000005</v>
      </c>
      <c r="BA249" s="22">
        <v>-1.63757E-2</v>
      </c>
      <c r="BB249" s="22">
        <v>239</v>
      </c>
      <c r="BC249" s="22">
        <v>1.1026</v>
      </c>
      <c r="BD249">
        <f t="shared" si="46"/>
        <v>16.375699999999998</v>
      </c>
      <c r="BE249">
        <f t="shared" si="47"/>
        <v>18.070912463999999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99.9422</v>
      </c>
      <c r="I250" s="22">
        <v>-1.6912799999999999E-2</v>
      </c>
      <c r="J250" s="22">
        <v>240</v>
      </c>
      <c r="K250" s="22">
        <v>0.59079000000000004</v>
      </c>
      <c r="L250">
        <f t="shared" si="36"/>
        <v>16.912799999999997</v>
      </c>
      <c r="M250">
        <f t="shared" si="37"/>
        <v>10.0027542168</v>
      </c>
      <c r="N250" s="9"/>
      <c r="O250" s="22">
        <v>1.1085499999999999</v>
      </c>
      <c r="P250" s="22">
        <v>193.90600000000001</v>
      </c>
      <c r="Q250" s="22">
        <v>-1.6543599999999999E-2</v>
      </c>
      <c r="R250" s="22">
        <v>240</v>
      </c>
      <c r="S250" s="22">
        <v>1.10748</v>
      </c>
      <c r="T250">
        <f t="shared" si="38"/>
        <v>16.543599999999998</v>
      </c>
      <c r="U250">
        <f t="shared" si="39"/>
        <v>18.339407779999995</v>
      </c>
      <c r="X250" s="9"/>
      <c r="Y250" s="22">
        <v>0.59143100000000004</v>
      </c>
      <c r="Z250" s="22">
        <v>311.67500000000001</v>
      </c>
      <c r="AA250" s="22">
        <v>-1.68793E-2</v>
      </c>
      <c r="AB250" s="22">
        <v>240</v>
      </c>
      <c r="AC250" s="22">
        <v>0.59066799999999997</v>
      </c>
      <c r="AD250">
        <f t="shared" si="40"/>
        <v>16.879300000000001</v>
      </c>
      <c r="AE250">
        <f t="shared" si="41"/>
        <v>9.9829412783000002</v>
      </c>
      <c r="AF250" s="9"/>
      <c r="AG250" s="22">
        <v>1.1085499999999999</v>
      </c>
      <c r="AH250" s="22">
        <v>377.041</v>
      </c>
      <c r="AI250" s="22">
        <v>-1.6488599999999999E-2</v>
      </c>
      <c r="AJ250" s="22">
        <v>240</v>
      </c>
      <c r="AK250" s="22">
        <v>1.10748</v>
      </c>
      <c r="AL250">
        <f t="shared" si="42"/>
        <v>16.488599999999998</v>
      </c>
      <c r="AM250">
        <f t="shared" si="43"/>
        <v>18.278437529999998</v>
      </c>
      <c r="AP250" s="9"/>
      <c r="AQ250" s="22">
        <v>0.59143100000000004</v>
      </c>
      <c r="AR250" s="22">
        <v>466.34199999999998</v>
      </c>
      <c r="AS250" s="22">
        <v>-1.6793800000000001E-2</v>
      </c>
      <c r="AT250" s="22">
        <v>240</v>
      </c>
      <c r="AU250" s="22">
        <v>0.59069799999999995</v>
      </c>
      <c r="AV250">
        <f t="shared" si="44"/>
        <v>16.793800000000001</v>
      </c>
      <c r="AW250">
        <f t="shared" si="45"/>
        <v>9.9323739278000005</v>
      </c>
      <c r="AX250" s="9"/>
      <c r="AY250" s="22">
        <v>1.1085499999999999</v>
      </c>
      <c r="AZ250" s="22">
        <v>543.36800000000005</v>
      </c>
      <c r="BA250" s="22">
        <v>-1.63635E-2</v>
      </c>
      <c r="BB250" s="22">
        <v>240</v>
      </c>
      <c r="BC250" s="22">
        <v>1.1077900000000001</v>
      </c>
      <c r="BD250">
        <f t="shared" si="46"/>
        <v>16.363499999999998</v>
      </c>
      <c r="BE250">
        <f t="shared" si="47"/>
        <v>18.139757924999998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100.04300000000001</v>
      </c>
      <c r="I251" s="22">
        <v>-1.6918900000000001E-2</v>
      </c>
      <c r="J251" s="22">
        <v>241</v>
      </c>
      <c r="K251" s="22">
        <v>0.58584599999999998</v>
      </c>
      <c r="L251">
        <f t="shared" si="36"/>
        <v>16.918900000000001</v>
      </c>
      <c r="M251">
        <f t="shared" si="37"/>
        <v>9.9211583655000002</v>
      </c>
      <c r="N251" s="9"/>
      <c r="O251" s="22">
        <v>1.1135900000000001</v>
      </c>
      <c r="P251" s="22">
        <v>194.006</v>
      </c>
      <c r="Q251" s="22">
        <v>-1.6531400000000002E-2</v>
      </c>
      <c r="R251" s="22">
        <v>241</v>
      </c>
      <c r="S251" s="22">
        <v>1.11267</v>
      </c>
      <c r="T251">
        <f t="shared" si="38"/>
        <v>16.531400000000001</v>
      </c>
      <c r="U251">
        <f t="shared" si="39"/>
        <v>18.409201726000003</v>
      </c>
      <c r="X251" s="9"/>
      <c r="Y251" s="22">
        <v>0.586395</v>
      </c>
      <c r="Z251" s="22">
        <v>311.77499999999998</v>
      </c>
      <c r="AA251" s="22">
        <v>-1.6882299999999999E-2</v>
      </c>
      <c r="AB251" s="22">
        <v>241</v>
      </c>
      <c r="AC251" s="22">
        <v>0.58569300000000002</v>
      </c>
      <c r="AD251">
        <f t="shared" si="40"/>
        <v>16.882300000000001</v>
      </c>
      <c r="AE251">
        <f t="shared" si="41"/>
        <v>9.8996963085000012</v>
      </c>
      <c r="AF251" s="9"/>
      <c r="AG251" s="22">
        <v>1.1135900000000001</v>
      </c>
      <c r="AH251" s="22">
        <v>377.142</v>
      </c>
      <c r="AI251" s="22">
        <v>-1.6479500000000001E-2</v>
      </c>
      <c r="AJ251" s="22">
        <v>241</v>
      </c>
      <c r="AK251" s="22">
        <v>1.11267</v>
      </c>
      <c r="AL251">
        <f t="shared" si="42"/>
        <v>16.479500000000002</v>
      </c>
      <c r="AM251">
        <f t="shared" si="43"/>
        <v>18.351406405000002</v>
      </c>
      <c r="AP251" s="9"/>
      <c r="AQ251" s="22">
        <v>0.586395</v>
      </c>
      <c r="AR251" s="22">
        <v>466.44299999999998</v>
      </c>
      <c r="AS251" s="22">
        <v>-1.6821300000000001E-2</v>
      </c>
      <c r="AT251" s="22">
        <v>241</v>
      </c>
      <c r="AU251" s="22">
        <v>0.58566300000000004</v>
      </c>
      <c r="AV251">
        <f t="shared" si="44"/>
        <v>16.821300000000001</v>
      </c>
      <c r="AW251">
        <f t="shared" si="45"/>
        <v>9.863926213500001</v>
      </c>
      <c r="AX251" s="9"/>
      <c r="AY251" s="22">
        <v>1.1135900000000001</v>
      </c>
      <c r="AZ251" s="22">
        <v>543.46799999999996</v>
      </c>
      <c r="BA251" s="22">
        <v>-1.63757E-2</v>
      </c>
      <c r="BB251" s="22">
        <v>241</v>
      </c>
      <c r="BC251" s="22">
        <v>1.11328</v>
      </c>
      <c r="BD251">
        <f t="shared" si="46"/>
        <v>16.375699999999998</v>
      </c>
      <c r="BE251">
        <f t="shared" si="47"/>
        <v>18.235815762999998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100.14400000000001</v>
      </c>
      <c r="I252" s="22">
        <v>-1.69312E-2</v>
      </c>
      <c r="J252" s="22">
        <v>242</v>
      </c>
      <c r="K252" s="22">
        <v>0.58077999999999996</v>
      </c>
      <c r="L252">
        <f t="shared" si="36"/>
        <v>16.9312</v>
      </c>
      <c r="M252">
        <f t="shared" si="37"/>
        <v>9.8431224319999995</v>
      </c>
      <c r="N252" s="9"/>
      <c r="O252" s="22">
        <v>1.1186199999999999</v>
      </c>
      <c r="P252" s="22">
        <v>194.107</v>
      </c>
      <c r="Q252" s="22">
        <v>-1.65405E-2</v>
      </c>
      <c r="R252" s="22">
        <v>242</v>
      </c>
      <c r="S252" s="22">
        <v>1.11755</v>
      </c>
      <c r="T252">
        <f t="shared" si="38"/>
        <v>16.540499999999998</v>
      </c>
      <c r="U252">
        <f t="shared" si="39"/>
        <v>18.502534109999996</v>
      </c>
      <c r="X252" s="9"/>
      <c r="Y252" s="22">
        <v>0.58135999999999999</v>
      </c>
      <c r="Z252" s="22">
        <v>311.87599999999998</v>
      </c>
      <c r="AA252" s="22">
        <v>-1.68793E-2</v>
      </c>
      <c r="AB252" s="22">
        <v>242</v>
      </c>
      <c r="AC252" s="22">
        <v>0.58053600000000005</v>
      </c>
      <c r="AD252">
        <f t="shared" si="40"/>
        <v>16.879300000000001</v>
      </c>
      <c r="AE252">
        <f t="shared" si="41"/>
        <v>9.8129498480000006</v>
      </c>
      <c r="AF252" s="9"/>
      <c r="AG252" s="22">
        <v>1.1186199999999999</v>
      </c>
      <c r="AH252" s="22">
        <v>377.24200000000002</v>
      </c>
      <c r="AI252" s="22">
        <v>-1.64856E-2</v>
      </c>
      <c r="AJ252" s="22">
        <v>242</v>
      </c>
      <c r="AK252" s="22">
        <v>1.1178600000000001</v>
      </c>
      <c r="AL252">
        <f t="shared" si="42"/>
        <v>16.485599999999998</v>
      </c>
      <c r="AM252">
        <f t="shared" si="43"/>
        <v>18.441121871999997</v>
      </c>
      <c r="AP252" s="9"/>
      <c r="AQ252" s="22">
        <v>0.58135999999999999</v>
      </c>
      <c r="AR252" s="22">
        <v>466.54399999999998</v>
      </c>
      <c r="AS252" s="22">
        <v>-1.6815199999999999E-2</v>
      </c>
      <c r="AT252" s="22">
        <v>242</v>
      </c>
      <c r="AU252" s="22">
        <v>0.58068799999999998</v>
      </c>
      <c r="AV252">
        <f t="shared" si="44"/>
        <v>16.815199999999997</v>
      </c>
      <c r="AW252">
        <f t="shared" si="45"/>
        <v>9.7756846719999988</v>
      </c>
      <c r="AX252" s="9"/>
      <c r="AY252" s="22">
        <v>1.1186199999999999</v>
      </c>
      <c r="AZ252" s="22">
        <v>543.56899999999996</v>
      </c>
      <c r="BA252" s="22">
        <v>-1.63605E-2</v>
      </c>
      <c r="BB252" s="22">
        <v>242</v>
      </c>
      <c r="BC252" s="22">
        <v>1.1172500000000001</v>
      </c>
      <c r="BD252">
        <f t="shared" si="46"/>
        <v>16.360500000000002</v>
      </c>
      <c r="BE252">
        <f t="shared" si="47"/>
        <v>18.30118251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100.244</v>
      </c>
      <c r="I253" s="22">
        <v>-1.6918900000000001E-2</v>
      </c>
      <c r="J253" s="22">
        <v>243</v>
      </c>
      <c r="K253" s="22">
        <v>0.57571399999999995</v>
      </c>
      <c r="L253">
        <f t="shared" si="36"/>
        <v>16.918900000000001</v>
      </c>
      <c r="M253">
        <f t="shared" si="37"/>
        <v>9.7507681236000003</v>
      </c>
      <c r="N253" s="9"/>
      <c r="O253" s="22">
        <v>1.1236600000000001</v>
      </c>
      <c r="P253" s="22">
        <v>194.208</v>
      </c>
      <c r="Q253" s="22">
        <v>-1.6528299999999999E-2</v>
      </c>
      <c r="R253" s="22">
        <v>243</v>
      </c>
      <c r="S253" s="22">
        <v>1.1230500000000001</v>
      </c>
      <c r="T253">
        <f t="shared" si="38"/>
        <v>16.528299999999998</v>
      </c>
      <c r="U253">
        <f t="shared" si="39"/>
        <v>18.572189578</v>
      </c>
      <c r="X253" s="9"/>
      <c r="Y253" s="22">
        <v>0.57632399999999995</v>
      </c>
      <c r="Z253" s="22">
        <v>311.97699999999998</v>
      </c>
      <c r="AA253" s="22">
        <v>-1.6876200000000001E-2</v>
      </c>
      <c r="AB253" s="22">
        <v>243</v>
      </c>
      <c r="AC253" s="22">
        <v>0.575623</v>
      </c>
      <c r="AD253">
        <f t="shared" si="40"/>
        <v>16.876200000000001</v>
      </c>
      <c r="AE253">
        <f t="shared" si="41"/>
        <v>9.7261590887999994</v>
      </c>
      <c r="AF253" s="9"/>
      <c r="AG253" s="22">
        <v>1.1236600000000001</v>
      </c>
      <c r="AH253" s="22">
        <v>377.34300000000002</v>
      </c>
      <c r="AI253" s="22">
        <v>-1.6473399999999999E-2</v>
      </c>
      <c r="AJ253" s="22">
        <v>243</v>
      </c>
      <c r="AK253" s="22">
        <v>1.1227400000000001</v>
      </c>
      <c r="AL253">
        <f t="shared" si="42"/>
        <v>16.473399999999998</v>
      </c>
      <c r="AM253">
        <f t="shared" si="43"/>
        <v>18.510500644</v>
      </c>
      <c r="AP253" s="9"/>
      <c r="AQ253" s="22">
        <v>0.57632399999999995</v>
      </c>
      <c r="AR253" s="22">
        <v>466.64400000000001</v>
      </c>
      <c r="AS253" s="22">
        <v>-1.68243E-2</v>
      </c>
      <c r="AT253" s="22">
        <v>243</v>
      </c>
      <c r="AU253" s="22">
        <v>0.575623</v>
      </c>
      <c r="AV253">
        <f t="shared" si="44"/>
        <v>16.824300000000001</v>
      </c>
      <c r="AW253">
        <f t="shared" si="45"/>
        <v>9.696247873199999</v>
      </c>
      <c r="AX253" s="9"/>
      <c r="AY253" s="22">
        <v>1.1236600000000001</v>
      </c>
      <c r="AZ253" s="22">
        <v>543.66999999999996</v>
      </c>
      <c r="BA253" s="22">
        <v>-1.6381799999999998E-2</v>
      </c>
      <c r="BB253" s="22">
        <v>243</v>
      </c>
      <c r="BC253" s="22">
        <v>1.1227400000000001</v>
      </c>
      <c r="BD253">
        <f t="shared" si="46"/>
        <v>16.381799999999998</v>
      </c>
      <c r="BE253">
        <f t="shared" si="47"/>
        <v>18.407573387999999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100.345</v>
      </c>
      <c r="I254" s="22">
        <v>-1.6924999999999999E-2</v>
      </c>
      <c r="J254" s="22">
        <v>244</v>
      </c>
      <c r="K254" s="22">
        <v>0.57058699999999996</v>
      </c>
      <c r="L254">
        <f t="shared" si="36"/>
        <v>16.925000000000001</v>
      </c>
      <c r="M254">
        <f t="shared" si="37"/>
        <v>9.6690663250000011</v>
      </c>
      <c r="N254" s="9"/>
      <c r="O254" s="22">
        <v>1.12869</v>
      </c>
      <c r="P254" s="22">
        <v>194.309</v>
      </c>
      <c r="Q254" s="22">
        <v>-1.6528299999999999E-2</v>
      </c>
      <c r="R254" s="22">
        <v>244</v>
      </c>
      <c r="S254" s="22">
        <v>1.1279300000000001</v>
      </c>
      <c r="T254">
        <f t="shared" si="38"/>
        <v>16.528299999999998</v>
      </c>
      <c r="U254">
        <f t="shared" si="39"/>
        <v>18.655326926999997</v>
      </c>
      <c r="X254" s="9"/>
      <c r="Y254" s="22">
        <v>0.57128900000000005</v>
      </c>
      <c r="Z254" s="22">
        <v>312.07799999999997</v>
      </c>
      <c r="AA254" s="22">
        <v>-1.6876200000000001E-2</v>
      </c>
      <c r="AB254" s="22">
        <v>244</v>
      </c>
      <c r="AC254" s="22">
        <v>0.57067900000000005</v>
      </c>
      <c r="AD254">
        <f t="shared" si="40"/>
        <v>16.876200000000001</v>
      </c>
      <c r="AE254">
        <f t="shared" si="41"/>
        <v>9.6411874218000015</v>
      </c>
      <c r="AF254" s="9"/>
      <c r="AG254" s="22">
        <v>1.12869</v>
      </c>
      <c r="AH254" s="22">
        <v>377.44400000000002</v>
      </c>
      <c r="AI254" s="22">
        <v>-1.6464199999999998E-2</v>
      </c>
      <c r="AJ254" s="22">
        <v>244</v>
      </c>
      <c r="AK254" s="22">
        <v>1.1279300000000001</v>
      </c>
      <c r="AL254">
        <f t="shared" si="42"/>
        <v>16.464199999999998</v>
      </c>
      <c r="AM254">
        <f t="shared" si="43"/>
        <v>18.582977897999996</v>
      </c>
      <c r="AP254" s="9"/>
      <c r="AQ254" s="22">
        <v>0.57128900000000005</v>
      </c>
      <c r="AR254" s="22">
        <v>466.745</v>
      </c>
      <c r="AS254" s="22">
        <v>-1.68243E-2</v>
      </c>
      <c r="AT254" s="22">
        <v>244</v>
      </c>
      <c r="AU254" s="22">
        <v>0.570496</v>
      </c>
      <c r="AV254">
        <f t="shared" si="44"/>
        <v>16.824300000000001</v>
      </c>
      <c r="AW254">
        <f t="shared" si="45"/>
        <v>9.6115375227000008</v>
      </c>
      <c r="AX254" s="9"/>
      <c r="AY254" s="22">
        <v>1.12869</v>
      </c>
      <c r="AZ254" s="22">
        <v>543.77</v>
      </c>
      <c r="BA254" s="22">
        <v>-1.6351299999999999E-2</v>
      </c>
      <c r="BB254" s="22">
        <v>244</v>
      </c>
      <c r="BC254" s="22">
        <v>1.1279300000000001</v>
      </c>
      <c r="BD254">
        <f t="shared" si="46"/>
        <v>16.351299999999998</v>
      </c>
      <c r="BE254">
        <f t="shared" si="47"/>
        <v>18.455548796999999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100.446</v>
      </c>
      <c r="I255" s="22">
        <v>-1.6924999999999999E-2</v>
      </c>
      <c r="J255" s="22">
        <v>245</v>
      </c>
      <c r="K255" s="22">
        <v>0.56549099999999997</v>
      </c>
      <c r="L255">
        <f t="shared" si="36"/>
        <v>16.925000000000001</v>
      </c>
      <c r="M255">
        <f t="shared" si="37"/>
        <v>9.5838489500000001</v>
      </c>
      <c r="N255" s="9"/>
      <c r="O255" s="22">
        <v>1.1337299999999999</v>
      </c>
      <c r="P255" s="22">
        <v>194.40899999999999</v>
      </c>
      <c r="Q255" s="22">
        <v>-1.6528299999999999E-2</v>
      </c>
      <c r="R255" s="22">
        <v>245</v>
      </c>
      <c r="S255" s="22">
        <v>1.1331199999999999</v>
      </c>
      <c r="T255">
        <f t="shared" si="38"/>
        <v>16.528299999999998</v>
      </c>
      <c r="U255">
        <f t="shared" si="39"/>
        <v>18.738629558999996</v>
      </c>
      <c r="X255" s="9"/>
      <c r="Y255" s="22">
        <v>0.56625400000000004</v>
      </c>
      <c r="Z255" s="22">
        <v>312.178</v>
      </c>
      <c r="AA255" s="22">
        <v>-1.6885399999999998E-2</v>
      </c>
      <c r="AB255" s="22">
        <v>245</v>
      </c>
      <c r="AC255" s="22">
        <v>0.56545999999999996</v>
      </c>
      <c r="AD255">
        <f t="shared" si="40"/>
        <v>16.885399999999997</v>
      </c>
      <c r="AE255">
        <f t="shared" si="41"/>
        <v>9.5614252915999991</v>
      </c>
      <c r="AF255" s="9"/>
      <c r="AG255" s="22">
        <v>1.1337299999999999</v>
      </c>
      <c r="AH255" s="22">
        <v>377.54399999999998</v>
      </c>
      <c r="AI255" s="22">
        <v>-1.6473399999999999E-2</v>
      </c>
      <c r="AJ255" s="22">
        <v>245</v>
      </c>
      <c r="AK255" s="22">
        <v>1.1331199999999999</v>
      </c>
      <c r="AL255">
        <f t="shared" si="42"/>
        <v>16.473399999999998</v>
      </c>
      <c r="AM255">
        <f t="shared" si="43"/>
        <v>18.676387781999995</v>
      </c>
      <c r="AP255" s="9"/>
      <c r="AQ255" s="22">
        <v>0.56625400000000004</v>
      </c>
      <c r="AR255" s="22">
        <v>466.846</v>
      </c>
      <c r="AS255" s="22">
        <v>-1.6818199999999998E-2</v>
      </c>
      <c r="AT255" s="22">
        <v>245</v>
      </c>
      <c r="AU255" s="22">
        <v>0.56555200000000005</v>
      </c>
      <c r="AV255">
        <f t="shared" si="44"/>
        <v>16.818199999999997</v>
      </c>
      <c r="AW255">
        <f t="shared" si="45"/>
        <v>9.5233730227999995</v>
      </c>
      <c r="AX255" s="9"/>
      <c r="AY255" s="22">
        <v>1.1337299999999999</v>
      </c>
      <c r="AZ255" s="22">
        <v>543.87099999999998</v>
      </c>
      <c r="BA255" s="22">
        <v>-1.63605E-2</v>
      </c>
      <c r="BB255" s="22">
        <v>245</v>
      </c>
      <c r="BC255" s="22">
        <v>1.1325099999999999</v>
      </c>
      <c r="BD255">
        <f t="shared" si="46"/>
        <v>16.360500000000002</v>
      </c>
      <c r="BE255">
        <f t="shared" si="47"/>
        <v>18.548389665000002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100.54600000000001</v>
      </c>
      <c r="I256" s="22">
        <v>-1.69342E-2</v>
      </c>
      <c r="J256" s="22">
        <v>246</v>
      </c>
      <c r="K256" s="22">
        <v>0.56042499999999995</v>
      </c>
      <c r="L256">
        <f t="shared" si="36"/>
        <v>16.934200000000001</v>
      </c>
      <c r="M256">
        <f t="shared" si="37"/>
        <v>9.503777855600001</v>
      </c>
      <c r="N256" s="9"/>
      <c r="O256" s="22">
        <v>1.13876</v>
      </c>
      <c r="P256" s="22">
        <v>194.51</v>
      </c>
      <c r="Q256" s="22">
        <v>-1.6507000000000001E-2</v>
      </c>
      <c r="R256" s="22">
        <v>246</v>
      </c>
      <c r="S256" s="22">
        <v>1.1376999999999999</v>
      </c>
      <c r="T256">
        <f t="shared" si="38"/>
        <v>16.507000000000001</v>
      </c>
      <c r="U256">
        <f t="shared" si="39"/>
        <v>18.797511320000002</v>
      </c>
      <c r="X256" s="9"/>
      <c r="Y256" s="22">
        <v>0.56121799999999999</v>
      </c>
      <c r="Z256" s="22">
        <v>312.279</v>
      </c>
      <c r="AA256" s="22">
        <v>-1.6897599999999999E-2</v>
      </c>
      <c r="AB256" s="22">
        <v>246</v>
      </c>
      <c r="AC256" s="22">
        <v>0.56057699999999999</v>
      </c>
      <c r="AD256">
        <f t="shared" si="40"/>
        <v>16.897599999999997</v>
      </c>
      <c r="AE256">
        <f t="shared" si="41"/>
        <v>9.4832372767999988</v>
      </c>
      <c r="AF256" s="9"/>
      <c r="AG256" s="22">
        <v>1.13876</v>
      </c>
      <c r="AH256" s="22">
        <v>377.64499999999998</v>
      </c>
      <c r="AI256" s="22">
        <v>-1.64581E-2</v>
      </c>
      <c r="AJ256" s="22">
        <v>246</v>
      </c>
      <c r="AK256" s="22">
        <v>1.1379999999999999</v>
      </c>
      <c r="AL256">
        <f t="shared" si="42"/>
        <v>16.458099999999998</v>
      </c>
      <c r="AM256">
        <f t="shared" si="43"/>
        <v>18.741825956</v>
      </c>
      <c r="AP256" s="9"/>
      <c r="AQ256" s="22">
        <v>0.56121799999999999</v>
      </c>
      <c r="AR256" s="22">
        <v>466.947</v>
      </c>
      <c r="AS256" s="22">
        <v>-1.6830399999999999E-2</v>
      </c>
      <c r="AT256" s="22">
        <v>246</v>
      </c>
      <c r="AU256" s="22">
        <v>0.560608</v>
      </c>
      <c r="AV256">
        <f t="shared" si="44"/>
        <v>16.830399999999997</v>
      </c>
      <c r="AW256">
        <f t="shared" si="45"/>
        <v>9.4455234271999977</v>
      </c>
      <c r="AX256" s="9"/>
      <c r="AY256" s="22">
        <v>1.13876</v>
      </c>
      <c r="AZ256" s="22">
        <v>543.97199999999998</v>
      </c>
      <c r="BA256" s="22">
        <v>-1.6336099999999999E-2</v>
      </c>
      <c r="BB256" s="22">
        <v>246</v>
      </c>
      <c r="BC256" s="22">
        <v>1.1379999999999999</v>
      </c>
      <c r="BD256">
        <f t="shared" si="46"/>
        <v>16.336099999999998</v>
      </c>
      <c r="BE256">
        <f t="shared" si="47"/>
        <v>18.602897235999997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100.64700000000001</v>
      </c>
      <c r="I257" s="22">
        <v>-1.6937299999999999E-2</v>
      </c>
      <c r="J257" s="22">
        <v>247</v>
      </c>
      <c r="K257" s="22">
        <v>0.55545</v>
      </c>
      <c r="L257">
        <f t="shared" si="36"/>
        <v>16.9373</v>
      </c>
      <c r="M257">
        <f t="shared" si="37"/>
        <v>9.4202383258999998</v>
      </c>
      <c r="N257" s="9"/>
      <c r="O257" s="22">
        <v>1.1437999999999999</v>
      </c>
      <c r="P257" s="22">
        <v>194.61099999999999</v>
      </c>
      <c r="Q257" s="22">
        <v>-1.6516099999999999E-2</v>
      </c>
      <c r="R257" s="22">
        <v>247</v>
      </c>
      <c r="S257" s="22">
        <v>1.1428799999999999</v>
      </c>
      <c r="T257">
        <f t="shared" si="38"/>
        <v>16.516099999999998</v>
      </c>
      <c r="U257">
        <f t="shared" si="39"/>
        <v>18.891115179999996</v>
      </c>
      <c r="X257" s="9"/>
      <c r="Y257" s="22">
        <v>0.55618299999999998</v>
      </c>
      <c r="Z257" s="22">
        <v>312.38</v>
      </c>
      <c r="AA257" s="22">
        <v>-1.68915E-2</v>
      </c>
      <c r="AB257" s="22">
        <v>247</v>
      </c>
      <c r="AC257" s="22">
        <v>0.555481</v>
      </c>
      <c r="AD257">
        <f t="shared" si="40"/>
        <v>16.891500000000001</v>
      </c>
      <c r="AE257">
        <f t="shared" si="41"/>
        <v>9.3947651445000009</v>
      </c>
      <c r="AF257" s="9"/>
      <c r="AG257" s="22">
        <v>1.1437999999999999</v>
      </c>
      <c r="AH257" s="22">
        <v>377.74599999999998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0.55618299999999998</v>
      </c>
      <c r="AR257" s="22">
        <v>467.04700000000003</v>
      </c>
      <c r="AS257" s="22">
        <v>-1.6842699999999999E-2</v>
      </c>
      <c r="AT257" s="22">
        <v>247</v>
      </c>
      <c r="AU257" s="22">
        <v>0.55551099999999998</v>
      </c>
      <c r="AV257">
        <f t="shared" si="44"/>
        <v>16.842699999999997</v>
      </c>
      <c r="AW257">
        <f t="shared" si="45"/>
        <v>9.3676234140999988</v>
      </c>
      <c r="AX257" s="9"/>
      <c r="AY257" s="22">
        <v>1.1437999999999999</v>
      </c>
      <c r="AZ257" s="22">
        <v>544.072</v>
      </c>
      <c r="BA257" s="22">
        <v>-1.6326899999999998E-2</v>
      </c>
      <c r="BB257" s="22">
        <v>247</v>
      </c>
      <c r="BC257" s="22">
        <v>1.1425799999999999</v>
      </c>
      <c r="BD257">
        <f t="shared" si="46"/>
        <v>16.326899999999998</v>
      </c>
      <c r="BE257">
        <f t="shared" si="47"/>
        <v>18.674708219999996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100.748</v>
      </c>
      <c r="I258" s="22">
        <v>-1.6949499999999999E-2</v>
      </c>
      <c r="J258" s="22">
        <v>248</v>
      </c>
      <c r="K258" s="22">
        <v>0.55044599999999999</v>
      </c>
      <c r="L258">
        <f t="shared" si="36"/>
        <v>16.9495</v>
      </c>
      <c r="M258">
        <f t="shared" si="37"/>
        <v>9.341666076500001</v>
      </c>
      <c r="N258" s="9"/>
      <c r="O258" s="22">
        <v>1.14883</v>
      </c>
      <c r="P258" s="22">
        <v>194.71100000000001</v>
      </c>
      <c r="Q258" s="22">
        <v>-1.6513099999999999E-2</v>
      </c>
      <c r="R258" s="22">
        <v>248</v>
      </c>
      <c r="S258" s="22">
        <v>1.14838</v>
      </c>
      <c r="T258">
        <f t="shared" si="38"/>
        <v>16.513099999999998</v>
      </c>
      <c r="U258">
        <f t="shared" si="39"/>
        <v>18.970744672999999</v>
      </c>
      <c r="X258" s="9"/>
      <c r="Y258" s="22">
        <v>0.55114700000000005</v>
      </c>
      <c r="Z258" s="22">
        <v>312.48</v>
      </c>
      <c r="AA258" s="22">
        <v>-1.6888400000000001E-2</v>
      </c>
      <c r="AB258" s="22">
        <v>248</v>
      </c>
      <c r="AC258" s="22">
        <v>0.55047599999999997</v>
      </c>
      <c r="AD258">
        <f t="shared" si="40"/>
        <v>16.888400000000001</v>
      </c>
      <c r="AE258">
        <f t="shared" si="41"/>
        <v>9.3079909948000008</v>
      </c>
      <c r="AF258" s="9"/>
      <c r="AG258" s="22">
        <v>1.14883</v>
      </c>
      <c r="AH258" s="22">
        <v>377.846</v>
      </c>
      <c r="AI258" s="22">
        <v>-1.64429E-2</v>
      </c>
      <c r="AJ258" s="22">
        <v>248</v>
      </c>
      <c r="AK258" s="22">
        <v>1.1480699999999999</v>
      </c>
      <c r="AL258">
        <f t="shared" si="42"/>
        <v>16.442900000000002</v>
      </c>
      <c r="AM258">
        <f t="shared" si="43"/>
        <v>18.890096807000003</v>
      </c>
      <c r="AP258" s="9"/>
      <c r="AQ258" s="22">
        <v>0.55114700000000005</v>
      </c>
      <c r="AR258" s="22">
        <v>467.14800000000002</v>
      </c>
      <c r="AS258" s="22">
        <v>-1.6818199999999998E-2</v>
      </c>
      <c r="AT258" s="22">
        <v>248</v>
      </c>
      <c r="AU258" s="22">
        <v>0.55044599999999999</v>
      </c>
      <c r="AV258">
        <f t="shared" si="44"/>
        <v>16.818199999999997</v>
      </c>
      <c r="AW258">
        <f t="shared" si="45"/>
        <v>9.2693004753999997</v>
      </c>
      <c r="AX258" s="9"/>
      <c r="AY258" s="22">
        <v>1.14883</v>
      </c>
      <c r="AZ258" s="22">
        <v>544.173</v>
      </c>
      <c r="BA258" s="22">
        <v>-1.6311599999999999E-2</v>
      </c>
      <c r="BB258" s="22">
        <v>248</v>
      </c>
      <c r="BC258" s="22">
        <v>1.14777</v>
      </c>
      <c r="BD258">
        <f t="shared" si="46"/>
        <v>16.311599999999999</v>
      </c>
      <c r="BE258">
        <f t="shared" si="47"/>
        <v>18.739255428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100.849</v>
      </c>
      <c r="I259" s="22">
        <v>-1.6943400000000001E-2</v>
      </c>
      <c r="J259" s="22">
        <v>249</v>
      </c>
      <c r="K259" s="22">
        <v>0.54540999999999995</v>
      </c>
      <c r="L259">
        <f t="shared" si="36"/>
        <v>16.9434</v>
      </c>
      <c r="M259">
        <f t="shared" si="37"/>
        <v>9.2529940608000008</v>
      </c>
      <c r="N259" s="9"/>
      <c r="O259" s="22">
        <v>1.15387</v>
      </c>
      <c r="P259" s="22">
        <v>194.81200000000001</v>
      </c>
      <c r="Q259" s="22">
        <v>-1.65253E-2</v>
      </c>
      <c r="R259" s="22">
        <v>249</v>
      </c>
      <c r="S259" s="22">
        <v>1.15265</v>
      </c>
      <c r="T259">
        <f t="shared" si="38"/>
        <v>16.525300000000001</v>
      </c>
      <c r="U259">
        <f t="shared" si="39"/>
        <v>19.068047911000001</v>
      </c>
      <c r="X259" s="9"/>
      <c r="Y259" s="22">
        <v>0.54611200000000004</v>
      </c>
      <c r="Z259" s="22">
        <v>312.58100000000002</v>
      </c>
      <c r="AA259" s="22">
        <v>-1.68915E-2</v>
      </c>
      <c r="AB259" s="22">
        <v>249</v>
      </c>
      <c r="AC259" s="22">
        <v>0.54540999999999995</v>
      </c>
      <c r="AD259">
        <f t="shared" si="40"/>
        <v>16.891500000000001</v>
      </c>
      <c r="AE259">
        <f t="shared" si="41"/>
        <v>9.2246508480000013</v>
      </c>
      <c r="AF259" s="9"/>
      <c r="AG259" s="22">
        <v>1.15387</v>
      </c>
      <c r="AH259" s="22">
        <v>377.947</v>
      </c>
      <c r="AI259" s="22">
        <v>-1.6418499999999999E-2</v>
      </c>
      <c r="AJ259" s="22">
        <v>249</v>
      </c>
      <c r="AK259" s="22">
        <v>1.1535599999999999</v>
      </c>
      <c r="AL259">
        <f t="shared" si="42"/>
        <v>16.418499999999998</v>
      </c>
      <c r="AM259">
        <f t="shared" si="43"/>
        <v>18.944814594999997</v>
      </c>
      <c r="AP259" s="9"/>
      <c r="AQ259" s="22">
        <v>0.54611200000000004</v>
      </c>
      <c r="AR259" s="22">
        <v>467.24900000000002</v>
      </c>
      <c r="AS259" s="22">
        <v>-1.6830399999999999E-2</v>
      </c>
      <c r="AT259" s="22">
        <v>249</v>
      </c>
      <c r="AU259" s="22">
        <v>0.54537999999999998</v>
      </c>
      <c r="AV259">
        <f t="shared" si="44"/>
        <v>16.830399999999997</v>
      </c>
      <c r="AW259">
        <f t="shared" si="45"/>
        <v>9.1912834048000001</v>
      </c>
      <c r="AX259" s="9"/>
      <c r="AY259" s="22">
        <v>1.15387</v>
      </c>
      <c r="AZ259" s="22">
        <v>544.274</v>
      </c>
      <c r="BA259" s="22">
        <v>-1.6308599999999999E-2</v>
      </c>
      <c r="BB259" s="22">
        <v>249</v>
      </c>
      <c r="BC259" s="22">
        <v>1.1529499999999999</v>
      </c>
      <c r="BD259">
        <f t="shared" si="46"/>
        <v>16.308599999999998</v>
      </c>
      <c r="BE259">
        <f t="shared" si="47"/>
        <v>18.818004281999997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100.949</v>
      </c>
      <c r="I260" s="22">
        <v>-1.6949499999999999E-2</v>
      </c>
      <c r="J260" s="22">
        <v>250</v>
      </c>
      <c r="K260" s="22">
        <v>0.54043600000000003</v>
      </c>
      <c r="L260">
        <f t="shared" si="36"/>
        <v>16.9495</v>
      </c>
      <c r="M260">
        <f t="shared" si="37"/>
        <v>9.1709846115000015</v>
      </c>
      <c r="N260" s="9"/>
      <c r="O260" s="22">
        <v>1.1589100000000001</v>
      </c>
      <c r="P260" s="22">
        <v>194.91300000000001</v>
      </c>
      <c r="Q260" s="22">
        <v>-1.6500899999999999E-2</v>
      </c>
      <c r="R260" s="22">
        <v>250</v>
      </c>
      <c r="S260" s="22">
        <v>1.1581399999999999</v>
      </c>
      <c r="T260">
        <f t="shared" si="38"/>
        <v>16.500899999999998</v>
      </c>
      <c r="U260">
        <f t="shared" si="39"/>
        <v>19.123058018999998</v>
      </c>
      <c r="X260" s="9"/>
      <c r="Y260" s="22">
        <v>0.54107700000000003</v>
      </c>
      <c r="Z260" s="22">
        <v>312.68200000000002</v>
      </c>
      <c r="AA260" s="22">
        <v>-1.6885399999999998E-2</v>
      </c>
      <c r="AB260" s="22">
        <v>250</v>
      </c>
      <c r="AC260" s="22">
        <v>0.54037500000000005</v>
      </c>
      <c r="AD260">
        <f t="shared" si="40"/>
        <v>16.885399999999997</v>
      </c>
      <c r="AE260">
        <f t="shared" si="41"/>
        <v>9.1363015757999992</v>
      </c>
      <c r="AF260" s="9"/>
      <c r="AG260" s="22">
        <v>1.1589100000000001</v>
      </c>
      <c r="AH260" s="22">
        <v>378.048</v>
      </c>
      <c r="AI260" s="22">
        <v>-1.64032E-2</v>
      </c>
      <c r="AJ260" s="22">
        <v>250</v>
      </c>
      <c r="AK260" s="22">
        <v>1.15784</v>
      </c>
      <c r="AL260">
        <f t="shared" si="42"/>
        <v>16.403199999999998</v>
      </c>
      <c r="AM260">
        <f t="shared" si="43"/>
        <v>19.009832511999999</v>
      </c>
      <c r="AP260" s="9"/>
      <c r="AQ260" s="22">
        <v>0.54107700000000003</v>
      </c>
      <c r="AR260" s="22">
        <v>467.34899999999999</v>
      </c>
      <c r="AS260" s="22">
        <v>-1.6818199999999998E-2</v>
      </c>
      <c r="AT260" s="22">
        <v>250</v>
      </c>
      <c r="AU260" s="22">
        <v>0.54037500000000005</v>
      </c>
      <c r="AV260">
        <f t="shared" si="44"/>
        <v>16.818199999999997</v>
      </c>
      <c r="AW260">
        <f t="shared" si="45"/>
        <v>9.0999412013999983</v>
      </c>
      <c r="AX260" s="9"/>
      <c r="AY260" s="22">
        <v>1.1589100000000001</v>
      </c>
      <c r="AZ260" s="22">
        <v>544.375</v>
      </c>
      <c r="BA260" s="22">
        <v>-1.6287200000000002E-2</v>
      </c>
      <c r="BB260" s="22">
        <v>250</v>
      </c>
      <c r="BC260" s="22">
        <v>1.15784</v>
      </c>
      <c r="BD260">
        <f t="shared" si="46"/>
        <v>16.287200000000002</v>
      </c>
      <c r="BE260">
        <f t="shared" si="47"/>
        <v>18.875398952000005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101.05</v>
      </c>
      <c r="I261" s="22">
        <v>-1.6940299999999998E-2</v>
      </c>
      <c r="J261" s="22">
        <v>251</v>
      </c>
      <c r="K261" s="22">
        <v>0.53533900000000001</v>
      </c>
      <c r="L261">
        <f t="shared" si="36"/>
        <v>16.940299999999997</v>
      </c>
      <c r="M261">
        <f t="shared" si="37"/>
        <v>9.0806953522999976</v>
      </c>
      <c r="N261" s="9"/>
      <c r="O261" s="22">
        <v>1.16394</v>
      </c>
      <c r="P261" s="22">
        <v>195.01400000000001</v>
      </c>
      <c r="Q261" s="22">
        <v>-1.6491700000000001E-2</v>
      </c>
      <c r="R261" s="22">
        <v>251</v>
      </c>
      <c r="S261" s="22">
        <v>1.16272</v>
      </c>
      <c r="T261">
        <f t="shared" si="38"/>
        <v>16.491700000000002</v>
      </c>
      <c r="U261">
        <f t="shared" si="39"/>
        <v>19.195349298</v>
      </c>
      <c r="X261" s="9"/>
      <c r="Y261" s="22">
        <v>0.53604099999999999</v>
      </c>
      <c r="Z261" s="22">
        <v>312.78300000000002</v>
      </c>
      <c r="AA261" s="22">
        <v>-1.6900600000000002E-2</v>
      </c>
      <c r="AB261" s="22">
        <v>251</v>
      </c>
      <c r="AC261" s="22">
        <v>0.53533900000000001</v>
      </c>
      <c r="AD261">
        <f t="shared" si="40"/>
        <v>16.900600000000001</v>
      </c>
      <c r="AE261">
        <f t="shared" si="41"/>
        <v>9.0594145246000011</v>
      </c>
      <c r="AF261" s="9"/>
      <c r="AG261" s="22">
        <v>1.16394</v>
      </c>
      <c r="AH261" s="22">
        <v>378.149</v>
      </c>
      <c r="AI261" s="22">
        <v>-1.6409300000000002E-2</v>
      </c>
      <c r="AJ261" s="22">
        <v>251</v>
      </c>
      <c r="AK261" s="22">
        <v>1.1630199999999999</v>
      </c>
      <c r="AL261">
        <f t="shared" si="42"/>
        <v>16.409300000000002</v>
      </c>
      <c r="AM261">
        <f t="shared" si="43"/>
        <v>19.099440642000001</v>
      </c>
      <c r="AP261" s="9"/>
      <c r="AQ261" s="22">
        <v>0.53604099999999999</v>
      </c>
      <c r="AR261" s="22">
        <v>467.45</v>
      </c>
      <c r="AS261" s="22">
        <v>-1.68243E-2</v>
      </c>
      <c r="AT261" s="22">
        <v>251</v>
      </c>
      <c r="AU261" s="22">
        <v>0.53533900000000001</v>
      </c>
      <c r="AV261">
        <f t="shared" si="44"/>
        <v>16.824300000000001</v>
      </c>
      <c r="AW261">
        <f t="shared" si="45"/>
        <v>9.0185145963000011</v>
      </c>
      <c r="AX261" s="9"/>
      <c r="AY261" s="22">
        <v>1.16394</v>
      </c>
      <c r="AZ261" s="22">
        <v>544.47500000000002</v>
      </c>
      <c r="BA261" s="22">
        <v>-1.6290300000000001E-2</v>
      </c>
      <c r="BB261" s="22">
        <v>251</v>
      </c>
      <c r="BC261" s="22">
        <v>1.1630199999999999</v>
      </c>
      <c r="BD261">
        <f t="shared" si="46"/>
        <v>16.290300000000002</v>
      </c>
      <c r="BE261">
        <f t="shared" si="47"/>
        <v>18.960931782000003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101.151</v>
      </c>
      <c r="I262" s="22">
        <v>-1.69617E-2</v>
      </c>
      <c r="J262" s="22">
        <v>252</v>
      </c>
      <c r="K262" s="22">
        <v>0.53021200000000002</v>
      </c>
      <c r="L262">
        <f t="shared" si="36"/>
        <v>16.9617</v>
      </c>
      <c r="M262">
        <f t="shared" si="37"/>
        <v>9.0067644702000003</v>
      </c>
      <c r="N262" s="9"/>
      <c r="O262" s="22">
        <v>1.1689799999999999</v>
      </c>
      <c r="P262" s="22">
        <v>195.114</v>
      </c>
      <c r="Q262" s="22">
        <v>-1.6491700000000001E-2</v>
      </c>
      <c r="R262" s="22">
        <v>252</v>
      </c>
      <c r="S262" s="22">
        <v>1.1676</v>
      </c>
      <c r="T262">
        <f t="shared" si="38"/>
        <v>16.491700000000002</v>
      </c>
      <c r="U262">
        <f t="shared" si="39"/>
        <v>19.278467465999999</v>
      </c>
      <c r="X262" s="9"/>
      <c r="Y262" s="22">
        <v>0.53100599999999998</v>
      </c>
      <c r="Z262" s="22">
        <v>312.88299999999998</v>
      </c>
      <c r="AA262" s="22">
        <v>-1.6888400000000001E-2</v>
      </c>
      <c r="AB262" s="22">
        <v>252</v>
      </c>
      <c r="AC262" s="22">
        <v>0.530304</v>
      </c>
      <c r="AD262">
        <f t="shared" si="40"/>
        <v>16.888400000000001</v>
      </c>
      <c r="AE262">
        <f t="shared" si="41"/>
        <v>8.9678417304</v>
      </c>
      <c r="AF262" s="9"/>
      <c r="AG262" s="22">
        <v>1.1689799999999999</v>
      </c>
      <c r="AH262" s="22">
        <v>378.24900000000002</v>
      </c>
      <c r="AI262" s="22">
        <v>-1.6397100000000001E-2</v>
      </c>
      <c r="AJ262" s="22">
        <v>252</v>
      </c>
      <c r="AK262" s="22">
        <v>1.16852</v>
      </c>
      <c r="AL262">
        <f t="shared" si="42"/>
        <v>16.397100000000002</v>
      </c>
      <c r="AM262">
        <f t="shared" si="43"/>
        <v>19.167881957999999</v>
      </c>
      <c r="AP262" s="9"/>
      <c r="AQ262" s="22">
        <v>0.53100599999999998</v>
      </c>
      <c r="AR262" s="22">
        <v>467.55099999999999</v>
      </c>
      <c r="AS262" s="22">
        <v>-1.6830399999999999E-2</v>
      </c>
      <c r="AT262" s="22">
        <v>252</v>
      </c>
      <c r="AU262" s="22">
        <v>0.530304</v>
      </c>
      <c r="AV262">
        <f t="shared" si="44"/>
        <v>16.830399999999997</v>
      </c>
      <c r="AW262">
        <f t="shared" si="45"/>
        <v>8.9370433823999988</v>
      </c>
      <c r="AX262" s="9"/>
      <c r="AY262" s="22">
        <v>1.1689799999999999</v>
      </c>
      <c r="AZ262" s="22">
        <v>544.57600000000002</v>
      </c>
      <c r="BA262" s="22">
        <v>-1.6302500000000001E-2</v>
      </c>
      <c r="BB262" s="22">
        <v>252</v>
      </c>
      <c r="BC262" s="22">
        <v>1.16821</v>
      </c>
      <c r="BD262">
        <f t="shared" si="46"/>
        <v>16.302500000000002</v>
      </c>
      <c r="BE262">
        <f t="shared" si="47"/>
        <v>19.057296449999999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101.251</v>
      </c>
      <c r="I263" s="22">
        <v>-1.6958600000000001E-2</v>
      </c>
      <c r="J263" s="22">
        <v>253</v>
      </c>
      <c r="K263" s="22">
        <v>0.52529899999999996</v>
      </c>
      <c r="L263">
        <f t="shared" si="36"/>
        <v>16.958600000000001</v>
      </c>
      <c r="M263">
        <f t="shared" si="37"/>
        <v>8.9197148420000012</v>
      </c>
      <c r="N263" s="9"/>
      <c r="O263" s="22">
        <v>1.17401</v>
      </c>
      <c r="P263" s="22">
        <v>195.215</v>
      </c>
      <c r="Q263" s="22">
        <v>-1.6467300000000001E-2</v>
      </c>
      <c r="R263" s="22">
        <v>253</v>
      </c>
      <c r="S263" s="22">
        <v>1.1734</v>
      </c>
      <c r="T263">
        <f t="shared" si="38"/>
        <v>16.467300000000002</v>
      </c>
      <c r="U263">
        <f t="shared" si="39"/>
        <v>19.332774873000002</v>
      </c>
      <c r="X263" s="9"/>
      <c r="Y263" s="22">
        <v>0.52597000000000005</v>
      </c>
      <c r="Z263" s="22">
        <v>312.98399999999998</v>
      </c>
      <c r="AA263" s="22">
        <v>-1.68915E-2</v>
      </c>
      <c r="AB263" s="22">
        <v>253</v>
      </c>
      <c r="AC263" s="22">
        <v>0.52529899999999996</v>
      </c>
      <c r="AD263">
        <f t="shared" si="40"/>
        <v>16.891500000000001</v>
      </c>
      <c r="AE263">
        <f t="shared" si="41"/>
        <v>8.8844222550000005</v>
      </c>
      <c r="AF263" s="9"/>
      <c r="AG263" s="22">
        <v>1.17401</v>
      </c>
      <c r="AH263" s="22">
        <v>378.35</v>
      </c>
      <c r="AI263" s="22">
        <v>-1.64032E-2</v>
      </c>
      <c r="AJ263" s="22">
        <v>253</v>
      </c>
      <c r="AK263" s="22">
        <v>1.1731</v>
      </c>
      <c r="AL263">
        <f t="shared" si="42"/>
        <v>16.403199999999998</v>
      </c>
      <c r="AM263">
        <f t="shared" si="43"/>
        <v>19.257520831999997</v>
      </c>
      <c r="AP263" s="9"/>
      <c r="AQ263" s="22">
        <v>0.52597000000000005</v>
      </c>
      <c r="AR263" s="22">
        <v>467.65100000000001</v>
      </c>
      <c r="AS263" s="22">
        <v>-1.68396E-2</v>
      </c>
      <c r="AT263" s="22">
        <v>253</v>
      </c>
      <c r="AU263" s="22">
        <v>0.525146</v>
      </c>
      <c r="AV263">
        <f t="shared" si="44"/>
        <v>16.839600000000001</v>
      </c>
      <c r="AW263">
        <f t="shared" si="45"/>
        <v>8.857124412000001</v>
      </c>
      <c r="AX263" s="9"/>
      <c r="AY263" s="22">
        <v>1.17401</v>
      </c>
      <c r="AZ263" s="22">
        <v>544.67700000000002</v>
      </c>
      <c r="BA263" s="22">
        <v>-1.6290300000000001E-2</v>
      </c>
      <c r="BB263" s="22">
        <v>253</v>
      </c>
      <c r="BC263" s="22">
        <v>1.1731</v>
      </c>
      <c r="BD263">
        <f t="shared" si="46"/>
        <v>16.290300000000002</v>
      </c>
      <c r="BE263">
        <f t="shared" si="47"/>
        <v>19.124975103000001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101.352</v>
      </c>
      <c r="I264" s="22">
        <v>-1.6964699999999999E-2</v>
      </c>
      <c r="J264" s="22">
        <v>254</v>
      </c>
      <c r="K264" s="22">
        <v>0.52020299999999997</v>
      </c>
      <c r="L264">
        <f t="shared" si="36"/>
        <v>16.964700000000001</v>
      </c>
      <c r="M264">
        <f t="shared" si="37"/>
        <v>8.8375059945000007</v>
      </c>
      <c r="N264" s="9"/>
      <c r="O264" s="22">
        <v>1.1790499999999999</v>
      </c>
      <c r="P264" s="22">
        <v>195.316</v>
      </c>
      <c r="Q264" s="22">
        <v>-1.6461199999999999E-2</v>
      </c>
      <c r="R264" s="22">
        <v>254</v>
      </c>
      <c r="S264" s="22">
        <v>1.17798</v>
      </c>
      <c r="T264">
        <f t="shared" si="38"/>
        <v>16.461199999999998</v>
      </c>
      <c r="U264">
        <f t="shared" si="39"/>
        <v>19.408577859999998</v>
      </c>
      <c r="X264" s="9"/>
      <c r="Y264" s="22">
        <v>0.52093500000000004</v>
      </c>
      <c r="Z264" s="22">
        <v>313.08499999999998</v>
      </c>
      <c r="AA264" s="22">
        <v>-1.6897599999999999E-2</v>
      </c>
      <c r="AB264" s="22">
        <v>254</v>
      </c>
      <c r="AC264" s="22">
        <v>0.52020299999999997</v>
      </c>
      <c r="AD264">
        <f t="shared" si="40"/>
        <v>16.897599999999997</v>
      </c>
      <c r="AE264">
        <f t="shared" si="41"/>
        <v>8.8025512559999992</v>
      </c>
      <c r="AF264" s="9"/>
      <c r="AG264" s="22">
        <v>1.1790499999999999</v>
      </c>
      <c r="AH264" s="22">
        <v>378.45100000000002</v>
      </c>
      <c r="AI264" s="22">
        <v>-1.64032E-2</v>
      </c>
      <c r="AJ264" s="22">
        <v>254</v>
      </c>
      <c r="AK264" s="22">
        <v>1.17828</v>
      </c>
      <c r="AL264">
        <f t="shared" si="42"/>
        <v>16.403199999999998</v>
      </c>
      <c r="AM264">
        <f t="shared" si="43"/>
        <v>19.340192959999996</v>
      </c>
      <c r="AP264" s="9"/>
      <c r="AQ264" s="22">
        <v>0.52093500000000004</v>
      </c>
      <c r="AR264" s="22">
        <v>467.75200000000001</v>
      </c>
      <c r="AS264" s="22">
        <v>-1.6833500000000001E-2</v>
      </c>
      <c r="AT264" s="22">
        <v>254</v>
      </c>
      <c r="AU264" s="22">
        <v>0.52026399999999995</v>
      </c>
      <c r="AV264">
        <f t="shared" si="44"/>
        <v>16.833500000000001</v>
      </c>
      <c r="AW264">
        <f t="shared" si="45"/>
        <v>8.7691593225000002</v>
      </c>
      <c r="AX264" s="9"/>
      <c r="AY264" s="22">
        <v>1.1790499999999999</v>
      </c>
      <c r="AZ264" s="22">
        <v>544.77700000000004</v>
      </c>
      <c r="BA264" s="22">
        <v>-1.6290300000000001E-2</v>
      </c>
      <c r="BB264" s="22">
        <v>254</v>
      </c>
      <c r="BC264" s="22">
        <v>1.17798</v>
      </c>
      <c r="BD264">
        <f t="shared" si="46"/>
        <v>16.290300000000002</v>
      </c>
      <c r="BE264">
        <f t="shared" si="47"/>
        <v>19.207078215000003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101.453</v>
      </c>
      <c r="I265" s="22">
        <v>-1.6967800000000002E-2</v>
      </c>
      <c r="J265" s="22">
        <v>255</v>
      </c>
      <c r="K265" s="22">
        <v>0.51522800000000002</v>
      </c>
      <c r="L265">
        <f t="shared" si="36"/>
        <v>16.9678</v>
      </c>
      <c r="M265">
        <f t="shared" si="37"/>
        <v>8.7536880200000002</v>
      </c>
      <c r="N265" s="9"/>
      <c r="O265" s="22">
        <v>1.18408</v>
      </c>
      <c r="P265" s="22">
        <v>195.416</v>
      </c>
      <c r="Q265" s="22">
        <v>-1.6464199999999998E-2</v>
      </c>
      <c r="R265" s="22">
        <v>255</v>
      </c>
      <c r="S265" s="22">
        <v>1.18347</v>
      </c>
      <c r="T265">
        <f t="shared" si="38"/>
        <v>16.464199999999998</v>
      </c>
      <c r="U265">
        <f t="shared" si="39"/>
        <v>19.494929935999998</v>
      </c>
      <c r="X265" s="9"/>
      <c r="Y265" s="22">
        <v>0.51590000000000003</v>
      </c>
      <c r="Z265" s="22">
        <v>313.185</v>
      </c>
      <c r="AA265" s="22">
        <v>-1.69067E-2</v>
      </c>
      <c r="AB265" s="22">
        <v>255</v>
      </c>
      <c r="AC265" s="22">
        <v>0.51525900000000002</v>
      </c>
      <c r="AD265">
        <f t="shared" si="40"/>
        <v>16.906700000000001</v>
      </c>
      <c r="AE265">
        <f t="shared" si="41"/>
        <v>8.7221665300000009</v>
      </c>
      <c r="AF265" s="9"/>
      <c r="AG265" s="22">
        <v>1.18408</v>
      </c>
      <c r="AH265" s="22">
        <v>378.55099999999999</v>
      </c>
      <c r="AI265" s="22">
        <v>-1.6378799999999999E-2</v>
      </c>
      <c r="AJ265" s="22">
        <v>255</v>
      </c>
      <c r="AK265" s="22">
        <v>1.18347</v>
      </c>
      <c r="AL265">
        <f t="shared" si="42"/>
        <v>16.378799999999998</v>
      </c>
      <c r="AM265">
        <f t="shared" si="43"/>
        <v>19.393809504</v>
      </c>
      <c r="AP265" s="9"/>
      <c r="AQ265" s="22">
        <v>0.51590000000000003</v>
      </c>
      <c r="AR265" s="22">
        <v>467.85300000000001</v>
      </c>
      <c r="AS265" s="22">
        <v>-1.68396E-2</v>
      </c>
      <c r="AT265" s="22">
        <v>255</v>
      </c>
      <c r="AU265" s="22">
        <v>0.51516700000000004</v>
      </c>
      <c r="AV265">
        <f t="shared" si="44"/>
        <v>16.839600000000001</v>
      </c>
      <c r="AW265">
        <f t="shared" si="45"/>
        <v>8.6875496400000003</v>
      </c>
      <c r="AX265" s="9"/>
      <c r="AY265" s="22">
        <v>1.18408</v>
      </c>
      <c r="AZ265" s="22">
        <v>544.87800000000004</v>
      </c>
      <c r="BA265" s="22">
        <v>-1.6287200000000002E-2</v>
      </c>
      <c r="BB265" s="22">
        <v>255</v>
      </c>
      <c r="BC265" s="22">
        <v>1.18347</v>
      </c>
      <c r="BD265">
        <f t="shared" si="46"/>
        <v>16.287200000000002</v>
      </c>
      <c r="BE265">
        <f t="shared" si="47"/>
        <v>19.285347776000002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101.554</v>
      </c>
      <c r="I266" s="22">
        <v>-1.6979999999999999E-2</v>
      </c>
      <c r="J266" s="22">
        <v>256</v>
      </c>
      <c r="K266" s="22">
        <v>0.510162</v>
      </c>
      <c r="L266">
        <f t="shared" si="36"/>
        <v>16.979999999999997</v>
      </c>
      <c r="M266">
        <f t="shared" si="37"/>
        <v>8.6744707199999986</v>
      </c>
      <c r="N266" s="9"/>
      <c r="O266" s="22">
        <v>1.18912</v>
      </c>
      <c r="P266" s="22">
        <v>195.517</v>
      </c>
      <c r="Q266" s="22">
        <v>-1.6461199999999999E-2</v>
      </c>
      <c r="R266" s="22">
        <v>256</v>
      </c>
      <c r="S266" s="22">
        <v>1.18835</v>
      </c>
      <c r="T266">
        <f t="shared" si="38"/>
        <v>16.461199999999998</v>
      </c>
      <c r="U266">
        <f t="shared" si="39"/>
        <v>19.574342143999996</v>
      </c>
      <c r="X266" s="9"/>
      <c r="Y266" s="22">
        <v>0.51086399999999998</v>
      </c>
      <c r="Z266" s="22">
        <v>313.286</v>
      </c>
      <c r="AA266" s="22">
        <v>-1.6922E-2</v>
      </c>
      <c r="AB266" s="22">
        <v>256</v>
      </c>
      <c r="AC266" s="22">
        <v>0.51019300000000001</v>
      </c>
      <c r="AD266">
        <f t="shared" si="40"/>
        <v>16.922000000000001</v>
      </c>
      <c r="AE266">
        <f t="shared" si="41"/>
        <v>8.6448406080000009</v>
      </c>
      <c r="AF266" s="9"/>
      <c r="AG266" s="22">
        <v>1.18912</v>
      </c>
      <c r="AH266" s="22">
        <v>378.65199999999999</v>
      </c>
      <c r="AI266" s="22">
        <v>-1.63727E-2</v>
      </c>
      <c r="AJ266" s="22">
        <v>256</v>
      </c>
      <c r="AK266" s="22">
        <v>1.1880500000000001</v>
      </c>
      <c r="AL266">
        <f t="shared" si="42"/>
        <v>16.372700000000002</v>
      </c>
      <c r="AM266">
        <f t="shared" si="43"/>
        <v>19.469105024000001</v>
      </c>
      <c r="AP266" s="9"/>
      <c r="AQ266" s="22">
        <v>0.51086399999999998</v>
      </c>
      <c r="AR266" s="22">
        <v>467.95400000000001</v>
      </c>
      <c r="AS266" s="22">
        <v>-1.6842699999999999E-2</v>
      </c>
      <c r="AT266" s="22">
        <v>256</v>
      </c>
      <c r="AU266" s="22">
        <v>0.510162</v>
      </c>
      <c r="AV266">
        <f t="shared" si="44"/>
        <v>16.842699999999997</v>
      </c>
      <c r="AW266">
        <f t="shared" si="45"/>
        <v>8.6043290927999987</v>
      </c>
      <c r="AX266" s="9"/>
      <c r="AY266" s="22">
        <v>1.18912</v>
      </c>
      <c r="AZ266" s="22">
        <v>544.97900000000004</v>
      </c>
      <c r="BA266" s="22">
        <v>-1.6296399999999999E-2</v>
      </c>
      <c r="BB266" s="22">
        <v>256</v>
      </c>
      <c r="BC266" s="22">
        <v>1.18866</v>
      </c>
      <c r="BD266">
        <f t="shared" si="46"/>
        <v>16.296399999999998</v>
      </c>
      <c r="BE266">
        <f t="shared" si="47"/>
        <v>19.378375167999998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101.654</v>
      </c>
      <c r="I267" s="22">
        <v>-1.6955600000000001E-2</v>
      </c>
      <c r="J267" s="22">
        <v>257</v>
      </c>
      <c r="K267" s="22">
        <v>0.50512699999999999</v>
      </c>
      <c r="L267">
        <f t="shared" si="36"/>
        <v>16.9556</v>
      </c>
      <c r="M267">
        <f t="shared" si="37"/>
        <v>8.5766341924000002</v>
      </c>
      <c r="N267" s="9"/>
      <c r="O267" s="22">
        <v>1.19415</v>
      </c>
      <c r="P267" s="22">
        <v>195.61799999999999</v>
      </c>
      <c r="Q267" s="22">
        <v>-1.6464199999999998E-2</v>
      </c>
      <c r="R267" s="22">
        <v>257</v>
      </c>
      <c r="S267" s="22">
        <v>1.1932400000000001</v>
      </c>
      <c r="T267">
        <f t="shared" si="38"/>
        <v>16.464199999999998</v>
      </c>
      <c r="U267">
        <f t="shared" si="39"/>
        <v>19.660724429999998</v>
      </c>
      <c r="X267" s="9"/>
      <c r="Y267" s="22">
        <v>0.50582899999999997</v>
      </c>
      <c r="Z267" s="22">
        <v>313.387</v>
      </c>
      <c r="AA267" s="22">
        <v>-1.6918900000000001E-2</v>
      </c>
      <c r="AB267" s="22">
        <v>257</v>
      </c>
      <c r="AC267" s="22">
        <v>0.50515699999999997</v>
      </c>
      <c r="AD267">
        <f t="shared" si="40"/>
        <v>16.918900000000001</v>
      </c>
      <c r="AE267">
        <f t="shared" si="41"/>
        <v>8.5580702680999998</v>
      </c>
      <c r="AF267" s="9"/>
      <c r="AG267" s="22">
        <v>1.19415</v>
      </c>
      <c r="AH267" s="22">
        <v>378.75299999999999</v>
      </c>
      <c r="AI267" s="22">
        <v>-1.6366599999999999E-2</v>
      </c>
      <c r="AJ267" s="22">
        <v>257</v>
      </c>
      <c r="AK267" s="22">
        <v>1.19354</v>
      </c>
      <c r="AL267">
        <f t="shared" si="42"/>
        <v>16.366599999999998</v>
      </c>
      <c r="AM267">
        <f t="shared" si="43"/>
        <v>19.544175389999999</v>
      </c>
      <c r="AP267" s="9"/>
      <c r="AQ267" s="22">
        <v>0.50582899999999997</v>
      </c>
      <c r="AR267" s="22">
        <v>468.05399999999997</v>
      </c>
      <c r="AS267" s="22">
        <v>-1.6854899999999999E-2</v>
      </c>
      <c r="AT267" s="22">
        <v>257</v>
      </c>
      <c r="AU267" s="22">
        <v>0.50515699999999997</v>
      </c>
      <c r="AV267">
        <f t="shared" si="44"/>
        <v>16.854900000000001</v>
      </c>
      <c r="AW267">
        <f t="shared" si="45"/>
        <v>8.5256972121000008</v>
      </c>
      <c r="AX267" s="9"/>
      <c r="AY267" s="22">
        <v>1.19415</v>
      </c>
      <c r="AZ267" s="22">
        <v>545.08000000000004</v>
      </c>
      <c r="BA267" s="22">
        <v>-1.6275000000000001E-2</v>
      </c>
      <c r="BB267" s="22">
        <v>257</v>
      </c>
      <c r="BC267" s="22">
        <v>1.1932400000000001</v>
      </c>
      <c r="BD267">
        <f t="shared" si="46"/>
        <v>16.275000000000002</v>
      </c>
      <c r="BE267">
        <f t="shared" si="47"/>
        <v>19.434791250000004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101.755</v>
      </c>
      <c r="I268" s="22">
        <v>-1.6964699999999999E-2</v>
      </c>
      <c r="J268" s="22">
        <v>258</v>
      </c>
      <c r="K268" s="22">
        <v>0.50009199999999998</v>
      </c>
      <c r="L268">
        <f t="shared" ref="L268:L331" si="48">-I268/$F$2*1000</f>
        <v>16.964700000000001</v>
      </c>
      <c r="M268">
        <f t="shared" ref="M268:M331" si="49">L268*G268</f>
        <v>8.495803007100001</v>
      </c>
      <c r="N268" s="9"/>
      <c r="O268" s="22">
        <v>1.19919</v>
      </c>
      <c r="P268" s="22">
        <v>195.71899999999999</v>
      </c>
      <c r="Q268" s="22">
        <v>-1.6461199999999999E-2</v>
      </c>
      <c r="R268" s="22">
        <v>258</v>
      </c>
      <c r="S268" s="22">
        <v>1.1984300000000001</v>
      </c>
      <c r="T268">
        <f t="shared" ref="T268:T331" si="50">-Q268/$F$2*1000</f>
        <v>16.461199999999998</v>
      </c>
      <c r="U268">
        <f t="shared" ref="U268:U331" si="51">T268*O268</f>
        <v>19.740106427999997</v>
      </c>
      <c r="X268" s="9"/>
      <c r="Y268" s="22">
        <v>0.50079300000000004</v>
      </c>
      <c r="Z268" s="22">
        <v>313.48700000000002</v>
      </c>
      <c r="AA268" s="22">
        <v>-1.69312E-2</v>
      </c>
      <c r="AB268" s="22">
        <v>258</v>
      </c>
      <c r="AC268" s="22">
        <v>0.50009199999999998</v>
      </c>
      <c r="AD268">
        <f t="shared" ref="AD268:AD331" si="52">-AA268/$F$2*1000</f>
        <v>16.9312</v>
      </c>
      <c r="AE268">
        <f t="shared" ref="AE268:AE331" si="53">AD268*Y268</f>
        <v>8.4790264416000003</v>
      </c>
      <c r="AF268" s="9"/>
      <c r="AG268" s="22">
        <v>1.19919</v>
      </c>
      <c r="AH268" s="22">
        <v>378.85399999999998</v>
      </c>
      <c r="AI268" s="22">
        <v>-1.6345200000000001E-2</v>
      </c>
      <c r="AJ268" s="22">
        <v>258</v>
      </c>
      <c r="AK268" s="22">
        <v>1.19781</v>
      </c>
      <c r="AL268">
        <f t="shared" ref="AL268:AL331" si="54">-AI268/$F$2*1000</f>
        <v>16.345200000000002</v>
      </c>
      <c r="AM268">
        <f t="shared" ref="AM268:AM331" si="55">AL268*AG268</f>
        <v>19.601000388000003</v>
      </c>
      <c r="AP268" s="9"/>
      <c r="AQ268" s="22">
        <v>0.50079300000000004</v>
      </c>
      <c r="AR268" s="22">
        <v>468.15499999999997</v>
      </c>
      <c r="AS268" s="22">
        <v>-1.68518E-2</v>
      </c>
      <c r="AT268" s="22">
        <v>258</v>
      </c>
      <c r="AU268" s="22">
        <v>0.500031</v>
      </c>
      <c r="AV268">
        <f t="shared" ref="AV268:AV331" si="56">-AS268/$F$2*1000</f>
        <v>16.851800000000001</v>
      </c>
      <c r="AW268">
        <f t="shared" ref="AW268:AW331" si="57">AV268*AQ268</f>
        <v>8.4392634774000008</v>
      </c>
      <c r="AX268" s="9"/>
      <c r="AY268" s="22">
        <v>1.19919</v>
      </c>
      <c r="AZ268" s="22">
        <v>545.17999999999995</v>
      </c>
      <c r="BA268" s="22">
        <v>-1.6271999999999998E-2</v>
      </c>
      <c r="BB268" s="22">
        <v>258</v>
      </c>
      <c r="BC268" s="22">
        <v>1.1984300000000001</v>
      </c>
      <c r="BD268">
        <f t="shared" ref="BD268:BD331" si="58">-BA268/$F$2*1000</f>
        <v>16.271999999999998</v>
      </c>
      <c r="BE268">
        <f t="shared" ref="BE268:BE331" si="59">BD268*AY268</f>
        <v>19.513219679999999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101.85599999999999</v>
      </c>
      <c r="I269" s="22">
        <v>-1.69769E-2</v>
      </c>
      <c r="J269" s="22">
        <v>259</v>
      </c>
      <c r="K269" s="22">
        <v>0.49526999999999999</v>
      </c>
      <c r="L269">
        <f t="shared" si="48"/>
        <v>16.976900000000001</v>
      </c>
      <c r="M269">
        <f t="shared" si="49"/>
        <v>8.4164339901999998</v>
      </c>
      <c r="N269" s="9"/>
      <c r="O269" s="22">
        <v>1.2042200000000001</v>
      </c>
      <c r="P269" s="22">
        <v>195.81899999999999</v>
      </c>
      <c r="Q269" s="22">
        <v>-1.64551E-2</v>
      </c>
      <c r="R269" s="22">
        <v>259</v>
      </c>
      <c r="S269" s="22">
        <v>1.2033100000000001</v>
      </c>
      <c r="T269">
        <f t="shared" si="50"/>
        <v>16.455100000000002</v>
      </c>
      <c r="U269">
        <f t="shared" si="51"/>
        <v>19.815560522000002</v>
      </c>
      <c r="X269" s="9"/>
      <c r="Y269" s="22">
        <v>0.49575799999999998</v>
      </c>
      <c r="Z269" s="22">
        <v>313.58800000000002</v>
      </c>
      <c r="AA269" s="22">
        <v>-1.6924999999999999E-2</v>
      </c>
      <c r="AB269" s="22">
        <v>259</v>
      </c>
      <c r="AC269" s="22">
        <v>0.495087</v>
      </c>
      <c r="AD269">
        <f t="shared" si="52"/>
        <v>16.925000000000001</v>
      </c>
      <c r="AE269">
        <f t="shared" si="53"/>
        <v>8.3907041499999995</v>
      </c>
      <c r="AF269" s="9"/>
      <c r="AG269" s="22">
        <v>1.2042200000000001</v>
      </c>
      <c r="AH269" s="22">
        <v>378.95400000000001</v>
      </c>
      <c r="AI269" s="22">
        <v>-1.6351299999999999E-2</v>
      </c>
      <c r="AJ269" s="22">
        <v>259</v>
      </c>
      <c r="AK269" s="22">
        <v>1.2033100000000001</v>
      </c>
      <c r="AL269">
        <f t="shared" si="54"/>
        <v>16.351299999999998</v>
      </c>
      <c r="AM269">
        <f t="shared" si="55"/>
        <v>19.690562485999997</v>
      </c>
      <c r="AP269" s="9"/>
      <c r="AQ269" s="22">
        <v>0.49575799999999998</v>
      </c>
      <c r="AR269" s="22">
        <v>468.25599999999997</v>
      </c>
      <c r="AS269" s="22">
        <v>-1.68518E-2</v>
      </c>
      <c r="AT269" s="22">
        <v>259</v>
      </c>
      <c r="AU269" s="22">
        <v>0.49511699999999997</v>
      </c>
      <c r="AV269">
        <f t="shared" si="56"/>
        <v>16.851800000000001</v>
      </c>
      <c r="AW269">
        <f t="shared" si="57"/>
        <v>8.3544146644000001</v>
      </c>
      <c r="AX269" s="9"/>
      <c r="AY269" s="22">
        <v>1.2042200000000001</v>
      </c>
      <c r="AZ269" s="22">
        <v>545.28099999999995</v>
      </c>
      <c r="BA269" s="22">
        <v>-1.6247600000000001E-2</v>
      </c>
      <c r="BB269" s="22">
        <v>259</v>
      </c>
      <c r="BC269" s="22">
        <v>1.2030000000000001</v>
      </c>
      <c r="BD269">
        <f t="shared" si="58"/>
        <v>16.247600000000002</v>
      </c>
      <c r="BE269">
        <f t="shared" si="59"/>
        <v>19.565684872000002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101.956</v>
      </c>
      <c r="I270" s="22">
        <v>-1.6995199999999999E-2</v>
      </c>
      <c r="J270" s="22">
        <v>260</v>
      </c>
      <c r="K270" s="22">
        <v>0.48998999999999998</v>
      </c>
      <c r="L270">
        <f t="shared" si="48"/>
        <v>16.995199999999997</v>
      </c>
      <c r="M270">
        <f t="shared" si="49"/>
        <v>8.3399355295999982</v>
      </c>
      <c r="N270" s="9"/>
      <c r="O270" s="22">
        <v>1.20926</v>
      </c>
      <c r="P270" s="22">
        <v>195.92</v>
      </c>
      <c r="Q270" s="22">
        <v>-1.6430699999999999E-2</v>
      </c>
      <c r="R270" s="22">
        <v>260</v>
      </c>
      <c r="S270" s="22">
        <v>1.2084999999999999</v>
      </c>
      <c r="T270">
        <f t="shared" si="50"/>
        <v>16.430699999999998</v>
      </c>
      <c r="U270">
        <f t="shared" si="51"/>
        <v>19.868988281999997</v>
      </c>
      <c r="X270" s="9"/>
      <c r="Y270" s="22">
        <v>0.49072300000000002</v>
      </c>
      <c r="Z270" s="22">
        <v>313.68900000000002</v>
      </c>
      <c r="AA270" s="22">
        <v>-1.6937299999999999E-2</v>
      </c>
      <c r="AB270" s="22">
        <v>260</v>
      </c>
      <c r="AC270" s="22">
        <v>0.49011199999999999</v>
      </c>
      <c r="AD270">
        <f t="shared" si="52"/>
        <v>16.9373</v>
      </c>
      <c r="AE270">
        <f t="shared" si="53"/>
        <v>8.3115226679000003</v>
      </c>
      <c r="AF270" s="9"/>
      <c r="AG270" s="22">
        <v>1.20926</v>
      </c>
      <c r="AH270" s="22">
        <v>379.05500000000001</v>
      </c>
      <c r="AI270" s="22">
        <v>-1.6342200000000001E-2</v>
      </c>
      <c r="AJ270" s="22">
        <v>260</v>
      </c>
      <c r="AK270" s="22">
        <v>1.2084999999999999</v>
      </c>
      <c r="AL270">
        <f t="shared" si="54"/>
        <v>16.342200000000002</v>
      </c>
      <c r="AM270">
        <f t="shared" si="55"/>
        <v>19.761968772000003</v>
      </c>
      <c r="AP270" s="9"/>
      <c r="AQ270" s="22">
        <v>0.49072300000000002</v>
      </c>
      <c r="AR270" s="22">
        <v>468.35599999999999</v>
      </c>
      <c r="AS270" s="22">
        <v>-1.6857899999999999E-2</v>
      </c>
      <c r="AT270" s="22">
        <v>260</v>
      </c>
      <c r="AU270" s="22">
        <v>0.490143</v>
      </c>
      <c r="AV270">
        <f t="shared" si="56"/>
        <v>16.857899999999997</v>
      </c>
      <c r="AW270">
        <f t="shared" si="57"/>
        <v>8.2725592616999997</v>
      </c>
      <c r="AX270" s="9"/>
      <c r="AY270" s="22">
        <v>1.20926</v>
      </c>
      <c r="AZ270" s="22">
        <v>545.38199999999995</v>
      </c>
      <c r="BA270" s="22">
        <v>-1.6235400000000001E-2</v>
      </c>
      <c r="BB270" s="22">
        <v>260</v>
      </c>
      <c r="BC270" s="22">
        <v>1.2081900000000001</v>
      </c>
      <c r="BD270">
        <f t="shared" si="58"/>
        <v>16.235400000000002</v>
      </c>
      <c r="BE270">
        <f t="shared" si="59"/>
        <v>19.632819804000004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102.057</v>
      </c>
      <c r="I271" s="22">
        <v>-1.69769E-2</v>
      </c>
      <c r="J271" s="22">
        <v>261</v>
      </c>
      <c r="K271" s="22">
        <v>0.485016</v>
      </c>
      <c r="L271">
        <f t="shared" si="48"/>
        <v>16.976900000000001</v>
      </c>
      <c r="M271">
        <f t="shared" si="49"/>
        <v>8.2454596302999992</v>
      </c>
      <c r="N271" s="9"/>
      <c r="O271" s="22">
        <v>1.2142900000000001</v>
      </c>
      <c r="P271" s="22">
        <v>196.02099999999999</v>
      </c>
      <c r="Q271" s="22">
        <v>-1.6448999999999998E-2</v>
      </c>
      <c r="R271" s="22">
        <v>261</v>
      </c>
      <c r="S271" s="22">
        <v>1.2136800000000001</v>
      </c>
      <c r="T271">
        <f t="shared" si="50"/>
        <v>16.448999999999998</v>
      </c>
      <c r="U271">
        <f t="shared" si="51"/>
        <v>19.973856209999997</v>
      </c>
      <c r="X271" s="9"/>
      <c r="Y271" s="22">
        <v>0.48568699999999998</v>
      </c>
      <c r="Z271" s="22">
        <v>313.79000000000002</v>
      </c>
      <c r="AA271" s="22">
        <v>-1.6922E-2</v>
      </c>
      <c r="AB271" s="22">
        <v>261</v>
      </c>
      <c r="AC271" s="22">
        <v>0.485016</v>
      </c>
      <c r="AD271">
        <f t="shared" si="52"/>
        <v>16.922000000000001</v>
      </c>
      <c r="AE271">
        <f t="shared" si="53"/>
        <v>8.2187954140000006</v>
      </c>
      <c r="AF271" s="9"/>
      <c r="AG271" s="22">
        <v>1.2142900000000001</v>
      </c>
      <c r="AH271" s="22">
        <v>379.15600000000001</v>
      </c>
      <c r="AI271" s="22">
        <v>-1.63605E-2</v>
      </c>
      <c r="AJ271" s="22">
        <v>261</v>
      </c>
      <c r="AK271" s="22">
        <v>1.2136800000000001</v>
      </c>
      <c r="AL271">
        <f t="shared" si="54"/>
        <v>16.360500000000002</v>
      </c>
      <c r="AM271">
        <f t="shared" si="55"/>
        <v>19.866391545000003</v>
      </c>
      <c r="AP271" s="9"/>
      <c r="AQ271" s="22">
        <v>0.48568699999999998</v>
      </c>
      <c r="AR271" s="22">
        <v>468.45699999999999</v>
      </c>
      <c r="AS271" s="22">
        <v>-1.6861000000000001E-2</v>
      </c>
      <c r="AT271" s="22">
        <v>261</v>
      </c>
      <c r="AU271" s="22">
        <v>0.48495500000000002</v>
      </c>
      <c r="AV271">
        <f t="shared" si="56"/>
        <v>16.861000000000001</v>
      </c>
      <c r="AW271">
        <f t="shared" si="57"/>
        <v>8.1891685069999998</v>
      </c>
      <c r="AX271" s="9"/>
      <c r="AY271" s="22">
        <v>1.2142900000000001</v>
      </c>
      <c r="AZ271" s="22">
        <v>545.48199999999997</v>
      </c>
      <c r="BA271" s="22">
        <v>-1.6235400000000001E-2</v>
      </c>
      <c r="BB271" s="22">
        <v>261</v>
      </c>
      <c r="BC271" s="22">
        <v>1.2130700000000001</v>
      </c>
      <c r="BD271">
        <f t="shared" si="58"/>
        <v>16.235400000000002</v>
      </c>
      <c r="BE271">
        <f t="shared" si="59"/>
        <v>19.714483866000005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102.158</v>
      </c>
      <c r="I272" s="22">
        <v>-1.69891E-2</v>
      </c>
      <c r="J272" s="22">
        <v>262</v>
      </c>
      <c r="K272" s="22">
        <v>0.47998000000000002</v>
      </c>
      <c r="L272">
        <f t="shared" si="48"/>
        <v>16.989100000000001</v>
      </c>
      <c r="M272">
        <f t="shared" si="49"/>
        <v>8.165844893200001</v>
      </c>
      <c r="N272" s="9"/>
      <c r="O272" s="22">
        <v>1.21933</v>
      </c>
      <c r="P272" s="22">
        <v>196.12100000000001</v>
      </c>
      <c r="Q272" s="22">
        <v>-1.6421499999999999E-2</v>
      </c>
      <c r="R272" s="22">
        <v>262</v>
      </c>
      <c r="S272" s="22">
        <v>1.2182599999999999</v>
      </c>
      <c r="T272">
        <f t="shared" si="50"/>
        <v>16.421499999999998</v>
      </c>
      <c r="U272">
        <f t="shared" si="51"/>
        <v>20.023227594999998</v>
      </c>
      <c r="X272" s="9"/>
      <c r="Y272" s="22">
        <v>0.48065200000000002</v>
      </c>
      <c r="Z272" s="22">
        <v>313.89</v>
      </c>
      <c r="AA272" s="22">
        <v>-1.6912799999999999E-2</v>
      </c>
      <c r="AB272" s="22">
        <v>262</v>
      </c>
      <c r="AC272" s="22">
        <v>0.48004200000000002</v>
      </c>
      <c r="AD272">
        <f t="shared" si="52"/>
        <v>16.912799999999997</v>
      </c>
      <c r="AE272">
        <f t="shared" si="53"/>
        <v>8.1291711455999991</v>
      </c>
      <c r="AF272" s="9"/>
      <c r="AG272" s="22">
        <v>1.21933</v>
      </c>
      <c r="AH272" s="22">
        <v>379.25599999999997</v>
      </c>
      <c r="AI272" s="22">
        <v>-1.6342200000000001E-2</v>
      </c>
      <c r="AJ272" s="22">
        <v>262</v>
      </c>
      <c r="AK272" s="22">
        <v>1.2188699999999999</v>
      </c>
      <c r="AL272">
        <f t="shared" si="54"/>
        <v>16.342200000000002</v>
      </c>
      <c r="AM272">
        <f t="shared" si="55"/>
        <v>19.926534726000003</v>
      </c>
      <c r="AP272" s="9"/>
      <c r="AQ272" s="22">
        <v>0.48065200000000002</v>
      </c>
      <c r="AR272" s="22">
        <v>468.55799999999999</v>
      </c>
      <c r="AS272" s="22">
        <v>-1.6873200000000001E-2</v>
      </c>
      <c r="AT272" s="22">
        <v>262</v>
      </c>
      <c r="AU272" s="22">
        <v>0.47991899999999998</v>
      </c>
      <c r="AV272">
        <f t="shared" si="56"/>
        <v>16.873200000000001</v>
      </c>
      <c r="AW272">
        <f t="shared" si="57"/>
        <v>8.1101373264000003</v>
      </c>
      <c r="AX272" s="9"/>
      <c r="AY272" s="22">
        <v>1.21933</v>
      </c>
      <c r="AZ272" s="22">
        <v>545.58299999999997</v>
      </c>
      <c r="BA272" s="22">
        <v>-1.6213999999999999E-2</v>
      </c>
      <c r="BB272" s="22">
        <v>262</v>
      </c>
      <c r="BC272" s="22">
        <v>1.2182599999999999</v>
      </c>
      <c r="BD272">
        <f t="shared" si="58"/>
        <v>16.213999999999999</v>
      </c>
      <c r="BE272">
        <f t="shared" si="59"/>
        <v>19.770216619999999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102.258</v>
      </c>
      <c r="I273" s="22">
        <v>-1.6986100000000001E-2</v>
      </c>
      <c r="J273" s="22">
        <v>263</v>
      </c>
      <c r="K273" s="22">
        <v>0.47497600000000001</v>
      </c>
      <c r="L273">
        <f t="shared" si="48"/>
        <v>16.9861</v>
      </c>
      <c r="M273">
        <f t="shared" si="49"/>
        <v>8.0788609376</v>
      </c>
      <c r="N273" s="9"/>
      <c r="O273" s="22">
        <v>1.22437</v>
      </c>
      <c r="P273" s="22">
        <v>196.22200000000001</v>
      </c>
      <c r="Q273" s="22">
        <v>-1.64154E-2</v>
      </c>
      <c r="R273" s="22">
        <v>263</v>
      </c>
      <c r="S273" s="22">
        <v>1.2231399999999999</v>
      </c>
      <c r="T273">
        <f t="shared" si="50"/>
        <v>16.415400000000002</v>
      </c>
      <c r="U273">
        <f t="shared" si="51"/>
        <v>20.098523298</v>
      </c>
      <c r="X273" s="9"/>
      <c r="Y273" s="22">
        <v>0.47561599999999998</v>
      </c>
      <c r="Z273" s="22">
        <v>313.99099999999999</v>
      </c>
      <c r="AA273" s="22">
        <v>-1.6922E-2</v>
      </c>
      <c r="AB273" s="22">
        <v>263</v>
      </c>
      <c r="AC273" s="22">
        <v>0.47497600000000001</v>
      </c>
      <c r="AD273">
        <f t="shared" si="52"/>
        <v>16.922000000000001</v>
      </c>
      <c r="AE273">
        <f t="shared" si="53"/>
        <v>8.0483739520000004</v>
      </c>
      <c r="AF273" s="9"/>
      <c r="AG273" s="22">
        <v>1.22437</v>
      </c>
      <c r="AH273" s="22">
        <v>379.35700000000003</v>
      </c>
      <c r="AI273" s="22">
        <v>-1.6345200000000001E-2</v>
      </c>
      <c r="AJ273" s="22">
        <v>263</v>
      </c>
      <c r="AK273" s="22">
        <v>1.2228399999999999</v>
      </c>
      <c r="AL273">
        <f t="shared" si="54"/>
        <v>16.345200000000002</v>
      </c>
      <c r="AM273">
        <f t="shared" si="55"/>
        <v>20.012572524000003</v>
      </c>
      <c r="AP273" s="9"/>
      <c r="AQ273" s="22">
        <v>0.47561599999999998</v>
      </c>
      <c r="AR273" s="22">
        <v>468.65899999999999</v>
      </c>
      <c r="AS273" s="22">
        <v>-1.6861000000000001E-2</v>
      </c>
      <c r="AT273" s="22">
        <v>263</v>
      </c>
      <c r="AU273" s="22">
        <v>0.47506700000000002</v>
      </c>
      <c r="AV273">
        <f t="shared" si="56"/>
        <v>16.861000000000001</v>
      </c>
      <c r="AW273">
        <f t="shared" si="57"/>
        <v>8.0193613760000009</v>
      </c>
      <c r="AX273" s="9"/>
      <c r="AY273" s="22">
        <v>1.22437</v>
      </c>
      <c r="AZ273" s="22">
        <v>545.68399999999997</v>
      </c>
      <c r="BA273" s="22">
        <v>-1.6213999999999999E-2</v>
      </c>
      <c r="BB273" s="22">
        <v>263</v>
      </c>
      <c r="BC273" s="22">
        <v>1.2237499999999999</v>
      </c>
      <c r="BD273">
        <f t="shared" si="58"/>
        <v>16.213999999999999</v>
      </c>
      <c r="BE273">
        <f t="shared" si="59"/>
        <v>19.851935179999998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102.35899999999999</v>
      </c>
      <c r="I274" s="22">
        <v>-1.6992199999999999E-2</v>
      </c>
      <c r="J274" s="22">
        <v>264</v>
      </c>
      <c r="K274" s="22">
        <v>0.46990999999999999</v>
      </c>
      <c r="L274">
        <f t="shared" si="48"/>
        <v>16.9922</v>
      </c>
      <c r="M274">
        <f t="shared" si="49"/>
        <v>7.9962064682000005</v>
      </c>
      <c r="N274" s="9"/>
      <c r="O274" s="22">
        <v>1.2294</v>
      </c>
      <c r="P274" s="22">
        <v>196.32300000000001</v>
      </c>
      <c r="Q274" s="22">
        <v>-1.6409300000000002E-2</v>
      </c>
      <c r="R274" s="22">
        <v>264</v>
      </c>
      <c r="S274" s="22">
        <v>1.2283299999999999</v>
      </c>
      <c r="T274">
        <f t="shared" si="50"/>
        <v>16.409300000000002</v>
      </c>
      <c r="U274">
        <f t="shared" si="51"/>
        <v>20.173593420000003</v>
      </c>
      <c r="X274" s="9"/>
      <c r="Y274" s="22">
        <v>0.47058100000000003</v>
      </c>
      <c r="Z274" s="22">
        <v>314.09199999999998</v>
      </c>
      <c r="AA274" s="22">
        <v>-1.6940299999999998E-2</v>
      </c>
      <c r="AB274" s="22">
        <v>264</v>
      </c>
      <c r="AC274" s="22">
        <v>0.46984900000000002</v>
      </c>
      <c r="AD274">
        <f t="shared" si="52"/>
        <v>16.940299999999997</v>
      </c>
      <c r="AE274">
        <f t="shared" si="53"/>
        <v>7.9717833142999988</v>
      </c>
      <c r="AF274" s="9"/>
      <c r="AG274" s="22">
        <v>1.2294</v>
      </c>
      <c r="AH274" s="22">
        <v>379.45800000000003</v>
      </c>
      <c r="AI274" s="22">
        <v>-1.6336099999999999E-2</v>
      </c>
      <c r="AJ274" s="22">
        <v>264</v>
      </c>
      <c r="AK274" s="22">
        <v>1.2283299999999999</v>
      </c>
      <c r="AL274">
        <f t="shared" si="54"/>
        <v>16.336099999999998</v>
      </c>
      <c r="AM274">
        <f t="shared" si="55"/>
        <v>20.083601339999998</v>
      </c>
      <c r="AP274" s="9"/>
      <c r="AQ274" s="22">
        <v>0.47058100000000003</v>
      </c>
      <c r="AR274" s="22">
        <v>468.75900000000001</v>
      </c>
      <c r="AS274" s="22">
        <v>-1.6861000000000001E-2</v>
      </c>
      <c r="AT274" s="22">
        <v>264</v>
      </c>
      <c r="AU274" s="22">
        <v>0.470001</v>
      </c>
      <c r="AV274">
        <f t="shared" si="56"/>
        <v>16.861000000000001</v>
      </c>
      <c r="AW274">
        <f t="shared" si="57"/>
        <v>7.9344662410000009</v>
      </c>
      <c r="AX274" s="9"/>
      <c r="AY274" s="22">
        <v>1.2294</v>
      </c>
      <c r="AZ274" s="22">
        <v>545.78499999999997</v>
      </c>
      <c r="BA274" s="22">
        <v>-1.61987E-2</v>
      </c>
      <c r="BB274" s="22">
        <v>264</v>
      </c>
      <c r="BC274" s="22">
        <v>1.2283299999999999</v>
      </c>
      <c r="BD274">
        <f t="shared" si="58"/>
        <v>16.198699999999999</v>
      </c>
      <c r="BE274">
        <f t="shared" si="59"/>
        <v>19.914681779999999</v>
      </c>
    </row>
    <row r="275" spans="6:101">
      <c r="F275" s="9"/>
      <c r="G275" s="22">
        <v>0.46554600000000002</v>
      </c>
      <c r="H275" s="22">
        <v>102.46</v>
      </c>
      <c r="I275" s="22">
        <v>-1.6998300000000001E-2</v>
      </c>
      <c r="J275" s="22">
        <v>265</v>
      </c>
      <c r="K275" s="22">
        <v>0.46490500000000001</v>
      </c>
      <c r="L275">
        <f t="shared" si="48"/>
        <v>16.9983</v>
      </c>
      <c r="M275">
        <f t="shared" si="49"/>
        <v>7.9134905718000006</v>
      </c>
      <c r="N275" s="9"/>
      <c r="O275" s="22">
        <v>1.23444</v>
      </c>
      <c r="P275" s="22">
        <v>196.423</v>
      </c>
      <c r="Q275" s="22">
        <v>-1.6418499999999999E-2</v>
      </c>
      <c r="R275" s="22">
        <v>265</v>
      </c>
      <c r="S275" s="22">
        <v>1.23322</v>
      </c>
      <c r="T275">
        <f t="shared" si="50"/>
        <v>16.418499999999998</v>
      </c>
      <c r="U275">
        <f t="shared" si="51"/>
        <v>20.267653139999997</v>
      </c>
      <c r="X275" s="9"/>
      <c r="Y275" s="22">
        <v>0.46554600000000002</v>
      </c>
      <c r="Z275" s="22">
        <v>314.19200000000001</v>
      </c>
      <c r="AA275" s="22">
        <v>-1.6937299999999999E-2</v>
      </c>
      <c r="AB275" s="22">
        <v>265</v>
      </c>
      <c r="AC275" s="22">
        <v>0.46490500000000001</v>
      </c>
      <c r="AD275">
        <f t="shared" si="52"/>
        <v>16.9373</v>
      </c>
      <c r="AE275">
        <f t="shared" si="53"/>
        <v>7.8850922658000009</v>
      </c>
      <c r="AF275" s="9"/>
      <c r="AG275" s="22">
        <v>1.23444</v>
      </c>
      <c r="AH275" s="22">
        <v>379.55900000000003</v>
      </c>
      <c r="AI275" s="22">
        <v>-1.6330000000000001E-2</v>
      </c>
      <c r="AJ275" s="22">
        <v>265</v>
      </c>
      <c r="AK275" s="22">
        <v>1.2335199999999999</v>
      </c>
      <c r="AL275">
        <f t="shared" si="54"/>
        <v>16.330000000000002</v>
      </c>
      <c r="AM275">
        <f t="shared" si="55"/>
        <v>20.158405200000001</v>
      </c>
      <c r="AP275" s="9"/>
      <c r="AQ275" s="22">
        <v>0.46554600000000002</v>
      </c>
      <c r="AR275" s="22">
        <v>468.86</v>
      </c>
      <c r="AS275" s="22">
        <v>-1.68518E-2</v>
      </c>
      <c r="AT275" s="22">
        <v>265</v>
      </c>
      <c r="AU275" s="22">
        <v>0.46481299999999998</v>
      </c>
      <c r="AV275">
        <f t="shared" si="56"/>
        <v>16.851800000000001</v>
      </c>
      <c r="AW275">
        <f t="shared" si="57"/>
        <v>7.8452880828000007</v>
      </c>
      <c r="AX275" s="9"/>
      <c r="AY275" s="22">
        <v>1.23444</v>
      </c>
      <c r="AZ275" s="22">
        <v>545.88499999999999</v>
      </c>
      <c r="BA275" s="22">
        <v>-1.61957E-2</v>
      </c>
      <c r="BB275" s="22">
        <v>265</v>
      </c>
      <c r="BC275" s="22">
        <v>1.23322</v>
      </c>
      <c r="BD275">
        <f t="shared" si="58"/>
        <v>16.195699999999999</v>
      </c>
      <c r="BE275">
        <f t="shared" si="59"/>
        <v>19.992619907999998</v>
      </c>
    </row>
    <row r="276" spans="6:101">
      <c r="F276" s="9"/>
      <c r="G276" s="22">
        <v>0.46050999999999997</v>
      </c>
      <c r="H276" s="22">
        <v>102.56100000000001</v>
      </c>
      <c r="I276" s="22">
        <v>-1.6986100000000001E-2</v>
      </c>
      <c r="J276" s="22">
        <v>266</v>
      </c>
      <c r="K276" s="22">
        <v>0.45999099999999998</v>
      </c>
      <c r="L276">
        <f t="shared" si="48"/>
        <v>16.9861</v>
      </c>
      <c r="M276">
        <f t="shared" si="49"/>
        <v>7.8222689110000001</v>
      </c>
      <c r="N276" s="9"/>
      <c r="O276" s="22">
        <v>1.2394700000000001</v>
      </c>
      <c r="P276" s="22">
        <v>196.524</v>
      </c>
      <c r="Q276" s="22">
        <v>-1.6412400000000001E-2</v>
      </c>
      <c r="R276" s="22">
        <v>266</v>
      </c>
      <c r="S276" s="22">
        <v>1.23871</v>
      </c>
      <c r="T276">
        <f t="shared" si="50"/>
        <v>16.412400000000002</v>
      </c>
      <c r="U276">
        <f t="shared" si="51"/>
        <v>20.342677428000002</v>
      </c>
      <c r="X276" s="9"/>
      <c r="Y276" s="22">
        <v>0.46050999999999997</v>
      </c>
      <c r="Z276" s="22">
        <v>314.29300000000001</v>
      </c>
      <c r="AA276" s="22">
        <v>-1.6943400000000001E-2</v>
      </c>
      <c r="AB276" s="22">
        <v>266</v>
      </c>
      <c r="AC276" s="22">
        <v>0.45980799999999999</v>
      </c>
      <c r="AD276">
        <f t="shared" si="52"/>
        <v>16.9434</v>
      </c>
      <c r="AE276">
        <f t="shared" si="53"/>
        <v>7.8026051340000002</v>
      </c>
      <c r="AF276" s="9"/>
      <c r="AG276" s="22">
        <v>1.2394700000000001</v>
      </c>
      <c r="AH276" s="22">
        <v>379.65899999999999</v>
      </c>
      <c r="AI276" s="22">
        <v>-1.6317700000000001E-2</v>
      </c>
      <c r="AJ276" s="22">
        <v>266</v>
      </c>
      <c r="AK276" s="22">
        <v>1.2390099999999999</v>
      </c>
      <c r="AL276">
        <f t="shared" si="54"/>
        <v>16.317700000000002</v>
      </c>
      <c r="AM276">
        <f t="shared" si="55"/>
        <v>20.225299619000005</v>
      </c>
      <c r="AP276" s="9"/>
      <c r="AQ276" s="22">
        <v>0.46050999999999997</v>
      </c>
      <c r="AR276" s="22">
        <v>468.96100000000001</v>
      </c>
      <c r="AS276" s="22">
        <v>-1.6870099999999999E-2</v>
      </c>
      <c r="AT276" s="22">
        <v>266</v>
      </c>
      <c r="AU276" s="22">
        <v>0.45986900000000003</v>
      </c>
      <c r="AV276">
        <f t="shared" si="56"/>
        <v>16.870100000000001</v>
      </c>
      <c r="AW276">
        <f t="shared" si="57"/>
        <v>7.7688497510000003</v>
      </c>
      <c r="AX276" s="9"/>
      <c r="AY276" s="22">
        <v>1.2394700000000001</v>
      </c>
      <c r="AZ276" s="22">
        <v>545.98599999999999</v>
      </c>
      <c r="BA276" s="22">
        <v>-1.61957E-2</v>
      </c>
      <c r="BB276" s="22">
        <v>266</v>
      </c>
      <c r="BC276" s="22">
        <v>1.2381</v>
      </c>
      <c r="BD276">
        <f t="shared" si="58"/>
        <v>16.195699999999999</v>
      </c>
      <c r="BE276">
        <f t="shared" si="59"/>
        <v>20.074084279000001</v>
      </c>
    </row>
    <row r="277" spans="6:101">
      <c r="F277" s="9"/>
      <c r="G277" s="22">
        <v>0.45547500000000002</v>
      </c>
      <c r="H277" s="22">
        <v>102.661</v>
      </c>
      <c r="I277" s="22">
        <v>-1.6986100000000001E-2</v>
      </c>
      <c r="J277" s="22">
        <v>267</v>
      </c>
      <c r="K277" s="22">
        <v>0.45483400000000002</v>
      </c>
      <c r="L277">
        <f t="shared" si="48"/>
        <v>16.9861</v>
      </c>
      <c r="M277">
        <f t="shared" si="49"/>
        <v>7.7367438975000002</v>
      </c>
      <c r="N277" s="9"/>
      <c r="O277" s="22">
        <v>1.24451</v>
      </c>
      <c r="P277" s="22">
        <v>196.625</v>
      </c>
      <c r="Q277" s="22">
        <v>-1.6406299999999999E-2</v>
      </c>
      <c r="R277" s="22">
        <v>267</v>
      </c>
      <c r="S277" s="22">
        <v>1.24359</v>
      </c>
      <c r="T277">
        <f t="shared" si="50"/>
        <v>16.406299999999998</v>
      </c>
      <c r="U277">
        <f t="shared" si="51"/>
        <v>20.417804412999999</v>
      </c>
      <c r="X277" s="9"/>
      <c r="Y277" s="22">
        <v>0.45547500000000002</v>
      </c>
      <c r="Z277" s="22">
        <v>314.39400000000001</v>
      </c>
      <c r="AA277" s="22">
        <v>-1.69464E-2</v>
      </c>
      <c r="AB277" s="22">
        <v>267</v>
      </c>
      <c r="AC277" s="22">
        <v>0.45489499999999999</v>
      </c>
      <c r="AD277">
        <f t="shared" si="52"/>
        <v>16.946400000000001</v>
      </c>
      <c r="AE277">
        <f t="shared" si="53"/>
        <v>7.7186615400000003</v>
      </c>
      <c r="AF277" s="9"/>
      <c r="AG277" s="22">
        <v>1.24451</v>
      </c>
      <c r="AH277" s="22">
        <v>379.76</v>
      </c>
      <c r="AI277" s="22">
        <v>-1.6305500000000001E-2</v>
      </c>
      <c r="AJ277" s="22">
        <v>267</v>
      </c>
      <c r="AK277" s="22">
        <v>1.2439</v>
      </c>
      <c r="AL277">
        <f t="shared" si="54"/>
        <v>16.305500000000002</v>
      </c>
      <c r="AM277">
        <f t="shared" si="55"/>
        <v>20.292357805000002</v>
      </c>
      <c r="AP277" s="9"/>
      <c r="AQ277" s="22">
        <v>0.45547500000000002</v>
      </c>
      <c r="AR277" s="22">
        <v>469.06099999999998</v>
      </c>
      <c r="AS277" s="22">
        <v>-1.6870099999999999E-2</v>
      </c>
      <c r="AT277" s="22">
        <v>267</v>
      </c>
      <c r="AU277" s="22">
        <v>0.45483400000000002</v>
      </c>
      <c r="AV277">
        <f t="shared" si="56"/>
        <v>16.870100000000001</v>
      </c>
      <c r="AW277">
        <f t="shared" si="57"/>
        <v>7.6839087975000009</v>
      </c>
      <c r="AX277" s="9"/>
      <c r="AY277" s="22">
        <v>1.24451</v>
      </c>
      <c r="AZ277" s="22">
        <v>546.08699999999999</v>
      </c>
      <c r="BA277" s="22">
        <v>-1.6201799999999999E-2</v>
      </c>
      <c r="BB277" s="22">
        <v>267</v>
      </c>
      <c r="BC277" s="22">
        <v>1.2442</v>
      </c>
      <c r="BD277">
        <f t="shared" si="58"/>
        <v>16.201799999999999</v>
      </c>
      <c r="BE277">
        <f t="shared" si="59"/>
        <v>20.163302117999997</v>
      </c>
    </row>
    <row r="278" spans="6:101">
      <c r="F278" s="9"/>
      <c r="G278" s="22">
        <v>0.45043899999999998</v>
      </c>
      <c r="H278" s="22">
        <v>102.762</v>
      </c>
      <c r="I278" s="22">
        <v>-1.6992199999999999E-2</v>
      </c>
      <c r="J278" s="22">
        <v>268</v>
      </c>
      <c r="K278" s="22">
        <v>0.449768</v>
      </c>
      <c r="L278">
        <f t="shared" si="48"/>
        <v>16.9922</v>
      </c>
      <c r="M278">
        <f t="shared" si="49"/>
        <v>7.6539495757999996</v>
      </c>
      <c r="N278" s="9"/>
      <c r="O278" s="22">
        <v>1.2495400000000001</v>
      </c>
      <c r="P278" s="22">
        <v>196.726</v>
      </c>
      <c r="Q278" s="22">
        <v>-1.6397100000000001E-2</v>
      </c>
      <c r="R278" s="22">
        <v>268</v>
      </c>
      <c r="S278" s="22">
        <v>1.24878</v>
      </c>
      <c r="T278">
        <f t="shared" si="50"/>
        <v>16.397100000000002</v>
      </c>
      <c r="U278">
        <f t="shared" si="51"/>
        <v>20.488832334000005</v>
      </c>
      <c r="X278" s="9"/>
      <c r="Y278" s="22">
        <v>0.45043899999999998</v>
      </c>
      <c r="Z278" s="22">
        <v>314.495</v>
      </c>
      <c r="AA278" s="22">
        <v>-1.69464E-2</v>
      </c>
      <c r="AB278" s="22">
        <v>268</v>
      </c>
      <c r="AC278" s="22">
        <v>0.44970700000000002</v>
      </c>
      <c r="AD278">
        <f t="shared" si="52"/>
        <v>16.946400000000001</v>
      </c>
      <c r="AE278">
        <f t="shared" si="53"/>
        <v>7.6333194696</v>
      </c>
      <c r="AF278" s="9"/>
      <c r="AG278" s="22">
        <v>1.2495400000000001</v>
      </c>
      <c r="AH278" s="22">
        <v>379.86099999999999</v>
      </c>
      <c r="AI278" s="22">
        <v>-1.6314700000000001E-2</v>
      </c>
      <c r="AJ278" s="22">
        <v>268</v>
      </c>
      <c r="AK278" s="22">
        <v>1.24908</v>
      </c>
      <c r="AL278">
        <f t="shared" si="54"/>
        <v>16.314700000000002</v>
      </c>
      <c r="AM278">
        <f t="shared" si="55"/>
        <v>20.385870238000003</v>
      </c>
      <c r="AP278" s="9"/>
      <c r="AQ278" s="22">
        <v>0.45043899999999998</v>
      </c>
      <c r="AR278" s="22">
        <v>469.16199999999998</v>
      </c>
      <c r="AS278" s="22">
        <v>-1.68793E-2</v>
      </c>
      <c r="AT278" s="22">
        <v>268</v>
      </c>
      <c r="AU278" s="22">
        <v>0.44970700000000002</v>
      </c>
      <c r="AV278">
        <f t="shared" si="56"/>
        <v>16.879300000000001</v>
      </c>
      <c r="AW278">
        <f t="shared" si="57"/>
        <v>7.6030950126999999</v>
      </c>
      <c r="AX278" s="9"/>
      <c r="AY278" s="22">
        <v>1.2495400000000001</v>
      </c>
      <c r="AZ278" s="22">
        <v>546.18700000000001</v>
      </c>
      <c r="BA278" s="22">
        <v>-1.6192600000000001E-2</v>
      </c>
      <c r="BB278" s="22">
        <v>268</v>
      </c>
      <c r="BC278" s="22">
        <v>1.24847</v>
      </c>
      <c r="BD278">
        <f t="shared" si="58"/>
        <v>16.192600000000002</v>
      </c>
      <c r="BE278">
        <f t="shared" si="59"/>
        <v>20.233301404000006</v>
      </c>
    </row>
    <row r="279" spans="6:101">
      <c r="F279" s="9"/>
      <c r="G279" s="22">
        <v>0.44540400000000002</v>
      </c>
      <c r="H279" s="22">
        <v>102.863</v>
      </c>
      <c r="I279" s="22">
        <v>-1.6992199999999999E-2</v>
      </c>
      <c r="J279" s="22">
        <v>269</v>
      </c>
      <c r="K279" s="22">
        <v>0.44470199999999999</v>
      </c>
      <c r="L279">
        <f t="shared" si="48"/>
        <v>16.9922</v>
      </c>
      <c r="M279">
        <f t="shared" si="49"/>
        <v>7.5683938488000004</v>
      </c>
      <c r="N279" s="9"/>
      <c r="O279" s="22">
        <v>1.25458</v>
      </c>
      <c r="P279" s="22">
        <v>196.82599999999999</v>
      </c>
      <c r="Q279" s="22">
        <v>-1.6384900000000001E-2</v>
      </c>
      <c r="R279" s="22">
        <v>269</v>
      </c>
      <c r="S279" s="22">
        <v>1.25397</v>
      </c>
      <c r="T279">
        <f t="shared" si="50"/>
        <v>16.384900000000002</v>
      </c>
      <c r="U279">
        <f t="shared" si="51"/>
        <v>20.556167842000004</v>
      </c>
      <c r="X279" s="9"/>
      <c r="Y279" s="22">
        <v>0.44540400000000002</v>
      </c>
      <c r="Z279" s="22">
        <v>314.59500000000003</v>
      </c>
      <c r="AA279" s="22">
        <v>-1.6958600000000001E-2</v>
      </c>
      <c r="AB279" s="22">
        <v>269</v>
      </c>
      <c r="AC279" s="22">
        <v>0.44479400000000002</v>
      </c>
      <c r="AD279">
        <f t="shared" si="52"/>
        <v>16.958600000000001</v>
      </c>
      <c r="AE279">
        <f t="shared" si="53"/>
        <v>7.5534282744000008</v>
      </c>
      <c r="AF279" s="9"/>
      <c r="AG279" s="22">
        <v>1.25458</v>
      </c>
      <c r="AH279" s="22">
        <v>379.96100000000001</v>
      </c>
      <c r="AI279" s="22">
        <v>-1.6299399999999999E-2</v>
      </c>
      <c r="AJ279" s="22">
        <v>269</v>
      </c>
      <c r="AK279" s="22">
        <v>1.25397</v>
      </c>
      <c r="AL279">
        <f t="shared" si="54"/>
        <v>16.299399999999999</v>
      </c>
      <c r="AM279">
        <f t="shared" si="55"/>
        <v>20.448901251999999</v>
      </c>
      <c r="AP279" s="9"/>
      <c r="AQ279" s="22">
        <v>0.44540400000000002</v>
      </c>
      <c r="AR279" s="22">
        <v>469.26299999999998</v>
      </c>
      <c r="AS279" s="22">
        <v>-1.6882299999999999E-2</v>
      </c>
      <c r="AT279" s="22">
        <v>269</v>
      </c>
      <c r="AU279" s="22">
        <v>0.44476300000000002</v>
      </c>
      <c r="AV279">
        <f t="shared" si="56"/>
        <v>16.882300000000001</v>
      </c>
      <c r="AW279">
        <f t="shared" si="57"/>
        <v>7.5194439492000011</v>
      </c>
      <c r="AX279" s="9"/>
      <c r="AY279" s="22">
        <v>1.25458</v>
      </c>
      <c r="AZ279" s="22">
        <v>546.28800000000001</v>
      </c>
      <c r="BA279" s="22">
        <v>-1.6153000000000001E-2</v>
      </c>
      <c r="BB279" s="22">
        <v>269</v>
      </c>
      <c r="BC279" s="22">
        <v>1.25397</v>
      </c>
      <c r="BD279">
        <f t="shared" si="58"/>
        <v>16.153000000000002</v>
      </c>
      <c r="BE279">
        <f t="shared" si="59"/>
        <v>20.265230740000003</v>
      </c>
    </row>
    <row r="280" spans="6:101">
      <c r="F280" s="9"/>
      <c r="G280" s="22">
        <v>0.44036900000000001</v>
      </c>
      <c r="H280" s="22">
        <v>102.96299999999999</v>
      </c>
      <c r="I280" s="22">
        <v>-1.6992199999999999E-2</v>
      </c>
      <c r="J280" s="22">
        <v>270</v>
      </c>
      <c r="K280" s="22">
        <v>0.43972800000000001</v>
      </c>
      <c r="L280">
        <f t="shared" si="48"/>
        <v>16.9922</v>
      </c>
      <c r="M280">
        <f t="shared" si="49"/>
        <v>7.4828381218000004</v>
      </c>
      <c r="N280" s="9"/>
      <c r="O280" s="22">
        <v>1.2596099999999999</v>
      </c>
      <c r="P280" s="22">
        <v>196.92699999999999</v>
      </c>
      <c r="Q280" s="22">
        <v>-1.6369600000000002E-2</v>
      </c>
      <c r="R280" s="22">
        <v>270</v>
      </c>
      <c r="S280" s="22">
        <v>1.25854</v>
      </c>
      <c r="T280">
        <f t="shared" si="50"/>
        <v>16.369600000000002</v>
      </c>
      <c r="U280">
        <f t="shared" si="51"/>
        <v>20.619311855999999</v>
      </c>
      <c r="X280" s="9"/>
      <c r="Y280" s="22">
        <v>0.44036900000000001</v>
      </c>
      <c r="Z280" s="22">
        <v>314.69600000000003</v>
      </c>
      <c r="AA280" s="22">
        <v>-1.69617E-2</v>
      </c>
      <c r="AB280" s="22">
        <v>270</v>
      </c>
      <c r="AC280" s="22">
        <v>0.439697</v>
      </c>
      <c r="AD280">
        <f t="shared" si="52"/>
        <v>16.9617</v>
      </c>
      <c r="AE280">
        <f t="shared" si="53"/>
        <v>7.4694068673</v>
      </c>
      <c r="AF280" s="9"/>
      <c r="AG280" s="22">
        <v>1.2596099999999999</v>
      </c>
      <c r="AH280" s="22">
        <v>380.06200000000001</v>
      </c>
      <c r="AI280" s="22">
        <v>-1.62811E-2</v>
      </c>
      <c r="AJ280" s="22">
        <v>270</v>
      </c>
      <c r="AK280" s="22">
        <v>1.25824</v>
      </c>
      <c r="AL280">
        <f t="shared" si="54"/>
        <v>16.281099999999999</v>
      </c>
      <c r="AM280">
        <f t="shared" si="55"/>
        <v>20.507836370999996</v>
      </c>
      <c r="AP280" s="9"/>
      <c r="AQ280" s="22">
        <v>0.44036900000000001</v>
      </c>
      <c r="AR280" s="22">
        <v>469.36399999999998</v>
      </c>
      <c r="AS280" s="22">
        <v>-1.68915E-2</v>
      </c>
      <c r="AT280" s="22">
        <v>270</v>
      </c>
      <c r="AU280" s="22">
        <v>0.43966699999999997</v>
      </c>
      <c r="AV280">
        <f t="shared" si="56"/>
        <v>16.891500000000001</v>
      </c>
      <c r="AW280">
        <f t="shared" si="57"/>
        <v>7.4384929635000008</v>
      </c>
      <c r="AX280" s="9"/>
      <c r="AY280" s="22">
        <v>1.2596099999999999</v>
      </c>
      <c r="AZ280" s="22">
        <v>546.38900000000001</v>
      </c>
      <c r="BA280" s="22">
        <v>-1.6140700000000001E-2</v>
      </c>
      <c r="BB280" s="22">
        <v>270</v>
      </c>
      <c r="BC280" s="22">
        <v>1.25885</v>
      </c>
      <c r="BD280">
        <f t="shared" si="58"/>
        <v>16.140700000000002</v>
      </c>
      <c r="BE280">
        <f t="shared" si="59"/>
        <v>20.330987127</v>
      </c>
    </row>
    <row r="281" spans="6:101">
      <c r="F281" s="9"/>
      <c r="G281" s="22">
        <v>0.43533300000000003</v>
      </c>
      <c r="H281" s="22">
        <v>103.06399999999999</v>
      </c>
      <c r="I281" s="22">
        <v>-1.70013E-2</v>
      </c>
      <c r="J281" s="22">
        <v>271</v>
      </c>
      <c r="K281" s="22">
        <v>0.43463099999999999</v>
      </c>
      <c r="L281">
        <f t="shared" si="48"/>
        <v>17.001300000000001</v>
      </c>
      <c r="M281">
        <f t="shared" si="49"/>
        <v>7.4012269329000002</v>
      </c>
      <c r="N281" s="9"/>
      <c r="O281" s="22">
        <v>1.2646500000000001</v>
      </c>
      <c r="P281" s="22">
        <v>197.02799999999999</v>
      </c>
      <c r="Q281" s="22">
        <v>-1.6366599999999999E-2</v>
      </c>
      <c r="R281" s="22">
        <v>271</v>
      </c>
      <c r="S281" s="22">
        <v>1.26434</v>
      </c>
      <c r="T281">
        <f t="shared" si="50"/>
        <v>16.366599999999998</v>
      </c>
      <c r="U281">
        <f t="shared" si="51"/>
        <v>20.69802069</v>
      </c>
      <c r="X281" s="9"/>
      <c r="Y281" s="22">
        <v>0.43533300000000003</v>
      </c>
      <c r="Z281" s="22">
        <v>314.79700000000003</v>
      </c>
      <c r="AA281" s="22">
        <v>-1.6964699999999999E-2</v>
      </c>
      <c r="AB281" s="22">
        <v>271</v>
      </c>
      <c r="AC281" s="22">
        <v>0.43466199999999999</v>
      </c>
      <c r="AD281">
        <f t="shared" si="52"/>
        <v>16.964700000000001</v>
      </c>
      <c r="AE281">
        <f t="shared" si="53"/>
        <v>7.3852937451000003</v>
      </c>
      <c r="AF281" s="9"/>
      <c r="AG281" s="22">
        <v>1.2646500000000001</v>
      </c>
      <c r="AH281" s="22">
        <v>380.16300000000001</v>
      </c>
      <c r="AI281" s="22">
        <v>-1.62781E-2</v>
      </c>
      <c r="AJ281" s="22">
        <v>271</v>
      </c>
      <c r="AK281" s="22">
        <v>1.2640400000000001</v>
      </c>
      <c r="AL281">
        <f t="shared" si="54"/>
        <v>16.278099999999998</v>
      </c>
      <c r="AM281">
        <f t="shared" si="55"/>
        <v>20.586099165</v>
      </c>
      <c r="AP281" s="9"/>
      <c r="AQ281" s="22">
        <v>0.43533300000000003</v>
      </c>
      <c r="AR281" s="22">
        <v>469.464</v>
      </c>
      <c r="AS281" s="22">
        <v>-1.68793E-2</v>
      </c>
      <c r="AT281" s="22">
        <v>271</v>
      </c>
      <c r="AU281" s="22">
        <v>0.43469200000000002</v>
      </c>
      <c r="AV281">
        <f t="shared" si="56"/>
        <v>16.879300000000001</v>
      </c>
      <c r="AW281">
        <f t="shared" si="57"/>
        <v>7.3481163069000006</v>
      </c>
      <c r="AX281" s="9"/>
      <c r="AY281" s="22">
        <v>1.2646500000000001</v>
      </c>
      <c r="AZ281" s="22">
        <v>546.48900000000003</v>
      </c>
      <c r="BA281" s="22">
        <v>-1.6153000000000001E-2</v>
      </c>
      <c r="BB281" s="22">
        <v>271</v>
      </c>
      <c r="BC281" s="22">
        <v>1.26373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0.43029800000000001</v>
      </c>
      <c r="H282" s="22">
        <v>103.16500000000001</v>
      </c>
      <c r="I282" s="22">
        <v>-1.7004399999999999E-2</v>
      </c>
      <c r="J282" s="22">
        <v>272</v>
      </c>
      <c r="K282" s="22">
        <v>0.42965700000000001</v>
      </c>
      <c r="L282">
        <f t="shared" si="48"/>
        <v>17.0044</v>
      </c>
      <c r="M282">
        <f t="shared" si="49"/>
        <v>7.3169593112000006</v>
      </c>
      <c r="N282" s="9"/>
      <c r="O282" s="22">
        <v>1.2696799999999999</v>
      </c>
      <c r="P282" s="22">
        <v>197.12799999999999</v>
      </c>
      <c r="Q282" s="22">
        <v>-1.63757E-2</v>
      </c>
      <c r="R282" s="22">
        <v>272</v>
      </c>
      <c r="S282" s="22">
        <v>1.2686200000000001</v>
      </c>
      <c r="T282">
        <f t="shared" si="50"/>
        <v>16.375699999999998</v>
      </c>
      <c r="U282">
        <f t="shared" si="51"/>
        <v>20.791898775999996</v>
      </c>
      <c r="X282" s="9"/>
      <c r="Y282" s="22">
        <v>0.43029800000000001</v>
      </c>
      <c r="Z282" s="22">
        <v>314.89699999999999</v>
      </c>
      <c r="AA282" s="22">
        <v>-1.6964699999999999E-2</v>
      </c>
      <c r="AB282" s="22">
        <v>272</v>
      </c>
      <c r="AC282" s="22">
        <v>0.42965700000000001</v>
      </c>
      <c r="AD282">
        <f t="shared" si="52"/>
        <v>16.964700000000001</v>
      </c>
      <c r="AE282">
        <f t="shared" si="53"/>
        <v>7.2998764806000001</v>
      </c>
      <c r="AF282" s="9"/>
      <c r="AG282" s="22">
        <v>1.2696799999999999</v>
      </c>
      <c r="AH282" s="22">
        <v>380.26299999999998</v>
      </c>
      <c r="AI282" s="22">
        <v>-1.6271999999999998E-2</v>
      </c>
      <c r="AJ282" s="22">
        <v>272</v>
      </c>
      <c r="AK282" s="22">
        <v>1.26953</v>
      </c>
      <c r="AL282">
        <f t="shared" si="54"/>
        <v>16.271999999999998</v>
      </c>
      <c r="AM282">
        <f t="shared" si="55"/>
        <v>20.660232959999998</v>
      </c>
      <c r="AP282" s="9"/>
      <c r="AQ282" s="22">
        <v>0.43029800000000001</v>
      </c>
      <c r="AR282" s="22">
        <v>469.565</v>
      </c>
      <c r="AS282" s="22">
        <v>-1.68945E-2</v>
      </c>
      <c r="AT282" s="22">
        <v>272</v>
      </c>
      <c r="AU282" s="22">
        <v>0.42968800000000001</v>
      </c>
      <c r="AV282">
        <f t="shared" si="56"/>
        <v>16.894500000000001</v>
      </c>
      <c r="AW282">
        <f t="shared" si="57"/>
        <v>7.2696695610000006</v>
      </c>
      <c r="AX282" s="9"/>
      <c r="AY282" s="22">
        <v>1.2696799999999999</v>
      </c>
      <c r="AZ282" s="22">
        <v>546.59</v>
      </c>
      <c r="BA282" s="22">
        <v>-1.6165200000000001E-2</v>
      </c>
      <c r="BB282" s="22">
        <v>272</v>
      </c>
      <c r="BC282" s="22">
        <v>1.2686200000000001</v>
      </c>
      <c r="BD282">
        <f t="shared" si="58"/>
        <v>16.165200000000002</v>
      </c>
      <c r="BE282">
        <f t="shared" si="59"/>
        <v>20.524631136</v>
      </c>
    </row>
    <row r="283" spans="6:101">
      <c r="F283" s="9"/>
      <c r="G283" s="22">
        <v>0.42526199999999997</v>
      </c>
      <c r="H283" s="22">
        <v>103.26600000000001</v>
      </c>
      <c r="I283" s="22">
        <v>-1.7013500000000001E-2</v>
      </c>
      <c r="J283" s="22">
        <v>273</v>
      </c>
      <c r="K283" s="22">
        <v>0.424622</v>
      </c>
      <c r="L283">
        <f t="shared" si="48"/>
        <v>17.013500000000001</v>
      </c>
      <c r="M283">
        <f t="shared" si="49"/>
        <v>7.2351950369999996</v>
      </c>
      <c r="N283" s="9"/>
      <c r="O283" s="22">
        <v>1.2747200000000001</v>
      </c>
      <c r="P283" s="22">
        <v>197.22900000000001</v>
      </c>
      <c r="Q283" s="22">
        <v>-1.6354400000000002E-2</v>
      </c>
      <c r="R283" s="22">
        <v>273</v>
      </c>
      <c r="S283" s="22">
        <v>1.2735000000000001</v>
      </c>
      <c r="T283">
        <f t="shared" si="50"/>
        <v>16.354400000000002</v>
      </c>
      <c r="U283">
        <f t="shared" si="51"/>
        <v>20.847280768000005</v>
      </c>
      <c r="X283" s="9"/>
      <c r="Y283" s="22">
        <v>0.42526199999999997</v>
      </c>
      <c r="Z283" s="22">
        <v>314.99799999999999</v>
      </c>
      <c r="AA283" s="22">
        <v>-1.69739E-2</v>
      </c>
      <c r="AB283" s="22">
        <v>273</v>
      </c>
      <c r="AC283" s="22">
        <v>0.42468299999999998</v>
      </c>
      <c r="AD283">
        <f t="shared" si="52"/>
        <v>16.9739</v>
      </c>
      <c r="AE283">
        <f t="shared" si="53"/>
        <v>7.2183546617999994</v>
      </c>
      <c r="AF283" s="9"/>
      <c r="AG283" s="22">
        <v>1.2747200000000001</v>
      </c>
      <c r="AH283" s="22">
        <v>380.36399999999998</v>
      </c>
      <c r="AI283" s="22">
        <v>-1.6262800000000001E-2</v>
      </c>
      <c r="AJ283" s="22">
        <v>273</v>
      </c>
      <c r="AK283" s="22">
        <v>1.2747200000000001</v>
      </c>
      <c r="AL283">
        <f t="shared" si="54"/>
        <v>16.262800000000002</v>
      </c>
      <c r="AM283">
        <f t="shared" si="55"/>
        <v>20.730516416000004</v>
      </c>
      <c r="AP283" s="9"/>
      <c r="AQ283" s="22">
        <v>0.42526199999999997</v>
      </c>
      <c r="AR283" s="22">
        <v>469.666</v>
      </c>
      <c r="AS283" s="22">
        <v>-1.6897599999999999E-2</v>
      </c>
      <c r="AT283" s="22">
        <v>273</v>
      </c>
      <c r="AU283" s="22">
        <v>0.42465199999999997</v>
      </c>
      <c r="AV283">
        <f t="shared" si="56"/>
        <v>16.897599999999997</v>
      </c>
      <c r="AW283">
        <f t="shared" si="57"/>
        <v>7.1859071711999984</v>
      </c>
      <c r="AX283" s="9"/>
      <c r="AY283" s="22">
        <v>1.2747200000000001</v>
      </c>
      <c r="AZ283" s="22">
        <v>546.69100000000003</v>
      </c>
      <c r="BA283" s="22">
        <v>-1.6168200000000001E-2</v>
      </c>
      <c r="BB283" s="22">
        <v>273</v>
      </c>
      <c r="BC283" s="22">
        <v>1.2741100000000001</v>
      </c>
      <c r="BD283">
        <f t="shared" si="58"/>
        <v>16.168200000000002</v>
      </c>
      <c r="BE283">
        <f t="shared" si="59"/>
        <v>20.609927904000003</v>
      </c>
    </row>
    <row r="284" spans="6:101">
      <c r="F284" s="9"/>
      <c r="G284" s="22">
        <v>0.42022700000000002</v>
      </c>
      <c r="H284" s="22">
        <v>103.366</v>
      </c>
      <c r="I284" s="22">
        <v>-1.7010500000000001E-2</v>
      </c>
      <c r="J284" s="22">
        <v>274</v>
      </c>
      <c r="K284" s="22">
        <v>0.41964699999999999</v>
      </c>
      <c r="L284">
        <f t="shared" si="48"/>
        <v>17.0105</v>
      </c>
      <c r="M284">
        <f t="shared" si="49"/>
        <v>7.1482713835</v>
      </c>
      <c r="N284" s="9"/>
      <c r="O284" s="22">
        <v>1.2797499999999999</v>
      </c>
      <c r="P284" s="22">
        <v>197.33</v>
      </c>
      <c r="Q284" s="22">
        <v>-1.63483E-2</v>
      </c>
      <c r="R284" s="22">
        <v>274</v>
      </c>
      <c r="S284" s="22">
        <v>1.2796000000000001</v>
      </c>
      <c r="T284">
        <f t="shared" si="50"/>
        <v>16.348299999999998</v>
      </c>
      <c r="U284">
        <f t="shared" si="51"/>
        <v>20.921736924999998</v>
      </c>
      <c r="X284" s="9"/>
      <c r="Y284" s="22">
        <v>0.42022700000000002</v>
      </c>
      <c r="Z284" s="22">
        <v>315.09899999999999</v>
      </c>
      <c r="AA284" s="22">
        <v>-1.6970800000000001E-2</v>
      </c>
      <c r="AB284" s="22">
        <v>274</v>
      </c>
      <c r="AC284" s="22">
        <v>0.41955599999999998</v>
      </c>
      <c r="AD284">
        <f t="shared" si="52"/>
        <v>16.970800000000001</v>
      </c>
      <c r="AE284">
        <f t="shared" si="53"/>
        <v>7.1315883716000004</v>
      </c>
      <c r="AF284" s="9"/>
      <c r="AG284" s="22">
        <v>1.2797499999999999</v>
      </c>
      <c r="AH284" s="22">
        <v>380.46499999999997</v>
      </c>
      <c r="AI284" s="22">
        <v>-1.6268899999999999E-2</v>
      </c>
      <c r="AJ284" s="22">
        <v>274</v>
      </c>
      <c r="AK284" s="22">
        <v>1.2786900000000001</v>
      </c>
      <c r="AL284">
        <f t="shared" si="54"/>
        <v>16.268899999999999</v>
      </c>
      <c r="AM284">
        <f t="shared" si="55"/>
        <v>20.820124774999996</v>
      </c>
      <c r="AP284" s="9"/>
      <c r="AQ284" s="22">
        <v>0.42022700000000002</v>
      </c>
      <c r="AR284" s="22">
        <v>469.76600000000002</v>
      </c>
      <c r="AS284" s="22">
        <v>-1.6912799999999999E-2</v>
      </c>
      <c r="AT284" s="22">
        <v>274</v>
      </c>
      <c r="AU284" s="22">
        <v>0.41964699999999999</v>
      </c>
      <c r="AV284">
        <f t="shared" si="56"/>
        <v>16.912799999999997</v>
      </c>
      <c r="AW284">
        <f t="shared" si="57"/>
        <v>7.1072152055999993</v>
      </c>
      <c r="AX284" s="9"/>
      <c r="AY284" s="22">
        <v>1.2797499999999999</v>
      </c>
      <c r="AZ284" s="22">
        <v>546.79200000000003</v>
      </c>
      <c r="BA284" s="22">
        <v>-1.6122399999999999E-2</v>
      </c>
      <c r="BB284" s="22">
        <v>274</v>
      </c>
      <c r="BC284" s="22">
        <v>1.2796000000000001</v>
      </c>
      <c r="BD284">
        <f t="shared" si="58"/>
        <v>16.122399999999999</v>
      </c>
      <c r="BE284">
        <f t="shared" si="59"/>
        <v>20.632641399999997</v>
      </c>
    </row>
    <row r="285" spans="6:101">
      <c r="F285" s="9"/>
      <c r="G285" s="22">
        <v>0.41519200000000001</v>
      </c>
      <c r="H285" s="22">
        <v>103.467</v>
      </c>
      <c r="I285" s="22">
        <v>-1.7010500000000001E-2</v>
      </c>
      <c r="J285" s="22">
        <v>275</v>
      </c>
      <c r="K285" s="22">
        <v>0.41452</v>
      </c>
      <c r="L285">
        <f t="shared" si="48"/>
        <v>17.0105</v>
      </c>
      <c r="M285">
        <f t="shared" si="49"/>
        <v>7.0626235160000004</v>
      </c>
      <c r="N285" s="9"/>
      <c r="O285" s="22">
        <v>1.2847900000000001</v>
      </c>
      <c r="P285" s="22">
        <v>197.43100000000001</v>
      </c>
      <c r="Q285" s="22">
        <v>-1.6339099999999999E-2</v>
      </c>
      <c r="R285" s="22">
        <v>275</v>
      </c>
      <c r="S285" s="22">
        <v>1.2841800000000001</v>
      </c>
      <c r="T285">
        <f t="shared" si="50"/>
        <v>16.339099999999998</v>
      </c>
      <c r="U285">
        <f t="shared" si="51"/>
        <v>20.992312289000001</v>
      </c>
      <c r="X285" s="9"/>
      <c r="Y285" s="22">
        <v>0.41519200000000001</v>
      </c>
      <c r="Z285" s="22">
        <v>315.2</v>
      </c>
      <c r="AA285" s="22">
        <v>-1.6970800000000001E-2</v>
      </c>
      <c r="AB285" s="22">
        <v>275</v>
      </c>
      <c r="AC285" s="22">
        <v>0.414551</v>
      </c>
      <c r="AD285">
        <f t="shared" si="52"/>
        <v>16.970800000000001</v>
      </c>
      <c r="AE285">
        <f t="shared" si="53"/>
        <v>7.0461403936</v>
      </c>
      <c r="AF285" s="9"/>
      <c r="AG285" s="22">
        <v>1.2847900000000001</v>
      </c>
      <c r="AH285" s="22">
        <v>380.56599999999997</v>
      </c>
      <c r="AI285" s="22">
        <v>-1.6256699999999999E-2</v>
      </c>
      <c r="AJ285" s="22">
        <v>275</v>
      </c>
      <c r="AK285" s="22">
        <v>1.2838700000000001</v>
      </c>
      <c r="AL285">
        <f t="shared" si="54"/>
        <v>16.256699999999999</v>
      </c>
      <c r="AM285">
        <f t="shared" si="55"/>
        <v>20.886445593000001</v>
      </c>
      <c r="AP285" s="9"/>
      <c r="AQ285" s="22">
        <v>0.41519200000000001</v>
      </c>
      <c r="AR285" s="22">
        <v>469.86700000000002</v>
      </c>
      <c r="AS285" s="22">
        <v>-1.69067E-2</v>
      </c>
      <c r="AT285" s="22">
        <v>275</v>
      </c>
      <c r="AU285" s="22">
        <v>0.41458099999999998</v>
      </c>
      <c r="AV285">
        <f t="shared" si="56"/>
        <v>16.906700000000001</v>
      </c>
      <c r="AW285">
        <f t="shared" si="57"/>
        <v>7.0195265864000005</v>
      </c>
      <c r="AX285" s="9"/>
      <c r="AY285" s="22">
        <v>1.2847900000000001</v>
      </c>
      <c r="AZ285" s="22">
        <v>546.89200000000005</v>
      </c>
      <c r="BA285" s="22">
        <v>-1.6137700000000001E-2</v>
      </c>
      <c r="BB285" s="22">
        <v>275</v>
      </c>
      <c r="BC285" s="22">
        <v>1.2844800000000001</v>
      </c>
      <c r="BD285">
        <f t="shared" si="58"/>
        <v>16.137700000000002</v>
      </c>
      <c r="BE285">
        <f t="shared" si="59"/>
        <v>20.733555583000005</v>
      </c>
    </row>
    <row r="286" spans="6:101">
      <c r="F286" s="9"/>
      <c r="G286" s="22">
        <v>0.41015600000000002</v>
      </c>
      <c r="H286" s="22">
        <v>103.568</v>
      </c>
      <c r="I286" s="22">
        <v>-1.70166E-2</v>
      </c>
      <c r="J286" s="22">
        <v>276</v>
      </c>
      <c r="K286" s="22">
        <v>0.40954600000000002</v>
      </c>
      <c r="L286">
        <f t="shared" si="48"/>
        <v>17.0166</v>
      </c>
      <c r="M286">
        <f t="shared" si="49"/>
        <v>6.9794605896000004</v>
      </c>
      <c r="N286" s="9"/>
      <c r="O286" s="22">
        <v>1.28983</v>
      </c>
      <c r="P286" s="22">
        <v>197.53100000000001</v>
      </c>
      <c r="Q286" s="22">
        <v>-1.63208E-2</v>
      </c>
      <c r="R286" s="22">
        <v>276</v>
      </c>
      <c r="S286" s="22">
        <v>1.2884500000000001</v>
      </c>
      <c r="T286">
        <f t="shared" si="50"/>
        <v>16.320799999999998</v>
      </c>
      <c r="U286">
        <f t="shared" si="51"/>
        <v>21.051057463999999</v>
      </c>
      <c r="X286" s="9"/>
      <c r="Y286" s="22">
        <v>0.41015600000000002</v>
      </c>
      <c r="Z286" s="22">
        <v>315.3</v>
      </c>
      <c r="AA286" s="22">
        <v>-1.6964699999999999E-2</v>
      </c>
      <c r="AB286" s="22">
        <v>276</v>
      </c>
      <c r="AC286" s="22">
        <v>0.409576</v>
      </c>
      <c r="AD286">
        <f t="shared" si="52"/>
        <v>16.964700000000001</v>
      </c>
      <c r="AE286">
        <f t="shared" si="53"/>
        <v>6.9581734932000003</v>
      </c>
      <c r="AF286" s="9"/>
      <c r="AG286" s="22">
        <v>1.28983</v>
      </c>
      <c r="AH286" s="22">
        <v>380.666</v>
      </c>
      <c r="AI286" s="22">
        <v>-1.6247600000000001E-2</v>
      </c>
      <c r="AJ286" s="22">
        <v>276</v>
      </c>
      <c r="AK286" s="22">
        <v>1.2893699999999999</v>
      </c>
      <c r="AL286">
        <f t="shared" si="54"/>
        <v>16.247600000000002</v>
      </c>
      <c r="AM286">
        <f t="shared" si="55"/>
        <v>20.956641908000002</v>
      </c>
      <c r="AP286" s="9"/>
      <c r="AQ286" s="22">
        <v>0.41015600000000002</v>
      </c>
      <c r="AR286" s="22">
        <v>469.96800000000002</v>
      </c>
      <c r="AS286" s="22">
        <v>-1.6900600000000002E-2</v>
      </c>
      <c r="AT286" s="22">
        <v>276</v>
      </c>
      <c r="AU286" s="22">
        <v>0.40945399999999998</v>
      </c>
      <c r="AV286">
        <f t="shared" si="56"/>
        <v>16.900600000000001</v>
      </c>
      <c r="AW286">
        <f t="shared" si="57"/>
        <v>6.9318824936000007</v>
      </c>
      <c r="AX286" s="9"/>
      <c r="AY286" s="22">
        <v>1.28983</v>
      </c>
      <c r="AZ286" s="22">
        <v>546.99300000000005</v>
      </c>
      <c r="BA286" s="22">
        <v>-1.61011E-2</v>
      </c>
      <c r="BB286" s="22">
        <v>276</v>
      </c>
      <c r="BC286" s="22">
        <v>1.2884500000000001</v>
      </c>
      <c r="BD286">
        <f t="shared" si="58"/>
        <v>16.101099999999999</v>
      </c>
      <c r="BE286">
        <f t="shared" si="59"/>
        <v>20.767681812999999</v>
      </c>
    </row>
    <row r="287" spans="6:101">
      <c r="F287" s="9"/>
      <c r="G287" s="22">
        <v>0.40512100000000001</v>
      </c>
      <c r="H287" s="22">
        <v>103.66800000000001</v>
      </c>
      <c r="I287" s="22">
        <v>-1.7007399999999999E-2</v>
      </c>
      <c r="J287" s="22">
        <v>277</v>
      </c>
      <c r="K287" s="22">
        <v>0.40441899999999997</v>
      </c>
      <c r="L287">
        <f t="shared" si="48"/>
        <v>17.007400000000001</v>
      </c>
      <c r="M287">
        <f t="shared" si="49"/>
        <v>6.8900548954000005</v>
      </c>
      <c r="N287" s="9"/>
      <c r="O287" s="22">
        <v>1.2948599999999999</v>
      </c>
      <c r="P287" s="22">
        <v>197.63200000000001</v>
      </c>
      <c r="Q287" s="22">
        <v>-1.6317700000000001E-2</v>
      </c>
      <c r="R287" s="22">
        <v>277</v>
      </c>
      <c r="S287" s="22">
        <v>1.2948599999999999</v>
      </c>
      <c r="T287">
        <f t="shared" si="50"/>
        <v>16.317700000000002</v>
      </c>
      <c r="U287">
        <f t="shared" si="51"/>
        <v>21.129137022000002</v>
      </c>
      <c r="X287" s="9"/>
      <c r="Y287" s="22">
        <v>0.40512100000000001</v>
      </c>
      <c r="Z287" s="22">
        <v>315.40100000000001</v>
      </c>
      <c r="AA287" s="22">
        <v>-1.6970800000000001E-2</v>
      </c>
      <c r="AB287" s="22">
        <v>277</v>
      </c>
      <c r="AC287" s="22">
        <v>0.40448000000000001</v>
      </c>
      <c r="AD287">
        <f t="shared" si="52"/>
        <v>16.970800000000001</v>
      </c>
      <c r="AE287">
        <f t="shared" si="53"/>
        <v>6.8752274668000002</v>
      </c>
      <c r="AF287" s="9"/>
      <c r="AG287" s="22">
        <v>1.2948599999999999</v>
      </c>
      <c r="AH287" s="22">
        <v>380.767</v>
      </c>
      <c r="AI287" s="22">
        <v>-1.6235400000000001E-2</v>
      </c>
      <c r="AJ287" s="22">
        <v>277</v>
      </c>
      <c r="AK287" s="22">
        <v>1.2939499999999999</v>
      </c>
      <c r="AL287">
        <f t="shared" si="54"/>
        <v>16.235400000000002</v>
      </c>
      <c r="AM287">
        <f t="shared" si="55"/>
        <v>21.022570044000002</v>
      </c>
      <c r="AP287" s="9"/>
      <c r="AQ287" s="22">
        <v>0.40512100000000001</v>
      </c>
      <c r="AR287" s="22">
        <v>470.06799999999998</v>
      </c>
      <c r="AS287" s="22">
        <v>-1.6909799999999999E-2</v>
      </c>
      <c r="AT287" s="22">
        <v>277</v>
      </c>
      <c r="AU287" s="22">
        <v>0.40438800000000003</v>
      </c>
      <c r="AV287">
        <f t="shared" si="56"/>
        <v>16.909800000000001</v>
      </c>
      <c r="AW287">
        <f t="shared" si="57"/>
        <v>6.8505150858000006</v>
      </c>
      <c r="AX287" s="9"/>
      <c r="AY287" s="22">
        <v>1.2948599999999999</v>
      </c>
      <c r="AZ287" s="22">
        <v>547.09400000000005</v>
      </c>
      <c r="BA287" s="22">
        <v>-1.6079699999999999E-2</v>
      </c>
      <c r="BB287" s="22">
        <v>277</v>
      </c>
      <c r="BC287" s="22">
        <v>1.2942499999999999</v>
      </c>
      <c r="BD287">
        <f t="shared" si="58"/>
        <v>16.079699999999999</v>
      </c>
      <c r="BE287">
        <f t="shared" si="59"/>
        <v>20.820960341999996</v>
      </c>
    </row>
    <row r="288" spans="6:101">
      <c r="F288" s="9"/>
      <c r="G288" s="22">
        <v>0.40008500000000002</v>
      </c>
      <c r="H288" s="22">
        <v>103.76900000000001</v>
      </c>
      <c r="I288" s="22">
        <v>-1.70166E-2</v>
      </c>
      <c r="J288" s="22">
        <v>278</v>
      </c>
      <c r="K288" s="22">
        <v>0.39941399999999999</v>
      </c>
      <c r="L288">
        <f t="shared" si="48"/>
        <v>17.0166</v>
      </c>
      <c r="M288">
        <f t="shared" si="49"/>
        <v>6.8080864110000006</v>
      </c>
      <c r="N288" s="9"/>
      <c r="O288" s="22">
        <v>1.2999000000000001</v>
      </c>
      <c r="P288" s="22">
        <v>197.733</v>
      </c>
      <c r="Q288" s="22">
        <v>-1.6314700000000001E-2</v>
      </c>
      <c r="R288" s="22">
        <v>278</v>
      </c>
      <c r="S288" s="22">
        <v>1.2988299999999999</v>
      </c>
      <c r="T288">
        <f t="shared" si="50"/>
        <v>16.314700000000002</v>
      </c>
      <c r="U288">
        <f t="shared" si="51"/>
        <v>21.207478530000003</v>
      </c>
      <c r="X288" s="9"/>
      <c r="Y288" s="22">
        <v>0.40008500000000002</v>
      </c>
      <c r="Z288" s="22">
        <v>315.50200000000001</v>
      </c>
      <c r="AA288" s="22">
        <v>-1.6970800000000001E-2</v>
      </c>
      <c r="AB288" s="22">
        <v>278</v>
      </c>
      <c r="AC288" s="22">
        <v>0.39938400000000002</v>
      </c>
      <c r="AD288">
        <f t="shared" si="52"/>
        <v>16.970800000000001</v>
      </c>
      <c r="AE288">
        <f t="shared" si="53"/>
        <v>6.7897625180000007</v>
      </c>
      <c r="AF288" s="9"/>
      <c r="AG288" s="22">
        <v>1.2999000000000001</v>
      </c>
      <c r="AH288" s="22">
        <v>380.86799999999999</v>
      </c>
      <c r="AI288" s="22">
        <v>-1.6235400000000001E-2</v>
      </c>
      <c r="AJ288" s="22">
        <v>278</v>
      </c>
      <c r="AK288" s="22">
        <v>1.2994399999999999</v>
      </c>
      <c r="AL288">
        <f t="shared" si="54"/>
        <v>16.235400000000002</v>
      </c>
      <c r="AM288">
        <f t="shared" si="55"/>
        <v>21.104396460000004</v>
      </c>
      <c r="AP288" s="9"/>
      <c r="AQ288" s="22">
        <v>0.40008500000000002</v>
      </c>
      <c r="AR288" s="22">
        <v>470.16899999999998</v>
      </c>
      <c r="AS288" s="22">
        <v>-1.6915900000000001E-2</v>
      </c>
      <c r="AT288" s="22">
        <v>278</v>
      </c>
      <c r="AU288" s="22">
        <v>0.39944499999999999</v>
      </c>
      <c r="AV288">
        <f t="shared" si="56"/>
        <v>16.915900000000001</v>
      </c>
      <c r="AW288">
        <f t="shared" si="57"/>
        <v>6.767797851500001</v>
      </c>
      <c r="AX288" s="9"/>
      <c r="AY288" s="22">
        <v>1.2999000000000001</v>
      </c>
      <c r="AZ288" s="22">
        <v>547.19399999999996</v>
      </c>
      <c r="BA288" s="22">
        <v>-1.6052199999999999E-2</v>
      </c>
      <c r="BB288" s="22">
        <v>278</v>
      </c>
      <c r="BC288" s="22">
        <v>1.2991299999999999</v>
      </c>
      <c r="BD288">
        <f t="shared" si="58"/>
        <v>16.052199999999999</v>
      </c>
      <c r="BE288">
        <f t="shared" si="59"/>
        <v>20.866254779999998</v>
      </c>
    </row>
    <row r="289" spans="6:57">
      <c r="F289" s="9"/>
      <c r="G289" s="22">
        <v>0.39505000000000001</v>
      </c>
      <c r="H289" s="22">
        <v>103.87</v>
      </c>
      <c r="I289" s="22">
        <v>-1.7022700000000002E-2</v>
      </c>
      <c r="J289" s="22">
        <v>279</v>
      </c>
      <c r="K289" s="22">
        <v>0.394287</v>
      </c>
      <c r="L289">
        <f t="shared" si="48"/>
        <v>17.0227</v>
      </c>
      <c r="M289">
        <f t="shared" si="49"/>
        <v>6.724817635</v>
      </c>
      <c r="N289" s="9"/>
      <c r="O289" s="22">
        <v>1.3049299999999999</v>
      </c>
      <c r="P289" s="22">
        <v>197.833</v>
      </c>
      <c r="Q289" s="22">
        <v>-1.6323899999999999E-2</v>
      </c>
      <c r="R289" s="22">
        <v>279</v>
      </c>
      <c r="S289" s="22">
        <v>1.3043199999999999</v>
      </c>
      <c r="T289">
        <f t="shared" si="50"/>
        <v>16.323899999999998</v>
      </c>
      <c r="U289">
        <f t="shared" si="51"/>
        <v>21.301546826999996</v>
      </c>
      <c r="X289" s="9"/>
      <c r="Y289" s="22">
        <v>0.39505000000000001</v>
      </c>
      <c r="Z289" s="22">
        <v>315.60199999999998</v>
      </c>
      <c r="AA289" s="22">
        <v>-1.6986100000000001E-2</v>
      </c>
      <c r="AB289" s="22">
        <v>279</v>
      </c>
      <c r="AC289" s="22">
        <v>0.39450099999999999</v>
      </c>
      <c r="AD289">
        <f t="shared" si="52"/>
        <v>16.9861</v>
      </c>
      <c r="AE289">
        <f t="shared" si="53"/>
        <v>6.7103588050000003</v>
      </c>
      <c r="AF289" s="9"/>
      <c r="AG289" s="22">
        <v>1.3049299999999999</v>
      </c>
      <c r="AH289" s="22">
        <v>380.96800000000002</v>
      </c>
      <c r="AI289" s="22">
        <v>-1.6241499999999999E-2</v>
      </c>
      <c r="AJ289" s="22">
        <v>279</v>
      </c>
      <c r="AK289" s="22">
        <v>1.3043199999999999</v>
      </c>
      <c r="AL289">
        <f t="shared" si="54"/>
        <v>16.241499999999998</v>
      </c>
      <c r="AM289">
        <f t="shared" si="55"/>
        <v>21.194020594999998</v>
      </c>
      <c r="AP289" s="9"/>
      <c r="AQ289" s="22">
        <v>0.39505000000000001</v>
      </c>
      <c r="AR289" s="22">
        <v>470.27</v>
      </c>
      <c r="AS289" s="22">
        <v>-1.6909799999999999E-2</v>
      </c>
      <c r="AT289" s="22">
        <v>279</v>
      </c>
      <c r="AU289" s="22">
        <v>0.39440900000000001</v>
      </c>
      <c r="AV289">
        <f t="shared" si="56"/>
        <v>16.909800000000001</v>
      </c>
      <c r="AW289">
        <f t="shared" si="57"/>
        <v>6.6802164900000003</v>
      </c>
      <c r="AX289" s="9"/>
      <c r="AY289" s="22">
        <v>1.3049299999999999</v>
      </c>
      <c r="AZ289" s="22">
        <v>547.29499999999996</v>
      </c>
      <c r="BA289" s="22">
        <v>-1.6043100000000001E-2</v>
      </c>
      <c r="BB289" s="22">
        <v>279</v>
      </c>
      <c r="BC289" s="22">
        <v>1.3037099999999999</v>
      </c>
      <c r="BD289">
        <f t="shared" si="58"/>
        <v>16.043100000000003</v>
      </c>
      <c r="BE289">
        <f t="shared" si="59"/>
        <v>20.935122483000001</v>
      </c>
    </row>
    <row r="290" spans="6:57">
      <c r="F290" s="9"/>
      <c r="G290" s="22">
        <v>0.390015</v>
      </c>
      <c r="H290" s="22">
        <v>103.971</v>
      </c>
      <c r="I290" s="22">
        <v>-1.7025800000000001E-2</v>
      </c>
      <c r="J290" s="22">
        <v>280</v>
      </c>
      <c r="K290" s="22">
        <v>0.389374</v>
      </c>
      <c r="L290">
        <f t="shared" si="48"/>
        <v>17.0258</v>
      </c>
      <c r="M290">
        <f t="shared" si="49"/>
        <v>6.6403173870000005</v>
      </c>
      <c r="N290" s="9"/>
      <c r="O290" s="22">
        <v>1.3099700000000001</v>
      </c>
      <c r="P290" s="22">
        <v>197.934</v>
      </c>
      <c r="Q290" s="22">
        <v>-1.6339099999999999E-2</v>
      </c>
      <c r="R290" s="22">
        <v>280</v>
      </c>
      <c r="S290" s="22">
        <v>1.3091999999999999</v>
      </c>
      <c r="T290">
        <f t="shared" si="50"/>
        <v>16.339099999999998</v>
      </c>
      <c r="U290">
        <f t="shared" si="51"/>
        <v>21.403730827</v>
      </c>
      <c r="X290" s="9"/>
      <c r="Y290" s="22">
        <v>0.390015</v>
      </c>
      <c r="Z290" s="22">
        <v>315.70299999999997</v>
      </c>
      <c r="AA290" s="22">
        <v>-1.69769E-2</v>
      </c>
      <c r="AB290" s="22">
        <v>280</v>
      </c>
      <c r="AC290" s="22">
        <v>0.38934299999999999</v>
      </c>
      <c r="AD290">
        <f t="shared" si="52"/>
        <v>16.976900000000001</v>
      </c>
      <c r="AE290">
        <f t="shared" si="53"/>
        <v>6.6212456534999999</v>
      </c>
      <c r="AF290" s="9"/>
      <c r="AG290" s="22">
        <v>1.3099700000000001</v>
      </c>
      <c r="AH290" s="22">
        <v>381.06900000000002</v>
      </c>
      <c r="AI290" s="22">
        <v>-1.62262E-2</v>
      </c>
      <c r="AJ290" s="22">
        <v>280</v>
      </c>
      <c r="AK290" s="22">
        <v>1.3091999999999999</v>
      </c>
      <c r="AL290">
        <f t="shared" si="54"/>
        <v>16.226199999999999</v>
      </c>
      <c r="AM290">
        <f t="shared" si="55"/>
        <v>21.255835214000001</v>
      </c>
      <c r="AP290" s="9"/>
      <c r="AQ290" s="22">
        <v>0.390015</v>
      </c>
      <c r="AR290" s="22">
        <v>470.37099999999998</v>
      </c>
      <c r="AS290" s="22">
        <v>-1.6928100000000001E-2</v>
      </c>
      <c r="AT290" s="22">
        <v>280</v>
      </c>
      <c r="AU290" s="22">
        <v>0.38934299999999999</v>
      </c>
      <c r="AV290">
        <f t="shared" si="56"/>
        <v>16.928100000000001</v>
      </c>
      <c r="AW290">
        <f t="shared" si="57"/>
        <v>6.6022129215000005</v>
      </c>
      <c r="AX290" s="9"/>
      <c r="AY290" s="22">
        <v>1.3099700000000001</v>
      </c>
      <c r="AZ290" s="22">
        <v>547.39599999999996</v>
      </c>
      <c r="BA290" s="22">
        <v>-1.60614E-2</v>
      </c>
      <c r="BB290" s="22">
        <v>280</v>
      </c>
      <c r="BC290" s="22">
        <v>1.3091999999999999</v>
      </c>
      <c r="BD290">
        <f t="shared" si="58"/>
        <v>16.061399999999999</v>
      </c>
      <c r="BE290">
        <f t="shared" si="59"/>
        <v>21.039952157999998</v>
      </c>
    </row>
    <row r="291" spans="6:57">
      <c r="F291" s="9"/>
      <c r="G291" s="22">
        <v>0.38497900000000002</v>
      </c>
      <c r="H291" s="22">
        <v>104.071</v>
      </c>
      <c r="I291" s="22">
        <v>-1.7038000000000001E-2</v>
      </c>
      <c r="J291" s="22">
        <v>281</v>
      </c>
      <c r="K291" s="22">
        <v>0.38430799999999998</v>
      </c>
      <c r="L291">
        <f t="shared" si="48"/>
        <v>17.038</v>
      </c>
      <c r="M291">
        <f t="shared" si="49"/>
        <v>6.5592722020000007</v>
      </c>
      <c r="N291" s="9"/>
      <c r="O291" s="22">
        <v>1.3149999999999999</v>
      </c>
      <c r="P291" s="22">
        <v>198.035</v>
      </c>
      <c r="Q291" s="22">
        <v>-1.6314700000000001E-2</v>
      </c>
      <c r="R291" s="22">
        <v>281</v>
      </c>
      <c r="S291" s="22">
        <v>1.3143899999999999</v>
      </c>
      <c r="T291">
        <f t="shared" si="50"/>
        <v>16.314700000000002</v>
      </c>
      <c r="U291">
        <f t="shared" si="51"/>
        <v>21.453830500000002</v>
      </c>
      <c r="X291" s="9"/>
      <c r="Y291" s="22">
        <v>0.38497900000000002</v>
      </c>
      <c r="Z291" s="22">
        <v>315.80399999999997</v>
      </c>
      <c r="AA291" s="22">
        <v>-1.6995199999999999E-2</v>
      </c>
      <c r="AB291" s="22">
        <v>281</v>
      </c>
      <c r="AC291" s="22">
        <v>0.384216</v>
      </c>
      <c r="AD291">
        <f t="shared" si="52"/>
        <v>16.995199999999997</v>
      </c>
      <c r="AE291">
        <f t="shared" si="53"/>
        <v>6.5427951007999994</v>
      </c>
      <c r="AF291" s="9"/>
      <c r="AG291" s="22">
        <v>1.3149999999999999</v>
      </c>
      <c r="AH291" s="22">
        <v>381.17</v>
      </c>
      <c r="AI291" s="22">
        <v>-1.6220100000000001E-2</v>
      </c>
      <c r="AJ291" s="22">
        <v>281</v>
      </c>
      <c r="AK291" s="22">
        <v>1.31409</v>
      </c>
      <c r="AL291">
        <f t="shared" si="54"/>
        <v>16.220100000000002</v>
      </c>
      <c r="AM291">
        <f t="shared" si="55"/>
        <v>21.329431500000002</v>
      </c>
      <c r="AP291" s="9"/>
      <c r="AQ291" s="22">
        <v>0.38497900000000002</v>
      </c>
      <c r="AR291" s="22">
        <v>470.471</v>
      </c>
      <c r="AS291" s="22">
        <v>-1.6928100000000001E-2</v>
      </c>
      <c r="AT291" s="22">
        <v>281</v>
      </c>
      <c r="AU291" s="22">
        <v>0.38439899999999999</v>
      </c>
      <c r="AV291">
        <f t="shared" si="56"/>
        <v>16.928100000000001</v>
      </c>
      <c r="AW291">
        <f t="shared" si="57"/>
        <v>6.5169630099000004</v>
      </c>
      <c r="AX291" s="9"/>
      <c r="AY291" s="22">
        <v>1.3149999999999999</v>
      </c>
      <c r="AZ291" s="22">
        <v>547.49699999999996</v>
      </c>
      <c r="BA291" s="22">
        <v>-1.6036999999999999E-2</v>
      </c>
      <c r="BB291" s="22">
        <v>281</v>
      </c>
      <c r="BC291" s="22">
        <v>1.3137799999999999</v>
      </c>
      <c r="BD291">
        <f t="shared" si="58"/>
        <v>16.036999999999999</v>
      </c>
      <c r="BE291">
        <f t="shared" si="59"/>
        <v>21.088654999999999</v>
      </c>
    </row>
    <row r="292" spans="6:57">
      <c r="F292" s="9"/>
      <c r="G292" s="22">
        <v>0.379944</v>
      </c>
      <c r="H292" s="22">
        <v>104.172</v>
      </c>
      <c r="I292" s="22">
        <v>-1.70288E-2</v>
      </c>
      <c r="J292" s="22">
        <v>282</v>
      </c>
      <c r="K292" s="22">
        <v>0.37933299999999998</v>
      </c>
      <c r="L292">
        <f t="shared" si="48"/>
        <v>17.0288</v>
      </c>
      <c r="M292">
        <f t="shared" si="49"/>
        <v>6.4699903872000002</v>
      </c>
      <c r="N292" s="9"/>
      <c r="O292" s="22">
        <v>1.3200400000000001</v>
      </c>
      <c r="P292" s="22">
        <v>198.13499999999999</v>
      </c>
      <c r="Q292" s="22">
        <v>-1.6290300000000001E-2</v>
      </c>
      <c r="R292" s="22">
        <v>282</v>
      </c>
      <c r="S292" s="22">
        <v>1.31958</v>
      </c>
      <c r="T292">
        <f t="shared" si="50"/>
        <v>16.290300000000002</v>
      </c>
      <c r="U292">
        <f t="shared" si="51"/>
        <v>21.503847612000005</v>
      </c>
      <c r="X292" s="9"/>
      <c r="Y292" s="22">
        <v>0.379944</v>
      </c>
      <c r="Z292" s="22">
        <v>315.904</v>
      </c>
      <c r="AA292" s="22">
        <v>-1.6986100000000001E-2</v>
      </c>
      <c r="AB292" s="22">
        <v>282</v>
      </c>
      <c r="AC292" s="22">
        <v>0.37933299999999998</v>
      </c>
      <c r="AD292">
        <f t="shared" si="52"/>
        <v>16.9861</v>
      </c>
      <c r="AE292">
        <f t="shared" si="53"/>
        <v>6.4537667784000003</v>
      </c>
      <c r="AF292" s="9"/>
      <c r="AG292" s="22">
        <v>1.3200400000000001</v>
      </c>
      <c r="AH292" s="22">
        <v>381.27100000000002</v>
      </c>
      <c r="AI292" s="22">
        <v>-1.6189599999999998E-2</v>
      </c>
      <c r="AJ292" s="22">
        <v>282</v>
      </c>
      <c r="AK292" s="22">
        <v>1.31958</v>
      </c>
      <c r="AL292">
        <f t="shared" si="54"/>
        <v>16.189599999999999</v>
      </c>
      <c r="AM292">
        <f t="shared" si="55"/>
        <v>21.370919583999999</v>
      </c>
      <c r="AP292" s="9"/>
      <c r="AQ292" s="22">
        <v>0.379944</v>
      </c>
      <c r="AR292" s="22">
        <v>470.572</v>
      </c>
      <c r="AS292" s="22">
        <v>-1.6922E-2</v>
      </c>
      <c r="AT292" s="22">
        <v>282</v>
      </c>
      <c r="AU292" s="22">
        <v>0.37921100000000002</v>
      </c>
      <c r="AV292">
        <f t="shared" si="56"/>
        <v>16.922000000000001</v>
      </c>
      <c r="AW292">
        <f t="shared" si="57"/>
        <v>6.4294123680000004</v>
      </c>
      <c r="AX292" s="9"/>
      <c r="AY292" s="22">
        <v>1.3200400000000001</v>
      </c>
      <c r="AZ292" s="22">
        <v>547.59699999999998</v>
      </c>
      <c r="BA292" s="22">
        <v>-1.6030900000000001E-2</v>
      </c>
      <c r="BB292" s="22">
        <v>282</v>
      </c>
      <c r="BC292" s="22">
        <v>1.3192699999999999</v>
      </c>
      <c r="BD292">
        <f t="shared" si="58"/>
        <v>16.030899999999999</v>
      </c>
      <c r="BE292">
        <f t="shared" si="59"/>
        <v>21.161429236</v>
      </c>
    </row>
    <row r="293" spans="6:57">
      <c r="F293" s="9"/>
      <c r="G293" s="22">
        <v>0.37490800000000002</v>
      </c>
      <c r="H293" s="22">
        <v>104.273</v>
      </c>
      <c r="I293" s="22">
        <v>-1.7022700000000002E-2</v>
      </c>
      <c r="J293" s="22">
        <v>283</v>
      </c>
      <c r="K293" s="22">
        <v>0.37420700000000001</v>
      </c>
      <c r="L293">
        <f t="shared" si="48"/>
        <v>17.0227</v>
      </c>
      <c r="M293">
        <f t="shared" si="49"/>
        <v>6.3819464116000004</v>
      </c>
      <c r="N293" s="9"/>
      <c r="O293" s="22">
        <v>1.32507</v>
      </c>
      <c r="P293" s="22">
        <v>198.23599999999999</v>
      </c>
      <c r="Q293" s="22">
        <v>-1.6271999999999998E-2</v>
      </c>
      <c r="R293" s="22">
        <v>283</v>
      </c>
      <c r="S293" s="22">
        <v>1.32355</v>
      </c>
      <c r="T293">
        <f t="shared" si="50"/>
        <v>16.271999999999998</v>
      </c>
      <c r="U293">
        <f t="shared" si="51"/>
        <v>21.561539039999996</v>
      </c>
      <c r="X293" s="9"/>
      <c r="Y293" s="22">
        <v>0.37490800000000002</v>
      </c>
      <c r="Z293" s="22">
        <v>316.005</v>
      </c>
      <c r="AA293" s="22">
        <v>-1.6986100000000001E-2</v>
      </c>
      <c r="AB293" s="22">
        <v>283</v>
      </c>
      <c r="AC293" s="22">
        <v>0.37423699999999999</v>
      </c>
      <c r="AD293">
        <f t="shared" si="52"/>
        <v>16.9861</v>
      </c>
      <c r="AE293">
        <f t="shared" si="53"/>
        <v>6.3682247788000002</v>
      </c>
      <c r="AF293" s="9"/>
      <c r="AG293" s="22">
        <v>1.32507</v>
      </c>
      <c r="AH293" s="22">
        <v>381.37099999999998</v>
      </c>
      <c r="AI293" s="22">
        <v>-1.6174299999999999E-2</v>
      </c>
      <c r="AJ293" s="22">
        <v>283</v>
      </c>
      <c r="AK293" s="22">
        <v>1.32416</v>
      </c>
      <c r="AL293">
        <f t="shared" si="54"/>
        <v>16.174299999999999</v>
      </c>
      <c r="AM293">
        <f t="shared" si="55"/>
        <v>21.432079700999999</v>
      </c>
      <c r="AP293" s="9"/>
      <c r="AQ293" s="22">
        <v>0.37490800000000002</v>
      </c>
      <c r="AR293" s="22">
        <v>470.673</v>
      </c>
      <c r="AS293" s="22">
        <v>-1.69342E-2</v>
      </c>
      <c r="AT293" s="22">
        <v>283</v>
      </c>
      <c r="AU293" s="22">
        <v>0.37426799999999999</v>
      </c>
      <c r="AV293">
        <f t="shared" si="56"/>
        <v>16.934200000000001</v>
      </c>
      <c r="AW293">
        <f t="shared" si="57"/>
        <v>6.3487670536000005</v>
      </c>
      <c r="AX293" s="9"/>
      <c r="AY293" s="22">
        <v>1.32507</v>
      </c>
      <c r="AZ293" s="22">
        <v>547.69799999999998</v>
      </c>
      <c r="BA293" s="22">
        <v>-1.60217E-2</v>
      </c>
      <c r="BB293" s="22">
        <v>283</v>
      </c>
      <c r="BC293" s="22">
        <v>1.32416</v>
      </c>
      <c r="BD293">
        <f t="shared" si="58"/>
        <v>16.021699999999999</v>
      </c>
      <c r="BE293">
        <f t="shared" si="59"/>
        <v>21.229874018999997</v>
      </c>
    </row>
    <row r="294" spans="6:57">
      <c r="F294" s="9"/>
      <c r="G294" s="22">
        <v>0.36987300000000001</v>
      </c>
      <c r="H294" s="22">
        <v>104.373</v>
      </c>
      <c r="I294" s="22">
        <v>-1.7038000000000001E-2</v>
      </c>
      <c r="J294" s="22">
        <v>284</v>
      </c>
      <c r="K294" s="22">
        <v>0.36917100000000003</v>
      </c>
      <c r="L294">
        <f t="shared" si="48"/>
        <v>17.038</v>
      </c>
      <c r="M294">
        <f t="shared" si="49"/>
        <v>6.3018961740000004</v>
      </c>
      <c r="N294" s="9"/>
      <c r="O294" s="22">
        <v>1.3301099999999999</v>
      </c>
      <c r="P294" s="22">
        <v>198.33699999999999</v>
      </c>
      <c r="Q294" s="22">
        <v>-1.6256699999999999E-2</v>
      </c>
      <c r="R294" s="22">
        <v>284</v>
      </c>
      <c r="S294" s="22">
        <v>1.32904</v>
      </c>
      <c r="T294">
        <f t="shared" si="50"/>
        <v>16.256699999999999</v>
      </c>
      <c r="U294">
        <f t="shared" si="51"/>
        <v>21.623199236999998</v>
      </c>
      <c r="X294" s="9"/>
      <c r="Y294" s="22">
        <v>0.36987300000000001</v>
      </c>
      <c r="Z294" s="22">
        <v>316.10599999999999</v>
      </c>
      <c r="AA294" s="22">
        <v>-1.6992199999999999E-2</v>
      </c>
      <c r="AB294" s="22">
        <v>284</v>
      </c>
      <c r="AC294" s="22">
        <v>0.36920199999999997</v>
      </c>
      <c r="AD294">
        <f t="shared" si="52"/>
        <v>16.9922</v>
      </c>
      <c r="AE294">
        <f t="shared" si="53"/>
        <v>6.2849559906000003</v>
      </c>
      <c r="AF294" s="9"/>
      <c r="AG294" s="22">
        <v>1.3301099999999999</v>
      </c>
      <c r="AH294" s="22">
        <v>381.47199999999998</v>
      </c>
      <c r="AI294" s="22">
        <v>-1.6149899999999998E-2</v>
      </c>
      <c r="AJ294" s="22">
        <v>284</v>
      </c>
      <c r="AK294" s="22">
        <v>1.32904</v>
      </c>
      <c r="AL294">
        <f t="shared" si="54"/>
        <v>16.149899999999999</v>
      </c>
      <c r="AM294">
        <f t="shared" si="55"/>
        <v>21.481143488999997</v>
      </c>
      <c r="AP294" s="9"/>
      <c r="AQ294" s="22">
        <v>0.36987300000000001</v>
      </c>
      <c r="AR294" s="22">
        <v>470.77300000000002</v>
      </c>
      <c r="AS294" s="22">
        <v>-1.69312E-2</v>
      </c>
      <c r="AT294" s="22">
        <v>284</v>
      </c>
      <c r="AU294" s="22">
        <v>0.36932399999999999</v>
      </c>
      <c r="AV294">
        <f t="shared" si="56"/>
        <v>16.9312</v>
      </c>
      <c r="AW294">
        <f t="shared" si="57"/>
        <v>6.2623937376000001</v>
      </c>
      <c r="AX294" s="9"/>
      <c r="AY294" s="22">
        <v>1.3301099999999999</v>
      </c>
      <c r="AZ294" s="22">
        <v>547.79899999999998</v>
      </c>
      <c r="BA294" s="22">
        <v>-1.5982099999999999E-2</v>
      </c>
      <c r="BB294" s="22">
        <v>284</v>
      </c>
      <c r="BC294" s="22">
        <v>1.32904</v>
      </c>
      <c r="BD294">
        <f t="shared" si="58"/>
        <v>15.982099999999999</v>
      </c>
      <c r="BE294">
        <f t="shared" si="59"/>
        <v>21.257951030999997</v>
      </c>
    </row>
    <row r="295" spans="6:57">
      <c r="F295" s="9"/>
      <c r="G295" s="22">
        <v>0.364838</v>
      </c>
      <c r="H295" s="22">
        <v>104.474</v>
      </c>
      <c r="I295" s="22">
        <v>-1.7034899999999999E-2</v>
      </c>
      <c r="J295" s="22">
        <v>285</v>
      </c>
      <c r="K295" s="22">
        <v>0.36422700000000002</v>
      </c>
      <c r="L295">
        <f t="shared" si="48"/>
        <v>17.0349</v>
      </c>
      <c r="M295">
        <f t="shared" si="49"/>
        <v>6.2149788462000002</v>
      </c>
      <c r="N295" s="9"/>
      <c r="O295" s="22">
        <v>1.33514</v>
      </c>
      <c r="P295" s="22">
        <v>198.43799999999999</v>
      </c>
      <c r="Q295" s="22">
        <v>-1.62506E-2</v>
      </c>
      <c r="R295" s="22">
        <v>285</v>
      </c>
      <c r="S295" s="22">
        <v>1.33453</v>
      </c>
      <c r="T295">
        <f t="shared" si="50"/>
        <v>16.250600000000002</v>
      </c>
      <c r="U295">
        <f t="shared" si="51"/>
        <v>21.696826084000001</v>
      </c>
      <c r="X295" s="9"/>
      <c r="Y295" s="22">
        <v>0.364838</v>
      </c>
      <c r="Z295" s="22">
        <v>316.20699999999999</v>
      </c>
      <c r="AA295" s="22">
        <v>-1.70013E-2</v>
      </c>
      <c r="AB295" s="22">
        <v>285</v>
      </c>
      <c r="AC295" s="22">
        <v>0.36416599999999999</v>
      </c>
      <c r="AD295">
        <f t="shared" si="52"/>
        <v>17.001300000000001</v>
      </c>
      <c r="AE295">
        <f t="shared" si="53"/>
        <v>6.2027202894000002</v>
      </c>
      <c r="AF295" s="9"/>
      <c r="AG295" s="22">
        <v>1.33514</v>
      </c>
      <c r="AH295" s="22">
        <v>381.57299999999998</v>
      </c>
      <c r="AI295" s="22">
        <v>-1.6168200000000001E-2</v>
      </c>
      <c r="AJ295" s="22">
        <v>285</v>
      </c>
      <c r="AK295" s="22">
        <v>1.33453</v>
      </c>
      <c r="AL295">
        <f t="shared" si="54"/>
        <v>16.168200000000002</v>
      </c>
      <c r="AM295">
        <f t="shared" si="55"/>
        <v>21.586810548000003</v>
      </c>
      <c r="AP295" s="9"/>
      <c r="AQ295" s="22">
        <v>0.364838</v>
      </c>
      <c r="AR295" s="22">
        <v>470.87400000000002</v>
      </c>
      <c r="AS295" s="22">
        <v>-1.69342E-2</v>
      </c>
      <c r="AT295" s="22">
        <v>285</v>
      </c>
      <c r="AU295" s="22">
        <v>0.36419699999999999</v>
      </c>
      <c r="AV295">
        <f t="shared" si="56"/>
        <v>16.934200000000001</v>
      </c>
      <c r="AW295">
        <f t="shared" si="57"/>
        <v>6.1782396596</v>
      </c>
      <c r="AX295" s="9"/>
      <c r="AY295" s="22">
        <v>1.33514</v>
      </c>
      <c r="AZ295" s="22">
        <v>547.899</v>
      </c>
      <c r="BA295" s="22">
        <v>-1.5963700000000001E-2</v>
      </c>
      <c r="BB295" s="22">
        <v>285</v>
      </c>
      <c r="BC295" s="22">
        <v>1.33392</v>
      </c>
      <c r="BD295">
        <f t="shared" si="58"/>
        <v>15.963700000000001</v>
      </c>
      <c r="BE295">
        <f t="shared" si="59"/>
        <v>21.313774418000001</v>
      </c>
    </row>
    <row r="296" spans="6:57">
      <c r="F296" s="9"/>
      <c r="G296" s="22">
        <v>0.35980200000000001</v>
      </c>
      <c r="H296" s="22">
        <v>104.575</v>
      </c>
      <c r="I296" s="22">
        <v>-1.70441E-2</v>
      </c>
      <c r="J296" s="22">
        <v>286</v>
      </c>
      <c r="K296" s="22">
        <v>0.35907</v>
      </c>
      <c r="L296">
        <f t="shared" si="48"/>
        <v>17.0441</v>
      </c>
      <c r="M296">
        <f t="shared" si="49"/>
        <v>6.1325012682000004</v>
      </c>
      <c r="N296" s="9"/>
      <c r="O296" s="22">
        <v>1.3401799999999999</v>
      </c>
      <c r="P296" s="22">
        <v>198.53800000000001</v>
      </c>
      <c r="Q296" s="22">
        <v>-1.6235400000000001E-2</v>
      </c>
      <c r="R296" s="22">
        <v>286</v>
      </c>
      <c r="S296" s="22">
        <v>1.3394200000000001</v>
      </c>
      <c r="T296">
        <f t="shared" si="50"/>
        <v>16.235400000000002</v>
      </c>
      <c r="U296">
        <f t="shared" si="51"/>
        <v>21.758358372</v>
      </c>
      <c r="X296" s="9"/>
      <c r="Y296" s="22">
        <v>0.35980200000000001</v>
      </c>
      <c r="Z296" s="22">
        <v>316.30700000000002</v>
      </c>
      <c r="AA296" s="22">
        <v>-1.6992199999999999E-2</v>
      </c>
      <c r="AB296" s="22">
        <v>286</v>
      </c>
      <c r="AC296" s="22">
        <v>0.35913099999999998</v>
      </c>
      <c r="AD296">
        <f t="shared" si="52"/>
        <v>16.9922</v>
      </c>
      <c r="AE296">
        <f t="shared" si="53"/>
        <v>6.1138275444000003</v>
      </c>
      <c r="AF296" s="9"/>
      <c r="AG296" s="22">
        <v>1.3401799999999999</v>
      </c>
      <c r="AH296" s="22">
        <v>381.673</v>
      </c>
      <c r="AI296" s="22">
        <v>-1.6137700000000001E-2</v>
      </c>
      <c r="AJ296" s="22">
        <v>286</v>
      </c>
      <c r="AK296" s="22">
        <v>1.33911</v>
      </c>
      <c r="AL296">
        <f t="shared" si="54"/>
        <v>16.137700000000002</v>
      </c>
      <c r="AM296">
        <f t="shared" si="55"/>
        <v>21.627422786</v>
      </c>
      <c r="AP296" s="9"/>
      <c r="AQ296" s="22">
        <v>0.35980200000000001</v>
      </c>
      <c r="AR296" s="22">
        <v>470.97500000000002</v>
      </c>
      <c r="AS296" s="22">
        <v>-1.6937299999999999E-2</v>
      </c>
      <c r="AT296" s="22">
        <v>286</v>
      </c>
      <c r="AU296" s="22">
        <v>0.35913099999999998</v>
      </c>
      <c r="AV296">
        <f t="shared" si="56"/>
        <v>16.9373</v>
      </c>
      <c r="AW296">
        <f t="shared" si="57"/>
        <v>6.0940744146000005</v>
      </c>
      <c r="AX296" s="9"/>
      <c r="AY296" s="22">
        <v>1.3401799999999999</v>
      </c>
      <c r="AZ296" s="22">
        <v>548</v>
      </c>
      <c r="BA296" s="22">
        <v>-1.5899699999999999E-2</v>
      </c>
      <c r="BB296" s="22">
        <v>286</v>
      </c>
      <c r="BC296" s="22">
        <v>1.33911</v>
      </c>
      <c r="BD296">
        <f t="shared" si="58"/>
        <v>15.899699999999999</v>
      </c>
      <c r="BE296">
        <f t="shared" si="59"/>
        <v>21.308459945999999</v>
      </c>
    </row>
    <row r="297" spans="6:57">
      <c r="F297" s="9"/>
      <c r="G297" s="22">
        <v>0.354767</v>
      </c>
      <c r="H297" s="22">
        <v>104.675</v>
      </c>
      <c r="I297" s="22">
        <v>-1.7047099999999999E-2</v>
      </c>
      <c r="J297" s="22">
        <v>287</v>
      </c>
      <c r="K297" s="22">
        <v>0.35418699999999997</v>
      </c>
      <c r="L297">
        <f t="shared" si="48"/>
        <v>17.0471</v>
      </c>
      <c r="M297">
        <f t="shared" si="49"/>
        <v>6.0477485257000003</v>
      </c>
      <c r="N297" s="9"/>
      <c r="O297" s="22">
        <v>1.34521</v>
      </c>
      <c r="P297" s="22">
        <v>198.63900000000001</v>
      </c>
      <c r="Q297" s="22">
        <v>-1.62262E-2</v>
      </c>
      <c r="R297" s="22">
        <v>287</v>
      </c>
      <c r="S297" s="22">
        <v>1.3446</v>
      </c>
      <c r="T297">
        <f t="shared" si="50"/>
        <v>16.226199999999999</v>
      </c>
      <c r="U297">
        <f t="shared" si="51"/>
        <v>21.827646501999997</v>
      </c>
      <c r="X297" s="9"/>
      <c r="Y297" s="22">
        <v>0.354767</v>
      </c>
      <c r="Z297" s="22">
        <v>316.40800000000002</v>
      </c>
      <c r="AA297" s="22">
        <v>-1.6995199999999999E-2</v>
      </c>
      <c r="AB297" s="22">
        <v>287</v>
      </c>
      <c r="AC297" s="22">
        <v>0.35418699999999997</v>
      </c>
      <c r="AD297">
        <f t="shared" si="52"/>
        <v>16.995199999999997</v>
      </c>
      <c r="AE297">
        <f t="shared" si="53"/>
        <v>6.0293361183999989</v>
      </c>
      <c r="AF297" s="9"/>
      <c r="AG297" s="22">
        <v>1.34521</v>
      </c>
      <c r="AH297" s="22">
        <v>381.774</v>
      </c>
      <c r="AI297" s="22">
        <v>-1.6119399999999999E-2</v>
      </c>
      <c r="AJ297" s="22">
        <v>287</v>
      </c>
      <c r="AK297" s="22">
        <v>1.34399</v>
      </c>
      <c r="AL297">
        <f t="shared" si="54"/>
        <v>16.119399999999999</v>
      </c>
      <c r="AM297">
        <f t="shared" si="55"/>
        <v>21.683978073999999</v>
      </c>
      <c r="AP297" s="9"/>
      <c r="AQ297" s="22">
        <v>0.354767</v>
      </c>
      <c r="AR297" s="22">
        <v>471.07600000000002</v>
      </c>
      <c r="AS297" s="22">
        <v>-1.6940299999999998E-2</v>
      </c>
      <c r="AT297" s="22">
        <v>287</v>
      </c>
      <c r="AU297" s="22">
        <v>0.354126</v>
      </c>
      <c r="AV297">
        <f t="shared" si="56"/>
        <v>16.940299999999997</v>
      </c>
      <c r="AW297">
        <f t="shared" si="57"/>
        <v>6.0098594100999989</v>
      </c>
      <c r="AX297" s="9"/>
      <c r="AY297" s="22">
        <v>1.34521</v>
      </c>
      <c r="AZ297" s="22">
        <v>548.101</v>
      </c>
      <c r="BA297" s="22">
        <v>-1.5893600000000001E-2</v>
      </c>
      <c r="BB297" s="22">
        <v>287</v>
      </c>
      <c r="BC297" s="22">
        <v>1.3446</v>
      </c>
      <c r="BD297">
        <f t="shared" si="58"/>
        <v>15.893600000000001</v>
      </c>
      <c r="BE297">
        <f t="shared" si="59"/>
        <v>21.380229656000001</v>
      </c>
    </row>
    <row r="298" spans="6:57">
      <c r="F298" s="9"/>
      <c r="G298" s="22">
        <v>0.34973100000000001</v>
      </c>
      <c r="H298" s="22">
        <v>104.776</v>
      </c>
      <c r="I298" s="22">
        <v>-1.7059299999999999E-2</v>
      </c>
      <c r="J298" s="22">
        <v>288</v>
      </c>
      <c r="K298" s="22">
        <v>0.34905999999999998</v>
      </c>
      <c r="L298">
        <f t="shared" si="48"/>
        <v>17.0593</v>
      </c>
      <c r="M298">
        <f t="shared" si="49"/>
        <v>5.9661660483000007</v>
      </c>
      <c r="N298" s="9"/>
      <c r="O298" s="22">
        <v>1.35025</v>
      </c>
      <c r="P298" s="22">
        <v>198.74</v>
      </c>
      <c r="Q298" s="22">
        <v>-1.6232300000000002E-2</v>
      </c>
      <c r="R298" s="22">
        <v>288</v>
      </c>
      <c r="S298" s="22">
        <v>1.34918</v>
      </c>
      <c r="T298">
        <f t="shared" si="50"/>
        <v>16.232300000000002</v>
      </c>
      <c r="U298">
        <f t="shared" si="51"/>
        <v>21.917663075000004</v>
      </c>
      <c r="X298" s="9"/>
      <c r="Y298" s="22">
        <v>0.34973100000000001</v>
      </c>
      <c r="Z298" s="22">
        <v>316.50900000000001</v>
      </c>
      <c r="AA298" s="22">
        <v>-1.6992199999999999E-2</v>
      </c>
      <c r="AB298" s="22">
        <v>288</v>
      </c>
      <c r="AC298" s="22">
        <v>0.34896899999999997</v>
      </c>
      <c r="AD298">
        <f t="shared" si="52"/>
        <v>16.9922</v>
      </c>
      <c r="AE298">
        <f t="shared" si="53"/>
        <v>5.9426990982000003</v>
      </c>
      <c r="AF298" s="9"/>
      <c r="AG298" s="22">
        <v>1.35025</v>
      </c>
      <c r="AH298" s="22">
        <v>381.875</v>
      </c>
      <c r="AI298" s="22">
        <v>-1.61285E-2</v>
      </c>
      <c r="AJ298" s="22">
        <v>288</v>
      </c>
      <c r="AK298" s="22">
        <v>1.3501000000000001</v>
      </c>
      <c r="AL298">
        <f t="shared" si="54"/>
        <v>16.128499999999999</v>
      </c>
      <c r="AM298">
        <f t="shared" si="55"/>
        <v>21.777507124999996</v>
      </c>
      <c r="AP298" s="9"/>
      <c r="AQ298" s="22">
        <v>0.34973100000000001</v>
      </c>
      <c r="AR298" s="22">
        <v>471.17599999999999</v>
      </c>
      <c r="AS298" s="22">
        <v>-1.6928100000000001E-2</v>
      </c>
      <c r="AT298" s="22">
        <v>288</v>
      </c>
      <c r="AU298" s="22">
        <v>0.34905999999999998</v>
      </c>
      <c r="AV298">
        <f t="shared" si="56"/>
        <v>16.928100000000001</v>
      </c>
      <c r="AW298">
        <f t="shared" si="57"/>
        <v>5.9202813411000008</v>
      </c>
      <c r="AX298" s="9"/>
      <c r="AY298" s="22">
        <v>1.35025</v>
      </c>
      <c r="AZ298" s="22">
        <v>548.202</v>
      </c>
      <c r="BA298" s="22">
        <v>-1.5866100000000001E-2</v>
      </c>
      <c r="BB298" s="22">
        <v>288</v>
      </c>
      <c r="BC298" s="22">
        <v>1.3494900000000001</v>
      </c>
      <c r="BD298">
        <f t="shared" si="58"/>
        <v>15.866100000000001</v>
      </c>
      <c r="BE298">
        <f t="shared" si="59"/>
        <v>21.423201525</v>
      </c>
    </row>
    <row r="299" spans="6:57">
      <c r="F299" s="9"/>
      <c r="G299" s="22">
        <v>0.344696</v>
      </c>
      <c r="H299" s="22">
        <v>104.877</v>
      </c>
      <c r="I299" s="22">
        <v>-1.7065400000000001E-2</v>
      </c>
      <c r="J299" s="22">
        <v>289</v>
      </c>
      <c r="K299" s="22">
        <v>0.34414699999999998</v>
      </c>
      <c r="L299">
        <f t="shared" si="48"/>
        <v>17.0654</v>
      </c>
      <c r="M299">
        <f t="shared" si="49"/>
        <v>5.8823751184000006</v>
      </c>
      <c r="N299" s="9"/>
      <c r="O299" s="22">
        <v>1.3552900000000001</v>
      </c>
      <c r="P299" s="22">
        <v>198.84</v>
      </c>
      <c r="Q299" s="22">
        <v>-1.62262E-2</v>
      </c>
      <c r="R299" s="22">
        <v>289</v>
      </c>
      <c r="S299" s="22">
        <v>1.35406</v>
      </c>
      <c r="T299">
        <f t="shared" si="50"/>
        <v>16.226199999999999</v>
      </c>
      <c r="U299">
        <f t="shared" si="51"/>
        <v>21.991206598000002</v>
      </c>
      <c r="X299" s="9"/>
      <c r="Y299" s="22">
        <v>0.344696</v>
      </c>
      <c r="Z299" s="22">
        <v>316.60899999999998</v>
      </c>
      <c r="AA299" s="22">
        <v>-1.70013E-2</v>
      </c>
      <c r="AB299" s="22">
        <v>289</v>
      </c>
      <c r="AC299" s="22">
        <v>0.34399400000000002</v>
      </c>
      <c r="AD299">
        <f t="shared" si="52"/>
        <v>17.001300000000001</v>
      </c>
      <c r="AE299">
        <f t="shared" si="53"/>
        <v>5.8602801048000002</v>
      </c>
      <c r="AF299" s="9"/>
      <c r="AG299" s="22">
        <v>1.3552900000000001</v>
      </c>
      <c r="AH299" s="22">
        <v>381.97500000000002</v>
      </c>
      <c r="AI299" s="22">
        <v>-1.6113300000000001E-2</v>
      </c>
      <c r="AJ299" s="22">
        <v>289</v>
      </c>
      <c r="AK299" s="22">
        <v>1.3546800000000001</v>
      </c>
      <c r="AL299">
        <f t="shared" si="54"/>
        <v>16.113299999999999</v>
      </c>
      <c r="AM299">
        <f t="shared" si="55"/>
        <v>21.838194356999999</v>
      </c>
      <c r="AP299" s="9"/>
      <c r="AQ299" s="22">
        <v>0.344696</v>
      </c>
      <c r="AR299" s="22">
        <v>471.27699999999999</v>
      </c>
      <c r="AS299" s="22">
        <v>-1.6940299999999998E-2</v>
      </c>
      <c r="AT299" s="22">
        <v>289</v>
      </c>
      <c r="AU299" s="22">
        <v>0.34414699999999998</v>
      </c>
      <c r="AV299">
        <f t="shared" si="56"/>
        <v>16.940299999999997</v>
      </c>
      <c r="AW299">
        <f t="shared" si="57"/>
        <v>5.8392536487999989</v>
      </c>
      <c r="AX299" s="9"/>
      <c r="AY299" s="22">
        <v>1.3552900000000001</v>
      </c>
      <c r="AZ299" s="22">
        <v>548.30200000000002</v>
      </c>
      <c r="BA299" s="22">
        <v>-1.5862999999999999E-2</v>
      </c>
      <c r="BB299" s="22">
        <v>289</v>
      </c>
      <c r="BC299" s="22">
        <v>1.3549800000000001</v>
      </c>
      <c r="BD299">
        <f t="shared" si="58"/>
        <v>15.862999999999998</v>
      </c>
      <c r="BE299">
        <f t="shared" si="59"/>
        <v>21.498965269999999</v>
      </c>
    </row>
    <row r="300" spans="6:57">
      <c r="F300" s="9"/>
      <c r="G300" s="22">
        <v>0.33966099999999999</v>
      </c>
      <c r="H300" s="22">
        <v>104.97799999999999</v>
      </c>
      <c r="I300" s="22">
        <v>-1.7059299999999999E-2</v>
      </c>
      <c r="J300" s="22">
        <v>290</v>
      </c>
      <c r="K300" s="22">
        <v>0.33905000000000002</v>
      </c>
      <c r="L300">
        <f t="shared" si="48"/>
        <v>17.0593</v>
      </c>
      <c r="M300">
        <f t="shared" si="49"/>
        <v>5.7943788972999997</v>
      </c>
      <c r="N300" s="9"/>
      <c r="O300" s="22">
        <v>1.36032</v>
      </c>
      <c r="P300" s="22">
        <v>198.941</v>
      </c>
      <c r="Q300" s="22">
        <v>-1.6247600000000001E-2</v>
      </c>
      <c r="R300" s="22">
        <v>290</v>
      </c>
      <c r="S300" s="22">
        <v>1.3595600000000001</v>
      </c>
      <c r="T300">
        <f t="shared" si="50"/>
        <v>16.247600000000002</v>
      </c>
      <c r="U300">
        <f t="shared" si="51"/>
        <v>22.101935232000002</v>
      </c>
      <c r="X300" s="9"/>
      <c r="Y300" s="22">
        <v>0.33966099999999999</v>
      </c>
      <c r="Z300" s="22">
        <v>316.70999999999998</v>
      </c>
      <c r="AA300" s="22">
        <v>-1.7007399999999999E-2</v>
      </c>
      <c r="AB300" s="22">
        <v>290</v>
      </c>
      <c r="AC300" s="22">
        <v>0.33908100000000002</v>
      </c>
      <c r="AD300">
        <f t="shared" si="52"/>
        <v>17.007400000000001</v>
      </c>
      <c r="AE300">
        <f t="shared" si="53"/>
        <v>5.7767504913999996</v>
      </c>
      <c r="AF300" s="9"/>
      <c r="AG300" s="22">
        <v>1.36032</v>
      </c>
      <c r="AH300" s="22">
        <v>382.07600000000002</v>
      </c>
      <c r="AI300" s="22">
        <v>-1.6076699999999999E-2</v>
      </c>
      <c r="AJ300" s="22">
        <v>290</v>
      </c>
      <c r="AK300" s="22">
        <v>1.3589500000000001</v>
      </c>
      <c r="AL300">
        <f t="shared" si="54"/>
        <v>16.076699999999999</v>
      </c>
      <c r="AM300">
        <f t="shared" si="55"/>
        <v>21.869456543999998</v>
      </c>
      <c r="AP300" s="9"/>
      <c r="AQ300" s="22">
        <v>0.33966099999999999</v>
      </c>
      <c r="AR300" s="22">
        <v>471.37799999999999</v>
      </c>
      <c r="AS300" s="22">
        <v>-1.6937299999999999E-2</v>
      </c>
      <c r="AT300" s="22">
        <v>290</v>
      </c>
      <c r="AU300" s="22">
        <v>0.33901999999999999</v>
      </c>
      <c r="AV300">
        <f t="shared" si="56"/>
        <v>16.9373</v>
      </c>
      <c r="AW300">
        <f t="shared" si="57"/>
        <v>5.7529402553000004</v>
      </c>
      <c r="AX300" s="9"/>
      <c r="AY300" s="22">
        <v>1.36032</v>
      </c>
      <c r="AZ300" s="22">
        <v>548.40300000000002</v>
      </c>
      <c r="BA300" s="22">
        <v>-1.5817299999999999E-2</v>
      </c>
      <c r="BB300" s="22">
        <v>290</v>
      </c>
      <c r="BC300" s="22">
        <v>1.3592500000000001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0.33462500000000001</v>
      </c>
      <c r="H301" s="22">
        <v>105.078</v>
      </c>
      <c r="I301" s="22">
        <v>-1.70685E-2</v>
      </c>
      <c r="J301" s="22">
        <v>291</v>
      </c>
      <c r="K301" s="22">
        <v>0.33404499999999998</v>
      </c>
      <c r="L301">
        <f t="shared" si="48"/>
        <v>17.0685</v>
      </c>
      <c r="M301">
        <f t="shared" si="49"/>
        <v>5.7115468125</v>
      </c>
      <c r="N301" s="9"/>
      <c r="O301" s="22">
        <v>1.3653599999999999</v>
      </c>
      <c r="P301" s="22">
        <v>199.042</v>
      </c>
      <c r="Q301" s="22">
        <v>-1.6220100000000001E-2</v>
      </c>
      <c r="R301" s="22">
        <v>291</v>
      </c>
      <c r="S301" s="22">
        <v>1.3647499999999999</v>
      </c>
      <c r="T301">
        <f t="shared" si="50"/>
        <v>16.220100000000002</v>
      </c>
      <c r="U301">
        <f t="shared" si="51"/>
        <v>22.146275736</v>
      </c>
      <c r="X301" s="9"/>
      <c r="Y301" s="22">
        <v>0.33462500000000001</v>
      </c>
      <c r="Z301" s="22">
        <v>316.81099999999998</v>
      </c>
      <c r="AA301" s="22">
        <v>-1.6986100000000001E-2</v>
      </c>
      <c r="AB301" s="22">
        <v>291</v>
      </c>
      <c r="AC301" s="22">
        <v>0.33413700000000002</v>
      </c>
      <c r="AD301">
        <f t="shared" si="52"/>
        <v>16.9861</v>
      </c>
      <c r="AE301">
        <f t="shared" si="53"/>
        <v>5.6839737125000003</v>
      </c>
      <c r="AF301" s="9"/>
      <c r="AG301" s="22">
        <v>1.3653599999999999</v>
      </c>
      <c r="AH301" s="22">
        <v>382.17700000000002</v>
      </c>
      <c r="AI301" s="22">
        <v>-1.6067499999999998E-2</v>
      </c>
      <c r="AJ301" s="22">
        <v>291</v>
      </c>
      <c r="AK301" s="22">
        <v>1.3644400000000001</v>
      </c>
      <c r="AL301">
        <f t="shared" si="54"/>
        <v>16.067499999999999</v>
      </c>
      <c r="AM301">
        <f t="shared" si="55"/>
        <v>21.937921799999998</v>
      </c>
      <c r="AP301" s="9"/>
      <c r="AQ301" s="22">
        <v>0.33462500000000001</v>
      </c>
      <c r="AR301" s="22">
        <v>471.47800000000001</v>
      </c>
      <c r="AS301" s="22">
        <v>-1.69342E-2</v>
      </c>
      <c r="AT301" s="22">
        <v>291</v>
      </c>
      <c r="AU301" s="22">
        <v>0.33404499999999998</v>
      </c>
      <c r="AV301">
        <f t="shared" si="56"/>
        <v>16.934200000000001</v>
      </c>
      <c r="AW301">
        <f t="shared" si="57"/>
        <v>5.6666066750000006</v>
      </c>
      <c r="AX301" s="9"/>
      <c r="AY301" s="22">
        <v>1.3653599999999999</v>
      </c>
      <c r="AZ301" s="22">
        <v>548.50400000000002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0.32958999999999999</v>
      </c>
      <c r="H302" s="22">
        <v>105.179</v>
      </c>
      <c r="I302" s="22">
        <v>-1.7053200000000001E-2</v>
      </c>
      <c r="J302" s="22">
        <v>292</v>
      </c>
      <c r="K302" s="22">
        <v>0.32888800000000001</v>
      </c>
      <c r="L302">
        <f t="shared" si="48"/>
        <v>17.0532</v>
      </c>
      <c r="M302">
        <f t="shared" si="49"/>
        <v>5.6205641880000003</v>
      </c>
      <c r="N302" s="9"/>
      <c r="O302" s="22">
        <v>1.37039</v>
      </c>
      <c r="P302" s="22">
        <v>199.143</v>
      </c>
      <c r="Q302" s="22">
        <v>-1.6204799999999998E-2</v>
      </c>
      <c r="R302" s="22">
        <v>292</v>
      </c>
      <c r="S302" s="22">
        <v>1.3693200000000001</v>
      </c>
      <c r="T302">
        <f t="shared" si="50"/>
        <v>16.204799999999999</v>
      </c>
      <c r="U302">
        <f t="shared" si="51"/>
        <v>22.206895871999997</v>
      </c>
      <c r="X302" s="9"/>
      <c r="Y302" s="22">
        <v>0.32958999999999999</v>
      </c>
      <c r="Z302" s="22">
        <v>316.91199999999998</v>
      </c>
      <c r="AA302" s="22">
        <v>-1.6998300000000001E-2</v>
      </c>
      <c r="AB302" s="22">
        <v>292</v>
      </c>
      <c r="AC302" s="22">
        <v>0.32894899999999999</v>
      </c>
      <c r="AD302">
        <f t="shared" si="52"/>
        <v>16.9983</v>
      </c>
      <c r="AE302">
        <f t="shared" si="53"/>
        <v>5.6024696970000001</v>
      </c>
      <c r="AF302" s="9"/>
      <c r="AG302" s="22">
        <v>1.37039</v>
      </c>
      <c r="AH302" s="22">
        <v>382.27800000000002</v>
      </c>
      <c r="AI302" s="22">
        <v>-1.6052199999999999E-2</v>
      </c>
      <c r="AJ302" s="22">
        <v>292</v>
      </c>
      <c r="AK302" s="22">
        <v>1.3696299999999999</v>
      </c>
      <c r="AL302">
        <f t="shared" si="54"/>
        <v>16.052199999999999</v>
      </c>
      <c r="AM302">
        <f t="shared" si="55"/>
        <v>21.997774357999997</v>
      </c>
      <c r="AP302" s="9"/>
      <c r="AQ302" s="22">
        <v>0.32958999999999999</v>
      </c>
      <c r="AR302" s="22">
        <v>471.57900000000001</v>
      </c>
      <c r="AS302" s="22">
        <v>-1.69312E-2</v>
      </c>
      <c r="AT302" s="22">
        <v>292</v>
      </c>
      <c r="AU302" s="22">
        <v>0.32901000000000002</v>
      </c>
      <c r="AV302">
        <f t="shared" si="56"/>
        <v>16.9312</v>
      </c>
      <c r="AW302">
        <f t="shared" si="57"/>
        <v>5.5803542080000001</v>
      </c>
      <c r="AX302" s="9"/>
      <c r="AY302" s="22">
        <v>1.37039</v>
      </c>
      <c r="AZ302" s="22">
        <v>548.60400000000004</v>
      </c>
      <c r="BA302" s="22">
        <v>-1.5768399999999998E-2</v>
      </c>
      <c r="BB302" s="22">
        <v>292</v>
      </c>
      <c r="BC302" s="22">
        <v>1.3696299999999999</v>
      </c>
      <c r="BD302">
        <f t="shared" si="58"/>
        <v>15.768399999999998</v>
      </c>
      <c r="BE302">
        <f t="shared" si="59"/>
        <v>21.608857675999996</v>
      </c>
    </row>
    <row r="303" spans="6:57">
      <c r="F303" s="9"/>
      <c r="G303" s="22">
        <v>0.32455400000000001</v>
      </c>
      <c r="H303" s="22">
        <v>105.28</v>
      </c>
      <c r="I303" s="22">
        <v>-1.7065400000000001E-2</v>
      </c>
      <c r="J303" s="22">
        <v>293</v>
      </c>
      <c r="K303" s="22">
        <v>0.32376100000000002</v>
      </c>
      <c r="L303">
        <f t="shared" si="48"/>
        <v>17.0654</v>
      </c>
      <c r="M303">
        <f t="shared" si="49"/>
        <v>5.5386438316</v>
      </c>
      <c r="N303" s="9"/>
      <c r="O303" s="22">
        <v>1.3754299999999999</v>
      </c>
      <c r="P303" s="22">
        <v>199.24299999999999</v>
      </c>
      <c r="Q303" s="22">
        <v>-1.61987E-2</v>
      </c>
      <c r="R303" s="22">
        <v>293</v>
      </c>
      <c r="S303" s="22">
        <v>1.3742099999999999</v>
      </c>
      <c r="T303">
        <f t="shared" si="50"/>
        <v>16.198699999999999</v>
      </c>
      <c r="U303">
        <f t="shared" si="51"/>
        <v>22.280177940999998</v>
      </c>
      <c r="X303" s="9"/>
      <c r="Y303" s="22">
        <v>0.32455400000000001</v>
      </c>
      <c r="Z303" s="22">
        <v>317.012</v>
      </c>
      <c r="AA303" s="22">
        <v>-1.6995199999999999E-2</v>
      </c>
      <c r="AB303" s="22">
        <v>293</v>
      </c>
      <c r="AC303" s="22">
        <v>0.32391399999999998</v>
      </c>
      <c r="AD303">
        <f t="shared" si="52"/>
        <v>16.995199999999997</v>
      </c>
      <c r="AE303">
        <f t="shared" si="53"/>
        <v>5.5158601407999992</v>
      </c>
      <c r="AF303" s="9"/>
      <c r="AG303" s="22">
        <v>1.3754299999999999</v>
      </c>
      <c r="AH303" s="22">
        <v>382.37799999999999</v>
      </c>
      <c r="AI303" s="22">
        <v>-1.60339E-2</v>
      </c>
      <c r="AJ303" s="22">
        <v>293</v>
      </c>
      <c r="AK303" s="22">
        <v>1.3745099999999999</v>
      </c>
      <c r="AL303">
        <f t="shared" si="54"/>
        <v>16.033899999999999</v>
      </c>
      <c r="AM303">
        <f t="shared" si="55"/>
        <v>22.053507076999999</v>
      </c>
      <c r="AP303" s="9"/>
      <c r="AQ303" s="22">
        <v>0.32455400000000001</v>
      </c>
      <c r="AR303" s="22">
        <v>471.68</v>
      </c>
      <c r="AS303" s="22">
        <v>-1.69312E-2</v>
      </c>
      <c r="AT303" s="22">
        <v>293</v>
      </c>
      <c r="AU303" s="22">
        <v>0.32400499999999999</v>
      </c>
      <c r="AV303">
        <f t="shared" si="56"/>
        <v>16.9312</v>
      </c>
      <c r="AW303">
        <f t="shared" si="57"/>
        <v>5.4950886848000007</v>
      </c>
      <c r="AX303" s="9"/>
      <c r="AY303" s="22">
        <v>1.3754299999999999</v>
      </c>
      <c r="AZ303" s="22">
        <v>548.70500000000004</v>
      </c>
      <c r="BA303" s="22">
        <v>-1.5741000000000002E-2</v>
      </c>
      <c r="BB303" s="22">
        <v>293</v>
      </c>
      <c r="BC303" s="22">
        <v>1.3748199999999999</v>
      </c>
      <c r="BD303">
        <f t="shared" si="58"/>
        <v>15.741000000000001</v>
      </c>
      <c r="BE303">
        <f t="shared" si="59"/>
        <v>21.650643630000001</v>
      </c>
    </row>
    <row r="304" spans="6:57">
      <c r="F304" s="9"/>
      <c r="G304" s="22">
        <v>0.319519</v>
      </c>
      <c r="H304" s="22">
        <v>105.38</v>
      </c>
      <c r="I304" s="22">
        <v>-1.7065400000000001E-2</v>
      </c>
      <c r="J304" s="22">
        <v>294</v>
      </c>
      <c r="K304" s="22">
        <v>0.31887799999999999</v>
      </c>
      <c r="L304">
        <f t="shared" si="48"/>
        <v>17.0654</v>
      </c>
      <c r="M304">
        <f t="shared" si="49"/>
        <v>5.4527195425999997</v>
      </c>
      <c r="N304" s="9"/>
      <c r="O304" s="22">
        <v>1.38046</v>
      </c>
      <c r="P304" s="22">
        <v>199.34399999999999</v>
      </c>
      <c r="Q304" s="22">
        <v>-1.61713E-2</v>
      </c>
      <c r="R304" s="22">
        <v>294</v>
      </c>
      <c r="S304" s="22">
        <v>1.3796999999999999</v>
      </c>
      <c r="T304">
        <f t="shared" si="50"/>
        <v>16.171299999999999</v>
      </c>
      <c r="U304">
        <f t="shared" si="51"/>
        <v>22.323832797999998</v>
      </c>
      <c r="X304" s="9"/>
      <c r="Y304" s="22">
        <v>0.319519</v>
      </c>
      <c r="Z304" s="22">
        <v>317.113</v>
      </c>
      <c r="AA304" s="22">
        <v>-1.7007399999999999E-2</v>
      </c>
      <c r="AB304" s="22">
        <v>294</v>
      </c>
      <c r="AC304" s="22">
        <v>0.31884800000000002</v>
      </c>
      <c r="AD304">
        <f t="shared" si="52"/>
        <v>17.007400000000001</v>
      </c>
      <c r="AE304">
        <f t="shared" si="53"/>
        <v>5.4341874405999997</v>
      </c>
      <c r="AF304" s="9"/>
      <c r="AG304" s="22">
        <v>1.38046</v>
      </c>
      <c r="AH304" s="22">
        <v>382.47899999999998</v>
      </c>
      <c r="AI304" s="22">
        <v>-1.6027799999999998E-2</v>
      </c>
      <c r="AJ304" s="22">
        <v>294</v>
      </c>
      <c r="AK304" s="22">
        <v>1.3796999999999999</v>
      </c>
      <c r="AL304">
        <f t="shared" si="54"/>
        <v>16.027799999999999</v>
      </c>
      <c r="AM304">
        <f t="shared" si="55"/>
        <v>22.125736787999998</v>
      </c>
      <c r="AP304" s="9"/>
      <c r="AQ304" s="22">
        <v>0.319519</v>
      </c>
      <c r="AR304" s="22">
        <v>471.78100000000001</v>
      </c>
      <c r="AS304" s="22">
        <v>-1.6937299999999999E-2</v>
      </c>
      <c r="AT304" s="22">
        <v>294</v>
      </c>
      <c r="AU304" s="22">
        <v>0.31881700000000002</v>
      </c>
      <c r="AV304">
        <f t="shared" si="56"/>
        <v>16.9373</v>
      </c>
      <c r="AW304">
        <f t="shared" si="57"/>
        <v>5.4117891587000004</v>
      </c>
      <c r="AX304" s="9"/>
      <c r="AY304" s="22">
        <v>1.38046</v>
      </c>
      <c r="AZ304" s="22">
        <v>548.80600000000004</v>
      </c>
      <c r="BA304" s="22">
        <v>-1.5737899999999999E-2</v>
      </c>
      <c r="BB304" s="22">
        <v>294</v>
      </c>
      <c r="BC304" s="22">
        <v>1.3796999999999999</v>
      </c>
      <c r="BD304">
        <f t="shared" si="58"/>
        <v>15.7379</v>
      </c>
      <c r="BE304">
        <f t="shared" si="59"/>
        <v>21.725541434</v>
      </c>
    </row>
    <row r="305" spans="6:57">
      <c r="F305" s="9"/>
      <c r="G305" s="22">
        <v>0.31448399999999999</v>
      </c>
      <c r="H305" s="22">
        <v>105.48099999999999</v>
      </c>
      <c r="I305" s="22">
        <v>-1.7062399999999998E-2</v>
      </c>
      <c r="J305" s="22">
        <v>295</v>
      </c>
      <c r="K305" s="22">
        <v>0.31381199999999998</v>
      </c>
      <c r="L305">
        <f t="shared" si="48"/>
        <v>17.062399999999997</v>
      </c>
      <c r="M305">
        <f t="shared" si="49"/>
        <v>5.365851801599999</v>
      </c>
      <c r="N305" s="9"/>
      <c r="O305" s="22">
        <v>1.3855</v>
      </c>
      <c r="P305" s="22">
        <v>199.44499999999999</v>
      </c>
      <c r="Q305" s="22">
        <v>-1.6159099999999999E-2</v>
      </c>
      <c r="R305" s="22">
        <v>295</v>
      </c>
      <c r="S305" s="22">
        <v>1.3845799999999999</v>
      </c>
      <c r="T305">
        <f t="shared" si="50"/>
        <v>16.159099999999999</v>
      </c>
      <c r="U305">
        <f t="shared" si="51"/>
        <v>22.388433049999996</v>
      </c>
      <c r="X305" s="9"/>
      <c r="Y305" s="22">
        <v>0.31448399999999999</v>
      </c>
      <c r="Z305" s="22">
        <v>317.214</v>
      </c>
      <c r="AA305" s="22">
        <v>-1.7019699999999999E-2</v>
      </c>
      <c r="AB305" s="22">
        <v>295</v>
      </c>
      <c r="AC305" s="22">
        <v>0.313751</v>
      </c>
      <c r="AD305">
        <f t="shared" si="52"/>
        <v>17.0197</v>
      </c>
      <c r="AE305">
        <f t="shared" si="53"/>
        <v>5.3524233348000001</v>
      </c>
      <c r="AF305" s="9"/>
      <c r="AG305" s="22">
        <v>1.3855</v>
      </c>
      <c r="AH305" s="22">
        <v>382.58</v>
      </c>
      <c r="AI305" s="22">
        <v>-1.5991200000000001E-2</v>
      </c>
      <c r="AJ305" s="22">
        <v>295</v>
      </c>
      <c r="AK305" s="22">
        <v>1.3851899999999999</v>
      </c>
      <c r="AL305">
        <f t="shared" si="54"/>
        <v>15.991200000000001</v>
      </c>
      <c r="AM305">
        <f t="shared" si="55"/>
        <v>22.155807599999999</v>
      </c>
      <c r="AP305" s="9"/>
      <c r="AQ305" s="22">
        <v>0.31448399999999999</v>
      </c>
      <c r="AR305" s="22">
        <v>471.88099999999997</v>
      </c>
      <c r="AS305" s="22">
        <v>-1.6937299999999999E-2</v>
      </c>
      <c r="AT305" s="22">
        <v>295</v>
      </c>
      <c r="AU305" s="22">
        <v>0.31384299999999998</v>
      </c>
      <c r="AV305">
        <f t="shared" si="56"/>
        <v>16.9373</v>
      </c>
      <c r="AW305">
        <f t="shared" si="57"/>
        <v>5.3265098532000001</v>
      </c>
      <c r="AX305" s="9"/>
      <c r="AY305" s="22">
        <v>1.3855</v>
      </c>
      <c r="AZ305" s="22">
        <v>548.90599999999995</v>
      </c>
      <c r="BA305" s="22">
        <v>-1.56799E-2</v>
      </c>
      <c r="BB305" s="22">
        <v>295</v>
      </c>
      <c r="BC305" s="22">
        <v>1.3845799999999999</v>
      </c>
      <c r="BD305">
        <f t="shared" si="58"/>
        <v>15.6799</v>
      </c>
      <c r="BE305">
        <f t="shared" si="59"/>
        <v>21.724501449999998</v>
      </c>
    </row>
    <row r="306" spans="6:57">
      <c r="F306" s="9"/>
      <c r="G306" s="22">
        <v>0.309448</v>
      </c>
      <c r="H306" s="22">
        <v>105.58199999999999</v>
      </c>
      <c r="I306" s="22">
        <v>-1.7059299999999999E-2</v>
      </c>
      <c r="J306" s="22">
        <v>296</v>
      </c>
      <c r="K306" s="22">
        <v>0.308807</v>
      </c>
      <c r="L306">
        <f t="shared" si="48"/>
        <v>17.0593</v>
      </c>
      <c r="M306">
        <f t="shared" si="49"/>
        <v>5.2789662664000003</v>
      </c>
      <c r="N306" s="9"/>
      <c r="O306" s="22">
        <v>1.39053</v>
      </c>
      <c r="P306" s="22">
        <v>199.54499999999999</v>
      </c>
      <c r="Q306" s="22">
        <v>-1.6110200000000002E-2</v>
      </c>
      <c r="R306" s="22">
        <v>296</v>
      </c>
      <c r="S306" s="22">
        <v>1.38947</v>
      </c>
      <c r="T306">
        <f t="shared" si="50"/>
        <v>16.110200000000003</v>
      </c>
      <c r="U306">
        <f t="shared" si="51"/>
        <v>22.401716406000006</v>
      </c>
      <c r="X306" s="9"/>
      <c r="Y306" s="22">
        <v>0.309448</v>
      </c>
      <c r="Z306" s="22">
        <v>317.31400000000002</v>
      </c>
      <c r="AA306" s="22">
        <v>-1.70166E-2</v>
      </c>
      <c r="AB306" s="22">
        <v>296</v>
      </c>
      <c r="AC306" s="22">
        <v>0.30874600000000002</v>
      </c>
      <c r="AD306">
        <f t="shared" si="52"/>
        <v>17.0166</v>
      </c>
      <c r="AE306">
        <f t="shared" si="53"/>
        <v>5.2657528367999999</v>
      </c>
      <c r="AF306" s="9"/>
      <c r="AG306" s="22">
        <v>1.39053</v>
      </c>
      <c r="AH306" s="22">
        <v>382.68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0.309448</v>
      </c>
      <c r="AR306" s="22">
        <v>471.98200000000003</v>
      </c>
      <c r="AS306" s="22">
        <v>-1.69464E-2</v>
      </c>
      <c r="AT306" s="22">
        <v>296</v>
      </c>
      <c r="AU306" s="22">
        <v>0.308807</v>
      </c>
      <c r="AV306">
        <f t="shared" si="56"/>
        <v>16.946400000000001</v>
      </c>
      <c r="AW306">
        <f t="shared" si="57"/>
        <v>5.2440295872</v>
      </c>
      <c r="AX306" s="9"/>
      <c r="AY306" s="22">
        <v>1.39053</v>
      </c>
      <c r="AZ306" s="22">
        <v>549.00699999999995</v>
      </c>
      <c r="BA306" s="22">
        <v>-1.56677E-2</v>
      </c>
      <c r="BB306" s="22">
        <v>296</v>
      </c>
      <c r="BC306" s="22">
        <v>1.38947</v>
      </c>
      <c r="BD306">
        <f t="shared" si="58"/>
        <v>15.6677</v>
      </c>
      <c r="BE306">
        <f t="shared" si="59"/>
        <v>21.786406881000001</v>
      </c>
    </row>
    <row r="307" spans="6:57">
      <c r="F307" s="9"/>
      <c r="G307" s="22">
        <v>0.30441299999999999</v>
      </c>
      <c r="H307" s="22">
        <v>105.68300000000001</v>
      </c>
      <c r="I307" s="22">
        <v>-1.7062399999999998E-2</v>
      </c>
      <c r="J307" s="22">
        <v>297</v>
      </c>
      <c r="K307" s="22">
        <v>0.30377199999999999</v>
      </c>
      <c r="L307">
        <f t="shared" si="48"/>
        <v>17.062399999999997</v>
      </c>
      <c r="M307">
        <f t="shared" si="49"/>
        <v>5.1940163711999991</v>
      </c>
      <c r="N307" s="9"/>
      <c r="O307" s="22">
        <v>1.39557</v>
      </c>
      <c r="P307" s="22">
        <v>199.64599999999999</v>
      </c>
      <c r="Q307" s="22">
        <v>-1.61011E-2</v>
      </c>
      <c r="R307" s="22">
        <v>297</v>
      </c>
      <c r="S307" s="22">
        <v>1.3946499999999999</v>
      </c>
      <c r="T307">
        <f t="shared" si="50"/>
        <v>16.101099999999999</v>
      </c>
      <c r="U307">
        <f t="shared" si="51"/>
        <v>22.470212126999996</v>
      </c>
      <c r="X307" s="9"/>
      <c r="Y307" s="22">
        <v>0.30441299999999999</v>
      </c>
      <c r="Z307" s="22">
        <v>317.41500000000002</v>
      </c>
      <c r="AA307" s="22">
        <v>-1.7025800000000001E-2</v>
      </c>
      <c r="AB307" s="22">
        <v>297</v>
      </c>
      <c r="AC307" s="22">
        <v>0.30377199999999999</v>
      </c>
      <c r="AD307">
        <f t="shared" si="52"/>
        <v>17.0258</v>
      </c>
      <c r="AE307">
        <f t="shared" si="53"/>
        <v>5.1828748553999997</v>
      </c>
      <c r="AF307" s="9"/>
      <c r="AG307" s="22">
        <v>1.39557</v>
      </c>
      <c r="AH307" s="22">
        <v>382.78100000000001</v>
      </c>
      <c r="AI307" s="22">
        <v>-1.5942399999999999E-2</v>
      </c>
      <c r="AJ307" s="22">
        <v>297</v>
      </c>
      <c r="AK307" s="22">
        <v>1.3946499999999999</v>
      </c>
      <c r="AL307">
        <f t="shared" si="54"/>
        <v>15.942399999999999</v>
      </c>
      <c r="AM307">
        <f t="shared" si="55"/>
        <v>22.248735168</v>
      </c>
      <c r="AP307" s="9"/>
      <c r="AQ307" s="22">
        <v>0.30441299999999999</v>
      </c>
      <c r="AR307" s="22">
        <v>472.08300000000003</v>
      </c>
      <c r="AS307" s="22">
        <v>-1.6958600000000001E-2</v>
      </c>
      <c r="AT307" s="22">
        <v>297</v>
      </c>
      <c r="AU307" s="22">
        <v>0.303589</v>
      </c>
      <c r="AV307">
        <f t="shared" si="56"/>
        <v>16.958600000000001</v>
      </c>
      <c r="AW307">
        <f t="shared" si="57"/>
        <v>5.1624183017999998</v>
      </c>
      <c r="AX307" s="9"/>
      <c r="AY307" s="22">
        <v>1.39557</v>
      </c>
      <c r="AZ307" s="22">
        <v>549.10799999999995</v>
      </c>
      <c r="BA307" s="22">
        <v>-1.5640299999999999E-2</v>
      </c>
      <c r="BB307" s="22">
        <v>297</v>
      </c>
      <c r="BC307" s="22">
        <v>1.39435</v>
      </c>
      <c r="BD307">
        <f t="shared" si="58"/>
        <v>15.6403</v>
      </c>
      <c r="BE307">
        <f t="shared" si="59"/>
        <v>21.827133471</v>
      </c>
    </row>
    <row r="308" spans="6:57">
      <c r="F308" s="9"/>
      <c r="G308" s="22">
        <v>0.299377</v>
      </c>
      <c r="H308" s="22">
        <v>105.783</v>
      </c>
      <c r="I308" s="22">
        <v>-1.7080700000000001E-2</v>
      </c>
      <c r="J308" s="22">
        <v>298</v>
      </c>
      <c r="K308" s="22">
        <v>0.29879800000000001</v>
      </c>
      <c r="L308">
        <f t="shared" si="48"/>
        <v>17.0807</v>
      </c>
      <c r="M308">
        <f t="shared" si="49"/>
        <v>5.1135687239000003</v>
      </c>
      <c r="N308" s="9"/>
      <c r="O308" s="22">
        <v>1.4006000000000001</v>
      </c>
      <c r="P308" s="22">
        <v>199.74700000000001</v>
      </c>
      <c r="Q308" s="22">
        <v>-1.61041E-2</v>
      </c>
      <c r="R308" s="22">
        <v>298</v>
      </c>
      <c r="S308" s="22">
        <v>1.39954</v>
      </c>
      <c r="T308">
        <f t="shared" si="50"/>
        <v>16.104099999999999</v>
      </c>
      <c r="U308">
        <f t="shared" si="51"/>
        <v>22.55540246</v>
      </c>
      <c r="X308" s="9"/>
      <c r="Y308" s="22">
        <v>0.299377</v>
      </c>
      <c r="Z308" s="22">
        <v>317.51600000000002</v>
      </c>
      <c r="AA308" s="22">
        <v>-1.70288E-2</v>
      </c>
      <c r="AB308" s="22">
        <v>298</v>
      </c>
      <c r="AC308" s="22">
        <v>0.29870600000000003</v>
      </c>
      <c r="AD308">
        <f t="shared" si="52"/>
        <v>17.0288</v>
      </c>
      <c r="AE308">
        <f t="shared" si="53"/>
        <v>5.0980310576000001</v>
      </c>
      <c r="AF308" s="9"/>
      <c r="AG308" s="22">
        <v>1.4006000000000001</v>
      </c>
      <c r="AH308" s="22">
        <v>382.88200000000001</v>
      </c>
      <c r="AI308" s="22">
        <v>-1.5887499999999999E-2</v>
      </c>
      <c r="AJ308" s="22">
        <v>298</v>
      </c>
      <c r="AK308" s="22">
        <v>1.40045</v>
      </c>
      <c r="AL308">
        <f t="shared" si="54"/>
        <v>15.887499999999999</v>
      </c>
      <c r="AM308">
        <f t="shared" si="55"/>
        <v>22.252032499999999</v>
      </c>
      <c r="AP308" s="9"/>
      <c r="AQ308" s="22">
        <v>0.299377</v>
      </c>
      <c r="AR308" s="22">
        <v>472.18299999999999</v>
      </c>
      <c r="AS308" s="22">
        <v>-1.6955600000000001E-2</v>
      </c>
      <c r="AT308" s="22">
        <v>298</v>
      </c>
      <c r="AU308" s="22">
        <v>0.298767</v>
      </c>
      <c r="AV308">
        <f t="shared" si="56"/>
        <v>16.9556</v>
      </c>
      <c r="AW308">
        <f t="shared" si="57"/>
        <v>5.0761166612000004</v>
      </c>
      <c r="AX308" s="9"/>
      <c r="AY308" s="22">
        <v>1.4006000000000001</v>
      </c>
      <c r="AZ308" s="22">
        <v>549.20899999999995</v>
      </c>
      <c r="BA308" s="22">
        <v>-1.5606699999999999E-2</v>
      </c>
      <c r="BB308" s="22">
        <v>298</v>
      </c>
      <c r="BC308" s="22">
        <v>1.39984</v>
      </c>
      <c r="BD308">
        <f t="shared" si="58"/>
        <v>15.6067</v>
      </c>
      <c r="BE308">
        <f t="shared" si="59"/>
        <v>21.85874402</v>
      </c>
    </row>
    <row r="309" spans="6:57">
      <c r="F309" s="9"/>
      <c r="G309" s="22">
        <v>0.29434199999999999</v>
      </c>
      <c r="H309" s="22">
        <v>105.884</v>
      </c>
      <c r="I309" s="22">
        <v>-1.70837E-2</v>
      </c>
      <c r="J309" s="22">
        <v>299</v>
      </c>
      <c r="K309" s="22">
        <v>0.29373199999999999</v>
      </c>
      <c r="L309">
        <f t="shared" si="48"/>
        <v>17.0837</v>
      </c>
      <c r="M309">
        <f t="shared" si="49"/>
        <v>5.0284504254</v>
      </c>
      <c r="N309" s="9"/>
      <c r="O309" s="22">
        <v>1.40564</v>
      </c>
      <c r="P309" s="22">
        <v>199.84800000000001</v>
      </c>
      <c r="Q309" s="22">
        <v>-1.6085800000000001E-2</v>
      </c>
      <c r="R309" s="22">
        <v>299</v>
      </c>
      <c r="S309" s="22">
        <v>1.40472</v>
      </c>
      <c r="T309">
        <f t="shared" si="50"/>
        <v>16.085800000000003</v>
      </c>
      <c r="U309">
        <f t="shared" si="51"/>
        <v>22.610843912000004</v>
      </c>
      <c r="X309" s="9"/>
      <c r="Y309" s="22">
        <v>0.29434199999999999</v>
      </c>
      <c r="Z309" s="22">
        <v>317.61700000000002</v>
      </c>
      <c r="AA309" s="22">
        <v>-1.7025800000000001E-2</v>
      </c>
      <c r="AB309" s="22">
        <v>299</v>
      </c>
      <c r="AC309" s="22">
        <v>0.293854</v>
      </c>
      <c r="AD309">
        <f t="shared" si="52"/>
        <v>17.0258</v>
      </c>
      <c r="AE309">
        <f t="shared" si="53"/>
        <v>5.0114080235999996</v>
      </c>
      <c r="AF309" s="9"/>
      <c r="AG309" s="22">
        <v>1.40564</v>
      </c>
      <c r="AH309" s="22">
        <v>382.983</v>
      </c>
      <c r="AI309" s="22">
        <v>-1.5850800000000002E-2</v>
      </c>
      <c r="AJ309" s="22">
        <v>299</v>
      </c>
      <c r="AK309" s="22">
        <v>1.40442</v>
      </c>
      <c r="AL309">
        <f t="shared" si="54"/>
        <v>15.850800000000001</v>
      </c>
      <c r="AM309">
        <f t="shared" si="55"/>
        <v>22.280518512</v>
      </c>
      <c r="AP309" s="9"/>
      <c r="AQ309" s="22">
        <v>0.29434199999999999</v>
      </c>
      <c r="AR309" s="22">
        <v>472.28399999999999</v>
      </c>
      <c r="AS309" s="22">
        <v>-1.6952499999999999E-2</v>
      </c>
      <c r="AT309" s="22">
        <v>299</v>
      </c>
      <c r="AU309" s="22">
        <v>0.29364000000000001</v>
      </c>
      <c r="AV309">
        <f t="shared" si="56"/>
        <v>16.952500000000001</v>
      </c>
      <c r="AW309">
        <f t="shared" si="57"/>
        <v>4.9898327550000001</v>
      </c>
      <c r="AX309" s="9"/>
      <c r="AY309" s="22">
        <v>1.40564</v>
      </c>
      <c r="AZ309" s="22">
        <v>549.30899999999997</v>
      </c>
      <c r="BA309" s="22">
        <v>-1.56128E-2</v>
      </c>
      <c r="BB309" s="22">
        <v>299</v>
      </c>
      <c r="BC309" s="22">
        <v>1.40472</v>
      </c>
      <c r="BD309">
        <f t="shared" si="58"/>
        <v>15.6128</v>
      </c>
      <c r="BE309">
        <f t="shared" si="59"/>
        <v>21.945976192</v>
      </c>
    </row>
    <row r="310" spans="6:57">
      <c r="F310" s="9"/>
      <c r="G310" s="22">
        <v>0.28930699999999998</v>
      </c>
      <c r="H310" s="22">
        <v>105.985</v>
      </c>
      <c r="I310" s="22">
        <v>-1.7077599999999998E-2</v>
      </c>
      <c r="J310" s="22">
        <v>300</v>
      </c>
      <c r="K310" s="22">
        <v>0.288605</v>
      </c>
      <c r="L310">
        <f t="shared" si="48"/>
        <v>17.077599999999997</v>
      </c>
      <c r="M310">
        <f t="shared" si="49"/>
        <v>4.9406692231999987</v>
      </c>
      <c r="N310" s="9"/>
      <c r="O310" s="22">
        <v>1.4106799999999999</v>
      </c>
      <c r="P310" s="22">
        <v>199.94800000000001</v>
      </c>
      <c r="Q310" s="22">
        <v>-1.6046100000000001E-2</v>
      </c>
      <c r="R310" s="22">
        <v>300</v>
      </c>
      <c r="S310" s="22">
        <v>1.41022</v>
      </c>
      <c r="T310">
        <f t="shared" si="50"/>
        <v>16.046099999999999</v>
      </c>
      <c r="U310">
        <f t="shared" si="51"/>
        <v>22.635912347999998</v>
      </c>
      <c r="X310" s="9"/>
      <c r="Y310" s="22">
        <v>0.28930699999999998</v>
      </c>
      <c r="Z310" s="22">
        <v>317.71699999999998</v>
      </c>
      <c r="AA310" s="22">
        <v>-1.7031899999999999E-2</v>
      </c>
      <c r="AB310" s="22">
        <v>300</v>
      </c>
      <c r="AC310" s="22">
        <v>0.28866599999999998</v>
      </c>
      <c r="AD310">
        <f t="shared" si="52"/>
        <v>17.0319</v>
      </c>
      <c r="AE310">
        <f t="shared" si="53"/>
        <v>4.9274478933000001</v>
      </c>
      <c r="AF310" s="9"/>
      <c r="AG310" s="22">
        <v>1.4106799999999999</v>
      </c>
      <c r="AH310" s="22">
        <v>383.08300000000003</v>
      </c>
      <c r="AI310" s="22">
        <v>-1.5817299999999999E-2</v>
      </c>
      <c r="AJ310" s="22">
        <v>300</v>
      </c>
      <c r="AK310" s="22">
        <v>1.4093</v>
      </c>
      <c r="AL310">
        <f t="shared" si="54"/>
        <v>15.817299999999999</v>
      </c>
      <c r="AM310">
        <f t="shared" si="55"/>
        <v>22.313148763999997</v>
      </c>
      <c r="AP310" s="9"/>
      <c r="AQ310" s="22">
        <v>0.28930699999999998</v>
      </c>
      <c r="AR310" s="22">
        <v>472.38499999999999</v>
      </c>
      <c r="AS310" s="22">
        <v>-1.6952499999999999E-2</v>
      </c>
      <c r="AT310" s="22">
        <v>300</v>
      </c>
      <c r="AU310" s="22">
        <v>0.28875699999999999</v>
      </c>
      <c r="AV310">
        <f t="shared" si="56"/>
        <v>16.952500000000001</v>
      </c>
      <c r="AW310">
        <f t="shared" si="57"/>
        <v>4.9044769175000003</v>
      </c>
      <c r="AX310" s="9"/>
      <c r="AY310" s="22">
        <v>1.4106799999999999</v>
      </c>
      <c r="AZ310" s="22">
        <v>549.41</v>
      </c>
      <c r="BA310" s="22">
        <v>-1.55853E-2</v>
      </c>
      <c r="BB310" s="22">
        <v>300</v>
      </c>
      <c r="BC310" s="22">
        <v>1.40991</v>
      </c>
      <c r="BD310">
        <f t="shared" si="58"/>
        <v>15.5853</v>
      </c>
      <c r="BE310">
        <f t="shared" si="59"/>
        <v>21.985871004</v>
      </c>
    </row>
    <row r="311" spans="6:57">
      <c r="F311" s="9"/>
      <c r="G311" s="22">
        <v>0.284271</v>
      </c>
      <c r="H311" s="22">
        <v>106.08499999999999</v>
      </c>
      <c r="I311" s="22">
        <v>-1.7080700000000001E-2</v>
      </c>
      <c r="J311" s="22">
        <v>301</v>
      </c>
      <c r="K311" s="22">
        <v>0.28353899999999999</v>
      </c>
      <c r="L311">
        <f t="shared" si="48"/>
        <v>17.0807</v>
      </c>
      <c r="M311">
        <f t="shared" si="49"/>
        <v>4.8555476697</v>
      </c>
      <c r="N311" s="9"/>
      <c r="O311" s="22">
        <v>1.41571</v>
      </c>
      <c r="P311" s="22">
        <v>200.04900000000001</v>
      </c>
      <c r="Q311" s="22">
        <v>-1.60217E-2</v>
      </c>
      <c r="R311" s="22">
        <v>301</v>
      </c>
      <c r="S311" s="22">
        <v>1.4151</v>
      </c>
      <c r="T311">
        <f t="shared" si="50"/>
        <v>16.021699999999999</v>
      </c>
      <c r="U311">
        <f t="shared" si="51"/>
        <v>22.682080907</v>
      </c>
      <c r="X311" s="9"/>
      <c r="Y311" s="22">
        <v>0.284271</v>
      </c>
      <c r="Z311" s="22">
        <v>317.81799999999998</v>
      </c>
      <c r="AA311" s="22">
        <v>-1.70166E-2</v>
      </c>
      <c r="AB311" s="22">
        <v>301</v>
      </c>
      <c r="AC311" s="22">
        <v>0.28360000000000002</v>
      </c>
      <c r="AD311">
        <f t="shared" si="52"/>
        <v>17.0166</v>
      </c>
      <c r="AE311">
        <f t="shared" si="53"/>
        <v>4.8373258985999996</v>
      </c>
      <c r="AF311" s="9"/>
      <c r="AG311" s="22">
        <v>1.41571</v>
      </c>
      <c r="AH311" s="22">
        <v>383.18400000000003</v>
      </c>
      <c r="AI311" s="22">
        <v>-1.5805099999999999E-2</v>
      </c>
      <c r="AJ311" s="22">
        <v>301</v>
      </c>
      <c r="AK311" s="22">
        <v>1.41479</v>
      </c>
      <c r="AL311">
        <f t="shared" si="54"/>
        <v>15.805099999999999</v>
      </c>
      <c r="AM311">
        <f t="shared" si="55"/>
        <v>22.375438120999998</v>
      </c>
      <c r="AP311" s="9"/>
      <c r="AQ311" s="22">
        <v>0.284271</v>
      </c>
      <c r="AR311" s="22">
        <v>472.48500000000001</v>
      </c>
      <c r="AS311" s="22">
        <v>-1.6952499999999999E-2</v>
      </c>
      <c r="AT311" s="22">
        <v>301</v>
      </c>
      <c r="AU311" s="22">
        <v>0.28362999999999999</v>
      </c>
      <c r="AV311">
        <f t="shared" si="56"/>
        <v>16.952500000000001</v>
      </c>
      <c r="AW311">
        <f t="shared" si="57"/>
        <v>4.8191041275000002</v>
      </c>
      <c r="AX311" s="9"/>
      <c r="AY311" s="22">
        <v>1.41571</v>
      </c>
      <c r="AZ311" s="22">
        <v>549.51099999999997</v>
      </c>
      <c r="BA311" s="22">
        <v>-1.5539600000000001E-2</v>
      </c>
      <c r="BB311" s="22">
        <v>301</v>
      </c>
      <c r="BC311" s="22">
        <v>1.41479</v>
      </c>
      <c r="BD311">
        <f t="shared" si="58"/>
        <v>15.5396</v>
      </c>
      <c r="BE311">
        <f t="shared" si="59"/>
        <v>21.999567116000001</v>
      </c>
    </row>
    <row r="312" spans="6:57">
      <c r="F312" s="9"/>
      <c r="G312" s="22">
        <v>0.27923599999999998</v>
      </c>
      <c r="H312" s="22">
        <v>106.18600000000001</v>
      </c>
      <c r="I312" s="22">
        <v>-1.7092900000000001E-2</v>
      </c>
      <c r="J312" s="22">
        <v>302</v>
      </c>
      <c r="K312" s="22">
        <v>0.27856399999999998</v>
      </c>
      <c r="L312">
        <f t="shared" si="48"/>
        <v>17.0929</v>
      </c>
      <c r="M312">
        <f t="shared" si="49"/>
        <v>4.7729530243999996</v>
      </c>
      <c r="N312" s="9"/>
      <c r="O312" s="22">
        <v>1.42075</v>
      </c>
      <c r="P312" s="22">
        <v>200.15</v>
      </c>
      <c r="Q312" s="22">
        <v>-1.59668E-2</v>
      </c>
      <c r="R312" s="22">
        <v>302</v>
      </c>
      <c r="S312" s="22">
        <v>1.4202900000000001</v>
      </c>
      <c r="T312">
        <f t="shared" si="50"/>
        <v>15.966799999999999</v>
      </c>
      <c r="U312">
        <f t="shared" si="51"/>
        <v>22.684831099999997</v>
      </c>
      <c r="X312" s="9"/>
      <c r="Y312" s="22">
        <v>0.27923599999999998</v>
      </c>
      <c r="Z312" s="22">
        <v>317.91899999999998</v>
      </c>
      <c r="AA312" s="22">
        <v>-1.70166E-2</v>
      </c>
      <c r="AB312" s="22">
        <v>302</v>
      </c>
      <c r="AC312" s="22">
        <v>0.278534</v>
      </c>
      <c r="AD312">
        <f t="shared" si="52"/>
        <v>17.0166</v>
      </c>
      <c r="AE312">
        <f t="shared" si="53"/>
        <v>4.7516473175999998</v>
      </c>
      <c r="AF312" s="9"/>
      <c r="AG312" s="22">
        <v>1.42075</v>
      </c>
      <c r="AH312" s="22">
        <v>383.28500000000003</v>
      </c>
      <c r="AI312" s="22">
        <v>-1.5780599999999999E-2</v>
      </c>
      <c r="AJ312" s="22">
        <v>302</v>
      </c>
      <c r="AK312" s="22">
        <v>1.4212</v>
      </c>
      <c r="AL312">
        <f t="shared" si="54"/>
        <v>15.780599999999998</v>
      </c>
      <c r="AM312">
        <f t="shared" si="55"/>
        <v>22.420287449999996</v>
      </c>
      <c r="AP312" s="9"/>
      <c r="AQ312" s="22">
        <v>0.27923599999999998</v>
      </c>
      <c r="AR312" s="22">
        <v>472.58600000000001</v>
      </c>
      <c r="AS312" s="22">
        <v>-1.69617E-2</v>
      </c>
      <c r="AT312" s="22">
        <v>302</v>
      </c>
      <c r="AU312" s="22">
        <v>0.27856399999999998</v>
      </c>
      <c r="AV312">
        <f t="shared" si="56"/>
        <v>16.9617</v>
      </c>
      <c r="AW312">
        <f t="shared" si="57"/>
        <v>4.7363172612</v>
      </c>
      <c r="AX312" s="9"/>
      <c r="AY312" s="22">
        <v>1.42075</v>
      </c>
      <c r="AZ312" s="22">
        <v>549.61099999999999</v>
      </c>
      <c r="BA312" s="22">
        <v>-1.55151E-2</v>
      </c>
      <c r="BB312" s="22">
        <v>302</v>
      </c>
      <c r="BC312" s="22">
        <v>1.4202900000000001</v>
      </c>
      <c r="BD312">
        <f t="shared" si="58"/>
        <v>15.5151</v>
      </c>
      <c r="BE312">
        <f t="shared" si="59"/>
        <v>22.043078325</v>
      </c>
    </row>
    <row r="313" spans="6:57">
      <c r="F313" s="9"/>
      <c r="G313" s="22">
        <v>0.2742</v>
      </c>
      <c r="H313" s="22">
        <v>106.28700000000001</v>
      </c>
      <c r="I313" s="22">
        <v>-1.7086799999999999E-2</v>
      </c>
      <c r="J313" s="22">
        <v>303</v>
      </c>
      <c r="K313" s="22">
        <v>0.27356000000000003</v>
      </c>
      <c r="L313">
        <f t="shared" si="48"/>
        <v>17.0868</v>
      </c>
      <c r="M313">
        <f t="shared" si="49"/>
        <v>4.6852005600000002</v>
      </c>
      <c r="N313" s="9"/>
      <c r="O313" s="22">
        <v>1.42578</v>
      </c>
      <c r="P313" s="22">
        <v>200.25</v>
      </c>
      <c r="Q313" s="22">
        <v>-1.5905800000000001E-2</v>
      </c>
      <c r="R313" s="22">
        <v>303</v>
      </c>
      <c r="S313" s="22">
        <v>1.4248700000000001</v>
      </c>
      <c r="T313">
        <f t="shared" si="50"/>
        <v>15.905800000000001</v>
      </c>
      <c r="U313">
        <f t="shared" si="51"/>
        <v>22.678171524000003</v>
      </c>
      <c r="X313" s="9"/>
      <c r="Y313" s="22">
        <v>0.2742</v>
      </c>
      <c r="Z313" s="22">
        <v>318.01900000000001</v>
      </c>
      <c r="AA313" s="22">
        <v>-1.7031899999999999E-2</v>
      </c>
      <c r="AB313" s="22">
        <v>303</v>
      </c>
      <c r="AC313" s="22">
        <v>0.273621</v>
      </c>
      <c r="AD313">
        <f t="shared" si="52"/>
        <v>17.0319</v>
      </c>
      <c r="AE313">
        <f t="shared" si="53"/>
        <v>4.6701469800000002</v>
      </c>
      <c r="AF313" s="9"/>
      <c r="AG313" s="22">
        <v>1.42578</v>
      </c>
      <c r="AH313" s="22">
        <v>383.38499999999999</v>
      </c>
      <c r="AI313" s="22">
        <v>-1.57349E-2</v>
      </c>
      <c r="AJ313" s="22">
        <v>303</v>
      </c>
      <c r="AK313" s="22">
        <v>1.42517</v>
      </c>
      <c r="AL313">
        <f t="shared" si="54"/>
        <v>15.7349</v>
      </c>
      <c r="AM313">
        <f t="shared" si="55"/>
        <v>22.434505722000001</v>
      </c>
      <c r="AP313" s="9"/>
      <c r="AQ313" s="22">
        <v>0.2742</v>
      </c>
      <c r="AR313" s="22">
        <v>472.68700000000001</v>
      </c>
      <c r="AS313" s="22">
        <v>-1.6979999999999999E-2</v>
      </c>
      <c r="AT313" s="22">
        <v>303</v>
      </c>
      <c r="AU313" s="22">
        <v>0.273621</v>
      </c>
      <c r="AV313">
        <f t="shared" si="56"/>
        <v>16.979999999999997</v>
      </c>
      <c r="AW313">
        <f t="shared" si="57"/>
        <v>4.6559159999999995</v>
      </c>
      <c r="AX313" s="9"/>
      <c r="AY313" s="22">
        <v>1.42578</v>
      </c>
      <c r="AZ313" s="22">
        <v>549.71199999999999</v>
      </c>
      <c r="BA313" s="22">
        <v>-1.54816E-2</v>
      </c>
      <c r="BB313" s="22">
        <v>303</v>
      </c>
      <c r="BC313" s="22">
        <v>1.4254800000000001</v>
      </c>
      <c r="BD313">
        <f t="shared" si="58"/>
        <v>15.4816</v>
      </c>
      <c r="BE313">
        <f t="shared" si="59"/>
        <v>22.073355648</v>
      </c>
    </row>
    <row r="314" spans="6:57">
      <c r="F314" s="9"/>
      <c r="G314" s="22">
        <v>0.26916499999999999</v>
      </c>
      <c r="H314" s="22">
        <v>106.387</v>
      </c>
      <c r="I314" s="22">
        <v>-1.7095900000000001E-2</v>
      </c>
      <c r="J314" s="22">
        <v>304</v>
      </c>
      <c r="K314" s="22">
        <v>0.26855499999999999</v>
      </c>
      <c r="L314">
        <f t="shared" si="48"/>
        <v>17.0959</v>
      </c>
      <c r="M314">
        <f t="shared" si="49"/>
        <v>4.6016179235000001</v>
      </c>
      <c r="N314" s="9"/>
      <c r="O314" s="22">
        <v>1.43082</v>
      </c>
      <c r="P314" s="22">
        <v>200.351</v>
      </c>
      <c r="Q314" s="22">
        <v>-1.5887499999999999E-2</v>
      </c>
      <c r="R314" s="22">
        <v>304</v>
      </c>
      <c r="S314" s="22">
        <v>1.4303600000000001</v>
      </c>
      <c r="T314">
        <f t="shared" si="50"/>
        <v>15.887499999999999</v>
      </c>
      <c r="U314">
        <f t="shared" si="51"/>
        <v>22.732152749999997</v>
      </c>
      <c r="X314" s="9"/>
      <c r="Y314" s="22">
        <v>0.26916499999999999</v>
      </c>
      <c r="Z314" s="22">
        <v>318.12</v>
      </c>
      <c r="AA314" s="22">
        <v>-1.7025800000000001E-2</v>
      </c>
      <c r="AB314" s="22">
        <v>304</v>
      </c>
      <c r="AC314" s="22">
        <v>0.26855499999999999</v>
      </c>
      <c r="AD314">
        <f t="shared" si="52"/>
        <v>17.0258</v>
      </c>
      <c r="AE314">
        <f t="shared" si="53"/>
        <v>4.5827494570000002</v>
      </c>
      <c r="AF314" s="9"/>
      <c r="AG314" s="22">
        <v>1.43082</v>
      </c>
      <c r="AH314" s="22">
        <v>383.48599999999999</v>
      </c>
      <c r="AI314" s="22">
        <v>-1.56921E-2</v>
      </c>
      <c r="AJ314" s="22">
        <v>304</v>
      </c>
      <c r="AK314" s="22">
        <v>1.43005</v>
      </c>
      <c r="AL314">
        <f t="shared" si="54"/>
        <v>15.6921</v>
      </c>
      <c r="AM314">
        <f t="shared" si="55"/>
        <v>22.452570521999998</v>
      </c>
      <c r="AP314" s="9"/>
      <c r="AQ314" s="22">
        <v>0.26916499999999999</v>
      </c>
      <c r="AR314" s="22">
        <v>472.78800000000001</v>
      </c>
      <c r="AS314" s="22">
        <v>-1.69769E-2</v>
      </c>
      <c r="AT314" s="22">
        <v>304</v>
      </c>
      <c r="AU314" s="22">
        <v>0.26852399999999998</v>
      </c>
      <c r="AV314">
        <f t="shared" si="56"/>
        <v>16.976900000000001</v>
      </c>
      <c r="AW314">
        <f t="shared" si="57"/>
        <v>4.5695872885000002</v>
      </c>
      <c r="AX314" s="9"/>
      <c r="AY314" s="22">
        <v>1.43082</v>
      </c>
      <c r="AZ314" s="22">
        <v>549.81299999999999</v>
      </c>
      <c r="BA314" s="22">
        <v>-1.5423600000000001E-2</v>
      </c>
      <c r="BB314" s="22">
        <v>304</v>
      </c>
      <c r="BC314" s="22">
        <v>1.43005</v>
      </c>
      <c r="BD314">
        <f t="shared" si="58"/>
        <v>15.4236</v>
      </c>
      <c r="BE314">
        <f t="shared" si="59"/>
        <v>22.068395352</v>
      </c>
    </row>
    <row r="315" spans="6:57">
      <c r="F315" s="9"/>
      <c r="G315" s="22">
        <v>0.26412999999999998</v>
      </c>
      <c r="H315" s="22">
        <v>106.488</v>
      </c>
      <c r="I315" s="22">
        <v>-1.7095900000000001E-2</v>
      </c>
      <c r="J315" s="22">
        <v>305</v>
      </c>
      <c r="K315" s="22">
        <v>0.26348899999999997</v>
      </c>
      <c r="L315">
        <f t="shared" si="48"/>
        <v>17.0959</v>
      </c>
      <c r="M315">
        <f t="shared" si="49"/>
        <v>4.5155400669999999</v>
      </c>
      <c r="N315" s="9"/>
      <c r="O315" s="22">
        <v>1.4358500000000001</v>
      </c>
      <c r="P315" s="22">
        <v>200.452</v>
      </c>
      <c r="Q315" s="22">
        <v>-1.5859999999999999E-2</v>
      </c>
      <c r="R315" s="22">
        <v>305</v>
      </c>
      <c r="S315" s="22">
        <v>1.4349400000000001</v>
      </c>
      <c r="T315">
        <f t="shared" si="50"/>
        <v>15.86</v>
      </c>
      <c r="U315">
        <f t="shared" si="51"/>
        <v>22.772580999999999</v>
      </c>
      <c r="X315" s="9"/>
      <c r="Y315" s="22">
        <v>0.26412999999999998</v>
      </c>
      <c r="Z315" s="22">
        <v>318.221</v>
      </c>
      <c r="AA315" s="22">
        <v>-1.7022700000000002E-2</v>
      </c>
      <c r="AB315" s="22">
        <v>305</v>
      </c>
      <c r="AC315" s="22">
        <v>0.263519</v>
      </c>
      <c r="AD315">
        <f t="shared" si="52"/>
        <v>17.0227</v>
      </c>
      <c r="AE315">
        <f t="shared" si="53"/>
        <v>4.4962057509999998</v>
      </c>
      <c r="AF315" s="9"/>
      <c r="AG315" s="22">
        <v>1.4358500000000001</v>
      </c>
      <c r="AH315" s="22">
        <v>383.58699999999999</v>
      </c>
      <c r="AI315" s="22">
        <v>-1.5658600000000002E-2</v>
      </c>
      <c r="AJ315" s="22">
        <v>305</v>
      </c>
      <c r="AK315" s="22">
        <v>1.4346300000000001</v>
      </c>
      <c r="AL315">
        <f t="shared" si="54"/>
        <v>15.658600000000002</v>
      </c>
      <c r="AM315">
        <f t="shared" si="55"/>
        <v>22.483400810000003</v>
      </c>
      <c r="AP315" s="9"/>
      <c r="AQ315" s="22">
        <v>0.26412999999999998</v>
      </c>
      <c r="AR315" s="22">
        <v>472.88799999999998</v>
      </c>
      <c r="AS315" s="22">
        <v>-1.69891E-2</v>
      </c>
      <c r="AT315" s="22">
        <v>305</v>
      </c>
      <c r="AU315" s="22">
        <v>0.263519</v>
      </c>
      <c r="AV315">
        <f t="shared" si="56"/>
        <v>16.989100000000001</v>
      </c>
      <c r="AW315">
        <f t="shared" si="57"/>
        <v>4.4873309829999997</v>
      </c>
      <c r="AX315" s="9"/>
      <c r="AY315" s="22">
        <v>1.4358500000000001</v>
      </c>
      <c r="AZ315" s="22">
        <v>549.91399999999999</v>
      </c>
      <c r="BA315" s="22">
        <v>-1.53595E-2</v>
      </c>
      <c r="BB315" s="22">
        <v>305</v>
      </c>
      <c r="BC315" s="22">
        <v>1.4349400000000001</v>
      </c>
      <c r="BD315">
        <f t="shared" si="58"/>
        <v>15.359500000000001</v>
      </c>
      <c r="BE315">
        <f t="shared" si="59"/>
        <v>22.053938075000001</v>
      </c>
    </row>
    <row r="316" spans="6:57">
      <c r="F316" s="9"/>
      <c r="G316" s="22">
        <v>0.25909399999999999</v>
      </c>
      <c r="H316" s="22">
        <v>106.589</v>
      </c>
      <c r="I316" s="22">
        <v>-1.71082E-2</v>
      </c>
      <c r="J316" s="22">
        <v>306</v>
      </c>
      <c r="K316" s="22">
        <v>0.25842300000000001</v>
      </c>
      <c r="L316">
        <f t="shared" si="48"/>
        <v>17.1082</v>
      </c>
      <c r="M316">
        <f t="shared" si="49"/>
        <v>4.4326319708000002</v>
      </c>
      <c r="N316" s="9"/>
      <c r="O316" s="22">
        <v>1.44089</v>
      </c>
      <c r="P316" s="22">
        <v>200.55199999999999</v>
      </c>
      <c r="Q316" s="22">
        <v>-1.5811200000000001E-2</v>
      </c>
      <c r="R316" s="22">
        <v>306</v>
      </c>
      <c r="S316" s="22">
        <v>1.4404300000000001</v>
      </c>
      <c r="T316">
        <f t="shared" si="50"/>
        <v>15.811200000000001</v>
      </c>
      <c r="U316">
        <f t="shared" si="51"/>
        <v>22.782199968</v>
      </c>
      <c r="X316" s="9"/>
      <c r="Y316" s="22">
        <v>0.25909399999999999</v>
      </c>
      <c r="Z316" s="22">
        <v>318.32100000000003</v>
      </c>
      <c r="AA316" s="22">
        <v>-1.7025800000000001E-2</v>
      </c>
      <c r="AB316" s="22">
        <v>306</v>
      </c>
      <c r="AC316" s="22">
        <v>0.25845299999999999</v>
      </c>
      <c r="AD316">
        <f t="shared" si="52"/>
        <v>17.0258</v>
      </c>
      <c r="AE316">
        <f t="shared" si="53"/>
        <v>4.4112826252000001</v>
      </c>
      <c r="AF316" s="9"/>
      <c r="AG316" s="22">
        <v>1.44089</v>
      </c>
      <c r="AH316" s="22">
        <v>383.68799999999999</v>
      </c>
      <c r="AI316" s="22">
        <v>-1.5600599999999999E-2</v>
      </c>
      <c r="AJ316" s="22">
        <v>306</v>
      </c>
      <c r="AK316" s="22">
        <v>1.4401200000000001</v>
      </c>
      <c r="AL316">
        <f t="shared" si="54"/>
        <v>15.6006</v>
      </c>
      <c r="AM316">
        <f t="shared" si="55"/>
        <v>22.478748534000001</v>
      </c>
      <c r="AP316" s="9"/>
      <c r="AQ316" s="22">
        <v>0.25909399999999999</v>
      </c>
      <c r="AR316" s="22">
        <v>472.98899999999998</v>
      </c>
      <c r="AS316" s="22">
        <v>-1.6992199999999999E-2</v>
      </c>
      <c r="AT316" s="22">
        <v>306</v>
      </c>
      <c r="AU316" s="22">
        <v>0.25848399999999999</v>
      </c>
      <c r="AV316">
        <f t="shared" si="56"/>
        <v>16.9922</v>
      </c>
      <c r="AW316">
        <f t="shared" si="57"/>
        <v>4.4025770668000002</v>
      </c>
      <c r="AX316" s="9"/>
      <c r="AY316" s="22">
        <v>1.44089</v>
      </c>
      <c r="AZ316" s="22">
        <v>550.01400000000001</v>
      </c>
      <c r="BA316" s="22">
        <v>-1.52893E-2</v>
      </c>
      <c r="BB316" s="22">
        <v>306</v>
      </c>
      <c r="BC316" s="22">
        <v>1.4404300000000001</v>
      </c>
      <c r="BD316">
        <f t="shared" si="58"/>
        <v>15.289300000000001</v>
      </c>
      <c r="BE316">
        <f t="shared" si="59"/>
        <v>22.030199477</v>
      </c>
    </row>
    <row r="317" spans="6:57">
      <c r="F317" s="9"/>
      <c r="G317" s="22">
        <v>0.25405899999999998</v>
      </c>
      <c r="H317" s="22">
        <v>106.69</v>
      </c>
      <c r="I317" s="22">
        <v>-1.71112E-2</v>
      </c>
      <c r="J317" s="22">
        <v>307</v>
      </c>
      <c r="K317" s="22">
        <v>0.253357</v>
      </c>
      <c r="L317">
        <f t="shared" si="48"/>
        <v>17.1112</v>
      </c>
      <c r="M317">
        <f t="shared" si="49"/>
        <v>4.3472543608000001</v>
      </c>
      <c r="N317" s="9"/>
      <c r="O317" s="22">
        <v>1.4459200000000001</v>
      </c>
      <c r="P317" s="22">
        <v>200.65299999999999</v>
      </c>
      <c r="Q317" s="22">
        <v>-1.57623E-2</v>
      </c>
      <c r="R317" s="22">
        <v>307</v>
      </c>
      <c r="S317" s="22">
        <v>1.4453100000000001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318.42200000000003</v>
      </c>
      <c r="AA317" s="22">
        <v>-1.7038000000000001E-2</v>
      </c>
      <c r="AB317" s="22">
        <v>307</v>
      </c>
      <c r="AC317" s="22">
        <v>0.253326</v>
      </c>
      <c r="AD317">
        <f t="shared" si="52"/>
        <v>17.038</v>
      </c>
      <c r="AE317">
        <f t="shared" si="53"/>
        <v>4.3286572419999993</v>
      </c>
      <c r="AF317" s="9"/>
      <c r="AG317" s="22">
        <v>1.4459200000000001</v>
      </c>
      <c r="AH317" s="22">
        <v>383.78800000000001</v>
      </c>
      <c r="AI317" s="22">
        <v>-1.5564E-2</v>
      </c>
      <c r="AJ317" s="22">
        <v>307</v>
      </c>
      <c r="AK317" s="22">
        <v>1.4453100000000001</v>
      </c>
      <c r="AL317">
        <f t="shared" si="54"/>
        <v>15.564</v>
      </c>
      <c r="AM317">
        <f t="shared" si="55"/>
        <v>22.50429888</v>
      </c>
      <c r="AP317" s="9"/>
      <c r="AQ317" s="22">
        <v>0.25405899999999998</v>
      </c>
      <c r="AR317" s="22">
        <v>473.09</v>
      </c>
      <c r="AS317" s="22">
        <v>-1.6992199999999999E-2</v>
      </c>
      <c r="AT317" s="22">
        <v>307</v>
      </c>
      <c r="AU317" s="22">
        <v>0.25341799999999998</v>
      </c>
      <c r="AV317">
        <f t="shared" si="56"/>
        <v>16.9922</v>
      </c>
      <c r="AW317">
        <f t="shared" si="57"/>
        <v>4.3170213398000001</v>
      </c>
      <c r="AX317" s="9"/>
      <c r="AY317" s="22">
        <v>1.4459200000000001</v>
      </c>
      <c r="AZ317" s="22">
        <v>550.11500000000001</v>
      </c>
      <c r="BA317" s="22">
        <v>-1.5295400000000001E-2</v>
      </c>
      <c r="BB317" s="22">
        <v>307</v>
      </c>
      <c r="BC317" s="22">
        <v>1.4456199999999999</v>
      </c>
      <c r="BD317">
        <f t="shared" si="58"/>
        <v>15.295400000000001</v>
      </c>
      <c r="BE317">
        <f t="shared" si="59"/>
        <v>22.115924768000003</v>
      </c>
    </row>
    <row r="318" spans="6:57">
      <c r="F318" s="9"/>
      <c r="G318" s="22">
        <v>0.24902299999999999</v>
      </c>
      <c r="H318" s="22">
        <v>106.79</v>
      </c>
      <c r="I318" s="22">
        <v>-1.7105100000000002E-2</v>
      </c>
      <c r="J318" s="22">
        <v>308</v>
      </c>
      <c r="K318" s="22">
        <v>0.24832199999999999</v>
      </c>
      <c r="L318">
        <f t="shared" si="48"/>
        <v>17.1051</v>
      </c>
      <c r="M318">
        <f t="shared" si="49"/>
        <v>4.2595633172999996</v>
      </c>
      <c r="N318" s="9"/>
      <c r="O318" s="22">
        <v>1.45096</v>
      </c>
      <c r="P318" s="22">
        <v>200.75399999999999</v>
      </c>
      <c r="Q318" s="22">
        <v>-1.58417E-2</v>
      </c>
      <c r="R318" s="22">
        <v>308</v>
      </c>
      <c r="S318" s="22">
        <v>1.4508099999999999</v>
      </c>
      <c r="T318">
        <f t="shared" si="50"/>
        <v>15.841699999999999</v>
      </c>
      <c r="U318">
        <f t="shared" si="51"/>
        <v>22.985673032000001</v>
      </c>
      <c r="X318" s="9"/>
      <c r="Y318" s="22">
        <v>0.24902299999999999</v>
      </c>
      <c r="Z318" s="22">
        <v>318.52300000000002</v>
      </c>
      <c r="AA318" s="22">
        <v>-1.7050200000000001E-2</v>
      </c>
      <c r="AB318" s="22">
        <v>308</v>
      </c>
      <c r="AC318" s="22">
        <v>0.24832199999999999</v>
      </c>
      <c r="AD318">
        <f t="shared" si="52"/>
        <v>17.0502</v>
      </c>
      <c r="AE318">
        <f t="shared" si="53"/>
        <v>4.2458919546000002</v>
      </c>
      <c r="AF318" s="9"/>
      <c r="AG318" s="22">
        <v>1.45096</v>
      </c>
      <c r="AH318" s="22">
        <v>383.88900000000001</v>
      </c>
      <c r="AI318" s="22">
        <v>-1.55304E-2</v>
      </c>
      <c r="AJ318" s="22">
        <v>308</v>
      </c>
      <c r="AK318" s="22">
        <v>1.4501999999999999</v>
      </c>
      <c r="AL318">
        <f t="shared" si="54"/>
        <v>15.5304</v>
      </c>
      <c r="AM318">
        <f t="shared" si="55"/>
        <v>22.533989183999999</v>
      </c>
      <c r="AP318" s="9"/>
      <c r="AQ318" s="22">
        <v>0.24902299999999999</v>
      </c>
      <c r="AR318" s="22">
        <v>473.19</v>
      </c>
      <c r="AS318" s="22">
        <v>-1.69739E-2</v>
      </c>
      <c r="AT318" s="22">
        <v>308</v>
      </c>
      <c r="AU318" s="22">
        <v>0.24853500000000001</v>
      </c>
      <c r="AV318">
        <f t="shared" si="56"/>
        <v>16.9739</v>
      </c>
      <c r="AW318">
        <f t="shared" si="57"/>
        <v>4.2268914996999998</v>
      </c>
      <c r="AX318" s="9"/>
      <c r="AY318" s="22">
        <v>1.45096</v>
      </c>
      <c r="AZ318" s="22">
        <v>550.21600000000001</v>
      </c>
      <c r="BA318" s="22">
        <v>-1.52435E-2</v>
      </c>
      <c r="BB318" s="22">
        <v>308</v>
      </c>
      <c r="BC318" s="22">
        <v>1.4498899999999999</v>
      </c>
      <c r="BD318">
        <f t="shared" si="58"/>
        <v>15.243500000000001</v>
      </c>
      <c r="BE318">
        <f t="shared" si="59"/>
        <v>22.117708760000003</v>
      </c>
    </row>
    <row r="319" spans="6:57">
      <c r="F319" s="9"/>
      <c r="G319" s="22">
        <v>0.24398800000000001</v>
      </c>
      <c r="H319" s="22">
        <v>106.89100000000001</v>
      </c>
      <c r="I319" s="22">
        <v>-1.71112E-2</v>
      </c>
      <c r="J319" s="22">
        <v>309</v>
      </c>
      <c r="K319" s="22">
        <v>0.24334700000000001</v>
      </c>
      <c r="L319">
        <f t="shared" si="48"/>
        <v>17.1112</v>
      </c>
      <c r="M319">
        <f t="shared" si="49"/>
        <v>4.1749274656000006</v>
      </c>
      <c r="N319" s="9"/>
      <c r="O319" s="22">
        <v>1.4559899999999999</v>
      </c>
      <c r="P319" s="22">
        <v>200.85499999999999</v>
      </c>
      <c r="Q319" s="22">
        <v>-1.5744000000000001E-2</v>
      </c>
      <c r="R319" s="22">
        <v>309</v>
      </c>
      <c r="S319" s="22">
        <v>1.4559899999999999</v>
      </c>
      <c r="T319">
        <f t="shared" si="50"/>
        <v>15.744000000000002</v>
      </c>
      <c r="U319">
        <f t="shared" si="51"/>
        <v>22.923106560000001</v>
      </c>
      <c r="X319" s="9"/>
      <c r="Y319" s="22">
        <v>0.24398800000000001</v>
      </c>
      <c r="Z319" s="22">
        <v>318.62400000000002</v>
      </c>
      <c r="AA319" s="22">
        <v>-1.70563E-2</v>
      </c>
      <c r="AB319" s="22">
        <v>309</v>
      </c>
      <c r="AC319" s="22">
        <v>0.24313399999999999</v>
      </c>
      <c r="AD319">
        <f t="shared" si="52"/>
        <v>17.0563</v>
      </c>
      <c r="AE319">
        <f t="shared" si="53"/>
        <v>4.1615325244000001</v>
      </c>
      <c r="AF319" s="9"/>
      <c r="AG319" s="22">
        <v>1.4559899999999999</v>
      </c>
      <c r="AH319" s="22">
        <v>383.99</v>
      </c>
      <c r="AI319" s="22">
        <v>-1.5472400000000001E-2</v>
      </c>
      <c r="AJ319" s="22">
        <v>309</v>
      </c>
      <c r="AK319" s="22">
        <v>1.4553799999999999</v>
      </c>
      <c r="AL319">
        <f t="shared" si="54"/>
        <v>15.4724</v>
      </c>
      <c r="AM319">
        <f t="shared" si="55"/>
        <v>22.527659675999999</v>
      </c>
      <c r="AP319" s="9"/>
      <c r="AQ319" s="22">
        <v>0.24398800000000001</v>
      </c>
      <c r="AR319" s="22">
        <v>473.291</v>
      </c>
      <c r="AS319" s="22">
        <v>-1.69891E-2</v>
      </c>
      <c r="AT319" s="22">
        <v>309</v>
      </c>
      <c r="AU319" s="22">
        <v>0.24331700000000001</v>
      </c>
      <c r="AV319">
        <f t="shared" si="56"/>
        <v>16.989100000000001</v>
      </c>
      <c r="AW319">
        <f t="shared" si="57"/>
        <v>4.1451365308000003</v>
      </c>
      <c r="AX319" s="9"/>
      <c r="AY319" s="22">
        <v>1.4559899999999999</v>
      </c>
      <c r="AZ319" s="22">
        <v>550.31600000000003</v>
      </c>
      <c r="BA319" s="22">
        <v>-1.52435E-2</v>
      </c>
      <c r="BB319" s="22">
        <v>309</v>
      </c>
      <c r="BC319" s="22">
        <v>1.4556899999999999</v>
      </c>
      <c r="BD319">
        <f t="shared" si="58"/>
        <v>15.243500000000001</v>
      </c>
      <c r="BE319">
        <f t="shared" si="59"/>
        <v>22.194383564999999</v>
      </c>
    </row>
    <row r="320" spans="6:57">
      <c r="F320" s="9"/>
      <c r="G320" s="22">
        <v>0.238953</v>
      </c>
      <c r="H320" s="22">
        <v>106.992</v>
      </c>
      <c r="I320" s="22">
        <v>-1.7105100000000002E-2</v>
      </c>
      <c r="J320" s="22">
        <v>310</v>
      </c>
      <c r="K320" s="22">
        <v>0.238403</v>
      </c>
      <c r="L320">
        <f t="shared" si="48"/>
        <v>17.1051</v>
      </c>
      <c r="M320">
        <f t="shared" si="49"/>
        <v>4.0873149602999996</v>
      </c>
      <c r="N320" s="9"/>
      <c r="O320" s="22">
        <v>1.4610300000000001</v>
      </c>
      <c r="P320" s="22">
        <v>200.95500000000001</v>
      </c>
      <c r="Q320" s="22">
        <v>-1.5701300000000001E-2</v>
      </c>
      <c r="R320" s="22">
        <v>310</v>
      </c>
      <c r="S320" s="22">
        <v>1.4599599999999999</v>
      </c>
      <c r="T320">
        <f t="shared" si="50"/>
        <v>15.701300000000002</v>
      </c>
      <c r="U320">
        <f t="shared" si="51"/>
        <v>22.940070339000002</v>
      </c>
      <c r="X320" s="9"/>
      <c r="Y320" s="22">
        <v>0.238953</v>
      </c>
      <c r="Z320" s="22">
        <v>318.72399999999999</v>
      </c>
      <c r="AA320" s="22">
        <v>-1.7059299999999999E-2</v>
      </c>
      <c r="AB320" s="22">
        <v>310</v>
      </c>
      <c r="AC320" s="22">
        <v>0.238342</v>
      </c>
      <c r="AD320">
        <f t="shared" si="52"/>
        <v>17.0593</v>
      </c>
      <c r="AE320">
        <f t="shared" si="53"/>
        <v>4.0763709128999999</v>
      </c>
      <c r="AF320" s="9"/>
      <c r="AG320" s="22">
        <v>1.4610300000000001</v>
      </c>
      <c r="AH320" s="22">
        <v>384.09</v>
      </c>
      <c r="AI320" s="22">
        <v>-1.54755E-2</v>
      </c>
      <c r="AJ320" s="22">
        <v>310</v>
      </c>
      <c r="AK320" s="22">
        <v>1.4599599999999999</v>
      </c>
      <c r="AL320">
        <f t="shared" si="54"/>
        <v>15.4755</v>
      </c>
      <c r="AM320">
        <f t="shared" si="55"/>
        <v>22.610169765000002</v>
      </c>
      <c r="AP320" s="9"/>
      <c r="AQ320" s="22">
        <v>0.238953</v>
      </c>
      <c r="AR320" s="22">
        <v>473.392</v>
      </c>
      <c r="AS320" s="22">
        <v>-1.7007399999999999E-2</v>
      </c>
      <c r="AT320" s="22">
        <v>310</v>
      </c>
      <c r="AU320" s="22">
        <v>0.23843400000000001</v>
      </c>
      <c r="AV320">
        <f t="shared" si="56"/>
        <v>17.007400000000001</v>
      </c>
      <c r="AW320">
        <f t="shared" si="57"/>
        <v>4.0639692521999997</v>
      </c>
      <c r="AX320" s="9"/>
      <c r="AY320" s="22">
        <v>1.4610300000000001</v>
      </c>
      <c r="AZ320" s="22">
        <v>550.41700000000003</v>
      </c>
      <c r="BA320" s="22">
        <v>-1.51825E-2</v>
      </c>
      <c r="BB320" s="22">
        <v>310</v>
      </c>
      <c r="BC320" s="22">
        <v>1.46027</v>
      </c>
      <c r="BD320">
        <f t="shared" si="58"/>
        <v>15.182499999999999</v>
      </c>
      <c r="BE320">
        <f t="shared" si="59"/>
        <v>22.182087974999998</v>
      </c>
    </row>
    <row r="321" spans="6:57">
      <c r="F321" s="9"/>
      <c r="G321" s="22">
        <v>0.23391700000000001</v>
      </c>
      <c r="H321" s="22">
        <v>107.092</v>
      </c>
      <c r="I321" s="22">
        <v>-1.7105100000000002E-2</v>
      </c>
      <c r="J321" s="22">
        <v>311</v>
      </c>
      <c r="K321" s="22">
        <v>0.23330699999999999</v>
      </c>
      <c r="L321">
        <f t="shared" si="48"/>
        <v>17.1051</v>
      </c>
      <c r="M321">
        <f t="shared" si="49"/>
        <v>4.0011736767000006</v>
      </c>
      <c r="N321" s="9"/>
      <c r="O321" s="22">
        <v>1.4660599999999999</v>
      </c>
      <c r="P321" s="22">
        <v>201.05600000000001</v>
      </c>
      <c r="Q321" s="22">
        <v>-1.5621899999999999E-2</v>
      </c>
      <c r="R321" s="22">
        <v>311</v>
      </c>
      <c r="S321" s="22">
        <v>1.4660599999999999</v>
      </c>
      <c r="T321">
        <f t="shared" si="50"/>
        <v>15.6219</v>
      </c>
      <c r="U321">
        <f t="shared" si="51"/>
        <v>22.902642713999999</v>
      </c>
      <c r="X321" s="9"/>
      <c r="Y321" s="22">
        <v>0.23391700000000001</v>
      </c>
      <c r="Z321" s="22">
        <v>318.82499999999999</v>
      </c>
      <c r="AA321" s="22">
        <v>-1.7047099999999999E-2</v>
      </c>
      <c r="AB321" s="22">
        <v>311</v>
      </c>
      <c r="AC321" s="22">
        <v>0.23333699999999999</v>
      </c>
      <c r="AD321">
        <f t="shared" si="52"/>
        <v>17.0471</v>
      </c>
      <c r="AE321">
        <f t="shared" si="53"/>
        <v>3.9876064907000002</v>
      </c>
      <c r="AF321" s="9"/>
      <c r="AG321" s="22">
        <v>1.4660599999999999</v>
      </c>
      <c r="AH321" s="22">
        <v>384.19099999999997</v>
      </c>
      <c r="AI321" s="22">
        <v>-1.5438800000000001E-2</v>
      </c>
      <c r="AJ321" s="22">
        <v>311</v>
      </c>
      <c r="AK321" s="22">
        <v>1.4660599999999999</v>
      </c>
      <c r="AL321">
        <f t="shared" si="54"/>
        <v>15.438800000000001</v>
      </c>
      <c r="AM321">
        <f t="shared" si="55"/>
        <v>22.634207128</v>
      </c>
      <c r="AP321" s="9"/>
      <c r="AQ321" s="22">
        <v>0.23391700000000001</v>
      </c>
      <c r="AR321" s="22">
        <v>473.49299999999999</v>
      </c>
      <c r="AS321" s="22">
        <v>-1.6986100000000001E-2</v>
      </c>
      <c r="AT321" s="22">
        <v>311</v>
      </c>
      <c r="AU321" s="22">
        <v>0.23339799999999999</v>
      </c>
      <c r="AV321">
        <f t="shared" si="56"/>
        <v>16.9861</v>
      </c>
      <c r="AW321">
        <f t="shared" si="57"/>
        <v>3.9733375537000004</v>
      </c>
      <c r="AX321" s="9"/>
      <c r="AY321" s="22">
        <v>1.4660599999999999</v>
      </c>
      <c r="AZ321" s="22">
        <v>550.51800000000003</v>
      </c>
      <c r="BA321" s="22">
        <v>-1.5081799999999999E-2</v>
      </c>
      <c r="BB321" s="22">
        <v>311</v>
      </c>
      <c r="BC321" s="22">
        <v>1.46515</v>
      </c>
      <c r="BD321">
        <f t="shared" si="58"/>
        <v>15.081799999999999</v>
      </c>
      <c r="BE321">
        <f t="shared" si="59"/>
        <v>22.110823707999998</v>
      </c>
    </row>
    <row r="322" spans="6:57">
      <c r="F322" s="9"/>
      <c r="G322" s="22">
        <v>0.228882</v>
      </c>
      <c r="H322" s="22">
        <v>107.193</v>
      </c>
      <c r="I322" s="22">
        <v>-1.7105100000000002E-2</v>
      </c>
      <c r="J322" s="22">
        <v>312</v>
      </c>
      <c r="K322" s="22">
        <v>0.228302</v>
      </c>
      <c r="L322">
        <f t="shared" si="48"/>
        <v>17.1051</v>
      </c>
      <c r="M322">
        <f t="shared" si="49"/>
        <v>3.9150494982000001</v>
      </c>
      <c r="N322" s="9"/>
      <c r="O322" s="22">
        <v>1.4711000000000001</v>
      </c>
      <c r="P322" s="22">
        <v>201.15700000000001</v>
      </c>
      <c r="Q322" s="22">
        <v>-1.55365E-2</v>
      </c>
      <c r="R322" s="22">
        <v>312</v>
      </c>
      <c r="S322" s="22">
        <v>1.4700299999999999</v>
      </c>
      <c r="T322">
        <f t="shared" si="50"/>
        <v>15.5365</v>
      </c>
      <c r="U322">
        <f t="shared" si="51"/>
        <v>22.855745150000001</v>
      </c>
      <c r="X322" s="9"/>
      <c r="Y322" s="22">
        <v>0.228882</v>
      </c>
      <c r="Z322" s="22">
        <v>318.92599999999999</v>
      </c>
      <c r="AA322" s="22">
        <v>-1.7059299999999999E-2</v>
      </c>
      <c r="AB322" s="22">
        <v>312</v>
      </c>
      <c r="AC322" s="22">
        <v>0.22833300000000001</v>
      </c>
      <c r="AD322">
        <f t="shared" si="52"/>
        <v>17.0593</v>
      </c>
      <c r="AE322">
        <f t="shared" si="53"/>
        <v>3.9045667025999999</v>
      </c>
      <c r="AF322" s="9"/>
      <c r="AG322" s="22">
        <v>1.4711000000000001</v>
      </c>
      <c r="AH322" s="22">
        <v>384.29199999999997</v>
      </c>
      <c r="AI322" s="22">
        <v>-1.5374799999999999E-2</v>
      </c>
      <c r="AJ322" s="22">
        <v>312</v>
      </c>
      <c r="AK322" s="22">
        <v>1.47034</v>
      </c>
      <c r="AL322">
        <f t="shared" si="54"/>
        <v>15.374799999999999</v>
      </c>
      <c r="AM322">
        <f t="shared" si="55"/>
        <v>22.61786828</v>
      </c>
      <c r="AP322" s="9"/>
      <c r="AQ322" s="22">
        <v>0.228882</v>
      </c>
      <c r="AR322" s="22">
        <v>473.59300000000002</v>
      </c>
      <c r="AS322" s="22">
        <v>-1.6986100000000001E-2</v>
      </c>
      <c r="AT322" s="22">
        <v>312</v>
      </c>
      <c r="AU322" s="22">
        <v>0.228271</v>
      </c>
      <c r="AV322">
        <f t="shared" si="56"/>
        <v>16.9861</v>
      </c>
      <c r="AW322">
        <f t="shared" si="57"/>
        <v>3.8878125402000001</v>
      </c>
      <c r="AX322" s="9"/>
      <c r="AY322" s="22">
        <v>1.4711000000000001</v>
      </c>
      <c r="AZ322" s="22">
        <v>550.61900000000003</v>
      </c>
      <c r="BA322" s="22">
        <v>-1.5069600000000001E-2</v>
      </c>
      <c r="BB322" s="22">
        <v>312</v>
      </c>
      <c r="BC322" s="22">
        <v>1.4706399999999999</v>
      </c>
      <c r="BD322">
        <f t="shared" si="58"/>
        <v>15.069600000000001</v>
      </c>
      <c r="BE322">
        <f t="shared" si="59"/>
        <v>22.168888560000003</v>
      </c>
    </row>
    <row r="323" spans="6:57">
      <c r="F323" s="9"/>
      <c r="G323" s="22">
        <v>0.22384599999999999</v>
      </c>
      <c r="H323" s="22">
        <v>107.294</v>
      </c>
      <c r="I323" s="22">
        <v>-1.71082E-2</v>
      </c>
      <c r="J323" s="22">
        <v>313</v>
      </c>
      <c r="K323" s="22">
        <v>0.22326699999999999</v>
      </c>
      <c r="L323">
        <f t="shared" si="48"/>
        <v>17.1082</v>
      </c>
      <c r="M323">
        <f t="shared" si="49"/>
        <v>3.8296021371999998</v>
      </c>
      <c r="N323" s="9"/>
      <c r="O323" s="22">
        <v>1.47614</v>
      </c>
      <c r="P323" s="22">
        <v>201.25700000000001</v>
      </c>
      <c r="Q323" s="22">
        <v>-1.5521200000000001E-2</v>
      </c>
      <c r="R323" s="22">
        <v>313</v>
      </c>
      <c r="S323" s="22">
        <v>1.47583</v>
      </c>
      <c r="T323">
        <f t="shared" si="50"/>
        <v>15.5212</v>
      </c>
      <c r="U323">
        <f t="shared" si="51"/>
        <v>22.911464168000002</v>
      </c>
      <c r="X323" s="9"/>
      <c r="Y323" s="22">
        <v>0.22384599999999999</v>
      </c>
      <c r="Z323" s="22">
        <v>319.02600000000001</v>
      </c>
      <c r="AA323" s="22">
        <v>-1.70563E-2</v>
      </c>
      <c r="AB323" s="22">
        <v>313</v>
      </c>
      <c r="AC323" s="22">
        <v>0.22323599999999999</v>
      </c>
      <c r="AD323">
        <f t="shared" si="52"/>
        <v>17.0563</v>
      </c>
      <c r="AE323">
        <f t="shared" si="53"/>
        <v>3.8179845297999999</v>
      </c>
      <c r="AF323" s="9"/>
      <c r="AG323" s="22">
        <v>1.47614</v>
      </c>
      <c r="AH323" s="22">
        <v>384.392</v>
      </c>
      <c r="AI323" s="22">
        <v>-1.5301500000000001E-2</v>
      </c>
      <c r="AJ323" s="22">
        <v>313</v>
      </c>
      <c r="AK323" s="22">
        <v>1.47522</v>
      </c>
      <c r="AL323">
        <f t="shared" si="54"/>
        <v>15.301500000000001</v>
      </c>
      <c r="AM323">
        <f t="shared" si="55"/>
        <v>22.58715621</v>
      </c>
      <c r="AP323" s="9"/>
      <c r="AQ323" s="22">
        <v>0.22384599999999999</v>
      </c>
      <c r="AR323" s="22">
        <v>473.69400000000002</v>
      </c>
      <c r="AS323" s="22">
        <v>-1.6998300000000001E-2</v>
      </c>
      <c r="AT323" s="22">
        <v>313</v>
      </c>
      <c r="AU323" s="22">
        <v>0.22317500000000001</v>
      </c>
      <c r="AV323">
        <f t="shared" si="56"/>
        <v>16.9983</v>
      </c>
      <c r="AW323">
        <f t="shared" si="57"/>
        <v>3.8050014617999999</v>
      </c>
      <c r="AX323" s="9"/>
      <c r="AY323" s="22">
        <v>1.47614</v>
      </c>
      <c r="AZ323" s="22">
        <v>550.71900000000005</v>
      </c>
      <c r="BA323" s="22">
        <v>-1.5032999999999999E-2</v>
      </c>
      <c r="BB323" s="22">
        <v>313</v>
      </c>
      <c r="BC323" s="22">
        <v>1.47583</v>
      </c>
      <c r="BD323">
        <f t="shared" si="58"/>
        <v>15.032999999999999</v>
      </c>
      <c r="BE323">
        <f t="shared" si="59"/>
        <v>22.190812619999999</v>
      </c>
    </row>
    <row r="324" spans="6:57">
      <c r="F324" s="9"/>
      <c r="G324" s="22">
        <v>0.21881100000000001</v>
      </c>
      <c r="H324" s="22">
        <v>107.395</v>
      </c>
      <c r="I324" s="22">
        <v>-1.71112E-2</v>
      </c>
      <c r="J324" s="22">
        <v>314</v>
      </c>
      <c r="K324" s="22">
        <v>0.21826200000000001</v>
      </c>
      <c r="L324">
        <f t="shared" si="48"/>
        <v>17.1112</v>
      </c>
      <c r="M324">
        <f t="shared" si="49"/>
        <v>3.7441187832000002</v>
      </c>
      <c r="N324" s="9"/>
      <c r="O324" s="22">
        <v>1.4811700000000001</v>
      </c>
      <c r="P324" s="22">
        <v>201.358</v>
      </c>
      <c r="Q324" s="22">
        <v>-1.54419E-2</v>
      </c>
      <c r="R324" s="22">
        <v>314</v>
      </c>
      <c r="S324" s="22">
        <v>1.48071</v>
      </c>
      <c r="T324">
        <f t="shared" si="50"/>
        <v>15.4419</v>
      </c>
      <c r="U324">
        <f t="shared" si="51"/>
        <v>22.872079023000001</v>
      </c>
      <c r="X324" s="9"/>
      <c r="Y324" s="22">
        <v>0.21881100000000001</v>
      </c>
      <c r="Z324" s="22">
        <v>319.12700000000001</v>
      </c>
      <c r="AA324" s="22">
        <v>-1.7062399999999998E-2</v>
      </c>
      <c r="AB324" s="22">
        <v>314</v>
      </c>
      <c r="AC324" s="22">
        <v>0.21832299999999999</v>
      </c>
      <c r="AD324">
        <f t="shared" si="52"/>
        <v>17.062399999999997</v>
      </c>
      <c r="AE324">
        <f t="shared" si="53"/>
        <v>3.7334408063999995</v>
      </c>
      <c r="AF324" s="9"/>
      <c r="AG324" s="22">
        <v>1.4811700000000001</v>
      </c>
      <c r="AH324" s="22">
        <v>384.49299999999999</v>
      </c>
      <c r="AI324" s="22">
        <v>-1.5258799999999999E-2</v>
      </c>
      <c r="AJ324" s="22">
        <v>314</v>
      </c>
      <c r="AK324" s="22">
        <v>1.48132</v>
      </c>
      <c r="AL324">
        <f t="shared" si="54"/>
        <v>15.258799999999999</v>
      </c>
      <c r="AM324">
        <f t="shared" si="55"/>
        <v>22.600876796000001</v>
      </c>
      <c r="AP324" s="9"/>
      <c r="AQ324" s="22">
        <v>0.21881100000000001</v>
      </c>
      <c r="AR324" s="22">
        <v>473.79500000000002</v>
      </c>
      <c r="AS324" s="22">
        <v>-1.6986100000000001E-2</v>
      </c>
      <c r="AT324" s="22">
        <v>314</v>
      </c>
      <c r="AU324" s="22">
        <v>0.21820100000000001</v>
      </c>
      <c r="AV324">
        <f t="shared" si="56"/>
        <v>16.9861</v>
      </c>
      <c r="AW324">
        <f t="shared" si="57"/>
        <v>3.7167455271000001</v>
      </c>
      <c r="AX324" s="9"/>
      <c r="AY324" s="22">
        <v>1.4811700000000001</v>
      </c>
      <c r="AZ324" s="22">
        <v>550.82000000000005</v>
      </c>
      <c r="BA324" s="22">
        <v>-1.49292E-2</v>
      </c>
      <c r="BB324" s="22">
        <v>314</v>
      </c>
      <c r="BC324" s="22">
        <v>1.48041</v>
      </c>
      <c r="BD324">
        <f t="shared" si="58"/>
        <v>14.9292</v>
      </c>
      <c r="BE324">
        <f t="shared" si="59"/>
        <v>22.112683164</v>
      </c>
    </row>
    <row r="325" spans="6:57">
      <c r="F325" s="9"/>
      <c r="G325" s="22">
        <v>0.21377599999999999</v>
      </c>
      <c r="H325" s="22">
        <v>107.495</v>
      </c>
      <c r="I325" s="22">
        <v>-1.71234E-2</v>
      </c>
      <c r="J325" s="22">
        <v>315</v>
      </c>
      <c r="K325" s="22">
        <v>0.21316499999999999</v>
      </c>
      <c r="L325">
        <f t="shared" si="48"/>
        <v>17.1234</v>
      </c>
      <c r="M325">
        <f t="shared" si="49"/>
        <v>3.6605719583999998</v>
      </c>
      <c r="N325" s="9"/>
      <c r="O325" s="22">
        <v>1.48621</v>
      </c>
      <c r="P325" s="22">
        <v>201.459</v>
      </c>
      <c r="Q325" s="22">
        <v>-1.5387E-2</v>
      </c>
      <c r="R325" s="22">
        <v>315</v>
      </c>
      <c r="S325" s="22">
        <v>1.4856</v>
      </c>
      <c r="T325">
        <f t="shared" si="50"/>
        <v>15.387</v>
      </c>
      <c r="U325">
        <f t="shared" si="51"/>
        <v>22.868313270000002</v>
      </c>
      <c r="X325" s="9"/>
      <c r="Y325" s="22">
        <v>0.21377599999999999</v>
      </c>
      <c r="Z325" s="22">
        <v>319.22800000000001</v>
      </c>
      <c r="AA325" s="22">
        <v>-1.7065400000000001E-2</v>
      </c>
      <c r="AB325" s="22">
        <v>315</v>
      </c>
      <c r="AC325" s="22">
        <v>0.21316499999999999</v>
      </c>
      <c r="AD325">
        <f t="shared" si="52"/>
        <v>17.0654</v>
      </c>
      <c r="AE325">
        <f t="shared" si="53"/>
        <v>3.6481729503999998</v>
      </c>
      <c r="AF325" s="9"/>
      <c r="AG325" s="22">
        <v>1.48621</v>
      </c>
      <c r="AH325" s="22">
        <v>384.59399999999999</v>
      </c>
      <c r="AI325" s="22">
        <v>-1.52374E-2</v>
      </c>
      <c r="AJ325" s="22">
        <v>315</v>
      </c>
      <c r="AK325" s="22">
        <v>1.4859</v>
      </c>
      <c r="AL325">
        <f t="shared" si="54"/>
        <v>15.237399999999999</v>
      </c>
      <c r="AM325">
        <f t="shared" si="55"/>
        <v>22.645976254000001</v>
      </c>
      <c r="AP325" s="9"/>
      <c r="AQ325" s="22">
        <v>0.21377599999999999</v>
      </c>
      <c r="AR325" s="22">
        <v>473.89499999999998</v>
      </c>
      <c r="AS325" s="22">
        <v>-1.7004399999999999E-2</v>
      </c>
      <c r="AT325" s="22">
        <v>315</v>
      </c>
      <c r="AU325" s="22">
        <v>0.21310399999999999</v>
      </c>
      <c r="AV325">
        <f t="shared" si="56"/>
        <v>17.0044</v>
      </c>
      <c r="AW325">
        <f t="shared" si="57"/>
        <v>3.6351326143999998</v>
      </c>
      <c r="AX325" s="9"/>
      <c r="AY325" s="22">
        <v>1.48621</v>
      </c>
      <c r="AZ325" s="22">
        <v>550.92100000000005</v>
      </c>
      <c r="BA325" s="22">
        <v>-1.48682E-2</v>
      </c>
      <c r="BB325" s="22">
        <v>315</v>
      </c>
      <c r="BC325" s="22">
        <v>1.48499</v>
      </c>
      <c r="BD325">
        <f t="shared" si="58"/>
        <v>14.8682</v>
      </c>
      <c r="BE325">
        <f t="shared" si="59"/>
        <v>22.097267521999999</v>
      </c>
    </row>
    <row r="326" spans="6:57">
      <c r="F326" s="9"/>
      <c r="G326" s="22">
        <v>0.20874000000000001</v>
      </c>
      <c r="H326" s="22">
        <v>107.596</v>
      </c>
      <c r="I326" s="22">
        <v>-1.7117299999999998E-2</v>
      </c>
      <c r="J326" s="22">
        <v>316</v>
      </c>
      <c r="K326" s="22">
        <v>0.20813000000000001</v>
      </c>
      <c r="L326">
        <f t="shared" si="48"/>
        <v>17.1173</v>
      </c>
      <c r="M326">
        <f t="shared" si="49"/>
        <v>3.573065202</v>
      </c>
      <c r="N326" s="9"/>
      <c r="O326" s="22">
        <v>1.4912399999999999</v>
      </c>
      <c r="P326" s="22">
        <v>201.56</v>
      </c>
      <c r="Q326" s="22">
        <v>-1.52893E-2</v>
      </c>
      <c r="R326" s="22">
        <v>316</v>
      </c>
      <c r="S326" s="22">
        <v>1.49078</v>
      </c>
      <c r="T326">
        <f t="shared" si="50"/>
        <v>15.289300000000001</v>
      </c>
      <c r="U326">
        <f t="shared" si="51"/>
        <v>22.800015731999999</v>
      </c>
      <c r="X326" s="9"/>
      <c r="Y326" s="22">
        <v>0.20874000000000001</v>
      </c>
      <c r="Z326" s="22">
        <v>319.32900000000001</v>
      </c>
      <c r="AA326" s="22">
        <v>-1.7059299999999999E-2</v>
      </c>
      <c r="AB326" s="22">
        <v>316</v>
      </c>
      <c r="AC326" s="22">
        <v>0.20822099999999999</v>
      </c>
      <c r="AD326">
        <f t="shared" si="52"/>
        <v>17.0593</v>
      </c>
      <c r="AE326">
        <f t="shared" si="53"/>
        <v>3.5609582820000001</v>
      </c>
      <c r="AF326" s="9"/>
      <c r="AG326" s="22">
        <v>1.4912399999999999</v>
      </c>
      <c r="AH326" s="22">
        <v>384.69499999999999</v>
      </c>
      <c r="AI326" s="22">
        <v>-1.51031E-2</v>
      </c>
      <c r="AJ326" s="22">
        <v>316</v>
      </c>
      <c r="AK326" s="22">
        <v>1.49048</v>
      </c>
      <c r="AL326">
        <f t="shared" si="54"/>
        <v>15.1031</v>
      </c>
      <c r="AM326">
        <f t="shared" si="55"/>
        <v>22.522346843999998</v>
      </c>
      <c r="AP326" s="9"/>
      <c r="AQ326" s="22">
        <v>0.20874000000000001</v>
      </c>
      <c r="AR326" s="22">
        <v>473.99599999999998</v>
      </c>
      <c r="AS326" s="22">
        <v>-1.70013E-2</v>
      </c>
      <c r="AT326" s="22">
        <v>316</v>
      </c>
      <c r="AU326" s="22">
        <v>0.20819099999999999</v>
      </c>
      <c r="AV326">
        <f t="shared" si="56"/>
        <v>17.001300000000001</v>
      </c>
      <c r="AW326">
        <f t="shared" si="57"/>
        <v>3.5488513620000002</v>
      </c>
      <c r="AX326" s="9"/>
      <c r="AY326" s="22">
        <v>1.4912399999999999</v>
      </c>
      <c r="AZ326" s="22">
        <v>551.02099999999996</v>
      </c>
      <c r="BA326" s="22">
        <v>-1.47888E-2</v>
      </c>
      <c r="BB326" s="22">
        <v>316</v>
      </c>
      <c r="BC326" s="22">
        <v>1.49048</v>
      </c>
      <c r="BD326">
        <f t="shared" si="58"/>
        <v>14.7888</v>
      </c>
      <c r="BE326">
        <f t="shared" si="59"/>
        <v>22.053650112</v>
      </c>
    </row>
    <row r="327" spans="6:57">
      <c r="F327" s="9"/>
      <c r="G327" s="22">
        <v>0.203705</v>
      </c>
      <c r="H327" s="22">
        <v>107.697</v>
      </c>
      <c r="I327" s="22">
        <v>-1.7129499999999999E-2</v>
      </c>
      <c r="J327" s="22">
        <v>317</v>
      </c>
      <c r="K327" s="22">
        <v>0.20300299999999999</v>
      </c>
      <c r="L327">
        <f t="shared" si="48"/>
        <v>17.1295</v>
      </c>
      <c r="M327">
        <f t="shared" si="49"/>
        <v>3.4893647974999999</v>
      </c>
      <c r="N327" s="9"/>
      <c r="O327" s="22">
        <v>1.4962800000000001</v>
      </c>
      <c r="P327" s="22">
        <v>201.66</v>
      </c>
      <c r="Q327" s="22">
        <v>-1.51947E-2</v>
      </c>
      <c r="R327" s="22">
        <v>317</v>
      </c>
      <c r="S327" s="22">
        <v>1.4956700000000001</v>
      </c>
      <c r="T327">
        <f t="shared" si="50"/>
        <v>15.194700000000001</v>
      </c>
      <c r="U327">
        <f t="shared" si="51"/>
        <v>22.735525716000001</v>
      </c>
      <c r="X327" s="9"/>
      <c r="Y327" s="22">
        <v>0.203705</v>
      </c>
      <c r="Z327" s="22">
        <v>319.42899999999997</v>
      </c>
      <c r="AA327" s="22">
        <v>-1.7062399999999998E-2</v>
      </c>
      <c r="AB327" s="22">
        <v>317</v>
      </c>
      <c r="AC327" s="22">
        <v>0.203125</v>
      </c>
      <c r="AD327">
        <f t="shared" si="52"/>
        <v>17.062399999999997</v>
      </c>
      <c r="AE327">
        <f t="shared" si="53"/>
        <v>3.4756961919999991</v>
      </c>
      <c r="AF327" s="9"/>
      <c r="AG327" s="22">
        <v>1.4962800000000001</v>
      </c>
      <c r="AH327" s="22">
        <v>384.79500000000002</v>
      </c>
      <c r="AI327" s="22">
        <v>-1.4996300000000001E-2</v>
      </c>
      <c r="AJ327" s="22">
        <v>317</v>
      </c>
      <c r="AK327" s="22">
        <v>1.4956700000000001</v>
      </c>
      <c r="AL327">
        <f t="shared" si="54"/>
        <v>14.9963</v>
      </c>
      <c r="AM327">
        <f t="shared" si="55"/>
        <v>22.438663764000001</v>
      </c>
      <c r="AP327" s="9"/>
      <c r="AQ327" s="22">
        <v>0.203705</v>
      </c>
      <c r="AR327" s="22">
        <v>474.09699999999998</v>
      </c>
      <c r="AS327" s="22">
        <v>-1.6998300000000001E-2</v>
      </c>
      <c r="AT327" s="22">
        <v>317</v>
      </c>
      <c r="AU327" s="22">
        <v>0.20306399999999999</v>
      </c>
      <c r="AV327">
        <f t="shared" si="56"/>
        <v>16.9983</v>
      </c>
      <c r="AW327">
        <f t="shared" si="57"/>
        <v>3.4626387015</v>
      </c>
      <c r="AX327" s="9"/>
      <c r="AY327" s="22">
        <v>1.4962800000000001</v>
      </c>
      <c r="AZ327" s="22">
        <v>551.12199999999996</v>
      </c>
      <c r="BA327" s="22">
        <v>-1.474E-2</v>
      </c>
      <c r="BB327" s="22">
        <v>317</v>
      </c>
      <c r="BC327" s="22">
        <v>1.49475</v>
      </c>
      <c r="BD327">
        <f t="shared" si="58"/>
        <v>14.74</v>
      </c>
      <c r="BE327">
        <f t="shared" si="59"/>
        <v>22.0551672</v>
      </c>
    </row>
    <row r="328" spans="6:57">
      <c r="F328" s="9"/>
      <c r="G328" s="22">
        <v>0.19866900000000001</v>
      </c>
      <c r="H328" s="22">
        <v>107.797</v>
      </c>
      <c r="I328" s="22">
        <v>-1.71234E-2</v>
      </c>
      <c r="J328" s="22">
        <v>318</v>
      </c>
      <c r="K328" s="22">
        <v>0.19815099999999999</v>
      </c>
      <c r="L328">
        <f t="shared" si="48"/>
        <v>17.1234</v>
      </c>
      <c r="M328">
        <f t="shared" si="49"/>
        <v>3.4018887546000003</v>
      </c>
      <c r="N328" s="9"/>
      <c r="O328" s="22">
        <v>1.5013099999999999</v>
      </c>
      <c r="P328" s="22">
        <v>201.761</v>
      </c>
      <c r="Q328" s="22">
        <v>-1.5118400000000001E-2</v>
      </c>
      <c r="R328" s="22">
        <v>318</v>
      </c>
      <c r="S328" s="22">
        <v>1.5005500000000001</v>
      </c>
      <c r="T328">
        <f t="shared" si="50"/>
        <v>15.118400000000001</v>
      </c>
      <c r="U328">
        <f t="shared" si="51"/>
        <v>22.697405104000001</v>
      </c>
      <c r="X328" s="9"/>
      <c r="Y328" s="22">
        <v>0.19866900000000001</v>
      </c>
      <c r="Z328" s="22">
        <v>319.52999999999997</v>
      </c>
      <c r="AA328" s="22">
        <v>-1.70685E-2</v>
      </c>
      <c r="AB328" s="22">
        <v>318</v>
      </c>
      <c r="AC328" s="22">
        <v>0.19805900000000001</v>
      </c>
      <c r="AD328">
        <f t="shared" si="52"/>
        <v>17.0685</v>
      </c>
      <c r="AE328">
        <f t="shared" si="53"/>
        <v>3.3909818265000005</v>
      </c>
      <c r="AF328" s="9"/>
      <c r="AG328" s="22">
        <v>1.5013099999999999</v>
      </c>
      <c r="AH328" s="22">
        <v>384.89600000000002</v>
      </c>
      <c r="AI328" s="22">
        <v>-1.48682E-2</v>
      </c>
      <c r="AJ328" s="22">
        <v>318</v>
      </c>
      <c r="AK328" s="22">
        <v>1.50116</v>
      </c>
      <c r="AL328">
        <f t="shared" si="54"/>
        <v>14.8682</v>
      </c>
      <c r="AM328">
        <f t="shared" si="55"/>
        <v>22.321777341999997</v>
      </c>
      <c r="AP328" s="9"/>
      <c r="AQ328" s="22">
        <v>0.19866900000000001</v>
      </c>
      <c r="AR328" s="22">
        <v>474.197</v>
      </c>
      <c r="AS328" s="22">
        <v>-1.6998300000000001E-2</v>
      </c>
      <c r="AT328" s="22">
        <v>318</v>
      </c>
      <c r="AU328" s="22">
        <v>0.19808999999999999</v>
      </c>
      <c r="AV328">
        <f t="shared" si="56"/>
        <v>16.9983</v>
      </c>
      <c r="AW328">
        <f t="shared" si="57"/>
        <v>3.3770352627000002</v>
      </c>
      <c r="AX328" s="9"/>
      <c r="AY328" s="22">
        <v>1.5013099999999999</v>
      </c>
      <c r="AZ328" s="22">
        <v>551.22299999999996</v>
      </c>
      <c r="BA328" s="22">
        <v>-1.46912E-2</v>
      </c>
      <c r="BB328" s="22">
        <v>318</v>
      </c>
      <c r="BC328" s="22">
        <v>1.50024</v>
      </c>
      <c r="BD328">
        <f t="shared" si="58"/>
        <v>14.6912</v>
      </c>
      <c r="BE328">
        <f t="shared" si="59"/>
        <v>22.056045472000001</v>
      </c>
    </row>
    <row r="329" spans="6:57">
      <c r="F329" s="9"/>
      <c r="G329" s="22">
        <v>0.193634</v>
      </c>
      <c r="H329" s="22">
        <v>107.898</v>
      </c>
      <c r="I329" s="22">
        <v>-1.7117299999999998E-2</v>
      </c>
      <c r="J329" s="22">
        <v>319</v>
      </c>
      <c r="K329" s="22">
        <v>0.19308500000000001</v>
      </c>
      <c r="L329">
        <f t="shared" si="48"/>
        <v>17.1173</v>
      </c>
      <c r="M329">
        <f t="shared" si="49"/>
        <v>3.3144912681999998</v>
      </c>
      <c r="N329" s="9"/>
      <c r="O329" s="22">
        <v>1.5063500000000001</v>
      </c>
      <c r="P329" s="22">
        <v>201.86199999999999</v>
      </c>
      <c r="Q329" s="22">
        <v>-1.51001E-2</v>
      </c>
      <c r="R329" s="22">
        <v>319</v>
      </c>
      <c r="S329" s="22">
        <v>1.5057400000000001</v>
      </c>
      <c r="T329">
        <f t="shared" si="50"/>
        <v>15.100099999999999</v>
      </c>
      <c r="U329">
        <f t="shared" si="51"/>
        <v>22.746035635000002</v>
      </c>
      <c r="X329" s="9"/>
      <c r="Y329" s="22">
        <v>0.193634</v>
      </c>
      <c r="Z329" s="22">
        <v>319.63099999999997</v>
      </c>
      <c r="AA329" s="22">
        <v>-1.7074599999999999E-2</v>
      </c>
      <c r="AB329" s="22">
        <v>319</v>
      </c>
      <c r="AC329" s="22">
        <v>0.192993</v>
      </c>
      <c r="AD329">
        <f t="shared" si="52"/>
        <v>17.0746</v>
      </c>
      <c r="AE329">
        <f t="shared" si="53"/>
        <v>3.3062230964000001</v>
      </c>
      <c r="AF329" s="9"/>
      <c r="AG329" s="22">
        <v>1.5063500000000001</v>
      </c>
      <c r="AH329" s="22">
        <v>384.99700000000001</v>
      </c>
      <c r="AI329" s="22">
        <v>-1.4819300000000001E-2</v>
      </c>
      <c r="AJ329" s="22">
        <v>319</v>
      </c>
      <c r="AK329" s="22">
        <v>1.5057400000000001</v>
      </c>
      <c r="AL329">
        <f t="shared" si="54"/>
        <v>14.8193</v>
      </c>
      <c r="AM329">
        <f t="shared" si="55"/>
        <v>22.323052555</v>
      </c>
      <c r="AP329" s="9"/>
      <c r="AQ329" s="22">
        <v>0.193634</v>
      </c>
      <c r="AR329" s="22">
        <v>474.298</v>
      </c>
      <c r="AS329" s="22">
        <v>-1.7013500000000001E-2</v>
      </c>
      <c r="AT329" s="22">
        <v>319</v>
      </c>
      <c r="AU329" s="22">
        <v>0.192963</v>
      </c>
      <c r="AV329">
        <f t="shared" si="56"/>
        <v>17.013500000000001</v>
      </c>
      <c r="AW329">
        <f t="shared" si="57"/>
        <v>3.2943920590000002</v>
      </c>
      <c r="AX329" s="9"/>
      <c r="AY329" s="22">
        <v>1.5063500000000001</v>
      </c>
      <c r="AZ329" s="22">
        <v>551.32299999999998</v>
      </c>
      <c r="BA329" s="22">
        <v>-1.46179E-2</v>
      </c>
      <c r="BB329" s="22">
        <v>319</v>
      </c>
      <c r="BC329" s="22">
        <v>1.50543</v>
      </c>
      <c r="BD329">
        <f t="shared" si="58"/>
        <v>14.617899999999999</v>
      </c>
      <c r="BE329">
        <f t="shared" si="59"/>
        <v>22.019673664999999</v>
      </c>
    </row>
    <row r="330" spans="6:57">
      <c r="F330" s="9"/>
      <c r="G330" s="22">
        <v>0.18859899999999999</v>
      </c>
      <c r="H330" s="22">
        <v>107.999</v>
      </c>
      <c r="I330" s="22">
        <v>-1.7117299999999998E-2</v>
      </c>
      <c r="J330" s="22">
        <v>320</v>
      </c>
      <c r="K330" s="22">
        <v>0.18789700000000001</v>
      </c>
      <c r="L330">
        <f t="shared" si="48"/>
        <v>17.1173</v>
      </c>
      <c r="M330">
        <f t="shared" si="49"/>
        <v>3.2283056627</v>
      </c>
      <c r="N330" s="9"/>
      <c r="O330" s="22">
        <v>1.5113799999999999</v>
      </c>
      <c r="P330" s="22">
        <v>201.96199999999999</v>
      </c>
      <c r="Q330" s="22">
        <v>-1.50055E-2</v>
      </c>
      <c r="R330" s="22">
        <v>320</v>
      </c>
      <c r="S330" s="22">
        <v>1.5100100000000001</v>
      </c>
      <c r="T330">
        <f t="shared" si="50"/>
        <v>15.0055</v>
      </c>
      <c r="U330">
        <f t="shared" si="51"/>
        <v>22.679012589999999</v>
      </c>
      <c r="X330" s="9"/>
      <c r="Y330" s="22">
        <v>0.18859899999999999</v>
      </c>
      <c r="Z330" s="22">
        <v>319.73099999999999</v>
      </c>
      <c r="AA330" s="22">
        <v>-1.7086799999999999E-2</v>
      </c>
      <c r="AB330" s="22">
        <v>320</v>
      </c>
      <c r="AC330" s="22">
        <v>0.18804899999999999</v>
      </c>
      <c r="AD330">
        <f t="shared" si="52"/>
        <v>17.0868</v>
      </c>
      <c r="AE330">
        <f t="shared" si="53"/>
        <v>3.2225533931999997</v>
      </c>
      <c r="AF330" s="9"/>
      <c r="AG330" s="22">
        <v>1.5113799999999999</v>
      </c>
      <c r="AH330" s="22">
        <v>385.09699999999998</v>
      </c>
      <c r="AI330" s="22">
        <v>-1.47308E-2</v>
      </c>
      <c r="AJ330" s="22">
        <v>320</v>
      </c>
      <c r="AK330" s="22">
        <v>1.5109300000000001</v>
      </c>
      <c r="AL330">
        <f t="shared" si="54"/>
        <v>14.7308</v>
      </c>
      <c r="AM330">
        <f t="shared" si="55"/>
        <v>22.263836504</v>
      </c>
      <c r="AP330" s="9"/>
      <c r="AQ330" s="22">
        <v>0.18859899999999999</v>
      </c>
      <c r="AR330" s="22">
        <v>474.399</v>
      </c>
      <c r="AS330" s="22">
        <v>-1.70288E-2</v>
      </c>
      <c r="AT330" s="22">
        <v>320</v>
      </c>
      <c r="AU330" s="22">
        <v>0.18792700000000001</v>
      </c>
      <c r="AV330">
        <f t="shared" si="56"/>
        <v>17.0288</v>
      </c>
      <c r="AW330">
        <f t="shared" si="57"/>
        <v>3.2116146511999997</v>
      </c>
      <c r="AX330" s="9"/>
      <c r="AY330" s="22">
        <v>1.5113799999999999</v>
      </c>
      <c r="AZ330" s="22">
        <v>551.42399999999998</v>
      </c>
      <c r="BA330" s="22">
        <v>-1.4523299999999999E-2</v>
      </c>
      <c r="BB330" s="22">
        <v>320</v>
      </c>
      <c r="BC330" s="22">
        <v>1.51031</v>
      </c>
      <c r="BD330">
        <f t="shared" si="58"/>
        <v>14.523299999999999</v>
      </c>
      <c r="BE330">
        <f t="shared" si="59"/>
        <v>21.950225153999998</v>
      </c>
    </row>
    <row r="331" spans="6:57">
      <c r="F331" s="9"/>
      <c r="G331" s="22">
        <v>0.183563</v>
      </c>
      <c r="H331" s="22">
        <v>108.1</v>
      </c>
      <c r="I331" s="22">
        <v>-1.7135600000000001E-2</v>
      </c>
      <c r="J331" s="22">
        <v>321</v>
      </c>
      <c r="K331" s="22">
        <v>0.18301400000000001</v>
      </c>
      <c r="L331">
        <f t="shared" si="48"/>
        <v>17.1356</v>
      </c>
      <c r="M331">
        <f t="shared" si="49"/>
        <v>3.1454621428</v>
      </c>
      <c r="N331" s="9"/>
      <c r="O331" s="22">
        <v>1.5164200000000001</v>
      </c>
      <c r="P331" s="22">
        <v>202.06299999999999</v>
      </c>
      <c r="Q331" s="22">
        <v>-1.4944499999999999E-2</v>
      </c>
      <c r="R331" s="22">
        <v>321</v>
      </c>
      <c r="S331" s="22">
        <v>1.5155000000000001</v>
      </c>
      <c r="T331">
        <f t="shared" si="50"/>
        <v>14.9445</v>
      </c>
      <c r="U331">
        <f t="shared" si="51"/>
        <v>22.662138690000003</v>
      </c>
      <c r="X331" s="9"/>
      <c r="Y331" s="22">
        <v>0.183563</v>
      </c>
      <c r="Z331" s="22">
        <v>319.83199999999999</v>
      </c>
      <c r="AA331" s="22">
        <v>-1.7065400000000001E-2</v>
      </c>
      <c r="AB331" s="22">
        <v>321</v>
      </c>
      <c r="AC331" s="22">
        <v>0.18298300000000001</v>
      </c>
      <c r="AD331">
        <f t="shared" si="52"/>
        <v>17.0654</v>
      </c>
      <c r="AE331">
        <f t="shared" si="53"/>
        <v>3.1325760202000001</v>
      </c>
      <c r="AF331" s="9"/>
      <c r="AG331" s="22">
        <v>1.5164200000000001</v>
      </c>
      <c r="AH331" s="22">
        <v>385.19799999999998</v>
      </c>
      <c r="AI331" s="22">
        <v>-1.46698E-2</v>
      </c>
      <c r="AJ331" s="22">
        <v>321</v>
      </c>
      <c r="AK331" s="22">
        <v>1.5152000000000001</v>
      </c>
      <c r="AL331">
        <f t="shared" si="54"/>
        <v>14.6698</v>
      </c>
      <c r="AM331">
        <f t="shared" si="55"/>
        <v>22.245578116000001</v>
      </c>
      <c r="AP331" s="9"/>
      <c r="AQ331" s="22">
        <v>0.183563</v>
      </c>
      <c r="AR331" s="22">
        <v>474.5</v>
      </c>
      <c r="AS331" s="22">
        <v>-1.7019699999999999E-2</v>
      </c>
      <c r="AT331" s="22">
        <v>321</v>
      </c>
      <c r="AU331" s="22">
        <v>0.182861</v>
      </c>
      <c r="AV331">
        <f t="shared" si="56"/>
        <v>17.0197</v>
      </c>
      <c r="AW331">
        <f t="shared" si="57"/>
        <v>3.1241871911000003</v>
      </c>
      <c r="AX331" s="9"/>
      <c r="AY331" s="22">
        <v>1.5164200000000001</v>
      </c>
      <c r="AZ331" s="22">
        <v>551.52499999999998</v>
      </c>
      <c r="BA331" s="22">
        <v>-1.44104E-2</v>
      </c>
      <c r="BB331" s="22">
        <v>321</v>
      </c>
      <c r="BC331" s="22">
        <v>1.5164200000000001</v>
      </c>
      <c r="BD331">
        <f t="shared" si="58"/>
        <v>14.410400000000001</v>
      </c>
      <c r="BE331">
        <f t="shared" si="59"/>
        <v>21.852218768000004</v>
      </c>
    </row>
    <row r="332" spans="6:57">
      <c r="F332" s="9"/>
      <c r="G332" s="22">
        <v>0.17852799999999999</v>
      </c>
      <c r="H332" s="22">
        <v>108.2</v>
      </c>
      <c r="I332" s="22">
        <v>-1.7132600000000001E-2</v>
      </c>
      <c r="J332" s="22">
        <v>322</v>
      </c>
      <c r="K332" s="22">
        <v>0.17788699999999999</v>
      </c>
      <c r="L332">
        <f t="shared" ref="L332:L388" si="60">-I332/$F$2*1000</f>
        <v>17.1326</v>
      </c>
      <c r="M332">
        <f t="shared" ref="M332:M388" si="61">L332*G332</f>
        <v>3.0586488128</v>
      </c>
      <c r="N332" s="9"/>
      <c r="O332" s="22">
        <v>1.52145</v>
      </c>
      <c r="P332" s="22">
        <v>202.16399999999999</v>
      </c>
      <c r="Q332" s="22">
        <v>-1.48834E-2</v>
      </c>
      <c r="R332" s="22">
        <v>322</v>
      </c>
      <c r="S332" s="22">
        <v>1.5203899999999999</v>
      </c>
      <c r="T332">
        <f t="shared" ref="T332:T388" si="62">-Q332/$F$2*1000</f>
        <v>14.8834</v>
      </c>
      <c r="U332">
        <f t="shared" ref="U332:U388" si="63">T332*O332</f>
        <v>22.64434893</v>
      </c>
      <c r="X332" s="9"/>
      <c r="Y332" s="22">
        <v>0.17852799999999999</v>
      </c>
      <c r="Z332" s="22">
        <v>319.93299999999999</v>
      </c>
      <c r="AA332" s="22">
        <v>-1.7080700000000001E-2</v>
      </c>
      <c r="AB332" s="22">
        <v>322</v>
      </c>
      <c r="AC332" s="22">
        <v>0.17791699999999999</v>
      </c>
      <c r="AD332">
        <f t="shared" ref="AD332:AD388" si="64">-AA332/$F$2*1000</f>
        <v>17.0807</v>
      </c>
      <c r="AE332">
        <f t="shared" ref="AE332:AE388" si="65">AD332*Y332</f>
        <v>3.0493832095999998</v>
      </c>
      <c r="AF332" s="9"/>
      <c r="AG332" s="22">
        <v>1.52145</v>
      </c>
      <c r="AH332" s="22">
        <v>385.29899999999998</v>
      </c>
      <c r="AI332" s="22">
        <v>-1.45386E-2</v>
      </c>
      <c r="AJ332" s="22">
        <v>322</v>
      </c>
      <c r="AK332" s="22">
        <v>1.5209999999999999</v>
      </c>
      <c r="AL332">
        <f t="shared" ref="AL332:AL388" si="66">-AI332/$F$2*1000</f>
        <v>14.538600000000001</v>
      </c>
      <c r="AM332">
        <f t="shared" ref="AM332:AM388" si="67">AL332*AG332</f>
        <v>22.11975297</v>
      </c>
      <c r="AP332" s="9"/>
      <c r="AQ332" s="22">
        <v>0.17852799999999999</v>
      </c>
      <c r="AR332" s="22">
        <v>474.6</v>
      </c>
      <c r="AS332" s="22">
        <v>-1.7022700000000002E-2</v>
      </c>
      <c r="AT332" s="22">
        <v>322</v>
      </c>
      <c r="AU332" s="22">
        <v>0.177948</v>
      </c>
      <c r="AV332">
        <f t="shared" ref="AV332:AV388" si="68">-AS332/$F$2*1000</f>
        <v>17.0227</v>
      </c>
      <c r="AW332">
        <f t="shared" ref="AW332:AW388" si="69">AV332*AQ332</f>
        <v>3.0390285856000001</v>
      </c>
      <c r="AX332" s="9"/>
      <c r="AY332" s="22">
        <v>1.52145</v>
      </c>
      <c r="AZ332" s="22">
        <v>551.62599999999998</v>
      </c>
      <c r="BA332" s="22">
        <v>-1.43982E-2</v>
      </c>
      <c r="BB332" s="22">
        <v>322</v>
      </c>
      <c r="BC332" s="22">
        <v>1.5209999999999999</v>
      </c>
      <c r="BD332">
        <f t="shared" ref="BD332:BD388" si="70">-BA332/$F$2*1000</f>
        <v>14.398199999999999</v>
      </c>
      <c r="BE332">
        <f t="shared" ref="BE332:BE388" si="71">BD332*AY332</f>
        <v>21.906141389999998</v>
      </c>
    </row>
    <row r="333" spans="6:57">
      <c r="F333" s="9"/>
      <c r="G333" s="22">
        <v>0.17349200000000001</v>
      </c>
      <c r="H333" s="22">
        <v>108.301</v>
      </c>
      <c r="I333" s="22">
        <v>-1.7132600000000001E-2</v>
      </c>
      <c r="J333" s="22">
        <v>323</v>
      </c>
      <c r="K333" s="22">
        <v>0.17291300000000001</v>
      </c>
      <c r="L333">
        <f t="shared" si="60"/>
        <v>17.1326</v>
      </c>
      <c r="M333">
        <f t="shared" si="61"/>
        <v>2.9723690392000002</v>
      </c>
      <c r="N333" s="9"/>
      <c r="O333" s="22">
        <v>1.5264899999999999</v>
      </c>
      <c r="P333" s="22">
        <v>202.26499999999999</v>
      </c>
      <c r="Q333" s="22">
        <v>-1.47552E-2</v>
      </c>
      <c r="R333" s="22">
        <v>323</v>
      </c>
      <c r="S333" s="22">
        <v>1.5249600000000001</v>
      </c>
      <c r="T333">
        <f t="shared" si="62"/>
        <v>14.7552</v>
      </c>
      <c r="U333">
        <f t="shared" si="63"/>
        <v>22.523665248</v>
      </c>
      <c r="X333" s="9"/>
      <c r="Y333" s="22">
        <v>0.17349200000000001</v>
      </c>
      <c r="Z333" s="22">
        <v>320.03399999999999</v>
      </c>
      <c r="AA333" s="22">
        <v>-1.7099E-2</v>
      </c>
      <c r="AB333" s="22">
        <v>323</v>
      </c>
      <c r="AC333" s="22">
        <v>0.17288200000000001</v>
      </c>
      <c r="AD333">
        <f t="shared" si="64"/>
        <v>17.099</v>
      </c>
      <c r="AE333">
        <f t="shared" si="65"/>
        <v>2.966539708</v>
      </c>
      <c r="AF333" s="9"/>
      <c r="AG333" s="22">
        <v>1.5264899999999999</v>
      </c>
      <c r="AH333" s="22">
        <v>385.4</v>
      </c>
      <c r="AI333" s="22">
        <v>-1.44745E-2</v>
      </c>
      <c r="AJ333" s="22">
        <v>323</v>
      </c>
      <c r="AK333" s="22">
        <v>1.5258799999999999</v>
      </c>
      <c r="AL333">
        <f t="shared" si="66"/>
        <v>14.474499999999999</v>
      </c>
      <c r="AM333">
        <f t="shared" si="67"/>
        <v>22.095179504999997</v>
      </c>
      <c r="AP333" s="9"/>
      <c r="AQ333" s="22">
        <v>0.17349200000000001</v>
      </c>
      <c r="AR333" s="22">
        <v>474.70100000000002</v>
      </c>
      <c r="AS333" s="22">
        <v>-1.7010500000000001E-2</v>
      </c>
      <c r="AT333" s="22">
        <v>323</v>
      </c>
      <c r="AU333" s="22">
        <v>0.17291300000000001</v>
      </c>
      <c r="AV333">
        <f t="shared" si="68"/>
        <v>17.0105</v>
      </c>
      <c r="AW333">
        <f t="shared" si="69"/>
        <v>2.9511856660000002</v>
      </c>
      <c r="AX333" s="9"/>
      <c r="AY333" s="22">
        <v>1.5264899999999999</v>
      </c>
      <c r="AZ333" s="22">
        <v>551.726</v>
      </c>
      <c r="BA333" s="22">
        <v>-1.4306599999999999E-2</v>
      </c>
      <c r="BB333" s="22">
        <v>323</v>
      </c>
      <c r="BC333" s="22">
        <v>1.5261800000000001</v>
      </c>
      <c r="BD333">
        <f t="shared" si="70"/>
        <v>14.3066</v>
      </c>
      <c r="BE333">
        <f t="shared" si="71"/>
        <v>21.838881833999999</v>
      </c>
    </row>
    <row r="334" spans="6:57">
      <c r="F334" s="9"/>
      <c r="G334" s="22">
        <v>0.168457</v>
      </c>
      <c r="H334" s="22">
        <v>108.402</v>
      </c>
      <c r="I334" s="22">
        <v>-1.7132600000000001E-2</v>
      </c>
      <c r="J334" s="22">
        <v>324</v>
      </c>
      <c r="K334" s="22">
        <v>0.167877</v>
      </c>
      <c r="L334">
        <f t="shared" si="60"/>
        <v>17.1326</v>
      </c>
      <c r="M334">
        <f t="shared" si="61"/>
        <v>2.8861063981999999</v>
      </c>
      <c r="N334" s="9"/>
      <c r="O334" s="22">
        <v>1.53152</v>
      </c>
      <c r="P334" s="22">
        <v>202.36500000000001</v>
      </c>
      <c r="Q334" s="22">
        <v>-1.4624E-2</v>
      </c>
      <c r="R334" s="22">
        <v>324</v>
      </c>
      <c r="S334" s="22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2">
        <v>0.168457</v>
      </c>
      <c r="Z334" s="22">
        <v>320.13400000000001</v>
      </c>
      <c r="AA334" s="22">
        <v>-1.7092900000000001E-2</v>
      </c>
      <c r="AB334" s="22">
        <v>324</v>
      </c>
      <c r="AC334" s="22">
        <v>0.167877</v>
      </c>
      <c r="AD334">
        <f t="shared" si="64"/>
        <v>17.0929</v>
      </c>
      <c r="AE334">
        <f t="shared" si="65"/>
        <v>2.8794186552999999</v>
      </c>
      <c r="AF334" s="9"/>
      <c r="AG334" s="22">
        <v>1.53152</v>
      </c>
      <c r="AH334" s="22">
        <v>385.5</v>
      </c>
      <c r="AI334" s="22">
        <v>-1.43707E-2</v>
      </c>
      <c r="AJ334" s="22">
        <v>324</v>
      </c>
      <c r="AK334" s="22">
        <v>1.5307599999999999</v>
      </c>
      <c r="AL334">
        <f t="shared" si="66"/>
        <v>14.370699999999999</v>
      </c>
      <c r="AM334">
        <f t="shared" si="67"/>
        <v>22.009014464</v>
      </c>
      <c r="AP334" s="9"/>
      <c r="AQ334" s="22">
        <v>0.168457</v>
      </c>
      <c r="AR334" s="22">
        <v>474.80200000000002</v>
      </c>
      <c r="AS334" s="22">
        <v>-1.70288E-2</v>
      </c>
      <c r="AT334" s="22">
        <v>324</v>
      </c>
      <c r="AU334" s="22">
        <v>0.167877</v>
      </c>
      <c r="AV334">
        <f t="shared" si="68"/>
        <v>17.0288</v>
      </c>
      <c r="AW334">
        <f t="shared" si="69"/>
        <v>2.8686205615999998</v>
      </c>
      <c r="AX334" s="9"/>
      <c r="AY334" s="22">
        <v>1.53152</v>
      </c>
      <c r="AZ334" s="22">
        <v>551.827</v>
      </c>
      <c r="BA334" s="22">
        <v>-1.4154099999999999E-2</v>
      </c>
      <c r="BB334" s="22">
        <v>324</v>
      </c>
      <c r="BC334" s="22">
        <v>1.5307599999999999</v>
      </c>
      <c r="BD334">
        <f t="shared" si="70"/>
        <v>14.1541</v>
      </c>
      <c r="BE334">
        <f t="shared" si="71"/>
        <v>21.677287231999998</v>
      </c>
    </row>
    <row r="335" spans="6:57">
      <c r="F335" s="9"/>
      <c r="G335" s="22">
        <v>0.16342200000000001</v>
      </c>
      <c r="H335" s="22">
        <v>108.502</v>
      </c>
      <c r="I335" s="22">
        <v>-1.7144800000000002E-2</v>
      </c>
      <c r="J335" s="22">
        <v>325</v>
      </c>
      <c r="K335" s="22">
        <v>0.16287199999999999</v>
      </c>
      <c r="L335">
        <f t="shared" si="60"/>
        <v>17.1448</v>
      </c>
      <c r="M335">
        <f t="shared" si="61"/>
        <v>2.8018375056</v>
      </c>
      <c r="N335" s="9"/>
      <c r="O335" s="22">
        <v>1.5365599999999999</v>
      </c>
      <c r="P335" s="22">
        <v>202.46600000000001</v>
      </c>
      <c r="Q335" s="22">
        <v>-1.4627100000000001E-2</v>
      </c>
      <c r="R335" s="22">
        <v>325</v>
      </c>
      <c r="S335" s="22">
        <v>1.5356399999999999</v>
      </c>
      <c r="T335">
        <f t="shared" si="62"/>
        <v>14.6271</v>
      </c>
      <c r="U335">
        <f t="shared" si="63"/>
        <v>22.475416775999999</v>
      </c>
      <c r="X335" s="9"/>
      <c r="Y335" s="22">
        <v>0.16342200000000001</v>
      </c>
      <c r="Z335" s="22">
        <v>320.23500000000001</v>
      </c>
      <c r="AA335" s="22">
        <v>-1.7092900000000001E-2</v>
      </c>
      <c r="AB335" s="22">
        <v>325</v>
      </c>
      <c r="AC335" s="22">
        <v>0.16272</v>
      </c>
      <c r="AD335">
        <f t="shared" si="64"/>
        <v>17.0929</v>
      </c>
      <c r="AE335">
        <f t="shared" si="65"/>
        <v>2.7933559038000002</v>
      </c>
      <c r="AF335" s="9"/>
      <c r="AG335" s="22">
        <v>1.5365599999999999</v>
      </c>
      <c r="AH335" s="22">
        <v>385.601</v>
      </c>
      <c r="AI335" s="22">
        <v>-1.4279200000000001E-2</v>
      </c>
      <c r="AJ335" s="22">
        <v>325</v>
      </c>
      <c r="AK335" s="22">
        <v>1.5359499999999999</v>
      </c>
      <c r="AL335">
        <f t="shared" si="66"/>
        <v>14.279200000000001</v>
      </c>
      <c r="AM335">
        <f t="shared" si="67"/>
        <v>21.940847552000001</v>
      </c>
      <c r="AP335" s="9"/>
      <c r="AQ335" s="22">
        <v>0.16342200000000001</v>
      </c>
      <c r="AR335" s="22">
        <v>474.90199999999999</v>
      </c>
      <c r="AS335" s="22">
        <v>-1.7022700000000002E-2</v>
      </c>
      <c r="AT335" s="22">
        <v>325</v>
      </c>
      <c r="AU335" s="22">
        <v>0.16278100000000001</v>
      </c>
      <c r="AV335">
        <f t="shared" si="68"/>
        <v>17.0227</v>
      </c>
      <c r="AW335">
        <f t="shared" si="69"/>
        <v>2.7818836794000004</v>
      </c>
      <c r="AX335" s="9"/>
      <c r="AY335" s="22">
        <v>1.5365599999999999</v>
      </c>
      <c r="AZ335" s="22">
        <v>551.928</v>
      </c>
      <c r="BA335" s="22">
        <v>-1.40564E-2</v>
      </c>
      <c r="BB335" s="22">
        <v>325</v>
      </c>
      <c r="BC335" s="22">
        <v>1.5362499999999999</v>
      </c>
      <c r="BD335">
        <f t="shared" si="70"/>
        <v>14.0564</v>
      </c>
      <c r="BE335">
        <f t="shared" si="71"/>
        <v>21.598501983999999</v>
      </c>
    </row>
    <row r="336" spans="6:57">
      <c r="F336" s="9"/>
      <c r="G336" s="22">
        <v>0.158386</v>
      </c>
      <c r="H336" s="22">
        <v>108.60299999999999</v>
      </c>
      <c r="I336" s="22">
        <v>-1.7141699999999999E-2</v>
      </c>
      <c r="J336" s="22">
        <v>326</v>
      </c>
      <c r="K336" s="22">
        <v>0.157776</v>
      </c>
      <c r="L336">
        <f t="shared" si="60"/>
        <v>17.1417</v>
      </c>
      <c r="M336">
        <f t="shared" si="61"/>
        <v>2.7150052962000002</v>
      </c>
      <c r="N336" s="9"/>
      <c r="O336" s="22">
        <v>1.5416000000000001</v>
      </c>
      <c r="P336" s="22">
        <v>202.56700000000001</v>
      </c>
      <c r="Q336" s="22">
        <v>-1.45142E-2</v>
      </c>
      <c r="R336" s="22">
        <v>326</v>
      </c>
      <c r="S336" s="22">
        <v>1.5408299999999999</v>
      </c>
      <c r="T336">
        <f t="shared" si="62"/>
        <v>14.514199999999999</v>
      </c>
      <c r="U336">
        <f t="shared" si="63"/>
        <v>22.375090719999999</v>
      </c>
      <c r="X336" s="9"/>
      <c r="Y336" s="22">
        <v>0.158386</v>
      </c>
      <c r="Z336" s="22">
        <v>320.33600000000001</v>
      </c>
      <c r="AA336" s="22">
        <v>-1.7089799999999999E-2</v>
      </c>
      <c r="AB336" s="22">
        <v>326</v>
      </c>
      <c r="AC336" s="22">
        <v>0.157806</v>
      </c>
      <c r="AD336">
        <f t="shared" si="64"/>
        <v>17.0898</v>
      </c>
      <c r="AE336">
        <f t="shared" si="65"/>
        <v>2.7067850627999999</v>
      </c>
      <c r="AF336" s="9"/>
      <c r="AG336" s="22">
        <v>1.5416000000000001</v>
      </c>
      <c r="AH336" s="22">
        <v>385.702</v>
      </c>
      <c r="AI336" s="22">
        <v>-1.41663E-2</v>
      </c>
      <c r="AJ336" s="22">
        <v>326</v>
      </c>
      <c r="AK336" s="22">
        <v>1.5414399999999999</v>
      </c>
      <c r="AL336">
        <f t="shared" si="66"/>
        <v>14.1663</v>
      </c>
      <c r="AM336">
        <f t="shared" si="67"/>
        <v>21.838768080000001</v>
      </c>
      <c r="AP336" s="9"/>
      <c r="AQ336" s="22">
        <v>0.158386</v>
      </c>
      <c r="AR336" s="22">
        <v>475.00299999999999</v>
      </c>
      <c r="AS336" s="22">
        <v>-1.7031899999999999E-2</v>
      </c>
      <c r="AT336" s="22">
        <v>326</v>
      </c>
      <c r="AU336" s="22">
        <v>0.15786700000000001</v>
      </c>
      <c r="AV336">
        <f t="shared" si="68"/>
        <v>17.0319</v>
      </c>
      <c r="AW336">
        <f t="shared" si="69"/>
        <v>2.6976145134</v>
      </c>
      <c r="AX336" s="9"/>
      <c r="AY336" s="22">
        <v>1.5416000000000001</v>
      </c>
      <c r="AZ336" s="22">
        <v>552.02800000000002</v>
      </c>
      <c r="BA336" s="22">
        <v>-1.3983199999999999E-2</v>
      </c>
      <c r="BB336" s="22">
        <v>326</v>
      </c>
      <c r="BC336" s="22">
        <v>1.5408299999999999</v>
      </c>
      <c r="BD336">
        <f t="shared" si="70"/>
        <v>13.9832</v>
      </c>
      <c r="BE336">
        <f t="shared" si="71"/>
        <v>21.55650112</v>
      </c>
    </row>
    <row r="337" spans="6:57">
      <c r="F337" s="9"/>
      <c r="G337" s="22">
        <v>0.15335099999999999</v>
      </c>
      <c r="H337" s="22">
        <v>108.70399999999999</v>
      </c>
      <c r="I337" s="22">
        <v>-1.71387E-2</v>
      </c>
      <c r="J337" s="22">
        <v>327</v>
      </c>
      <c r="K337" s="22">
        <v>0.15273999999999999</v>
      </c>
      <c r="L337">
        <f t="shared" si="60"/>
        <v>17.1387</v>
      </c>
      <c r="M337">
        <f t="shared" si="61"/>
        <v>2.6282367836999998</v>
      </c>
      <c r="N337" s="9"/>
      <c r="O337" s="22">
        <v>1.5466299999999999</v>
      </c>
      <c r="P337" s="22">
        <v>202.667</v>
      </c>
      <c r="Q337" s="22">
        <v>-1.43188E-2</v>
      </c>
      <c r="R337" s="22">
        <v>327</v>
      </c>
      <c r="S337" s="22">
        <v>1.54572</v>
      </c>
      <c r="T337">
        <f t="shared" si="62"/>
        <v>14.3188</v>
      </c>
      <c r="U337">
        <f t="shared" si="63"/>
        <v>22.145885644</v>
      </c>
      <c r="X337" s="9"/>
      <c r="Y337" s="22">
        <v>0.15335099999999999</v>
      </c>
      <c r="Z337" s="22">
        <v>320.43599999999998</v>
      </c>
      <c r="AA337" s="22">
        <v>-1.71082E-2</v>
      </c>
      <c r="AB337" s="22">
        <v>327</v>
      </c>
      <c r="AC337" s="22">
        <v>0.15277099999999999</v>
      </c>
      <c r="AD337">
        <f t="shared" si="64"/>
        <v>17.1082</v>
      </c>
      <c r="AE337">
        <f t="shared" si="65"/>
        <v>2.6235595781999996</v>
      </c>
      <c r="AF337" s="9"/>
      <c r="AG337" s="22">
        <v>1.5466299999999999</v>
      </c>
      <c r="AH337" s="22">
        <v>385.80200000000002</v>
      </c>
      <c r="AI337" s="22">
        <v>-1.4035000000000001E-2</v>
      </c>
      <c r="AJ337" s="22">
        <v>327</v>
      </c>
      <c r="AK337" s="22">
        <v>1.54633</v>
      </c>
      <c r="AL337">
        <f t="shared" si="66"/>
        <v>14.035</v>
      </c>
      <c r="AM337">
        <f t="shared" si="67"/>
        <v>21.706952049999998</v>
      </c>
      <c r="AP337" s="9"/>
      <c r="AQ337" s="22">
        <v>0.15335099999999999</v>
      </c>
      <c r="AR337" s="22">
        <v>475.10399999999998</v>
      </c>
      <c r="AS337" s="22">
        <v>-1.7031899999999999E-2</v>
      </c>
      <c r="AT337" s="22">
        <v>327</v>
      </c>
      <c r="AU337" s="22">
        <v>0.152832</v>
      </c>
      <c r="AV337">
        <f t="shared" si="68"/>
        <v>17.0319</v>
      </c>
      <c r="AW337">
        <f t="shared" si="69"/>
        <v>2.6118588968999998</v>
      </c>
      <c r="AX337" s="9"/>
      <c r="AY337" s="22">
        <v>1.5466299999999999</v>
      </c>
      <c r="AZ337" s="22">
        <v>552.12900000000002</v>
      </c>
      <c r="BA337" s="22">
        <v>-1.38306E-2</v>
      </c>
      <c r="BB337" s="22">
        <v>327</v>
      </c>
      <c r="BC337" s="22">
        <v>1.54633</v>
      </c>
      <c r="BD337">
        <f t="shared" si="70"/>
        <v>13.8306</v>
      </c>
      <c r="BE337">
        <f t="shared" si="71"/>
        <v>21.390820878</v>
      </c>
    </row>
    <row r="338" spans="6:57">
      <c r="F338" s="9"/>
      <c r="G338" s="22">
        <v>0.148315</v>
      </c>
      <c r="H338" s="22">
        <v>108.804</v>
      </c>
      <c r="I338" s="22">
        <v>-1.71387E-2</v>
      </c>
      <c r="J338" s="22">
        <v>328</v>
      </c>
      <c r="K338" s="22">
        <v>0.14776600000000001</v>
      </c>
      <c r="L338">
        <f t="shared" si="60"/>
        <v>17.1387</v>
      </c>
      <c r="M338">
        <f t="shared" si="61"/>
        <v>2.5419262905000002</v>
      </c>
      <c r="N338" s="9"/>
      <c r="O338" s="22">
        <v>1.5516700000000001</v>
      </c>
      <c r="P338" s="22">
        <v>202.768</v>
      </c>
      <c r="Q338" s="22">
        <v>-1.41876E-2</v>
      </c>
      <c r="R338" s="22">
        <v>328</v>
      </c>
      <c r="S338" s="22">
        <v>1.5506</v>
      </c>
      <c r="T338">
        <f t="shared" si="62"/>
        <v>14.1876</v>
      </c>
      <c r="U338">
        <f t="shared" si="63"/>
        <v>22.014473292000002</v>
      </c>
      <c r="X338" s="9"/>
      <c r="Y338" s="22">
        <v>0.148315</v>
      </c>
      <c r="Z338" s="22">
        <v>320.53699999999998</v>
      </c>
      <c r="AA338" s="22">
        <v>-1.7099E-2</v>
      </c>
      <c r="AB338" s="22">
        <v>328</v>
      </c>
      <c r="AC338" s="22">
        <v>0.147675</v>
      </c>
      <c r="AD338">
        <f t="shared" si="64"/>
        <v>17.099</v>
      </c>
      <c r="AE338">
        <f t="shared" si="65"/>
        <v>2.5360381850000002</v>
      </c>
      <c r="AF338" s="9"/>
      <c r="AG338" s="22">
        <v>1.5516700000000001</v>
      </c>
      <c r="AH338" s="22">
        <v>385.90300000000002</v>
      </c>
      <c r="AI338" s="22">
        <v>-1.4047199999999999E-2</v>
      </c>
      <c r="AJ338" s="22">
        <v>328</v>
      </c>
      <c r="AK338" s="22">
        <v>1.55121</v>
      </c>
      <c r="AL338">
        <f t="shared" si="66"/>
        <v>14.0472</v>
      </c>
      <c r="AM338">
        <f t="shared" si="67"/>
        <v>21.796618824000003</v>
      </c>
      <c r="AP338" s="9"/>
      <c r="AQ338" s="22">
        <v>0.148315</v>
      </c>
      <c r="AR338" s="22">
        <v>475.20499999999998</v>
      </c>
      <c r="AS338" s="22">
        <v>-1.70441E-2</v>
      </c>
      <c r="AT338" s="22">
        <v>328</v>
      </c>
      <c r="AU338" s="22">
        <v>0.14779700000000001</v>
      </c>
      <c r="AV338">
        <f t="shared" si="68"/>
        <v>17.0441</v>
      </c>
      <c r="AW338">
        <f t="shared" si="69"/>
        <v>2.5278956914999999</v>
      </c>
      <c r="AX338" s="9"/>
      <c r="AY338" s="22">
        <v>1.5516700000000001</v>
      </c>
      <c r="AZ338" s="22">
        <v>552.23</v>
      </c>
      <c r="BA338" s="22">
        <v>-1.3699299999999999E-2</v>
      </c>
      <c r="BB338" s="22">
        <v>328</v>
      </c>
      <c r="BC338" s="22">
        <v>1.5515099999999999</v>
      </c>
      <c r="BD338">
        <f t="shared" si="70"/>
        <v>13.699299999999999</v>
      </c>
      <c r="BE338">
        <f t="shared" si="71"/>
        <v>21.256792830999999</v>
      </c>
    </row>
    <row r="339" spans="6:57">
      <c r="F339" s="9"/>
      <c r="G339" s="22">
        <v>0.14327999999999999</v>
      </c>
      <c r="H339" s="22">
        <v>108.905</v>
      </c>
      <c r="I339" s="22">
        <v>-1.71509E-2</v>
      </c>
      <c r="J339" s="22">
        <v>329</v>
      </c>
      <c r="K339" s="22">
        <v>0.14266999999999999</v>
      </c>
      <c r="L339">
        <f t="shared" si="60"/>
        <v>17.1509</v>
      </c>
      <c r="M339">
        <f t="shared" si="61"/>
        <v>2.4573809519999998</v>
      </c>
      <c r="N339" s="9"/>
      <c r="O339" s="22">
        <v>1.5567</v>
      </c>
      <c r="P339" s="22">
        <v>202.869</v>
      </c>
      <c r="Q339" s="22">
        <v>-1.4123500000000001E-2</v>
      </c>
      <c r="R339" s="22">
        <v>329</v>
      </c>
      <c r="S339" s="22">
        <v>1.55609</v>
      </c>
      <c r="T339">
        <f t="shared" si="62"/>
        <v>14.1235</v>
      </c>
      <c r="U339">
        <f t="shared" si="63"/>
        <v>21.986052449999999</v>
      </c>
      <c r="X339" s="9"/>
      <c r="Y339" s="22">
        <v>0.14327999999999999</v>
      </c>
      <c r="Z339" s="22">
        <v>320.63799999999998</v>
      </c>
      <c r="AA339" s="22">
        <v>-1.71082E-2</v>
      </c>
      <c r="AB339" s="22">
        <v>329</v>
      </c>
      <c r="AC339" s="22">
        <v>0.142792</v>
      </c>
      <c r="AD339">
        <f t="shared" si="64"/>
        <v>17.1082</v>
      </c>
      <c r="AE339">
        <f t="shared" si="65"/>
        <v>2.4512628959999998</v>
      </c>
      <c r="AF339" s="9"/>
      <c r="AG339" s="22">
        <v>1.5567</v>
      </c>
      <c r="AH339" s="22">
        <v>386.00400000000002</v>
      </c>
      <c r="AI339" s="22">
        <v>-1.40564E-2</v>
      </c>
      <c r="AJ339" s="22">
        <v>329</v>
      </c>
      <c r="AK339" s="22">
        <v>1.55609</v>
      </c>
      <c r="AL339">
        <f t="shared" si="66"/>
        <v>14.0564</v>
      </c>
      <c r="AM339">
        <f t="shared" si="67"/>
        <v>21.881597880000001</v>
      </c>
      <c r="AP339" s="9"/>
      <c r="AQ339" s="22">
        <v>0.14327999999999999</v>
      </c>
      <c r="AR339" s="22">
        <v>475.30500000000001</v>
      </c>
      <c r="AS339" s="22">
        <v>-1.7034899999999999E-2</v>
      </c>
      <c r="AT339" s="22">
        <v>329</v>
      </c>
      <c r="AU339" s="22">
        <v>0.142761</v>
      </c>
      <c r="AV339">
        <f t="shared" si="68"/>
        <v>17.0349</v>
      </c>
      <c r="AW339">
        <f t="shared" si="69"/>
        <v>2.440760472</v>
      </c>
      <c r="AX339" s="9"/>
      <c r="AY339" s="22">
        <v>1.5567</v>
      </c>
      <c r="AZ339" s="22">
        <v>552.33100000000002</v>
      </c>
      <c r="BA339" s="22">
        <v>-1.35803E-2</v>
      </c>
      <c r="BB339" s="22">
        <v>329</v>
      </c>
      <c r="BC339" s="22">
        <v>1.55609</v>
      </c>
      <c r="BD339">
        <f t="shared" si="70"/>
        <v>13.580299999999999</v>
      </c>
      <c r="BE339">
        <f t="shared" si="71"/>
        <v>21.140453009999998</v>
      </c>
    </row>
    <row r="340" spans="6:57">
      <c r="F340" s="9"/>
      <c r="G340" s="22">
        <v>0.13824500000000001</v>
      </c>
      <c r="H340" s="22">
        <v>109.006</v>
      </c>
      <c r="I340" s="22">
        <v>-1.71539E-2</v>
      </c>
      <c r="J340" s="22">
        <v>330</v>
      </c>
      <c r="K340" s="22">
        <v>0.13769500000000001</v>
      </c>
      <c r="L340">
        <f t="shared" si="60"/>
        <v>17.1539</v>
      </c>
      <c r="M340">
        <f t="shared" si="61"/>
        <v>2.3714409055000001</v>
      </c>
      <c r="N340" s="9"/>
      <c r="O340" s="22">
        <v>1.5617399999999999</v>
      </c>
      <c r="P340" s="22">
        <v>202.96899999999999</v>
      </c>
      <c r="Q340" s="22">
        <v>-1.4071699999999999E-2</v>
      </c>
      <c r="R340" s="22">
        <v>330</v>
      </c>
      <c r="S340" s="22">
        <v>1.56097</v>
      </c>
      <c r="T340">
        <f t="shared" si="62"/>
        <v>14.0717</v>
      </c>
      <c r="U340">
        <f t="shared" si="63"/>
        <v>21.976336757999999</v>
      </c>
      <c r="X340" s="9"/>
      <c r="Y340" s="22">
        <v>0.13824500000000001</v>
      </c>
      <c r="Z340" s="22">
        <v>320.738</v>
      </c>
      <c r="AA340" s="22">
        <v>-1.7095900000000001E-2</v>
      </c>
      <c r="AB340" s="22">
        <v>330</v>
      </c>
      <c r="AC340" s="22">
        <v>0.13778699999999999</v>
      </c>
      <c r="AD340">
        <f t="shared" si="64"/>
        <v>17.0959</v>
      </c>
      <c r="AE340">
        <f t="shared" si="65"/>
        <v>2.3634226955000002</v>
      </c>
      <c r="AF340" s="9"/>
      <c r="AG340" s="22">
        <v>1.5617399999999999</v>
      </c>
      <c r="AH340" s="22">
        <v>386.10500000000002</v>
      </c>
      <c r="AI340" s="22">
        <v>-1.39191E-2</v>
      </c>
      <c r="AJ340" s="22">
        <v>330</v>
      </c>
      <c r="AK340" s="22">
        <v>1.56128</v>
      </c>
      <c r="AL340">
        <f t="shared" si="66"/>
        <v>13.9191</v>
      </c>
      <c r="AM340">
        <f t="shared" si="67"/>
        <v>21.738015233999999</v>
      </c>
      <c r="AP340" s="9"/>
      <c r="AQ340" s="22">
        <v>0.13824500000000001</v>
      </c>
      <c r="AR340" s="22">
        <v>475.40600000000001</v>
      </c>
      <c r="AS340" s="22">
        <v>-1.7038000000000001E-2</v>
      </c>
      <c r="AT340" s="22">
        <v>330</v>
      </c>
      <c r="AU340" s="22">
        <v>0.13769500000000001</v>
      </c>
      <c r="AV340">
        <f t="shared" si="68"/>
        <v>17.038</v>
      </c>
      <c r="AW340">
        <f t="shared" si="69"/>
        <v>2.3554183100000001</v>
      </c>
      <c r="AX340" s="9"/>
      <c r="AY340" s="22">
        <v>1.5617399999999999</v>
      </c>
      <c r="AZ340" s="22">
        <v>552.43100000000004</v>
      </c>
      <c r="BA340" s="22">
        <v>-1.3446E-2</v>
      </c>
      <c r="BB340" s="22">
        <v>330</v>
      </c>
      <c r="BC340" s="22">
        <v>1.56128</v>
      </c>
      <c r="BD340">
        <f t="shared" si="70"/>
        <v>13.446</v>
      </c>
      <c r="BE340">
        <f t="shared" si="71"/>
        <v>20.999156039999999</v>
      </c>
    </row>
    <row r="341" spans="6:57">
      <c r="F341" s="9"/>
      <c r="G341" s="22">
        <v>0.13320899999999999</v>
      </c>
      <c r="H341" s="22">
        <v>109.107</v>
      </c>
      <c r="I341" s="22">
        <v>-1.7156999999999999E-2</v>
      </c>
      <c r="J341" s="22">
        <v>331</v>
      </c>
      <c r="K341" s="22">
        <v>0.13256799999999999</v>
      </c>
      <c r="L341">
        <f t="shared" si="60"/>
        <v>17.157</v>
      </c>
      <c r="M341">
        <f t="shared" si="61"/>
        <v>2.2854668129999998</v>
      </c>
      <c r="N341" s="9"/>
      <c r="O341" s="22">
        <v>1.56677</v>
      </c>
      <c r="P341" s="22">
        <v>203.07</v>
      </c>
      <c r="Q341" s="22">
        <v>-1.4208999999999999E-2</v>
      </c>
      <c r="R341" s="22">
        <v>331</v>
      </c>
      <c r="S341" s="22">
        <v>1.56555</v>
      </c>
      <c r="T341">
        <f t="shared" si="62"/>
        <v>14.209</v>
      </c>
      <c r="U341">
        <f t="shared" si="63"/>
        <v>22.262234929999998</v>
      </c>
      <c r="X341" s="9"/>
      <c r="Y341" s="22">
        <v>0.13320899999999999</v>
      </c>
      <c r="Z341" s="22">
        <v>320.839</v>
      </c>
      <c r="AA341" s="22">
        <v>-1.7095900000000001E-2</v>
      </c>
      <c r="AB341" s="22">
        <v>331</v>
      </c>
      <c r="AC341" s="22">
        <v>0.132629</v>
      </c>
      <c r="AD341">
        <f t="shared" si="64"/>
        <v>17.0959</v>
      </c>
      <c r="AE341">
        <f t="shared" si="65"/>
        <v>2.2773277430999999</v>
      </c>
      <c r="AF341" s="9"/>
      <c r="AG341" s="22">
        <v>1.56677</v>
      </c>
      <c r="AH341" s="22">
        <v>386.20499999999998</v>
      </c>
      <c r="AI341" s="22">
        <v>-1.37299E-2</v>
      </c>
      <c r="AJ341" s="22">
        <v>331</v>
      </c>
      <c r="AK341" s="22">
        <v>1.56616</v>
      </c>
      <c r="AL341">
        <f t="shared" si="66"/>
        <v>13.729899999999999</v>
      </c>
      <c r="AM341">
        <f t="shared" si="67"/>
        <v>21.511595422999999</v>
      </c>
      <c r="AP341" s="9"/>
      <c r="AQ341" s="22">
        <v>0.13320899999999999</v>
      </c>
      <c r="AR341" s="22">
        <v>475.50700000000001</v>
      </c>
      <c r="AS341" s="22">
        <v>-1.7019699999999999E-2</v>
      </c>
      <c r="AT341" s="22">
        <v>331</v>
      </c>
      <c r="AU341" s="22">
        <v>0.13266</v>
      </c>
      <c r="AV341">
        <f t="shared" si="68"/>
        <v>17.0197</v>
      </c>
      <c r="AW341">
        <f t="shared" si="69"/>
        <v>2.2671772173</v>
      </c>
      <c r="AX341" s="9"/>
      <c r="AY341" s="22">
        <v>1.56677</v>
      </c>
      <c r="AZ341" s="22">
        <v>552.53200000000004</v>
      </c>
      <c r="BA341" s="22">
        <v>-1.33484E-2</v>
      </c>
      <c r="BB341" s="22">
        <v>331</v>
      </c>
      <c r="BC341" s="22">
        <v>1.56647</v>
      </c>
      <c r="BD341">
        <f t="shared" si="70"/>
        <v>13.3484</v>
      </c>
      <c r="BE341">
        <f t="shared" si="71"/>
        <v>20.913872668</v>
      </c>
    </row>
    <row r="342" spans="6:57">
      <c r="F342" s="9"/>
      <c r="G342" s="22">
        <v>0.12817400000000001</v>
      </c>
      <c r="H342" s="22">
        <v>109.20699999999999</v>
      </c>
      <c r="I342" s="22">
        <v>-1.7163100000000001E-2</v>
      </c>
      <c r="J342" s="22">
        <v>332</v>
      </c>
      <c r="K342" s="22">
        <v>0.12759400000000001</v>
      </c>
      <c r="L342">
        <f t="shared" si="60"/>
        <v>17.1631</v>
      </c>
      <c r="M342">
        <f t="shared" si="61"/>
        <v>2.1998631794000003</v>
      </c>
      <c r="N342" s="9"/>
      <c r="O342" s="22">
        <v>1.5718099999999999</v>
      </c>
      <c r="P342" s="22">
        <v>203.17099999999999</v>
      </c>
      <c r="Q342" s="22">
        <v>-1.4025900000000001E-2</v>
      </c>
      <c r="R342" s="22">
        <v>332</v>
      </c>
      <c r="S342" s="22">
        <v>1.57135</v>
      </c>
      <c r="T342">
        <f t="shared" si="62"/>
        <v>14.0259</v>
      </c>
      <c r="U342">
        <f t="shared" si="63"/>
        <v>22.046049878999998</v>
      </c>
      <c r="X342" s="9"/>
      <c r="Y342" s="22">
        <v>0.12817400000000001</v>
      </c>
      <c r="Z342" s="22">
        <v>320.94</v>
      </c>
      <c r="AA342" s="22">
        <v>-1.7102099999999999E-2</v>
      </c>
      <c r="AB342" s="22">
        <v>332</v>
      </c>
      <c r="AC342" s="22">
        <v>0.12756300000000001</v>
      </c>
      <c r="AD342">
        <f t="shared" si="64"/>
        <v>17.1021</v>
      </c>
      <c r="AE342">
        <f t="shared" si="65"/>
        <v>2.1920445654000003</v>
      </c>
      <c r="AF342" s="9"/>
      <c r="AG342" s="22">
        <v>1.5718099999999999</v>
      </c>
      <c r="AH342" s="22">
        <v>386.30599999999998</v>
      </c>
      <c r="AI342" s="22">
        <v>-1.3638300000000001E-2</v>
      </c>
      <c r="AJ342" s="22">
        <v>332</v>
      </c>
      <c r="AK342" s="22">
        <v>1.57104</v>
      </c>
      <c r="AL342">
        <f t="shared" si="66"/>
        <v>13.638300000000001</v>
      </c>
      <c r="AM342">
        <f t="shared" si="67"/>
        <v>21.436816323000002</v>
      </c>
      <c r="AP342" s="9"/>
      <c r="AQ342" s="22">
        <v>0.12817400000000001</v>
      </c>
      <c r="AR342" s="22">
        <v>475.60700000000003</v>
      </c>
      <c r="AS342" s="22">
        <v>-1.7034899999999999E-2</v>
      </c>
      <c r="AT342" s="22">
        <v>332</v>
      </c>
      <c r="AU342" s="22">
        <v>0.12759400000000001</v>
      </c>
      <c r="AV342">
        <f t="shared" si="68"/>
        <v>17.0349</v>
      </c>
      <c r="AW342">
        <f t="shared" si="69"/>
        <v>2.1834312726</v>
      </c>
      <c r="AX342" s="9"/>
      <c r="AY342" s="22">
        <v>1.5718099999999999</v>
      </c>
      <c r="AZ342" s="22">
        <v>552.63300000000004</v>
      </c>
      <c r="BA342" s="22">
        <v>-1.32172E-2</v>
      </c>
      <c r="BB342" s="22">
        <v>332</v>
      </c>
      <c r="BC342" s="22">
        <v>1.57135</v>
      </c>
      <c r="BD342">
        <f t="shared" si="70"/>
        <v>13.2172</v>
      </c>
      <c r="BE342">
        <f t="shared" si="71"/>
        <v>20.774927131999998</v>
      </c>
    </row>
    <row r="343" spans="6:57">
      <c r="F343" s="9"/>
      <c r="G343" s="22">
        <v>0.123138</v>
      </c>
      <c r="H343" s="22">
        <v>109.30800000000001</v>
      </c>
      <c r="I343" s="22">
        <v>-1.7163100000000001E-2</v>
      </c>
      <c r="J343" s="22">
        <v>333</v>
      </c>
      <c r="K343" s="22">
        <v>0.12262000000000001</v>
      </c>
      <c r="L343">
        <f t="shared" si="60"/>
        <v>17.1631</v>
      </c>
      <c r="M343">
        <f t="shared" si="61"/>
        <v>2.1134298077999998</v>
      </c>
      <c r="N343" s="9"/>
      <c r="O343" s="22">
        <v>1.57684</v>
      </c>
      <c r="P343" s="22">
        <v>203.27199999999999</v>
      </c>
      <c r="Q343" s="22">
        <v>-1.3842800000000001E-2</v>
      </c>
      <c r="R343" s="22">
        <v>333</v>
      </c>
      <c r="S343" s="22">
        <v>1.57623</v>
      </c>
      <c r="T343">
        <f t="shared" si="62"/>
        <v>13.8428</v>
      </c>
      <c r="U343">
        <f t="shared" si="63"/>
        <v>21.827880752000002</v>
      </c>
      <c r="X343" s="9"/>
      <c r="Y343" s="22">
        <v>0.123138</v>
      </c>
      <c r="Z343" s="22">
        <v>321.041</v>
      </c>
      <c r="AA343" s="22">
        <v>-1.7092900000000001E-2</v>
      </c>
      <c r="AB343" s="22">
        <v>333</v>
      </c>
      <c r="AC343" s="22">
        <v>0.122559</v>
      </c>
      <c r="AD343">
        <f t="shared" si="64"/>
        <v>17.0929</v>
      </c>
      <c r="AE343">
        <f t="shared" si="65"/>
        <v>2.1047855202000001</v>
      </c>
      <c r="AF343" s="9"/>
      <c r="AG343" s="22">
        <v>1.57684</v>
      </c>
      <c r="AH343" s="22">
        <v>386.40699999999998</v>
      </c>
      <c r="AI343" s="22">
        <v>-1.34521E-2</v>
      </c>
      <c r="AJ343" s="22">
        <v>333</v>
      </c>
      <c r="AK343" s="22">
        <v>1.5759300000000001</v>
      </c>
      <c r="AL343">
        <f t="shared" si="66"/>
        <v>13.4521</v>
      </c>
      <c r="AM343">
        <f t="shared" si="67"/>
        <v>21.211809364</v>
      </c>
      <c r="AP343" s="9"/>
      <c r="AQ343" s="22">
        <v>0.123138</v>
      </c>
      <c r="AR343" s="22">
        <v>475.70800000000003</v>
      </c>
      <c r="AS343" s="22">
        <v>-1.7034899999999999E-2</v>
      </c>
      <c r="AT343" s="22">
        <v>333</v>
      </c>
      <c r="AU343" s="22">
        <v>0.122559</v>
      </c>
      <c r="AV343">
        <f t="shared" si="68"/>
        <v>17.0349</v>
      </c>
      <c r="AW343">
        <f t="shared" si="69"/>
        <v>2.0976435162000002</v>
      </c>
      <c r="AX343" s="9"/>
      <c r="AY343" s="22">
        <v>1.57684</v>
      </c>
      <c r="AZ343" s="22">
        <v>552.73299999999995</v>
      </c>
      <c r="BA343" s="22">
        <v>-1.30554E-2</v>
      </c>
      <c r="BB343" s="22">
        <v>333</v>
      </c>
      <c r="BC343" s="22">
        <v>1.5753200000000001</v>
      </c>
      <c r="BD343">
        <f t="shared" si="70"/>
        <v>13.055400000000001</v>
      </c>
      <c r="BE343">
        <f t="shared" si="71"/>
        <v>20.586276936000001</v>
      </c>
    </row>
    <row r="344" spans="6:57">
      <c r="F344" s="9"/>
      <c r="G344" s="22">
        <v>0.118103</v>
      </c>
      <c r="H344" s="22">
        <v>109.40900000000001</v>
      </c>
      <c r="I344" s="22">
        <v>-1.7172199999999999E-2</v>
      </c>
      <c r="J344" s="22">
        <v>334</v>
      </c>
      <c r="K344" s="22">
        <v>0.11755400000000001</v>
      </c>
      <c r="L344">
        <f t="shared" si="60"/>
        <v>17.1722</v>
      </c>
      <c r="M344">
        <f t="shared" si="61"/>
        <v>2.0280883366000002</v>
      </c>
      <c r="N344" s="9"/>
      <c r="O344" s="22">
        <v>1.58188</v>
      </c>
      <c r="P344" s="22">
        <v>203.37200000000001</v>
      </c>
      <c r="Q344" s="22">
        <v>-1.3382E-2</v>
      </c>
      <c r="R344" s="22">
        <v>334</v>
      </c>
      <c r="S344" s="22">
        <v>1.5811200000000001</v>
      </c>
      <c r="T344">
        <f t="shared" si="62"/>
        <v>13.382</v>
      </c>
      <c r="U344">
        <f t="shared" si="63"/>
        <v>21.168718159999997</v>
      </c>
      <c r="X344" s="9"/>
      <c r="Y344" s="22">
        <v>0.118103</v>
      </c>
      <c r="Z344" s="22">
        <v>321.14100000000002</v>
      </c>
      <c r="AA344" s="22">
        <v>-1.71112E-2</v>
      </c>
      <c r="AB344" s="22">
        <v>334</v>
      </c>
      <c r="AC344" s="22">
        <v>0.117615</v>
      </c>
      <c r="AD344">
        <f t="shared" si="64"/>
        <v>17.1112</v>
      </c>
      <c r="AE344">
        <f t="shared" si="65"/>
        <v>2.0208840536000001</v>
      </c>
      <c r="AF344" s="9"/>
      <c r="AG344" s="22">
        <v>1.58188</v>
      </c>
      <c r="AH344" s="22">
        <v>386.50700000000001</v>
      </c>
      <c r="AI344" s="22">
        <v>-1.3207999999999999E-2</v>
      </c>
      <c r="AJ344" s="22">
        <v>334</v>
      </c>
      <c r="AK344" s="22">
        <v>1.58142</v>
      </c>
      <c r="AL344">
        <f t="shared" si="66"/>
        <v>13.207999999999998</v>
      </c>
      <c r="AM344">
        <f t="shared" si="67"/>
        <v>20.893471039999998</v>
      </c>
      <c r="AP344" s="9"/>
      <c r="AQ344" s="22">
        <v>0.118103</v>
      </c>
      <c r="AR344" s="22">
        <v>475.80900000000003</v>
      </c>
      <c r="AS344" s="22">
        <v>-1.7038000000000001E-2</v>
      </c>
      <c r="AT344" s="22">
        <v>334</v>
      </c>
      <c r="AU344" s="22">
        <v>0.11755400000000001</v>
      </c>
      <c r="AV344">
        <f t="shared" si="68"/>
        <v>17.038</v>
      </c>
      <c r="AW344">
        <f t="shared" si="69"/>
        <v>2.0122389140000001</v>
      </c>
      <c r="AX344" s="9"/>
      <c r="AY344" s="22">
        <v>1.58188</v>
      </c>
      <c r="AZ344" s="22">
        <v>552.83399999999995</v>
      </c>
      <c r="BA344" s="22">
        <v>-1.2914999999999999E-2</v>
      </c>
      <c r="BB344" s="22">
        <v>334</v>
      </c>
      <c r="BC344" s="22">
        <v>1.5811200000000001</v>
      </c>
      <c r="BD344">
        <f t="shared" si="70"/>
        <v>12.914999999999999</v>
      </c>
      <c r="BE344">
        <f t="shared" si="71"/>
        <v>20.429980199999999</v>
      </c>
    </row>
    <row r="345" spans="6:57">
      <c r="F345" s="9"/>
      <c r="G345" s="22">
        <v>0.113068</v>
      </c>
      <c r="H345" s="22">
        <v>109.509</v>
      </c>
      <c r="I345" s="22">
        <v>-1.71661E-2</v>
      </c>
      <c r="J345" s="22">
        <v>335</v>
      </c>
      <c r="K345" s="22">
        <v>0.11251800000000001</v>
      </c>
      <c r="L345">
        <f t="shared" si="60"/>
        <v>17.1661</v>
      </c>
      <c r="M345">
        <f t="shared" si="61"/>
        <v>1.9409365948000001</v>
      </c>
      <c r="N345" s="9"/>
      <c r="O345" s="22">
        <v>1.58691</v>
      </c>
      <c r="P345" s="22">
        <v>203.47300000000001</v>
      </c>
      <c r="Q345" s="22">
        <v>-1.3262899999999999E-2</v>
      </c>
      <c r="R345" s="22">
        <v>335</v>
      </c>
      <c r="S345" s="22">
        <v>1.5853900000000001</v>
      </c>
      <c r="T345">
        <f t="shared" si="62"/>
        <v>13.2629</v>
      </c>
      <c r="U345">
        <f t="shared" si="63"/>
        <v>21.047028639000001</v>
      </c>
      <c r="X345" s="9"/>
      <c r="Y345" s="22">
        <v>0.113068</v>
      </c>
      <c r="Z345" s="22">
        <v>321.24200000000002</v>
      </c>
      <c r="AA345" s="22">
        <v>-1.7095900000000001E-2</v>
      </c>
      <c r="AB345" s="22">
        <v>335</v>
      </c>
      <c r="AC345" s="22">
        <v>0.112396</v>
      </c>
      <c r="AD345">
        <f t="shared" si="64"/>
        <v>17.0959</v>
      </c>
      <c r="AE345">
        <f t="shared" si="65"/>
        <v>1.9329992212</v>
      </c>
      <c r="AF345" s="9"/>
      <c r="AG345" s="22">
        <v>1.58691</v>
      </c>
      <c r="AH345" s="22">
        <v>386.608</v>
      </c>
      <c r="AI345" s="22">
        <v>-1.30127E-2</v>
      </c>
      <c r="AJ345" s="22">
        <v>335</v>
      </c>
      <c r="AK345" s="22">
        <v>1.5860000000000001</v>
      </c>
      <c r="AL345">
        <f t="shared" si="66"/>
        <v>13.012700000000001</v>
      </c>
      <c r="AM345">
        <f t="shared" si="67"/>
        <v>20.649983757000001</v>
      </c>
      <c r="AP345" s="9"/>
      <c r="AQ345" s="22">
        <v>0.113068</v>
      </c>
      <c r="AR345" s="22">
        <v>475.91</v>
      </c>
      <c r="AS345" s="22">
        <v>-1.7038000000000001E-2</v>
      </c>
      <c r="AT345" s="22">
        <v>335</v>
      </c>
      <c r="AU345" s="22">
        <v>0.11264</v>
      </c>
      <c r="AV345">
        <f t="shared" si="68"/>
        <v>17.038</v>
      </c>
      <c r="AW345">
        <f t="shared" si="69"/>
        <v>1.926452584</v>
      </c>
      <c r="AX345" s="9"/>
      <c r="AY345" s="22">
        <v>1.58691</v>
      </c>
      <c r="AZ345" s="22">
        <v>552.93499999999995</v>
      </c>
      <c r="BA345" s="22">
        <v>-1.27686E-2</v>
      </c>
      <c r="BB345" s="22">
        <v>335</v>
      </c>
      <c r="BC345" s="22">
        <v>1.5863</v>
      </c>
      <c r="BD345">
        <f t="shared" si="70"/>
        <v>12.768599999999999</v>
      </c>
      <c r="BE345">
        <f t="shared" si="71"/>
        <v>20.262619025999999</v>
      </c>
    </row>
    <row r="346" spans="6:57">
      <c r="F346" s="9"/>
      <c r="G346" s="22">
        <v>0.108032</v>
      </c>
      <c r="H346" s="22">
        <v>109.61</v>
      </c>
      <c r="I346" s="22">
        <v>-1.71661E-2</v>
      </c>
      <c r="J346" s="22">
        <v>336</v>
      </c>
      <c r="K346" s="22">
        <v>0.107422</v>
      </c>
      <c r="L346">
        <f t="shared" si="60"/>
        <v>17.1661</v>
      </c>
      <c r="M346">
        <f t="shared" si="61"/>
        <v>1.8544881152000001</v>
      </c>
      <c r="N346" s="9"/>
      <c r="O346" s="22">
        <v>1.59195</v>
      </c>
      <c r="P346" s="22">
        <v>203.57400000000001</v>
      </c>
      <c r="Q346" s="22">
        <v>-1.30463E-2</v>
      </c>
      <c r="R346" s="22">
        <v>336</v>
      </c>
      <c r="S346" s="22">
        <v>1.5918000000000001</v>
      </c>
      <c r="T346">
        <f t="shared" si="62"/>
        <v>13.0463</v>
      </c>
      <c r="U346">
        <f t="shared" si="63"/>
        <v>20.769057284999999</v>
      </c>
      <c r="X346" s="9"/>
      <c r="Y346" s="22">
        <v>0.108032</v>
      </c>
      <c r="Z346" s="22">
        <v>321.34300000000002</v>
      </c>
      <c r="AA346" s="22">
        <v>-1.71082E-2</v>
      </c>
      <c r="AB346" s="22">
        <v>336</v>
      </c>
      <c r="AC346" s="22">
        <v>0.107391</v>
      </c>
      <c r="AD346">
        <f t="shared" si="64"/>
        <v>17.1082</v>
      </c>
      <c r="AE346">
        <f t="shared" si="65"/>
        <v>1.8482330624000001</v>
      </c>
      <c r="AF346" s="9"/>
      <c r="AG346" s="22">
        <v>1.59195</v>
      </c>
      <c r="AH346" s="22">
        <v>386.709</v>
      </c>
      <c r="AI346" s="22">
        <v>-1.29639E-2</v>
      </c>
      <c r="AJ346" s="22">
        <v>336</v>
      </c>
      <c r="AK346" s="22">
        <v>1.5911900000000001</v>
      </c>
      <c r="AL346">
        <f t="shared" si="66"/>
        <v>12.963900000000001</v>
      </c>
      <c r="AM346">
        <f t="shared" si="67"/>
        <v>20.637880604999999</v>
      </c>
      <c r="AP346" s="9"/>
      <c r="AQ346" s="22">
        <v>0.108032</v>
      </c>
      <c r="AR346" s="22">
        <v>476.01</v>
      </c>
      <c r="AS346" s="22">
        <v>-1.7053200000000001E-2</v>
      </c>
      <c r="AT346" s="22">
        <v>336</v>
      </c>
      <c r="AU346" s="22">
        <v>0.10745200000000001</v>
      </c>
      <c r="AV346">
        <f t="shared" si="68"/>
        <v>17.0532</v>
      </c>
      <c r="AW346">
        <f t="shared" si="69"/>
        <v>1.8422913024000001</v>
      </c>
      <c r="AX346" s="9"/>
      <c r="AY346" s="22">
        <v>1.59195</v>
      </c>
      <c r="AZ346" s="22">
        <v>553.03599999999994</v>
      </c>
      <c r="BA346" s="22">
        <v>-1.2554900000000001E-2</v>
      </c>
      <c r="BB346" s="22">
        <v>336</v>
      </c>
      <c r="BC346" s="22">
        <v>1.5908800000000001</v>
      </c>
      <c r="BD346">
        <f t="shared" si="70"/>
        <v>12.5549</v>
      </c>
      <c r="BE346">
        <f t="shared" si="71"/>
        <v>19.986773055</v>
      </c>
    </row>
    <row r="347" spans="6:57">
      <c r="F347" s="9"/>
      <c r="G347" s="22">
        <v>0.10299700000000001</v>
      </c>
      <c r="H347" s="22">
        <v>109.711</v>
      </c>
      <c r="I347" s="22">
        <v>-1.7181399999999999E-2</v>
      </c>
      <c r="J347" s="22">
        <v>337</v>
      </c>
      <c r="K347" s="22">
        <v>0.102203</v>
      </c>
      <c r="L347">
        <f t="shared" si="60"/>
        <v>17.1814</v>
      </c>
      <c r="M347">
        <f t="shared" si="61"/>
        <v>1.7696326558000002</v>
      </c>
      <c r="N347" s="9"/>
      <c r="O347" s="22">
        <v>1.5969800000000001</v>
      </c>
      <c r="P347" s="22">
        <v>203.67400000000001</v>
      </c>
      <c r="Q347" s="22">
        <v>-1.28296E-2</v>
      </c>
      <c r="R347" s="22">
        <v>337</v>
      </c>
      <c r="S347" s="22">
        <v>1.5960700000000001</v>
      </c>
      <c r="T347">
        <f t="shared" si="62"/>
        <v>12.829599999999999</v>
      </c>
      <c r="U347">
        <f t="shared" si="63"/>
        <v>20.488614607999999</v>
      </c>
      <c r="X347" s="9"/>
      <c r="Y347" s="22">
        <v>0.10299700000000001</v>
      </c>
      <c r="Z347" s="22">
        <v>321.44299999999998</v>
      </c>
      <c r="AA347" s="22">
        <v>-1.71112E-2</v>
      </c>
      <c r="AB347" s="22">
        <v>337</v>
      </c>
      <c r="AC347" s="22">
        <v>0.102509</v>
      </c>
      <c r="AD347">
        <f t="shared" si="64"/>
        <v>17.1112</v>
      </c>
      <c r="AE347">
        <f t="shared" si="65"/>
        <v>1.7624022664000001</v>
      </c>
      <c r="AF347" s="9"/>
      <c r="AG347" s="22">
        <v>1.5969800000000001</v>
      </c>
      <c r="AH347" s="22">
        <v>386.80900000000003</v>
      </c>
      <c r="AI347" s="22">
        <v>-1.2670900000000001E-2</v>
      </c>
      <c r="AJ347" s="22">
        <v>337</v>
      </c>
      <c r="AK347" s="22">
        <v>1.5963700000000001</v>
      </c>
      <c r="AL347">
        <f t="shared" si="66"/>
        <v>12.670900000000001</v>
      </c>
      <c r="AM347">
        <f t="shared" si="67"/>
        <v>20.235173882000002</v>
      </c>
      <c r="AP347" s="9"/>
      <c r="AQ347" s="22">
        <v>0.10299700000000001</v>
      </c>
      <c r="AR347" s="22">
        <v>476.11099999999999</v>
      </c>
      <c r="AS347" s="22">
        <v>-1.7038000000000001E-2</v>
      </c>
      <c r="AT347" s="22">
        <v>337</v>
      </c>
      <c r="AU347" s="22">
        <v>0.102448</v>
      </c>
      <c r="AV347">
        <f t="shared" si="68"/>
        <v>17.038</v>
      </c>
      <c r="AW347">
        <f t="shared" si="69"/>
        <v>1.7548628860000002</v>
      </c>
      <c r="AX347" s="9"/>
      <c r="AY347" s="22">
        <v>1.5969800000000001</v>
      </c>
      <c r="AZ347" s="22">
        <v>553.13599999999997</v>
      </c>
      <c r="BA347" s="22">
        <v>-1.23993E-2</v>
      </c>
      <c r="BB347" s="22">
        <v>337</v>
      </c>
      <c r="BC347" s="22">
        <v>1.5963700000000001</v>
      </c>
      <c r="BD347">
        <f t="shared" si="70"/>
        <v>12.3993</v>
      </c>
      <c r="BE347">
        <f t="shared" si="71"/>
        <v>19.801434114000003</v>
      </c>
    </row>
    <row r="348" spans="6:57">
      <c r="F348" s="9"/>
      <c r="G348" s="22">
        <v>9.7961400000000004E-2</v>
      </c>
      <c r="H348" s="22">
        <v>109.812</v>
      </c>
      <c r="I348" s="22">
        <v>-1.7178300000000001E-2</v>
      </c>
      <c r="J348" s="22">
        <v>338</v>
      </c>
      <c r="K348" s="22">
        <v>9.7351099999999996E-2</v>
      </c>
      <c r="L348">
        <f t="shared" si="60"/>
        <v>17.1783</v>
      </c>
      <c r="M348">
        <f t="shared" si="61"/>
        <v>1.68281031762</v>
      </c>
      <c r="N348" s="9"/>
      <c r="O348" s="22">
        <v>1.60202</v>
      </c>
      <c r="P348" s="22">
        <v>203.77500000000001</v>
      </c>
      <c r="Q348" s="22">
        <v>-1.26251E-2</v>
      </c>
      <c r="R348" s="22">
        <v>338</v>
      </c>
      <c r="S348" s="22">
        <v>1.6009500000000001</v>
      </c>
      <c r="T348">
        <f t="shared" si="62"/>
        <v>12.6251</v>
      </c>
      <c r="U348">
        <f t="shared" si="63"/>
        <v>20.225662702000001</v>
      </c>
      <c r="X348" s="9"/>
      <c r="Y348" s="22">
        <v>9.7961400000000004E-2</v>
      </c>
      <c r="Z348" s="22">
        <v>321.54399999999998</v>
      </c>
      <c r="AA348" s="22">
        <v>-1.7095900000000001E-2</v>
      </c>
      <c r="AB348" s="22">
        <v>338</v>
      </c>
      <c r="AC348" s="22">
        <v>9.7412100000000001E-2</v>
      </c>
      <c r="AD348">
        <f t="shared" si="64"/>
        <v>17.0959</v>
      </c>
      <c r="AE348">
        <f t="shared" si="65"/>
        <v>1.6747382982600001</v>
      </c>
      <c r="AF348" s="9"/>
      <c r="AG348" s="22">
        <v>1.60202</v>
      </c>
      <c r="AH348" s="22">
        <v>386.91</v>
      </c>
      <c r="AI348" s="22">
        <v>-1.24969E-2</v>
      </c>
      <c r="AJ348" s="22">
        <v>338</v>
      </c>
      <c r="AK348" s="22">
        <v>1.6015600000000001</v>
      </c>
      <c r="AL348">
        <f t="shared" si="66"/>
        <v>12.4969</v>
      </c>
      <c r="AM348">
        <f t="shared" si="67"/>
        <v>20.020283738</v>
      </c>
      <c r="AP348" s="9"/>
      <c r="AQ348" s="22">
        <v>9.7961400000000004E-2</v>
      </c>
      <c r="AR348" s="22">
        <v>476.21199999999999</v>
      </c>
      <c r="AS348" s="22">
        <v>-1.70441E-2</v>
      </c>
      <c r="AT348" s="22">
        <v>338</v>
      </c>
      <c r="AU348" s="22">
        <v>9.7290000000000001E-2</v>
      </c>
      <c r="AV348">
        <f t="shared" si="68"/>
        <v>17.0441</v>
      </c>
      <c r="AW348">
        <f t="shared" si="69"/>
        <v>1.66966389774</v>
      </c>
      <c r="AX348" s="9"/>
      <c r="AY348" s="22">
        <v>1.60202</v>
      </c>
      <c r="AZ348" s="22">
        <v>553.23699999999997</v>
      </c>
      <c r="BA348" s="22">
        <v>-1.21948E-2</v>
      </c>
      <c r="BB348" s="22">
        <v>338</v>
      </c>
      <c r="BC348" s="22">
        <v>1.6015600000000001</v>
      </c>
      <c r="BD348">
        <f t="shared" si="70"/>
        <v>12.194800000000001</v>
      </c>
      <c r="BE348">
        <f t="shared" si="71"/>
        <v>19.536313496000002</v>
      </c>
    </row>
    <row r="349" spans="6:57">
      <c r="F349" s="9"/>
      <c r="G349" s="22">
        <v>9.2925999999999995E-2</v>
      </c>
      <c r="H349" s="22">
        <v>109.91200000000001</v>
      </c>
      <c r="I349" s="22">
        <v>-1.71661E-2</v>
      </c>
      <c r="J349" s="22">
        <v>339</v>
      </c>
      <c r="K349" s="22">
        <v>9.2285199999999998E-2</v>
      </c>
      <c r="L349">
        <f t="shared" si="60"/>
        <v>17.1661</v>
      </c>
      <c r="M349">
        <f t="shared" si="61"/>
        <v>1.5951770085999999</v>
      </c>
      <c r="N349" s="9"/>
      <c r="O349" s="22">
        <v>1.6070599999999999</v>
      </c>
      <c r="P349" s="22">
        <v>203.876</v>
      </c>
      <c r="Q349" s="22">
        <v>-1.2674E-2</v>
      </c>
      <c r="R349" s="22">
        <v>339</v>
      </c>
      <c r="S349" s="22">
        <v>1.6061399999999999</v>
      </c>
      <c r="T349">
        <f t="shared" si="62"/>
        <v>12.673999999999999</v>
      </c>
      <c r="U349">
        <f t="shared" si="63"/>
        <v>20.367878439999998</v>
      </c>
      <c r="X349" s="9"/>
      <c r="Y349" s="22">
        <v>9.2925999999999995E-2</v>
      </c>
      <c r="Z349" s="22">
        <v>321.64499999999998</v>
      </c>
      <c r="AA349" s="22">
        <v>-1.7105100000000002E-2</v>
      </c>
      <c r="AB349" s="22">
        <v>339</v>
      </c>
      <c r="AC349" s="22">
        <v>9.2254600000000006E-2</v>
      </c>
      <c r="AD349">
        <f t="shared" si="64"/>
        <v>17.1051</v>
      </c>
      <c r="AE349">
        <f t="shared" si="65"/>
        <v>1.5895085225999999</v>
      </c>
      <c r="AF349" s="9"/>
      <c r="AG349" s="22">
        <v>1.6070599999999999</v>
      </c>
      <c r="AH349" s="22">
        <v>387.01100000000002</v>
      </c>
      <c r="AI349" s="22">
        <v>-1.22833E-2</v>
      </c>
      <c r="AJ349" s="22">
        <v>339</v>
      </c>
      <c r="AK349" s="22">
        <v>1.6064499999999999</v>
      </c>
      <c r="AL349">
        <f t="shared" si="66"/>
        <v>12.283300000000001</v>
      </c>
      <c r="AM349">
        <f t="shared" si="67"/>
        <v>19.740000097999999</v>
      </c>
      <c r="AP349" s="9"/>
      <c r="AQ349" s="22">
        <v>9.2925999999999995E-2</v>
      </c>
      <c r="AR349" s="22">
        <v>476.31200000000001</v>
      </c>
      <c r="AS349" s="22">
        <v>-1.7034899999999999E-2</v>
      </c>
      <c r="AT349" s="22">
        <v>339</v>
      </c>
      <c r="AU349" s="22">
        <v>9.2315700000000001E-2</v>
      </c>
      <c r="AV349">
        <f t="shared" si="68"/>
        <v>17.0349</v>
      </c>
      <c r="AW349">
        <f t="shared" si="69"/>
        <v>1.5829851174</v>
      </c>
      <c r="AX349" s="9"/>
      <c r="AY349" s="22">
        <v>1.6070599999999999</v>
      </c>
      <c r="AZ349" s="22">
        <v>553.33799999999997</v>
      </c>
      <c r="BA349" s="22">
        <v>-1.19843E-2</v>
      </c>
      <c r="BB349" s="22">
        <v>339</v>
      </c>
      <c r="BC349" s="22">
        <v>1.6064499999999999</v>
      </c>
      <c r="BD349">
        <f t="shared" si="70"/>
        <v>11.984299999999999</v>
      </c>
      <c r="BE349">
        <f t="shared" si="71"/>
        <v>19.259489157999997</v>
      </c>
    </row>
    <row r="350" spans="6:57">
      <c r="F350" s="9"/>
      <c r="G350" s="22">
        <v>8.7890599999999999E-2</v>
      </c>
      <c r="H350" s="22">
        <v>110.01300000000001</v>
      </c>
      <c r="I350" s="22">
        <v>-1.7175300000000001E-2</v>
      </c>
      <c r="J350" s="22">
        <v>340</v>
      </c>
      <c r="K350" s="22">
        <v>8.7219199999999997E-2</v>
      </c>
      <c r="L350">
        <f t="shared" si="60"/>
        <v>17.1753</v>
      </c>
      <c r="M350">
        <f t="shared" si="61"/>
        <v>1.50954742218</v>
      </c>
      <c r="N350" s="9"/>
      <c r="O350" s="22">
        <v>1.61209</v>
      </c>
      <c r="P350" s="22">
        <v>203.977</v>
      </c>
      <c r="Q350" s="22">
        <v>-1.2289400000000001E-2</v>
      </c>
      <c r="R350" s="22">
        <v>340</v>
      </c>
      <c r="S350" s="22">
        <v>1.6113299999999999</v>
      </c>
      <c r="T350">
        <f t="shared" si="62"/>
        <v>12.289400000000001</v>
      </c>
      <c r="U350">
        <f t="shared" si="63"/>
        <v>19.811618846000002</v>
      </c>
      <c r="X350" s="9"/>
      <c r="Y350" s="22">
        <v>8.7890599999999999E-2</v>
      </c>
      <c r="Z350" s="22">
        <v>321.74599999999998</v>
      </c>
      <c r="AA350" s="22">
        <v>-1.7105100000000002E-2</v>
      </c>
      <c r="AB350" s="22">
        <v>340</v>
      </c>
      <c r="AC350" s="22">
        <v>8.7249800000000002E-2</v>
      </c>
      <c r="AD350">
        <f t="shared" si="64"/>
        <v>17.1051</v>
      </c>
      <c r="AE350">
        <f t="shared" si="65"/>
        <v>1.50337750206</v>
      </c>
      <c r="AF350" s="9"/>
      <c r="AG350" s="22">
        <v>1.61209</v>
      </c>
      <c r="AH350" s="22">
        <v>387.11200000000002</v>
      </c>
      <c r="AI350" s="22">
        <v>-1.20789E-2</v>
      </c>
      <c r="AJ350" s="22">
        <v>340</v>
      </c>
      <c r="AK350" s="22">
        <v>1.6116299999999999</v>
      </c>
      <c r="AL350">
        <f t="shared" si="66"/>
        <v>12.078900000000001</v>
      </c>
      <c r="AM350">
        <f t="shared" si="67"/>
        <v>19.472273901000001</v>
      </c>
      <c r="AP350" s="9"/>
      <c r="AQ350" s="22">
        <v>8.7890599999999999E-2</v>
      </c>
      <c r="AR350" s="22">
        <v>476.41300000000001</v>
      </c>
      <c r="AS350" s="22">
        <v>-1.70441E-2</v>
      </c>
      <c r="AT350" s="22">
        <v>340</v>
      </c>
      <c r="AU350" s="22">
        <v>8.7371799999999999E-2</v>
      </c>
      <c r="AV350">
        <f t="shared" si="68"/>
        <v>17.0441</v>
      </c>
      <c r="AW350">
        <f t="shared" si="69"/>
        <v>1.4980161754600001</v>
      </c>
      <c r="AX350" s="9"/>
      <c r="AY350" s="22">
        <v>1.61209</v>
      </c>
      <c r="AZ350" s="22">
        <v>553.43799999999999</v>
      </c>
      <c r="BA350" s="22">
        <v>-1.17523E-2</v>
      </c>
      <c r="BB350" s="22">
        <v>340</v>
      </c>
      <c r="BC350" s="22">
        <v>1.6107199999999999</v>
      </c>
      <c r="BD350">
        <f t="shared" si="70"/>
        <v>11.7523</v>
      </c>
      <c r="BE350">
        <f t="shared" si="71"/>
        <v>18.945765306999999</v>
      </c>
    </row>
    <row r="351" spans="6:57">
      <c r="F351" s="9"/>
      <c r="G351" s="22">
        <v>8.2855200000000004E-2</v>
      </c>
      <c r="H351" s="22">
        <v>110.114</v>
      </c>
      <c r="I351" s="22">
        <v>-1.7187500000000001E-2</v>
      </c>
      <c r="J351" s="22">
        <v>341</v>
      </c>
      <c r="K351" s="22">
        <v>8.2305900000000001E-2</v>
      </c>
      <c r="L351">
        <f t="shared" si="60"/>
        <v>17.1875</v>
      </c>
      <c r="M351">
        <f t="shared" si="61"/>
        <v>1.42407375</v>
      </c>
      <c r="N351" s="9"/>
      <c r="O351" s="22">
        <v>1.61713</v>
      </c>
      <c r="P351" s="22">
        <v>204.077</v>
      </c>
      <c r="Q351" s="22">
        <v>-1.19446E-2</v>
      </c>
      <c r="R351" s="22">
        <v>341</v>
      </c>
      <c r="S351" s="22">
        <v>1.61652</v>
      </c>
      <c r="T351">
        <f t="shared" si="62"/>
        <v>11.944599999999999</v>
      </c>
      <c r="U351">
        <f t="shared" si="63"/>
        <v>19.315970997999997</v>
      </c>
      <c r="X351" s="9"/>
      <c r="Y351" s="22">
        <v>8.2855200000000004E-2</v>
      </c>
      <c r="Z351" s="22">
        <v>321.846</v>
      </c>
      <c r="AA351" s="22">
        <v>-1.7105100000000002E-2</v>
      </c>
      <c r="AB351" s="22">
        <v>341</v>
      </c>
      <c r="AC351" s="22">
        <v>8.2275399999999999E-2</v>
      </c>
      <c r="AD351">
        <f t="shared" si="64"/>
        <v>17.1051</v>
      </c>
      <c r="AE351">
        <f t="shared" si="65"/>
        <v>1.4172464815200001</v>
      </c>
      <c r="AF351" s="9"/>
      <c r="AG351" s="22">
        <v>1.61713</v>
      </c>
      <c r="AH351" s="22">
        <v>387.21199999999999</v>
      </c>
      <c r="AI351" s="22">
        <v>-1.1853000000000001E-2</v>
      </c>
      <c r="AJ351" s="22">
        <v>341</v>
      </c>
      <c r="AK351" s="22">
        <v>1.6162099999999999</v>
      </c>
      <c r="AL351">
        <f t="shared" si="66"/>
        <v>11.853000000000002</v>
      </c>
      <c r="AM351">
        <f t="shared" si="67"/>
        <v>19.167841890000002</v>
      </c>
      <c r="AP351" s="9"/>
      <c r="AQ351" s="22">
        <v>8.2855200000000004E-2</v>
      </c>
      <c r="AR351" s="22">
        <v>476.51400000000001</v>
      </c>
      <c r="AS351" s="22">
        <v>-1.7059299999999999E-2</v>
      </c>
      <c r="AT351" s="22">
        <v>341</v>
      </c>
      <c r="AU351" s="22">
        <v>8.2366900000000007E-2</v>
      </c>
      <c r="AV351">
        <f t="shared" si="68"/>
        <v>17.0593</v>
      </c>
      <c r="AW351">
        <f t="shared" si="69"/>
        <v>1.4134517133600002</v>
      </c>
      <c r="AX351" s="9"/>
      <c r="AY351" s="22">
        <v>1.61713</v>
      </c>
      <c r="AZ351" s="22">
        <v>553.53899999999999</v>
      </c>
      <c r="BA351" s="22">
        <v>-1.14746E-2</v>
      </c>
      <c r="BB351" s="22">
        <v>341</v>
      </c>
      <c r="BC351" s="22">
        <v>1.61652</v>
      </c>
      <c r="BD351">
        <f t="shared" si="70"/>
        <v>11.474600000000001</v>
      </c>
      <c r="BE351">
        <f t="shared" si="71"/>
        <v>18.555919897999999</v>
      </c>
    </row>
    <row r="352" spans="6:57">
      <c r="F352" s="9"/>
      <c r="G352" s="22">
        <v>7.7819799999999995E-2</v>
      </c>
      <c r="H352" s="22">
        <v>110.214</v>
      </c>
      <c r="I352" s="22">
        <v>-1.7175300000000001E-2</v>
      </c>
      <c r="J352" s="22">
        <v>342</v>
      </c>
      <c r="K352" s="22">
        <v>7.7270500000000006E-2</v>
      </c>
      <c r="L352">
        <f t="shared" si="60"/>
        <v>17.1753</v>
      </c>
      <c r="M352">
        <f t="shared" si="61"/>
        <v>1.3365784109399999</v>
      </c>
      <c r="N352" s="9"/>
      <c r="O352" s="22">
        <v>1.62216</v>
      </c>
      <c r="P352" s="22">
        <v>204.178</v>
      </c>
      <c r="Q352" s="22">
        <v>-1.14746E-2</v>
      </c>
      <c r="R352" s="22">
        <v>342</v>
      </c>
      <c r="S352" s="22">
        <v>1.6210899999999999</v>
      </c>
      <c r="T352">
        <f t="shared" si="62"/>
        <v>11.474600000000001</v>
      </c>
      <c r="U352">
        <f t="shared" si="63"/>
        <v>18.613637136000001</v>
      </c>
      <c r="X352" s="9"/>
      <c r="Y352" s="22">
        <v>7.7819799999999995E-2</v>
      </c>
      <c r="Z352" s="22">
        <v>321.947</v>
      </c>
      <c r="AA352" s="22">
        <v>-1.7120400000000001E-2</v>
      </c>
      <c r="AB352" s="22">
        <v>342</v>
      </c>
      <c r="AC352" s="22">
        <v>7.7178999999999998E-2</v>
      </c>
      <c r="AD352">
        <f t="shared" si="64"/>
        <v>17.1204</v>
      </c>
      <c r="AE352">
        <f t="shared" si="65"/>
        <v>1.3323061039199999</v>
      </c>
      <c r="AF352" s="9"/>
      <c r="AG352" s="22">
        <v>1.62216</v>
      </c>
      <c r="AH352" s="22">
        <v>387.31299999999999</v>
      </c>
      <c r="AI352" s="22">
        <v>-1.15356E-2</v>
      </c>
      <c r="AJ352" s="22">
        <v>342</v>
      </c>
      <c r="AK352" s="22">
        <v>1.62201</v>
      </c>
      <c r="AL352">
        <f t="shared" si="66"/>
        <v>11.535600000000001</v>
      </c>
      <c r="AM352">
        <f t="shared" si="67"/>
        <v>18.712588896</v>
      </c>
      <c r="AP352" s="9"/>
      <c r="AQ352" s="22">
        <v>7.7819799999999995E-2</v>
      </c>
      <c r="AR352" s="22">
        <v>476.61399999999998</v>
      </c>
      <c r="AS352" s="22">
        <v>-1.7065400000000001E-2</v>
      </c>
      <c r="AT352" s="22">
        <v>342</v>
      </c>
      <c r="AU352" s="22">
        <v>7.7300999999999995E-2</v>
      </c>
      <c r="AV352">
        <f t="shared" si="68"/>
        <v>17.0654</v>
      </c>
      <c r="AW352">
        <f t="shared" si="69"/>
        <v>1.3280260149199998</v>
      </c>
      <c r="AX352" s="9"/>
      <c r="AY352" s="22">
        <v>1.62216</v>
      </c>
      <c r="AZ352" s="22">
        <v>553.64</v>
      </c>
      <c r="BA352" s="22">
        <v>-1.12061E-2</v>
      </c>
      <c r="BB352" s="22">
        <v>342</v>
      </c>
      <c r="BC352" s="22">
        <v>1.6214</v>
      </c>
      <c r="BD352">
        <f t="shared" si="70"/>
        <v>11.206099999999999</v>
      </c>
      <c r="BE352">
        <f t="shared" si="71"/>
        <v>18.178087175999998</v>
      </c>
    </row>
    <row r="353" spans="6:57">
      <c r="F353" s="9"/>
      <c r="G353" s="22">
        <v>7.2784399999999999E-2</v>
      </c>
      <c r="H353" s="22">
        <v>110.315</v>
      </c>
      <c r="I353" s="22">
        <v>-1.7172199999999999E-2</v>
      </c>
      <c r="J353" s="22">
        <v>343</v>
      </c>
      <c r="K353" s="22">
        <v>7.2143600000000002E-2</v>
      </c>
      <c r="L353">
        <f t="shared" si="60"/>
        <v>17.1722</v>
      </c>
      <c r="M353">
        <f t="shared" si="61"/>
        <v>1.24986827368</v>
      </c>
      <c r="N353" s="9"/>
      <c r="O353" s="22">
        <v>1.6272</v>
      </c>
      <c r="P353" s="22">
        <v>204.279</v>
      </c>
      <c r="Q353" s="22">
        <v>-1.1080899999999999E-2</v>
      </c>
      <c r="R353" s="22">
        <v>343</v>
      </c>
      <c r="S353" s="22">
        <v>1.62659</v>
      </c>
      <c r="T353">
        <f t="shared" si="62"/>
        <v>11.0809</v>
      </c>
      <c r="U353">
        <f t="shared" si="63"/>
        <v>18.030840479999998</v>
      </c>
      <c r="X353" s="9"/>
      <c r="Y353" s="22">
        <v>7.2784399999999999E-2</v>
      </c>
      <c r="Z353" s="22">
        <v>322.048</v>
      </c>
      <c r="AA353" s="22">
        <v>-1.7117299999999998E-2</v>
      </c>
      <c r="AB353" s="22">
        <v>343</v>
      </c>
      <c r="AC353" s="22">
        <v>7.2174100000000005E-2</v>
      </c>
      <c r="AD353">
        <f t="shared" si="64"/>
        <v>17.1173</v>
      </c>
      <c r="AE353">
        <f t="shared" si="65"/>
        <v>1.2458724101200001</v>
      </c>
      <c r="AF353" s="9"/>
      <c r="AG353" s="22">
        <v>1.6272</v>
      </c>
      <c r="AH353" s="22">
        <v>387.41399999999999</v>
      </c>
      <c r="AI353" s="22">
        <v>-1.1395300000000001E-2</v>
      </c>
      <c r="AJ353" s="22">
        <v>343</v>
      </c>
      <c r="AK353" s="22">
        <v>1.62598</v>
      </c>
      <c r="AL353">
        <f t="shared" si="66"/>
        <v>11.395300000000001</v>
      </c>
      <c r="AM353">
        <f t="shared" si="67"/>
        <v>18.542432160000001</v>
      </c>
      <c r="AP353" s="9"/>
      <c r="AQ353" s="22">
        <v>7.2784399999999999E-2</v>
      </c>
      <c r="AR353" s="22">
        <v>476.71499999999997</v>
      </c>
      <c r="AS353" s="22">
        <v>-1.70685E-2</v>
      </c>
      <c r="AT353" s="22">
        <v>343</v>
      </c>
      <c r="AU353" s="22">
        <v>7.2143600000000002E-2</v>
      </c>
      <c r="AV353">
        <f t="shared" si="68"/>
        <v>17.0685</v>
      </c>
      <c r="AW353">
        <f t="shared" si="69"/>
        <v>1.2423205314000001</v>
      </c>
      <c r="AX353" s="9"/>
      <c r="AY353" s="22">
        <v>1.6272</v>
      </c>
      <c r="AZ353" s="22">
        <v>553.74</v>
      </c>
      <c r="BA353" s="22">
        <v>-1.0903899999999999E-2</v>
      </c>
      <c r="BB353" s="22">
        <v>343</v>
      </c>
      <c r="BC353" s="22">
        <v>1.6262799999999999</v>
      </c>
      <c r="BD353">
        <f t="shared" si="70"/>
        <v>10.9039</v>
      </c>
      <c r="BE353">
        <f t="shared" si="71"/>
        <v>17.74282608</v>
      </c>
    </row>
    <row r="354" spans="6:57">
      <c r="F354" s="9"/>
      <c r="G354" s="22">
        <v>6.7749000000000004E-2</v>
      </c>
      <c r="H354" s="22">
        <v>110.416</v>
      </c>
      <c r="I354" s="22">
        <v>-1.7172199999999999E-2</v>
      </c>
      <c r="J354" s="22">
        <v>344</v>
      </c>
      <c r="K354" s="22">
        <v>6.7199700000000001E-2</v>
      </c>
      <c r="L354">
        <f t="shared" si="60"/>
        <v>17.1722</v>
      </c>
      <c r="M354">
        <f t="shared" si="61"/>
        <v>1.1633993778</v>
      </c>
      <c r="N354" s="9"/>
      <c r="O354" s="22">
        <v>1.6322300000000001</v>
      </c>
      <c r="P354" s="22">
        <v>204.37899999999999</v>
      </c>
      <c r="Q354" s="22">
        <v>-1.0577400000000001E-2</v>
      </c>
      <c r="R354" s="22">
        <v>344</v>
      </c>
      <c r="S354" s="22">
        <v>1.63147</v>
      </c>
      <c r="T354">
        <f t="shared" si="62"/>
        <v>10.577400000000001</v>
      </c>
      <c r="U354">
        <f t="shared" si="63"/>
        <v>17.264749602000002</v>
      </c>
      <c r="X354" s="9"/>
      <c r="Y354" s="22">
        <v>6.7749000000000004E-2</v>
      </c>
      <c r="Z354" s="22">
        <v>322.14800000000002</v>
      </c>
      <c r="AA354" s="22">
        <v>-1.7114299999999999E-2</v>
      </c>
      <c r="AB354" s="22">
        <v>344</v>
      </c>
      <c r="AC354" s="22">
        <v>6.7169199999999998E-2</v>
      </c>
      <c r="AD354">
        <f t="shared" si="64"/>
        <v>17.1143</v>
      </c>
      <c r="AE354">
        <f t="shared" si="65"/>
        <v>1.1594767107000001</v>
      </c>
      <c r="AF354" s="9"/>
      <c r="AG354" s="22">
        <v>1.6322300000000001</v>
      </c>
      <c r="AH354" s="22">
        <v>387.51400000000001</v>
      </c>
      <c r="AI354" s="22">
        <v>-1.1151100000000001E-2</v>
      </c>
      <c r="AJ354" s="22">
        <v>344</v>
      </c>
      <c r="AK354" s="22">
        <v>1.63086</v>
      </c>
      <c r="AL354">
        <f t="shared" si="66"/>
        <v>11.151100000000001</v>
      </c>
      <c r="AM354">
        <f t="shared" si="67"/>
        <v>18.201159953000001</v>
      </c>
      <c r="AP354" s="9"/>
      <c r="AQ354" s="22">
        <v>6.7749000000000004E-2</v>
      </c>
      <c r="AR354" s="22">
        <v>476.81599999999997</v>
      </c>
      <c r="AS354" s="22">
        <v>-1.7059299999999999E-2</v>
      </c>
      <c r="AT354" s="22">
        <v>344</v>
      </c>
      <c r="AU354" s="22">
        <v>6.7260700000000007E-2</v>
      </c>
      <c r="AV354">
        <f t="shared" si="68"/>
        <v>17.0593</v>
      </c>
      <c r="AW354">
        <f t="shared" si="69"/>
        <v>1.1557505157000001</v>
      </c>
      <c r="AX354" s="9"/>
      <c r="AY354" s="22">
        <v>1.6322300000000001</v>
      </c>
      <c r="AZ354" s="22">
        <v>553.84100000000001</v>
      </c>
      <c r="BA354" s="22">
        <v>-1.0632300000000001E-2</v>
      </c>
      <c r="BB354" s="22">
        <v>344</v>
      </c>
      <c r="BC354" s="22">
        <v>1.63208</v>
      </c>
      <c r="BD354">
        <f t="shared" si="70"/>
        <v>10.632300000000001</v>
      </c>
      <c r="BE354">
        <f t="shared" si="71"/>
        <v>17.354359029000001</v>
      </c>
    </row>
    <row r="355" spans="6:57">
      <c r="F355" s="9"/>
      <c r="G355" s="22">
        <v>6.2713599999999994E-2</v>
      </c>
      <c r="H355" s="22">
        <v>110.517</v>
      </c>
      <c r="I355" s="22">
        <v>-1.7175300000000001E-2</v>
      </c>
      <c r="J355" s="22">
        <v>345</v>
      </c>
      <c r="K355" s="22">
        <v>6.2042199999999999E-2</v>
      </c>
      <c r="L355">
        <f t="shared" si="60"/>
        <v>17.1753</v>
      </c>
      <c r="M355">
        <f t="shared" si="61"/>
        <v>1.07712489408</v>
      </c>
      <c r="N355" s="9"/>
      <c r="O355" s="22">
        <v>1.63727</v>
      </c>
      <c r="P355" s="22">
        <v>204.48</v>
      </c>
      <c r="Q355" s="22">
        <v>-1.0241699999999999E-2</v>
      </c>
      <c r="R355" s="22">
        <v>345</v>
      </c>
      <c r="S355" s="22">
        <v>1.63635</v>
      </c>
      <c r="T355">
        <f t="shared" si="62"/>
        <v>10.2417</v>
      </c>
      <c r="U355">
        <f t="shared" si="63"/>
        <v>16.768428158999999</v>
      </c>
      <c r="X355" s="9"/>
      <c r="Y355" s="22">
        <v>6.2713599999999994E-2</v>
      </c>
      <c r="Z355" s="22">
        <v>322.24900000000002</v>
      </c>
      <c r="AA355" s="22">
        <v>-1.71082E-2</v>
      </c>
      <c r="AB355" s="22">
        <v>345</v>
      </c>
      <c r="AC355" s="22">
        <v>6.2072799999999997E-2</v>
      </c>
      <c r="AD355">
        <f t="shared" si="64"/>
        <v>17.1082</v>
      </c>
      <c r="AE355">
        <f t="shared" si="65"/>
        <v>1.0729168115199998</v>
      </c>
      <c r="AF355" s="9"/>
      <c r="AG355" s="22">
        <v>1.63727</v>
      </c>
      <c r="AH355" s="22">
        <v>387.61500000000001</v>
      </c>
      <c r="AI355" s="22">
        <v>-1.0903899999999999E-2</v>
      </c>
      <c r="AJ355" s="22">
        <v>345</v>
      </c>
      <c r="AK355" s="22">
        <v>1.63696</v>
      </c>
      <c r="AL355">
        <f t="shared" si="66"/>
        <v>10.9039</v>
      </c>
      <c r="AM355">
        <f t="shared" si="67"/>
        <v>17.852628353</v>
      </c>
      <c r="AP355" s="9"/>
      <c r="AQ355" s="22">
        <v>6.2713599999999994E-2</v>
      </c>
      <c r="AR355" s="22">
        <v>476.91699999999997</v>
      </c>
      <c r="AS355" s="22">
        <v>-1.70715E-2</v>
      </c>
      <c r="AT355" s="22">
        <v>345</v>
      </c>
      <c r="AU355" s="22">
        <v>6.2225299999999997E-2</v>
      </c>
      <c r="AV355">
        <f t="shared" si="68"/>
        <v>17.0715</v>
      </c>
      <c r="AW355">
        <f t="shared" si="69"/>
        <v>1.0706152223999998</v>
      </c>
      <c r="AX355" s="9"/>
      <c r="AY355" s="22">
        <v>1.63727</v>
      </c>
      <c r="AZ355" s="22">
        <v>553.94200000000001</v>
      </c>
      <c r="BA355" s="22">
        <v>-1.0372899999999999E-2</v>
      </c>
      <c r="BB355" s="22">
        <v>345</v>
      </c>
      <c r="BC355" s="22">
        <v>1.63635</v>
      </c>
      <c r="BD355">
        <f t="shared" si="70"/>
        <v>10.3729</v>
      </c>
      <c r="BE355">
        <f t="shared" si="71"/>
        <v>16.983237982999999</v>
      </c>
    </row>
    <row r="356" spans="6:57">
      <c r="F356" s="9"/>
      <c r="G356" s="22">
        <v>5.7678199999999999E-2</v>
      </c>
      <c r="H356" s="22">
        <v>110.617</v>
      </c>
      <c r="I356" s="22">
        <v>-1.7181399999999999E-2</v>
      </c>
      <c r="J356" s="22">
        <v>346</v>
      </c>
      <c r="K356" s="22">
        <v>5.7159399999999999E-2</v>
      </c>
      <c r="L356">
        <f t="shared" si="60"/>
        <v>17.1814</v>
      </c>
      <c r="M356">
        <f t="shared" si="61"/>
        <v>0.99099222547999999</v>
      </c>
      <c r="N356" s="9"/>
      <c r="O356" s="22">
        <v>1.6423000000000001</v>
      </c>
      <c r="P356" s="22">
        <v>204.58099999999999</v>
      </c>
      <c r="Q356" s="22">
        <v>-9.9548299999999996E-3</v>
      </c>
      <c r="R356" s="22">
        <v>346</v>
      </c>
      <c r="S356" s="22">
        <v>1.64124</v>
      </c>
      <c r="T356">
        <f t="shared" si="62"/>
        <v>9.9548299999999994</v>
      </c>
      <c r="U356">
        <f t="shared" si="63"/>
        <v>16.348817309000001</v>
      </c>
      <c r="X356" s="9"/>
      <c r="Y356" s="22">
        <v>5.7678199999999999E-2</v>
      </c>
      <c r="Z356" s="22">
        <v>322.35000000000002</v>
      </c>
      <c r="AA356" s="22">
        <v>-1.7132600000000001E-2</v>
      </c>
      <c r="AB356" s="22">
        <v>346</v>
      </c>
      <c r="AC356" s="22">
        <v>5.7037400000000002E-2</v>
      </c>
      <c r="AD356">
        <f t="shared" si="64"/>
        <v>17.1326</v>
      </c>
      <c r="AE356">
        <f t="shared" si="65"/>
        <v>0.98817752932000003</v>
      </c>
      <c r="AF356" s="9"/>
      <c r="AG356" s="22">
        <v>1.6423000000000001</v>
      </c>
      <c r="AH356" s="22">
        <v>387.71600000000001</v>
      </c>
      <c r="AI356" s="22">
        <v>-1.0434000000000001E-2</v>
      </c>
      <c r="AJ356" s="22">
        <v>346</v>
      </c>
      <c r="AK356" s="22">
        <v>1.64154</v>
      </c>
      <c r="AL356">
        <f t="shared" si="66"/>
        <v>10.434000000000001</v>
      </c>
      <c r="AM356">
        <f t="shared" si="67"/>
        <v>17.135758200000001</v>
      </c>
      <c r="AP356" s="9"/>
      <c r="AQ356" s="22">
        <v>5.7678199999999999E-2</v>
      </c>
      <c r="AR356" s="22">
        <v>477.017</v>
      </c>
      <c r="AS356" s="22">
        <v>-1.70715E-2</v>
      </c>
      <c r="AT356" s="22">
        <v>346</v>
      </c>
      <c r="AU356" s="22">
        <v>5.7159399999999999E-2</v>
      </c>
      <c r="AV356">
        <f t="shared" si="68"/>
        <v>17.0715</v>
      </c>
      <c r="AW356">
        <f t="shared" si="69"/>
        <v>0.98465339129999996</v>
      </c>
      <c r="AX356" s="9"/>
      <c r="AY356" s="22">
        <v>1.6423000000000001</v>
      </c>
      <c r="AZ356" s="22">
        <v>554.04300000000001</v>
      </c>
      <c r="BA356" s="22">
        <v>-9.9182100000000002E-3</v>
      </c>
      <c r="BB356" s="22">
        <v>346</v>
      </c>
      <c r="BC356" s="22">
        <v>1.64154</v>
      </c>
      <c r="BD356">
        <f t="shared" si="70"/>
        <v>9.9182100000000002</v>
      </c>
      <c r="BE356">
        <f t="shared" si="71"/>
        <v>16.288676283000001</v>
      </c>
    </row>
    <row r="357" spans="6:57">
      <c r="F357" s="9"/>
      <c r="G357" s="22">
        <v>5.2642799999999997E-2</v>
      </c>
      <c r="H357" s="22">
        <v>110.718</v>
      </c>
      <c r="I357" s="22">
        <v>-1.71906E-2</v>
      </c>
      <c r="J357" s="22">
        <v>347</v>
      </c>
      <c r="K357" s="22">
        <v>5.2093500000000001E-2</v>
      </c>
      <c r="L357">
        <f t="shared" si="60"/>
        <v>17.1906</v>
      </c>
      <c r="M357">
        <f t="shared" si="61"/>
        <v>0.90496131767999999</v>
      </c>
      <c r="N357" s="9"/>
      <c r="O357" s="22">
        <v>1.64734</v>
      </c>
      <c r="P357" s="22">
        <v>204.68199999999999</v>
      </c>
      <c r="Q357" s="22">
        <v>-9.5703100000000003E-3</v>
      </c>
      <c r="R357" s="22">
        <v>347</v>
      </c>
      <c r="S357" s="22">
        <v>1.64703</v>
      </c>
      <c r="T357">
        <f t="shared" si="62"/>
        <v>9.570310000000001</v>
      </c>
      <c r="U357">
        <f t="shared" si="63"/>
        <v>15.765554475400002</v>
      </c>
      <c r="X357" s="9"/>
      <c r="Y357" s="22">
        <v>5.2642799999999997E-2</v>
      </c>
      <c r="Z357" s="22">
        <v>322.45100000000002</v>
      </c>
      <c r="AA357" s="22">
        <v>-1.7129499999999999E-2</v>
      </c>
      <c r="AB357" s="22">
        <v>347</v>
      </c>
      <c r="AC357" s="22">
        <v>5.2154499999999999E-2</v>
      </c>
      <c r="AD357">
        <f t="shared" si="64"/>
        <v>17.1295</v>
      </c>
      <c r="AE357">
        <f t="shared" si="65"/>
        <v>0.90174484259999999</v>
      </c>
      <c r="AF357" s="9"/>
      <c r="AG357" s="22">
        <v>1.64734</v>
      </c>
      <c r="AH357" s="22">
        <v>387.81700000000001</v>
      </c>
      <c r="AI357" s="22">
        <v>-9.6984900000000006E-3</v>
      </c>
      <c r="AJ357" s="22">
        <v>347</v>
      </c>
      <c r="AK357" s="22">
        <v>1.64612</v>
      </c>
      <c r="AL357">
        <f t="shared" si="66"/>
        <v>9.6984900000000014</v>
      </c>
      <c r="AM357">
        <f t="shared" si="67"/>
        <v>15.976710516600003</v>
      </c>
      <c r="AP357" s="9"/>
      <c r="AQ357" s="22">
        <v>5.2642799999999997E-2</v>
      </c>
      <c r="AR357" s="22">
        <v>477.11799999999999</v>
      </c>
      <c r="AS357" s="22">
        <v>-1.7077599999999998E-2</v>
      </c>
      <c r="AT357" s="22">
        <v>347</v>
      </c>
      <c r="AU357" s="22">
        <v>5.2062999999999998E-2</v>
      </c>
      <c r="AV357">
        <f t="shared" si="68"/>
        <v>17.077599999999997</v>
      </c>
      <c r="AW357">
        <f t="shared" si="69"/>
        <v>0.89901268127999978</v>
      </c>
      <c r="AX357" s="9"/>
      <c r="AY357" s="22">
        <v>1.64734</v>
      </c>
      <c r="AZ357" s="22">
        <v>554.14300000000003</v>
      </c>
      <c r="BA357" s="22">
        <v>-9.4604500000000005E-3</v>
      </c>
      <c r="BB357" s="22">
        <v>347</v>
      </c>
      <c r="BC357" s="22">
        <v>1.64612</v>
      </c>
      <c r="BD357">
        <f t="shared" si="70"/>
        <v>9.4604499999999998</v>
      </c>
      <c r="BE357">
        <f t="shared" si="71"/>
        <v>15.584577703000001</v>
      </c>
    </row>
    <row r="358" spans="6:57">
      <c r="F358" s="9"/>
      <c r="G358" s="22">
        <v>4.7607400000000001E-2</v>
      </c>
      <c r="H358" s="22">
        <v>110.819</v>
      </c>
      <c r="I358" s="22">
        <v>-1.71936E-2</v>
      </c>
      <c r="J358" s="22">
        <v>348</v>
      </c>
      <c r="K358" s="22">
        <v>4.7543299999999997E-2</v>
      </c>
      <c r="L358">
        <f t="shared" si="60"/>
        <v>17.1936</v>
      </c>
      <c r="M358">
        <f t="shared" si="61"/>
        <v>0.81854259264000007</v>
      </c>
      <c r="N358" s="9"/>
      <c r="O358" s="22">
        <v>1.6523699999999999</v>
      </c>
      <c r="P358" s="22">
        <v>204.78200000000001</v>
      </c>
      <c r="Q358" s="22">
        <v>-8.9660599999999997E-3</v>
      </c>
      <c r="R358" s="22">
        <v>348</v>
      </c>
      <c r="S358" s="22">
        <v>1.6519200000000001</v>
      </c>
      <c r="T358">
        <f t="shared" si="62"/>
        <v>8.9660599999999988</v>
      </c>
      <c r="U358">
        <f t="shared" si="63"/>
        <v>14.815248562199997</v>
      </c>
      <c r="X358" s="9"/>
      <c r="Y358" s="22">
        <v>4.7607400000000001E-2</v>
      </c>
      <c r="Z358" s="22">
        <v>322.55099999999999</v>
      </c>
      <c r="AA358" s="22">
        <v>-1.7132600000000001E-2</v>
      </c>
      <c r="AB358" s="22">
        <v>348</v>
      </c>
      <c r="AC358" s="22">
        <v>4.7586099999999999E-2</v>
      </c>
      <c r="AD358">
        <f t="shared" si="64"/>
        <v>17.1326</v>
      </c>
      <c r="AE358">
        <f t="shared" si="65"/>
        <v>0.81563854124000001</v>
      </c>
      <c r="AF358" s="9"/>
      <c r="AG358" s="22">
        <v>1.6523699999999999</v>
      </c>
      <c r="AH358" s="22">
        <v>387.91699999999997</v>
      </c>
      <c r="AI358" s="22">
        <v>-9.2651399999999998E-3</v>
      </c>
      <c r="AJ358" s="22">
        <v>348</v>
      </c>
      <c r="AK358" s="22">
        <v>1.6513100000000001</v>
      </c>
      <c r="AL358">
        <f t="shared" si="66"/>
        <v>9.2651400000000006</v>
      </c>
      <c r="AM358">
        <f t="shared" si="67"/>
        <v>15.309439381800001</v>
      </c>
      <c r="AP358" s="9"/>
      <c r="AQ358" s="22">
        <v>4.7607400000000001E-2</v>
      </c>
      <c r="AR358" s="22">
        <v>477.21899999999999</v>
      </c>
      <c r="AS358" s="22">
        <v>-1.7092900000000001E-2</v>
      </c>
      <c r="AT358" s="22">
        <v>348</v>
      </c>
      <c r="AU358" s="22">
        <v>4.7524999999999998E-2</v>
      </c>
      <c r="AV358">
        <f t="shared" si="68"/>
        <v>17.0929</v>
      </c>
      <c r="AW358">
        <f t="shared" si="69"/>
        <v>0.81374852746000004</v>
      </c>
      <c r="AX358" s="9"/>
      <c r="AY358" s="22">
        <v>1.6523699999999999</v>
      </c>
      <c r="AZ358" s="22">
        <v>554.24400000000003</v>
      </c>
      <c r="BA358" s="22">
        <v>-9.0118400000000001E-3</v>
      </c>
      <c r="BB358" s="22">
        <v>348</v>
      </c>
      <c r="BC358" s="22">
        <v>1.6513100000000001</v>
      </c>
      <c r="BD358">
        <f t="shared" si="70"/>
        <v>9.0118399999999994</v>
      </c>
      <c r="BE358">
        <f t="shared" si="71"/>
        <v>14.890894060799997</v>
      </c>
    </row>
    <row r="359" spans="6:57">
      <c r="F359" s="9"/>
      <c r="G359" s="22">
        <v>4.2571999999999999E-2</v>
      </c>
      <c r="H359" s="22">
        <v>110.919</v>
      </c>
      <c r="I359" s="22">
        <v>-1.71906E-2</v>
      </c>
      <c r="J359" s="22">
        <v>349</v>
      </c>
      <c r="K359" s="22">
        <v>4.2474400000000002E-2</v>
      </c>
      <c r="L359">
        <f t="shared" si="60"/>
        <v>17.1906</v>
      </c>
      <c r="M359">
        <f t="shared" si="61"/>
        <v>0.73183822320000003</v>
      </c>
      <c r="N359" s="9"/>
      <c r="O359" s="22">
        <v>1.65741</v>
      </c>
      <c r="P359" s="22">
        <v>204.88300000000001</v>
      </c>
      <c r="Q359" s="22">
        <v>-8.8439899999999995E-3</v>
      </c>
      <c r="R359" s="22">
        <v>349</v>
      </c>
      <c r="S359" s="22">
        <v>1.6568000000000001</v>
      </c>
      <c r="T359">
        <f t="shared" si="62"/>
        <v>8.8439899999999998</v>
      </c>
      <c r="U359">
        <f t="shared" si="63"/>
        <v>14.6581174659</v>
      </c>
      <c r="X359" s="9"/>
      <c r="Y359" s="22">
        <v>4.2571999999999999E-2</v>
      </c>
      <c r="Z359" s="22">
        <v>322.65199999999999</v>
      </c>
      <c r="AA359" s="22">
        <v>-1.7144800000000002E-2</v>
      </c>
      <c r="AB359" s="22">
        <v>349</v>
      </c>
      <c r="AC359" s="22">
        <v>4.2364499999999999E-2</v>
      </c>
      <c r="AD359">
        <f t="shared" si="64"/>
        <v>17.1448</v>
      </c>
      <c r="AE359">
        <f t="shared" si="65"/>
        <v>0.7298884256</v>
      </c>
      <c r="AF359" s="9"/>
      <c r="AG359" s="22">
        <v>1.65741</v>
      </c>
      <c r="AH359" s="22">
        <v>388.01799999999997</v>
      </c>
      <c r="AI359" s="22">
        <v>-8.8806200000000005E-3</v>
      </c>
      <c r="AJ359" s="22">
        <v>349</v>
      </c>
      <c r="AK359" s="22">
        <v>1.6568000000000001</v>
      </c>
      <c r="AL359">
        <f t="shared" si="66"/>
        <v>8.8806200000000004</v>
      </c>
      <c r="AM359">
        <f t="shared" si="67"/>
        <v>14.718828394200001</v>
      </c>
      <c r="AP359" s="9"/>
      <c r="AQ359" s="22">
        <v>4.2571999999999999E-2</v>
      </c>
      <c r="AR359" s="22">
        <v>477.31900000000002</v>
      </c>
      <c r="AS359" s="22">
        <v>-1.7092900000000001E-2</v>
      </c>
      <c r="AT359" s="22">
        <v>349</v>
      </c>
      <c r="AU359" s="22">
        <v>4.2489600000000002E-2</v>
      </c>
      <c r="AV359">
        <f t="shared" si="68"/>
        <v>17.0929</v>
      </c>
      <c r="AW359">
        <f t="shared" si="69"/>
        <v>0.72767893880000001</v>
      </c>
      <c r="AX359" s="9"/>
      <c r="AY359" s="22">
        <v>1.65741</v>
      </c>
      <c r="AZ359" s="22">
        <v>554.34500000000003</v>
      </c>
      <c r="BA359" s="22">
        <v>-8.5174599999999993E-3</v>
      </c>
      <c r="BB359" s="22">
        <v>349</v>
      </c>
      <c r="BC359" s="22">
        <v>1.6568000000000001</v>
      </c>
      <c r="BD359">
        <f t="shared" si="70"/>
        <v>8.5174599999999998</v>
      </c>
      <c r="BE359">
        <f t="shared" si="71"/>
        <v>14.116923378599999</v>
      </c>
    </row>
    <row r="360" spans="6:57">
      <c r="F360" s="9"/>
      <c r="G360" s="22">
        <v>3.7536600000000003E-2</v>
      </c>
      <c r="H360" s="22">
        <v>111.02</v>
      </c>
      <c r="I360" s="22">
        <v>-1.7211899999999999E-2</v>
      </c>
      <c r="J360" s="22">
        <v>350</v>
      </c>
      <c r="K360" s="22">
        <v>3.7435900000000001E-2</v>
      </c>
      <c r="L360">
        <f t="shared" si="60"/>
        <v>17.2119</v>
      </c>
      <c r="M360">
        <f t="shared" si="61"/>
        <v>0.64607620554</v>
      </c>
      <c r="N360" s="9"/>
      <c r="O360" s="22">
        <v>1.66245</v>
      </c>
      <c r="P360" s="22">
        <v>204.98400000000001</v>
      </c>
      <c r="Q360" s="22">
        <v>-8.4259000000000001E-3</v>
      </c>
      <c r="R360" s="22">
        <v>350</v>
      </c>
      <c r="S360" s="22">
        <v>1.6619900000000001</v>
      </c>
      <c r="T360">
        <f t="shared" si="62"/>
        <v>8.4259000000000004</v>
      </c>
      <c r="U360">
        <f t="shared" si="63"/>
        <v>14.007637455000001</v>
      </c>
      <c r="X360" s="9"/>
      <c r="Y360" s="22">
        <v>3.7536600000000003E-2</v>
      </c>
      <c r="Z360" s="22">
        <v>322.75299999999999</v>
      </c>
      <c r="AA360" s="22">
        <v>-1.71387E-2</v>
      </c>
      <c r="AB360" s="22">
        <v>350</v>
      </c>
      <c r="AC360" s="22">
        <v>3.7426800000000003E-2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388.11900000000003</v>
      </c>
      <c r="AI360" s="22">
        <v>-8.5144000000000001E-3</v>
      </c>
      <c r="AJ360" s="22">
        <v>350</v>
      </c>
      <c r="AK360" s="22">
        <v>1.66168</v>
      </c>
      <c r="AL360">
        <f t="shared" si="66"/>
        <v>8.5144000000000002</v>
      </c>
      <c r="AM360">
        <f t="shared" si="67"/>
        <v>14.15476428</v>
      </c>
      <c r="AP360" s="9"/>
      <c r="AQ360" s="22">
        <v>3.7536600000000003E-2</v>
      </c>
      <c r="AR360" s="22">
        <v>477.42</v>
      </c>
      <c r="AS360" s="22">
        <v>-1.7092900000000001E-2</v>
      </c>
      <c r="AT360" s="22">
        <v>350</v>
      </c>
      <c r="AU360" s="22">
        <v>3.7448099999999998E-2</v>
      </c>
      <c r="AV360">
        <f t="shared" si="68"/>
        <v>17.0929</v>
      </c>
      <c r="AW360">
        <f t="shared" si="69"/>
        <v>0.64160935014000009</v>
      </c>
      <c r="AX360" s="9"/>
      <c r="AY360" s="22">
        <v>1.66245</v>
      </c>
      <c r="AZ360" s="22">
        <v>554.44500000000005</v>
      </c>
      <c r="BA360" s="22">
        <v>-8.0718999999999999E-3</v>
      </c>
      <c r="BB360" s="22">
        <v>350</v>
      </c>
      <c r="BC360" s="22">
        <v>1.6619900000000001</v>
      </c>
      <c r="BD360">
        <f t="shared" si="70"/>
        <v>8.0718999999999994</v>
      </c>
      <c r="BE360">
        <f t="shared" si="71"/>
        <v>13.419130155</v>
      </c>
    </row>
    <row r="361" spans="6:57">
      <c r="F361" s="9"/>
      <c r="G361" s="22">
        <v>3.2501200000000001E-2</v>
      </c>
      <c r="H361" s="22">
        <v>111.121</v>
      </c>
      <c r="I361" s="22">
        <v>-1.72058E-2</v>
      </c>
      <c r="J361" s="22">
        <v>351</v>
      </c>
      <c r="K361" s="22">
        <v>3.2379199999999997E-2</v>
      </c>
      <c r="L361">
        <f t="shared" si="60"/>
        <v>17.2058</v>
      </c>
      <c r="M361">
        <f t="shared" si="61"/>
        <v>0.55920914696000001</v>
      </c>
      <c r="N361" s="9"/>
      <c r="O361" s="22">
        <v>1.6674800000000001</v>
      </c>
      <c r="P361" s="22">
        <v>205.084</v>
      </c>
      <c r="Q361" s="22">
        <v>-7.9895000000000001E-3</v>
      </c>
      <c r="R361" s="22">
        <v>351</v>
      </c>
      <c r="S361" s="22">
        <v>1.66656</v>
      </c>
      <c r="T361">
        <f t="shared" si="62"/>
        <v>7.9895000000000005</v>
      </c>
      <c r="U361">
        <f t="shared" si="63"/>
        <v>13.322331460000001</v>
      </c>
      <c r="X361" s="9"/>
      <c r="Y361" s="22">
        <v>3.2501200000000001E-2</v>
      </c>
      <c r="Z361" s="22">
        <v>322.85300000000001</v>
      </c>
      <c r="AA361" s="22">
        <v>-1.71387E-2</v>
      </c>
      <c r="AB361" s="22">
        <v>351</v>
      </c>
      <c r="AC361" s="22">
        <v>3.2372999999999999E-2</v>
      </c>
      <c r="AD361">
        <f t="shared" si="64"/>
        <v>17.1387</v>
      </c>
      <c r="AE361">
        <f t="shared" si="65"/>
        <v>0.55702831644000006</v>
      </c>
      <c r="AF361" s="9"/>
      <c r="AG361" s="22">
        <v>1.6674800000000001</v>
      </c>
      <c r="AH361" s="22">
        <v>388.21899999999999</v>
      </c>
      <c r="AI361" s="22">
        <v>-8.0230700000000002E-3</v>
      </c>
      <c r="AJ361" s="22">
        <v>351</v>
      </c>
      <c r="AK361" s="22">
        <v>1.6671800000000001</v>
      </c>
      <c r="AL361">
        <f t="shared" si="66"/>
        <v>8.0230700000000006</v>
      </c>
      <c r="AM361">
        <f t="shared" si="67"/>
        <v>13.378308763600002</v>
      </c>
      <c r="AP361" s="9"/>
      <c r="AQ361" s="22">
        <v>3.2501200000000001E-2</v>
      </c>
      <c r="AR361" s="22">
        <v>477.52100000000002</v>
      </c>
      <c r="AS361" s="22">
        <v>-1.70837E-2</v>
      </c>
      <c r="AT361" s="22">
        <v>351</v>
      </c>
      <c r="AU361" s="22">
        <v>3.2415800000000002E-2</v>
      </c>
      <c r="AV361">
        <f t="shared" si="68"/>
        <v>17.0837</v>
      </c>
      <c r="AW361">
        <f t="shared" si="69"/>
        <v>0.55524075043999999</v>
      </c>
      <c r="AX361" s="9"/>
      <c r="AY361" s="22">
        <v>1.6674800000000001</v>
      </c>
      <c r="AZ361" s="22">
        <v>554.54600000000005</v>
      </c>
      <c r="BA361" s="22">
        <v>-7.5103799999999997E-3</v>
      </c>
      <c r="BB361" s="22">
        <v>351</v>
      </c>
      <c r="BC361" s="22">
        <v>1.6668700000000001</v>
      </c>
      <c r="BD361">
        <f t="shared" si="70"/>
        <v>7.5103799999999996</v>
      </c>
      <c r="BE361">
        <f t="shared" si="71"/>
        <v>12.523408442399999</v>
      </c>
    </row>
    <row r="362" spans="6:57">
      <c r="F362" s="9"/>
      <c r="G362" s="22">
        <v>2.7465799999999999E-2</v>
      </c>
      <c r="H362" s="22">
        <v>111.221</v>
      </c>
      <c r="I362" s="22">
        <v>-1.72058E-2</v>
      </c>
      <c r="J362" s="22">
        <v>352</v>
      </c>
      <c r="K362" s="22">
        <v>2.7340699999999999E-2</v>
      </c>
      <c r="L362">
        <f t="shared" si="60"/>
        <v>17.2058</v>
      </c>
      <c r="M362">
        <f t="shared" si="61"/>
        <v>0.47257106163999996</v>
      </c>
      <c r="N362" s="9"/>
      <c r="O362" s="22">
        <v>1.67252</v>
      </c>
      <c r="P362" s="22">
        <v>205.185</v>
      </c>
      <c r="Q362" s="22">
        <v>-7.4371300000000001E-3</v>
      </c>
      <c r="R362" s="22">
        <v>352</v>
      </c>
      <c r="S362" s="22">
        <v>1.6714500000000001</v>
      </c>
      <c r="T362">
        <f t="shared" si="62"/>
        <v>7.4371299999999998</v>
      </c>
      <c r="U362">
        <f t="shared" si="63"/>
        <v>12.438748667600001</v>
      </c>
      <c r="X362" s="9"/>
      <c r="Y362" s="22">
        <v>2.7465799999999999E-2</v>
      </c>
      <c r="Z362" s="22">
        <v>322.95400000000001</v>
      </c>
      <c r="AA362" s="22">
        <v>-1.7144800000000002E-2</v>
      </c>
      <c r="AB362" s="22">
        <v>352</v>
      </c>
      <c r="AC362" s="22">
        <v>2.7288799999999998E-2</v>
      </c>
      <c r="AD362">
        <f t="shared" si="64"/>
        <v>17.1448</v>
      </c>
      <c r="AE362">
        <f t="shared" si="65"/>
        <v>0.47089564783999999</v>
      </c>
      <c r="AF362" s="9"/>
      <c r="AG362" s="22">
        <v>1.67252</v>
      </c>
      <c r="AH362" s="22">
        <v>388.32</v>
      </c>
      <c r="AI362" s="22">
        <v>-7.2784399999999997E-3</v>
      </c>
      <c r="AJ362" s="22">
        <v>352</v>
      </c>
      <c r="AK362" s="22">
        <v>1.6720600000000001</v>
      </c>
      <c r="AL362">
        <f t="shared" si="66"/>
        <v>7.2784399999999998</v>
      </c>
      <c r="AM362">
        <f t="shared" si="67"/>
        <v>12.173336468800001</v>
      </c>
      <c r="AP362" s="9"/>
      <c r="AQ362" s="22">
        <v>2.7465799999999999E-2</v>
      </c>
      <c r="AR362" s="22">
        <v>477.62200000000001</v>
      </c>
      <c r="AS362" s="22">
        <v>-1.7105100000000002E-2</v>
      </c>
      <c r="AT362" s="22">
        <v>352</v>
      </c>
      <c r="AU362" s="22">
        <v>2.7343800000000001E-2</v>
      </c>
      <c r="AV362">
        <f t="shared" si="68"/>
        <v>17.1051</v>
      </c>
      <c r="AW362">
        <f t="shared" si="69"/>
        <v>0.46980525557999997</v>
      </c>
      <c r="AX362" s="9"/>
      <c r="AY362" s="22">
        <v>1.67252</v>
      </c>
      <c r="AZ362" s="22">
        <v>554.64700000000005</v>
      </c>
      <c r="BA362" s="22">
        <v>-7.1014399999999997E-3</v>
      </c>
      <c r="BB362" s="22">
        <v>352</v>
      </c>
      <c r="BC362" s="22">
        <v>1.6717500000000001</v>
      </c>
      <c r="BD362">
        <f t="shared" si="70"/>
        <v>7.1014399999999993</v>
      </c>
      <c r="BE362">
        <f t="shared" si="71"/>
        <v>11.877300428799998</v>
      </c>
    </row>
    <row r="363" spans="6:57">
      <c r="F363" s="9"/>
      <c r="G363" s="22">
        <v>2.24304E-2</v>
      </c>
      <c r="H363" s="22">
        <v>111.322</v>
      </c>
      <c r="I363" s="22">
        <v>-1.72211E-2</v>
      </c>
      <c r="J363" s="22">
        <v>353</v>
      </c>
      <c r="K363" s="22">
        <v>2.2180200000000001E-2</v>
      </c>
      <c r="L363">
        <f t="shared" si="60"/>
        <v>17.2211</v>
      </c>
      <c r="M363">
        <f t="shared" si="61"/>
        <v>0.38627616143999999</v>
      </c>
      <c r="N363" s="9"/>
      <c r="O363" s="22">
        <v>1.6775500000000001</v>
      </c>
      <c r="P363" s="22">
        <v>205.286</v>
      </c>
      <c r="Q363" s="22">
        <v>-6.23779E-3</v>
      </c>
      <c r="R363" s="22">
        <v>353</v>
      </c>
      <c r="S363" s="22">
        <v>1.6766399999999999</v>
      </c>
      <c r="T363">
        <f t="shared" si="62"/>
        <v>6.2377900000000004</v>
      </c>
      <c r="U363">
        <f t="shared" si="63"/>
        <v>10.464204614500002</v>
      </c>
      <c r="X363" s="9"/>
      <c r="Y363" s="22">
        <v>2.24304E-2</v>
      </c>
      <c r="Z363" s="22">
        <v>323.05500000000001</v>
      </c>
      <c r="AA363" s="22">
        <v>-1.7156999999999999E-2</v>
      </c>
      <c r="AB363" s="22">
        <v>353</v>
      </c>
      <c r="AC363" s="22">
        <v>2.23083E-2</v>
      </c>
      <c r="AD363">
        <f t="shared" si="64"/>
        <v>17.157</v>
      </c>
      <c r="AE363">
        <f t="shared" si="65"/>
        <v>0.38483837279999999</v>
      </c>
      <c r="AF363" s="9"/>
      <c r="AG363" s="22">
        <v>1.6775500000000001</v>
      </c>
      <c r="AH363" s="22">
        <v>388.42099999999999</v>
      </c>
      <c r="AI363" s="22">
        <v>-6.5521199999999998E-3</v>
      </c>
      <c r="AJ363" s="22">
        <v>353</v>
      </c>
      <c r="AK363" s="22">
        <v>1.6769400000000001</v>
      </c>
      <c r="AL363">
        <f t="shared" si="66"/>
        <v>6.5521199999999995</v>
      </c>
      <c r="AM363">
        <f t="shared" si="67"/>
        <v>10.991508906</v>
      </c>
      <c r="AP363" s="9"/>
      <c r="AQ363" s="22">
        <v>2.24304E-2</v>
      </c>
      <c r="AR363" s="22">
        <v>477.72199999999998</v>
      </c>
      <c r="AS363" s="22">
        <v>-1.7092900000000001E-2</v>
      </c>
      <c r="AT363" s="22">
        <v>353</v>
      </c>
      <c r="AU363" s="22">
        <v>2.2329700000000001E-2</v>
      </c>
      <c r="AV363">
        <f t="shared" si="68"/>
        <v>17.0929</v>
      </c>
      <c r="AW363">
        <f t="shared" si="69"/>
        <v>0.38340058416</v>
      </c>
      <c r="AX363" s="9"/>
      <c r="AY363" s="22">
        <v>1.6775500000000001</v>
      </c>
      <c r="AZ363" s="22">
        <v>554.74800000000005</v>
      </c>
      <c r="BA363" s="22">
        <v>-6.4483600000000002E-3</v>
      </c>
      <c r="BB363" s="22">
        <v>353</v>
      </c>
      <c r="BC363" s="22">
        <v>1.6769400000000001</v>
      </c>
      <c r="BD363">
        <f t="shared" si="70"/>
        <v>6.4483600000000001</v>
      </c>
      <c r="BE363">
        <f t="shared" si="71"/>
        <v>10.817446318</v>
      </c>
    </row>
    <row r="364" spans="6:57">
      <c r="F364" s="9"/>
      <c r="G364" s="22">
        <v>1.7395000000000001E-2</v>
      </c>
      <c r="H364" s="22">
        <v>111.423</v>
      </c>
      <c r="I364" s="22">
        <v>-1.7218000000000001E-2</v>
      </c>
      <c r="J364" s="22">
        <v>354</v>
      </c>
      <c r="K364" s="22">
        <v>1.72485E-2</v>
      </c>
      <c r="L364">
        <f t="shared" si="60"/>
        <v>17.218</v>
      </c>
      <c r="M364">
        <f t="shared" si="61"/>
        <v>0.29950711000000002</v>
      </c>
      <c r="N364" s="9"/>
      <c r="O364" s="22">
        <v>1.68259</v>
      </c>
      <c r="P364" s="22">
        <v>205.386</v>
      </c>
      <c r="Q364" s="22">
        <v>-5.8441200000000004E-3</v>
      </c>
      <c r="R364" s="22">
        <v>354</v>
      </c>
      <c r="S364" s="22">
        <v>1.6818200000000001</v>
      </c>
      <c r="T364">
        <f t="shared" si="62"/>
        <v>5.8441200000000002</v>
      </c>
      <c r="U364">
        <f t="shared" si="63"/>
        <v>9.8332578708000007</v>
      </c>
      <c r="X364" s="9"/>
      <c r="Y364" s="22">
        <v>1.7395000000000001E-2</v>
      </c>
      <c r="Z364" s="22">
        <v>323.15499999999997</v>
      </c>
      <c r="AA364" s="22">
        <v>-1.71387E-2</v>
      </c>
      <c r="AB364" s="22">
        <v>354</v>
      </c>
      <c r="AC364" s="22">
        <v>1.7254599999999998E-2</v>
      </c>
      <c r="AD364">
        <f t="shared" si="64"/>
        <v>17.1387</v>
      </c>
      <c r="AE364">
        <f t="shared" si="65"/>
        <v>0.29812768649999999</v>
      </c>
      <c r="AF364" s="9"/>
      <c r="AG364" s="22">
        <v>1.68259</v>
      </c>
      <c r="AH364" s="22">
        <v>388.52199999999999</v>
      </c>
      <c r="AI364" s="22">
        <v>-5.8654800000000002E-3</v>
      </c>
      <c r="AJ364" s="22">
        <v>354</v>
      </c>
      <c r="AK364" s="22">
        <v>1.6824300000000001</v>
      </c>
      <c r="AL364">
        <f t="shared" si="66"/>
        <v>5.8654799999999998</v>
      </c>
      <c r="AM364">
        <f t="shared" si="67"/>
        <v>9.8691979932000002</v>
      </c>
      <c r="AP364" s="9"/>
      <c r="AQ364" s="22">
        <v>1.7395000000000001E-2</v>
      </c>
      <c r="AR364" s="22">
        <v>477.82299999999998</v>
      </c>
      <c r="AS364" s="22">
        <v>-1.7105100000000002E-2</v>
      </c>
      <c r="AT364" s="22">
        <v>354</v>
      </c>
      <c r="AU364" s="22">
        <v>1.7297400000000001E-2</v>
      </c>
      <c r="AV364">
        <f t="shared" si="68"/>
        <v>17.1051</v>
      </c>
      <c r="AW364">
        <f t="shared" si="69"/>
        <v>0.29754321450000004</v>
      </c>
      <c r="AX364" s="9"/>
      <c r="AY364" s="22">
        <v>1.68259</v>
      </c>
      <c r="AZ364" s="22">
        <v>554.84799999999996</v>
      </c>
      <c r="BA364" s="22">
        <v>-5.5541999999999996E-3</v>
      </c>
      <c r="BB364" s="22">
        <v>354</v>
      </c>
      <c r="BC364" s="22">
        <v>1.6821299999999999</v>
      </c>
      <c r="BD364">
        <f t="shared" si="70"/>
        <v>5.5541999999999998</v>
      </c>
      <c r="BE364">
        <f t="shared" si="71"/>
        <v>9.3454413780000003</v>
      </c>
    </row>
    <row r="365" spans="6:57">
      <c r="F365" s="9"/>
      <c r="G365" s="22">
        <v>1.23596E-2</v>
      </c>
      <c r="H365" s="22">
        <v>111.524</v>
      </c>
      <c r="I365" s="22">
        <v>-1.7218000000000001E-2</v>
      </c>
      <c r="J365" s="22">
        <v>355</v>
      </c>
      <c r="K365" s="22">
        <v>1.22192E-2</v>
      </c>
      <c r="L365">
        <f t="shared" si="60"/>
        <v>17.218</v>
      </c>
      <c r="M365">
        <f t="shared" si="61"/>
        <v>0.2128075928</v>
      </c>
      <c r="N365" s="9"/>
      <c r="O365" s="22">
        <v>1.6876199999999999</v>
      </c>
      <c r="P365" s="22">
        <v>205.48699999999999</v>
      </c>
      <c r="Q365" s="22">
        <v>-5.8196999999999997E-3</v>
      </c>
      <c r="R365" s="22">
        <v>355</v>
      </c>
      <c r="S365" s="22">
        <v>1.6870099999999999</v>
      </c>
      <c r="T365">
        <f t="shared" si="62"/>
        <v>5.8197000000000001</v>
      </c>
      <c r="U365">
        <f t="shared" si="63"/>
        <v>9.8214421139999999</v>
      </c>
      <c r="X365" s="9"/>
      <c r="Y365" s="22">
        <v>1.23596E-2</v>
      </c>
      <c r="Z365" s="22">
        <v>323.25599999999997</v>
      </c>
      <c r="AA365" s="22">
        <v>-1.71509E-2</v>
      </c>
      <c r="AB365" s="22">
        <v>355</v>
      </c>
      <c r="AC365" s="22">
        <v>1.2246699999999999E-2</v>
      </c>
      <c r="AD365">
        <f t="shared" si="64"/>
        <v>17.1509</v>
      </c>
      <c r="AE365">
        <f t="shared" si="65"/>
        <v>0.21197826364</v>
      </c>
      <c r="AF365" s="9"/>
      <c r="AG365" s="22">
        <v>1.6876199999999999</v>
      </c>
      <c r="AH365" s="22">
        <v>388.62200000000001</v>
      </c>
      <c r="AI365" s="22">
        <v>-4.9224899999999999E-3</v>
      </c>
      <c r="AJ365" s="22">
        <v>355</v>
      </c>
      <c r="AK365" s="22">
        <v>1.6863999999999999</v>
      </c>
      <c r="AL365">
        <f t="shared" si="66"/>
        <v>4.9224899999999998</v>
      </c>
      <c r="AM365">
        <f t="shared" si="67"/>
        <v>8.3072925737999999</v>
      </c>
      <c r="AP365" s="9"/>
      <c r="AQ365" s="22">
        <v>1.23596E-2</v>
      </c>
      <c r="AR365" s="22">
        <v>477.92399999999998</v>
      </c>
      <c r="AS365" s="22">
        <v>-1.7102099999999999E-2</v>
      </c>
      <c r="AT365" s="22">
        <v>355</v>
      </c>
      <c r="AU365" s="22">
        <v>1.21948E-2</v>
      </c>
      <c r="AV365">
        <f t="shared" si="68"/>
        <v>17.1021</v>
      </c>
      <c r="AW365">
        <f t="shared" si="69"/>
        <v>0.21137511516000002</v>
      </c>
      <c r="AX365" s="9"/>
      <c r="AY365" s="22">
        <v>1.6876199999999999</v>
      </c>
      <c r="AZ365" s="22">
        <v>554.94899999999996</v>
      </c>
      <c r="BA365" s="22">
        <v>-4.6401999999999997E-3</v>
      </c>
      <c r="BB365" s="22">
        <v>355</v>
      </c>
      <c r="BC365" s="22">
        <v>1.6873199999999999</v>
      </c>
      <c r="BD365">
        <f t="shared" si="70"/>
        <v>4.6402000000000001</v>
      </c>
      <c r="BE365">
        <f t="shared" si="71"/>
        <v>7.830894324</v>
      </c>
    </row>
    <row r="366" spans="6:57">
      <c r="F366" s="9"/>
      <c r="G366" s="22">
        <v>7.3242200000000002E-3</v>
      </c>
      <c r="H366" s="22">
        <v>111.624</v>
      </c>
      <c r="I366" s="22">
        <v>-1.7215000000000001E-2</v>
      </c>
      <c r="J366" s="22">
        <v>356</v>
      </c>
      <c r="K366" s="22">
        <v>7.14417E-3</v>
      </c>
      <c r="L366">
        <f t="shared" si="60"/>
        <v>17.215</v>
      </c>
      <c r="M366">
        <f t="shared" si="61"/>
        <v>0.12608644730000002</v>
      </c>
      <c r="N366" s="9"/>
      <c r="O366" s="22">
        <v>1.6926600000000001</v>
      </c>
      <c r="P366" s="22">
        <v>205.58799999999999</v>
      </c>
      <c r="Q366" s="22">
        <v>-4.3383800000000002E-3</v>
      </c>
      <c r="R366" s="22">
        <v>356</v>
      </c>
      <c r="S366" s="22">
        <v>1.6921999999999999</v>
      </c>
      <c r="T366">
        <f t="shared" si="62"/>
        <v>4.3383799999999999</v>
      </c>
      <c r="U366">
        <f t="shared" si="63"/>
        <v>7.3434022908000003</v>
      </c>
      <c r="X366" s="9"/>
      <c r="Y366" s="22">
        <v>7.3242200000000002E-3</v>
      </c>
      <c r="Z366" s="22">
        <v>323.35700000000003</v>
      </c>
      <c r="AA366" s="22">
        <v>-1.71509E-2</v>
      </c>
      <c r="AB366" s="22">
        <v>356</v>
      </c>
      <c r="AC366" s="22">
        <v>7.1319599999999997E-3</v>
      </c>
      <c r="AD366">
        <f t="shared" si="64"/>
        <v>17.1509</v>
      </c>
      <c r="AE366">
        <f t="shared" si="65"/>
        <v>0.125616964798</v>
      </c>
      <c r="AF366" s="9"/>
      <c r="AG366" s="22">
        <v>1.6926600000000001</v>
      </c>
      <c r="AH366" s="22">
        <v>388.72300000000001</v>
      </c>
      <c r="AI366" s="22">
        <v>-4.7283899999999999E-3</v>
      </c>
      <c r="AJ366" s="22">
        <v>356</v>
      </c>
      <c r="AK366" s="22">
        <v>1.6918899999999999</v>
      </c>
      <c r="AL366">
        <f t="shared" si="66"/>
        <v>4.7283900000000001</v>
      </c>
      <c r="AM366">
        <f t="shared" si="67"/>
        <v>8.003556617400001</v>
      </c>
      <c r="AP366" s="9"/>
      <c r="AQ366" s="22">
        <v>7.3242200000000002E-3</v>
      </c>
      <c r="AR366" s="22">
        <v>478.024</v>
      </c>
      <c r="AS366" s="22">
        <v>-1.7086799999999999E-2</v>
      </c>
      <c r="AT366" s="22">
        <v>356</v>
      </c>
      <c r="AU366" s="22">
        <v>7.0709199999999996E-3</v>
      </c>
      <c r="AV366">
        <f t="shared" si="68"/>
        <v>17.0868</v>
      </c>
      <c r="AW366">
        <f t="shared" si="69"/>
        <v>0.12514748229600001</v>
      </c>
      <c r="AX366" s="9"/>
      <c r="AY366" s="22">
        <v>1.6926600000000001</v>
      </c>
      <c r="AZ366" s="22">
        <v>555.04999999999995</v>
      </c>
      <c r="BA366" s="22">
        <v>-3.70178E-3</v>
      </c>
      <c r="BB366" s="22">
        <v>356</v>
      </c>
      <c r="BC366" s="22">
        <v>1.6921999999999999</v>
      </c>
      <c r="BD366">
        <f t="shared" si="70"/>
        <v>3.7017799999999998</v>
      </c>
      <c r="BE366">
        <f t="shared" si="71"/>
        <v>6.2658549348000001</v>
      </c>
    </row>
    <row r="367" spans="6:57">
      <c r="F367" s="9"/>
      <c r="G367" s="22">
        <v>2.28882E-3</v>
      </c>
      <c r="H367" s="22">
        <v>111.72499999999999</v>
      </c>
      <c r="I367" s="22">
        <v>-1.7211899999999999E-2</v>
      </c>
      <c r="J367" s="22">
        <v>357</v>
      </c>
      <c r="K367" s="22">
        <v>2.1697999999999999E-3</v>
      </c>
      <c r="L367">
        <f t="shared" si="60"/>
        <v>17.2119</v>
      </c>
      <c r="M367">
        <f t="shared" si="61"/>
        <v>3.9394940958000002E-2</v>
      </c>
      <c r="N367" s="9"/>
      <c r="O367" s="22">
        <v>1.6976899999999999</v>
      </c>
      <c r="P367" s="22">
        <v>205.68899999999999</v>
      </c>
      <c r="Q367" s="22">
        <v>-3.4826700000000002E-3</v>
      </c>
      <c r="R367" s="22">
        <v>357</v>
      </c>
      <c r="S367" s="22">
        <v>1.69739</v>
      </c>
      <c r="T367">
        <f t="shared" si="62"/>
        <v>3.4826700000000002</v>
      </c>
      <c r="U367">
        <f t="shared" si="63"/>
        <v>5.9124940322999997</v>
      </c>
      <c r="X367" s="9"/>
      <c r="Y367" s="22">
        <v>2.28882E-3</v>
      </c>
      <c r="Z367" s="22">
        <v>323.45800000000003</v>
      </c>
      <c r="AA367" s="22">
        <v>-1.71661E-2</v>
      </c>
      <c r="AB367" s="22">
        <v>357</v>
      </c>
      <c r="AC367" s="22">
        <v>2.09961E-3</v>
      </c>
      <c r="AD367">
        <f t="shared" si="64"/>
        <v>17.1661</v>
      </c>
      <c r="AE367">
        <f t="shared" si="65"/>
        <v>3.9290113001999999E-2</v>
      </c>
      <c r="AF367" s="9"/>
      <c r="AG367" s="22">
        <v>1.6976899999999999</v>
      </c>
      <c r="AH367" s="22">
        <v>388.82400000000001</v>
      </c>
      <c r="AI367" s="22">
        <v>-2.9885900000000002E-3</v>
      </c>
      <c r="AJ367" s="22">
        <v>357</v>
      </c>
      <c r="AK367" s="22">
        <v>1.6970799999999999</v>
      </c>
      <c r="AL367">
        <f t="shared" si="66"/>
        <v>2.9885900000000003</v>
      </c>
      <c r="AM367">
        <f t="shared" si="67"/>
        <v>5.0736993571000006</v>
      </c>
      <c r="AP367" s="9"/>
      <c r="AQ367" s="22">
        <v>2.28882E-3</v>
      </c>
      <c r="AR367" s="22">
        <v>478.125</v>
      </c>
      <c r="AS367" s="22">
        <v>-1.7105100000000002E-2</v>
      </c>
      <c r="AT367" s="22">
        <v>357</v>
      </c>
      <c r="AU367" s="22">
        <v>2.1179200000000001E-3</v>
      </c>
      <c r="AV367">
        <f t="shared" si="68"/>
        <v>17.1051</v>
      </c>
      <c r="AW367">
        <f t="shared" si="69"/>
        <v>3.9150494982000003E-2</v>
      </c>
      <c r="AX367" s="9"/>
      <c r="AY367" s="22">
        <v>1.6976899999999999</v>
      </c>
      <c r="AZ367" s="22">
        <v>555.15</v>
      </c>
      <c r="BA367" s="22">
        <v>-2.7734399999999998E-3</v>
      </c>
      <c r="BB367" s="22">
        <v>357</v>
      </c>
      <c r="BC367" s="22">
        <v>1.6970799999999999</v>
      </c>
      <c r="BD367">
        <f t="shared" si="70"/>
        <v>2.7734399999999999</v>
      </c>
      <c r="BE367">
        <f t="shared" si="71"/>
        <v>4.7084413535999996</v>
      </c>
    </row>
    <row r="368" spans="6:57">
      <c r="F368" s="9"/>
      <c r="G368" s="22">
        <v>-2.7465800000000002E-3</v>
      </c>
      <c r="H368" s="22">
        <v>111.82599999999999</v>
      </c>
      <c r="I368" s="22">
        <v>-1.72363E-2</v>
      </c>
      <c r="J368" s="22">
        <v>358</v>
      </c>
      <c r="K368" s="22">
        <v>-2.9693599999999999E-3</v>
      </c>
      <c r="L368">
        <f t="shared" si="60"/>
        <v>17.2363</v>
      </c>
      <c r="M368">
        <f t="shared" si="61"/>
        <v>-4.7340876854000007E-2</v>
      </c>
      <c r="N368" s="9"/>
      <c r="O368" s="22">
        <v>1.7027300000000001</v>
      </c>
      <c r="P368" s="22">
        <v>205.78899999999999</v>
      </c>
      <c r="Q368" s="22">
        <v>-2.7212500000000001E-3</v>
      </c>
      <c r="R368" s="22">
        <v>358</v>
      </c>
      <c r="S368" s="22">
        <v>1.70197</v>
      </c>
      <c r="T368">
        <f t="shared" si="62"/>
        <v>2.7212499999999999</v>
      </c>
      <c r="U368">
        <f t="shared" si="63"/>
        <v>4.6335540125000003</v>
      </c>
      <c r="X368" s="9"/>
      <c r="Y368" s="22">
        <v>-2.7465800000000002E-3</v>
      </c>
      <c r="Z368" s="22">
        <v>323.55799999999999</v>
      </c>
      <c r="AA368" s="22">
        <v>-1.7172199999999999E-2</v>
      </c>
      <c r="AB368" s="22">
        <v>358</v>
      </c>
      <c r="AC368" s="22">
        <v>-2.91443E-3</v>
      </c>
      <c r="AD368">
        <f t="shared" si="64"/>
        <v>17.1722</v>
      </c>
      <c r="AE368">
        <f t="shared" si="65"/>
        <v>-4.7164821076000001E-2</v>
      </c>
      <c r="AF368" s="9"/>
      <c r="AG368" s="22">
        <v>1.7027300000000001</v>
      </c>
      <c r="AH368" s="22">
        <v>388.92399999999998</v>
      </c>
      <c r="AI368" s="22">
        <v>-1.8368499999999999E-3</v>
      </c>
      <c r="AJ368" s="22">
        <v>358</v>
      </c>
      <c r="AK368" s="22">
        <v>1.70166</v>
      </c>
      <c r="AL368">
        <f t="shared" si="66"/>
        <v>1.8368499999999999</v>
      </c>
      <c r="AM368">
        <f t="shared" si="67"/>
        <v>3.1276596004999999</v>
      </c>
      <c r="AP368" s="9"/>
      <c r="AQ368" s="22">
        <v>-2.7465800000000002E-3</v>
      </c>
      <c r="AR368" s="22">
        <v>478.226</v>
      </c>
      <c r="AS368" s="22">
        <v>-1.7102099999999999E-2</v>
      </c>
      <c r="AT368" s="22">
        <v>358</v>
      </c>
      <c r="AU368" s="22">
        <v>-2.9235799999999998E-3</v>
      </c>
      <c r="AV368">
        <f t="shared" si="68"/>
        <v>17.1021</v>
      </c>
      <c r="AW368">
        <f t="shared" si="69"/>
        <v>-4.6972285818000004E-2</v>
      </c>
      <c r="AX368" s="9"/>
      <c r="AY368" s="22">
        <v>1.7027300000000001</v>
      </c>
      <c r="AZ368" s="22">
        <v>555.25099999999998</v>
      </c>
      <c r="BA368" s="22">
        <v>-1.48865E-3</v>
      </c>
      <c r="BB368" s="22">
        <v>358</v>
      </c>
      <c r="BC368" s="22">
        <v>1.7013499999999999</v>
      </c>
      <c r="BD368">
        <f t="shared" si="70"/>
        <v>1.48865</v>
      </c>
      <c r="BE368">
        <f t="shared" si="71"/>
        <v>2.5347690145000001</v>
      </c>
    </row>
    <row r="369" spans="6:57">
      <c r="F369" s="9"/>
      <c r="G369" s="22">
        <v>-7.78198E-3</v>
      </c>
      <c r="H369" s="22">
        <v>111.926</v>
      </c>
      <c r="I369" s="22">
        <v>-1.72333E-2</v>
      </c>
      <c r="J369" s="22">
        <v>359</v>
      </c>
      <c r="K369" s="22">
        <v>-7.9681400000000003E-3</v>
      </c>
      <c r="L369">
        <f t="shared" si="60"/>
        <v>17.2333</v>
      </c>
      <c r="M369">
        <f t="shared" si="61"/>
        <v>-0.134109195934</v>
      </c>
      <c r="N369" s="9"/>
      <c r="O369" s="22">
        <v>1.7077599999999999</v>
      </c>
      <c r="P369" s="22">
        <v>205.89</v>
      </c>
      <c r="Q369" s="22">
        <v>-1.6458099999999999E-3</v>
      </c>
      <c r="R369" s="22">
        <v>359</v>
      </c>
      <c r="S369" s="22">
        <v>1.7071499999999999</v>
      </c>
      <c r="T369">
        <f t="shared" si="62"/>
        <v>1.64581</v>
      </c>
      <c r="U369">
        <f t="shared" si="63"/>
        <v>2.8106484855999998</v>
      </c>
      <c r="X369" s="9"/>
      <c r="Y369" s="22">
        <v>-7.78198E-3</v>
      </c>
      <c r="Z369" s="22">
        <v>323.65899999999999</v>
      </c>
      <c r="AA369" s="22">
        <v>-1.7169199999999999E-2</v>
      </c>
      <c r="AB369" s="22">
        <v>359</v>
      </c>
      <c r="AC369" s="22">
        <v>-8.0780000000000001E-3</v>
      </c>
      <c r="AD369">
        <f t="shared" si="64"/>
        <v>17.1692</v>
      </c>
      <c r="AE369">
        <f t="shared" si="65"/>
        <v>-0.13361037101600001</v>
      </c>
      <c r="AF369" s="9"/>
      <c r="AG369" s="22">
        <v>1.7077599999999999</v>
      </c>
      <c r="AH369" s="22">
        <v>389.02499999999998</v>
      </c>
      <c r="AI369" s="22">
        <v>-1.5954599999999999E-3</v>
      </c>
      <c r="AJ369" s="22">
        <v>359</v>
      </c>
      <c r="AK369" s="22">
        <v>1.70685</v>
      </c>
      <c r="AL369">
        <f t="shared" si="66"/>
        <v>1.5954599999999999</v>
      </c>
      <c r="AM369">
        <f t="shared" si="67"/>
        <v>2.7246627695999996</v>
      </c>
      <c r="AP369" s="9"/>
      <c r="AQ369" s="22">
        <v>-7.78198E-3</v>
      </c>
      <c r="AR369" s="22">
        <v>478.327</v>
      </c>
      <c r="AS369" s="22">
        <v>-1.71082E-2</v>
      </c>
      <c r="AT369" s="22">
        <v>359</v>
      </c>
      <c r="AU369" s="22">
        <v>-8.0413800000000007E-3</v>
      </c>
      <c r="AV369">
        <f t="shared" si="68"/>
        <v>17.1082</v>
      </c>
      <c r="AW369">
        <f t="shared" si="69"/>
        <v>-0.13313567023600001</v>
      </c>
      <c r="AX369" s="9"/>
      <c r="AY369" s="22">
        <v>1.7077599999999999</v>
      </c>
      <c r="AZ369" s="22">
        <v>555.35199999999998</v>
      </c>
      <c r="BA369" s="22">
        <v>2.3876999999999999E-4</v>
      </c>
      <c r="BB369" s="22">
        <v>359</v>
      </c>
      <c r="BC369" s="22">
        <v>1.70746</v>
      </c>
      <c r="BD369">
        <f t="shared" si="70"/>
        <v>-0.23876999999999998</v>
      </c>
      <c r="BE369">
        <f t="shared" si="71"/>
        <v>-0.40776185519999997</v>
      </c>
    </row>
    <row r="370" spans="6:57">
      <c r="F370" s="9"/>
      <c r="G370" s="22">
        <v>-1.28174E-2</v>
      </c>
      <c r="H370" s="22">
        <v>112.027</v>
      </c>
      <c r="I370" s="22">
        <v>-1.7224099999999999E-2</v>
      </c>
      <c r="J370" s="22">
        <v>360</v>
      </c>
      <c r="K370" s="22">
        <v>-1.3028E-2</v>
      </c>
      <c r="L370">
        <f t="shared" si="60"/>
        <v>17.2241</v>
      </c>
      <c r="M370">
        <f t="shared" si="61"/>
        <v>-0.22076817933999998</v>
      </c>
      <c r="N370" s="9"/>
      <c r="O370" s="22">
        <v>1.7128000000000001</v>
      </c>
      <c r="P370" s="22">
        <v>205.99100000000001</v>
      </c>
      <c r="Q370" s="25">
        <v>-5.3100599999999999E-6</v>
      </c>
      <c r="R370" s="22">
        <v>360</v>
      </c>
      <c r="S370" s="22">
        <v>1.71234</v>
      </c>
      <c r="T370">
        <f t="shared" si="62"/>
        <v>5.3100600000000001E-3</v>
      </c>
      <c r="U370">
        <f t="shared" si="63"/>
        <v>9.0950707680000006E-3</v>
      </c>
      <c r="X370" s="9"/>
      <c r="Y370" s="22">
        <v>-1.28174E-2</v>
      </c>
      <c r="Z370" s="22">
        <v>323.76</v>
      </c>
      <c r="AA370" s="22">
        <v>-1.7172199999999999E-2</v>
      </c>
      <c r="AB370" s="22">
        <v>360</v>
      </c>
      <c r="AC370" s="22">
        <v>-1.30981E-2</v>
      </c>
      <c r="AD370">
        <f t="shared" si="64"/>
        <v>17.1722</v>
      </c>
      <c r="AE370">
        <f t="shared" si="65"/>
        <v>-0.22010295627999998</v>
      </c>
      <c r="AF370" s="9"/>
      <c r="AG370" s="22">
        <v>1.7128000000000001</v>
      </c>
      <c r="AH370" s="22">
        <v>389.12599999999998</v>
      </c>
      <c r="AI370" s="22">
        <v>3.1036399999999998E-4</v>
      </c>
      <c r="AJ370" s="22">
        <v>360</v>
      </c>
      <c r="AK370" s="22">
        <v>1.71204</v>
      </c>
      <c r="AL370">
        <f t="shared" si="66"/>
        <v>-0.31036399999999997</v>
      </c>
      <c r="AM370">
        <f t="shared" si="67"/>
        <v>-0.53159145919999995</v>
      </c>
      <c r="AP370" s="9"/>
      <c r="AQ370" s="22">
        <v>-1.28174E-2</v>
      </c>
      <c r="AR370" s="22">
        <v>478.42700000000002</v>
      </c>
      <c r="AS370" s="22">
        <v>-1.7114299999999999E-2</v>
      </c>
      <c r="AT370" s="22">
        <v>360</v>
      </c>
      <c r="AU370" s="22">
        <v>-1.3030999999999999E-2</v>
      </c>
      <c r="AV370">
        <f t="shared" si="68"/>
        <v>17.1143</v>
      </c>
      <c r="AW370">
        <f t="shared" si="69"/>
        <v>-0.21936082881999999</v>
      </c>
      <c r="AX370" s="9"/>
      <c r="AY370" s="22">
        <v>1.7128000000000001</v>
      </c>
      <c r="AZ370" s="22">
        <v>555.452</v>
      </c>
      <c r="BA370" s="22">
        <v>1.8011500000000001E-3</v>
      </c>
      <c r="BB370" s="22">
        <v>360</v>
      </c>
      <c r="BC370" s="22">
        <v>1.71204</v>
      </c>
      <c r="BD370">
        <f t="shared" si="70"/>
        <v>-1.80115</v>
      </c>
      <c r="BE370">
        <f t="shared" si="71"/>
        <v>-3.0850097200000004</v>
      </c>
    </row>
    <row r="371" spans="6:57">
      <c r="F371" s="9"/>
      <c r="G371" s="22">
        <v>-1.7852799999999999E-2</v>
      </c>
      <c r="H371" s="22">
        <v>112.128</v>
      </c>
      <c r="I371" s="22">
        <v>-1.72333E-2</v>
      </c>
      <c r="J371" s="22">
        <v>361</v>
      </c>
      <c r="K371" s="22">
        <v>-1.8112199999999998E-2</v>
      </c>
      <c r="L371">
        <f t="shared" si="60"/>
        <v>17.2333</v>
      </c>
      <c r="M371">
        <f t="shared" si="61"/>
        <v>-0.30766265824</v>
      </c>
      <c r="N371" s="9"/>
      <c r="O371" s="22">
        <v>1.71783</v>
      </c>
      <c r="P371" s="22">
        <v>206.09100000000001</v>
      </c>
      <c r="Q371" s="22">
        <v>8.5418699999999996E-4</v>
      </c>
      <c r="R371" s="22">
        <v>361</v>
      </c>
      <c r="S371" s="22">
        <v>1.71722</v>
      </c>
      <c r="T371">
        <f t="shared" si="62"/>
        <v>-0.85418699999999992</v>
      </c>
      <c r="U371">
        <f t="shared" si="63"/>
        <v>-1.4673480542099999</v>
      </c>
      <c r="X371" s="9"/>
      <c r="Y371" s="22">
        <v>-1.7852799999999999E-2</v>
      </c>
      <c r="Z371" s="22">
        <v>323.86</v>
      </c>
      <c r="AA371" s="22">
        <v>-1.7169199999999999E-2</v>
      </c>
      <c r="AB371" s="22">
        <v>361</v>
      </c>
      <c r="AC371" s="22">
        <v>-1.8096899999999999E-2</v>
      </c>
      <c r="AD371">
        <f t="shared" si="64"/>
        <v>17.1692</v>
      </c>
      <c r="AE371">
        <f t="shared" si="65"/>
        <v>-0.30651829375999995</v>
      </c>
      <c r="AF371" s="9"/>
      <c r="AG371" s="22">
        <v>1.71783</v>
      </c>
      <c r="AH371" s="22">
        <v>389.226</v>
      </c>
      <c r="AI371" s="22">
        <v>2.2283899999999998E-3</v>
      </c>
      <c r="AJ371" s="22">
        <v>361</v>
      </c>
      <c r="AK371" s="22">
        <v>1.71722</v>
      </c>
      <c r="AL371">
        <f t="shared" si="66"/>
        <v>-2.2283899999999996</v>
      </c>
      <c r="AM371">
        <f t="shared" si="67"/>
        <v>-3.8279951936999992</v>
      </c>
      <c r="AP371" s="9"/>
      <c r="AQ371" s="22">
        <v>-1.7852799999999999E-2</v>
      </c>
      <c r="AR371" s="22">
        <v>478.52800000000002</v>
      </c>
      <c r="AS371" s="22">
        <v>-1.7086799999999999E-2</v>
      </c>
      <c r="AT371" s="22">
        <v>361</v>
      </c>
      <c r="AU371" s="22">
        <v>-1.8017600000000002E-2</v>
      </c>
      <c r="AV371">
        <f t="shared" si="68"/>
        <v>17.0868</v>
      </c>
      <c r="AW371">
        <f t="shared" si="69"/>
        <v>-0.30504722303999998</v>
      </c>
      <c r="AX371" s="9"/>
      <c r="AY371" s="22">
        <v>1.71783</v>
      </c>
      <c r="AZ371" s="22">
        <v>555.553</v>
      </c>
      <c r="BA371" s="22">
        <v>3.2061799999999999E-3</v>
      </c>
      <c r="BB371" s="22">
        <v>361</v>
      </c>
      <c r="BC371" s="22">
        <v>1.71722</v>
      </c>
      <c r="BD371">
        <f t="shared" si="70"/>
        <v>-3.2061799999999998</v>
      </c>
      <c r="BE371">
        <f t="shared" si="71"/>
        <v>-5.5076721893999991</v>
      </c>
    </row>
    <row r="372" spans="6:57">
      <c r="F372" s="9"/>
      <c r="G372" s="22">
        <v>-2.2888200000000001E-2</v>
      </c>
      <c r="H372" s="22">
        <v>112.229</v>
      </c>
      <c r="I372" s="22">
        <v>-1.72363E-2</v>
      </c>
      <c r="J372" s="22">
        <v>362</v>
      </c>
      <c r="K372" s="22">
        <v>-2.3184199999999999E-2</v>
      </c>
      <c r="L372">
        <f t="shared" si="60"/>
        <v>17.2363</v>
      </c>
      <c r="M372">
        <f t="shared" si="61"/>
        <v>-0.39450788166</v>
      </c>
      <c r="N372" s="9"/>
      <c r="O372" s="22">
        <v>1.7228699999999999</v>
      </c>
      <c r="P372" s="22">
        <v>206.19200000000001</v>
      </c>
      <c r="Q372" s="22">
        <v>2.7853399999999999E-3</v>
      </c>
      <c r="R372" s="22">
        <v>362</v>
      </c>
      <c r="S372" s="22">
        <v>1.7218</v>
      </c>
      <c r="T372">
        <f t="shared" si="62"/>
        <v>-2.7853399999999997</v>
      </c>
      <c r="U372">
        <f t="shared" si="63"/>
        <v>-4.7987787257999992</v>
      </c>
      <c r="X372" s="9"/>
      <c r="Y372" s="22">
        <v>-2.2888200000000001E-2</v>
      </c>
      <c r="Z372" s="22">
        <v>323.96100000000001</v>
      </c>
      <c r="AA372" s="22">
        <v>-1.7175300000000001E-2</v>
      </c>
      <c r="AB372" s="22">
        <v>362</v>
      </c>
      <c r="AC372" s="22">
        <v>-2.3156699999999999E-2</v>
      </c>
      <c r="AD372">
        <f t="shared" si="64"/>
        <v>17.1753</v>
      </c>
      <c r="AE372">
        <f t="shared" si="65"/>
        <v>-0.39311170146000002</v>
      </c>
      <c r="AF372" s="9"/>
      <c r="AG372" s="22">
        <v>1.7228699999999999</v>
      </c>
      <c r="AH372" s="22">
        <v>389.327</v>
      </c>
      <c r="AI372" s="22">
        <v>3.9623999999999996E-3</v>
      </c>
      <c r="AJ372" s="22">
        <v>362</v>
      </c>
      <c r="AK372" s="22">
        <v>1.7218</v>
      </c>
      <c r="AL372">
        <f t="shared" si="66"/>
        <v>-3.9623999999999997</v>
      </c>
      <c r="AM372">
        <f t="shared" si="67"/>
        <v>-6.8267000879999991</v>
      </c>
      <c r="AP372" s="9"/>
      <c r="AQ372" s="22">
        <v>-2.2888200000000001E-2</v>
      </c>
      <c r="AR372" s="22">
        <v>478.62900000000002</v>
      </c>
      <c r="AS372" s="22">
        <v>-1.7102099999999999E-2</v>
      </c>
      <c r="AT372" s="22">
        <v>362</v>
      </c>
      <c r="AU372" s="22">
        <v>-2.3117100000000002E-2</v>
      </c>
      <c r="AV372">
        <f t="shared" si="68"/>
        <v>17.1021</v>
      </c>
      <c r="AW372">
        <f t="shared" si="69"/>
        <v>-0.39143628522000001</v>
      </c>
      <c r="AX372" s="9"/>
      <c r="AY372" s="22">
        <v>1.7228699999999999</v>
      </c>
      <c r="AZ372" s="22">
        <v>555.654</v>
      </c>
      <c r="BA372" s="22">
        <v>5.4168699999999998E-3</v>
      </c>
      <c r="BB372" s="22">
        <v>362</v>
      </c>
      <c r="BC372" s="22">
        <v>1.72211</v>
      </c>
      <c r="BD372">
        <f t="shared" si="70"/>
        <v>-5.4168699999999994</v>
      </c>
      <c r="BE372">
        <f t="shared" si="71"/>
        <v>-9.3325628168999977</v>
      </c>
    </row>
    <row r="373" spans="6:57">
      <c r="F373" s="9"/>
      <c r="G373" s="22">
        <v>-2.79236E-2</v>
      </c>
      <c r="H373" s="22">
        <v>112.32899999999999</v>
      </c>
      <c r="I373" s="22">
        <v>-1.72333E-2</v>
      </c>
      <c r="J373" s="22">
        <v>363</v>
      </c>
      <c r="K373" s="22">
        <v>-2.8179900000000001E-2</v>
      </c>
      <c r="L373">
        <f t="shared" si="60"/>
        <v>17.2333</v>
      </c>
      <c r="M373">
        <f t="shared" si="61"/>
        <v>-0.48121577587999997</v>
      </c>
      <c r="N373" s="9"/>
      <c r="O373" s="22">
        <v>1.7279100000000001</v>
      </c>
      <c r="P373" s="22">
        <v>206.29300000000001</v>
      </c>
      <c r="Q373" s="22">
        <v>4.5858799999999996E-3</v>
      </c>
      <c r="R373" s="22">
        <v>363</v>
      </c>
      <c r="S373" s="22">
        <v>1.7279100000000001</v>
      </c>
      <c r="T373">
        <f t="shared" si="62"/>
        <v>-4.5858799999999995</v>
      </c>
      <c r="U373">
        <f t="shared" si="63"/>
        <v>-7.9239879107999993</v>
      </c>
      <c r="X373" s="9"/>
      <c r="Y373" s="22">
        <v>-2.79236E-2</v>
      </c>
      <c r="Z373" s="22">
        <v>324.06200000000001</v>
      </c>
      <c r="AA373" s="22">
        <v>-1.7169199999999999E-2</v>
      </c>
      <c r="AB373" s="22">
        <v>363</v>
      </c>
      <c r="AC373" s="22">
        <v>-2.8213499999999999E-2</v>
      </c>
      <c r="AD373">
        <f t="shared" si="64"/>
        <v>17.1692</v>
      </c>
      <c r="AE373">
        <f t="shared" si="65"/>
        <v>-0.47942587312000001</v>
      </c>
      <c r="AF373" s="9"/>
      <c r="AG373" s="22">
        <v>1.7279100000000001</v>
      </c>
      <c r="AH373" s="22">
        <v>389.428</v>
      </c>
      <c r="AI373" s="22">
        <v>5.5419900000000001E-3</v>
      </c>
      <c r="AJ373" s="22">
        <v>363</v>
      </c>
      <c r="AK373" s="22">
        <v>1.72668</v>
      </c>
      <c r="AL373">
        <f t="shared" si="66"/>
        <v>-5.5419900000000002</v>
      </c>
      <c r="AM373">
        <f t="shared" si="67"/>
        <v>-9.5760599409000005</v>
      </c>
      <c r="AP373" s="9"/>
      <c r="AQ373" s="22">
        <v>-2.79236E-2</v>
      </c>
      <c r="AR373" s="22">
        <v>478.72899999999998</v>
      </c>
      <c r="AS373" s="22">
        <v>-1.7099E-2</v>
      </c>
      <c r="AT373" s="22">
        <v>363</v>
      </c>
      <c r="AU373" s="22">
        <v>-2.8201299999999999E-2</v>
      </c>
      <c r="AV373">
        <f t="shared" si="68"/>
        <v>17.099</v>
      </c>
      <c r="AW373">
        <f t="shared" si="69"/>
        <v>-0.4774656364</v>
      </c>
      <c r="AX373" s="9"/>
      <c r="AY373" s="22">
        <v>1.7279100000000001</v>
      </c>
      <c r="AZ373" s="22">
        <v>555.755</v>
      </c>
      <c r="BA373" s="22">
        <v>8.01697E-3</v>
      </c>
      <c r="BB373" s="22">
        <v>363</v>
      </c>
      <c r="BC373" s="22">
        <v>1.7276</v>
      </c>
      <c r="BD373">
        <f t="shared" si="70"/>
        <v>-8.0169700000000006</v>
      </c>
      <c r="BE373">
        <f t="shared" si="71"/>
        <v>-13.852602632700002</v>
      </c>
    </row>
    <row r="374" spans="6:57">
      <c r="F374" s="9"/>
      <c r="G374" s="22">
        <v>-3.2959000000000002E-2</v>
      </c>
      <c r="H374" s="22">
        <v>112.43</v>
      </c>
      <c r="I374" s="22">
        <v>-1.7230200000000001E-2</v>
      </c>
      <c r="J374" s="22">
        <v>364</v>
      </c>
      <c r="K374" s="22">
        <v>-3.33344E-2</v>
      </c>
      <c r="L374">
        <f t="shared" si="60"/>
        <v>17.2302</v>
      </c>
      <c r="M374">
        <f t="shared" si="61"/>
        <v>-0.56789016180000007</v>
      </c>
      <c r="N374" s="9"/>
      <c r="O374" s="22">
        <v>1.7329399999999999</v>
      </c>
      <c r="P374" s="22">
        <v>206.39400000000001</v>
      </c>
      <c r="Q374" s="22">
        <v>5.3192100000000004E-3</v>
      </c>
      <c r="R374" s="22">
        <v>364</v>
      </c>
      <c r="S374" s="22">
        <v>1.7321800000000001</v>
      </c>
      <c r="T374">
        <f t="shared" si="62"/>
        <v>-5.31921</v>
      </c>
      <c r="U374">
        <f t="shared" si="63"/>
        <v>-9.2178717773999992</v>
      </c>
      <c r="X374" s="9"/>
      <c r="Y374" s="22">
        <v>-3.2959000000000002E-2</v>
      </c>
      <c r="Z374" s="22">
        <v>324.16300000000001</v>
      </c>
      <c r="AA374" s="22">
        <v>-1.7178300000000001E-2</v>
      </c>
      <c r="AB374" s="22">
        <v>364</v>
      </c>
      <c r="AC374" s="22">
        <v>-3.3291599999999998E-2</v>
      </c>
      <c r="AD374">
        <f t="shared" si="64"/>
        <v>17.1783</v>
      </c>
      <c r="AE374">
        <f t="shared" si="65"/>
        <v>-0.56617958970000004</v>
      </c>
      <c r="AF374" s="9"/>
      <c r="AG374" s="22">
        <v>1.7329399999999999</v>
      </c>
      <c r="AH374" s="22">
        <v>389.529</v>
      </c>
      <c r="AI374" s="22">
        <v>6.9458000000000002E-3</v>
      </c>
      <c r="AJ374" s="22">
        <v>364</v>
      </c>
      <c r="AK374" s="22">
        <v>1.73248</v>
      </c>
      <c r="AL374">
        <f t="shared" si="66"/>
        <v>-6.9458000000000002</v>
      </c>
      <c r="AM374">
        <f t="shared" si="67"/>
        <v>-12.036654651999999</v>
      </c>
      <c r="AP374" s="9"/>
      <c r="AQ374" s="22">
        <v>-3.2959000000000002E-2</v>
      </c>
      <c r="AR374" s="22">
        <v>478.83</v>
      </c>
      <c r="AS374" s="22">
        <v>-1.70837E-2</v>
      </c>
      <c r="AT374" s="22">
        <v>364</v>
      </c>
      <c r="AU374" s="22">
        <v>-3.3236700000000001E-2</v>
      </c>
      <c r="AV374">
        <f t="shared" si="68"/>
        <v>17.0837</v>
      </c>
      <c r="AW374">
        <f t="shared" si="69"/>
        <v>-0.56306166830000004</v>
      </c>
      <c r="AX374" s="9"/>
      <c r="AY374" s="22">
        <v>1.7329399999999999</v>
      </c>
      <c r="AZ374" s="22">
        <v>555.85500000000002</v>
      </c>
      <c r="BA374" s="22">
        <v>1.0446199999999999E-2</v>
      </c>
      <c r="BB374" s="22">
        <v>364</v>
      </c>
      <c r="BC374" s="22">
        <v>1.73309</v>
      </c>
      <c r="BD374">
        <f t="shared" si="70"/>
        <v>-10.446199999999999</v>
      </c>
      <c r="BE374">
        <f t="shared" si="71"/>
        <v>-18.102637827999999</v>
      </c>
    </row>
    <row r="375" spans="6:57">
      <c r="F375" s="9"/>
      <c r="G375" s="22">
        <v>-3.7994399999999998E-2</v>
      </c>
      <c r="H375" s="22">
        <v>112.53100000000001</v>
      </c>
      <c r="I375" s="22">
        <v>-1.7224099999999999E-2</v>
      </c>
      <c r="J375" s="22">
        <v>365</v>
      </c>
      <c r="K375" s="22">
        <v>-3.8333100000000002E-2</v>
      </c>
      <c r="L375">
        <f t="shared" si="60"/>
        <v>17.2241</v>
      </c>
      <c r="M375">
        <f t="shared" si="61"/>
        <v>-0.65441934503999999</v>
      </c>
      <c r="N375" s="9"/>
      <c r="O375" s="22">
        <v>1.7379800000000001</v>
      </c>
      <c r="P375" s="22">
        <v>206.494</v>
      </c>
      <c r="Q375" s="22">
        <v>4.4195600000000003E-3</v>
      </c>
      <c r="R375" s="22">
        <v>365</v>
      </c>
      <c r="S375" s="22">
        <v>1.7373700000000001</v>
      </c>
      <c r="T375">
        <f t="shared" si="62"/>
        <v>-4.4195600000000006</v>
      </c>
      <c r="U375">
        <f t="shared" si="63"/>
        <v>-7.6811068888000014</v>
      </c>
      <c r="X375" s="9"/>
      <c r="Y375" s="22">
        <v>-3.7994399999999998E-2</v>
      </c>
      <c r="Z375" s="22">
        <v>324.26299999999998</v>
      </c>
      <c r="AA375" s="22">
        <v>-1.7184399999999999E-2</v>
      </c>
      <c r="AB375" s="22">
        <v>365</v>
      </c>
      <c r="AC375" s="22">
        <v>-3.8229399999999997E-2</v>
      </c>
      <c r="AD375">
        <f t="shared" si="64"/>
        <v>17.1844</v>
      </c>
      <c r="AE375">
        <f t="shared" si="65"/>
        <v>-0.65291096735999998</v>
      </c>
      <c r="AF375" s="9"/>
      <c r="AG375" s="22">
        <v>1.7379800000000001</v>
      </c>
      <c r="AH375" s="22">
        <v>389.62900000000002</v>
      </c>
      <c r="AI375" s="22">
        <v>8.9050299999999995E-3</v>
      </c>
      <c r="AJ375" s="22">
        <v>365</v>
      </c>
      <c r="AK375" s="22">
        <v>1.7373700000000001</v>
      </c>
      <c r="AL375">
        <f t="shared" si="66"/>
        <v>-8.90503</v>
      </c>
      <c r="AM375">
        <f t="shared" si="67"/>
        <v>-15.476764039400001</v>
      </c>
      <c r="AP375" s="9"/>
      <c r="AQ375" s="22">
        <v>-3.7994399999999998E-2</v>
      </c>
      <c r="AR375" s="22">
        <v>478.93099999999998</v>
      </c>
      <c r="AS375" s="22">
        <v>-1.7102099999999999E-2</v>
      </c>
      <c r="AT375" s="22">
        <v>365</v>
      </c>
      <c r="AU375" s="22">
        <v>-3.8290400000000002E-2</v>
      </c>
      <c r="AV375">
        <f t="shared" si="68"/>
        <v>17.1021</v>
      </c>
      <c r="AW375">
        <f t="shared" si="69"/>
        <v>-0.64978402823999992</v>
      </c>
      <c r="AX375" s="9"/>
      <c r="AY375" s="22">
        <v>1.7379800000000001</v>
      </c>
      <c r="AZ375" s="22">
        <v>555.95600000000002</v>
      </c>
      <c r="BA375" s="22">
        <v>1.2323000000000001E-2</v>
      </c>
      <c r="BB375" s="22">
        <v>365</v>
      </c>
      <c r="BC375" s="22">
        <v>1.7373700000000001</v>
      </c>
      <c r="BD375">
        <f t="shared" si="70"/>
        <v>-12.323</v>
      </c>
      <c r="BE375">
        <f t="shared" si="71"/>
        <v>-21.417127540000003</v>
      </c>
    </row>
    <row r="376" spans="6:57">
      <c r="F376" s="9"/>
      <c r="G376" s="22">
        <v>-4.30298E-2</v>
      </c>
      <c r="H376" s="22">
        <v>112.631</v>
      </c>
      <c r="I376" s="22">
        <v>-1.72333E-2</v>
      </c>
      <c r="J376" s="22">
        <v>366</v>
      </c>
      <c r="K376" s="22">
        <v>-4.3319700000000003E-2</v>
      </c>
      <c r="L376">
        <f t="shared" si="60"/>
        <v>17.2333</v>
      </c>
      <c r="M376">
        <f t="shared" si="61"/>
        <v>-0.74154545234000002</v>
      </c>
      <c r="N376" s="9"/>
      <c r="O376" s="22">
        <v>1.7430099999999999</v>
      </c>
      <c r="P376" s="22">
        <v>206.595</v>
      </c>
      <c r="Q376" s="22">
        <v>8.7890599999999996E-3</v>
      </c>
      <c r="R376" s="22">
        <v>366</v>
      </c>
      <c r="S376" s="22">
        <v>1.7422500000000001</v>
      </c>
      <c r="T376">
        <f t="shared" si="62"/>
        <v>-8.7890599999999992</v>
      </c>
      <c r="U376">
        <f t="shared" si="63"/>
        <v>-15.319419470599998</v>
      </c>
      <c r="X376" s="9"/>
      <c r="Y376" s="22">
        <v>-4.30298E-2</v>
      </c>
      <c r="Z376" s="22">
        <v>324.36399999999998</v>
      </c>
      <c r="AA376" s="22">
        <v>-1.7184399999999999E-2</v>
      </c>
      <c r="AB376" s="22">
        <v>366</v>
      </c>
      <c r="AC376" s="22">
        <v>-4.3319700000000003E-2</v>
      </c>
      <c r="AD376">
        <f t="shared" si="64"/>
        <v>17.1844</v>
      </c>
      <c r="AE376">
        <f t="shared" si="65"/>
        <v>-0.73944129512000001</v>
      </c>
      <c r="AF376" s="9"/>
      <c r="AG376" s="22">
        <v>1.7430099999999999</v>
      </c>
      <c r="AH376" s="22">
        <v>389.73</v>
      </c>
      <c r="AI376" s="22">
        <v>1.0553E-2</v>
      </c>
      <c r="AJ376" s="22">
        <v>366</v>
      </c>
      <c r="AK376" s="22">
        <v>1.74194</v>
      </c>
      <c r="AL376">
        <f t="shared" si="66"/>
        <v>-10.552999999999999</v>
      </c>
      <c r="AM376">
        <f t="shared" si="67"/>
        <v>-18.393984529999997</v>
      </c>
      <c r="AP376" s="9"/>
      <c r="AQ376" s="22">
        <v>-4.30298E-2</v>
      </c>
      <c r="AR376" s="22">
        <v>479.03100000000001</v>
      </c>
      <c r="AS376" s="22">
        <v>-1.7102099999999999E-2</v>
      </c>
      <c r="AT376" s="22">
        <v>366</v>
      </c>
      <c r="AU376" s="22">
        <v>-4.33319E-2</v>
      </c>
      <c r="AV376">
        <f t="shared" si="68"/>
        <v>17.1021</v>
      </c>
      <c r="AW376">
        <f t="shared" si="69"/>
        <v>-0.73589994258000002</v>
      </c>
      <c r="AX376" s="9"/>
      <c r="AY376" s="22">
        <v>1.7430099999999999</v>
      </c>
      <c r="AZ376" s="22">
        <v>556.05700000000002</v>
      </c>
      <c r="BA376" s="22">
        <v>1.4672899999999999E-2</v>
      </c>
      <c r="BB376" s="22">
        <v>366</v>
      </c>
      <c r="BC376" s="22">
        <v>1.74255</v>
      </c>
      <c r="BD376">
        <f t="shared" si="70"/>
        <v>-14.672899999999998</v>
      </c>
      <c r="BE376">
        <f t="shared" si="71"/>
        <v>-25.575011428999996</v>
      </c>
    </row>
    <row r="377" spans="6:57">
      <c r="F377" s="9"/>
      <c r="G377" s="22">
        <v>-4.8065200000000002E-2</v>
      </c>
      <c r="H377" s="22">
        <v>112.732</v>
      </c>
      <c r="I377" s="22">
        <v>-1.72485E-2</v>
      </c>
      <c r="J377" s="22">
        <v>367</v>
      </c>
      <c r="K377" s="22">
        <v>-4.8349000000000003E-2</v>
      </c>
      <c r="L377">
        <f t="shared" si="60"/>
        <v>17.2485</v>
      </c>
      <c r="M377">
        <f t="shared" si="61"/>
        <v>-0.82905260219999999</v>
      </c>
      <c r="N377" s="9"/>
      <c r="O377" s="22">
        <v>1.7480500000000001</v>
      </c>
      <c r="P377" s="22">
        <v>206.696</v>
      </c>
      <c r="Q377" s="22">
        <v>1.0357699999999999E-2</v>
      </c>
      <c r="R377" s="22">
        <v>367</v>
      </c>
      <c r="S377" s="22">
        <v>1.7471300000000001</v>
      </c>
      <c r="T377">
        <f t="shared" si="62"/>
        <v>-10.357699999999999</v>
      </c>
      <c r="U377">
        <f t="shared" si="63"/>
        <v>-18.105777485000001</v>
      </c>
      <c r="X377" s="9"/>
      <c r="Y377" s="22">
        <v>-4.8065200000000002E-2</v>
      </c>
      <c r="Z377" s="22">
        <v>324.46499999999997</v>
      </c>
      <c r="AA377" s="22">
        <v>-1.7181399999999999E-2</v>
      </c>
      <c r="AB377" s="22">
        <v>367</v>
      </c>
      <c r="AC377" s="22">
        <v>-4.8458899999999999E-2</v>
      </c>
      <c r="AD377">
        <f t="shared" si="64"/>
        <v>17.1814</v>
      </c>
      <c r="AE377">
        <f t="shared" si="65"/>
        <v>-0.82582742728000003</v>
      </c>
      <c r="AF377" s="9"/>
      <c r="AG377" s="22">
        <v>1.7480500000000001</v>
      </c>
      <c r="AH377" s="22">
        <v>389.83100000000002</v>
      </c>
      <c r="AI377" s="22">
        <v>1.28571E-2</v>
      </c>
      <c r="AJ377" s="22">
        <v>367</v>
      </c>
      <c r="AK377" s="22">
        <v>1.7477400000000001</v>
      </c>
      <c r="AL377">
        <f t="shared" si="66"/>
        <v>-12.857099999999999</v>
      </c>
      <c r="AM377">
        <f t="shared" si="67"/>
        <v>-22.474853655</v>
      </c>
      <c r="AP377" s="9"/>
      <c r="AQ377" s="22">
        <v>-4.8065200000000002E-2</v>
      </c>
      <c r="AR377" s="22">
        <v>479.13200000000001</v>
      </c>
      <c r="AS377" s="22">
        <v>-1.7117299999999998E-2</v>
      </c>
      <c r="AT377" s="22">
        <v>367</v>
      </c>
      <c r="AU377" s="22">
        <v>-4.8458899999999999E-2</v>
      </c>
      <c r="AV377">
        <f t="shared" si="68"/>
        <v>17.1173</v>
      </c>
      <c r="AW377">
        <f t="shared" si="69"/>
        <v>-0.82274644796000007</v>
      </c>
      <c r="AX377" s="9"/>
      <c r="AY377" s="22">
        <v>1.7480500000000001</v>
      </c>
      <c r="AZ377" s="22">
        <v>556.15700000000004</v>
      </c>
      <c r="BA377" s="22">
        <v>1.7468299999999999E-2</v>
      </c>
      <c r="BB377" s="22">
        <v>367</v>
      </c>
      <c r="BC377" s="22">
        <v>1.7474400000000001</v>
      </c>
      <c r="BD377">
        <f t="shared" si="70"/>
        <v>-17.468299999999999</v>
      </c>
      <c r="BE377">
        <f t="shared" si="71"/>
        <v>-30.535461815000001</v>
      </c>
    </row>
    <row r="378" spans="6:57">
      <c r="F378" s="9"/>
      <c r="G378" s="22">
        <v>-5.3100599999999998E-2</v>
      </c>
      <c r="H378" s="22">
        <v>112.833</v>
      </c>
      <c r="I378" s="22">
        <v>-1.7239399999999998E-2</v>
      </c>
      <c r="J378" s="22">
        <v>368</v>
      </c>
      <c r="K378" s="22">
        <v>-5.3619399999999998E-2</v>
      </c>
      <c r="L378">
        <f t="shared" si="60"/>
        <v>17.2394</v>
      </c>
      <c r="M378">
        <f t="shared" si="61"/>
        <v>-0.91542248364000001</v>
      </c>
      <c r="N378" s="9"/>
      <c r="O378" s="22">
        <v>1.75308</v>
      </c>
      <c r="P378" s="22">
        <v>206.79599999999999</v>
      </c>
      <c r="Q378" s="22">
        <v>9.7869900000000006E-3</v>
      </c>
      <c r="R378" s="22">
        <v>368</v>
      </c>
      <c r="S378" s="22">
        <v>1.7520100000000001</v>
      </c>
      <c r="T378">
        <f t="shared" si="62"/>
        <v>-9.7869900000000012</v>
      </c>
      <c r="U378">
        <f t="shared" si="63"/>
        <v>-17.157376429200003</v>
      </c>
      <c r="X378" s="9"/>
      <c r="Y378" s="22">
        <v>-5.3100599999999998E-2</v>
      </c>
      <c r="Z378" s="22">
        <v>324.565</v>
      </c>
      <c r="AA378" s="22">
        <v>-1.7181399999999999E-2</v>
      </c>
      <c r="AB378" s="22">
        <v>368</v>
      </c>
      <c r="AC378" s="22">
        <v>-5.36499E-2</v>
      </c>
      <c r="AD378">
        <f t="shared" si="64"/>
        <v>17.1814</v>
      </c>
      <c r="AE378">
        <f t="shared" si="65"/>
        <v>-0.91234264883999994</v>
      </c>
      <c r="AF378" s="9"/>
      <c r="AG378" s="22">
        <v>1.75308</v>
      </c>
      <c r="AH378" s="22">
        <v>389.93099999999998</v>
      </c>
      <c r="AI378" s="22">
        <v>1.61438E-2</v>
      </c>
      <c r="AJ378" s="22">
        <v>368</v>
      </c>
      <c r="AK378" s="22">
        <v>1.7523200000000001</v>
      </c>
      <c r="AL378">
        <f t="shared" si="66"/>
        <v>-16.143799999999999</v>
      </c>
      <c r="AM378">
        <f t="shared" si="67"/>
        <v>-28.301372903999997</v>
      </c>
      <c r="AP378" s="9"/>
      <c r="AQ378" s="22">
        <v>-5.3100599999999998E-2</v>
      </c>
      <c r="AR378" s="22">
        <v>479.233</v>
      </c>
      <c r="AS378" s="22">
        <v>-1.71112E-2</v>
      </c>
      <c r="AT378" s="22">
        <v>368</v>
      </c>
      <c r="AU378" s="22">
        <v>-5.3558300000000003E-2</v>
      </c>
      <c r="AV378">
        <f t="shared" si="68"/>
        <v>17.1112</v>
      </c>
      <c r="AW378">
        <f t="shared" si="69"/>
        <v>-0.90861498671999996</v>
      </c>
      <c r="AX378" s="9"/>
      <c r="AY378" s="22">
        <v>1.75308</v>
      </c>
      <c r="AZ378" s="22">
        <v>556.25800000000004</v>
      </c>
      <c r="BA378" s="22">
        <v>1.9662499999999999E-2</v>
      </c>
      <c r="BB378" s="22">
        <v>368</v>
      </c>
      <c r="BC378" s="22">
        <v>1.7526200000000001</v>
      </c>
      <c r="BD378">
        <f t="shared" si="70"/>
        <v>-19.662499999999998</v>
      </c>
      <c r="BE378">
        <f t="shared" si="71"/>
        <v>-34.469935499999998</v>
      </c>
    </row>
    <row r="379" spans="6:57">
      <c r="F379" s="9"/>
      <c r="G379" s="22">
        <v>-5.8136E-2</v>
      </c>
      <c r="H379" s="22">
        <v>112.934</v>
      </c>
      <c r="I379" s="22">
        <v>-1.7242400000000001E-2</v>
      </c>
      <c r="J379" s="22">
        <v>369</v>
      </c>
      <c r="K379" s="22">
        <v>-5.8593800000000001E-2</v>
      </c>
      <c r="L379">
        <f t="shared" si="60"/>
        <v>17.2424</v>
      </c>
      <c r="M379">
        <f t="shared" si="61"/>
        <v>-1.0024041664000001</v>
      </c>
      <c r="N379" s="9"/>
      <c r="O379" s="22">
        <v>1.7581199999999999</v>
      </c>
      <c r="P379" s="22">
        <v>206.89699999999999</v>
      </c>
      <c r="Q379" s="22">
        <v>1.0528600000000001E-2</v>
      </c>
      <c r="R379" s="22">
        <v>369</v>
      </c>
      <c r="S379" s="22">
        <v>1.7578100000000001</v>
      </c>
      <c r="T379">
        <f t="shared" si="62"/>
        <v>-10.528600000000001</v>
      </c>
      <c r="U379">
        <f t="shared" si="63"/>
        <v>-18.510542231999999</v>
      </c>
      <c r="X379" s="9"/>
      <c r="Y379" s="22">
        <v>-5.8136E-2</v>
      </c>
      <c r="Z379" s="22">
        <v>324.666</v>
      </c>
      <c r="AA379" s="22">
        <v>-1.7199699999999998E-2</v>
      </c>
      <c r="AB379" s="22">
        <v>369</v>
      </c>
      <c r="AC379" s="22">
        <v>-5.8715799999999999E-2</v>
      </c>
      <c r="AD379">
        <f t="shared" si="64"/>
        <v>17.1997</v>
      </c>
      <c r="AE379">
        <f t="shared" si="65"/>
        <v>-0.99992175920000004</v>
      </c>
      <c r="AF379" s="9"/>
      <c r="AG379" s="22">
        <v>1.7581199999999999</v>
      </c>
      <c r="AH379" s="22">
        <v>390.03199999999998</v>
      </c>
      <c r="AI379" s="22">
        <v>1.87622E-2</v>
      </c>
      <c r="AJ379" s="22">
        <v>369</v>
      </c>
      <c r="AK379" s="22">
        <v>1.7575099999999999</v>
      </c>
      <c r="AL379">
        <f t="shared" si="66"/>
        <v>-18.7622</v>
      </c>
      <c r="AM379">
        <f t="shared" si="67"/>
        <v>-32.986199063999997</v>
      </c>
      <c r="AP379" s="9"/>
      <c r="AQ379" s="22">
        <v>-5.8136E-2</v>
      </c>
      <c r="AR379" s="22">
        <v>479.334</v>
      </c>
      <c r="AS379" s="22">
        <v>-1.71234E-2</v>
      </c>
      <c r="AT379" s="22">
        <v>369</v>
      </c>
      <c r="AU379" s="22">
        <v>-5.86548E-2</v>
      </c>
      <c r="AV379">
        <f t="shared" si="68"/>
        <v>17.1234</v>
      </c>
      <c r="AW379">
        <f t="shared" si="69"/>
        <v>-0.99548598239999997</v>
      </c>
      <c r="AX379" s="9"/>
      <c r="AY379" s="22">
        <v>1.7581199999999999</v>
      </c>
      <c r="AZ379" s="22">
        <v>556.35900000000004</v>
      </c>
      <c r="BA379" s="22">
        <v>2.2756999999999999E-2</v>
      </c>
      <c r="BB379" s="22">
        <v>369</v>
      </c>
      <c r="BC379" s="22">
        <v>1.7575099999999999</v>
      </c>
      <c r="BD379">
        <f t="shared" si="70"/>
        <v>-22.756999999999998</v>
      </c>
      <c r="BE379">
        <f t="shared" si="71"/>
        <v>-40.009536839999996</v>
      </c>
    </row>
    <row r="380" spans="6:57">
      <c r="F380" s="9"/>
      <c r="G380" s="22">
        <v>-6.3171400000000003E-2</v>
      </c>
      <c r="H380" s="22">
        <v>113.03400000000001</v>
      </c>
      <c r="I380" s="22">
        <v>-1.7239399999999998E-2</v>
      </c>
      <c r="J380" s="22">
        <v>370</v>
      </c>
      <c r="K380" s="22">
        <v>-6.3690200000000002E-2</v>
      </c>
      <c r="L380">
        <f t="shared" si="60"/>
        <v>17.2394</v>
      </c>
      <c r="M380">
        <f t="shared" si="61"/>
        <v>-1.0890370331600001</v>
      </c>
      <c r="N380" s="9"/>
      <c r="O380" s="22">
        <v>1.76315</v>
      </c>
      <c r="P380" s="22">
        <v>206.99799999999999</v>
      </c>
      <c r="Q380" s="22">
        <v>1.33667E-2</v>
      </c>
      <c r="R380" s="22">
        <v>370</v>
      </c>
      <c r="S380" s="22">
        <v>1.7623899999999999</v>
      </c>
      <c r="T380">
        <f t="shared" si="62"/>
        <v>-13.3667</v>
      </c>
      <c r="U380">
        <f t="shared" si="63"/>
        <v>-23.567497105000001</v>
      </c>
      <c r="X380" s="9"/>
      <c r="Y380" s="22">
        <v>-6.3171400000000003E-2</v>
      </c>
      <c r="Z380" s="22">
        <v>324.767</v>
      </c>
      <c r="AA380" s="22">
        <v>-1.7187500000000001E-2</v>
      </c>
      <c r="AB380" s="22">
        <v>370</v>
      </c>
      <c r="AC380" s="22">
        <v>-6.3690200000000002E-2</v>
      </c>
      <c r="AD380">
        <f t="shared" si="64"/>
        <v>17.1875</v>
      </c>
      <c r="AE380">
        <f t="shared" si="65"/>
        <v>-1.0857584375</v>
      </c>
      <c r="AF380" s="9"/>
      <c r="AG380" s="22">
        <v>1.76315</v>
      </c>
      <c r="AH380" s="22">
        <v>390.13299999999998</v>
      </c>
      <c r="AI380" s="22">
        <v>2.0175200000000001E-2</v>
      </c>
      <c r="AJ380" s="22">
        <v>370</v>
      </c>
      <c r="AK380" s="22">
        <v>1.7626999999999999</v>
      </c>
      <c r="AL380">
        <f t="shared" si="66"/>
        <v>-20.1752</v>
      </c>
      <c r="AM380">
        <f t="shared" si="67"/>
        <v>-35.571903880000001</v>
      </c>
      <c r="AP380" s="9"/>
      <c r="AQ380" s="22">
        <v>-6.3171400000000003E-2</v>
      </c>
      <c r="AR380" s="22">
        <v>479.43400000000003</v>
      </c>
      <c r="AS380" s="22">
        <v>-1.7120400000000001E-2</v>
      </c>
      <c r="AT380" s="22">
        <v>370</v>
      </c>
      <c r="AU380" s="22">
        <v>-6.3751199999999994E-2</v>
      </c>
      <c r="AV380">
        <f t="shared" si="68"/>
        <v>17.1204</v>
      </c>
      <c r="AW380">
        <f t="shared" si="69"/>
        <v>-1.0815196365599999</v>
      </c>
      <c r="AX380" s="9"/>
      <c r="AY380" s="22">
        <v>1.76315</v>
      </c>
      <c r="AZ380" s="22">
        <v>556.46</v>
      </c>
      <c r="BA380" s="22">
        <v>2.56866E-2</v>
      </c>
      <c r="BB380" s="22">
        <v>370</v>
      </c>
      <c r="BC380" s="22">
        <v>1.7617799999999999</v>
      </c>
      <c r="BD380">
        <f t="shared" si="70"/>
        <v>-25.686600000000002</v>
      </c>
      <c r="BE380">
        <f t="shared" si="71"/>
        <v>-45.289328790000006</v>
      </c>
    </row>
    <row r="381" spans="6:57">
      <c r="F381" s="9"/>
      <c r="G381" s="22">
        <v>-6.8206799999999998E-2</v>
      </c>
      <c r="H381" s="22">
        <v>113.13500000000001</v>
      </c>
      <c r="I381" s="22">
        <v>-1.7251599999999999E-2</v>
      </c>
      <c r="J381" s="22">
        <v>371</v>
      </c>
      <c r="K381" s="22">
        <v>-6.8756100000000001E-2</v>
      </c>
      <c r="L381">
        <f t="shared" si="60"/>
        <v>17.2516</v>
      </c>
      <c r="M381">
        <f t="shared" si="61"/>
        <v>-1.17667643088</v>
      </c>
      <c r="N381" s="9"/>
      <c r="O381" s="22">
        <v>1.7681899999999999</v>
      </c>
      <c r="P381" s="22">
        <v>207.09899999999999</v>
      </c>
      <c r="Q381" s="22">
        <v>1.55365E-2</v>
      </c>
      <c r="R381" s="22">
        <v>371</v>
      </c>
      <c r="S381" s="22">
        <v>1.7675799999999999</v>
      </c>
      <c r="T381">
        <f t="shared" si="62"/>
        <v>-15.5365</v>
      </c>
      <c r="U381">
        <f t="shared" si="63"/>
        <v>-27.471483934999998</v>
      </c>
      <c r="X381" s="9"/>
      <c r="Y381" s="22">
        <v>-6.8206799999999998E-2</v>
      </c>
      <c r="Z381" s="22">
        <v>324.86700000000002</v>
      </c>
      <c r="AA381" s="22">
        <v>-1.7208899999999999E-2</v>
      </c>
      <c r="AB381" s="22">
        <v>371</v>
      </c>
      <c r="AC381" s="22">
        <v>-6.8664600000000006E-2</v>
      </c>
      <c r="AD381">
        <f t="shared" si="64"/>
        <v>17.2089</v>
      </c>
      <c r="AE381">
        <f t="shared" si="65"/>
        <v>-1.1737640005199999</v>
      </c>
      <c r="AF381" s="9"/>
      <c r="AG381" s="22">
        <v>1.7681899999999999</v>
      </c>
      <c r="AH381" s="22">
        <v>390.23399999999998</v>
      </c>
      <c r="AI381" s="22">
        <v>2.2900400000000001E-2</v>
      </c>
      <c r="AJ381" s="22">
        <v>371</v>
      </c>
      <c r="AK381" s="22">
        <v>1.7669699999999999</v>
      </c>
      <c r="AL381">
        <f t="shared" si="66"/>
        <v>-22.900400000000001</v>
      </c>
      <c r="AM381">
        <f t="shared" si="67"/>
        <v>-40.492258276000001</v>
      </c>
      <c r="AP381" s="9"/>
      <c r="AQ381" s="22">
        <v>-6.8206799999999998E-2</v>
      </c>
      <c r="AR381" s="22">
        <v>479.53500000000003</v>
      </c>
      <c r="AS381" s="22">
        <v>-1.71234E-2</v>
      </c>
      <c r="AT381" s="22">
        <v>371</v>
      </c>
      <c r="AU381" s="22">
        <v>-6.8634000000000001E-2</v>
      </c>
      <c r="AV381">
        <f t="shared" si="68"/>
        <v>17.1234</v>
      </c>
      <c r="AW381">
        <f t="shared" si="69"/>
        <v>-1.16793231912</v>
      </c>
      <c r="AX381" s="9"/>
      <c r="AY381" s="22">
        <v>1.7681899999999999</v>
      </c>
      <c r="AZ381" s="22">
        <v>556.55999999999995</v>
      </c>
      <c r="BA381" s="22">
        <v>2.9174800000000001E-2</v>
      </c>
      <c r="BB381" s="22">
        <v>371</v>
      </c>
      <c r="BC381" s="22">
        <v>1.7675799999999999</v>
      </c>
      <c r="BD381">
        <f t="shared" si="70"/>
        <v>-29.174800000000001</v>
      </c>
      <c r="BE381">
        <f t="shared" si="71"/>
        <v>-51.586589611999997</v>
      </c>
    </row>
    <row r="382" spans="6:57">
      <c r="F382" s="9"/>
      <c r="G382" s="22">
        <v>-7.3242199999999993E-2</v>
      </c>
      <c r="H382" s="22">
        <v>113.236</v>
      </c>
      <c r="I382" s="22">
        <v>-1.72455E-2</v>
      </c>
      <c r="J382" s="22">
        <v>372</v>
      </c>
      <c r="K382" s="22">
        <v>-7.3821999999999999E-2</v>
      </c>
      <c r="L382">
        <f t="shared" si="60"/>
        <v>17.2455</v>
      </c>
      <c r="M382">
        <f t="shared" si="61"/>
        <v>-1.2630983600999999</v>
      </c>
      <c r="N382" s="9"/>
      <c r="O382" s="22">
        <v>1.77322</v>
      </c>
      <c r="P382" s="22">
        <v>207.19900000000001</v>
      </c>
      <c r="Q382" s="22">
        <v>1.8981899999999999E-2</v>
      </c>
      <c r="R382" s="22">
        <v>372</v>
      </c>
      <c r="S382" s="22">
        <v>1.77277</v>
      </c>
      <c r="T382">
        <f t="shared" si="62"/>
        <v>-18.9819</v>
      </c>
      <c r="U382">
        <f t="shared" si="63"/>
        <v>-33.659084718000003</v>
      </c>
      <c r="X382" s="9"/>
      <c r="Y382" s="22">
        <v>-7.3242199999999993E-2</v>
      </c>
      <c r="Z382" s="22">
        <v>324.96800000000002</v>
      </c>
      <c r="AA382" s="22">
        <v>-1.72058E-2</v>
      </c>
      <c r="AB382" s="22">
        <v>372</v>
      </c>
      <c r="AC382" s="22">
        <v>-7.3608400000000004E-2</v>
      </c>
      <c r="AD382">
        <f t="shared" si="64"/>
        <v>17.2058</v>
      </c>
      <c r="AE382">
        <f t="shared" si="65"/>
        <v>-1.26019064476</v>
      </c>
      <c r="AF382" s="9"/>
      <c r="AG382" s="22">
        <v>1.77322</v>
      </c>
      <c r="AH382" s="22">
        <v>390.334</v>
      </c>
      <c r="AI382" s="22">
        <v>2.5766000000000001E-2</v>
      </c>
      <c r="AJ382" s="22">
        <v>372</v>
      </c>
      <c r="AK382" s="22">
        <v>1.7724599999999999</v>
      </c>
      <c r="AL382">
        <f t="shared" si="66"/>
        <v>-25.766000000000002</v>
      </c>
      <c r="AM382">
        <f t="shared" si="67"/>
        <v>-45.688786520000001</v>
      </c>
      <c r="AP382" s="9"/>
      <c r="AQ382" s="22">
        <v>-7.3242199999999993E-2</v>
      </c>
      <c r="AR382" s="22">
        <v>479.63600000000002</v>
      </c>
      <c r="AS382" s="22">
        <v>-1.71082E-2</v>
      </c>
      <c r="AT382" s="22">
        <v>372</v>
      </c>
      <c r="AU382" s="22">
        <v>-7.3821999999999999E-2</v>
      </c>
      <c r="AV382">
        <f t="shared" si="68"/>
        <v>17.1082</v>
      </c>
      <c r="AW382">
        <f t="shared" si="69"/>
        <v>-1.2530422060399999</v>
      </c>
      <c r="AX382" s="9"/>
      <c r="AY382" s="22">
        <v>1.77322</v>
      </c>
      <c r="AZ382" s="22">
        <v>556.66099999999994</v>
      </c>
      <c r="BA382" s="22">
        <v>3.2345600000000002E-2</v>
      </c>
      <c r="BB382" s="22">
        <v>372</v>
      </c>
      <c r="BC382" s="22">
        <v>1.7724599999999999</v>
      </c>
      <c r="BD382">
        <f t="shared" si="70"/>
        <v>-32.345600000000005</v>
      </c>
      <c r="BE382">
        <f t="shared" si="71"/>
        <v>-57.355864832000009</v>
      </c>
    </row>
    <row r="383" spans="6:57">
      <c r="F383" s="9"/>
      <c r="G383" s="22">
        <v>-7.8277600000000003E-2</v>
      </c>
      <c r="H383" s="22">
        <v>113.336</v>
      </c>
      <c r="I383" s="22">
        <v>-1.72485E-2</v>
      </c>
      <c r="J383" s="22">
        <v>373</v>
      </c>
      <c r="K383" s="22">
        <v>-7.8826900000000005E-2</v>
      </c>
      <c r="L383">
        <f t="shared" si="60"/>
        <v>17.2485</v>
      </c>
      <c r="M383">
        <f t="shared" si="61"/>
        <v>-1.3501711836000001</v>
      </c>
      <c r="N383" s="9"/>
      <c r="O383" s="22">
        <v>1.77826</v>
      </c>
      <c r="P383" s="22">
        <v>207.3</v>
      </c>
      <c r="Q383" s="22">
        <v>2.05994E-2</v>
      </c>
      <c r="R383" s="22">
        <v>373</v>
      </c>
      <c r="S383" s="22">
        <v>1.77765</v>
      </c>
      <c r="T383">
        <f t="shared" si="62"/>
        <v>-20.599399999999999</v>
      </c>
      <c r="U383">
        <f t="shared" si="63"/>
        <v>-36.631089043999999</v>
      </c>
      <c r="X383" s="9"/>
      <c r="Y383" s="22">
        <v>-7.8277600000000003E-2</v>
      </c>
      <c r="Z383" s="22">
        <v>325.06900000000002</v>
      </c>
      <c r="AA383" s="22">
        <v>-1.7196699999999999E-2</v>
      </c>
      <c r="AB383" s="22">
        <v>373</v>
      </c>
      <c r="AC383" s="22">
        <v>-7.8887899999999997E-2</v>
      </c>
      <c r="AD383">
        <f t="shared" si="64"/>
        <v>17.1967</v>
      </c>
      <c r="AE383">
        <f t="shared" si="65"/>
        <v>-1.34611640392</v>
      </c>
      <c r="AF383" s="9"/>
      <c r="AG383" s="22">
        <v>1.77826</v>
      </c>
      <c r="AH383" s="22">
        <v>390.435</v>
      </c>
      <c r="AI383" s="22">
        <v>2.8936799999999999E-2</v>
      </c>
      <c r="AJ383" s="22">
        <v>373</v>
      </c>
      <c r="AK383" s="22">
        <v>1.7773399999999999</v>
      </c>
      <c r="AL383">
        <f t="shared" si="66"/>
        <v>-28.936799999999998</v>
      </c>
      <c r="AM383">
        <f t="shared" si="67"/>
        <v>-51.457153967999993</v>
      </c>
      <c r="AP383" s="9"/>
      <c r="AQ383" s="22">
        <v>-7.8277600000000003E-2</v>
      </c>
      <c r="AR383" s="22">
        <v>479.73599999999999</v>
      </c>
      <c r="AS383" s="22">
        <v>-1.7102099999999999E-2</v>
      </c>
      <c r="AT383" s="22">
        <v>373</v>
      </c>
      <c r="AU383" s="22">
        <v>-7.8918500000000003E-2</v>
      </c>
      <c r="AV383">
        <f t="shared" si="68"/>
        <v>17.1021</v>
      </c>
      <c r="AW383">
        <f t="shared" si="69"/>
        <v>-1.3387113429600002</v>
      </c>
      <c r="AX383" s="9"/>
      <c r="AY383" s="22">
        <v>1.77826</v>
      </c>
      <c r="AZ383" s="22">
        <v>556.76199999999994</v>
      </c>
      <c r="BA383" s="22">
        <v>3.5821499999999999E-2</v>
      </c>
      <c r="BB383" s="22">
        <v>373</v>
      </c>
      <c r="BC383" s="22">
        <v>1.77765</v>
      </c>
      <c r="BD383">
        <f t="shared" si="70"/>
        <v>-35.8215</v>
      </c>
      <c r="BE383">
        <f t="shared" si="71"/>
        <v>-63.699940589999997</v>
      </c>
    </row>
    <row r="384" spans="6:57">
      <c r="F384" s="9"/>
      <c r="G384" s="22">
        <v>-8.3312999999999998E-2</v>
      </c>
      <c r="H384" s="22">
        <v>113.437</v>
      </c>
      <c r="I384" s="22">
        <v>-1.72455E-2</v>
      </c>
      <c r="J384" s="22">
        <v>374</v>
      </c>
      <c r="K384" s="22">
        <v>-8.3923300000000006E-2</v>
      </c>
      <c r="L384">
        <f t="shared" si="60"/>
        <v>17.2455</v>
      </c>
      <c r="M384">
        <f t="shared" si="61"/>
        <v>-1.4367743415000001</v>
      </c>
      <c r="N384" s="9"/>
      <c r="O384" s="22">
        <v>1.78329</v>
      </c>
      <c r="P384" s="22">
        <v>207.40100000000001</v>
      </c>
      <c r="Q384" s="22">
        <v>2.2879E-2</v>
      </c>
      <c r="R384" s="22">
        <v>374</v>
      </c>
      <c r="S384" s="22">
        <v>1.7825299999999999</v>
      </c>
      <c r="T384">
        <f t="shared" si="62"/>
        <v>-22.879000000000001</v>
      </c>
      <c r="U384">
        <f t="shared" si="63"/>
        <v>-40.799891910000007</v>
      </c>
      <c r="X384" s="9"/>
      <c r="Y384" s="22">
        <v>-8.3312999999999998E-2</v>
      </c>
      <c r="Z384" s="22">
        <v>325.17</v>
      </c>
      <c r="AA384" s="22">
        <v>-1.7196699999999999E-2</v>
      </c>
      <c r="AB384" s="22">
        <v>374</v>
      </c>
      <c r="AC384" s="22">
        <v>-8.3862300000000001E-2</v>
      </c>
      <c r="AD384">
        <f t="shared" si="64"/>
        <v>17.1967</v>
      </c>
      <c r="AE384">
        <f t="shared" si="65"/>
        <v>-1.4327086671</v>
      </c>
      <c r="AF384" s="9"/>
      <c r="AG384" s="22">
        <v>1.78329</v>
      </c>
      <c r="AH384" s="22">
        <v>390.536</v>
      </c>
      <c r="AI384" s="22">
        <v>3.07587E-2</v>
      </c>
      <c r="AJ384" s="22">
        <v>374</v>
      </c>
      <c r="AK384" s="22">
        <v>1.7825299999999999</v>
      </c>
      <c r="AL384">
        <f t="shared" si="66"/>
        <v>-30.758700000000001</v>
      </c>
      <c r="AM384">
        <f t="shared" si="67"/>
        <v>-54.851682123000003</v>
      </c>
      <c r="AP384" s="9"/>
      <c r="AQ384" s="22">
        <v>-8.3312999999999998E-2</v>
      </c>
      <c r="AR384" s="22">
        <v>479.83699999999999</v>
      </c>
      <c r="AS384" s="22">
        <v>-1.7120400000000001E-2</v>
      </c>
      <c r="AT384" s="22">
        <v>374</v>
      </c>
      <c r="AU384" s="22">
        <v>-8.3831799999999998E-2</v>
      </c>
      <c r="AV384">
        <f t="shared" si="68"/>
        <v>17.1204</v>
      </c>
      <c r="AW384">
        <f t="shared" si="69"/>
        <v>-1.4263518851999999</v>
      </c>
      <c r="AX384" s="9"/>
      <c r="AY384" s="22">
        <v>1.78329</v>
      </c>
      <c r="AZ384" s="22">
        <v>556.86199999999997</v>
      </c>
      <c r="BA384" s="22">
        <v>4.0231299999999998E-2</v>
      </c>
      <c r="BB384" s="22">
        <v>374</v>
      </c>
      <c r="BC384" s="22">
        <v>1.7825299999999999</v>
      </c>
      <c r="BD384">
        <f t="shared" si="70"/>
        <v>-40.231299999999997</v>
      </c>
      <c r="BE384">
        <f t="shared" si="71"/>
        <v>-71.744074976999997</v>
      </c>
    </row>
    <row r="385" spans="6:57">
      <c r="F385" s="9"/>
      <c r="G385" s="22">
        <v>-8.8348399999999994E-2</v>
      </c>
      <c r="H385" s="22">
        <v>113.538</v>
      </c>
      <c r="I385" s="22">
        <v>-1.7263799999999999E-2</v>
      </c>
      <c r="J385" s="22">
        <v>375</v>
      </c>
      <c r="K385" s="22">
        <v>-8.8806200000000002E-2</v>
      </c>
      <c r="L385">
        <f t="shared" si="60"/>
        <v>17.2638</v>
      </c>
      <c r="M385">
        <f t="shared" si="61"/>
        <v>-1.5252291079199998</v>
      </c>
      <c r="N385" s="9"/>
      <c r="O385" s="22">
        <v>1.78833</v>
      </c>
      <c r="P385" s="22">
        <v>207.501</v>
      </c>
      <c r="Q385" s="22">
        <v>2.4587999999999999E-2</v>
      </c>
      <c r="R385" s="22">
        <v>375</v>
      </c>
      <c r="S385" s="22">
        <v>1.78772</v>
      </c>
      <c r="T385">
        <f t="shared" si="62"/>
        <v>-24.587999999999997</v>
      </c>
      <c r="U385">
        <f t="shared" si="63"/>
        <v>-43.971458039999995</v>
      </c>
      <c r="X385" s="9"/>
      <c r="Y385" s="22">
        <v>-8.8348399999999994E-2</v>
      </c>
      <c r="Z385" s="22">
        <v>325.27</v>
      </c>
      <c r="AA385" s="22">
        <v>-1.7187500000000001E-2</v>
      </c>
      <c r="AB385" s="22">
        <v>375</v>
      </c>
      <c r="AC385" s="22">
        <v>-8.8958700000000002E-2</v>
      </c>
      <c r="AD385">
        <f t="shared" si="64"/>
        <v>17.1875</v>
      </c>
      <c r="AE385">
        <f t="shared" si="65"/>
        <v>-1.518488125</v>
      </c>
      <c r="AF385" s="9"/>
      <c r="AG385" s="22">
        <v>1.78833</v>
      </c>
      <c r="AH385" s="22">
        <v>390.63600000000002</v>
      </c>
      <c r="AI385" s="22">
        <v>3.6621099999999997E-2</v>
      </c>
      <c r="AJ385" s="22">
        <v>375</v>
      </c>
      <c r="AK385" s="22">
        <v>1.78833</v>
      </c>
      <c r="AL385">
        <f t="shared" si="66"/>
        <v>-36.621099999999998</v>
      </c>
      <c r="AM385">
        <f t="shared" si="67"/>
        <v>-65.49061176299999</v>
      </c>
      <c r="AP385" s="9"/>
      <c r="AQ385" s="22">
        <v>-8.8348399999999994E-2</v>
      </c>
      <c r="AR385" s="22">
        <v>479.93799999999999</v>
      </c>
      <c r="AS385" s="22">
        <v>-1.7144800000000002E-2</v>
      </c>
      <c r="AT385" s="22">
        <v>375</v>
      </c>
      <c r="AU385" s="22">
        <v>-8.8836700000000005E-2</v>
      </c>
      <c r="AV385">
        <f t="shared" si="68"/>
        <v>17.1448</v>
      </c>
      <c r="AW385">
        <f t="shared" si="69"/>
        <v>-1.5147156483199999</v>
      </c>
      <c r="AX385" s="9"/>
      <c r="AY385" s="22">
        <v>1.78833</v>
      </c>
      <c r="AZ385" s="22">
        <v>556.96299999999997</v>
      </c>
      <c r="BA385" s="22">
        <v>4.3948399999999999E-2</v>
      </c>
      <c r="BB385" s="22">
        <v>375</v>
      </c>
      <c r="BC385" s="22">
        <v>1.7874099999999999</v>
      </c>
      <c r="BD385">
        <f t="shared" si="70"/>
        <v>-43.948399999999999</v>
      </c>
      <c r="BE385">
        <f t="shared" si="71"/>
        <v>-78.594242171999994</v>
      </c>
    </row>
    <row r="386" spans="6:57">
      <c r="F386" s="9"/>
      <c r="G386" s="22">
        <v>-9.3383800000000003E-2</v>
      </c>
      <c r="H386" s="22">
        <v>113.63800000000001</v>
      </c>
      <c r="I386" s="22">
        <v>-1.7269900000000001E-2</v>
      </c>
      <c r="J386" s="22">
        <v>376</v>
      </c>
      <c r="K386" s="22">
        <v>-9.3963599999999994E-2</v>
      </c>
      <c r="L386">
        <f t="shared" si="60"/>
        <v>17.2699</v>
      </c>
      <c r="M386">
        <f t="shared" si="61"/>
        <v>-1.6127288876200001</v>
      </c>
      <c r="N386" s="9"/>
      <c r="O386" s="22">
        <v>1.7933699999999999</v>
      </c>
      <c r="P386" s="22">
        <v>207.602</v>
      </c>
      <c r="Q386" s="22">
        <v>2.6104700000000002E-2</v>
      </c>
      <c r="R386" s="22">
        <v>376</v>
      </c>
      <c r="S386" s="22">
        <v>1.79321</v>
      </c>
      <c r="T386">
        <f t="shared" si="62"/>
        <v>-26.104700000000001</v>
      </c>
      <c r="U386">
        <f t="shared" si="63"/>
        <v>-46.815385839000001</v>
      </c>
      <c r="X386" s="9"/>
      <c r="Y386" s="22">
        <v>-9.3383800000000003E-2</v>
      </c>
      <c r="Z386" s="22">
        <v>325.37099999999998</v>
      </c>
      <c r="AA386" s="22">
        <v>-1.7202800000000001E-2</v>
      </c>
      <c r="AB386" s="22">
        <v>376</v>
      </c>
      <c r="AC386" s="22">
        <v>-9.3841599999999997E-2</v>
      </c>
      <c r="AD386">
        <f t="shared" si="64"/>
        <v>17.2028</v>
      </c>
      <c r="AE386">
        <f t="shared" si="65"/>
        <v>-1.6064628346400001</v>
      </c>
      <c r="AF386" s="9"/>
      <c r="AG386" s="22">
        <v>1.7933699999999999</v>
      </c>
      <c r="AH386" s="22">
        <v>390.73700000000002</v>
      </c>
      <c r="AI386" s="22">
        <v>4.0023799999999998E-2</v>
      </c>
      <c r="AJ386" s="22">
        <v>376</v>
      </c>
      <c r="AK386" s="22">
        <v>1.79291</v>
      </c>
      <c r="AL386">
        <f t="shared" si="66"/>
        <v>-40.023800000000001</v>
      </c>
      <c r="AM386">
        <f t="shared" si="67"/>
        <v>-71.777482206000002</v>
      </c>
      <c r="AP386" s="9"/>
      <c r="AQ386" s="22">
        <v>-9.3383800000000003E-2</v>
      </c>
      <c r="AR386" s="22">
        <v>480.03899999999999</v>
      </c>
      <c r="AS386" s="22">
        <v>-1.7135600000000001E-2</v>
      </c>
      <c r="AT386" s="22">
        <v>376</v>
      </c>
      <c r="AU386" s="22">
        <v>-9.3963599999999994E-2</v>
      </c>
      <c r="AV386">
        <f t="shared" si="68"/>
        <v>17.1356</v>
      </c>
      <c r="AW386">
        <f t="shared" si="69"/>
        <v>-1.6001874432800001</v>
      </c>
      <c r="AX386" s="9"/>
      <c r="AY386" s="22">
        <v>1.7933699999999999</v>
      </c>
      <c r="AZ386" s="22">
        <v>557.06399999999996</v>
      </c>
      <c r="BA386" s="22">
        <v>4.86633E-2</v>
      </c>
      <c r="BB386" s="22">
        <v>376</v>
      </c>
      <c r="BC386" s="22">
        <v>1.79291</v>
      </c>
      <c r="BD386">
        <f t="shared" si="70"/>
        <v>-48.6633</v>
      </c>
      <c r="BE386">
        <f t="shared" si="71"/>
        <v>-87.271302320999993</v>
      </c>
    </row>
    <row r="387" spans="6:57">
      <c r="F387" s="9"/>
      <c r="G387" s="22">
        <v>-9.8419199999999998E-2</v>
      </c>
      <c r="H387" s="22">
        <v>113.739</v>
      </c>
      <c r="I387" s="22">
        <v>-1.7272900000000001E-2</v>
      </c>
      <c r="J387" s="22">
        <v>377</v>
      </c>
      <c r="K387" s="22">
        <v>-9.8846400000000001E-2</v>
      </c>
      <c r="L387">
        <f t="shared" si="60"/>
        <v>17.2729</v>
      </c>
      <c r="M387">
        <f t="shared" si="61"/>
        <v>-1.6999849996800001</v>
      </c>
      <c r="N387" s="9"/>
      <c r="O387" s="22">
        <v>1.7984</v>
      </c>
      <c r="P387" s="22">
        <v>207.703</v>
      </c>
      <c r="Q387" s="22">
        <v>2.8433199999999999E-2</v>
      </c>
      <c r="R387" s="22">
        <v>377</v>
      </c>
      <c r="S387" s="22">
        <v>1.79749</v>
      </c>
      <c r="T387">
        <f t="shared" si="62"/>
        <v>-28.433199999999999</v>
      </c>
      <c r="U387">
        <f t="shared" si="63"/>
        <v>-51.134266879999998</v>
      </c>
      <c r="X387" s="9"/>
      <c r="Y387" s="22">
        <v>-9.8419199999999998E-2</v>
      </c>
      <c r="Z387" s="22">
        <v>325.47199999999998</v>
      </c>
      <c r="AA387" s="22">
        <v>-1.7215000000000001E-2</v>
      </c>
      <c r="AB387" s="22">
        <v>377</v>
      </c>
      <c r="AC387" s="22">
        <v>-9.9090600000000001E-2</v>
      </c>
      <c r="AD387">
        <f t="shared" si="64"/>
        <v>17.215</v>
      </c>
      <c r="AE387">
        <f t="shared" si="65"/>
        <v>-1.6942865279999999</v>
      </c>
      <c r="AF387" s="9"/>
      <c r="AG387" s="22">
        <v>1.7984</v>
      </c>
      <c r="AH387" s="22">
        <v>390.83800000000002</v>
      </c>
      <c r="AI387" s="22">
        <v>4.3490599999999997E-2</v>
      </c>
      <c r="AJ387" s="22">
        <v>377</v>
      </c>
      <c r="AK387" s="22">
        <v>1.7984</v>
      </c>
      <c r="AL387">
        <f t="shared" si="66"/>
        <v>-43.490600000000001</v>
      </c>
      <c r="AM387">
        <f t="shared" si="67"/>
        <v>-78.213495039999998</v>
      </c>
      <c r="AP387" s="9"/>
      <c r="AQ387" s="22">
        <v>-9.8419199999999998E-2</v>
      </c>
      <c r="AR387" s="22">
        <v>480.13900000000001</v>
      </c>
      <c r="AS387" s="22">
        <v>-1.71387E-2</v>
      </c>
      <c r="AT387" s="22">
        <v>377</v>
      </c>
      <c r="AU387" s="22">
        <v>-9.8877000000000007E-2</v>
      </c>
      <c r="AV387">
        <f t="shared" si="68"/>
        <v>17.1387</v>
      </c>
      <c r="AW387">
        <f t="shared" si="69"/>
        <v>-1.68677714304</v>
      </c>
      <c r="AX387" s="9"/>
      <c r="AY387" s="22">
        <v>1.7984</v>
      </c>
      <c r="AZ387" s="22">
        <v>557.16499999999996</v>
      </c>
      <c r="BA387" s="22">
        <v>5.1769999999999997E-2</v>
      </c>
      <c r="BB387" s="22">
        <v>377</v>
      </c>
      <c r="BC387" s="22">
        <v>1.79779</v>
      </c>
      <c r="BD387">
        <f t="shared" si="70"/>
        <v>-51.769999999999996</v>
      </c>
      <c r="BE387">
        <f t="shared" si="71"/>
        <v>-93.103167999999997</v>
      </c>
    </row>
    <row r="388" spans="6:57">
      <c r="F388" s="9"/>
      <c r="G388" s="22">
        <v>-0.10345500000000001</v>
      </c>
      <c r="H388" s="22">
        <v>113.84</v>
      </c>
      <c r="I388" s="22">
        <v>-1.7263799999999999E-2</v>
      </c>
      <c r="J388" s="22">
        <v>378</v>
      </c>
      <c r="K388" s="22">
        <v>-0.103973</v>
      </c>
      <c r="L388">
        <f t="shared" si="60"/>
        <v>17.2638</v>
      </c>
      <c r="M388">
        <f t="shared" si="61"/>
        <v>-1.7860264290000001</v>
      </c>
      <c r="N388" s="9"/>
      <c r="O388" s="22">
        <v>1.8034399999999999</v>
      </c>
      <c r="P388" s="22">
        <v>207.803</v>
      </c>
      <c r="Q388" s="22">
        <v>3.21655E-2</v>
      </c>
      <c r="R388" s="22">
        <v>378</v>
      </c>
      <c r="S388" s="22">
        <v>1.80237</v>
      </c>
      <c r="T388">
        <f t="shared" si="62"/>
        <v>-32.165500000000002</v>
      </c>
      <c r="U388">
        <f t="shared" si="63"/>
        <v>-58.00854932</v>
      </c>
      <c r="X388" s="9"/>
      <c r="Y388" s="22">
        <v>-0.10345500000000001</v>
      </c>
      <c r="Z388" s="22">
        <v>325.572</v>
      </c>
      <c r="AA388" s="22">
        <v>-1.72211E-2</v>
      </c>
      <c r="AB388" s="22">
        <v>378</v>
      </c>
      <c r="AC388" s="22">
        <v>-0.103851</v>
      </c>
      <c r="AD388">
        <f t="shared" si="64"/>
        <v>17.2211</v>
      </c>
      <c r="AE388">
        <f t="shared" si="65"/>
        <v>-1.7816089005</v>
      </c>
      <c r="AF388" s="9"/>
      <c r="AG388" s="22">
        <v>1.8034399999999999</v>
      </c>
      <c r="AH388" s="22">
        <v>390.93900000000002</v>
      </c>
      <c r="AI388" s="22">
        <v>4.7824100000000001E-2</v>
      </c>
      <c r="AJ388" s="22">
        <v>378</v>
      </c>
      <c r="AK388" s="22">
        <v>1.80267</v>
      </c>
      <c r="AL388">
        <f t="shared" si="66"/>
        <v>-47.824100000000001</v>
      </c>
      <c r="AM388">
        <f t="shared" si="67"/>
        <v>-86.247894904000006</v>
      </c>
      <c r="AP388" s="9"/>
      <c r="AQ388" s="22">
        <v>-0.10345500000000001</v>
      </c>
      <c r="AR388" s="22">
        <v>480.24</v>
      </c>
      <c r="AS388" s="22">
        <v>-1.7141699999999999E-2</v>
      </c>
      <c r="AT388" s="22">
        <v>378</v>
      </c>
      <c r="AU388" s="22">
        <v>-0.103912</v>
      </c>
      <c r="AV388">
        <f t="shared" si="68"/>
        <v>17.1417</v>
      </c>
      <c r="AW388">
        <f t="shared" si="69"/>
        <v>-1.7733945735000001</v>
      </c>
      <c r="AX388" s="9"/>
      <c r="AY388" s="22">
        <v>1.8034399999999999</v>
      </c>
      <c r="AZ388" s="22">
        <v>557.26499999999999</v>
      </c>
      <c r="BA388" s="22">
        <v>5.53436E-2</v>
      </c>
      <c r="BB388" s="22">
        <v>378</v>
      </c>
      <c r="BC388" s="22">
        <v>1.80267</v>
      </c>
      <c r="BD388">
        <f t="shared" si="70"/>
        <v>-55.343600000000002</v>
      </c>
      <c r="BE388">
        <f t="shared" si="71"/>
        <v>-99.808861984000004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17423.522950829836</v>
      </c>
      <c r="H2" s="2"/>
      <c r="I2" s="6" t="s">
        <v>12</v>
      </c>
      <c r="J2" s="2"/>
      <c r="K2" s="7" t="s">
        <v>13</v>
      </c>
      <c r="L2" s="3">
        <f>L4*I6*L9/100*100</f>
        <v>1.1480068622000001</v>
      </c>
      <c r="M2" s="8" t="s">
        <v>14</v>
      </c>
      <c r="N2" s="9"/>
      <c r="O2" s="2">
        <f>ABS(S7-S6)/ABS(T7-T6)*1000</f>
        <v>1698.1561290323234</v>
      </c>
      <c r="P2" s="2"/>
      <c r="Q2" s="6" t="s">
        <v>15</v>
      </c>
      <c r="R2" s="2"/>
      <c r="S2" s="7" t="s">
        <v>13</v>
      </c>
      <c r="T2" s="3">
        <f>T4*Q6*T9/100*100</f>
        <v>25.286000216000005</v>
      </c>
      <c r="U2" s="8" t="s">
        <v>14</v>
      </c>
      <c r="X2" s="9"/>
      <c r="Y2" s="2">
        <f>ABS(AC7-AC6)/ABS(AD7-AD6)*1000</f>
        <v>1635.9450819672147</v>
      </c>
      <c r="Z2" s="2"/>
      <c r="AA2" s="6" t="s">
        <v>12</v>
      </c>
      <c r="AB2" s="2"/>
      <c r="AC2" s="7" t="s">
        <v>13</v>
      </c>
      <c r="AD2" s="3">
        <f>AD4*AA6*AD9/100*100</f>
        <v>25.290208222000004</v>
      </c>
      <c r="AE2" s="8" t="s">
        <v>14</v>
      </c>
      <c r="AF2" s="9"/>
      <c r="AG2" s="2">
        <f>ABS(AK7-AK6)/ABS(AL7-AL6)*1000</f>
        <v>2113.0108695652457</v>
      </c>
      <c r="AH2" s="2"/>
      <c r="AI2" s="6" t="s">
        <v>15</v>
      </c>
      <c r="AJ2" s="2"/>
      <c r="AK2" s="7" t="s">
        <v>13</v>
      </c>
      <c r="AL2" s="3">
        <f>AL4*AI6*AL9/100*100</f>
        <v>25.421248565999992</v>
      </c>
      <c r="AM2" s="8" t="s">
        <v>14</v>
      </c>
      <c r="AP2" s="9"/>
      <c r="AQ2" s="2">
        <f>ABS(AU7-AU6)/ABS(AV7-AV6)*1000</f>
        <v>3326.4133333332074</v>
      </c>
      <c r="AR2" s="2"/>
      <c r="AS2" s="6" t="s">
        <v>12</v>
      </c>
      <c r="AT2" s="2"/>
      <c r="AU2" s="7" t="s">
        <v>13</v>
      </c>
      <c r="AV2" s="3">
        <f>AV4*AS6*AV9/100*100</f>
        <v>25.443283100000009</v>
      </c>
      <c r="AW2" s="8" t="s">
        <v>14</v>
      </c>
      <c r="AX2" s="9"/>
      <c r="AY2" s="2">
        <f>ABS(BC7-BC6)/ABS(BD7-BD6)*1000</f>
        <v>799.96114754051837</v>
      </c>
      <c r="AZ2" s="2"/>
      <c r="BA2" s="6" t="s">
        <v>15</v>
      </c>
      <c r="BB2" s="2"/>
      <c r="BC2" s="7" t="s">
        <v>13</v>
      </c>
      <c r="BD2" s="3">
        <f>BD4*BA6*BD9/100*100</f>
        <v>25.467099096000002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7.8277600000000003E-2</v>
      </c>
      <c r="J3" s="2"/>
      <c r="K3" s="10">
        <f>INDEX(L11:L1056,MATCH(I3,K11:K1056,0))</f>
        <v>-41.659500000000001</v>
      </c>
      <c r="L3" s="33" t="s">
        <v>16</v>
      </c>
      <c r="M3" s="11">
        <f>M9</f>
        <v>1.1480068622000001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0.82977299999999998</v>
      </c>
      <c r="T3" s="33" t="s">
        <v>16</v>
      </c>
      <c r="U3" s="11">
        <f>U9</f>
        <v>25.286000216000005</v>
      </c>
      <c r="X3" s="9"/>
      <c r="Y3" s="2" t="s">
        <v>44</v>
      </c>
      <c r="Z3" s="2"/>
      <c r="AA3" s="2">
        <f>INDEX(AC11:AC856,MATCH(0,AD11:AD856,1))</f>
        <v>1.78894</v>
      </c>
      <c r="AB3" s="2"/>
      <c r="AC3" s="10">
        <f>INDEX(AD11:AD1056,MATCH(AA3,AC11:AC1056,0))</f>
        <v>-1.1950699999999999</v>
      </c>
      <c r="AD3" s="33" t="s">
        <v>16</v>
      </c>
      <c r="AE3" s="11">
        <f>AE9</f>
        <v>25.290208222000004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0.283752</v>
      </c>
      <c r="AL3" s="33" t="s">
        <v>16</v>
      </c>
      <c r="AM3" s="11">
        <f>AM9</f>
        <v>25.421248565999996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-0.206512</v>
      </c>
      <c r="AV3" s="33" t="s">
        <v>16</v>
      </c>
      <c r="AW3" s="11">
        <f>AW9</f>
        <v>25.443283100000006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1.1267099999999999</v>
      </c>
      <c r="BD3" s="33" t="s">
        <v>16</v>
      </c>
      <c r="BE3" s="11">
        <f>BE9</f>
        <v>25.467099096000002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0.11366996167192253</v>
      </c>
      <c r="H4" s="2"/>
      <c r="I4" s="2">
        <f>INDEX(K11:K1000,1+MATCH(0,L11:L856,1))</f>
        <v>7.2387699999999999E-2</v>
      </c>
      <c r="J4" s="2"/>
      <c r="K4" s="10">
        <f>INDEX(L11:L1056,MATCH(I4,K11:K1056,0))</f>
        <v>10.1563</v>
      </c>
      <c r="L4" s="32">
        <f>M3/(I6*L9)</f>
        <v>0.82250703573749628</v>
      </c>
      <c r="M4" s="8" t="s">
        <v>17</v>
      </c>
      <c r="N4" s="9"/>
      <c r="O4" s="2">
        <f>ABS(Q3-Q4)/ABS(S3-S4)*1000</f>
        <v>3.1915903462987618</v>
      </c>
      <c r="P4" s="2"/>
      <c r="Q4" s="2">
        <f>INDEX(S11:S856,1+MATCH(0,T11:T856,-1))</f>
        <v>1.7773399999999999</v>
      </c>
      <c r="R4" s="2"/>
      <c r="S4" s="10">
        <f>INDEX(T11:T856,MATCH(Q4,S11:S856,0))</f>
        <v>-0.50811799999999996</v>
      </c>
      <c r="T4" s="32">
        <f>U3/(Q6*T9)</f>
        <v>0.78622522155560648</v>
      </c>
      <c r="U4" s="8" t="s">
        <v>17</v>
      </c>
      <c r="X4" s="9"/>
      <c r="Y4" s="2">
        <f>ABS(AA3-AA4)/ABS(AC3-AC4)*1000</f>
        <v>3.1998174530371029</v>
      </c>
      <c r="Z4" s="2"/>
      <c r="AA4" s="2">
        <f>INDEX(AC11:AC1000,1+MATCH(0,AD11:AD856,1))</f>
        <v>1.78406</v>
      </c>
      <c r="AB4" s="2"/>
      <c r="AC4" s="10">
        <f>INDEX(AD11:AD1056,MATCH(AA4,AC11:AC1056,0))</f>
        <v>0.330017</v>
      </c>
      <c r="AD4" s="32">
        <f>AE3/(AA6*AD9)</f>
        <v>0.78359229776530781</v>
      </c>
      <c r="AE4" s="8" t="s">
        <v>17</v>
      </c>
      <c r="AF4" s="9"/>
      <c r="AG4" s="2">
        <f>ABS(AI3-AI4)/ABS(AK3-AK4)*1000</f>
        <v>3.1303372570308148</v>
      </c>
      <c r="AH4" s="2"/>
      <c r="AI4" s="2">
        <f>INDEX(AK11:AK856,1+MATCH(0,AL11:AL856,-1))</f>
        <v>1.7923</v>
      </c>
      <c r="AJ4" s="2"/>
      <c r="AK4" s="10">
        <f>INDEX(AL11:AL856,MATCH(AI4,AK11:AK856,0))</f>
        <v>-1.2783800000000001</v>
      </c>
      <c r="AL4" s="32">
        <f>AM3/(AI6*AL9)</f>
        <v>0.7924348712284538</v>
      </c>
      <c r="AM4" s="8" t="s">
        <v>17</v>
      </c>
      <c r="AP4" s="9"/>
      <c r="AQ4" s="2">
        <f>ABS(AS3-AS4)/ABS(AU3-AU4)*1000</f>
        <v>3.4192537618798018</v>
      </c>
      <c r="AR4" s="2"/>
      <c r="AS4" s="2">
        <f>INDEX(AU11:AU1000,1+MATCH(0,AV11:AV856,1))</f>
        <v>1.79413</v>
      </c>
      <c r="AT4" s="2"/>
      <c r="AU4" s="10">
        <f>INDEX(AV11:AV1056,MATCH(AS4,AU11:AU1056,0))</f>
        <v>1.2206999999999999</v>
      </c>
      <c r="AV4" s="32">
        <f>AW3/(AS6*AV9)</f>
        <v>0.78603146550543546</v>
      </c>
      <c r="AW4" s="8" t="s">
        <v>17</v>
      </c>
      <c r="AX4" s="9"/>
      <c r="AY4" s="2">
        <f>ABS(BA3-BA4)/ABS(BC3-BC4)*1000</f>
        <v>3.5008809538585428</v>
      </c>
      <c r="AZ4" s="2"/>
      <c r="BA4" s="2">
        <f>INDEX(BC11:BC856,1+MATCH(0,BD11:BD856,-1))</f>
        <v>1.79291</v>
      </c>
      <c r="BB4" s="2"/>
      <c r="BC4" s="10">
        <f>INDEX(BD11:BD856,MATCH(BA4,BC11:BC856,0))</f>
        <v>-0.35577399999999998</v>
      </c>
      <c r="BD4" s="32">
        <f>BE3/(BA6*BD9)</f>
        <v>0.79549352995344291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18.350200000000001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16.674800000000001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16.552700000000002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16.653399999999998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16.330000000000002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16.574100000000001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7.3542166231728545E-2</v>
      </c>
      <c r="J6" s="32"/>
      <c r="K6" s="13">
        <f>INDEX(K11:K1056,MATCH(L6,L11:L1056,0))</f>
        <v>1.9744900000000002E-3</v>
      </c>
      <c r="L6" s="10">
        <f>INDEX(L11:L1056,MATCH(0,K11:K1056,-1))</f>
        <v>18.978899999999999</v>
      </c>
      <c r="M6" s="8" t="s">
        <v>22</v>
      </c>
      <c r="N6" s="9"/>
      <c r="O6" s="2"/>
      <c r="P6" s="2"/>
      <c r="Q6" s="34">
        <f>(Q3-Q4)/(S3-S4)*(-S4)+Q4</f>
        <v>1.7757182954964192</v>
      </c>
      <c r="R6" s="34"/>
      <c r="S6" s="13">
        <f>INDEX(S11:S1056,MATCH(T6,T11:T1056,0))</f>
        <v>-4.4067400000000001E-3</v>
      </c>
      <c r="T6" s="10">
        <f>INDEX(T11:T1056,MATCH(0,S11:S1056,1))</f>
        <v>18.109099999999998</v>
      </c>
      <c r="U6" s="8" t="s">
        <v>22</v>
      </c>
      <c r="X6" s="9"/>
      <c r="Y6" s="2"/>
      <c r="Z6" s="2"/>
      <c r="AA6" s="32">
        <f>(AA3-AA4)/(AC3-AC4)*(-AC4)+AA4</f>
        <v>1.785115994156399</v>
      </c>
      <c r="AB6" s="32"/>
      <c r="AC6" s="13">
        <f>INDEX(AC11:AC1056,MATCH(AD6,AD11:AD1056,0))</f>
        <v>1.20911E-2</v>
      </c>
      <c r="AD6" s="10">
        <f>INDEX(AD11:AD1056,MATCH(0,AC11:AC1056,-1))</f>
        <v>18.072499999999998</v>
      </c>
      <c r="AE6" s="8" t="s">
        <v>22</v>
      </c>
      <c r="AF6" s="9"/>
      <c r="AG6" s="2"/>
      <c r="AH6" s="2"/>
      <c r="AI6" s="34">
        <f>(AI3-AI4)/(AK3-AK4)*(-AK4)+AI4</f>
        <v>1.788298239457357</v>
      </c>
      <c r="AJ6" s="34"/>
      <c r="AK6" s="13">
        <f>INDEX(AK11:AK1056,MATCH(AL6,AL11:AL1056,0))</f>
        <v>-5.0292999999999997E-2</v>
      </c>
      <c r="AL6" s="10">
        <f>INDEX(AL11:AL1056,MATCH(0,AK11:AK1056,1))</f>
        <v>17.962599999999998</v>
      </c>
      <c r="AM6" s="8" t="s">
        <v>22</v>
      </c>
      <c r="AP6" s="9"/>
      <c r="AQ6" s="2"/>
      <c r="AR6" s="2"/>
      <c r="AS6" s="32">
        <f>(AS3-AS4)/(AU3-AU4)*(-AU4)+AS4</f>
        <v>1.7983038830671267</v>
      </c>
      <c r="AT6" s="32"/>
      <c r="AU6" s="13">
        <f>INDEX(AU11:AU1056,MATCH(AV6,AV11:AV1056,0))</f>
        <v>2.0019500000000002E-3</v>
      </c>
      <c r="AV6" s="10">
        <f>INDEX(AV11:AV1056,MATCH(0,AU11:AU1056,-1))</f>
        <v>17.999299999999998</v>
      </c>
      <c r="AW6" s="8" t="s">
        <v>22</v>
      </c>
      <c r="AX6" s="9"/>
      <c r="AY6" s="2"/>
      <c r="AZ6" s="2"/>
      <c r="BA6" s="34">
        <f>(BA3-BA4)/(BC3-BC4)*(-BC4)+BA4</f>
        <v>1.7916644775795219</v>
      </c>
      <c r="BB6" s="34"/>
      <c r="BC6" s="13">
        <f>INDEX(BC11:BC1056,MATCH(BD6,BD11:BD1056,0))</f>
        <v>-4.5440699999999999E-3</v>
      </c>
      <c r="BD6" s="10">
        <f>INDEX(BD11:BD1056,MATCH(0,BC11:BC1056,1))</f>
        <v>17.874100000000002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-0.104309</v>
      </c>
      <c r="L7" s="10">
        <f>INDEX(L11:L856,1+MATCH(0,K11:K856,-1))</f>
        <v>18.972800000000003</v>
      </c>
      <c r="M7" s="12">
        <f>INDEX(K11:K1056,MATCH(M9,M11:M1056,0))</f>
        <v>6.2255900000000003E-2</v>
      </c>
      <c r="N7" s="9"/>
      <c r="O7" s="2"/>
      <c r="P7" s="2"/>
      <c r="Q7" s="2"/>
      <c r="R7" s="2"/>
      <c r="S7" s="13">
        <f>INDEX(S11:S1056,MATCH(T7,T11:T1056,0))</f>
        <v>8.5754400000000001E-4</v>
      </c>
      <c r="T7" s="10">
        <f>INDEX(T11:T1056,1+MATCH(0,S11:S1056,1))</f>
        <v>18.112199999999998</v>
      </c>
      <c r="U7" s="12">
        <f>INDEX(S11:S1056,MATCH(U9,U11:U1056,0))</f>
        <v>1.5152000000000001</v>
      </c>
      <c r="X7" s="9"/>
      <c r="Y7" s="2"/>
      <c r="Z7" s="2"/>
      <c r="AA7" s="2"/>
      <c r="AB7" s="2"/>
      <c r="AC7" s="13">
        <f>INDEX(AC11:AC856,MATCH(AD7,AD11:AD856,1))</f>
        <v>-7.8674299999999999E-3</v>
      </c>
      <c r="AD7" s="10">
        <f>INDEX(AD11:AD856,1+MATCH(0,AC11:AC856,-1))</f>
        <v>18.084699999999998</v>
      </c>
      <c r="AE7" s="12">
        <f>INDEX(AC11:AC1056,MATCH(AE9,AE11:AE1056,0))</f>
        <v>1.5274000000000001</v>
      </c>
      <c r="AF7" s="9"/>
      <c r="AG7" s="2"/>
      <c r="AH7" s="2"/>
      <c r="AI7" s="2"/>
      <c r="AJ7" s="2"/>
      <c r="AK7" s="13">
        <f>INDEX(AK11:AK1056,MATCH(AL7,AL11:AL1056,0))</f>
        <v>-6.9732699999999995E-2</v>
      </c>
      <c r="AL7" s="10">
        <f>INDEX(AL11:AL1056,2+MATCH(0,AK11:AK1056,1))</f>
        <v>17.971799999999998</v>
      </c>
      <c r="AM7" s="12">
        <f>INDEX(AK11:AK1056,MATCH(AM9,AM11:AM1056,0))</f>
        <v>1.5258799999999999</v>
      </c>
      <c r="AP7" s="9"/>
      <c r="AQ7" s="2"/>
      <c r="AR7" s="2"/>
      <c r="AS7" s="2"/>
      <c r="AT7" s="2"/>
      <c r="AU7" s="13">
        <f>INDEX(AU11:AU856,MATCH(AV7,AV11:AV856,1))</f>
        <v>-7.9772899999999997E-3</v>
      </c>
      <c r="AV7" s="10">
        <f>INDEX(AV11:AV856,1+MATCH(0,AU11:AU856,-1))</f>
        <v>18.002299999999998</v>
      </c>
      <c r="AW7" s="12">
        <f>INDEX(AU11:AU1056,MATCH(AW9,AW11:AW1056,0))</f>
        <v>1.55762</v>
      </c>
      <c r="AX7" s="9"/>
      <c r="AY7" s="2"/>
      <c r="AZ7" s="2"/>
      <c r="BA7" s="2"/>
      <c r="BB7" s="2"/>
      <c r="BC7" s="13">
        <f>INDEX(BC11:BC1056,MATCH(BD7,BD11:BD1056,0))</f>
        <v>3.3569300000000003E-4</v>
      </c>
      <c r="BD7" s="10">
        <f>INDEX(BD11:BD1056,1+MATCH(0,BC11:BC1056,1))</f>
        <v>17.867999999999999</v>
      </c>
      <c r="BE7" s="12">
        <f>INDEX(BC11:BC1056,MATCH(BE9,BE11:BE1056,0))</f>
        <v>1.5362499999999999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95.459911206227133</v>
      </c>
      <c r="J9" s="2"/>
      <c r="K9" s="2"/>
      <c r="L9" s="3">
        <f>(L6-L7)/(K6-K7)*(-K7)+L7</f>
        <v>18.978786676764191</v>
      </c>
      <c r="M9" s="16">
        <f>MAX(M11:M1056)</f>
        <v>1.1480068622000001</v>
      </c>
      <c r="N9" s="9"/>
      <c r="O9" s="2"/>
      <c r="P9" s="2"/>
      <c r="Q9" s="2"/>
      <c r="R9" s="2"/>
      <c r="S9" s="2"/>
      <c r="T9" s="3">
        <f>(T6-T7)/(S6-S7)*(-S7)+T7</f>
        <v>18.111695014630669</v>
      </c>
      <c r="U9" s="16">
        <f>MAX(U11:U1056)</f>
        <v>25.286000216000005</v>
      </c>
      <c r="X9" s="9"/>
      <c r="Y9" s="2"/>
      <c r="Z9" s="2"/>
      <c r="AA9" s="15">
        <f>(MAX(AD2,AL2)-MIN(AD2,AL2))/MAX(AD2,AL2)%</f>
        <v>0.51547564101650711</v>
      </c>
      <c r="AB9" s="2"/>
      <c r="AC9" s="2"/>
      <c r="AD9" s="3">
        <f>(AD6-AD7)/(AC6-AC7)*(-AC7)+AD7</f>
        <v>18.079890896022903</v>
      </c>
      <c r="AE9" s="16">
        <f>MAX(AE11:AE1056)</f>
        <v>25.290208222000004</v>
      </c>
      <c r="AF9" s="9"/>
      <c r="AG9" s="2"/>
      <c r="AH9" s="2"/>
      <c r="AI9" s="2"/>
      <c r="AJ9" s="2"/>
      <c r="AK9" s="2"/>
      <c r="AL9" s="3">
        <f>(AL6-AL7)/(AK6-AK7)*(-AK7)+AL7</f>
        <v>17.938798418699875</v>
      </c>
      <c r="AM9" s="16">
        <f>MAX(AM11:AM1056)</f>
        <v>25.421248565999996</v>
      </c>
      <c r="AP9" s="9"/>
      <c r="AQ9" s="2"/>
      <c r="AR9" s="2"/>
      <c r="AS9" s="15">
        <f>(MAX(AV2,BD2)-MIN(AV2,BD2))/MAX(AV2,BD2)%</f>
        <v>9.3516720966987918E-2</v>
      </c>
      <c r="AT9" s="2"/>
      <c r="AU9" s="2"/>
      <c r="AV9" s="3">
        <f>(AV6-AV7)/(AU6-AU7)*(-AU7)+AV7</f>
        <v>17.999901834408231</v>
      </c>
      <c r="AW9" s="16">
        <f>MAX(AW11:AW1056)</f>
        <v>25.443283100000006</v>
      </c>
      <c r="AX9" s="9"/>
      <c r="AY9" s="2"/>
      <c r="AZ9" s="2"/>
      <c r="BA9" s="2"/>
      <c r="BB9" s="2"/>
      <c r="BC9" s="2"/>
      <c r="BD9" s="3">
        <f>(BD6-BD7)/(BC6-BC7)*(-BC7)+BD7</f>
        <v>17.868419636629891</v>
      </c>
      <c r="BE9" s="16">
        <f>MAX(BE11:BE1056)</f>
        <v>25.467099096000002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7.3542166231728545E-2</v>
      </c>
      <c r="B11" s="19">
        <f>IFERROR(L9,0)</f>
        <v>18.978786676764191</v>
      </c>
      <c r="C11" s="20">
        <f>IFERROR(L4,0)</f>
        <v>0.82250703573749628</v>
      </c>
      <c r="D11" s="21">
        <f>IFERROR(L2,0)</f>
        <v>1.1480068622000001</v>
      </c>
      <c r="E11" s="21">
        <f>IFERROR(I9,0)</f>
        <v>95.459911206227133</v>
      </c>
      <c r="F11" s="9"/>
      <c r="G11" s="22">
        <v>1.8249500000000001</v>
      </c>
      <c r="H11" s="22">
        <v>55.628599999999999</v>
      </c>
      <c r="I11" s="22">
        <v>9.7573900000000005E-2</v>
      </c>
      <c r="J11" s="22">
        <v>1</v>
      </c>
      <c r="K11" s="22">
        <v>8.4106399999999998E-2</v>
      </c>
      <c r="L11">
        <f>-I11/$F$2*1000</f>
        <v>-97.573900000000009</v>
      </c>
      <c r="M11">
        <f>L11*G11</f>
        <v>-178.06748880500001</v>
      </c>
      <c r="N11" s="9"/>
      <c r="O11" s="22">
        <v>-9.49097E-2</v>
      </c>
      <c r="P11" s="22">
        <v>127.848</v>
      </c>
      <c r="Q11" s="22">
        <v>-1.8130500000000001E-2</v>
      </c>
      <c r="R11" s="22">
        <v>1</v>
      </c>
      <c r="S11" s="22">
        <v>-9.4970700000000005E-2</v>
      </c>
      <c r="T11">
        <f>-Q11/$F$2*1000</f>
        <v>18.130500000000001</v>
      </c>
      <c r="U11">
        <f>T11*O11</f>
        <v>-1.7207603158500002</v>
      </c>
      <c r="V11" s="23"/>
      <c r="W11" s="24"/>
      <c r="X11" s="9"/>
      <c r="Y11" s="22">
        <v>1.8249500000000001</v>
      </c>
      <c r="Z11" s="22">
        <v>186.63499999999999</v>
      </c>
      <c r="AA11" s="22">
        <v>1.69769E-2</v>
      </c>
      <c r="AB11" s="22">
        <v>1</v>
      </c>
      <c r="AC11" s="22">
        <v>1.8240400000000001</v>
      </c>
      <c r="AD11">
        <f>-AA11/$F$2*1000</f>
        <v>-16.976900000000001</v>
      </c>
      <c r="AE11">
        <f>AD11*Y11</f>
        <v>-30.981993655000004</v>
      </c>
      <c r="AF11" s="9"/>
      <c r="AG11" s="22">
        <v>-9.49097E-2</v>
      </c>
      <c r="AH11" s="22">
        <v>278.65300000000002</v>
      </c>
      <c r="AI11" s="22">
        <v>-1.7984E-2</v>
      </c>
      <c r="AJ11" s="22">
        <v>1</v>
      </c>
      <c r="AK11" s="22">
        <v>-9.49097E-2</v>
      </c>
      <c r="AL11">
        <f>-AI11/$F$2*1000</f>
        <v>17.984000000000002</v>
      </c>
      <c r="AM11">
        <f>AL11*AG11</f>
        <v>-1.7068560448000001</v>
      </c>
      <c r="AP11" s="9"/>
      <c r="AQ11" s="22">
        <v>1.8249500000000001</v>
      </c>
      <c r="AR11" s="22">
        <v>374.61599999999999</v>
      </c>
      <c r="AS11" s="22">
        <v>1.15265E-2</v>
      </c>
      <c r="AT11" s="22">
        <v>1</v>
      </c>
      <c r="AU11" s="22">
        <v>1.8243400000000001</v>
      </c>
      <c r="AV11">
        <f>-AS11/$F$2*1000</f>
        <v>-11.5265</v>
      </c>
      <c r="AW11">
        <f>AV11*AQ11</f>
        <v>-21.035286175000003</v>
      </c>
      <c r="AX11" s="9"/>
      <c r="AY11" s="22">
        <v>-9.49097E-2</v>
      </c>
      <c r="AZ11" s="22">
        <v>468.88400000000001</v>
      </c>
      <c r="BA11" s="22">
        <v>-1.7935199999999998E-2</v>
      </c>
      <c r="BB11" s="22">
        <v>1</v>
      </c>
      <c r="BC11" s="22">
        <v>-9.5825199999999999E-2</v>
      </c>
      <c r="BD11">
        <f>-BA11/$F$2*1000</f>
        <v>17.935199999999998</v>
      </c>
      <c r="BE11">
        <f>BD11*AY11</f>
        <v>-1.7022244514399998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1.7757182954964192</v>
      </c>
      <c r="B12" s="19">
        <f>IFERROR(T9,0)</f>
        <v>18.111695014630669</v>
      </c>
      <c r="C12" s="20">
        <f>IFERROR(T4,0)</f>
        <v>0.78622522155560648</v>
      </c>
      <c r="D12" s="21">
        <f>IFERROR(T2,0)</f>
        <v>25.286000216000005</v>
      </c>
      <c r="E12" s="21"/>
      <c r="F12" s="9"/>
      <c r="G12" s="22">
        <v>1.81992</v>
      </c>
      <c r="H12" s="22">
        <v>55.729300000000002</v>
      </c>
      <c r="I12" s="22">
        <v>2.8302000000000001E-2</v>
      </c>
      <c r="J12" s="22">
        <v>2</v>
      </c>
      <c r="K12" s="22">
        <v>8.3007800000000007E-2</v>
      </c>
      <c r="L12">
        <f t="shared" ref="L12:L75" si="0">-I12/$F$2*1000</f>
        <v>-28.302</v>
      </c>
      <c r="M12">
        <f t="shared" ref="M12:M75" si="1">L12*G12</f>
        <v>-51.507375840000002</v>
      </c>
      <c r="N12" s="9"/>
      <c r="O12" s="22">
        <v>-8.9874300000000004E-2</v>
      </c>
      <c r="P12" s="22">
        <v>127.94799999999999</v>
      </c>
      <c r="Q12" s="22">
        <v>-1.8130500000000001E-2</v>
      </c>
      <c r="R12" s="22">
        <v>2</v>
      </c>
      <c r="S12" s="22">
        <v>-9.0087899999999999E-2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1.81992</v>
      </c>
      <c r="Z12" s="22">
        <v>186.73500000000001</v>
      </c>
      <c r="AA12" s="22">
        <v>1.43646E-2</v>
      </c>
      <c r="AB12" s="22">
        <v>2</v>
      </c>
      <c r="AC12" s="22">
        <v>1.81976</v>
      </c>
      <c r="AD12">
        <f t="shared" ref="AD12:AD75" si="4">-AA12/$F$2*1000</f>
        <v>-14.364599999999999</v>
      </c>
      <c r="AE12">
        <f t="shared" ref="AE12:AE75" si="5">AD12*Y12</f>
        <v>-26.142422831999998</v>
      </c>
      <c r="AF12" s="9"/>
      <c r="AG12" s="22">
        <v>-8.9874300000000004E-2</v>
      </c>
      <c r="AH12" s="22">
        <v>278.75400000000002</v>
      </c>
      <c r="AI12" s="22">
        <v>-1.7981E-2</v>
      </c>
      <c r="AJ12" s="22">
        <v>2</v>
      </c>
      <c r="AK12" s="22">
        <v>-9.0240500000000001E-2</v>
      </c>
      <c r="AL12">
        <f t="shared" ref="AL12:AL75" si="6">-AI12/$F$2*1000</f>
        <v>17.981000000000002</v>
      </c>
      <c r="AM12">
        <f t="shared" ref="AM12:AM75" si="7">AL12*AG12</f>
        <v>-1.6160297883000003</v>
      </c>
      <c r="AP12" s="9"/>
      <c r="AQ12" s="22">
        <v>1.81992</v>
      </c>
      <c r="AR12" s="22">
        <v>374.71699999999998</v>
      </c>
      <c r="AS12" s="22">
        <v>9.0515100000000005E-3</v>
      </c>
      <c r="AT12" s="22">
        <v>2</v>
      </c>
      <c r="AU12" s="22">
        <v>1.81915</v>
      </c>
      <c r="AV12">
        <f t="shared" ref="AV12:AV75" si="8">-AS12/$F$2*1000</f>
        <v>-9.0515100000000004</v>
      </c>
      <c r="AW12">
        <f t="shared" ref="AW12:AW75" si="9">AV12*AQ12</f>
        <v>-16.473024079200002</v>
      </c>
      <c r="AX12" s="9"/>
      <c r="AY12" s="22">
        <v>-8.9874300000000004E-2</v>
      </c>
      <c r="AZ12" s="22">
        <v>468.98500000000001</v>
      </c>
      <c r="BA12" s="22">
        <v>-1.7935199999999998E-2</v>
      </c>
      <c r="BB12" s="22">
        <v>2</v>
      </c>
      <c r="BC12" s="22">
        <v>-8.9904800000000007E-2</v>
      </c>
      <c r="BD12">
        <f t="shared" ref="BD12:BD75" si="10">-BA12/$F$2*1000</f>
        <v>17.935199999999998</v>
      </c>
      <c r="BE12">
        <f t="shared" ref="BE12:BE75" si="11">BD12*AY12</f>
        <v>-1.61191354536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1.785115994156399</v>
      </c>
      <c r="B13" s="19">
        <f>IFERROR(AD9,0)</f>
        <v>18.079890896022903</v>
      </c>
      <c r="C13" s="20">
        <f>IFERROR(AD4,0)</f>
        <v>0.78359229776530781</v>
      </c>
      <c r="D13" s="21">
        <f>IFERROR(AD2,0)</f>
        <v>25.290208222000004</v>
      </c>
      <c r="E13" s="21">
        <f>IFERROR(AA9,0)</f>
        <v>0.51547564101650711</v>
      </c>
      <c r="F13" s="9"/>
      <c r="G13" s="22">
        <v>1.81488</v>
      </c>
      <c r="H13" s="22">
        <v>55.83</v>
      </c>
      <c r="I13" s="22">
        <v>8.5491899999999996E-2</v>
      </c>
      <c r="J13" s="22">
        <v>3</v>
      </c>
      <c r="K13" s="22">
        <v>8.3618200000000004E-2</v>
      </c>
      <c r="L13">
        <f t="shared" si="0"/>
        <v>-85.491900000000001</v>
      </c>
      <c r="M13">
        <f t="shared" si="1"/>
        <v>-155.157539472</v>
      </c>
      <c r="N13" s="9"/>
      <c r="O13" s="22">
        <v>-8.4838899999999995E-2</v>
      </c>
      <c r="P13" s="22">
        <v>128.04900000000001</v>
      </c>
      <c r="Q13" s="22">
        <v>-1.8127399999999998E-2</v>
      </c>
      <c r="R13" s="22">
        <v>3</v>
      </c>
      <c r="S13" s="22">
        <v>-8.5143999999999997E-2</v>
      </c>
      <c r="T13">
        <f t="shared" si="2"/>
        <v>18.127399999999998</v>
      </c>
      <c r="U13">
        <f t="shared" si="3"/>
        <v>-1.5379086758599998</v>
      </c>
      <c r="V13" s="23"/>
      <c r="W13" s="24"/>
      <c r="X13" s="9"/>
      <c r="Y13" s="22">
        <v>1.81488</v>
      </c>
      <c r="Z13" s="22">
        <v>186.83600000000001</v>
      </c>
      <c r="AA13" s="22">
        <v>1.18408E-2</v>
      </c>
      <c r="AB13" s="22">
        <v>3</v>
      </c>
      <c r="AC13" s="22">
        <v>1.81427</v>
      </c>
      <c r="AD13">
        <f t="shared" si="4"/>
        <v>-11.8408</v>
      </c>
      <c r="AE13">
        <f t="shared" si="5"/>
        <v>-21.489631104000001</v>
      </c>
      <c r="AF13" s="9"/>
      <c r="AG13" s="22">
        <v>-8.4838899999999995E-2</v>
      </c>
      <c r="AH13" s="22">
        <v>278.85500000000002</v>
      </c>
      <c r="AI13" s="22">
        <v>-1.7977900000000002E-2</v>
      </c>
      <c r="AJ13" s="22">
        <v>3</v>
      </c>
      <c r="AK13" s="22">
        <v>-8.5022E-2</v>
      </c>
      <c r="AL13">
        <f t="shared" si="6"/>
        <v>17.977900000000002</v>
      </c>
      <c r="AM13">
        <f t="shared" si="7"/>
        <v>-1.5252252603100001</v>
      </c>
      <c r="AP13" s="9"/>
      <c r="AQ13" s="22">
        <v>1.81488</v>
      </c>
      <c r="AR13" s="22">
        <v>374.81700000000001</v>
      </c>
      <c r="AS13" s="22">
        <v>6.55823E-3</v>
      </c>
      <c r="AT13" s="22">
        <v>3</v>
      </c>
      <c r="AU13" s="22">
        <v>1.81427</v>
      </c>
      <c r="AV13">
        <f t="shared" si="8"/>
        <v>-6.55823</v>
      </c>
      <c r="AW13">
        <f t="shared" si="9"/>
        <v>-11.902400462400001</v>
      </c>
      <c r="AX13" s="9"/>
      <c r="AY13" s="22">
        <v>-8.4838899999999995E-2</v>
      </c>
      <c r="AZ13" s="22">
        <v>469.08600000000001</v>
      </c>
      <c r="BA13" s="22">
        <v>-1.7947399999999999E-2</v>
      </c>
      <c r="BB13" s="22">
        <v>3</v>
      </c>
      <c r="BC13" s="22">
        <v>-8.4991499999999998E-2</v>
      </c>
      <c r="BD13">
        <f t="shared" si="10"/>
        <v>17.947399999999998</v>
      </c>
      <c r="BE13">
        <f t="shared" si="11"/>
        <v>-1.5226376738599998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1.788298239457357</v>
      </c>
      <c r="B14" s="19">
        <f>IFERROR(AL9,0)</f>
        <v>17.938798418699875</v>
      </c>
      <c r="C14" s="20">
        <f>IFERROR(AL4,0)</f>
        <v>0.7924348712284538</v>
      </c>
      <c r="D14" s="21">
        <f>IFERROR(AL2,0)</f>
        <v>25.421248565999992</v>
      </c>
      <c r="E14" s="21"/>
      <c r="F14" s="9"/>
      <c r="G14" s="22">
        <v>1.8098399999999999</v>
      </c>
      <c r="H14" s="22">
        <v>55.930700000000002</v>
      </c>
      <c r="I14" s="22">
        <v>3.4210200000000003E-2</v>
      </c>
      <c r="J14" s="22">
        <v>4</v>
      </c>
      <c r="K14" s="22">
        <v>8.2885700000000007E-2</v>
      </c>
      <c r="L14">
        <f t="shared" si="0"/>
        <v>-34.2102</v>
      </c>
      <c r="M14">
        <f t="shared" si="1"/>
        <v>-61.914988367999996</v>
      </c>
      <c r="N14" s="9"/>
      <c r="O14" s="22">
        <v>-7.9803499999999999E-2</v>
      </c>
      <c r="P14" s="22">
        <v>128.15</v>
      </c>
      <c r="Q14" s="22">
        <v>-1.81335E-2</v>
      </c>
      <c r="R14" s="22">
        <v>4</v>
      </c>
      <c r="S14" s="22">
        <v>-8.0108600000000002E-2</v>
      </c>
      <c r="T14">
        <f t="shared" si="2"/>
        <v>18.133500000000002</v>
      </c>
      <c r="U14">
        <f t="shared" si="3"/>
        <v>-1.44711676725</v>
      </c>
      <c r="V14" s="23"/>
      <c r="W14" s="24"/>
      <c r="X14" s="9"/>
      <c r="Y14" s="22">
        <v>1.8098399999999999</v>
      </c>
      <c r="Z14" s="22">
        <v>186.93700000000001</v>
      </c>
      <c r="AA14" s="22">
        <v>9.5275900000000007E-3</v>
      </c>
      <c r="AB14" s="22">
        <v>4</v>
      </c>
      <c r="AC14" s="22">
        <v>1.80908</v>
      </c>
      <c r="AD14">
        <f t="shared" si="4"/>
        <v>-9.52759</v>
      </c>
      <c r="AE14">
        <f t="shared" si="5"/>
        <v>-17.243413485599998</v>
      </c>
      <c r="AF14" s="9"/>
      <c r="AG14" s="22">
        <v>-7.9803499999999999E-2</v>
      </c>
      <c r="AH14" s="22">
        <v>278.95499999999998</v>
      </c>
      <c r="AI14" s="22">
        <v>-1.7977900000000002E-2</v>
      </c>
      <c r="AJ14" s="22">
        <v>4</v>
      </c>
      <c r="AK14" s="22">
        <v>-7.9986600000000005E-2</v>
      </c>
      <c r="AL14">
        <f t="shared" si="6"/>
        <v>17.977900000000002</v>
      </c>
      <c r="AM14">
        <f t="shared" si="7"/>
        <v>-1.4346993426500001</v>
      </c>
      <c r="AP14" s="9"/>
      <c r="AQ14" s="22">
        <v>1.8098399999999999</v>
      </c>
      <c r="AR14" s="22">
        <v>374.91800000000001</v>
      </c>
      <c r="AS14" s="22">
        <v>4.1693099999999999E-3</v>
      </c>
      <c r="AT14" s="22">
        <v>4</v>
      </c>
      <c r="AU14" s="22">
        <v>1.8093900000000001</v>
      </c>
      <c r="AV14">
        <f t="shared" si="8"/>
        <v>-4.1693100000000003</v>
      </c>
      <c r="AW14">
        <f t="shared" si="9"/>
        <v>-7.5457840104000002</v>
      </c>
      <c r="AX14" s="9"/>
      <c r="AY14" s="22">
        <v>-7.9803499999999999E-2</v>
      </c>
      <c r="AZ14" s="22">
        <v>469.18700000000001</v>
      </c>
      <c r="BA14" s="22">
        <v>-1.7947399999999999E-2</v>
      </c>
      <c r="BB14" s="22">
        <v>4</v>
      </c>
      <c r="BC14" s="22">
        <v>-8.0108600000000002E-2</v>
      </c>
      <c r="BD14">
        <f t="shared" si="10"/>
        <v>17.947399999999998</v>
      </c>
      <c r="BE14">
        <f t="shared" si="11"/>
        <v>-1.4322653358999999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1.7983038830671267</v>
      </c>
      <c r="B15" s="19">
        <f>IFERROR(AV9,0)</f>
        <v>17.999901834408231</v>
      </c>
      <c r="C15" s="20">
        <f>IFERROR(AV4,0)</f>
        <v>0.78603146550543546</v>
      </c>
      <c r="D15" s="21">
        <f>IFERROR(AV2,0)</f>
        <v>25.443283100000009</v>
      </c>
      <c r="E15" s="21">
        <f>IFERROR(AS9,0)</f>
        <v>9.3516720966987918E-2</v>
      </c>
      <c r="F15" s="9"/>
      <c r="G15" s="22">
        <v>1.80481</v>
      </c>
      <c r="H15" s="22">
        <v>56.031399999999998</v>
      </c>
      <c r="I15" s="22">
        <v>3.4258999999999998E-2</v>
      </c>
      <c r="J15" s="22">
        <v>5</v>
      </c>
      <c r="K15" s="22">
        <v>8.2733200000000007E-2</v>
      </c>
      <c r="L15">
        <f t="shared" si="0"/>
        <v>-34.259</v>
      </c>
      <c r="M15">
        <f t="shared" si="1"/>
        <v>-61.83098579</v>
      </c>
      <c r="N15" s="9"/>
      <c r="O15" s="22">
        <v>-7.4768100000000004E-2</v>
      </c>
      <c r="P15" s="22">
        <v>128.251</v>
      </c>
      <c r="Q15" s="22">
        <v>-1.81213E-2</v>
      </c>
      <c r="R15" s="22">
        <v>5</v>
      </c>
      <c r="S15" s="22">
        <v>-7.5195300000000007E-2</v>
      </c>
      <c r="T15">
        <f t="shared" si="2"/>
        <v>18.121300000000002</v>
      </c>
      <c r="U15">
        <f t="shared" si="3"/>
        <v>-1.3548951705300001</v>
      </c>
      <c r="V15" s="23"/>
      <c r="W15" s="24"/>
      <c r="X15" s="9"/>
      <c r="Y15" s="22">
        <v>1.80481</v>
      </c>
      <c r="Z15" s="22">
        <v>187.03700000000001</v>
      </c>
      <c r="AA15" s="22">
        <v>7.1960399999999999E-3</v>
      </c>
      <c r="AB15" s="22">
        <v>5</v>
      </c>
      <c r="AC15" s="22">
        <v>1.8042</v>
      </c>
      <c r="AD15">
        <f t="shared" si="4"/>
        <v>-7.19604</v>
      </c>
      <c r="AE15">
        <f t="shared" si="5"/>
        <v>-12.987484952400001</v>
      </c>
      <c r="AF15" s="9"/>
      <c r="AG15" s="22">
        <v>-7.4768100000000004E-2</v>
      </c>
      <c r="AH15" s="22">
        <v>279.05599999999998</v>
      </c>
      <c r="AI15" s="22">
        <v>-1.79688E-2</v>
      </c>
      <c r="AJ15" s="22">
        <v>5</v>
      </c>
      <c r="AK15" s="22">
        <v>-7.4951199999999996E-2</v>
      </c>
      <c r="AL15">
        <f t="shared" si="6"/>
        <v>17.968800000000002</v>
      </c>
      <c r="AM15">
        <f t="shared" si="7"/>
        <v>-1.3434930352800003</v>
      </c>
      <c r="AP15" s="9"/>
      <c r="AQ15" s="22">
        <v>1.80481</v>
      </c>
      <c r="AR15" s="22">
        <v>375.01900000000001</v>
      </c>
      <c r="AS15" s="22">
        <v>2.0379600000000001E-3</v>
      </c>
      <c r="AT15" s="22">
        <v>5</v>
      </c>
      <c r="AU15" s="22">
        <v>1.8042</v>
      </c>
      <c r="AV15">
        <f t="shared" si="8"/>
        <v>-2.03796</v>
      </c>
      <c r="AW15">
        <f t="shared" si="9"/>
        <v>-3.6781305876000001</v>
      </c>
      <c r="AX15" s="9"/>
      <c r="AY15" s="22">
        <v>-7.4768100000000004E-2</v>
      </c>
      <c r="AZ15" s="22">
        <v>469.28699999999998</v>
      </c>
      <c r="BA15" s="22">
        <v>-1.79443E-2</v>
      </c>
      <c r="BB15" s="22">
        <v>5</v>
      </c>
      <c r="BC15" s="22">
        <v>-7.4920700000000007E-2</v>
      </c>
      <c r="BD15">
        <f t="shared" si="10"/>
        <v>17.944299999999998</v>
      </c>
      <c r="BE15">
        <f t="shared" si="11"/>
        <v>-1.3416612168299999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1.7916644775795219</v>
      </c>
      <c r="B16" s="19">
        <f>IFERROR(BD9,0)</f>
        <v>17.868419636629891</v>
      </c>
      <c r="C16" s="20">
        <f>IFERROR(BD4,0)</f>
        <v>0.79549352995344291</v>
      </c>
      <c r="D16" s="21">
        <f>IFERROR(BD2,0)</f>
        <v>25.467099096000002</v>
      </c>
      <c r="E16" s="21"/>
      <c r="F16" s="9"/>
      <c r="G16" s="22">
        <v>1.7997700000000001</v>
      </c>
      <c r="H16" s="22">
        <v>56.132100000000001</v>
      </c>
      <c r="I16" s="22">
        <v>3.6282300000000003E-2</v>
      </c>
      <c r="J16" s="22">
        <v>6</v>
      </c>
      <c r="K16" s="22">
        <v>8.2611100000000007E-2</v>
      </c>
      <c r="L16">
        <f t="shared" si="0"/>
        <v>-36.282300000000006</v>
      </c>
      <c r="M16">
        <f t="shared" si="1"/>
        <v>-65.29979507100002</v>
      </c>
      <c r="N16" s="9"/>
      <c r="O16" s="22">
        <v>-6.9732699999999995E-2</v>
      </c>
      <c r="P16" s="22">
        <v>128.351</v>
      </c>
      <c r="Q16" s="22">
        <v>-1.8130500000000001E-2</v>
      </c>
      <c r="R16" s="22">
        <v>6</v>
      </c>
      <c r="S16" s="22">
        <v>-6.96716E-2</v>
      </c>
      <c r="T16">
        <f t="shared" si="2"/>
        <v>18.130500000000001</v>
      </c>
      <c r="U16">
        <f t="shared" si="3"/>
        <v>-1.2642887173499999</v>
      </c>
      <c r="V16" s="23"/>
      <c r="W16" s="24"/>
      <c r="X16" s="9"/>
      <c r="Y16" s="22">
        <v>1.7997700000000001</v>
      </c>
      <c r="Z16" s="22">
        <v>187.13800000000001</v>
      </c>
      <c r="AA16" s="22">
        <v>5.0628699999999997E-3</v>
      </c>
      <c r="AB16" s="22">
        <v>6</v>
      </c>
      <c r="AC16" s="22">
        <v>1.79932</v>
      </c>
      <c r="AD16">
        <f t="shared" si="4"/>
        <v>-5.0628699999999993</v>
      </c>
      <c r="AE16">
        <f t="shared" si="5"/>
        <v>-9.1120015398999996</v>
      </c>
      <c r="AF16" s="9"/>
      <c r="AG16" s="22">
        <v>-6.9732699999999995E-2</v>
      </c>
      <c r="AH16" s="22">
        <v>279.15699999999998</v>
      </c>
      <c r="AI16" s="22">
        <v>-1.79718E-2</v>
      </c>
      <c r="AJ16" s="22">
        <v>6</v>
      </c>
      <c r="AK16" s="22">
        <v>-6.9732699999999995E-2</v>
      </c>
      <c r="AL16">
        <f t="shared" si="6"/>
        <v>17.971799999999998</v>
      </c>
      <c r="AM16">
        <f t="shared" si="7"/>
        <v>-1.2532221378599997</v>
      </c>
      <c r="AP16" s="9"/>
      <c r="AQ16" s="22">
        <v>1.7997700000000001</v>
      </c>
      <c r="AR16" s="22">
        <v>375.11900000000003</v>
      </c>
      <c r="AS16" s="22">
        <v>2.06512E-4</v>
      </c>
      <c r="AT16" s="22">
        <v>6</v>
      </c>
      <c r="AU16" s="22">
        <v>1.79901</v>
      </c>
      <c r="AV16">
        <f t="shared" si="8"/>
        <v>-0.206512</v>
      </c>
      <c r="AW16">
        <f t="shared" si="9"/>
        <v>-0.37167410224000003</v>
      </c>
      <c r="AX16" s="9"/>
      <c r="AY16" s="22">
        <v>-6.9732699999999995E-2</v>
      </c>
      <c r="AZ16" s="22">
        <v>469.38799999999998</v>
      </c>
      <c r="BA16" s="22">
        <v>-1.7947399999999999E-2</v>
      </c>
      <c r="BB16" s="22">
        <v>6</v>
      </c>
      <c r="BC16" s="22">
        <v>-6.9946300000000003E-2</v>
      </c>
      <c r="BD16">
        <f t="shared" si="10"/>
        <v>17.947399999999998</v>
      </c>
      <c r="BE16">
        <f t="shared" si="11"/>
        <v>-1.2515206599799997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56.232799999999997</v>
      </c>
      <c r="I17" s="22">
        <v>3.8223300000000002E-2</v>
      </c>
      <c r="J17" s="22">
        <v>7</v>
      </c>
      <c r="K17" s="22">
        <v>8.2549999999999998E-2</v>
      </c>
      <c r="L17">
        <f t="shared" si="0"/>
        <v>-38.223300000000002</v>
      </c>
      <c r="M17">
        <f t="shared" si="1"/>
        <v>-68.600885442000006</v>
      </c>
      <c r="N17" s="9"/>
      <c r="O17" s="22">
        <v>-6.4697299999999999E-2</v>
      </c>
      <c r="P17" s="22">
        <v>128.452</v>
      </c>
      <c r="Q17" s="22">
        <v>-1.8130500000000001E-2</v>
      </c>
      <c r="R17" s="22">
        <v>7</v>
      </c>
      <c r="S17" s="22">
        <v>-6.5093999999999999E-2</v>
      </c>
      <c r="T17">
        <f t="shared" si="2"/>
        <v>18.130500000000001</v>
      </c>
      <c r="U17">
        <f t="shared" si="3"/>
        <v>-1.1729943976500001</v>
      </c>
      <c r="V17" s="23"/>
      <c r="W17" s="24"/>
      <c r="X17" s="9"/>
      <c r="Y17" s="22">
        <v>1.79474</v>
      </c>
      <c r="Z17" s="22">
        <v>187.239</v>
      </c>
      <c r="AA17" s="22">
        <v>2.98248E-3</v>
      </c>
      <c r="AB17" s="22">
        <v>7</v>
      </c>
      <c r="AC17" s="22">
        <v>1.79413</v>
      </c>
      <c r="AD17">
        <f t="shared" si="4"/>
        <v>-2.9824800000000002</v>
      </c>
      <c r="AE17">
        <f t="shared" si="5"/>
        <v>-5.3527761552000008</v>
      </c>
      <c r="AF17" s="9"/>
      <c r="AG17" s="22">
        <v>-6.4697299999999999E-2</v>
      </c>
      <c r="AH17" s="22">
        <v>279.25700000000001</v>
      </c>
      <c r="AI17" s="22">
        <v>-1.7965700000000001E-2</v>
      </c>
      <c r="AJ17" s="22">
        <v>7</v>
      </c>
      <c r="AK17" s="22">
        <v>-6.4941399999999996E-2</v>
      </c>
      <c r="AL17">
        <f t="shared" si="6"/>
        <v>17.965700000000002</v>
      </c>
      <c r="AM17">
        <f t="shared" si="7"/>
        <v>-1.1623322826100002</v>
      </c>
      <c r="AP17" s="9"/>
      <c r="AQ17" s="22">
        <v>1.79474</v>
      </c>
      <c r="AR17" s="22">
        <v>375.22</v>
      </c>
      <c r="AS17" s="22">
        <v>-1.2206999999999999E-3</v>
      </c>
      <c r="AT17" s="22">
        <v>7</v>
      </c>
      <c r="AU17" s="22">
        <v>1.79413</v>
      </c>
      <c r="AV17">
        <f t="shared" si="8"/>
        <v>1.2206999999999999</v>
      </c>
      <c r="AW17">
        <f t="shared" si="9"/>
        <v>2.190839118</v>
      </c>
      <c r="AX17" s="9"/>
      <c r="AY17" s="22">
        <v>-6.4697299999999999E-2</v>
      </c>
      <c r="AZ17" s="22">
        <v>469.48899999999998</v>
      </c>
      <c r="BA17" s="22">
        <v>-1.7947399999999999E-2</v>
      </c>
      <c r="BB17" s="22">
        <v>7</v>
      </c>
      <c r="BC17" s="22">
        <v>-6.5032999999999994E-2</v>
      </c>
      <c r="BD17">
        <f t="shared" si="10"/>
        <v>17.947399999999998</v>
      </c>
      <c r="BE17">
        <f t="shared" si="11"/>
        <v>-1.1611483220199998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56.333599999999997</v>
      </c>
      <c r="I18" s="22">
        <v>7.4639899999999995E-2</v>
      </c>
      <c r="J18" s="22">
        <v>8</v>
      </c>
      <c r="K18" s="22">
        <v>8.2946800000000001E-2</v>
      </c>
      <c r="L18">
        <f t="shared" si="0"/>
        <v>-74.639899999999997</v>
      </c>
      <c r="M18">
        <f t="shared" si="1"/>
        <v>-133.58302903000001</v>
      </c>
      <c r="N18" s="9"/>
      <c r="O18" s="22">
        <v>-5.9661899999999997E-2</v>
      </c>
      <c r="P18" s="22">
        <v>128.553</v>
      </c>
      <c r="Q18" s="22">
        <v>-1.8130500000000001E-2</v>
      </c>
      <c r="R18" s="22">
        <v>8</v>
      </c>
      <c r="S18" s="22">
        <v>-6.0272199999999998E-2</v>
      </c>
      <c r="T18">
        <f t="shared" si="2"/>
        <v>18.130500000000001</v>
      </c>
      <c r="U18">
        <f t="shared" si="3"/>
        <v>-1.0817000779500001</v>
      </c>
      <c r="V18" s="23"/>
      <c r="W18" s="24"/>
      <c r="X18" s="9"/>
      <c r="Y18" s="22">
        <v>1.7897000000000001</v>
      </c>
      <c r="Z18" s="22">
        <v>187.34</v>
      </c>
      <c r="AA18" s="22">
        <v>1.1950699999999999E-3</v>
      </c>
      <c r="AB18" s="22">
        <v>8</v>
      </c>
      <c r="AC18" s="22">
        <v>1.78894</v>
      </c>
      <c r="AD18">
        <f t="shared" si="4"/>
        <v>-1.1950699999999999</v>
      </c>
      <c r="AE18">
        <f t="shared" si="5"/>
        <v>-2.1388167789999999</v>
      </c>
      <c r="AF18" s="9"/>
      <c r="AG18" s="22">
        <v>-5.9661899999999997E-2</v>
      </c>
      <c r="AH18" s="22">
        <v>279.358</v>
      </c>
      <c r="AI18" s="22">
        <v>-1.7959599999999999E-2</v>
      </c>
      <c r="AJ18" s="22">
        <v>8</v>
      </c>
      <c r="AK18" s="22">
        <v>-6.0089099999999999E-2</v>
      </c>
      <c r="AL18">
        <f t="shared" si="6"/>
        <v>17.959599999999998</v>
      </c>
      <c r="AM18">
        <f t="shared" si="7"/>
        <v>-1.0715038592399999</v>
      </c>
      <c r="AP18" s="9"/>
      <c r="AQ18" s="22">
        <v>1.7897000000000001</v>
      </c>
      <c r="AR18" s="22">
        <v>375.32100000000003</v>
      </c>
      <c r="AS18" s="22">
        <v>-2.5183100000000002E-3</v>
      </c>
      <c r="AT18" s="22">
        <v>8</v>
      </c>
      <c r="AU18" s="22">
        <v>1.78894</v>
      </c>
      <c r="AV18">
        <f t="shared" si="8"/>
        <v>2.51831</v>
      </c>
      <c r="AW18">
        <f t="shared" si="9"/>
        <v>4.5070194070000005</v>
      </c>
      <c r="AX18" s="9"/>
      <c r="AY18" s="22">
        <v>-5.9661899999999997E-2</v>
      </c>
      <c r="AZ18" s="22">
        <v>469.589</v>
      </c>
      <c r="BA18" s="22">
        <v>-1.79443E-2</v>
      </c>
      <c r="BB18" s="22">
        <v>8</v>
      </c>
      <c r="BC18" s="22">
        <v>-6.0241700000000002E-2</v>
      </c>
      <c r="BD18">
        <f t="shared" si="10"/>
        <v>17.944299999999998</v>
      </c>
      <c r="BE18">
        <f t="shared" si="11"/>
        <v>-1.0705910321699998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56.4343</v>
      </c>
      <c r="I19" s="22">
        <v>7.1401999999999993E-2</v>
      </c>
      <c r="J19" s="22">
        <v>9</v>
      </c>
      <c r="K19" s="22">
        <v>8.2763699999999996E-2</v>
      </c>
      <c r="L19">
        <f t="shared" si="0"/>
        <v>-71.401999999999987</v>
      </c>
      <c r="M19">
        <f t="shared" si="1"/>
        <v>-127.42900733999997</v>
      </c>
      <c r="N19" s="9"/>
      <c r="O19" s="22">
        <v>-5.4626500000000001E-2</v>
      </c>
      <c r="P19" s="22">
        <v>128.65299999999999</v>
      </c>
      <c r="Q19" s="22">
        <v>-1.81335E-2</v>
      </c>
      <c r="R19" s="22">
        <v>9</v>
      </c>
      <c r="S19" s="22">
        <v>-5.48096E-2</v>
      </c>
      <c r="T19">
        <f t="shared" si="2"/>
        <v>18.133500000000002</v>
      </c>
      <c r="U19">
        <f t="shared" si="3"/>
        <v>-0.99056963775000006</v>
      </c>
      <c r="V19" s="23"/>
      <c r="W19" s="24"/>
      <c r="X19" s="9"/>
      <c r="Y19" s="22">
        <v>1.78467</v>
      </c>
      <c r="Z19" s="22">
        <v>187.44</v>
      </c>
      <c r="AA19" s="22">
        <v>-3.3001699999999999E-4</v>
      </c>
      <c r="AB19" s="22">
        <v>9</v>
      </c>
      <c r="AC19" s="22">
        <v>1.78406</v>
      </c>
      <c r="AD19">
        <f t="shared" si="4"/>
        <v>0.330017</v>
      </c>
      <c r="AE19">
        <f t="shared" si="5"/>
        <v>0.58897143938999996</v>
      </c>
      <c r="AF19" s="9"/>
      <c r="AG19" s="22">
        <v>-5.4626500000000001E-2</v>
      </c>
      <c r="AH19" s="22">
        <v>279.459</v>
      </c>
      <c r="AI19" s="22">
        <v>-1.79565E-2</v>
      </c>
      <c r="AJ19" s="22">
        <v>9</v>
      </c>
      <c r="AK19" s="22">
        <v>-5.5236800000000003E-2</v>
      </c>
      <c r="AL19">
        <f t="shared" si="6"/>
        <v>17.956500000000002</v>
      </c>
      <c r="AM19">
        <f t="shared" si="7"/>
        <v>-0.98090074725000009</v>
      </c>
      <c r="AP19" s="9"/>
      <c r="AQ19" s="22">
        <v>1.78467</v>
      </c>
      <c r="AR19" s="22">
        <v>375.42099999999999</v>
      </c>
      <c r="AS19" s="22">
        <v>-3.6770599999999998E-3</v>
      </c>
      <c r="AT19" s="22">
        <v>9</v>
      </c>
      <c r="AU19" s="22">
        <v>1.78345</v>
      </c>
      <c r="AV19">
        <f t="shared" si="8"/>
        <v>3.67706</v>
      </c>
      <c r="AW19">
        <f t="shared" si="9"/>
        <v>6.5623386701999999</v>
      </c>
      <c r="AX19" s="9"/>
      <c r="AY19" s="22">
        <v>-5.4626500000000001E-2</v>
      </c>
      <c r="AZ19" s="22">
        <v>469.69</v>
      </c>
      <c r="BA19" s="22">
        <v>-1.79413E-2</v>
      </c>
      <c r="BB19" s="22">
        <v>9</v>
      </c>
      <c r="BC19" s="22">
        <v>-5.4870599999999999E-2</v>
      </c>
      <c r="BD19">
        <f t="shared" si="10"/>
        <v>17.941300000000002</v>
      </c>
      <c r="BE19">
        <f t="shared" si="11"/>
        <v>-0.98007042445000014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56.534999999999997</v>
      </c>
      <c r="I20" s="22">
        <v>6.6381800000000005E-2</v>
      </c>
      <c r="J20" s="22">
        <v>10</v>
      </c>
      <c r="K20" s="22">
        <v>8.2733200000000007E-2</v>
      </c>
      <c r="L20">
        <f t="shared" si="0"/>
        <v>-66.381799999999998</v>
      </c>
      <c r="M20">
        <f t="shared" si="1"/>
        <v>-118.135042734</v>
      </c>
      <c r="N20" s="9"/>
      <c r="O20" s="22">
        <v>-4.9591099999999999E-2</v>
      </c>
      <c r="P20" s="22">
        <v>128.75399999999999</v>
      </c>
      <c r="Q20" s="22">
        <v>-1.8130500000000001E-2</v>
      </c>
      <c r="R20" s="22">
        <v>10</v>
      </c>
      <c r="S20" s="22">
        <v>-5.0018300000000002E-2</v>
      </c>
      <c r="T20">
        <f t="shared" si="2"/>
        <v>18.130500000000001</v>
      </c>
      <c r="U20">
        <f t="shared" si="3"/>
        <v>-0.89911143855000009</v>
      </c>
      <c r="V20" s="23"/>
      <c r="W20" s="24"/>
      <c r="X20" s="9"/>
      <c r="Y20" s="22">
        <v>1.77963</v>
      </c>
      <c r="Z20" s="22">
        <v>187.541</v>
      </c>
      <c r="AA20" s="22">
        <v>-1.5332E-3</v>
      </c>
      <c r="AB20" s="22">
        <v>10</v>
      </c>
      <c r="AC20" s="22">
        <v>1.77887</v>
      </c>
      <c r="AD20">
        <f t="shared" si="4"/>
        <v>1.5331999999999999</v>
      </c>
      <c r="AE20">
        <f t="shared" si="5"/>
        <v>2.728528716</v>
      </c>
      <c r="AF20" s="9"/>
      <c r="AG20" s="22">
        <v>-4.9591099999999999E-2</v>
      </c>
      <c r="AH20" s="22">
        <v>279.56</v>
      </c>
      <c r="AI20" s="22">
        <v>-1.7962599999999999E-2</v>
      </c>
      <c r="AJ20" s="22">
        <v>10</v>
      </c>
      <c r="AK20" s="22">
        <v>-5.0292999999999997E-2</v>
      </c>
      <c r="AL20">
        <f t="shared" si="6"/>
        <v>17.962599999999998</v>
      </c>
      <c r="AM20">
        <f t="shared" si="7"/>
        <v>-0.89078509285999985</v>
      </c>
      <c r="AP20" s="9"/>
      <c r="AQ20" s="22">
        <v>1.77963</v>
      </c>
      <c r="AR20" s="22">
        <v>375.52199999999999</v>
      </c>
      <c r="AS20" s="22">
        <v>-4.7042799999999999E-3</v>
      </c>
      <c r="AT20" s="22">
        <v>10</v>
      </c>
      <c r="AU20" s="22">
        <v>1.7791699999999999</v>
      </c>
      <c r="AV20">
        <f t="shared" si="8"/>
        <v>4.7042799999999998</v>
      </c>
      <c r="AW20">
        <f t="shared" si="9"/>
        <v>8.3718778163999996</v>
      </c>
      <c r="AX20" s="9"/>
      <c r="AY20" s="22">
        <v>-4.9591099999999999E-2</v>
      </c>
      <c r="AZ20" s="22">
        <v>469.791</v>
      </c>
      <c r="BA20" s="22">
        <v>-1.7935199999999998E-2</v>
      </c>
      <c r="BB20" s="22">
        <v>10</v>
      </c>
      <c r="BC20" s="22">
        <v>-5.0109899999999999E-2</v>
      </c>
      <c r="BD20">
        <f t="shared" si="10"/>
        <v>17.935199999999998</v>
      </c>
      <c r="BE20">
        <f t="shared" si="11"/>
        <v>-0.88942629671999984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56.6357</v>
      </c>
      <c r="I21" s="22">
        <v>6.5518199999999999E-2</v>
      </c>
      <c r="J21" s="22">
        <v>11</v>
      </c>
      <c r="K21" s="22">
        <v>8.2672099999999998E-2</v>
      </c>
      <c r="L21">
        <f t="shared" si="0"/>
        <v>-65.518199999999993</v>
      </c>
      <c r="M21">
        <f t="shared" si="1"/>
        <v>-116.26859771999999</v>
      </c>
      <c r="N21" s="9"/>
      <c r="O21" s="22">
        <v>-4.4555699999999997E-2</v>
      </c>
      <c r="P21" s="22">
        <v>128.85499999999999</v>
      </c>
      <c r="Q21" s="22">
        <v>-1.8127399999999998E-2</v>
      </c>
      <c r="R21" s="22">
        <v>11</v>
      </c>
      <c r="S21" s="22">
        <v>-4.44366E-2</v>
      </c>
      <c r="T21">
        <f t="shared" si="2"/>
        <v>18.127399999999998</v>
      </c>
      <c r="U21">
        <f t="shared" si="3"/>
        <v>-0.80767899617999983</v>
      </c>
      <c r="V21" s="23"/>
      <c r="W21" s="24"/>
      <c r="X21" s="9"/>
      <c r="Y21" s="22">
        <v>1.7746</v>
      </c>
      <c r="Z21" s="22">
        <v>187.642</v>
      </c>
      <c r="AA21" s="22">
        <v>-2.6470899999999999E-3</v>
      </c>
      <c r="AB21" s="22">
        <v>11</v>
      </c>
      <c r="AC21" s="22">
        <v>1.7742899999999999</v>
      </c>
      <c r="AD21">
        <f t="shared" si="4"/>
        <v>2.6470899999999999</v>
      </c>
      <c r="AE21">
        <f t="shared" si="5"/>
        <v>4.6975259139999999</v>
      </c>
      <c r="AF21" s="9"/>
      <c r="AG21" s="22">
        <v>-4.4555699999999997E-2</v>
      </c>
      <c r="AH21" s="22">
        <v>279.66000000000003</v>
      </c>
      <c r="AI21" s="22">
        <v>-1.79565E-2</v>
      </c>
      <c r="AJ21" s="22">
        <v>11</v>
      </c>
      <c r="AK21" s="22">
        <v>-4.4546500000000003E-2</v>
      </c>
      <c r="AL21">
        <f t="shared" si="6"/>
        <v>17.956500000000002</v>
      </c>
      <c r="AM21">
        <f t="shared" si="7"/>
        <v>-0.80006442705000003</v>
      </c>
      <c r="AP21" s="9"/>
      <c r="AQ21" s="22">
        <v>1.7746</v>
      </c>
      <c r="AR21" s="22">
        <v>375.62299999999999</v>
      </c>
      <c r="AS21" s="22">
        <v>-5.5908199999999998E-3</v>
      </c>
      <c r="AT21" s="22">
        <v>11</v>
      </c>
      <c r="AU21" s="22">
        <v>1.7746</v>
      </c>
      <c r="AV21">
        <f t="shared" si="8"/>
        <v>5.5908199999999999</v>
      </c>
      <c r="AW21">
        <f t="shared" si="9"/>
        <v>9.9214691720000001</v>
      </c>
      <c r="AX21" s="9"/>
      <c r="AY21" s="22">
        <v>-4.4555699999999997E-2</v>
      </c>
      <c r="AZ21" s="22">
        <v>469.89100000000002</v>
      </c>
      <c r="BA21" s="22">
        <v>-1.79413E-2</v>
      </c>
      <c r="BB21" s="22">
        <v>11</v>
      </c>
      <c r="BC21" s="22">
        <v>-4.4683800000000003E-2</v>
      </c>
      <c r="BD21">
        <f t="shared" si="10"/>
        <v>17.941300000000002</v>
      </c>
      <c r="BE21">
        <f t="shared" si="11"/>
        <v>-0.79938718041000001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56.736400000000003</v>
      </c>
      <c r="I22" s="22">
        <v>6.5093999999999999E-2</v>
      </c>
      <c r="J22" s="22">
        <v>12</v>
      </c>
      <c r="K22" s="22">
        <v>8.2611100000000007E-2</v>
      </c>
      <c r="L22">
        <f t="shared" si="0"/>
        <v>-65.093999999999994</v>
      </c>
      <c r="M22">
        <f t="shared" si="1"/>
        <v>-115.18773863999999</v>
      </c>
      <c r="N22" s="9"/>
      <c r="O22" s="22">
        <v>-3.9520300000000001E-2</v>
      </c>
      <c r="P22" s="22">
        <v>128.95599999999999</v>
      </c>
      <c r="Q22" s="22">
        <v>-1.8127399999999998E-2</v>
      </c>
      <c r="R22" s="22">
        <v>12</v>
      </c>
      <c r="S22" s="22">
        <v>-3.9807099999999998E-2</v>
      </c>
      <c r="T22">
        <f t="shared" si="2"/>
        <v>18.127399999999998</v>
      </c>
      <c r="U22">
        <f t="shared" si="3"/>
        <v>-0.71640028621999996</v>
      </c>
      <c r="V22" s="23"/>
      <c r="W22" s="24"/>
      <c r="X22" s="9"/>
      <c r="Y22" s="22">
        <v>1.76956</v>
      </c>
      <c r="Z22" s="22">
        <v>187.74199999999999</v>
      </c>
      <c r="AA22" s="22">
        <v>-3.6660799999999999E-3</v>
      </c>
      <c r="AB22" s="22">
        <v>12</v>
      </c>
      <c r="AC22" s="22">
        <v>1.7684899999999999</v>
      </c>
      <c r="AD22">
        <f t="shared" si="4"/>
        <v>3.66608</v>
      </c>
      <c r="AE22">
        <f t="shared" si="5"/>
        <v>6.4873485247999998</v>
      </c>
      <c r="AF22" s="9"/>
      <c r="AG22" s="22">
        <v>-3.9520300000000001E-2</v>
      </c>
      <c r="AH22" s="22">
        <v>279.76100000000002</v>
      </c>
      <c r="AI22" s="22">
        <v>-1.7959599999999999E-2</v>
      </c>
      <c r="AJ22" s="22">
        <v>12</v>
      </c>
      <c r="AK22" s="22">
        <v>-3.97034E-2</v>
      </c>
      <c r="AL22">
        <f t="shared" si="6"/>
        <v>17.959599999999998</v>
      </c>
      <c r="AM22">
        <f t="shared" si="7"/>
        <v>-0.70976877987999998</v>
      </c>
      <c r="AP22" s="9"/>
      <c r="AQ22" s="22">
        <v>1.76956</v>
      </c>
      <c r="AR22" s="22">
        <v>375.72399999999999</v>
      </c>
      <c r="AS22" s="22">
        <v>-6.3385000000000004E-3</v>
      </c>
      <c r="AT22" s="22">
        <v>12</v>
      </c>
      <c r="AU22" s="22">
        <v>1.7681899999999999</v>
      </c>
      <c r="AV22">
        <f t="shared" si="8"/>
        <v>6.3385000000000007</v>
      </c>
      <c r="AW22">
        <f t="shared" si="9"/>
        <v>11.216356060000001</v>
      </c>
      <c r="AX22" s="9"/>
      <c r="AY22" s="22">
        <v>-3.9520300000000001E-2</v>
      </c>
      <c r="AZ22" s="22">
        <v>469.99200000000002</v>
      </c>
      <c r="BA22" s="22">
        <v>-1.7938200000000001E-2</v>
      </c>
      <c r="BB22" s="22">
        <v>12</v>
      </c>
      <c r="BC22" s="22">
        <v>-3.9727800000000001E-2</v>
      </c>
      <c r="BD22">
        <f t="shared" si="10"/>
        <v>17.938200000000002</v>
      </c>
      <c r="BE22">
        <f t="shared" si="11"/>
        <v>-0.70892304546000007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56.8371</v>
      </c>
      <c r="I23" s="22">
        <v>6.4834600000000006E-2</v>
      </c>
      <c r="J23" s="22">
        <v>13</v>
      </c>
      <c r="K23" s="22">
        <v>8.2580600000000004E-2</v>
      </c>
      <c r="L23">
        <f t="shared" si="0"/>
        <v>-64.834600000000009</v>
      </c>
      <c r="M23">
        <f t="shared" si="1"/>
        <v>-114.40259673800001</v>
      </c>
      <c r="N23" s="9"/>
      <c r="O23" s="22">
        <v>-3.4484899999999999E-2</v>
      </c>
      <c r="P23" s="22">
        <v>129.05600000000001</v>
      </c>
      <c r="Q23" s="22">
        <v>-1.81213E-2</v>
      </c>
      <c r="R23" s="22">
        <v>13</v>
      </c>
      <c r="S23" s="22">
        <v>-3.4704600000000002E-2</v>
      </c>
      <c r="T23">
        <f t="shared" si="2"/>
        <v>18.121300000000002</v>
      </c>
      <c r="U23">
        <f t="shared" si="3"/>
        <v>-0.62491121837000008</v>
      </c>
      <c r="V23" s="23"/>
      <c r="W23" s="24"/>
      <c r="X23" s="9"/>
      <c r="Y23" s="22">
        <v>1.7645299999999999</v>
      </c>
      <c r="Z23" s="22">
        <v>187.84299999999999</v>
      </c>
      <c r="AA23" s="22">
        <v>-4.6130399999999997E-3</v>
      </c>
      <c r="AB23" s="22">
        <v>13</v>
      </c>
      <c r="AC23" s="22">
        <v>1.7636099999999999</v>
      </c>
      <c r="AD23">
        <f t="shared" si="4"/>
        <v>4.6130399999999998</v>
      </c>
      <c r="AE23">
        <f t="shared" si="5"/>
        <v>8.1398474711999995</v>
      </c>
      <c r="AF23" s="9"/>
      <c r="AG23" s="22">
        <v>-3.4484899999999999E-2</v>
      </c>
      <c r="AH23" s="22">
        <v>279.86200000000002</v>
      </c>
      <c r="AI23" s="22">
        <v>-1.7962599999999999E-2</v>
      </c>
      <c r="AJ23" s="22">
        <v>13</v>
      </c>
      <c r="AK23" s="22">
        <v>-3.4564200000000003E-2</v>
      </c>
      <c r="AL23">
        <f t="shared" si="6"/>
        <v>17.962599999999998</v>
      </c>
      <c r="AM23">
        <f t="shared" si="7"/>
        <v>-0.61943846473999997</v>
      </c>
      <c r="AP23" s="9"/>
      <c r="AQ23" s="22">
        <v>1.7645299999999999</v>
      </c>
      <c r="AR23" s="22">
        <v>375.82400000000001</v>
      </c>
      <c r="AS23" s="22">
        <v>-7.0312500000000002E-3</v>
      </c>
      <c r="AT23" s="22">
        <v>13</v>
      </c>
      <c r="AU23" s="22">
        <v>1.7636099999999999</v>
      </c>
      <c r="AV23">
        <f t="shared" si="8"/>
        <v>7.03125</v>
      </c>
      <c r="AW23">
        <f t="shared" si="9"/>
        <v>12.4068515625</v>
      </c>
      <c r="AX23" s="9"/>
      <c r="AY23" s="22">
        <v>-3.4484899999999999E-2</v>
      </c>
      <c r="AZ23" s="22">
        <v>470.09300000000002</v>
      </c>
      <c r="BA23" s="22">
        <v>-1.79291E-2</v>
      </c>
      <c r="BB23" s="22">
        <v>13</v>
      </c>
      <c r="BC23" s="22">
        <v>-3.4487900000000002E-2</v>
      </c>
      <c r="BD23">
        <f t="shared" si="10"/>
        <v>17.929099999999998</v>
      </c>
      <c r="BE23">
        <f t="shared" si="11"/>
        <v>-0.61828322058999996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56.937800000000003</v>
      </c>
      <c r="I24" s="22">
        <v>6.4721699999999993E-2</v>
      </c>
      <c r="J24" s="22">
        <v>14</v>
      </c>
      <c r="K24" s="22">
        <v>8.2458500000000004E-2</v>
      </c>
      <c r="L24">
        <f t="shared" si="0"/>
        <v>-64.721699999999998</v>
      </c>
      <c r="M24">
        <f t="shared" si="1"/>
        <v>-113.877183933</v>
      </c>
      <c r="N24" s="9"/>
      <c r="O24" s="22">
        <v>-2.94495E-2</v>
      </c>
      <c r="P24" s="22">
        <v>129.15700000000001</v>
      </c>
      <c r="Q24" s="22">
        <v>-1.8127399999999998E-2</v>
      </c>
      <c r="R24" s="22">
        <v>14</v>
      </c>
      <c r="S24" s="22">
        <v>-2.9650900000000001E-2</v>
      </c>
      <c r="T24">
        <f t="shared" si="2"/>
        <v>18.127399999999998</v>
      </c>
      <c r="U24">
        <f t="shared" si="3"/>
        <v>-0.53384286629999989</v>
      </c>
      <c r="V24" s="23"/>
      <c r="W24" s="24"/>
      <c r="X24" s="9"/>
      <c r="Y24" s="22">
        <v>1.75949</v>
      </c>
      <c r="Z24" s="22">
        <v>187.94399999999999</v>
      </c>
      <c r="AA24" s="22">
        <v>-5.4962199999999996E-3</v>
      </c>
      <c r="AB24" s="22">
        <v>14</v>
      </c>
      <c r="AC24" s="22">
        <v>1.7587299999999999</v>
      </c>
      <c r="AD24">
        <f t="shared" si="4"/>
        <v>5.4962199999999992</v>
      </c>
      <c r="AE24">
        <f t="shared" si="5"/>
        <v>9.6705441277999995</v>
      </c>
      <c r="AF24" s="9"/>
      <c r="AG24" s="22">
        <v>-2.94495E-2</v>
      </c>
      <c r="AH24" s="22">
        <v>279.96199999999999</v>
      </c>
      <c r="AI24" s="22">
        <v>-1.7962599999999999E-2</v>
      </c>
      <c r="AJ24" s="22">
        <v>14</v>
      </c>
      <c r="AK24" s="22">
        <v>-2.9336500000000001E-2</v>
      </c>
      <c r="AL24">
        <f t="shared" si="6"/>
        <v>17.962599999999998</v>
      </c>
      <c r="AM24">
        <f t="shared" si="7"/>
        <v>-0.5289895886999999</v>
      </c>
      <c r="AP24" s="9"/>
      <c r="AQ24" s="22">
        <v>1.75949</v>
      </c>
      <c r="AR24" s="22">
        <v>375.92500000000001</v>
      </c>
      <c r="AS24" s="22">
        <v>-7.6873799999999997E-3</v>
      </c>
      <c r="AT24" s="22">
        <v>14</v>
      </c>
      <c r="AU24" s="22">
        <v>1.7590300000000001</v>
      </c>
      <c r="AV24">
        <f t="shared" si="8"/>
        <v>7.6873800000000001</v>
      </c>
      <c r="AW24">
        <f t="shared" si="9"/>
        <v>13.525868236200001</v>
      </c>
      <c r="AX24" s="9"/>
      <c r="AY24" s="22">
        <v>-2.94495E-2</v>
      </c>
      <c r="AZ24" s="22">
        <v>470.19400000000002</v>
      </c>
      <c r="BA24" s="22">
        <v>-1.79413E-2</v>
      </c>
      <c r="BB24" s="22">
        <v>14</v>
      </c>
      <c r="BC24" s="22">
        <v>-2.9458600000000001E-2</v>
      </c>
      <c r="BD24">
        <f t="shared" si="10"/>
        <v>17.941300000000002</v>
      </c>
      <c r="BE24">
        <f t="shared" si="11"/>
        <v>-0.52836231435000003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57.038499999999999</v>
      </c>
      <c r="I25" s="22">
        <v>6.4581299999999994E-2</v>
      </c>
      <c r="J25" s="22">
        <v>15</v>
      </c>
      <c r="K25" s="22">
        <v>8.2428000000000001E-2</v>
      </c>
      <c r="L25">
        <f t="shared" si="0"/>
        <v>-64.581299999999999</v>
      </c>
      <c r="M25">
        <f t="shared" si="1"/>
        <v>-113.305307598</v>
      </c>
      <c r="N25" s="9"/>
      <c r="O25" s="22">
        <v>-2.4414100000000001E-2</v>
      </c>
      <c r="P25" s="22">
        <v>129.25800000000001</v>
      </c>
      <c r="Q25" s="22">
        <v>-1.8127399999999998E-2</v>
      </c>
      <c r="R25" s="22">
        <v>15</v>
      </c>
      <c r="S25" s="22">
        <v>-2.4606300000000001E-2</v>
      </c>
      <c r="T25">
        <f t="shared" si="2"/>
        <v>18.127399999999998</v>
      </c>
      <c r="U25">
        <f t="shared" si="3"/>
        <v>-0.44256415633999996</v>
      </c>
      <c r="V25" s="23"/>
      <c r="W25" s="24"/>
      <c r="X25" s="9"/>
      <c r="Y25" s="22">
        <v>1.7544599999999999</v>
      </c>
      <c r="Z25" s="22">
        <v>188.04499999999999</v>
      </c>
      <c r="AA25" s="22">
        <v>-6.2591599999999997E-3</v>
      </c>
      <c r="AB25" s="22">
        <v>15</v>
      </c>
      <c r="AC25" s="22">
        <v>1.7535400000000001</v>
      </c>
      <c r="AD25">
        <f t="shared" si="4"/>
        <v>6.2591599999999996</v>
      </c>
      <c r="AE25">
        <f t="shared" si="5"/>
        <v>10.981445853599999</v>
      </c>
      <c r="AF25" s="9"/>
      <c r="AG25" s="22">
        <v>-2.4414100000000001E-2</v>
      </c>
      <c r="AH25" s="22">
        <v>280.06299999999999</v>
      </c>
      <c r="AI25" s="22">
        <v>-1.79565E-2</v>
      </c>
      <c r="AJ25" s="22">
        <v>15</v>
      </c>
      <c r="AK25" s="22">
        <v>-2.4713100000000002E-2</v>
      </c>
      <c r="AL25">
        <f t="shared" si="6"/>
        <v>17.956500000000002</v>
      </c>
      <c r="AM25">
        <f t="shared" si="7"/>
        <v>-0.43839178665000006</v>
      </c>
      <c r="AP25" s="9"/>
      <c r="AQ25" s="22">
        <v>1.7544599999999999</v>
      </c>
      <c r="AR25" s="22">
        <v>376.02600000000001</v>
      </c>
      <c r="AS25" s="22">
        <v>-8.2122800000000006E-3</v>
      </c>
      <c r="AT25" s="22">
        <v>15</v>
      </c>
      <c r="AU25" s="22">
        <v>1.7541500000000001</v>
      </c>
      <c r="AV25">
        <f t="shared" si="8"/>
        <v>8.2122799999999998</v>
      </c>
      <c r="AW25">
        <f t="shared" si="9"/>
        <v>14.408116768799999</v>
      </c>
      <c r="AX25" s="9"/>
      <c r="AY25" s="22">
        <v>-2.4414100000000001E-2</v>
      </c>
      <c r="AZ25" s="22">
        <v>470.29399999999998</v>
      </c>
      <c r="BA25" s="22">
        <v>-1.79291E-2</v>
      </c>
      <c r="BB25" s="22">
        <v>15</v>
      </c>
      <c r="BC25" s="22">
        <v>-2.4850500000000001E-2</v>
      </c>
      <c r="BD25">
        <f t="shared" si="10"/>
        <v>17.929099999999998</v>
      </c>
      <c r="BE25">
        <f t="shared" si="11"/>
        <v>-0.43772284030999997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57.139200000000002</v>
      </c>
      <c r="I26" s="22">
        <v>6.44623E-2</v>
      </c>
      <c r="J26" s="22">
        <v>16</v>
      </c>
      <c r="K26" s="22">
        <v>8.2458500000000004E-2</v>
      </c>
      <c r="L26">
        <f t="shared" si="0"/>
        <v>-64.462299999999999</v>
      </c>
      <c r="M26">
        <f t="shared" si="1"/>
        <v>-112.77163686599999</v>
      </c>
      <c r="N26" s="9"/>
      <c r="O26" s="22">
        <v>-1.9378699999999999E-2</v>
      </c>
      <c r="P26" s="22">
        <v>129.358</v>
      </c>
      <c r="Q26" s="22">
        <v>-1.8124399999999999E-2</v>
      </c>
      <c r="R26" s="22">
        <v>16</v>
      </c>
      <c r="S26" s="22">
        <v>-1.93054E-2</v>
      </c>
      <c r="T26">
        <f t="shared" si="2"/>
        <v>18.124399999999998</v>
      </c>
      <c r="U26">
        <f t="shared" si="3"/>
        <v>-0.35122731027999993</v>
      </c>
      <c r="V26" s="23"/>
      <c r="W26" s="24"/>
      <c r="X26" s="9"/>
      <c r="Y26" s="22">
        <v>1.74942</v>
      </c>
      <c r="Z26" s="22">
        <v>188.14500000000001</v>
      </c>
      <c r="AA26" s="22">
        <v>-6.9580099999999997E-3</v>
      </c>
      <c r="AB26" s="22">
        <v>16</v>
      </c>
      <c r="AC26" s="22">
        <v>1.7483500000000001</v>
      </c>
      <c r="AD26">
        <f t="shared" si="4"/>
        <v>6.9580099999999998</v>
      </c>
      <c r="AE26">
        <f t="shared" si="5"/>
        <v>12.172481854199999</v>
      </c>
      <c r="AF26" s="9"/>
      <c r="AG26" s="22">
        <v>-1.9378699999999999E-2</v>
      </c>
      <c r="AH26" s="22">
        <v>280.16399999999999</v>
      </c>
      <c r="AI26" s="22">
        <v>-1.7947399999999999E-2</v>
      </c>
      <c r="AJ26" s="22">
        <v>16</v>
      </c>
      <c r="AK26" s="22">
        <v>-1.9268799999999999E-2</v>
      </c>
      <c r="AL26">
        <f t="shared" si="6"/>
        <v>17.947399999999998</v>
      </c>
      <c r="AM26">
        <f t="shared" si="7"/>
        <v>-0.34779728037999996</v>
      </c>
      <c r="AP26" s="9"/>
      <c r="AQ26" s="22">
        <v>1.74942</v>
      </c>
      <c r="AR26" s="22">
        <v>376.12599999999998</v>
      </c>
      <c r="AS26" s="22">
        <v>-8.7371800000000006E-3</v>
      </c>
      <c r="AT26" s="22">
        <v>16</v>
      </c>
      <c r="AU26" s="22">
        <v>1.7489600000000001</v>
      </c>
      <c r="AV26">
        <f t="shared" si="8"/>
        <v>8.7371800000000004</v>
      </c>
      <c r="AW26">
        <f t="shared" si="9"/>
        <v>15.284997435600001</v>
      </c>
      <c r="AX26" s="9"/>
      <c r="AY26" s="22">
        <v>-1.9378699999999999E-2</v>
      </c>
      <c r="AZ26" s="22">
        <v>470.39499999999998</v>
      </c>
      <c r="BA26" s="22">
        <v>-1.7923000000000001E-2</v>
      </c>
      <c r="BB26" s="22">
        <v>16</v>
      </c>
      <c r="BC26" s="22">
        <v>-2.0007299999999999E-2</v>
      </c>
      <c r="BD26">
        <f t="shared" si="10"/>
        <v>17.923000000000002</v>
      </c>
      <c r="BE26">
        <f t="shared" si="11"/>
        <v>-0.34732444010000002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57.239899999999999</v>
      </c>
      <c r="I27" s="22">
        <v>6.4321900000000001E-2</v>
      </c>
      <c r="J27" s="22">
        <v>17</v>
      </c>
      <c r="K27" s="22">
        <v>8.2458500000000004E-2</v>
      </c>
      <c r="L27">
        <f t="shared" si="0"/>
        <v>-64.321899999999999</v>
      </c>
      <c r="M27">
        <f t="shared" si="1"/>
        <v>-112.201835922</v>
      </c>
      <c r="N27" s="9"/>
      <c r="O27" s="22">
        <v>-1.43433E-2</v>
      </c>
      <c r="P27" s="22">
        <v>129.459</v>
      </c>
      <c r="Q27" s="22">
        <v>-1.81183E-2</v>
      </c>
      <c r="R27" s="22">
        <v>17</v>
      </c>
      <c r="S27" s="22">
        <v>-1.4523299999999999E-2</v>
      </c>
      <c r="T27">
        <f t="shared" si="2"/>
        <v>18.118300000000001</v>
      </c>
      <c r="U27">
        <f t="shared" si="3"/>
        <v>-0.25987621239000003</v>
      </c>
      <c r="X27" s="9"/>
      <c r="Y27" s="22">
        <v>1.74438</v>
      </c>
      <c r="Z27" s="22">
        <v>188.24600000000001</v>
      </c>
      <c r="AA27" s="22">
        <v>-7.5561500000000002E-3</v>
      </c>
      <c r="AB27" s="22">
        <v>17</v>
      </c>
      <c r="AC27" s="22">
        <v>1.74377</v>
      </c>
      <c r="AD27">
        <f t="shared" si="4"/>
        <v>7.5561500000000006</v>
      </c>
      <c r="AE27">
        <f t="shared" si="5"/>
        <v>13.180796937000002</v>
      </c>
      <c r="AF27" s="9"/>
      <c r="AG27" s="22">
        <v>-1.43433E-2</v>
      </c>
      <c r="AH27" s="22">
        <v>280.26499999999999</v>
      </c>
      <c r="AI27" s="22">
        <v>-1.7962599999999999E-2</v>
      </c>
      <c r="AJ27" s="22">
        <v>17</v>
      </c>
      <c r="AK27" s="22">
        <v>-1.4511100000000001E-2</v>
      </c>
      <c r="AL27">
        <f t="shared" si="6"/>
        <v>17.962599999999998</v>
      </c>
      <c r="AM27">
        <f t="shared" si="7"/>
        <v>-0.25764296057999997</v>
      </c>
      <c r="AP27" s="9"/>
      <c r="AQ27" s="22">
        <v>1.74438</v>
      </c>
      <c r="AR27" s="22">
        <v>376.22699999999998</v>
      </c>
      <c r="AS27" s="22">
        <v>-9.2040999999999998E-3</v>
      </c>
      <c r="AT27" s="22">
        <v>17</v>
      </c>
      <c r="AU27" s="22">
        <v>1.7434700000000001</v>
      </c>
      <c r="AV27">
        <f t="shared" si="8"/>
        <v>9.2041000000000004</v>
      </c>
      <c r="AW27">
        <f t="shared" si="9"/>
        <v>16.055447958000002</v>
      </c>
      <c r="AX27" s="9"/>
      <c r="AY27" s="22">
        <v>-1.43433E-2</v>
      </c>
      <c r="AZ27" s="22">
        <v>470.49599999999998</v>
      </c>
      <c r="BA27" s="22">
        <v>-1.7916899999999999E-2</v>
      </c>
      <c r="BB27" s="22">
        <v>17</v>
      </c>
      <c r="BC27" s="22">
        <v>-1.4843800000000001E-2</v>
      </c>
      <c r="BD27">
        <f t="shared" si="10"/>
        <v>17.916899999999998</v>
      </c>
      <c r="BE27">
        <f t="shared" si="11"/>
        <v>-0.25698747176999998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57.340600000000002</v>
      </c>
      <c r="I28" s="22">
        <v>6.4193700000000006E-2</v>
      </c>
      <c r="J28" s="22">
        <v>18</v>
      </c>
      <c r="K28" s="22">
        <v>8.2397499999999999E-2</v>
      </c>
      <c r="L28">
        <f t="shared" si="0"/>
        <v>-64.193700000000007</v>
      </c>
      <c r="M28">
        <f t="shared" si="1"/>
        <v>-111.65531209500001</v>
      </c>
      <c r="N28" s="9"/>
      <c r="O28" s="22">
        <v>-9.3078599999999994E-3</v>
      </c>
      <c r="P28" s="22">
        <v>129.56</v>
      </c>
      <c r="Q28" s="22">
        <v>-1.8115200000000001E-2</v>
      </c>
      <c r="R28" s="22">
        <v>18</v>
      </c>
      <c r="S28" s="22">
        <v>-9.2864999999999996E-3</v>
      </c>
      <c r="T28">
        <f t="shared" si="2"/>
        <v>18.115200000000002</v>
      </c>
      <c r="U28">
        <f t="shared" si="3"/>
        <v>-0.168613745472</v>
      </c>
      <c r="X28" s="9"/>
      <c r="Y28" s="22">
        <v>1.73935</v>
      </c>
      <c r="Z28" s="22">
        <v>188.34700000000001</v>
      </c>
      <c r="AA28" s="22">
        <v>-8.0932599999999997E-3</v>
      </c>
      <c r="AB28" s="22">
        <v>18</v>
      </c>
      <c r="AC28" s="22">
        <v>1.7385900000000001</v>
      </c>
      <c r="AD28">
        <f t="shared" si="4"/>
        <v>8.093259999999999</v>
      </c>
      <c r="AE28">
        <f t="shared" si="5"/>
        <v>14.077011780999998</v>
      </c>
      <c r="AF28" s="9"/>
      <c r="AG28" s="22">
        <v>-9.3078599999999994E-3</v>
      </c>
      <c r="AH28" s="22">
        <v>280.36500000000001</v>
      </c>
      <c r="AI28" s="22">
        <v>-1.7965700000000001E-2</v>
      </c>
      <c r="AJ28" s="22">
        <v>18</v>
      </c>
      <c r="AK28" s="22">
        <v>-9.6252400000000002E-3</v>
      </c>
      <c r="AL28">
        <f t="shared" si="6"/>
        <v>17.965700000000002</v>
      </c>
      <c r="AM28">
        <f t="shared" si="7"/>
        <v>-0.16722222040199999</v>
      </c>
      <c r="AP28" s="9"/>
      <c r="AQ28" s="22">
        <v>1.73935</v>
      </c>
      <c r="AR28" s="22">
        <v>376.32799999999997</v>
      </c>
      <c r="AS28" s="22">
        <v>-9.6343999999999996E-3</v>
      </c>
      <c r="AT28" s="22">
        <v>18</v>
      </c>
      <c r="AU28" s="22">
        <v>1.7385900000000001</v>
      </c>
      <c r="AV28">
        <f t="shared" si="8"/>
        <v>9.6343999999999994</v>
      </c>
      <c r="AW28">
        <f t="shared" si="9"/>
        <v>16.75759364</v>
      </c>
      <c r="AX28" s="9"/>
      <c r="AY28" s="22">
        <v>-9.3078599999999994E-3</v>
      </c>
      <c r="AZ28" s="22">
        <v>470.596</v>
      </c>
      <c r="BA28" s="22">
        <v>-1.7919899999999999E-2</v>
      </c>
      <c r="BB28" s="22">
        <v>18</v>
      </c>
      <c r="BC28" s="22">
        <v>-9.6588100000000003E-3</v>
      </c>
      <c r="BD28">
        <f t="shared" si="10"/>
        <v>17.919899999999998</v>
      </c>
      <c r="BE28">
        <f t="shared" si="11"/>
        <v>-0.16679592041399999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57.441299999999998</v>
      </c>
      <c r="I29" s="22">
        <v>6.4154100000000006E-2</v>
      </c>
      <c r="J29" s="22">
        <v>19</v>
      </c>
      <c r="K29" s="22">
        <v>8.2366900000000007E-2</v>
      </c>
      <c r="L29">
        <f t="shared" si="0"/>
        <v>-64.1541</v>
      </c>
      <c r="M29">
        <f t="shared" si="1"/>
        <v>-111.263097171</v>
      </c>
      <c r="N29" s="9"/>
      <c r="O29" s="22">
        <v>-4.2724599999999996E-3</v>
      </c>
      <c r="P29" s="22">
        <v>129.661</v>
      </c>
      <c r="Q29" s="22">
        <v>-1.81091E-2</v>
      </c>
      <c r="R29" s="22">
        <v>19</v>
      </c>
      <c r="S29" s="22">
        <v>-4.4067400000000001E-3</v>
      </c>
      <c r="T29">
        <f t="shared" si="2"/>
        <v>18.109099999999998</v>
      </c>
      <c r="U29">
        <f t="shared" si="3"/>
        <v>-7.7370405385999985E-2</v>
      </c>
      <c r="X29" s="9"/>
      <c r="Y29" s="22">
        <v>1.73431</v>
      </c>
      <c r="Z29" s="22">
        <v>188.447</v>
      </c>
      <c r="AA29" s="22">
        <v>-8.5723899999999992E-3</v>
      </c>
      <c r="AB29" s="22">
        <v>19</v>
      </c>
      <c r="AC29" s="22">
        <v>1.7337</v>
      </c>
      <c r="AD29">
        <f t="shared" si="4"/>
        <v>8.5723899999999986</v>
      </c>
      <c r="AE29">
        <f t="shared" si="5"/>
        <v>14.867181700899998</v>
      </c>
      <c r="AF29" s="9"/>
      <c r="AG29" s="22">
        <v>-4.2724599999999996E-3</v>
      </c>
      <c r="AH29" s="22">
        <v>280.46600000000001</v>
      </c>
      <c r="AI29" s="22">
        <v>-1.7962599999999999E-2</v>
      </c>
      <c r="AJ29" s="22">
        <v>19</v>
      </c>
      <c r="AK29" s="22">
        <v>-4.4433600000000004E-3</v>
      </c>
      <c r="AL29">
        <f t="shared" si="6"/>
        <v>17.962599999999998</v>
      </c>
      <c r="AM29">
        <f t="shared" si="7"/>
        <v>-7.674448999599999E-2</v>
      </c>
      <c r="AP29" s="9"/>
      <c r="AQ29" s="22">
        <v>1.73431</v>
      </c>
      <c r="AR29" s="22">
        <v>376.42899999999997</v>
      </c>
      <c r="AS29" s="22">
        <v>-1.00342E-2</v>
      </c>
      <c r="AT29" s="22">
        <v>19</v>
      </c>
      <c r="AU29" s="22">
        <v>1.7334000000000001</v>
      </c>
      <c r="AV29">
        <f t="shared" si="8"/>
        <v>10.0342</v>
      </c>
      <c r="AW29">
        <f t="shared" si="9"/>
        <v>17.402413402000001</v>
      </c>
      <c r="AX29" s="9"/>
      <c r="AY29" s="22">
        <v>-4.2724599999999996E-3</v>
      </c>
      <c r="AZ29" s="22">
        <v>470.697</v>
      </c>
      <c r="BA29" s="22">
        <v>-1.78741E-2</v>
      </c>
      <c r="BB29" s="22">
        <v>19</v>
      </c>
      <c r="BC29" s="22">
        <v>-4.5440699999999999E-3</v>
      </c>
      <c r="BD29">
        <f t="shared" si="10"/>
        <v>17.874100000000002</v>
      </c>
      <c r="BE29">
        <f t="shared" si="11"/>
        <v>-7.6366377286000001E-2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57.542099999999998</v>
      </c>
      <c r="I30" s="22">
        <v>6.40289E-2</v>
      </c>
      <c r="J30" s="22">
        <v>20</v>
      </c>
      <c r="K30" s="22">
        <v>8.2428000000000001E-2</v>
      </c>
      <c r="L30">
        <f t="shared" si="0"/>
        <v>-64.028899999999993</v>
      </c>
      <c r="M30">
        <f t="shared" si="1"/>
        <v>-110.72389619199998</v>
      </c>
      <c r="N30" s="9"/>
      <c r="O30" s="22">
        <v>7.6293900000000002E-4</v>
      </c>
      <c r="P30" s="22">
        <v>129.761</v>
      </c>
      <c r="Q30" s="22">
        <v>-1.8112199999999998E-2</v>
      </c>
      <c r="R30" s="22">
        <v>20</v>
      </c>
      <c r="S30" s="22">
        <v>8.5754400000000001E-4</v>
      </c>
      <c r="T30">
        <f t="shared" si="2"/>
        <v>18.112199999999998</v>
      </c>
      <c r="U30">
        <f t="shared" si="3"/>
        <v>1.3818503755799998E-2</v>
      </c>
      <c r="X30" s="9"/>
      <c r="Y30" s="22">
        <v>1.7292799999999999</v>
      </c>
      <c r="Z30" s="22">
        <v>188.548</v>
      </c>
      <c r="AA30" s="22">
        <v>-9.0484599999999995E-3</v>
      </c>
      <c r="AB30" s="22">
        <v>20</v>
      </c>
      <c r="AC30" s="22">
        <v>1.72882</v>
      </c>
      <c r="AD30">
        <f t="shared" si="4"/>
        <v>9.0484599999999986</v>
      </c>
      <c r="AE30">
        <f t="shared" si="5"/>
        <v>15.647320908799998</v>
      </c>
      <c r="AF30" s="9"/>
      <c r="AG30" s="22">
        <v>7.6293900000000002E-4</v>
      </c>
      <c r="AH30" s="22">
        <v>280.56700000000001</v>
      </c>
      <c r="AI30" s="22">
        <v>-1.7962599999999999E-2</v>
      </c>
      <c r="AJ30" s="22">
        <v>20</v>
      </c>
      <c r="AK30" s="22">
        <v>8.2397500000000001E-4</v>
      </c>
      <c r="AL30">
        <f t="shared" si="6"/>
        <v>17.962599999999998</v>
      </c>
      <c r="AM30">
        <f t="shared" si="7"/>
        <v>1.3704368081399999E-2</v>
      </c>
      <c r="AP30" s="9"/>
      <c r="AQ30" s="22">
        <v>1.7292799999999999</v>
      </c>
      <c r="AR30" s="22">
        <v>376.529</v>
      </c>
      <c r="AS30" s="22">
        <v>-1.0412599999999999E-2</v>
      </c>
      <c r="AT30" s="22">
        <v>20</v>
      </c>
      <c r="AU30" s="22">
        <v>1.72821</v>
      </c>
      <c r="AV30">
        <f t="shared" si="8"/>
        <v>10.412599999999999</v>
      </c>
      <c r="AW30">
        <f t="shared" si="9"/>
        <v>18.006300927999998</v>
      </c>
      <c r="AX30" s="9"/>
      <c r="AY30" s="22">
        <v>7.6293900000000002E-4</v>
      </c>
      <c r="AZ30" s="22">
        <v>470.798</v>
      </c>
      <c r="BA30" s="22">
        <v>-1.7867999999999998E-2</v>
      </c>
      <c r="BB30" s="22">
        <v>20</v>
      </c>
      <c r="BC30" s="22">
        <v>3.3569300000000003E-4</v>
      </c>
      <c r="BD30">
        <f t="shared" si="10"/>
        <v>17.867999999999999</v>
      </c>
      <c r="BE30">
        <f t="shared" si="11"/>
        <v>1.3632194052E-2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57.642800000000001</v>
      </c>
      <c r="I31" s="22">
        <v>6.3974000000000003E-2</v>
      </c>
      <c r="J31" s="22">
        <v>21</v>
      </c>
      <c r="K31" s="22">
        <v>8.2336400000000004E-2</v>
      </c>
      <c r="L31">
        <f t="shared" si="0"/>
        <v>-63.974000000000004</v>
      </c>
      <c r="M31">
        <f t="shared" si="1"/>
        <v>-110.30652976</v>
      </c>
      <c r="N31" s="9"/>
      <c r="O31" s="22">
        <v>5.7983399999999999E-3</v>
      </c>
      <c r="P31" s="22">
        <v>129.86199999999999</v>
      </c>
      <c r="Q31" s="22">
        <v>-1.81061E-2</v>
      </c>
      <c r="R31" s="22">
        <v>21</v>
      </c>
      <c r="S31" s="22">
        <v>5.8196999999999997E-3</v>
      </c>
      <c r="T31">
        <f t="shared" si="2"/>
        <v>18.106100000000001</v>
      </c>
      <c r="U31">
        <f t="shared" si="3"/>
        <v>0.104985323874</v>
      </c>
      <c r="X31" s="9"/>
      <c r="Y31" s="22">
        <v>1.72424</v>
      </c>
      <c r="Z31" s="22">
        <v>188.649</v>
      </c>
      <c r="AA31" s="22">
        <v>-9.4726600000000008E-3</v>
      </c>
      <c r="AB31" s="22">
        <v>21</v>
      </c>
      <c r="AC31" s="22">
        <v>1.72333</v>
      </c>
      <c r="AD31">
        <f t="shared" si="4"/>
        <v>9.4726600000000012</v>
      </c>
      <c r="AE31">
        <f t="shared" si="5"/>
        <v>16.333139278400001</v>
      </c>
      <c r="AF31" s="9"/>
      <c r="AG31" s="22">
        <v>5.7983399999999999E-3</v>
      </c>
      <c r="AH31" s="22">
        <v>280.66699999999997</v>
      </c>
      <c r="AI31" s="22">
        <v>-1.79718E-2</v>
      </c>
      <c r="AJ31" s="22">
        <v>21</v>
      </c>
      <c r="AK31" s="22">
        <v>6.3232399999999999E-3</v>
      </c>
      <c r="AL31">
        <f t="shared" si="6"/>
        <v>17.971799999999998</v>
      </c>
      <c r="AM31">
        <f t="shared" si="7"/>
        <v>0.10420660681199999</v>
      </c>
      <c r="AP31" s="9"/>
      <c r="AQ31" s="22">
        <v>1.72424</v>
      </c>
      <c r="AR31" s="22">
        <v>376.63</v>
      </c>
      <c r="AS31" s="22">
        <v>-1.0794099999999999E-2</v>
      </c>
      <c r="AT31" s="22">
        <v>21</v>
      </c>
      <c r="AU31" s="22">
        <v>1.72333</v>
      </c>
      <c r="AV31">
        <f t="shared" si="8"/>
        <v>10.794099999999998</v>
      </c>
      <c r="AW31">
        <f t="shared" si="9"/>
        <v>18.611618983999996</v>
      </c>
      <c r="AX31" s="9"/>
      <c r="AY31" s="22">
        <v>5.7983399999999999E-3</v>
      </c>
      <c r="AZ31" s="22">
        <v>470.899</v>
      </c>
      <c r="BA31" s="22">
        <v>-1.78619E-2</v>
      </c>
      <c r="BB31" s="22">
        <v>21</v>
      </c>
      <c r="BC31" s="22">
        <v>5.9295700000000003E-3</v>
      </c>
      <c r="BD31">
        <f t="shared" si="10"/>
        <v>17.861899999999999</v>
      </c>
      <c r="BE31">
        <f t="shared" si="11"/>
        <v>0.10356936924599999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57.743499999999997</v>
      </c>
      <c r="I32" s="22">
        <v>6.3897700000000002E-2</v>
      </c>
      <c r="J32" s="22">
        <v>22</v>
      </c>
      <c r="K32" s="22">
        <v>8.2305900000000001E-2</v>
      </c>
      <c r="L32">
        <f t="shared" si="0"/>
        <v>-63.8977</v>
      </c>
      <c r="M32">
        <f t="shared" si="1"/>
        <v>-109.85356481699999</v>
      </c>
      <c r="N32" s="9"/>
      <c r="O32" s="22">
        <v>1.08337E-2</v>
      </c>
      <c r="P32" s="22">
        <v>129.96299999999999</v>
      </c>
      <c r="Q32" s="22">
        <v>-1.81091E-2</v>
      </c>
      <c r="R32" s="22">
        <v>22</v>
      </c>
      <c r="S32" s="22">
        <v>1.06934E-2</v>
      </c>
      <c r="T32">
        <f t="shared" si="2"/>
        <v>18.109099999999998</v>
      </c>
      <c r="U32">
        <f t="shared" si="3"/>
        <v>0.19618855666999999</v>
      </c>
      <c r="X32" s="9"/>
      <c r="Y32" s="22">
        <v>1.7192099999999999</v>
      </c>
      <c r="Z32" s="22">
        <v>188.75</v>
      </c>
      <c r="AA32" s="22">
        <v>-9.8663299999999995E-3</v>
      </c>
      <c r="AB32" s="22">
        <v>22</v>
      </c>
      <c r="AC32" s="22">
        <v>1.71844</v>
      </c>
      <c r="AD32">
        <f t="shared" si="4"/>
        <v>9.8663299999999996</v>
      </c>
      <c r="AE32">
        <f t="shared" si="5"/>
        <v>16.962293199299999</v>
      </c>
      <c r="AF32" s="9"/>
      <c r="AG32" s="22">
        <v>1.08337E-2</v>
      </c>
      <c r="AH32" s="22">
        <v>280.76799999999997</v>
      </c>
      <c r="AI32" s="22">
        <v>-1.7965700000000001E-2</v>
      </c>
      <c r="AJ32" s="22">
        <v>22</v>
      </c>
      <c r="AK32" s="22">
        <v>1.06079E-2</v>
      </c>
      <c r="AL32">
        <f t="shared" si="6"/>
        <v>17.965700000000002</v>
      </c>
      <c r="AM32">
        <f t="shared" si="7"/>
        <v>0.19463500409000001</v>
      </c>
      <c r="AP32" s="9"/>
      <c r="AQ32" s="22">
        <v>1.7192099999999999</v>
      </c>
      <c r="AR32" s="22">
        <v>376.73099999999999</v>
      </c>
      <c r="AS32" s="22">
        <v>-1.11389E-2</v>
      </c>
      <c r="AT32" s="22">
        <v>22</v>
      </c>
      <c r="AU32" s="22">
        <v>1.71844</v>
      </c>
      <c r="AV32">
        <f t="shared" si="8"/>
        <v>11.1389</v>
      </c>
      <c r="AW32">
        <f t="shared" si="9"/>
        <v>19.150108268999997</v>
      </c>
      <c r="AX32" s="9"/>
      <c r="AY32" s="22">
        <v>1.08337E-2</v>
      </c>
      <c r="AZ32" s="22">
        <v>470.99900000000002</v>
      </c>
      <c r="BA32" s="22">
        <v>-1.7867999999999998E-2</v>
      </c>
      <c r="BB32" s="22">
        <v>22</v>
      </c>
      <c r="BC32" s="22">
        <v>1.09406E-2</v>
      </c>
      <c r="BD32">
        <f t="shared" si="10"/>
        <v>17.867999999999999</v>
      </c>
      <c r="BE32">
        <f t="shared" si="11"/>
        <v>0.19357655159999998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57.844200000000001</v>
      </c>
      <c r="I33" s="22">
        <v>6.3799999999999996E-2</v>
      </c>
      <c r="J33" s="22">
        <v>23</v>
      </c>
      <c r="K33" s="22">
        <v>8.2244899999999996E-2</v>
      </c>
      <c r="L33">
        <f t="shared" si="0"/>
        <v>-63.8</v>
      </c>
      <c r="M33">
        <f t="shared" si="1"/>
        <v>-109.36404599999999</v>
      </c>
      <c r="N33" s="9"/>
      <c r="O33" s="22">
        <v>1.5869100000000001E-2</v>
      </c>
      <c r="P33" s="22">
        <v>130.06299999999999</v>
      </c>
      <c r="Q33" s="22">
        <v>-1.8112199999999998E-2</v>
      </c>
      <c r="R33" s="22">
        <v>23</v>
      </c>
      <c r="S33" s="22">
        <v>1.57898E-2</v>
      </c>
      <c r="T33">
        <f t="shared" si="2"/>
        <v>18.112199999999998</v>
      </c>
      <c r="U33">
        <f t="shared" si="3"/>
        <v>0.28742431301999999</v>
      </c>
      <c r="X33" s="9"/>
      <c r="Y33" s="22">
        <v>1.71417</v>
      </c>
      <c r="Z33" s="22">
        <v>188.85</v>
      </c>
      <c r="AA33" s="22">
        <v>-1.0257E-2</v>
      </c>
      <c r="AB33" s="22">
        <v>23</v>
      </c>
      <c r="AC33" s="22">
        <v>1.71417</v>
      </c>
      <c r="AD33">
        <f t="shared" si="4"/>
        <v>10.257</v>
      </c>
      <c r="AE33">
        <f t="shared" si="5"/>
        <v>17.58224169</v>
      </c>
      <c r="AF33" s="9"/>
      <c r="AG33" s="22">
        <v>1.5869100000000001E-2</v>
      </c>
      <c r="AH33" s="22">
        <v>280.86900000000003</v>
      </c>
      <c r="AI33" s="22">
        <v>-1.79565E-2</v>
      </c>
      <c r="AJ33" s="22">
        <v>23</v>
      </c>
      <c r="AK33" s="22">
        <v>1.5859999999999999E-2</v>
      </c>
      <c r="AL33">
        <f t="shared" si="6"/>
        <v>17.956500000000002</v>
      </c>
      <c r="AM33">
        <f t="shared" si="7"/>
        <v>0.28495349415000004</v>
      </c>
      <c r="AP33" s="9"/>
      <c r="AQ33" s="22">
        <v>1.71417</v>
      </c>
      <c r="AR33" s="22">
        <v>376.83100000000002</v>
      </c>
      <c r="AS33" s="22">
        <v>-1.14471E-2</v>
      </c>
      <c r="AT33" s="22">
        <v>23</v>
      </c>
      <c r="AU33" s="22">
        <v>1.71356</v>
      </c>
      <c r="AV33">
        <f t="shared" si="8"/>
        <v>11.447100000000001</v>
      </c>
      <c r="AW33">
        <f t="shared" si="9"/>
        <v>19.622275407</v>
      </c>
      <c r="AX33" s="9"/>
      <c r="AY33" s="22">
        <v>1.5869100000000001E-2</v>
      </c>
      <c r="AZ33" s="22">
        <v>471.1</v>
      </c>
      <c r="BA33" s="22">
        <v>-1.78741E-2</v>
      </c>
      <c r="BB33" s="22">
        <v>23</v>
      </c>
      <c r="BC33" s="22">
        <v>1.5972900000000002E-2</v>
      </c>
      <c r="BD33">
        <f t="shared" si="10"/>
        <v>17.874100000000002</v>
      </c>
      <c r="BE33">
        <f t="shared" si="11"/>
        <v>0.28364588031000004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57.944899999999997</v>
      </c>
      <c r="I34" s="22">
        <v>6.3681000000000001E-2</v>
      </c>
      <c r="J34" s="22">
        <v>24</v>
      </c>
      <c r="K34" s="22">
        <v>8.2214400000000007E-2</v>
      </c>
      <c r="L34">
        <f t="shared" si="0"/>
        <v>-63.681000000000004</v>
      </c>
      <c r="M34">
        <f t="shared" si="1"/>
        <v>-108.83974434000001</v>
      </c>
      <c r="N34" s="9"/>
      <c r="O34" s="22">
        <v>2.0904499999999999E-2</v>
      </c>
      <c r="P34" s="22">
        <v>130.16399999999999</v>
      </c>
      <c r="Q34" s="22">
        <v>-1.81183E-2</v>
      </c>
      <c r="R34" s="22">
        <v>24</v>
      </c>
      <c r="S34" s="22">
        <v>2.0553600000000002E-2</v>
      </c>
      <c r="T34">
        <f t="shared" si="2"/>
        <v>18.118300000000001</v>
      </c>
      <c r="U34">
        <f t="shared" si="3"/>
        <v>0.37875400235000001</v>
      </c>
      <c r="X34" s="9"/>
      <c r="Y34" s="22">
        <v>1.7091400000000001</v>
      </c>
      <c r="Z34" s="22">
        <v>188.95099999999999</v>
      </c>
      <c r="AA34" s="22">
        <v>-1.06293E-2</v>
      </c>
      <c r="AB34" s="22">
        <v>24</v>
      </c>
      <c r="AC34" s="22">
        <v>1.70807</v>
      </c>
      <c r="AD34">
        <f t="shared" si="4"/>
        <v>10.629299999999999</v>
      </c>
      <c r="AE34">
        <f t="shared" si="5"/>
        <v>18.166961801999999</v>
      </c>
      <c r="AF34" s="9"/>
      <c r="AG34" s="22">
        <v>2.0904499999999999E-2</v>
      </c>
      <c r="AH34" s="22">
        <v>280.96899999999999</v>
      </c>
      <c r="AI34" s="22">
        <v>-1.7950399999999998E-2</v>
      </c>
      <c r="AJ34" s="22">
        <v>24</v>
      </c>
      <c r="AK34" s="22">
        <v>2.0880099999999999E-2</v>
      </c>
      <c r="AL34">
        <f t="shared" si="6"/>
        <v>17.950399999999998</v>
      </c>
      <c r="AM34">
        <f t="shared" si="7"/>
        <v>0.37524413679999996</v>
      </c>
      <c r="AP34" s="9"/>
      <c r="AQ34" s="22">
        <v>1.7091400000000001</v>
      </c>
      <c r="AR34" s="22">
        <v>376.93200000000002</v>
      </c>
      <c r="AS34" s="22">
        <v>-1.17676E-2</v>
      </c>
      <c r="AT34" s="22">
        <v>24</v>
      </c>
      <c r="AU34" s="22">
        <v>1.7083699999999999</v>
      </c>
      <c r="AV34">
        <f t="shared" si="8"/>
        <v>11.7676</v>
      </c>
      <c r="AW34">
        <f t="shared" si="9"/>
        <v>20.112475864</v>
      </c>
      <c r="AX34" s="9"/>
      <c r="AY34" s="22">
        <v>2.0904499999999999E-2</v>
      </c>
      <c r="AZ34" s="22">
        <v>471.20100000000002</v>
      </c>
      <c r="BA34" s="22">
        <v>-1.7864999999999999E-2</v>
      </c>
      <c r="BB34" s="22">
        <v>24</v>
      </c>
      <c r="BC34" s="22">
        <v>2.08618E-2</v>
      </c>
      <c r="BD34">
        <f t="shared" si="10"/>
        <v>17.864999999999998</v>
      </c>
      <c r="BE34">
        <f t="shared" si="11"/>
        <v>0.37345889249999997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58.0456</v>
      </c>
      <c r="I35" s="22">
        <v>6.3629199999999997E-2</v>
      </c>
      <c r="J35" s="22">
        <v>25</v>
      </c>
      <c r="K35" s="22">
        <v>8.2153299999999999E-2</v>
      </c>
      <c r="L35">
        <f t="shared" si="0"/>
        <v>-63.629199999999997</v>
      </c>
      <c r="M35">
        <f t="shared" si="1"/>
        <v>-108.43051971999999</v>
      </c>
      <c r="N35" s="9"/>
      <c r="O35" s="22">
        <v>2.5939899999999998E-2</v>
      </c>
      <c r="P35" s="22">
        <v>130.26499999999999</v>
      </c>
      <c r="Q35" s="22">
        <v>-1.8115200000000001E-2</v>
      </c>
      <c r="R35" s="22">
        <v>25</v>
      </c>
      <c r="S35" s="22">
        <v>2.57965E-2</v>
      </c>
      <c r="T35">
        <f t="shared" si="2"/>
        <v>18.115200000000002</v>
      </c>
      <c r="U35">
        <f t="shared" si="3"/>
        <v>0.46990647648</v>
      </c>
      <c r="X35" s="9"/>
      <c r="Y35" s="22">
        <v>1.7040999999999999</v>
      </c>
      <c r="Z35" s="22">
        <v>189.05199999999999</v>
      </c>
      <c r="AA35" s="22">
        <v>-1.09894E-2</v>
      </c>
      <c r="AB35" s="22">
        <v>25</v>
      </c>
      <c r="AC35" s="22">
        <v>1.7034899999999999</v>
      </c>
      <c r="AD35">
        <f t="shared" si="4"/>
        <v>10.9894</v>
      </c>
      <c r="AE35">
        <f t="shared" si="5"/>
        <v>18.72703654</v>
      </c>
      <c r="AF35" s="9"/>
      <c r="AG35" s="22">
        <v>2.5939899999999998E-2</v>
      </c>
      <c r="AH35" s="22">
        <v>281.07</v>
      </c>
      <c r="AI35" s="22">
        <v>-1.79565E-2</v>
      </c>
      <c r="AJ35" s="22">
        <v>25</v>
      </c>
      <c r="AK35" s="22">
        <v>2.5872800000000001E-2</v>
      </c>
      <c r="AL35">
        <f t="shared" si="6"/>
        <v>17.956500000000002</v>
      </c>
      <c r="AM35">
        <f t="shared" si="7"/>
        <v>0.46578981435</v>
      </c>
      <c r="AP35" s="9"/>
      <c r="AQ35" s="22">
        <v>1.7040999999999999</v>
      </c>
      <c r="AR35" s="22">
        <v>377.03300000000002</v>
      </c>
      <c r="AS35" s="22">
        <v>-1.20544E-2</v>
      </c>
      <c r="AT35" s="22">
        <v>25</v>
      </c>
      <c r="AU35" s="22">
        <v>1.70319</v>
      </c>
      <c r="AV35">
        <f t="shared" si="8"/>
        <v>12.054399999999999</v>
      </c>
      <c r="AW35">
        <f t="shared" si="9"/>
        <v>20.541903039999998</v>
      </c>
      <c r="AX35" s="9"/>
      <c r="AY35" s="22">
        <v>2.5939899999999998E-2</v>
      </c>
      <c r="AZ35" s="22">
        <v>471.30099999999999</v>
      </c>
      <c r="BA35" s="22">
        <v>-1.7864999999999999E-2</v>
      </c>
      <c r="BB35" s="22">
        <v>25</v>
      </c>
      <c r="BC35" s="22">
        <v>2.6184099999999998E-2</v>
      </c>
      <c r="BD35">
        <f t="shared" si="10"/>
        <v>17.864999999999998</v>
      </c>
      <c r="BE35">
        <f t="shared" si="11"/>
        <v>0.46341631349999995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58.146299999999997</v>
      </c>
      <c r="I36" s="22">
        <v>6.3574199999999997E-2</v>
      </c>
      <c r="J36" s="22">
        <v>26</v>
      </c>
      <c r="K36" s="22">
        <v>8.2122799999999996E-2</v>
      </c>
      <c r="L36">
        <f t="shared" si="0"/>
        <v>-63.574199999999998</v>
      </c>
      <c r="M36">
        <f t="shared" si="1"/>
        <v>-108.017015994</v>
      </c>
      <c r="N36" s="9"/>
      <c r="O36" s="22">
        <v>3.0975300000000001E-2</v>
      </c>
      <c r="P36" s="22">
        <v>130.36500000000001</v>
      </c>
      <c r="Q36" s="22">
        <v>-1.81213E-2</v>
      </c>
      <c r="R36" s="22">
        <v>26</v>
      </c>
      <c r="S36" s="22">
        <v>3.1243900000000002E-2</v>
      </c>
      <c r="T36">
        <f t="shared" si="2"/>
        <v>18.121300000000002</v>
      </c>
      <c r="U36">
        <f t="shared" si="3"/>
        <v>0.5613127038900001</v>
      </c>
      <c r="X36" s="9"/>
      <c r="Y36" s="22">
        <v>1.6990700000000001</v>
      </c>
      <c r="Z36" s="22">
        <v>189.15199999999999</v>
      </c>
      <c r="AA36" s="22">
        <v>-1.13312E-2</v>
      </c>
      <c r="AB36" s="22">
        <v>26</v>
      </c>
      <c r="AC36" s="22">
        <v>1.69861</v>
      </c>
      <c r="AD36">
        <f t="shared" si="4"/>
        <v>11.331199999999999</v>
      </c>
      <c r="AE36">
        <f t="shared" si="5"/>
        <v>19.252501983999998</v>
      </c>
      <c r="AF36" s="9"/>
      <c r="AG36" s="22">
        <v>3.0975300000000001E-2</v>
      </c>
      <c r="AH36" s="22">
        <v>281.17099999999999</v>
      </c>
      <c r="AI36" s="22">
        <v>-1.79565E-2</v>
      </c>
      <c r="AJ36" s="22">
        <v>26</v>
      </c>
      <c r="AK36" s="22">
        <v>3.0889900000000001E-2</v>
      </c>
      <c r="AL36">
        <f t="shared" si="6"/>
        <v>17.956500000000002</v>
      </c>
      <c r="AM36">
        <f t="shared" si="7"/>
        <v>0.55620797445000003</v>
      </c>
      <c r="AP36" s="9"/>
      <c r="AQ36" s="22">
        <v>1.6990700000000001</v>
      </c>
      <c r="AR36" s="22">
        <v>377.13299999999998</v>
      </c>
      <c r="AS36" s="22">
        <v>-1.2329100000000001E-2</v>
      </c>
      <c r="AT36" s="22">
        <v>26</v>
      </c>
      <c r="AU36" s="22">
        <v>1.698</v>
      </c>
      <c r="AV36">
        <f t="shared" si="8"/>
        <v>12.3291</v>
      </c>
      <c r="AW36">
        <f t="shared" si="9"/>
        <v>20.948003937000003</v>
      </c>
      <c r="AX36" s="9"/>
      <c r="AY36" s="22">
        <v>3.0975300000000001E-2</v>
      </c>
      <c r="AZ36" s="22">
        <v>471.40199999999999</v>
      </c>
      <c r="BA36" s="22">
        <v>-1.7864999999999999E-2</v>
      </c>
      <c r="BB36" s="22">
        <v>26</v>
      </c>
      <c r="BC36" s="22">
        <v>3.09479E-2</v>
      </c>
      <c r="BD36">
        <f t="shared" si="10"/>
        <v>17.864999999999998</v>
      </c>
      <c r="BE36">
        <f t="shared" si="11"/>
        <v>0.55337373449999994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58.247</v>
      </c>
      <c r="I37" s="22">
        <v>6.3501000000000002E-2</v>
      </c>
      <c r="J37" s="22">
        <v>27</v>
      </c>
      <c r="K37" s="22">
        <v>8.2153299999999999E-2</v>
      </c>
      <c r="L37">
        <f t="shared" si="0"/>
        <v>-63.501000000000005</v>
      </c>
      <c r="M37">
        <f t="shared" si="1"/>
        <v>-107.57259903000001</v>
      </c>
      <c r="N37" s="9"/>
      <c r="O37" s="22">
        <v>3.60107E-2</v>
      </c>
      <c r="P37" s="22">
        <v>130.46600000000001</v>
      </c>
      <c r="Q37" s="22">
        <v>-1.8112199999999998E-2</v>
      </c>
      <c r="R37" s="22">
        <v>27</v>
      </c>
      <c r="S37" s="22">
        <v>3.6065699999999999E-2</v>
      </c>
      <c r="T37">
        <f t="shared" si="2"/>
        <v>18.112199999999998</v>
      </c>
      <c r="U37">
        <f t="shared" si="3"/>
        <v>0.65223300053999989</v>
      </c>
      <c r="X37" s="9"/>
      <c r="Y37" s="22">
        <v>1.6940299999999999</v>
      </c>
      <c r="Z37" s="22">
        <v>189.25299999999999</v>
      </c>
      <c r="AA37" s="22">
        <v>-1.1639399999999999E-2</v>
      </c>
      <c r="AB37" s="22">
        <v>27</v>
      </c>
      <c r="AC37" s="22">
        <v>1.69373</v>
      </c>
      <c r="AD37">
        <f t="shared" si="4"/>
        <v>11.6394</v>
      </c>
      <c r="AE37">
        <f t="shared" si="5"/>
        <v>19.717492782000001</v>
      </c>
      <c r="AF37" s="9"/>
      <c r="AG37" s="22">
        <v>3.60107E-2</v>
      </c>
      <c r="AH37" s="22">
        <v>281.27199999999999</v>
      </c>
      <c r="AI37" s="22">
        <v>-1.7947399999999999E-2</v>
      </c>
      <c r="AJ37" s="22">
        <v>27</v>
      </c>
      <c r="AK37" s="22">
        <v>3.6065699999999999E-2</v>
      </c>
      <c r="AL37">
        <f t="shared" si="6"/>
        <v>17.947399999999998</v>
      </c>
      <c r="AM37">
        <f t="shared" si="7"/>
        <v>0.64629843717999991</v>
      </c>
      <c r="AP37" s="9"/>
      <c r="AQ37" s="22">
        <v>1.6940299999999999</v>
      </c>
      <c r="AR37" s="22">
        <v>377.23399999999998</v>
      </c>
      <c r="AS37" s="22">
        <v>-1.2588500000000001E-2</v>
      </c>
      <c r="AT37" s="22">
        <v>27</v>
      </c>
      <c r="AU37" s="22">
        <v>1.6928099999999999</v>
      </c>
      <c r="AV37">
        <f t="shared" si="8"/>
        <v>12.588500000000002</v>
      </c>
      <c r="AW37">
        <f t="shared" si="9"/>
        <v>21.325296655000002</v>
      </c>
      <c r="AX37" s="9"/>
      <c r="AY37" s="22">
        <v>3.60107E-2</v>
      </c>
      <c r="AZ37" s="22">
        <v>471.50299999999999</v>
      </c>
      <c r="BA37" s="22">
        <v>-1.7904699999999999E-2</v>
      </c>
      <c r="BB37" s="22">
        <v>27</v>
      </c>
      <c r="BC37" s="22">
        <v>3.61328E-2</v>
      </c>
      <c r="BD37">
        <f t="shared" si="10"/>
        <v>17.904699999999998</v>
      </c>
      <c r="BE37">
        <f t="shared" si="11"/>
        <v>0.64476078028999995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58.347700000000003</v>
      </c>
      <c r="I38" s="22">
        <v>6.3446000000000002E-2</v>
      </c>
      <c r="J38" s="22">
        <v>28</v>
      </c>
      <c r="K38" s="22">
        <v>8.2061800000000004E-2</v>
      </c>
      <c r="L38">
        <f t="shared" si="0"/>
        <v>-63.446000000000005</v>
      </c>
      <c r="M38">
        <f t="shared" si="1"/>
        <v>-107.16029400000001</v>
      </c>
      <c r="N38" s="9"/>
      <c r="O38" s="22">
        <v>4.1046100000000002E-2</v>
      </c>
      <c r="P38" s="22">
        <v>130.56700000000001</v>
      </c>
      <c r="Q38" s="22">
        <v>-1.8115200000000001E-2</v>
      </c>
      <c r="R38" s="22">
        <v>28</v>
      </c>
      <c r="S38" s="22">
        <v>4.1436800000000003E-2</v>
      </c>
      <c r="T38">
        <f t="shared" si="2"/>
        <v>18.115200000000002</v>
      </c>
      <c r="U38">
        <f t="shared" si="3"/>
        <v>0.74355831072000012</v>
      </c>
      <c r="X38" s="9"/>
      <c r="Y38" s="22">
        <v>1.6890000000000001</v>
      </c>
      <c r="Z38" s="22">
        <v>189.35400000000001</v>
      </c>
      <c r="AA38" s="22">
        <v>-1.19446E-2</v>
      </c>
      <c r="AB38" s="22">
        <v>28</v>
      </c>
      <c r="AC38" s="22">
        <v>1.6882299999999999</v>
      </c>
      <c r="AD38">
        <f t="shared" si="4"/>
        <v>11.944599999999999</v>
      </c>
      <c r="AE38">
        <f t="shared" si="5"/>
        <v>20.174429400000001</v>
      </c>
      <c r="AF38" s="9"/>
      <c r="AG38" s="22">
        <v>4.1046100000000002E-2</v>
      </c>
      <c r="AH38" s="22">
        <v>281.37200000000001</v>
      </c>
      <c r="AI38" s="22">
        <v>-1.7950399999999998E-2</v>
      </c>
      <c r="AJ38" s="22">
        <v>28</v>
      </c>
      <c r="AK38" s="22">
        <v>4.1098000000000003E-2</v>
      </c>
      <c r="AL38">
        <f t="shared" si="6"/>
        <v>17.950399999999998</v>
      </c>
      <c r="AM38">
        <f t="shared" si="7"/>
        <v>0.73679391344</v>
      </c>
      <c r="AP38" s="9"/>
      <c r="AQ38" s="22">
        <v>1.6890000000000001</v>
      </c>
      <c r="AR38" s="22">
        <v>377.33499999999998</v>
      </c>
      <c r="AS38" s="22">
        <v>-1.28326E-2</v>
      </c>
      <c r="AT38" s="22">
        <v>28</v>
      </c>
      <c r="AU38" s="22">
        <v>1.6885399999999999</v>
      </c>
      <c r="AV38">
        <f t="shared" si="8"/>
        <v>12.832599999999999</v>
      </c>
      <c r="AW38">
        <f t="shared" si="9"/>
        <v>21.674261399999999</v>
      </c>
      <c r="AX38" s="9"/>
      <c r="AY38" s="22">
        <v>4.1046100000000002E-2</v>
      </c>
      <c r="AZ38" s="22">
        <v>471.60300000000001</v>
      </c>
      <c r="BA38" s="22">
        <v>-1.7904699999999999E-2</v>
      </c>
      <c r="BB38" s="22">
        <v>28</v>
      </c>
      <c r="BC38" s="22">
        <v>4.13788E-2</v>
      </c>
      <c r="BD38">
        <f t="shared" si="10"/>
        <v>17.904699999999998</v>
      </c>
      <c r="BE38">
        <f t="shared" si="11"/>
        <v>0.73491810667000002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58.448399999999999</v>
      </c>
      <c r="I39" s="22">
        <v>6.3342300000000004E-2</v>
      </c>
      <c r="J39" s="22">
        <v>29</v>
      </c>
      <c r="K39" s="22">
        <v>8.2031300000000001E-2</v>
      </c>
      <c r="L39">
        <f t="shared" si="0"/>
        <v>-63.342300000000002</v>
      </c>
      <c r="M39">
        <f t="shared" si="1"/>
        <v>-106.665899508</v>
      </c>
      <c r="N39" s="9"/>
      <c r="O39" s="22">
        <v>4.6081499999999997E-2</v>
      </c>
      <c r="P39" s="22">
        <v>130.66800000000001</v>
      </c>
      <c r="Q39" s="22">
        <v>-1.8124399999999999E-2</v>
      </c>
      <c r="R39" s="22">
        <v>29</v>
      </c>
      <c r="S39" s="22">
        <v>4.6282999999999998E-2</v>
      </c>
      <c r="T39">
        <f t="shared" si="2"/>
        <v>18.124399999999998</v>
      </c>
      <c r="U39">
        <f t="shared" si="3"/>
        <v>0.83519953859999985</v>
      </c>
      <c r="X39" s="9"/>
      <c r="Y39" s="22">
        <v>1.6839599999999999</v>
      </c>
      <c r="Z39" s="22">
        <v>189.45400000000001</v>
      </c>
      <c r="AA39" s="22">
        <v>-1.22284E-2</v>
      </c>
      <c r="AB39" s="22">
        <v>29</v>
      </c>
      <c r="AC39" s="22">
        <v>1.6833499999999999</v>
      </c>
      <c r="AD39">
        <f t="shared" si="4"/>
        <v>12.228400000000001</v>
      </c>
      <c r="AE39">
        <f t="shared" si="5"/>
        <v>20.592136463999999</v>
      </c>
      <c r="AF39" s="9"/>
      <c r="AG39" s="22">
        <v>4.6081499999999997E-2</v>
      </c>
      <c r="AH39" s="22">
        <v>281.47300000000001</v>
      </c>
      <c r="AI39" s="22">
        <v>-1.7950399999999998E-2</v>
      </c>
      <c r="AJ39" s="22">
        <v>29</v>
      </c>
      <c r="AK39" s="22">
        <v>4.5892299999999997E-2</v>
      </c>
      <c r="AL39">
        <f t="shared" si="6"/>
        <v>17.950399999999998</v>
      </c>
      <c r="AM39">
        <f t="shared" si="7"/>
        <v>0.82718135759999989</v>
      </c>
      <c r="AP39" s="9"/>
      <c r="AQ39" s="22">
        <v>1.6839599999999999</v>
      </c>
      <c r="AR39" s="22">
        <v>377.43599999999998</v>
      </c>
      <c r="AS39" s="22">
        <v>-1.3079800000000001E-2</v>
      </c>
      <c r="AT39" s="22">
        <v>29</v>
      </c>
      <c r="AU39" s="22">
        <v>1.6833499999999999</v>
      </c>
      <c r="AV39">
        <f t="shared" si="8"/>
        <v>13.079800000000001</v>
      </c>
      <c r="AW39">
        <f t="shared" si="9"/>
        <v>22.025860007999999</v>
      </c>
      <c r="AX39" s="9"/>
      <c r="AY39" s="22">
        <v>4.6081499999999997E-2</v>
      </c>
      <c r="AZ39" s="22">
        <v>471.70400000000001</v>
      </c>
      <c r="BA39" s="22">
        <v>-1.7904699999999999E-2</v>
      </c>
      <c r="BB39" s="22">
        <v>29</v>
      </c>
      <c r="BC39" s="22">
        <v>4.6188399999999998E-2</v>
      </c>
      <c r="BD39">
        <f t="shared" si="10"/>
        <v>17.904699999999998</v>
      </c>
      <c r="BE39">
        <f t="shared" si="11"/>
        <v>0.82507543304999986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58.549100000000003</v>
      </c>
      <c r="I40" s="22">
        <v>6.3287399999999994E-2</v>
      </c>
      <c r="J40" s="22">
        <v>30</v>
      </c>
      <c r="K40" s="22">
        <v>8.2092300000000007E-2</v>
      </c>
      <c r="L40">
        <f t="shared" si="0"/>
        <v>-63.287399999999991</v>
      </c>
      <c r="M40">
        <f t="shared" si="1"/>
        <v>-106.25448160799998</v>
      </c>
      <c r="N40" s="9"/>
      <c r="O40" s="22">
        <v>5.11169E-2</v>
      </c>
      <c r="P40" s="22">
        <v>130.768</v>
      </c>
      <c r="Q40" s="22">
        <v>-1.8124399999999999E-2</v>
      </c>
      <c r="R40" s="22">
        <v>30</v>
      </c>
      <c r="S40" s="22">
        <v>4.9990800000000002E-2</v>
      </c>
      <c r="T40">
        <f t="shared" si="2"/>
        <v>18.124399999999998</v>
      </c>
      <c r="U40">
        <f t="shared" si="3"/>
        <v>0.92646314235999994</v>
      </c>
      <c r="X40" s="9"/>
      <c r="Y40" s="22">
        <v>1.67892</v>
      </c>
      <c r="Z40" s="22">
        <v>189.55500000000001</v>
      </c>
      <c r="AA40" s="22">
        <v>-1.2512199999999999E-2</v>
      </c>
      <c r="AB40" s="22">
        <v>30</v>
      </c>
      <c r="AC40" s="22">
        <v>1.6784699999999999</v>
      </c>
      <c r="AD40">
        <f t="shared" si="4"/>
        <v>12.5122</v>
      </c>
      <c r="AE40">
        <f t="shared" si="5"/>
        <v>21.006982823999998</v>
      </c>
      <c r="AF40" s="9"/>
      <c r="AG40" s="22">
        <v>5.11169E-2</v>
      </c>
      <c r="AH40" s="22">
        <v>281.57400000000001</v>
      </c>
      <c r="AI40" s="22">
        <v>-1.7959599999999999E-2</v>
      </c>
      <c r="AJ40" s="22">
        <v>30</v>
      </c>
      <c r="AK40" s="22">
        <v>5.1269500000000003E-2</v>
      </c>
      <c r="AL40">
        <f t="shared" si="6"/>
        <v>17.959599999999998</v>
      </c>
      <c r="AM40">
        <f t="shared" si="7"/>
        <v>0.91803907723999989</v>
      </c>
      <c r="AP40" s="9"/>
      <c r="AQ40" s="22">
        <v>1.67892</v>
      </c>
      <c r="AR40" s="22">
        <v>377.536</v>
      </c>
      <c r="AS40" s="22">
        <v>-1.32782E-2</v>
      </c>
      <c r="AT40" s="22">
        <v>30</v>
      </c>
      <c r="AU40" s="22">
        <v>1.6781600000000001</v>
      </c>
      <c r="AV40">
        <f t="shared" si="8"/>
        <v>13.2782</v>
      </c>
      <c r="AW40">
        <f t="shared" si="9"/>
        <v>22.293035543999999</v>
      </c>
      <c r="AX40" s="9"/>
      <c r="AY40" s="22">
        <v>5.11169E-2</v>
      </c>
      <c r="AZ40" s="22">
        <v>471.80500000000001</v>
      </c>
      <c r="BA40" s="22">
        <v>-1.7907699999999999E-2</v>
      </c>
      <c r="BB40" s="22">
        <v>30</v>
      </c>
      <c r="BC40" s="22">
        <v>5.1080300000000002E-2</v>
      </c>
      <c r="BD40">
        <f t="shared" si="10"/>
        <v>17.907699999999998</v>
      </c>
      <c r="BE40">
        <f t="shared" si="11"/>
        <v>0.91538611012999993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58.649799999999999</v>
      </c>
      <c r="I41" s="22">
        <v>6.32355E-2</v>
      </c>
      <c r="J41" s="22">
        <v>31</v>
      </c>
      <c r="K41" s="22">
        <v>8.2000699999999996E-2</v>
      </c>
      <c r="L41">
        <f t="shared" si="0"/>
        <v>-63.235500000000002</v>
      </c>
      <c r="M41">
        <f t="shared" si="1"/>
        <v>-105.84927109500001</v>
      </c>
      <c r="N41" s="9"/>
      <c r="O41" s="22">
        <v>5.6152300000000002E-2</v>
      </c>
      <c r="P41" s="22">
        <v>130.869</v>
      </c>
      <c r="Q41" s="22">
        <v>-1.8103000000000001E-2</v>
      </c>
      <c r="R41" s="22">
        <v>31</v>
      </c>
      <c r="S41" s="22">
        <v>5.5938700000000001E-2</v>
      </c>
      <c r="T41">
        <f t="shared" si="2"/>
        <v>18.103000000000002</v>
      </c>
      <c r="U41">
        <f t="shared" si="3"/>
        <v>1.0165250869000002</v>
      </c>
      <c r="X41" s="9"/>
      <c r="Y41" s="22">
        <v>1.6738900000000001</v>
      </c>
      <c r="Z41" s="22">
        <v>189.65600000000001</v>
      </c>
      <c r="AA41" s="22">
        <v>-1.27502E-2</v>
      </c>
      <c r="AB41" s="22">
        <v>31</v>
      </c>
      <c r="AC41" s="22">
        <v>1.6720600000000001</v>
      </c>
      <c r="AD41">
        <f t="shared" si="4"/>
        <v>12.7502</v>
      </c>
      <c r="AE41">
        <f t="shared" si="5"/>
        <v>21.342432278</v>
      </c>
      <c r="AF41" s="9"/>
      <c r="AG41" s="22">
        <v>5.6152300000000002E-2</v>
      </c>
      <c r="AH41" s="22">
        <v>281.67399999999998</v>
      </c>
      <c r="AI41" s="22">
        <v>-1.7947399999999999E-2</v>
      </c>
      <c r="AJ41" s="22">
        <v>31</v>
      </c>
      <c r="AK41" s="22">
        <v>5.5908199999999998E-2</v>
      </c>
      <c r="AL41">
        <f t="shared" si="6"/>
        <v>17.947399999999998</v>
      </c>
      <c r="AM41">
        <f t="shared" si="7"/>
        <v>1.00778778902</v>
      </c>
      <c r="AP41" s="9"/>
      <c r="AQ41" s="22">
        <v>1.6738900000000001</v>
      </c>
      <c r="AR41" s="22">
        <v>377.637</v>
      </c>
      <c r="AS41" s="22">
        <v>-1.3510100000000001E-2</v>
      </c>
      <c r="AT41" s="22">
        <v>31</v>
      </c>
      <c r="AU41" s="22">
        <v>1.6732800000000001</v>
      </c>
      <c r="AV41">
        <f t="shared" si="8"/>
        <v>13.510100000000001</v>
      </c>
      <c r="AW41">
        <f t="shared" si="9"/>
        <v>22.614421289000003</v>
      </c>
      <c r="AX41" s="9"/>
      <c r="AY41" s="22">
        <v>5.6152300000000002E-2</v>
      </c>
      <c r="AZ41" s="22">
        <v>471.90600000000001</v>
      </c>
      <c r="BA41" s="22">
        <v>-1.7904699999999999E-2</v>
      </c>
      <c r="BB41" s="22">
        <v>31</v>
      </c>
      <c r="BC41" s="22">
        <v>5.5542000000000001E-2</v>
      </c>
      <c r="BD41">
        <f t="shared" si="10"/>
        <v>17.904699999999998</v>
      </c>
      <c r="BE41">
        <f t="shared" si="11"/>
        <v>1.00539008581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58.750500000000002</v>
      </c>
      <c r="I42" s="22">
        <v>6.3134800000000005E-2</v>
      </c>
      <c r="J42" s="22">
        <v>32</v>
      </c>
      <c r="K42" s="22">
        <v>8.2031300000000001E-2</v>
      </c>
      <c r="L42">
        <f t="shared" si="0"/>
        <v>-63.134800000000006</v>
      </c>
      <c r="M42">
        <f t="shared" si="1"/>
        <v>-105.36251098000001</v>
      </c>
      <c r="N42" s="9"/>
      <c r="O42" s="22">
        <v>6.1187699999999998E-2</v>
      </c>
      <c r="P42" s="22">
        <v>130.97</v>
      </c>
      <c r="Q42" s="22">
        <v>-1.8100000000000002E-2</v>
      </c>
      <c r="R42" s="22">
        <v>32</v>
      </c>
      <c r="S42" s="22">
        <v>6.0424800000000001E-2</v>
      </c>
      <c r="T42">
        <f t="shared" si="2"/>
        <v>18.100000000000001</v>
      </c>
      <c r="U42">
        <f t="shared" si="3"/>
        <v>1.1074973700000001</v>
      </c>
      <c r="X42" s="9"/>
      <c r="Y42" s="22">
        <v>1.6688499999999999</v>
      </c>
      <c r="Z42" s="22">
        <v>189.75700000000001</v>
      </c>
      <c r="AA42" s="22">
        <v>-1.2991300000000001E-2</v>
      </c>
      <c r="AB42" s="22">
        <v>32</v>
      </c>
      <c r="AC42" s="22">
        <v>1.6680900000000001</v>
      </c>
      <c r="AD42">
        <f t="shared" si="4"/>
        <v>12.991300000000001</v>
      </c>
      <c r="AE42">
        <f t="shared" si="5"/>
        <v>21.680531004999999</v>
      </c>
      <c r="AF42" s="9"/>
      <c r="AG42" s="22">
        <v>6.1187699999999998E-2</v>
      </c>
      <c r="AH42" s="22">
        <v>281.77499999999998</v>
      </c>
      <c r="AI42" s="22">
        <v>-1.7947399999999999E-2</v>
      </c>
      <c r="AJ42" s="22">
        <v>32</v>
      </c>
      <c r="AK42" s="22">
        <v>6.0913099999999998E-2</v>
      </c>
      <c r="AL42">
        <f t="shared" si="6"/>
        <v>17.947399999999998</v>
      </c>
      <c r="AM42">
        <f t="shared" si="7"/>
        <v>1.0981601269799999</v>
      </c>
      <c r="AP42" s="9"/>
      <c r="AQ42" s="22">
        <v>1.6688499999999999</v>
      </c>
      <c r="AR42" s="22">
        <v>377.738</v>
      </c>
      <c r="AS42" s="22">
        <v>-1.37115E-2</v>
      </c>
      <c r="AT42" s="22">
        <v>32</v>
      </c>
      <c r="AU42" s="22">
        <v>1.6677900000000001</v>
      </c>
      <c r="AV42">
        <f t="shared" si="8"/>
        <v>13.711499999999999</v>
      </c>
      <c r="AW42">
        <f t="shared" si="9"/>
        <v>22.882436774999999</v>
      </c>
      <c r="AX42" s="9"/>
      <c r="AY42" s="22">
        <v>6.1187699999999998E-2</v>
      </c>
      <c r="AZ42" s="22">
        <v>472.00599999999997</v>
      </c>
      <c r="BA42" s="22">
        <v>-1.7907699999999999E-2</v>
      </c>
      <c r="BB42" s="22">
        <v>32</v>
      </c>
      <c r="BC42" s="22">
        <v>6.0485799999999999E-2</v>
      </c>
      <c r="BD42">
        <f t="shared" si="10"/>
        <v>17.907699999999998</v>
      </c>
      <c r="BE42">
        <f t="shared" si="11"/>
        <v>1.09573097529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58.851300000000002</v>
      </c>
      <c r="I43" s="22">
        <v>6.3058500000000003E-2</v>
      </c>
      <c r="J43" s="22">
        <v>33</v>
      </c>
      <c r="K43" s="22">
        <v>8.2092300000000007E-2</v>
      </c>
      <c r="L43">
        <f t="shared" si="0"/>
        <v>-63.058500000000002</v>
      </c>
      <c r="M43">
        <f t="shared" si="1"/>
        <v>-104.91799347000001</v>
      </c>
      <c r="N43" s="9"/>
      <c r="O43" s="22">
        <v>6.6223099999999993E-2</v>
      </c>
      <c r="P43" s="22">
        <v>131.07</v>
      </c>
      <c r="Q43" s="22">
        <v>-1.81061E-2</v>
      </c>
      <c r="R43" s="22">
        <v>33</v>
      </c>
      <c r="S43" s="22">
        <v>6.5704299999999993E-2</v>
      </c>
      <c r="T43">
        <f t="shared" si="2"/>
        <v>18.106100000000001</v>
      </c>
      <c r="U43">
        <f t="shared" si="3"/>
        <v>1.19904207091</v>
      </c>
      <c r="X43" s="9"/>
      <c r="Y43" s="22">
        <v>1.6638200000000001</v>
      </c>
      <c r="Z43" s="22">
        <v>189.857</v>
      </c>
      <c r="AA43" s="22">
        <v>-1.32263E-2</v>
      </c>
      <c r="AB43" s="22">
        <v>33</v>
      </c>
      <c r="AC43" s="22">
        <v>1.6629</v>
      </c>
      <c r="AD43">
        <f t="shared" si="4"/>
        <v>13.2263</v>
      </c>
      <c r="AE43">
        <f t="shared" si="5"/>
        <v>22.006182466000002</v>
      </c>
      <c r="AF43" s="9"/>
      <c r="AG43" s="22">
        <v>6.6223099999999993E-2</v>
      </c>
      <c r="AH43" s="22">
        <v>281.87599999999998</v>
      </c>
      <c r="AI43" s="22">
        <v>-1.7938200000000001E-2</v>
      </c>
      <c r="AJ43" s="22">
        <v>33</v>
      </c>
      <c r="AK43" s="22">
        <v>6.5521200000000002E-2</v>
      </c>
      <c r="AL43">
        <f t="shared" si="6"/>
        <v>17.938200000000002</v>
      </c>
      <c r="AM43">
        <f t="shared" si="7"/>
        <v>1.1879232124200001</v>
      </c>
      <c r="AP43" s="9"/>
      <c r="AQ43" s="22">
        <v>1.6638200000000001</v>
      </c>
      <c r="AR43" s="22">
        <v>377.83800000000002</v>
      </c>
      <c r="AS43" s="22">
        <v>-1.38855E-2</v>
      </c>
      <c r="AT43" s="22">
        <v>33</v>
      </c>
      <c r="AU43" s="22">
        <v>1.6632100000000001</v>
      </c>
      <c r="AV43">
        <f t="shared" si="8"/>
        <v>13.8855</v>
      </c>
      <c r="AW43">
        <f t="shared" si="9"/>
        <v>23.102972610000002</v>
      </c>
      <c r="AX43" s="9"/>
      <c r="AY43" s="22">
        <v>6.6223099999999993E-2</v>
      </c>
      <c r="AZ43" s="22">
        <v>472.10700000000003</v>
      </c>
      <c r="BA43" s="22">
        <v>-1.7898600000000001E-2</v>
      </c>
      <c r="BB43" s="22">
        <v>33</v>
      </c>
      <c r="BC43" s="22">
        <v>6.5185499999999993E-2</v>
      </c>
      <c r="BD43">
        <f t="shared" si="10"/>
        <v>17.898600000000002</v>
      </c>
      <c r="BE43">
        <f t="shared" si="11"/>
        <v>1.18530077766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58.951999999999998</v>
      </c>
      <c r="I44" s="22">
        <v>6.2994400000000006E-2</v>
      </c>
      <c r="J44" s="22">
        <v>34</v>
      </c>
      <c r="K44" s="22">
        <v>8.2122799999999996E-2</v>
      </c>
      <c r="L44">
        <f t="shared" si="0"/>
        <v>-62.994400000000006</v>
      </c>
      <c r="M44">
        <f t="shared" si="1"/>
        <v>-104.49385083200001</v>
      </c>
      <c r="N44" s="9"/>
      <c r="O44" s="22">
        <v>7.1258500000000002E-2</v>
      </c>
      <c r="P44" s="22">
        <v>131.17099999999999</v>
      </c>
      <c r="Q44" s="22">
        <v>-1.8103000000000001E-2</v>
      </c>
      <c r="R44" s="22">
        <v>34</v>
      </c>
      <c r="S44" s="22">
        <v>7.1106000000000003E-2</v>
      </c>
      <c r="T44">
        <f t="shared" si="2"/>
        <v>18.103000000000002</v>
      </c>
      <c r="U44">
        <f t="shared" si="3"/>
        <v>1.2899926255</v>
      </c>
      <c r="X44" s="9"/>
      <c r="Y44" s="22">
        <v>1.6587799999999999</v>
      </c>
      <c r="Z44" s="22">
        <v>189.958</v>
      </c>
      <c r="AA44" s="22">
        <v>-1.3418599999999999E-2</v>
      </c>
      <c r="AB44" s="22">
        <v>34</v>
      </c>
      <c r="AC44" s="22">
        <v>1.6583300000000001</v>
      </c>
      <c r="AD44">
        <f t="shared" si="4"/>
        <v>13.4186</v>
      </c>
      <c r="AE44">
        <f t="shared" si="5"/>
        <v>22.258505307999997</v>
      </c>
      <c r="AF44" s="9"/>
      <c r="AG44" s="22">
        <v>7.1258500000000002E-2</v>
      </c>
      <c r="AH44" s="22">
        <v>281.97699999999998</v>
      </c>
      <c r="AI44" s="22">
        <v>-1.7926000000000001E-2</v>
      </c>
      <c r="AJ44" s="22">
        <v>34</v>
      </c>
      <c r="AK44" s="22">
        <v>7.1044899999999994E-2</v>
      </c>
      <c r="AL44">
        <f t="shared" si="6"/>
        <v>17.926000000000002</v>
      </c>
      <c r="AM44">
        <f t="shared" si="7"/>
        <v>1.2773798710000002</v>
      </c>
      <c r="AP44" s="9"/>
      <c r="AQ44" s="22">
        <v>1.6587799999999999</v>
      </c>
      <c r="AR44" s="22">
        <v>377.93900000000002</v>
      </c>
      <c r="AS44" s="22">
        <v>-1.409E-2</v>
      </c>
      <c r="AT44" s="22">
        <v>34</v>
      </c>
      <c r="AU44" s="22">
        <v>1.65863</v>
      </c>
      <c r="AV44">
        <f t="shared" si="8"/>
        <v>14.09</v>
      </c>
      <c r="AW44">
        <f t="shared" si="9"/>
        <v>23.372210199999998</v>
      </c>
      <c r="AX44" s="9"/>
      <c r="AY44" s="22">
        <v>7.1258500000000002E-2</v>
      </c>
      <c r="AZ44" s="22">
        <v>472.20800000000003</v>
      </c>
      <c r="BA44" s="22">
        <v>-1.7904699999999999E-2</v>
      </c>
      <c r="BB44" s="22">
        <v>34</v>
      </c>
      <c r="BC44" s="22">
        <v>7.09534E-2</v>
      </c>
      <c r="BD44">
        <f t="shared" si="10"/>
        <v>17.904699999999998</v>
      </c>
      <c r="BE44">
        <f t="shared" si="11"/>
        <v>1.2758620649499999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59.052700000000002</v>
      </c>
      <c r="I45" s="22">
        <v>6.2939499999999995E-2</v>
      </c>
      <c r="J45" s="22">
        <v>35</v>
      </c>
      <c r="K45" s="22">
        <v>8.2122799999999996E-2</v>
      </c>
      <c r="L45">
        <f t="shared" si="0"/>
        <v>-62.939499999999995</v>
      </c>
      <c r="M45">
        <f t="shared" si="1"/>
        <v>-104.086198125</v>
      </c>
      <c r="N45" s="9"/>
      <c r="O45" s="22">
        <v>7.6293899999999998E-2</v>
      </c>
      <c r="P45" s="22">
        <v>131.27199999999999</v>
      </c>
      <c r="Q45" s="22">
        <v>-1.8100000000000002E-2</v>
      </c>
      <c r="R45" s="22">
        <v>35</v>
      </c>
      <c r="S45" s="22">
        <v>7.6263399999999995E-2</v>
      </c>
      <c r="T45">
        <f t="shared" si="2"/>
        <v>18.100000000000001</v>
      </c>
      <c r="U45">
        <f t="shared" si="3"/>
        <v>1.38091959</v>
      </c>
      <c r="X45" s="9"/>
      <c r="Y45" s="22">
        <v>1.6537500000000001</v>
      </c>
      <c r="Z45" s="22">
        <v>190.059</v>
      </c>
      <c r="AA45" s="22">
        <v>-1.362E-2</v>
      </c>
      <c r="AB45" s="22">
        <v>35</v>
      </c>
      <c r="AC45" s="22">
        <v>1.65283</v>
      </c>
      <c r="AD45">
        <f t="shared" si="4"/>
        <v>13.620000000000001</v>
      </c>
      <c r="AE45">
        <f t="shared" si="5"/>
        <v>22.524075000000003</v>
      </c>
      <c r="AF45" s="9"/>
      <c r="AG45" s="22">
        <v>7.6293899999999998E-2</v>
      </c>
      <c r="AH45" s="22">
        <v>282.077</v>
      </c>
      <c r="AI45" s="22">
        <v>-1.7926000000000001E-2</v>
      </c>
      <c r="AJ45" s="22">
        <v>35</v>
      </c>
      <c r="AK45" s="22">
        <v>7.5805700000000004E-2</v>
      </c>
      <c r="AL45">
        <f t="shared" si="6"/>
        <v>17.926000000000002</v>
      </c>
      <c r="AM45">
        <f t="shared" si="7"/>
        <v>1.3676444514000001</v>
      </c>
      <c r="AP45" s="9"/>
      <c r="AQ45" s="22">
        <v>1.6537500000000001</v>
      </c>
      <c r="AR45" s="22">
        <v>378.04</v>
      </c>
      <c r="AS45" s="22">
        <v>-1.4257799999999999E-2</v>
      </c>
      <c r="AT45" s="22">
        <v>35</v>
      </c>
      <c r="AU45" s="22">
        <v>1.6525300000000001</v>
      </c>
      <c r="AV45">
        <f t="shared" si="8"/>
        <v>14.2578</v>
      </c>
      <c r="AW45">
        <f t="shared" si="9"/>
        <v>23.578836750000001</v>
      </c>
      <c r="AX45" s="9"/>
      <c r="AY45" s="22">
        <v>7.6293899999999998E-2</v>
      </c>
      <c r="AZ45" s="22">
        <v>472.30799999999999</v>
      </c>
      <c r="BA45" s="22">
        <v>-1.7904699999999999E-2</v>
      </c>
      <c r="BB45" s="22">
        <v>35</v>
      </c>
      <c r="BC45" s="22">
        <v>7.5897199999999998E-2</v>
      </c>
      <c r="BD45">
        <f t="shared" si="10"/>
        <v>17.904699999999998</v>
      </c>
      <c r="BE45">
        <f t="shared" si="11"/>
        <v>1.3660193913299998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59.153399999999998</v>
      </c>
      <c r="I46" s="22">
        <v>6.29242E-2</v>
      </c>
      <c r="J46" s="22">
        <v>36</v>
      </c>
      <c r="K46" s="22">
        <v>8.2122799999999996E-2</v>
      </c>
      <c r="L46">
        <f t="shared" si="0"/>
        <v>-62.924199999999999</v>
      </c>
      <c r="M46">
        <f t="shared" si="1"/>
        <v>-103.74375778199999</v>
      </c>
      <c r="N46" s="9"/>
      <c r="O46" s="22">
        <v>8.1329299999999993E-2</v>
      </c>
      <c r="P46" s="22">
        <v>131.37299999999999</v>
      </c>
      <c r="Q46" s="22">
        <v>-1.8100000000000002E-2</v>
      </c>
      <c r="R46" s="22">
        <v>36</v>
      </c>
      <c r="S46" s="22">
        <v>8.0688499999999996E-2</v>
      </c>
      <c r="T46">
        <f t="shared" si="2"/>
        <v>18.100000000000001</v>
      </c>
      <c r="U46">
        <f t="shared" si="3"/>
        <v>1.4720603299999999</v>
      </c>
      <c r="X46" s="9"/>
      <c r="Y46" s="22">
        <v>1.6487099999999999</v>
      </c>
      <c r="Z46" s="22">
        <v>190.15899999999999</v>
      </c>
      <c r="AA46" s="22">
        <v>-1.37939E-2</v>
      </c>
      <c r="AB46" s="22">
        <v>36</v>
      </c>
      <c r="AC46" s="22">
        <v>1.64734</v>
      </c>
      <c r="AD46">
        <f t="shared" si="4"/>
        <v>13.793899999999999</v>
      </c>
      <c r="AE46">
        <f t="shared" si="5"/>
        <v>22.742140868999996</v>
      </c>
      <c r="AF46" s="9"/>
      <c r="AG46" s="22">
        <v>8.1329299999999993E-2</v>
      </c>
      <c r="AH46" s="22">
        <v>282.178</v>
      </c>
      <c r="AI46" s="22">
        <v>-1.7932099999999999E-2</v>
      </c>
      <c r="AJ46" s="22">
        <v>36</v>
      </c>
      <c r="AK46" s="22">
        <v>8.0871600000000002E-2</v>
      </c>
      <c r="AL46">
        <f t="shared" si="6"/>
        <v>17.932099999999998</v>
      </c>
      <c r="AM46">
        <f t="shared" si="7"/>
        <v>1.4584051405299998</v>
      </c>
      <c r="AP46" s="9"/>
      <c r="AQ46" s="22">
        <v>1.6487099999999999</v>
      </c>
      <c r="AR46" s="22">
        <v>378.14100000000002</v>
      </c>
      <c r="AS46" s="22">
        <v>-1.44318E-2</v>
      </c>
      <c r="AT46" s="22">
        <v>36</v>
      </c>
      <c r="AU46" s="22">
        <v>1.64825</v>
      </c>
      <c r="AV46">
        <f t="shared" si="8"/>
        <v>14.431799999999999</v>
      </c>
      <c r="AW46">
        <f t="shared" si="9"/>
        <v>23.793852977999997</v>
      </c>
      <c r="AX46" s="9"/>
      <c r="AY46" s="22">
        <v>8.1329299999999993E-2</v>
      </c>
      <c r="AZ46" s="22">
        <v>472.40899999999999</v>
      </c>
      <c r="BA46" s="22">
        <v>-1.78894E-2</v>
      </c>
      <c r="BB46" s="22">
        <v>36</v>
      </c>
      <c r="BC46" s="22">
        <v>8.1085199999999996E-2</v>
      </c>
      <c r="BD46">
        <f t="shared" si="10"/>
        <v>17.889399999999998</v>
      </c>
      <c r="BE46">
        <f t="shared" si="11"/>
        <v>1.4549323794199998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59.254100000000001</v>
      </c>
      <c r="I47" s="22">
        <v>6.2847899999999998E-2</v>
      </c>
      <c r="J47" s="22">
        <v>37</v>
      </c>
      <c r="K47" s="22">
        <v>8.2183800000000001E-2</v>
      </c>
      <c r="L47">
        <f t="shared" si="0"/>
        <v>-62.847899999999996</v>
      </c>
      <c r="M47">
        <f t="shared" si="1"/>
        <v>-103.30183627199999</v>
      </c>
      <c r="N47" s="9"/>
      <c r="O47" s="22">
        <v>8.6364700000000003E-2</v>
      </c>
      <c r="P47" s="22">
        <v>131.47300000000001</v>
      </c>
      <c r="Q47" s="22">
        <v>-1.8103000000000001E-2</v>
      </c>
      <c r="R47" s="22">
        <v>37</v>
      </c>
      <c r="S47" s="22">
        <v>8.6212200000000003E-2</v>
      </c>
      <c r="T47">
        <f t="shared" si="2"/>
        <v>18.103000000000002</v>
      </c>
      <c r="U47">
        <f t="shared" si="3"/>
        <v>1.5634601641000001</v>
      </c>
      <c r="X47" s="9"/>
      <c r="Y47" s="22">
        <v>1.64368</v>
      </c>
      <c r="Z47" s="22">
        <v>190.26</v>
      </c>
      <c r="AA47" s="22">
        <v>-1.3983199999999999E-2</v>
      </c>
      <c r="AB47" s="22">
        <v>37</v>
      </c>
      <c r="AC47" s="22">
        <v>1.64337</v>
      </c>
      <c r="AD47">
        <f t="shared" si="4"/>
        <v>13.9832</v>
      </c>
      <c r="AE47">
        <f t="shared" si="5"/>
        <v>22.983906176000001</v>
      </c>
      <c r="AF47" s="9"/>
      <c r="AG47" s="22">
        <v>8.6364700000000003E-2</v>
      </c>
      <c r="AH47" s="22">
        <v>282.279</v>
      </c>
      <c r="AI47" s="22">
        <v>-1.7926000000000001E-2</v>
      </c>
      <c r="AJ47" s="22">
        <v>37</v>
      </c>
      <c r="AK47" s="22">
        <v>8.60596E-2</v>
      </c>
      <c r="AL47">
        <f t="shared" si="6"/>
        <v>17.926000000000002</v>
      </c>
      <c r="AM47">
        <f t="shared" si="7"/>
        <v>1.5481736122000003</v>
      </c>
      <c r="AP47" s="9"/>
      <c r="AQ47" s="22">
        <v>1.64368</v>
      </c>
      <c r="AR47" s="22">
        <v>378.24099999999999</v>
      </c>
      <c r="AS47" s="22">
        <v>-1.45874E-2</v>
      </c>
      <c r="AT47" s="22">
        <v>37</v>
      </c>
      <c r="AU47" s="22">
        <v>1.64307</v>
      </c>
      <c r="AV47">
        <f t="shared" si="8"/>
        <v>14.587400000000001</v>
      </c>
      <c r="AW47">
        <f t="shared" si="9"/>
        <v>23.977017632000003</v>
      </c>
      <c r="AX47" s="9"/>
      <c r="AY47" s="22">
        <v>8.6364700000000003E-2</v>
      </c>
      <c r="AZ47" s="22">
        <v>472.51</v>
      </c>
      <c r="BA47" s="22">
        <v>-1.78894E-2</v>
      </c>
      <c r="BB47" s="22">
        <v>37</v>
      </c>
      <c r="BC47" s="22">
        <v>8.6212200000000003E-2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59.354799999999997</v>
      </c>
      <c r="I48" s="22">
        <v>6.2823500000000004E-2</v>
      </c>
      <c r="J48" s="22">
        <v>38</v>
      </c>
      <c r="K48" s="22">
        <v>8.2183800000000001E-2</v>
      </c>
      <c r="L48">
        <f t="shared" si="0"/>
        <v>-62.823500000000003</v>
      </c>
      <c r="M48">
        <f t="shared" si="1"/>
        <v>-102.94510004000001</v>
      </c>
      <c r="N48" s="9"/>
      <c r="O48" s="22">
        <v>9.1400099999999998E-2</v>
      </c>
      <c r="P48" s="22">
        <v>131.57400000000001</v>
      </c>
      <c r="Q48" s="22">
        <v>-1.8090800000000001E-2</v>
      </c>
      <c r="R48" s="22">
        <v>38</v>
      </c>
      <c r="S48" s="22">
        <v>9.0179400000000007E-2</v>
      </c>
      <c r="T48">
        <f t="shared" si="2"/>
        <v>18.090800000000002</v>
      </c>
      <c r="U48">
        <f t="shared" si="3"/>
        <v>1.65350092908</v>
      </c>
      <c r="X48" s="9"/>
      <c r="Y48" s="22">
        <v>1.6386400000000001</v>
      </c>
      <c r="Z48" s="22">
        <v>190.36099999999999</v>
      </c>
      <c r="AA48" s="22">
        <v>-1.4151E-2</v>
      </c>
      <c r="AB48" s="22">
        <v>38</v>
      </c>
      <c r="AC48" s="22">
        <v>1.63788</v>
      </c>
      <c r="AD48">
        <f t="shared" si="4"/>
        <v>14.151</v>
      </c>
      <c r="AE48">
        <f t="shared" si="5"/>
        <v>23.188394640000002</v>
      </c>
      <c r="AF48" s="9"/>
      <c r="AG48" s="22">
        <v>9.1400099999999998E-2</v>
      </c>
      <c r="AH48" s="22">
        <v>282.37900000000002</v>
      </c>
      <c r="AI48" s="22">
        <v>-1.79291E-2</v>
      </c>
      <c r="AJ48" s="22">
        <v>38</v>
      </c>
      <c r="AK48" s="22">
        <v>9.0759300000000001E-2</v>
      </c>
      <c r="AL48">
        <f t="shared" si="6"/>
        <v>17.929099999999998</v>
      </c>
      <c r="AM48">
        <f t="shared" si="7"/>
        <v>1.6387215329099998</v>
      </c>
      <c r="AP48" s="9"/>
      <c r="AQ48" s="22">
        <v>1.6386400000000001</v>
      </c>
      <c r="AR48" s="22">
        <v>378.34199999999998</v>
      </c>
      <c r="AS48" s="22">
        <v>-1.47308E-2</v>
      </c>
      <c r="AT48" s="22">
        <v>38</v>
      </c>
      <c r="AU48" s="22">
        <v>1.63757</v>
      </c>
      <c r="AV48">
        <f t="shared" si="8"/>
        <v>14.7308</v>
      </c>
      <c r="AW48">
        <f t="shared" si="9"/>
        <v>24.138478112000001</v>
      </c>
      <c r="AX48" s="9"/>
      <c r="AY48" s="22">
        <v>9.1400099999999998E-2</v>
      </c>
      <c r="AZ48" s="22">
        <v>472.61099999999999</v>
      </c>
      <c r="BA48" s="22">
        <v>-1.7892499999999999E-2</v>
      </c>
      <c r="BB48" s="22">
        <v>38</v>
      </c>
      <c r="BC48" s="22">
        <v>9.0911900000000004E-2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59.455500000000001</v>
      </c>
      <c r="I49" s="22">
        <v>6.2765500000000002E-2</v>
      </c>
      <c r="J49" s="22">
        <v>39</v>
      </c>
      <c r="K49" s="22">
        <v>8.2183800000000001E-2</v>
      </c>
      <c r="L49">
        <f t="shared" si="0"/>
        <v>-62.765500000000003</v>
      </c>
      <c r="M49">
        <f t="shared" si="1"/>
        <v>-102.534348455</v>
      </c>
      <c r="N49" s="9"/>
      <c r="O49" s="22">
        <v>9.6435499999999993E-2</v>
      </c>
      <c r="P49" s="22">
        <v>131.67500000000001</v>
      </c>
      <c r="Q49" s="22">
        <v>-1.8081699999999999E-2</v>
      </c>
      <c r="R49" s="22">
        <v>39</v>
      </c>
      <c r="S49" s="22">
        <v>9.5855700000000002E-2</v>
      </c>
      <c r="T49">
        <f t="shared" si="2"/>
        <v>18.081699999999998</v>
      </c>
      <c r="U49">
        <f t="shared" si="3"/>
        <v>1.7437177803499997</v>
      </c>
      <c r="X49" s="9"/>
      <c r="Y49" s="22">
        <v>1.63361</v>
      </c>
      <c r="Z49" s="22">
        <v>190.46199999999999</v>
      </c>
      <c r="AA49" s="22">
        <v>-1.44104E-2</v>
      </c>
      <c r="AB49" s="22">
        <v>39</v>
      </c>
      <c r="AC49" s="22">
        <v>1.633</v>
      </c>
      <c r="AD49">
        <f t="shared" si="4"/>
        <v>14.410400000000001</v>
      </c>
      <c r="AE49">
        <f t="shared" si="5"/>
        <v>23.540973544000003</v>
      </c>
      <c r="AF49" s="9"/>
      <c r="AG49" s="22">
        <v>9.6435499999999993E-2</v>
      </c>
      <c r="AH49" s="22">
        <v>282.48</v>
      </c>
      <c r="AI49" s="22">
        <v>-1.7919899999999999E-2</v>
      </c>
      <c r="AJ49" s="22">
        <v>39</v>
      </c>
      <c r="AK49" s="22">
        <v>9.5733600000000002E-2</v>
      </c>
      <c r="AL49">
        <f t="shared" si="6"/>
        <v>17.919899999999998</v>
      </c>
      <c r="AM49">
        <f t="shared" si="7"/>
        <v>1.7281145164499998</v>
      </c>
      <c r="AP49" s="9"/>
      <c r="AQ49" s="22">
        <v>1.63361</v>
      </c>
      <c r="AR49" s="22">
        <v>378.44299999999998</v>
      </c>
      <c r="AS49" s="22">
        <v>-1.4859000000000001E-2</v>
      </c>
      <c r="AT49" s="22">
        <v>39</v>
      </c>
      <c r="AU49" s="22">
        <v>1.63269</v>
      </c>
      <c r="AV49">
        <f t="shared" si="8"/>
        <v>14.859</v>
      </c>
      <c r="AW49">
        <f t="shared" si="9"/>
        <v>24.273810990000001</v>
      </c>
      <c r="AX49" s="9"/>
      <c r="AY49" s="22">
        <v>9.6435499999999993E-2</v>
      </c>
      <c r="AZ49" s="22">
        <v>472.71100000000001</v>
      </c>
      <c r="BA49" s="22">
        <v>-1.7895500000000002E-2</v>
      </c>
      <c r="BB49" s="22">
        <v>39</v>
      </c>
      <c r="BC49" s="22">
        <v>9.6008300000000005E-2</v>
      </c>
      <c r="BD49">
        <f t="shared" si="10"/>
        <v>17.895500000000002</v>
      </c>
      <c r="BE49">
        <f t="shared" si="11"/>
        <v>1.72576149025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59.556199999999997</v>
      </c>
      <c r="I50" s="22">
        <v>6.2618999999999994E-2</v>
      </c>
      <c r="J50" s="22">
        <v>40</v>
      </c>
      <c r="K50" s="22">
        <v>8.2153299999999999E-2</v>
      </c>
      <c r="L50">
        <f t="shared" si="0"/>
        <v>-62.618999999999993</v>
      </c>
      <c r="M50">
        <f t="shared" si="1"/>
        <v>-101.97942483</v>
      </c>
      <c r="N50" s="9"/>
      <c r="O50" s="22">
        <v>0.10147100000000001</v>
      </c>
      <c r="P50" s="22">
        <v>131.77500000000001</v>
      </c>
      <c r="Q50" s="22">
        <v>-1.8081699999999999E-2</v>
      </c>
      <c r="R50" s="22">
        <v>40</v>
      </c>
      <c r="S50" s="22">
        <v>0.100769</v>
      </c>
      <c r="T50">
        <f t="shared" si="2"/>
        <v>18.081699999999998</v>
      </c>
      <c r="U50">
        <f t="shared" si="3"/>
        <v>1.8347681806999998</v>
      </c>
      <c r="X50" s="9"/>
      <c r="Y50" s="22">
        <v>1.6285700000000001</v>
      </c>
      <c r="Z50" s="22">
        <v>190.56200000000001</v>
      </c>
      <c r="AA50" s="22">
        <v>-1.4584400000000001E-2</v>
      </c>
      <c r="AB50" s="22">
        <v>40</v>
      </c>
      <c r="AC50" s="22">
        <v>1.62781</v>
      </c>
      <c r="AD50">
        <f t="shared" si="4"/>
        <v>14.5844</v>
      </c>
      <c r="AE50">
        <f t="shared" si="5"/>
        <v>23.751716308000002</v>
      </c>
      <c r="AF50" s="9"/>
      <c r="AG50" s="22">
        <v>0.10147100000000001</v>
      </c>
      <c r="AH50" s="22">
        <v>282.58100000000002</v>
      </c>
      <c r="AI50" s="22">
        <v>-1.7913800000000001E-2</v>
      </c>
      <c r="AJ50" s="22">
        <v>40</v>
      </c>
      <c r="AK50" s="22">
        <v>0.10116600000000001</v>
      </c>
      <c r="AL50">
        <f t="shared" si="6"/>
        <v>17.913800000000002</v>
      </c>
      <c r="AM50">
        <f t="shared" si="7"/>
        <v>1.8177311998000003</v>
      </c>
      <c r="AP50" s="9"/>
      <c r="AQ50" s="22">
        <v>1.6285700000000001</v>
      </c>
      <c r="AR50" s="22">
        <v>378.54300000000001</v>
      </c>
      <c r="AS50" s="22">
        <v>-1.49902E-2</v>
      </c>
      <c r="AT50" s="22">
        <v>40</v>
      </c>
      <c r="AU50" s="22">
        <v>1.62842</v>
      </c>
      <c r="AV50">
        <f t="shared" si="8"/>
        <v>14.9902</v>
      </c>
      <c r="AW50">
        <f t="shared" si="9"/>
        <v>24.412590013999999</v>
      </c>
      <c r="AX50" s="9"/>
      <c r="AY50" s="22">
        <v>0.10147100000000001</v>
      </c>
      <c r="AZ50" s="22">
        <v>472.81200000000001</v>
      </c>
      <c r="BA50" s="22">
        <v>-1.79016E-2</v>
      </c>
      <c r="BB50" s="22">
        <v>40</v>
      </c>
      <c r="BC50" s="22">
        <v>0.100922</v>
      </c>
      <c r="BD50">
        <f t="shared" si="10"/>
        <v>17.901599999999998</v>
      </c>
      <c r="BE50">
        <f t="shared" si="11"/>
        <v>1.8164932536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59.6569</v>
      </c>
      <c r="I51" s="22">
        <v>6.2561000000000005E-2</v>
      </c>
      <c r="J51" s="22">
        <v>41</v>
      </c>
      <c r="K51" s="22">
        <v>8.2122799999999996E-2</v>
      </c>
      <c r="L51">
        <f t="shared" si="0"/>
        <v>-62.561000000000007</v>
      </c>
      <c r="M51">
        <f t="shared" si="1"/>
        <v>-101.57028594000001</v>
      </c>
      <c r="N51" s="9"/>
      <c r="O51" s="22">
        <v>0.106506</v>
      </c>
      <c r="P51" s="22">
        <v>131.876</v>
      </c>
      <c r="Q51" s="22">
        <v>-1.8087800000000001E-2</v>
      </c>
      <c r="R51" s="22">
        <v>41</v>
      </c>
      <c r="S51" s="22">
        <v>0.105988</v>
      </c>
      <c r="T51">
        <f t="shared" si="2"/>
        <v>18.087800000000001</v>
      </c>
      <c r="U51">
        <f t="shared" si="3"/>
        <v>1.9264592268000003</v>
      </c>
      <c r="X51" s="9"/>
      <c r="Y51" s="22">
        <v>1.62354</v>
      </c>
      <c r="Z51" s="22">
        <v>190.66300000000001</v>
      </c>
      <c r="AA51" s="22">
        <v>-1.4727799999999999E-2</v>
      </c>
      <c r="AB51" s="22">
        <v>41</v>
      </c>
      <c r="AC51" s="22">
        <v>1.62262</v>
      </c>
      <c r="AD51">
        <f t="shared" si="4"/>
        <v>14.727799999999998</v>
      </c>
      <c r="AE51">
        <f t="shared" si="5"/>
        <v>23.911172411999996</v>
      </c>
      <c r="AF51" s="9"/>
      <c r="AG51" s="22">
        <v>0.106506</v>
      </c>
      <c r="AH51" s="22">
        <v>282.68200000000002</v>
      </c>
      <c r="AI51" s="22">
        <v>-1.7913800000000001E-2</v>
      </c>
      <c r="AJ51" s="22">
        <v>41</v>
      </c>
      <c r="AK51" s="22">
        <v>0.105865</v>
      </c>
      <c r="AL51">
        <f t="shared" si="6"/>
        <v>17.913800000000002</v>
      </c>
      <c r="AM51">
        <f t="shared" si="7"/>
        <v>1.9079271828000002</v>
      </c>
      <c r="AP51" s="9"/>
      <c r="AQ51" s="22">
        <v>1.62354</v>
      </c>
      <c r="AR51" s="22">
        <v>378.64400000000001</v>
      </c>
      <c r="AS51" s="22">
        <v>-1.51215E-2</v>
      </c>
      <c r="AT51" s="22">
        <v>41</v>
      </c>
      <c r="AU51" s="22">
        <v>1.62323</v>
      </c>
      <c r="AV51">
        <f t="shared" si="8"/>
        <v>15.121499999999999</v>
      </c>
      <c r="AW51">
        <f t="shared" si="9"/>
        <v>24.55036011</v>
      </c>
      <c r="AX51" s="9"/>
      <c r="AY51" s="22">
        <v>0.106506</v>
      </c>
      <c r="AZ51" s="22">
        <v>472.91300000000001</v>
      </c>
      <c r="BA51" s="22">
        <v>-1.78894E-2</v>
      </c>
      <c r="BB51" s="22">
        <v>41</v>
      </c>
      <c r="BC51" s="22">
        <v>0.105835</v>
      </c>
      <c r="BD51">
        <f t="shared" si="10"/>
        <v>17.889399999999998</v>
      </c>
      <c r="BE51">
        <f t="shared" si="11"/>
        <v>1.9053284363999998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59.757599999999996</v>
      </c>
      <c r="I52" s="22">
        <v>6.25E-2</v>
      </c>
      <c r="J52" s="22">
        <v>42</v>
      </c>
      <c r="K52" s="22">
        <v>8.2214400000000007E-2</v>
      </c>
      <c r="L52">
        <f t="shared" si="0"/>
        <v>-62.5</v>
      </c>
      <c r="M52">
        <f t="shared" si="1"/>
        <v>-101.15625</v>
      </c>
      <c r="N52" s="9"/>
      <c r="O52" s="22">
        <v>0.111542</v>
      </c>
      <c r="P52" s="22">
        <v>131.977</v>
      </c>
      <c r="Q52" s="22">
        <v>-1.8103000000000001E-2</v>
      </c>
      <c r="R52" s="22">
        <v>42</v>
      </c>
      <c r="S52" s="22">
        <v>0.11144999999999999</v>
      </c>
      <c r="T52">
        <f t="shared" si="2"/>
        <v>18.103000000000002</v>
      </c>
      <c r="U52">
        <f t="shared" si="3"/>
        <v>2.019244826</v>
      </c>
      <c r="X52" s="9"/>
      <c r="Y52" s="22">
        <v>1.6185</v>
      </c>
      <c r="Z52" s="22">
        <v>190.76400000000001</v>
      </c>
      <c r="AA52" s="22">
        <v>-1.48682E-2</v>
      </c>
      <c r="AB52" s="22">
        <v>42</v>
      </c>
      <c r="AC52" s="22">
        <v>1.61774</v>
      </c>
      <c r="AD52">
        <f t="shared" si="4"/>
        <v>14.8682</v>
      </c>
      <c r="AE52">
        <f t="shared" si="5"/>
        <v>24.064181699999999</v>
      </c>
      <c r="AF52" s="9"/>
      <c r="AG52" s="22">
        <v>0.111542</v>
      </c>
      <c r="AH52" s="22">
        <v>282.78199999999998</v>
      </c>
      <c r="AI52" s="22">
        <v>-1.7913800000000001E-2</v>
      </c>
      <c r="AJ52" s="22">
        <v>42</v>
      </c>
      <c r="AK52" s="22">
        <v>0.11129799999999999</v>
      </c>
      <c r="AL52">
        <f t="shared" si="6"/>
        <v>17.913800000000002</v>
      </c>
      <c r="AM52">
        <f t="shared" si="7"/>
        <v>1.9981410796000003</v>
      </c>
      <c r="AP52" s="9"/>
      <c r="AQ52" s="22">
        <v>1.6185</v>
      </c>
      <c r="AR52" s="22">
        <v>378.745</v>
      </c>
      <c r="AS52" s="22">
        <v>-1.5255700000000001E-2</v>
      </c>
      <c r="AT52" s="22">
        <v>42</v>
      </c>
      <c r="AU52" s="22">
        <v>1.6174299999999999</v>
      </c>
      <c r="AV52">
        <f t="shared" si="8"/>
        <v>15.255700000000001</v>
      </c>
      <c r="AW52">
        <f t="shared" si="9"/>
        <v>24.691350450000002</v>
      </c>
      <c r="AX52" s="9"/>
      <c r="AY52" s="22">
        <v>0.111542</v>
      </c>
      <c r="AZ52" s="22">
        <v>473.01299999999998</v>
      </c>
      <c r="BA52" s="22">
        <v>-1.7892499999999999E-2</v>
      </c>
      <c r="BB52" s="22">
        <v>42</v>
      </c>
      <c r="BC52" s="22">
        <v>0.111176</v>
      </c>
      <c r="BD52">
        <f t="shared" si="10"/>
        <v>17.892499999999998</v>
      </c>
      <c r="BE52">
        <f t="shared" si="11"/>
        <v>1.9957652349999999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59.8583</v>
      </c>
      <c r="I53" s="22">
        <v>6.2420700000000003E-2</v>
      </c>
      <c r="J53" s="22">
        <v>43</v>
      </c>
      <c r="K53" s="22">
        <v>8.2214400000000007E-2</v>
      </c>
      <c r="L53">
        <f t="shared" si="0"/>
        <v>-62.420700000000004</v>
      </c>
      <c r="M53">
        <f t="shared" si="1"/>
        <v>-100.713302622</v>
      </c>
      <c r="N53" s="9"/>
      <c r="O53" s="22">
        <v>0.116577</v>
      </c>
      <c r="P53" s="22">
        <v>132.077</v>
      </c>
      <c r="Q53" s="22">
        <v>-1.80939E-2</v>
      </c>
      <c r="R53" s="22">
        <v>43</v>
      </c>
      <c r="S53" s="22">
        <v>0.115845</v>
      </c>
      <c r="T53">
        <f t="shared" si="2"/>
        <v>18.093899999999998</v>
      </c>
      <c r="U53">
        <f t="shared" si="3"/>
        <v>2.1093325802999998</v>
      </c>
      <c r="X53" s="9"/>
      <c r="Y53" s="22">
        <v>1.6134599999999999</v>
      </c>
      <c r="Z53" s="22">
        <v>190.864</v>
      </c>
      <c r="AA53" s="22">
        <v>-1.50055E-2</v>
      </c>
      <c r="AB53" s="22">
        <v>43</v>
      </c>
      <c r="AC53" s="22">
        <v>1.6134599999999999</v>
      </c>
      <c r="AD53">
        <f t="shared" si="4"/>
        <v>15.0055</v>
      </c>
      <c r="AE53">
        <f t="shared" si="5"/>
        <v>24.210774029999996</v>
      </c>
      <c r="AF53" s="9"/>
      <c r="AG53" s="22">
        <v>0.116577</v>
      </c>
      <c r="AH53" s="22">
        <v>282.88299999999998</v>
      </c>
      <c r="AI53" s="22">
        <v>-1.7910800000000001E-2</v>
      </c>
      <c r="AJ53" s="22">
        <v>43</v>
      </c>
      <c r="AK53" s="22">
        <v>0.11572300000000001</v>
      </c>
      <c r="AL53">
        <f t="shared" si="6"/>
        <v>17.910800000000002</v>
      </c>
      <c r="AM53">
        <f t="shared" si="7"/>
        <v>2.0879873316000004</v>
      </c>
      <c r="AP53" s="9"/>
      <c r="AQ53" s="22">
        <v>1.6134599999999999</v>
      </c>
      <c r="AR53" s="22">
        <v>378.846</v>
      </c>
      <c r="AS53" s="22">
        <v>-1.5387E-2</v>
      </c>
      <c r="AT53" s="22">
        <v>43</v>
      </c>
      <c r="AU53" s="22">
        <v>1.6122399999999999</v>
      </c>
      <c r="AV53">
        <f t="shared" si="8"/>
        <v>15.387</v>
      </c>
      <c r="AW53">
        <f t="shared" si="9"/>
        <v>24.82630902</v>
      </c>
      <c r="AX53" s="9"/>
      <c r="AY53" s="22">
        <v>0.116577</v>
      </c>
      <c r="AZ53" s="22">
        <v>473.11399999999998</v>
      </c>
      <c r="BA53" s="22">
        <v>-1.7892499999999999E-2</v>
      </c>
      <c r="BB53" s="22">
        <v>43</v>
      </c>
      <c r="BC53" s="22">
        <v>0.116119</v>
      </c>
      <c r="BD53">
        <f t="shared" si="10"/>
        <v>17.892499999999998</v>
      </c>
      <c r="BE53">
        <f t="shared" si="11"/>
        <v>2.0858539724999998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59.959000000000003</v>
      </c>
      <c r="I54" s="22">
        <v>6.2384000000000002E-2</v>
      </c>
      <c r="J54" s="22">
        <v>44</v>
      </c>
      <c r="K54" s="22">
        <v>8.2183800000000001E-2</v>
      </c>
      <c r="L54">
        <f t="shared" si="0"/>
        <v>-62.384</v>
      </c>
      <c r="M54">
        <f t="shared" si="1"/>
        <v>-100.34029712</v>
      </c>
      <c r="N54" s="9"/>
      <c r="O54" s="22">
        <v>0.121613</v>
      </c>
      <c r="P54" s="22">
        <v>132.178</v>
      </c>
      <c r="Q54" s="22">
        <v>-1.80939E-2</v>
      </c>
      <c r="R54" s="22">
        <v>44</v>
      </c>
      <c r="S54" s="22">
        <v>0.12139900000000001</v>
      </c>
      <c r="T54">
        <f t="shared" si="2"/>
        <v>18.093899999999998</v>
      </c>
      <c r="U54">
        <f t="shared" si="3"/>
        <v>2.2004534606999999</v>
      </c>
      <c r="X54" s="9"/>
      <c r="Y54" s="22">
        <v>1.60843</v>
      </c>
      <c r="Z54" s="22">
        <v>190.965</v>
      </c>
      <c r="AA54" s="22">
        <v>-1.51672E-2</v>
      </c>
      <c r="AB54" s="22">
        <v>44</v>
      </c>
      <c r="AC54" s="22">
        <v>1.6076699999999999</v>
      </c>
      <c r="AD54">
        <f t="shared" si="4"/>
        <v>15.167200000000001</v>
      </c>
      <c r="AE54">
        <f t="shared" si="5"/>
        <v>24.395379496000004</v>
      </c>
      <c r="AF54" s="9"/>
      <c r="AG54" s="22">
        <v>0.121613</v>
      </c>
      <c r="AH54" s="22">
        <v>282.98399999999998</v>
      </c>
      <c r="AI54" s="22">
        <v>-1.7913800000000001E-2</v>
      </c>
      <c r="AJ54" s="22">
        <v>44</v>
      </c>
      <c r="AK54" s="22">
        <v>0.12139900000000001</v>
      </c>
      <c r="AL54">
        <f t="shared" si="6"/>
        <v>17.913800000000002</v>
      </c>
      <c r="AM54">
        <f t="shared" si="7"/>
        <v>2.1785509594000003</v>
      </c>
      <c r="AP54" s="9"/>
      <c r="AQ54" s="22">
        <v>1.60843</v>
      </c>
      <c r="AR54" s="22">
        <v>378.94600000000003</v>
      </c>
      <c r="AS54" s="22">
        <v>-1.54938E-2</v>
      </c>
      <c r="AT54" s="22">
        <v>44</v>
      </c>
      <c r="AU54" s="22">
        <v>1.6079699999999999</v>
      </c>
      <c r="AV54">
        <f t="shared" si="8"/>
        <v>15.4938</v>
      </c>
      <c r="AW54">
        <f t="shared" si="9"/>
        <v>24.920692733999999</v>
      </c>
      <c r="AX54" s="9"/>
      <c r="AY54" s="22">
        <v>0.121613</v>
      </c>
      <c r="AZ54" s="22">
        <v>473.21499999999997</v>
      </c>
      <c r="BA54" s="22">
        <v>-1.7892499999999999E-2</v>
      </c>
      <c r="BB54" s="22">
        <v>44</v>
      </c>
      <c r="BC54" s="22">
        <v>0.12085</v>
      </c>
      <c r="BD54">
        <f t="shared" si="10"/>
        <v>17.892499999999998</v>
      </c>
      <c r="BE54">
        <f t="shared" si="11"/>
        <v>2.1759606024999996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60.059800000000003</v>
      </c>
      <c r="I55" s="22">
        <v>6.23352E-2</v>
      </c>
      <c r="J55" s="22">
        <v>45</v>
      </c>
      <c r="K55" s="22">
        <v>8.2214400000000007E-2</v>
      </c>
      <c r="L55">
        <f t="shared" si="0"/>
        <v>-62.3352</v>
      </c>
      <c r="M55">
        <f t="shared" si="1"/>
        <v>-99.947636328000002</v>
      </c>
      <c r="N55" s="9"/>
      <c r="O55" s="22">
        <v>0.12664800000000001</v>
      </c>
      <c r="P55" s="22">
        <v>132.279</v>
      </c>
      <c r="Q55" s="22">
        <v>-1.8090800000000001E-2</v>
      </c>
      <c r="R55" s="22">
        <v>45</v>
      </c>
      <c r="S55" s="22">
        <v>0.12603800000000001</v>
      </c>
      <c r="T55">
        <f t="shared" si="2"/>
        <v>18.090800000000002</v>
      </c>
      <c r="U55">
        <f t="shared" si="3"/>
        <v>2.2911636384000005</v>
      </c>
      <c r="X55" s="9"/>
      <c r="Y55" s="22">
        <v>1.6033900000000001</v>
      </c>
      <c r="Z55" s="22">
        <v>191.066</v>
      </c>
      <c r="AA55" s="22">
        <v>-1.52771E-2</v>
      </c>
      <c r="AB55" s="22">
        <v>45</v>
      </c>
      <c r="AC55" s="22">
        <v>1.6027800000000001</v>
      </c>
      <c r="AD55">
        <f t="shared" si="4"/>
        <v>15.277100000000001</v>
      </c>
      <c r="AE55">
        <f t="shared" si="5"/>
        <v>24.495149369000004</v>
      </c>
      <c r="AF55" s="9"/>
      <c r="AG55" s="22">
        <v>0.12664800000000001</v>
      </c>
      <c r="AH55" s="22">
        <v>283.084</v>
      </c>
      <c r="AI55" s="22">
        <v>-1.7904699999999999E-2</v>
      </c>
      <c r="AJ55" s="22">
        <v>45</v>
      </c>
      <c r="AK55" s="22">
        <v>0.12646499999999999</v>
      </c>
      <c r="AL55">
        <f t="shared" si="6"/>
        <v>17.904699999999998</v>
      </c>
      <c r="AM55">
        <f t="shared" si="7"/>
        <v>2.2675944455999999</v>
      </c>
      <c r="AP55" s="9"/>
      <c r="AQ55" s="22">
        <v>1.6033900000000001</v>
      </c>
      <c r="AR55" s="22">
        <v>379.04700000000003</v>
      </c>
      <c r="AS55" s="22">
        <v>-1.55914E-2</v>
      </c>
      <c r="AT55" s="22">
        <v>45</v>
      </c>
      <c r="AU55" s="22">
        <v>1.6030899999999999</v>
      </c>
      <c r="AV55">
        <f t="shared" si="8"/>
        <v>15.5914</v>
      </c>
      <c r="AW55">
        <f t="shared" si="9"/>
        <v>24.999094846000002</v>
      </c>
      <c r="AX55" s="9"/>
      <c r="AY55" s="22">
        <v>0.12664800000000001</v>
      </c>
      <c r="AZ55" s="22">
        <v>473.31599999999997</v>
      </c>
      <c r="BA55" s="22">
        <v>-1.7895500000000002E-2</v>
      </c>
      <c r="BB55" s="22">
        <v>45</v>
      </c>
      <c r="BC55" s="22">
        <v>0.12609899999999999</v>
      </c>
      <c r="BD55">
        <f t="shared" si="10"/>
        <v>17.895500000000002</v>
      </c>
      <c r="BE55">
        <f t="shared" si="11"/>
        <v>2.2664292840000004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60.160499999999999</v>
      </c>
      <c r="I56" s="22">
        <v>6.2286399999999999E-2</v>
      </c>
      <c r="J56" s="22">
        <v>46</v>
      </c>
      <c r="K56" s="22">
        <v>8.2153299999999999E-2</v>
      </c>
      <c r="L56">
        <f t="shared" si="0"/>
        <v>-62.2864</v>
      </c>
      <c r="M56">
        <f t="shared" si="1"/>
        <v>-99.556090303999994</v>
      </c>
      <c r="N56" s="9"/>
      <c r="O56" s="22">
        <v>0.13168299999999999</v>
      </c>
      <c r="P56" s="22">
        <v>132.38</v>
      </c>
      <c r="Q56" s="22">
        <v>-1.8090800000000001E-2</v>
      </c>
      <c r="R56" s="22">
        <v>46</v>
      </c>
      <c r="S56" s="22">
        <v>0.13150000000000001</v>
      </c>
      <c r="T56">
        <f t="shared" si="2"/>
        <v>18.090800000000002</v>
      </c>
      <c r="U56">
        <f t="shared" si="3"/>
        <v>2.3822508164</v>
      </c>
      <c r="X56" s="9"/>
      <c r="Y56" s="22">
        <v>1.59836</v>
      </c>
      <c r="Z56" s="22">
        <v>191.167</v>
      </c>
      <c r="AA56" s="22">
        <v>-1.53992E-2</v>
      </c>
      <c r="AB56" s="22">
        <v>46</v>
      </c>
      <c r="AC56" s="22">
        <v>1.5975999999999999</v>
      </c>
      <c r="AD56">
        <f t="shared" si="4"/>
        <v>15.3992</v>
      </c>
      <c r="AE56">
        <f t="shared" si="5"/>
        <v>24.613465312000002</v>
      </c>
      <c r="AF56" s="9"/>
      <c r="AG56" s="22">
        <v>0.13168299999999999</v>
      </c>
      <c r="AH56" s="22">
        <v>283.185</v>
      </c>
      <c r="AI56" s="22">
        <v>-1.79016E-2</v>
      </c>
      <c r="AJ56" s="22">
        <v>46</v>
      </c>
      <c r="AK56" s="22">
        <v>0.131439</v>
      </c>
      <c r="AL56">
        <f t="shared" si="6"/>
        <v>17.901599999999998</v>
      </c>
      <c r="AM56">
        <f t="shared" si="7"/>
        <v>2.3573363927999997</v>
      </c>
      <c r="AP56" s="9"/>
      <c r="AQ56" s="22">
        <v>1.59836</v>
      </c>
      <c r="AR56" s="22">
        <v>379.14800000000002</v>
      </c>
      <c r="AS56" s="22">
        <v>-1.5689100000000001E-2</v>
      </c>
      <c r="AT56" s="22">
        <v>46</v>
      </c>
      <c r="AU56" s="22">
        <v>1.5975999999999999</v>
      </c>
      <c r="AV56">
        <f t="shared" si="8"/>
        <v>15.689100000000002</v>
      </c>
      <c r="AW56">
        <f t="shared" si="9"/>
        <v>25.076829876000001</v>
      </c>
      <c r="AX56" s="9"/>
      <c r="AY56" s="22">
        <v>0.13168299999999999</v>
      </c>
      <c r="AZ56" s="22">
        <v>473.416</v>
      </c>
      <c r="BA56" s="22">
        <v>-1.7883300000000001E-2</v>
      </c>
      <c r="BB56" s="22">
        <v>46</v>
      </c>
      <c r="BC56" s="22">
        <v>0.13104199999999999</v>
      </c>
      <c r="BD56">
        <f t="shared" si="10"/>
        <v>17.883300000000002</v>
      </c>
      <c r="BE56">
        <f t="shared" si="11"/>
        <v>2.3549265939000001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60.261200000000002</v>
      </c>
      <c r="I57" s="22">
        <v>6.2204000000000002E-2</v>
      </c>
      <c r="J57" s="22">
        <v>47</v>
      </c>
      <c r="K57" s="22">
        <v>8.2214400000000007E-2</v>
      </c>
      <c r="L57">
        <f t="shared" si="0"/>
        <v>-62.204000000000001</v>
      </c>
      <c r="M57">
        <f t="shared" si="1"/>
        <v>-99.110877280000011</v>
      </c>
      <c r="N57" s="9"/>
      <c r="O57" s="22">
        <v>0.13671900000000001</v>
      </c>
      <c r="P57" s="22">
        <v>132.47999999999999</v>
      </c>
      <c r="Q57" s="22">
        <v>-1.8084699999999999E-2</v>
      </c>
      <c r="R57" s="22">
        <v>47</v>
      </c>
      <c r="S57" s="22">
        <v>0.13653599999999999</v>
      </c>
      <c r="T57">
        <f t="shared" si="2"/>
        <v>18.084699999999998</v>
      </c>
      <c r="U57">
        <f t="shared" si="3"/>
        <v>2.4725220992999999</v>
      </c>
      <c r="X57" s="9"/>
      <c r="Y57" s="22">
        <v>1.5933200000000001</v>
      </c>
      <c r="Z57" s="22">
        <v>191.267</v>
      </c>
      <c r="AA57" s="22">
        <v>-1.5533399999999999E-2</v>
      </c>
      <c r="AB57" s="22">
        <v>47</v>
      </c>
      <c r="AC57" s="22">
        <v>1.5924100000000001</v>
      </c>
      <c r="AD57">
        <f t="shared" si="4"/>
        <v>15.533399999999999</v>
      </c>
      <c r="AE57">
        <f t="shared" si="5"/>
        <v>24.749676888</v>
      </c>
      <c r="AF57" s="9"/>
      <c r="AG57" s="22">
        <v>0.13671900000000001</v>
      </c>
      <c r="AH57" s="22">
        <v>283.286</v>
      </c>
      <c r="AI57" s="22">
        <v>-1.7913800000000001E-2</v>
      </c>
      <c r="AJ57" s="22">
        <v>47</v>
      </c>
      <c r="AK57" s="22">
        <v>0.136597</v>
      </c>
      <c r="AL57">
        <f t="shared" si="6"/>
        <v>17.913800000000002</v>
      </c>
      <c r="AM57">
        <f t="shared" si="7"/>
        <v>2.4491568222000004</v>
      </c>
      <c r="AP57" s="9"/>
      <c r="AQ57" s="22">
        <v>1.5933200000000001</v>
      </c>
      <c r="AR57" s="22">
        <v>379.24799999999999</v>
      </c>
      <c r="AS57" s="22">
        <v>-1.57745E-2</v>
      </c>
      <c r="AT57" s="22">
        <v>47</v>
      </c>
      <c r="AU57" s="22">
        <v>1.5930200000000001</v>
      </c>
      <c r="AV57">
        <f t="shared" si="8"/>
        <v>15.7745</v>
      </c>
      <c r="AW57">
        <f t="shared" si="9"/>
        <v>25.133826340000002</v>
      </c>
      <c r="AX57" s="9"/>
      <c r="AY57" s="22">
        <v>0.13671900000000001</v>
      </c>
      <c r="AZ57" s="22">
        <v>473.517</v>
      </c>
      <c r="BA57" s="22">
        <v>-1.7883300000000001E-2</v>
      </c>
      <c r="BB57" s="22">
        <v>47</v>
      </c>
      <c r="BC57" s="22">
        <v>0.136292</v>
      </c>
      <c r="BD57">
        <f t="shared" si="10"/>
        <v>17.883300000000002</v>
      </c>
      <c r="BE57">
        <f t="shared" si="11"/>
        <v>2.4449868927000002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60.361899999999999</v>
      </c>
      <c r="I58" s="22">
        <v>6.2115499999999997E-2</v>
      </c>
      <c r="J58" s="22">
        <v>48</v>
      </c>
      <c r="K58" s="22">
        <v>8.2244899999999996E-2</v>
      </c>
      <c r="L58">
        <f t="shared" si="0"/>
        <v>-62.115499999999997</v>
      </c>
      <c r="M58">
        <f t="shared" si="1"/>
        <v>-98.657427494999993</v>
      </c>
      <c r="N58" s="9"/>
      <c r="O58" s="22">
        <v>0.14175399999999999</v>
      </c>
      <c r="P58" s="22">
        <v>132.58099999999999</v>
      </c>
      <c r="Q58" s="22">
        <v>-1.8081699999999999E-2</v>
      </c>
      <c r="R58" s="22">
        <v>48</v>
      </c>
      <c r="S58" s="22">
        <v>0.14138800000000001</v>
      </c>
      <c r="T58">
        <f t="shared" si="2"/>
        <v>18.081699999999998</v>
      </c>
      <c r="U58">
        <f t="shared" si="3"/>
        <v>2.5631533017999995</v>
      </c>
      <c r="X58" s="9"/>
      <c r="Y58" s="22">
        <v>1.58829</v>
      </c>
      <c r="Z58" s="22">
        <v>191.36799999999999</v>
      </c>
      <c r="AA58" s="22">
        <v>-1.5640299999999999E-2</v>
      </c>
      <c r="AB58" s="22">
        <v>48</v>
      </c>
      <c r="AC58" s="22">
        <v>1.5878300000000001</v>
      </c>
      <c r="AD58">
        <f t="shared" si="4"/>
        <v>15.6403</v>
      </c>
      <c r="AE58">
        <f t="shared" si="5"/>
        <v>24.841332086999998</v>
      </c>
      <c r="AF58" s="9"/>
      <c r="AG58" s="22">
        <v>0.14175399999999999</v>
      </c>
      <c r="AH58" s="22">
        <v>283.38600000000002</v>
      </c>
      <c r="AI58" s="22">
        <v>-1.7895500000000002E-2</v>
      </c>
      <c r="AJ58" s="22">
        <v>48</v>
      </c>
      <c r="AK58" s="22">
        <v>0.14102200000000001</v>
      </c>
      <c r="AL58">
        <f t="shared" si="6"/>
        <v>17.895500000000002</v>
      </c>
      <c r="AM58">
        <f t="shared" si="7"/>
        <v>2.5367587070000002</v>
      </c>
      <c r="AP58" s="9"/>
      <c r="AQ58" s="22">
        <v>1.58829</v>
      </c>
      <c r="AR58" s="22">
        <v>379.34899999999999</v>
      </c>
      <c r="AS58" s="22">
        <v>-1.5866100000000001E-2</v>
      </c>
      <c r="AT58" s="22">
        <v>48</v>
      </c>
      <c r="AU58" s="22">
        <v>1.58752</v>
      </c>
      <c r="AV58">
        <f t="shared" si="8"/>
        <v>15.866100000000001</v>
      </c>
      <c r="AW58">
        <f t="shared" si="9"/>
        <v>25.199967969000003</v>
      </c>
      <c r="AX58" s="9"/>
      <c r="AY58" s="22">
        <v>0.14175399999999999</v>
      </c>
      <c r="AZ58" s="22">
        <v>473.61799999999999</v>
      </c>
      <c r="BA58" s="22">
        <v>-1.78864E-2</v>
      </c>
      <c r="BB58" s="22">
        <v>48</v>
      </c>
      <c r="BC58" s="22">
        <v>0.14086899999999999</v>
      </c>
      <c r="BD58">
        <f t="shared" si="10"/>
        <v>17.886400000000002</v>
      </c>
      <c r="BE58">
        <f t="shared" si="11"/>
        <v>2.5354687456000002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60.462600000000002</v>
      </c>
      <c r="I59" s="22">
        <v>6.2045299999999998E-2</v>
      </c>
      <c r="J59" s="22">
        <v>49</v>
      </c>
      <c r="K59" s="22">
        <v>8.2214400000000007E-2</v>
      </c>
      <c r="L59">
        <f t="shared" si="0"/>
        <v>-62.045299999999997</v>
      </c>
      <c r="M59">
        <f t="shared" si="1"/>
        <v>-98.233221224999994</v>
      </c>
      <c r="N59" s="9"/>
      <c r="O59" s="22">
        <v>0.14679</v>
      </c>
      <c r="P59" s="22">
        <v>132.68199999999999</v>
      </c>
      <c r="Q59" s="22">
        <v>-1.8087800000000001E-2</v>
      </c>
      <c r="R59" s="22">
        <v>49</v>
      </c>
      <c r="S59" s="22">
        <v>0.14624000000000001</v>
      </c>
      <c r="T59">
        <f t="shared" si="2"/>
        <v>18.087800000000001</v>
      </c>
      <c r="U59">
        <f t="shared" si="3"/>
        <v>2.6551081620000003</v>
      </c>
      <c r="X59" s="9"/>
      <c r="Y59" s="22">
        <v>1.58325</v>
      </c>
      <c r="Z59" s="22">
        <v>191.46899999999999</v>
      </c>
      <c r="AA59" s="22">
        <v>-1.5741000000000002E-2</v>
      </c>
      <c r="AB59" s="22">
        <v>49</v>
      </c>
      <c r="AC59" s="22">
        <v>1.5823400000000001</v>
      </c>
      <c r="AD59">
        <f t="shared" si="4"/>
        <v>15.741000000000001</v>
      </c>
      <c r="AE59">
        <f t="shared" si="5"/>
        <v>24.921938250000004</v>
      </c>
      <c r="AF59" s="9"/>
      <c r="AG59" s="22">
        <v>0.14679</v>
      </c>
      <c r="AH59" s="22">
        <v>283.48700000000002</v>
      </c>
      <c r="AI59" s="22">
        <v>-1.79016E-2</v>
      </c>
      <c r="AJ59" s="22">
        <v>49</v>
      </c>
      <c r="AK59" s="22">
        <v>0.146118</v>
      </c>
      <c r="AL59">
        <f t="shared" si="6"/>
        <v>17.901599999999998</v>
      </c>
      <c r="AM59">
        <f t="shared" si="7"/>
        <v>2.6277758639999997</v>
      </c>
      <c r="AP59" s="9"/>
      <c r="AQ59" s="22">
        <v>1.58325</v>
      </c>
      <c r="AR59" s="22">
        <v>379.45</v>
      </c>
      <c r="AS59" s="22">
        <v>-1.5957599999999999E-2</v>
      </c>
      <c r="AT59" s="22">
        <v>49</v>
      </c>
      <c r="AU59" s="22">
        <v>1.5823400000000001</v>
      </c>
      <c r="AV59">
        <f t="shared" si="8"/>
        <v>15.957599999999999</v>
      </c>
      <c r="AW59">
        <f t="shared" si="9"/>
        <v>25.264870200000001</v>
      </c>
      <c r="AX59" s="9"/>
      <c r="AY59" s="22">
        <v>0.14679</v>
      </c>
      <c r="AZ59" s="22">
        <v>473.71800000000002</v>
      </c>
      <c r="BA59" s="22">
        <v>-1.7880199999999999E-2</v>
      </c>
      <c r="BB59" s="22">
        <v>49</v>
      </c>
      <c r="BC59" s="22">
        <v>0.14685100000000001</v>
      </c>
      <c r="BD59">
        <f t="shared" si="10"/>
        <v>17.880199999999999</v>
      </c>
      <c r="BE59">
        <f t="shared" si="11"/>
        <v>2.6246345579999999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60.563299999999998</v>
      </c>
      <c r="I60" s="22">
        <v>6.1917100000000003E-2</v>
      </c>
      <c r="J60" s="22">
        <v>50</v>
      </c>
      <c r="K60" s="22">
        <v>8.2305900000000001E-2</v>
      </c>
      <c r="L60">
        <f t="shared" si="0"/>
        <v>-61.917100000000005</v>
      </c>
      <c r="M60">
        <f t="shared" si="1"/>
        <v>-97.718805562</v>
      </c>
      <c r="N60" s="9"/>
      <c r="O60" s="22">
        <v>0.15182499999999999</v>
      </c>
      <c r="P60" s="22">
        <v>132.78200000000001</v>
      </c>
      <c r="Q60" s="22">
        <v>-1.8081699999999999E-2</v>
      </c>
      <c r="R60" s="22">
        <v>50</v>
      </c>
      <c r="S60" s="22">
        <v>0.151306</v>
      </c>
      <c r="T60">
        <f t="shared" si="2"/>
        <v>18.081699999999998</v>
      </c>
      <c r="U60">
        <f t="shared" si="3"/>
        <v>2.7452541024999992</v>
      </c>
      <c r="X60" s="9"/>
      <c r="Y60" s="22">
        <v>1.57822</v>
      </c>
      <c r="Z60" s="22">
        <v>191.56899999999999</v>
      </c>
      <c r="AA60" s="22">
        <v>-1.58295E-2</v>
      </c>
      <c r="AB60" s="22">
        <v>50</v>
      </c>
      <c r="AC60" s="22">
        <v>1.5771500000000001</v>
      </c>
      <c r="AD60">
        <f t="shared" si="4"/>
        <v>15.829499999999999</v>
      </c>
      <c r="AE60">
        <f t="shared" si="5"/>
        <v>24.982433489999998</v>
      </c>
      <c r="AF60" s="9"/>
      <c r="AG60" s="22">
        <v>0.15182499999999999</v>
      </c>
      <c r="AH60" s="22">
        <v>283.58800000000002</v>
      </c>
      <c r="AI60" s="22">
        <v>-1.79016E-2</v>
      </c>
      <c r="AJ60" s="22">
        <v>50</v>
      </c>
      <c r="AK60" s="22">
        <v>0.151001</v>
      </c>
      <c r="AL60">
        <f t="shared" si="6"/>
        <v>17.901599999999998</v>
      </c>
      <c r="AM60">
        <f t="shared" si="7"/>
        <v>2.7179104199999995</v>
      </c>
      <c r="AP60" s="9"/>
      <c r="AQ60" s="22">
        <v>1.57822</v>
      </c>
      <c r="AR60" s="22">
        <v>379.55</v>
      </c>
      <c r="AS60" s="22">
        <v>-1.6036999999999999E-2</v>
      </c>
      <c r="AT60" s="22">
        <v>50</v>
      </c>
      <c r="AU60" s="22">
        <v>1.5777600000000001</v>
      </c>
      <c r="AV60">
        <f t="shared" si="8"/>
        <v>16.036999999999999</v>
      </c>
      <c r="AW60">
        <f t="shared" si="9"/>
        <v>25.309914139999997</v>
      </c>
      <c r="AX60" s="9"/>
      <c r="AY60" s="22">
        <v>0.15182499999999999</v>
      </c>
      <c r="AZ60" s="22">
        <v>473.81900000000002</v>
      </c>
      <c r="BA60" s="22">
        <v>-1.7877199999999999E-2</v>
      </c>
      <c r="BB60" s="22">
        <v>50</v>
      </c>
      <c r="BC60" s="22">
        <v>0.15142800000000001</v>
      </c>
      <c r="BD60">
        <f t="shared" si="10"/>
        <v>17.877199999999998</v>
      </c>
      <c r="BE60">
        <f t="shared" si="11"/>
        <v>2.7142058899999997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60.664000000000001</v>
      </c>
      <c r="I61" s="22">
        <v>6.1785899999999998E-2</v>
      </c>
      <c r="J61" s="22">
        <v>51</v>
      </c>
      <c r="K61" s="22">
        <v>8.2336400000000004E-2</v>
      </c>
      <c r="L61">
        <f t="shared" si="0"/>
        <v>-61.785899999999998</v>
      </c>
      <c r="M61">
        <f t="shared" si="1"/>
        <v>-97.200342161999998</v>
      </c>
      <c r="N61" s="9"/>
      <c r="O61" s="22">
        <v>0.15686</v>
      </c>
      <c r="P61" s="22">
        <v>132.88300000000001</v>
      </c>
      <c r="Q61" s="22">
        <v>-1.8084699999999999E-2</v>
      </c>
      <c r="R61" s="22">
        <v>51</v>
      </c>
      <c r="S61" s="22">
        <v>0.15643299999999999</v>
      </c>
      <c r="T61">
        <f t="shared" si="2"/>
        <v>18.084699999999998</v>
      </c>
      <c r="U61">
        <f t="shared" si="3"/>
        <v>2.8367660419999998</v>
      </c>
      <c r="X61" s="9"/>
      <c r="Y61" s="22">
        <v>1.57318</v>
      </c>
      <c r="Z61" s="22">
        <v>191.67</v>
      </c>
      <c r="AA61" s="22">
        <v>-1.5918000000000002E-2</v>
      </c>
      <c r="AB61" s="22">
        <v>51</v>
      </c>
      <c r="AC61" s="22">
        <v>1.57257</v>
      </c>
      <c r="AD61">
        <f t="shared" si="4"/>
        <v>15.918000000000001</v>
      </c>
      <c r="AE61">
        <f t="shared" si="5"/>
        <v>25.041879240000004</v>
      </c>
      <c r="AF61" s="9"/>
      <c r="AG61" s="22">
        <v>0.15686</v>
      </c>
      <c r="AH61" s="22">
        <v>283.68900000000002</v>
      </c>
      <c r="AI61" s="22">
        <v>-1.7916899999999999E-2</v>
      </c>
      <c r="AJ61" s="22">
        <v>51</v>
      </c>
      <c r="AK61" s="22">
        <v>0.15707399999999999</v>
      </c>
      <c r="AL61">
        <f t="shared" si="6"/>
        <v>17.916899999999998</v>
      </c>
      <c r="AM61">
        <f t="shared" si="7"/>
        <v>2.8104449339999995</v>
      </c>
      <c r="AP61" s="9"/>
      <c r="AQ61" s="22">
        <v>1.57318</v>
      </c>
      <c r="AR61" s="22">
        <v>379.65100000000001</v>
      </c>
      <c r="AS61" s="22">
        <v>-1.61163E-2</v>
      </c>
      <c r="AT61" s="22">
        <v>51</v>
      </c>
      <c r="AU61" s="22">
        <v>1.57196</v>
      </c>
      <c r="AV61">
        <f t="shared" si="8"/>
        <v>16.116299999999999</v>
      </c>
      <c r="AW61">
        <f t="shared" si="9"/>
        <v>25.353840834</v>
      </c>
      <c r="AX61" s="9"/>
      <c r="AY61" s="22">
        <v>0.15686</v>
      </c>
      <c r="AZ61" s="22">
        <v>473.92</v>
      </c>
      <c r="BA61" s="22">
        <v>-1.78741E-2</v>
      </c>
      <c r="BB61" s="22">
        <v>51</v>
      </c>
      <c r="BC61" s="22">
        <v>0.15118400000000001</v>
      </c>
      <c r="BD61">
        <f t="shared" si="10"/>
        <v>17.874100000000002</v>
      </c>
      <c r="BE61">
        <f t="shared" si="11"/>
        <v>2.8037313260000003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60.764699999999998</v>
      </c>
      <c r="I62" s="22">
        <v>6.1700400000000002E-2</v>
      </c>
      <c r="J62" s="22">
        <v>52</v>
      </c>
      <c r="K62" s="22">
        <v>8.2366900000000007E-2</v>
      </c>
      <c r="L62">
        <f t="shared" si="0"/>
        <v>-61.700400000000002</v>
      </c>
      <c r="M62">
        <f t="shared" si="1"/>
        <v>-96.755482259999994</v>
      </c>
      <c r="N62" s="9"/>
      <c r="O62" s="22">
        <v>0.16189600000000001</v>
      </c>
      <c r="P62" s="22">
        <v>132.98400000000001</v>
      </c>
      <c r="Q62" s="22">
        <v>-1.8081699999999999E-2</v>
      </c>
      <c r="R62" s="22">
        <v>52</v>
      </c>
      <c r="S62" s="22">
        <v>0.161438</v>
      </c>
      <c r="T62">
        <f t="shared" si="2"/>
        <v>18.081699999999998</v>
      </c>
      <c r="U62">
        <f t="shared" si="3"/>
        <v>2.9273549031999999</v>
      </c>
      <c r="X62" s="9"/>
      <c r="Y62" s="22">
        <v>1.5681499999999999</v>
      </c>
      <c r="Z62" s="22">
        <v>191.77099999999999</v>
      </c>
      <c r="AA62" s="22">
        <v>-1.6015600000000001E-2</v>
      </c>
      <c r="AB62" s="22">
        <v>52</v>
      </c>
      <c r="AC62" s="22">
        <v>1.56769</v>
      </c>
      <c r="AD62">
        <f t="shared" si="4"/>
        <v>16.015600000000003</v>
      </c>
      <c r="AE62">
        <f t="shared" si="5"/>
        <v>25.114863140000004</v>
      </c>
      <c r="AF62" s="9"/>
      <c r="AG62" s="22">
        <v>0.16189600000000001</v>
      </c>
      <c r="AH62" s="22">
        <v>283.78899999999999</v>
      </c>
      <c r="AI62" s="22">
        <v>-1.7904699999999999E-2</v>
      </c>
      <c r="AJ62" s="22">
        <v>52</v>
      </c>
      <c r="AK62" s="22">
        <v>0.16186500000000001</v>
      </c>
      <c r="AL62">
        <f t="shared" si="6"/>
        <v>17.904699999999998</v>
      </c>
      <c r="AM62">
        <f t="shared" si="7"/>
        <v>2.8986993112000001</v>
      </c>
      <c r="AP62" s="9"/>
      <c r="AQ62" s="22">
        <v>1.5681499999999999</v>
      </c>
      <c r="AR62" s="22">
        <v>379.75200000000001</v>
      </c>
      <c r="AS62" s="22">
        <v>-1.6192600000000001E-2</v>
      </c>
      <c r="AT62" s="22">
        <v>52</v>
      </c>
      <c r="AU62" s="22">
        <v>1.56708</v>
      </c>
      <c r="AV62">
        <f t="shared" si="8"/>
        <v>16.192600000000002</v>
      </c>
      <c r="AW62">
        <f t="shared" si="9"/>
        <v>25.392425690000003</v>
      </c>
      <c r="AX62" s="9"/>
      <c r="AY62" s="22">
        <v>0.16189600000000001</v>
      </c>
      <c r="AZ62" s="22">
        <v>474.02</v>
      </c>
      <c r="BA62" s="22">
        <v>-1.7880199999999999E-2</v>
      </c>
      <c r="BB62" s="22">
        <v>52</v>
      </c>
      <c r="BC62" s="22">
        <v>0.16122400000000001</v>
      </c>
      <c r="BD62">
        <f t="shared" si="10"/>
        <v>17.880199999999999</v>
      </c>
      <c r="BE62">
        <f t="shared" si="11"/>
        <v>2.8947328591999999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60.865400000000001</v>
      </c>
      <c r="I63" s="22">
        <v>6.16272E-2</v>
      </c>
      <c r="J63" s="22">
        <v>53</v>
      </c>
      <c r="K63" s="22">
        <v>8.2519499999999996E-2</v>
      </c>
      <c r="L63">
        <f t="shared" si="0"/>
        <v>-61.627200000000002</v>
      </c>
      <c r="M63">
        <f t="shared" si="1"/>
        <v>-96.330092592</v>
      </c>
      <c r="N63" s="9"/>
      <c r="O63" s="22">
        <v>0.166931</v>
      </c>
      <c r="P63" s="22">
        <v>133.08500000000001</v>
      </c>
      <c r="Q63" s="22">
        <v>-1.80786E-2</v>
      </c>
      <c r="R63" s="22">
        <v>53</v>
      </c>
      <c r="S63" s="22">
        <v>0.16677900000000001</v>
      </c>
      <c r="T63">
        <f t="shared" si="2"/>
        <v>18.078600000000002</v>
      </c>
      <c r="U63">
        <f t="shared" si="3"/>
        <v>3.0178787766000004</v>
      </c>
      <c r="X63" s="9"/>
      <c r="Y63" s="22">
        <v>1.56311</v>
      </c>
      <c r="Z63" s="22">
        <v>191.87100000000001</v>
      </c>
      <c r="AA63" s="22">
        <v>-1.60889E-2</v>
      </c>
      <c r="AB63" s="22">
        <v>53</v>
      </c>
      <c r="AC63" s="22">
        <v>1.56311</v>
      </c>
      <c r="AD63">
        <f t="shared" si="4"/>
        <v>16.088899999999999</v>
      </c>
      <c r="AE63">
        <f t="shared" si="5"/>
        <v>25.148720478999998</v>
      </c>
      <c r="AF63" s="9"/>
      <c r="AG63" s="22">
        <v>0.166931</v>
      </c>
      <c r="AH63" s="22">
        <v>283.89</v>
      </c>
      <c r="AI63" s="22">
        <v>-1.7913800000000001E-2</v>
      </c>
      <c r="AJ63" s="22">
        <v>53</v>
      </c>
      <c r="AK63" s="22">
        <v>0.16619900000000001</v>
      </c>
      <c r="AL63">
        <f t="shared" si="6"/>
        <v>17.913800000000002</v>
      </c>
      <c r="AM63">
        <f t="shared" si="7"/>
        <v>2.9903685478000002</v>
      </c>
      <c r="AP63" s="9"/>
      <c r="AQ63" s="22">
        <v>1.56311</v>
      </c>
      <c r="AR63" s="22">
        <v>379.85300000000001</v>
      </c>
      <c r="AS63" s="22">
        <v>-1.6253699999999999E-2</v>
      </c>
      <c r="AT63" s="22">
        <v>53</v>
      </c>
      <c r="AU63" s="22">
        <v>1.5625</v>
      </c>
      <c r="AV63">
        <f t="shared" si="8"/>
        <v>16.253699999999998</v>
      </c>
      <c r="AW63">
        <f t="shared" si="9"/>
        <v>25.406321006999999</v>
      </c>
      <c r="AX63" s="9"/>
      <c r="AY63" s="22">
        <v>0.166931</v>
      </c>
      <c r="AZ63" s="22">
        <v>474.12099999999998</v>
      </c>
      <c r="BA63" s="22">
        <v>-1.7871100000000001E-2</v>
      </c>
      <c r="BB63" s="22">
        <v>53</v>
      </c>
      <c r="BC63" s="22">
        <v>0.16595499999999999</v>
      </c>
      <c r="BD63">
        <f t="shared" si="10"/>
        <v>17.871100000000002</v>
      </c>
      <c r="BE63">
        <f t="shared" si="11"/>
        <v>2.9832405941000002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60.966099999999997</v>
      </c>
      <c r="I64" s="22">
        <v>6.1657700000000003E-2</v>
      </c>
      <c r="J64" s="22">
        <v>54</v>
      </c>
      <c r="K64" s="22">
        <v>8.2428000000000001E-2</v>
      </c>
      <c r="L64">
        <f t="shared" si="0"/>
        <v>-61.657700000000006</v>
      </c>
      <c r="M64">
        <f t="shared" si="1"/>
        <v>-96.067012639000012</v>
      </c>
      <c r="N64" s="9"/>
      <c r="O64" s="22">
        <v>0.17196700000000001</v>
      </c>
      <c r="P64" s="22">
        <v>133.185</v>
      </c>
      <c r="Q64" s="22">
        <v>-1.8084699999999999E-2</v>
      </c>
      <c r="R64" s="22">
        <v>54</v>
      </c>
      <c r="S64" s="22">
        <v>0.17166100000000001</v>
      </c>
      <c r="T64">
        <f t="shared" si="2"/>
        <v>18.084699999999998</v>
      </c>
      <c r="U64">
        <f t="shared" si="3"/>
        <v>3.1099716048999997</v>
      </c>
      <c r="X64" s="9"/>
      <c r="Y64" s="22">
        <v>1.5580700000000001</v>
      </c>
      <c r="Z64" s="22">
        <v>191.97200000000001</v>
      </c>
      <c r="AA64" s="22">
        <v>-1.6168200000000001E-2</v>
      </c>
      <c r="AB64" s="22">
        <v>54</v>
      </c>
      <c r="AC64" s="22">
        <v>1.55762</v>
      </c>
      <c r="AD64">
        <f t="shared" si="4"/>
        <v>16.168200000000002</v>
      </c>
      <c r="AE64">
        <f t="shared" si="5"/>
        <v>25.191187374000005</v>
      </c>
      <c r="AF64" s="9"/>
      <c r="AG64" s="22">
        <v>0.17196700000000001</v>
      </c>
      <c r="AH64" s="22">
        <v>283.99099999999999</v>
      </c>
      <c r="AI64" s="22">
        <v>-1.79016E-2</v>
      </c>
      <c r="AJ64" s="22">
        <v>54</v>
      </c>
      <c r="AK64" s="22">
        <v>0.17166100000000001</v>
      </c>
      <c r="AL64">
        <f t="shared" si="6"/>
        <v>17.901599999999998</v>
      </c>
      <c r="AM64">
        <f t="shared" si="7"/>
        <v>3.0784844471999997</v>
      </c>
      <c r="AP64" s="9"/>
      <c r="AQ64" s="22">
        <v>1.5580700000000001</v>
      </c>
      <c r="AR64" s="22">
        <v>379.95299999999997</v>
      </c>
      <c r="AS64" s="22">
        <v>-1.6330000000000001E-2</v>
      </c>
      <c r="AT64" s="22">
        <v>54</v>
      </c>
      <c r="AU64" s="22">
        <v>1.55762</v>
      </c>
      <c r="AV64">
        <f t="shared" si="8"/>
        <v>16.330000000000002</v>
      </c>
      <c r="AW64">
        <f t="shared" si="9"/>
        <v>25.443283100000006</v>
      </c>
      <c r="AX64" s="9"/>
      <c r="AY64" s="22">
        <v>0.17196700000000001</v>
      </c>
      <c r="AZ64" s="22">
        <v>474.22199999999998</v>
      </c>
      <c r="BA64" s="22">
        <v>-1.78741E-2</v>
      </c>
      <c r="BB64" s="22">
        <v>54</v>
      </c>
      <c r="BC64" s="22">
        <v>0.17157</v>
      </c>
      <c r="BD64">
        <f t="shared" si="10"/>
        <v>17.874100000000002</v>
      </c>
      <c r="BE64">
        <f t="shared" si="11"/>
        <v>3.0737553547000007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61.066800000000001</v>
      </c>
      <c r="I65" s="22">
        <v>6.1617999999999999E-2</v>
      </c>
      <c r="J65" s="22">
        <v>55</v>
      </c>
      <c r="K65" s="22">
        <v>8.2397499999999999E-2</v>
      </c>
      <c r="L65">
        <f t="shared" si="0"/>
        <v>-61.618000000000002</v>
      </c>
      <c r="M65">
        <f t="shared" si="1"/>
        <v>-95.69521872</v>
      </c>
      <c r="N65" s="9"/>
      <c r="O65" s="22">
        <v>0.17700199999999999</v>
      </c>
      <c r="P65" s="22">
        <v>133.286</v>
      </c>
      <c r="Q65" s="22">
        <v>-1.8081699999999999E-2</v>
      </c>
      <c r="R65" s="22">
        <v>55</v>
      </c>
      <c r="S65" s="22">
        <v>0.176758</v>
      </c>
      <c r="T65">
        <f t="shared" si="2"/>
        <v>18.081699999999998</v>
      </c>
      <c r="U65">
        <f t="shared" si="3"/>
        <v>3.2004970633999994</v>
      </c>
      <c r="X65" s="9"/>
      <c r="Y65" s="22">
        <v>1.55304</v>
      </c>
      <c r="Z65" s="22">
        <v>192.07300000000001</v>
      </c>
      <c r="AA65" s="22">
        <v>-1.6256699999999999E-2</v>
      </c>
      <c r="AB65" s="22">
        <v>55</v>
      </c>
      <c r="AC65" s="22">
        <v>1.5527299999999999</v>
      </c>
      <c r="AD65">
        <f t="shared" si="4"/>
        <v>16.256699999999999</v>
      </c>
      <c r="AE65">
        <f t="shared" si="5"/>
        <v>25.247305367999996</v>
      </c>
      <c r="AF65" s="9"/>
      <c r="AG65" s="22">
        <v>0.17700199999999999</v>
      </c>
      <c r="AH65" s="22">
        <v>284.09100000000001</v>
      </c>
      <c r="AI65" s="22">
        <v>-1.78894E-2</v>
      </c>
      <c r="AJ65" s="22">
        <v>55</v>
      </c>
      <c r="AK65" s="22">
        <v>0.17623900000000001</v>
      </c>
      <c r="AL65">
        <f t="shared" si="6"/>
        <v>17.889399999999998</v>
      </c>
      <c r="AM65">
        <f t="shared" si="7"/>
        <v>3.1664595787999996</v>
      </c>
      <c r="AP65" s="9"/>
      <c r="AQ65" s="22">
        <v>1.55304</v>
      </c>
      <c r="AR65" s="22">
        <v>380.05399999999997</v>
      </c>
      <c r="AS65" s="22">
        <v>-1.6378799999999999E-2</v>
      </c>
      <c r="AT65" s="22">
        <v>55</v>
      </c>
      <c r="AU65" s="22">
        <v>1.5521199999999999</v>
      </c>
      <c r="AV65">
        <f t="shared" si="8"/>
        <v>16.378799999999998</v>
      </c>
      <c r="AW65">
        <f t="shared" si="9"/>
        <v>25.436931551999997</v>
      </c>
      <c r="AX65" s="9"/>
      <c r="AY65" s="22">
        <v>0.17700199999999999</v>
      </c>
      <c r="AZ65" s="22">
        <v>474.32299999999998</v>
      </c>
      <c r="BA65" s="22">
        <v>-1.7880199999999999E-2</v>
      </c>
      <c r="BB65" s="22">
        <v>55</v>
      </c>
      <c r="BC65" s="22">
        <v>0.17602499999999999</v>
      </c>
      <c r="BD65">
        <f t="shared" si="10"/>
        <v>17.880199999999999</v>
      </c>
      <c r="BE65">
        <f t="shared" si="11"/>
        <v>3.1648311603999995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61.167499999999997</v>
      </c>
      <c r="I66" s="22">
        <v>6.1535600000000003E-2</v>
      </c>
      <c r="J66" s="22">
        <v>56</v>
      </c>
      <c r="K66" s="22">
        <v>8.2397499999999999E-2</v>
      </c>
      <c r="L66">
        <f t="shared" si="0"/>
        <v>-61.535600000000002</v>
      </c>
      <c r="M66">
        <f t="shared" si="1"/>
        <v>-95.257108800000012</v>
      </c>
      <c r="N66" s="9"/>
      <c r="O66" s="22">
        <v>0.182037</v>
      </c>
      <c r="P66" s="22">
        <v>133.387</v>
      </c>
      <c r="Q66" s="22">
        <v>-1.8072499999999998E-2</v>
      </c>
      <c r="R66" s="22">
        <v>56</v>
      </c>
      <c r="S66" s="22">
        <v>0.18127399999999999</v>
      </c>
      <c r="T66">
        <f t="shared" si="2"/>
        <v>18.072499999999998</v>
      </c>
      <c r="U66">
        <f t="shared" si="3"/>
        <v>3.2898636824999996</v>
      </c>
      <c r="X66" s="9"/>
      <c r="Y66" s="22">
        <v>1.548</v>
      </c>
      <c r="Z66" s="22">
        <v>192.17400000000001</v>
      </c>
      <c r="AA66" s="22">
        <v>-1.6308599999999999E-2</v>
      </c>
      <c r="AB66" s="22">
        <v>56</v>
      </c>
      <c r="AC66" s="22">
        <v>1.54816</v>
      </c>
      <c r="AD66">
        <f t="shared" si="4"/>
        <v>16.308599999999998</v>
      </c>
      <c r="AE66">
        <f t="shared" si="5"/>
        <v>25.2457128</v>
      </c>
      <c r="AF66" s="9"/>
      <c r="AG66" s="22">
        <v>0.182037</v>
      </c>
      <c r="AH66" s="22">
        <v>284.19200000000001</v>
      </c>
      <c r="AI66" s="22">
        <v>-1.7898600000000001E-2</v>
      </c>
      <c r="AJ66" s="22">
        <v>56</v>
      </c>
      <c r="AK66" s="22">
        <v>0.18090800000000001</v>
      </c>
      <c r="AL66">
        <f t="shared" si="6"/>
        <v>17.898600000000002</v>
      </c>
      <c r="AM66">
        <f t="shared" si="7"/>
        <v>3.2582074482000003</v>
      </c>
      <c r="AP66" s="9"/>
      <c r="AQ66" s="22">
        <v>1.548</v>
      </c>
      <c r="AR66" s="22">
        <v>380.15499999999997</v>
      </c>
      <c r="AS66" s="22">
        <v>-1.6433699999999999E-2</v>
      </c>
      <c r="AT66" s="22">
        <v>56</v>
      </c>
      <c r="AU66" s="22">
        <v>1.5472399999999999</v>
      </c>
      <c r="AV66">
        <f t="shared" si="8"/>
        <v>16.433699999999998</v>
      </c>
      <c r="AW66">
        <f t="shared" si="9"/>
        <v>25.439367599999997</v>
      </c>
      <c r="AX66" s="9"/>
      <c r="AY66" s="22">
        <v>0.182037</v>
      </c>
      <c r="AZ66" s="22">
        <v>474.423</v>
      </c>
      <c r="BA66" s="22">
        <v>-1.78741E-2</v>
      </c>
      <c r="BB66" s="22">
        <v>56</v>
      </c>
      <c r="BC66" s="22">
        <v>0.18160999999999999</v>
      </c>
      <c r="BD66">
        <f t="shared" si="10"/>
        <v>17.874100000000002</v>
      </c>
      <c r="BE66">
        <f t="shared" si="11"/>
        <v>3.2537475417000006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61.2682</v>
      </c>
      <c r="I67" s="22">
        <v>6.1544799999999997E-2</v>
      </c>
      <c r="J67" s="22">
        <v>57</v>
      </c>
      <c r="K67" s="22">
        <v>8.2397499999999999E-2</v>
      </c>
      <c r="L67">
        <f t="shared" si="0"/>
        <v>-61.544799999999995</v>
      </c>
      <c r="M67">
        <f t="shared" si="1"/>
        <v>-94.961780055999995</v>
      </c>
      <c r="N67" s="9"/>
      <c r="O67" s="22">
        <v>0.18707299999999999</v>
      </c>
      <c r="P67" s="22">
        <v>133.48699999999999</v>
      </c>
      <c r="Q67" s="22">
        <v>-1.8075600000000001E-2</v>
      </c>
      <c r="R67" s="22">
        <v>57</v>
      </c>
      <c r="S67" s="22">
        <v>0.18670700000000001</v>
      </c>
      <c r="T67">
        <f t="shared" si="2"/>
        <v>18.075600000000001</v>
      </c>
      <c r="U67">
        <f t="shared" si="3"/>
        <v>3.3814567188</v>
      </c>
      <c r="X67" s="9"/>
      <c r="Y67" s="22">
        <v>1.54297</v>
      </c>
      <c r="Z67" s="22">
        <v>192.274</v>
      </c>
      <c r="AA67" s="22">
        <v>-1.63605E-2</v>
      </c>
      <c r="AB67" s="22">
        <v>57</v>
      </c>
      <c r="AC67" s="22">
        <v>1.5420499999999999</v>
      </c>
      <c r="AD67">
        <f t="shared" si="4"/>
        <v>16.360500000000002</v>
      </c>
      <c r="AE67">
        <f t="shared" si="5"/>
        <v>25.243760685000002</v>
      </c>
      <c r="AF67" s="9"/>
      <c r="AG67" s="22">
        <v>0.18707299999999999</v>
      </c>
      <c r="AH67" s="22">
        <v>284.29300000000001</v>
      </c>
      <c r="AI67" s="22">
        <v>-1.7892499999999999E-2</v>
      </c>
      <c r="AJ67" s="22">
        <v>57</v>
      </c>
      <c r="AK67" s="22">
        <v>0.18649299999999999</v>
      </c>
      <c r="AL67">
        <f t="shared" si="6"/>
        <v>17.892499999999998</v>
      </c>
      <c r="AM67">
        <f t="shared" si="7"/>
        <v>3.3472036524999993</v>
      </c>
      <c r="AP67" s="9"/>
      <c r="AQ67" s="22">
        <v>1.54297</v>
      </c>
      <c r="AR67" s="22">
        <v>380.255</v>
      </c>
      <c r="AS67" s="22">
        <v>-1.6482500000000001E-2</v>
      </c>
      <c r="AT67" s="22">
        <v>57</v>
      </c>
      <c r="AU67" s="22">
        <v>1.5420499999999999</v>
      </c>
      <c r="AV67">
        <f t="shared" si="8"/>
        <v>16.482500000000002</v>
      </c>
      <c r="AW67">
        <f t="shared" si="9"/>
        <v>25.432003025</v>
      </c>
      <c r="AX67" s="9"/>
      <c r="AY67" s="22">
        <v>0.18707299999999999</v>
      </c>
      <c r="AZ67" s="22">
        <v>474.524</v>
      </c>
      <c r="BA67" s="22">
        <v>-1.7883300000000001E-2</v>
      </c>
      <c r="BB67" s="22">
        <v>57</v>
      </c>
      <c r="BC67" s="22">
        <v>0.186829</v>
      </c>
      <c r="BD67">
        <f t="shared" si="10"/>
        <v>17.883300000000002</v>
      </c>
      <c r="BE67">
        <f t="shared" si="11"/>
        <v>3.3454825809000002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61.369</v>
      </c>
      <c r="I68" s="22">
        <v>6.1526499999999998E-2</v>
      </c>
      <c r="J68" s="22">
        <v>58</v>
      </c>
      <c r="K68" s="22">
        <v>8.2397499999999999E-2</v>
      </c>
      <c r="L68">
        <f t="shared" si="0"/>
        <v>-61.526499999999999</v>
      </c>
      <c r="M68">
        <f t="shared" si="1"/>
        <v>-94.623450144999993</v>
      </c>
      <c r="N68" s="9"/>
      <c r="O68" s="22">
        <v>0.192108</v>
      </c>
      <c r="P68" s="22">
        <v>133.58799999999999</v>
      </c>
      <c r="Q68" s="22">
        <v>-1.80664E-2</v>
      </c>
      <c r="R68" s="22">
        <v>58</v>
      </c>
      <c r="S68" s="22">
        <v>0.191528</v>
      </c>
      <c r="T68">
        <f t="shared" si="2"/>
        <v>18.066400000000002</v>
      </c>
      <c r="U68">
        <f t="shared" si="3"/>
        <v>3.4706999712000002</v>
      </c>
      <c r="X68" s="9"/>
      <c r="Y68" s="22">
        <v>1.53793</v>
      </c>
      <c r="Z68" s="22">
        <v>192.375</v>
      </c>
      <c r="AA68" s="22">
        <v>-1.6433699999999999E-2</v>
      </c>
      <c r="AB68" s="22">
        <v>58</v>
      </c>
      <c r="AC68" s="22">
        <v>1.5371699999999999</v>
      </c>
      <c r="AD68">
        <f t="shared" si="4"/>
        <v>16.433699999999998</v>
      </c>
      <c r="AE68">
        <f t="shared" si="5"/>
        <v>25.273880240999997</v>
      </c>
      <c r="AF68" s="9"/>
      <c r="AG68" s="22">
        <v>0.192108</v>
      </c>
      <c r="AH68" s="22">
        <v>284.39400000000001</v>
      </c>
      <c r="AI68" s="22">
        <v>-1.7895500000000002E-2</v>
      </c>
      <c r="AJ68" s="22">
        <v>58</v>
      </c>
      <c r="AK68" s="22">
        <v>0.191132</v>
      </c>
      <c r="AL68">
        <f t="shared" si="6"/>
        <v>17.895500000000002</v>
      </c>
      <c r="AM68">
        <f t="shared" si="7"/>
        <v>3.4378687140000004</v>
      </c>
      <c r="AP68" s="9"/>
      <c r="AQ68" s="22">
        <v>1.53793</v>
      </c>
      <c r="AR68" s="22">
        <v>380.35599999999999</v>
      </c>
      <c r="AS68" s="22">
        <v>-1.6528299999999999E-2</v>
      </c>
      <c r="AT68" s="22">
        <v>58</v>
      </c>
      <c r="AU68" s="22">
        <v>1.53748</v>
      </c>
      <c r="AV68">
        <f t="shared" si="8"/>
        <v>16.528299999999998</v>
      </c>
      <c r="AW68">
        <f t="shared" si="9"/>
        <v>25.419368418999998</v>
      </c>
      <c r="AX68" s="9"/>
      <c r="AY68" s="22">
        <v>0.192108</v>
      </c>
      <c r="AZ68" s="22">
        <v>474.625</v>
      </c>
      <c r="BA68" s="22">
        <v>-1.78741E-2</v>
      </c>
      <c r="BB68" s="22">
        <v>58</v>
      </c>
      <c r="BC68" s="22">
        <v>0.19189500000000001</v>
      </c>
      <c r="BD68">
        <f t="shared" si="10"/>
        <v>17.874100000000002</v>
      </c>
      <c r="BE68">
        <f t="shared" si="11"/>
        <v>3.4337576028000005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61.469700000000003</v>
      </c>
      <c r="I69" s="22">
        <v>6.1468500000000002E-2</v>
      </c>
      <c r="J69" s="22">
        <v>59</v>
      </c>
      <c r="K69" s="22">
        <v>8.2305900000000001E-2</v>
      </c>
      <c r="L69">
        <f t="shared" si="0"/>
        <v>-61.468499999999999</v>
      </c>
      <c r="M69">
        <f t="shared" si="1"/>
        <v>-94.225063649999996</v>
      </c>
      <c r="N69" s="9"/>
      <c r="O69" s="22">
        <v>0.19714400000000001</v>
      </c>
      <c r="P69" s="22">
        <v>133.68899999999999</v>
      </c>
      <c r="Q69" s="22">
        <v>-1.8072499999999998E-2</v>
      </c>
      <c r="R69" s="22">
        <v>59</v>
      </c>
      <c r="S69" s="22">
        <v>0.196686</v>
      </c>
      <c r="T69">
        <f t="shared" si="2"/>
        <v>18.072499999999998</v>
      </c>
      <c r="U69">
        <f t="shared" si="3"/>
        <v>3.56288494</v>
      </c>
      <c r="X69" s="9"/>
      <c r="Y69" s="22">
        <v>1.5328999999999999</v>
      </c>
      <c r="Z69" s="22">
        <v>192.476</v>
      </c>
      <c r="AA69" s="22">
        <v>-1.64856E-2</v>
      </c>
      <c r="AB69" s="22">
        <v>59</v>
      </c>
      <c r="AC69" s="22">
        <v>1.5319799999999999</v>
      </c>
      <c r="AD69">
        <f t="shared" si="4"/>
        <v>16.485599999999998</v>
      </c>
      <c r="AE69">
        <f t="shared" si="5"/>
        <v>25.270776239999996</v>
      </c>
      <c r="AF69" s="9"/>
      <c r="AG69" s="22">
        <v>0.19714400000000001</v>
      </c>
      <c r="AH69" s="22">
        <v>284.49400000000003</v>
      </c>
      <c r="AI69" s="22">
        <v>-1.7880199999999999E-2</v>
      </c>
      <c r="AJ69" s="22">
        <v>59</v>
      </c>
      <c r="AK69" s="22">
        <v>0.19677700000000001</v>
      </c>
      <c r="AL69">
        <f t="shared" si="6"/>
        <v>17.880199999999999</v>
      </c>
      <c r="AM69">
        <f t="shared" si="7"/>
        <v>3.5249741488000002</v>
      </c>
      <c r="AP69" s="9"/>
      <c r="AQ69" s="22">
        <v>1.5328999999999999</v>
      </c>
      <c r="AR69" s="22">
        <v>380.45699999999999</v>
      </c>
      <c r="AS69" s="22">
        <v>-1.6586299999999998E-2</v>
      </c>
      <c r="AT69" s="22">
        <v>59</v>
      </c>
      <c r="AU69" s="22">
        <v>1.5322899999999999</v>
      </c>
      <c r="AV69">
        <f t="shared" si="8"/>
        <v>16.586299999999998</v>
      </c>
      <c r="AW69">
        <f t="shared" si="9"/>
        <v>25.425139269999995</v>
      </c>
      <c r="AX69" s="9"/>
      <c r="AY69" s="22">
        <v>0.19714400000000001</v>
      </c>
      <c r="AZ69" s="22">
        <v>474.72500000000002</v>
      </c>
      <c r="BA69" s="22">
        <v>-1.78741E-2</v>
      </c>
      <c r="BB69" s="22">
        <v>59</v>
      </c>
      <c r="BC69" s="22">
        <v>0.19689899999999999</v>
      </c>
      <c r="BD69">
        <f t="shared" si="10"/>
        <v>17.874100000000002</v>
      </c>
      <c r="BE69">
        <f t="shared" si="11"/>
        <v>3.5237715704000006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61.570399999999999</v>
      </c>
      <c r="I70" s="22">
        <v>6.1416600000000002E-2</v>
      </c>
      <c r="J70" s="22">
        <v>60</v>
      </c>
      <c r="K70" s="22">
        <v>8.2336400000000004E-2</v>
      </c>
      <c r="L70">
        <f t="shared" si="0"/>
        <v>-61.416600000000003</v>
      </c>
      <c r="M70">
        <f t="shared" si="1"/>
        <v>-93.83596647600001</v>
      </c>
      <c r="N70" s="9"/>
      <c r="O70" s="22">
        <v>0.202179</v>
      </c>
      <c r="P70" s="22">
        <v>133.79</v>
      </c>
      <c r="Q70" s="22">
        <v>-1.8069499999999999E-2</v>
      </c>
      <c r="R70" s="22">
        <v>60</v>
      </c>
      <c r="S70" s="22">
        <v>0.20175199999999999</v>
      </c>
      <c r="T70">
        <f t="shared" si="2"/>
        <v>18.069499999999998</v>
      </c>
      <c r="U70">
        <f t="shared" si="3"/>
        <v>3.6532734404999996</v>
      </c>
      <c r="X70" s="9"/>
      <c r="Y70" s="22">
        <v>1.52786</v>
      </c>
      <c r="Z70" s="22">
        <v>192.57599999999999</v>
      </c>
      <c r="AA70" s="22">
        <v>-1.65527E-2</v>
      </c>
      <c r="AB70" s="22">
        <v>60</v>
      </c>
      <c r="AC70" s="22">
        <v>1.5274000000000001</v>
      </c>
      <c r="AD70">
        <f t="shared" si="4"/>
        <v>16.552700000000002</v>
      </c>
      <c r="AE70">
        <f t="shared" si="5"/>
        <v>25.290208222000004</v>
      </c>
      <c r="AF70" s="9"/>
      <c r="AG70" s="22">
        <v>0.202179</v>
      </c>
      <c r="AH70" s="22">
        <v>284.59500000000003</v>
      </c>
      <c r="AI70" s="22">
        <v>-1.7895500000000002E-2</v>
      </c>
      <c r="AJ70" s="22">
        <v>60</v>
      </c>
      <c r="AK70" s="22">
        <v>0.20163</v>
      </c>
      <c r="AL70">
        <f t="shared" si="6"/>
        <v>17.895500000000002</v>
      </c>
      <c r="AM70">
        <f t="shared" si="7"/>
        <v>3.6180942945000005</v>
      </c>
      <c r="AP70" s="9"/>
      <c r="AQ70" s="22">
        <v>1.52786</v>
      </c>
      <c r="AR70" s="22">
        <v>380.55799999999999</v>
      </c>
      <c r="AS70" s="22">
        <v>-1.6629000000000001E-2</v>
      </c>
      <c r="AT70" s="22">
        <v>60</v>
      </c>
      <c r="AU70" s="22">
        <v>1.5274000000000001</v>
      </c>
      <c r="AV70">
        <f t="shared" si="8"/>
        <v>16.629000000000001</v>
      </c>
      <c r="AW70">
        <f t="shared" si="9"/>
        <v>25.40678394</v>
      </c>
      <c r="AX70" s="9"/>
      <c r="AY70" s="22">
        <v>0.202179</v>
      </c>
      <c r="AZ70" s="22">
        <v>474.82600000000002</v>
      </c>
      <c r="BA70" s="22">
        <v>-1.7871100000000001E-2</v>
      </c>
      <c r="BB70" s="22">
        <v>60</v>
      </c>
      <c r="BC70" s="22">
        <v>0.20166000000000001</v>
      </c>
      <c r="BD70">
        <f t="shared" si="10"/>
        <v>17.871100000000002</v>
      </c>
      <c r="BE70">
        <f t="shared" si="11"/>
        <v>3.6131611269000006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61.671100000000003</v>
      </c>
      <c r="I71" s="22">
        <v>6.1370800000000003E-2</v>
      </c>
      <c r="J71" s="22">
        <v>61</v>
      </c>
      <c r="K71" s="22">
        <v>8.2336400000000004E-2</v>
      </c>
      <c r="L71">
        <f t="shared" si="0"/>
        <v>-61.370800000000003</v>
      </c>
      <c r="M71">
        <f t="shared" si="1"/>
        <v>-93.457295364000004</v>
      </c>
      <c r="N71" s="9"/>
      <c r="O71" s="22">
        <v>0.20721400000000001</v>
      </c>
      <c r="P71" s="22">
        <v>133.88999999999999</v>
      </c>
      <c r="Q71" s="22">
        <v>-1.80634E-2</v>
      </c>
      <c r="R71" s="22">
        <v>61</v>
      </c>
      <c r="S71" s="22">
        <v>0.20696999999999999</v>
      </c>
      <c r="T71">
        <f t="shared" si="2"/>
        <v>18.063400000000001</v>
      </c>
      <c r="U71">
        <f t="shared" si="3"/>
        <v>3.7429893676000003</v>
      </c>
      <c r="X71" s="9"/>
      <c r="Y71" s="22">
        <v>1.5228299999999999</v>
      </c>
      <c r="Z71" s="22">
        <v>192.67699999999999</v>
      </c>
      <c r="AA71" s="22">
        <v>-1.6604600000000001E-2</v>
      </c>
      <c r="AB71" s="22">
        <v>61</v>
      </c>
      <c r="AC71" s="22">
        <v>1.5219100000000001</v>
      </c>
      <c r="AD71">
        <f t="shared" si="4"/>
        <v>16.604600000000001</v>
      </c>
      <c r="AE71">
        <f t="shared" si="5"/>
        <v>25.285983018</v>
      </c>
      <c r="AF71" s="9"/>
      <c r="AG71" s="22">
        <v>0.20721400000000001</v>
      </c>
      <c r="AH71" s="22">
        <v>284.69600000000003</v>
      </c>
      <c r="AI71" s="22">
        <v>-1.7895500000000002E-2</v>
      </c>
      <c r="AJ71" s="22">
        <v>61</v>
      </c>
      <c r="AK71" s="22">
        <v>0.206787</v>
      </c>
      <c r="AL71">
        <f t="shared" si="6"/>
        <v>17.895500000000002</v>
      </c>
      <c r="AM71">
        <f t="shared" si="7"/>
        <v>3.7081981370000006</v>
      </c>
      <c r="AP71" s="9"/>
      <c r="AQ71" s="22">
        <v>1.5228299999999999</v>
      </c>
      <c r="AR71" s="22">
        <v>380.65800000000002</v>
      </c>
      <c r="AS71" s="22">
        <v>-1.6671800000000001E-2</v>
      </c>
      <c r="AT71" s="22">
        <v>61</v>
      </c>
      <c r="AU71" s="22">
        <v>1.5216099999999999</v>
      </c>
      <c r="AV71">
        <f t="shared" si="8"/>
        <v>16.671800000000001</v>
      </c>
      <c r="AW71">
        <f t="shared" si="9"/>
        <v>25.388317193999999</v>
      </c>
      <c r="AX71" s="9"/>
      <c r="AY71" s="22">
        <v>0.20721400000000001</v>
      </c>
      <c r="AZ71" s="22">
        <v>474.92700000000002</v>
      </c>
      <c r="BA71" s="22">
        <v>-1.78619E-2</v>
      </c>
      <c r="BB71" s="22">
        <v>61</v>
      </c>
      <c r="BC71" s="22">
        <v>0.20660400000000001</v>
      </c>
      <c r="BD71">
        <f t="shared" si="10"/>
        <v>17.861899999999999</v>
      </c>
      <c r="BE71">
        <f t="shared" si="11"/>
        <v>3.7012357465999997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61.771799999999999</v>
      </c>
      <c r="I72" s="22">
        <v>6.1343399999999999E-2</v>
      </c>
      <c r="J72" s="22">
        <v>62</v>
      </c>
      <c r="K72" s="22">
        <v>8.2336400000000004E-2</v>
      </c>
      <c r="L72">
        <f t="shared" si="0"/>
        <v>-61.343400000000003</v>
      </c>
      <c r="M72">
        <f t="shared" si="1"/>
        <v>-93.106399085999996</v>
      </c>
      <c r="N72" s="9"/>
      <c r="O72" s="22">
        <v>0.21224999999999999</v>
      </c>
      <c r="P72" s="22">
        <v>133.99100000000001</v>
      </c>
      <c r="Q72" s="22">
        <v>-1.80634E-2</v>
      </c>
      <c r="R72" s="22">
        <v>62</v>
      </c>
      <c r="S72" s="22">
        <v>0.21182300000000001</v>
      </c>
      <c r="T72">
        <f t="shared" si="2"/>
        <v>18.063400000000001</v>
      </c>
      <c r="U72">
        <f t="shared" si="3"/>
        <v>3.8339566500000002</v>
      </c>
      <c r="X72" s="9"/>
      <c r="Y72" s="22">
        <v>1.51779</v>
      </c>
      <c r="Z72" s="22">
        <v>192.77799999999999</v>
      </c>
      <c r="AA72" s="22">
        <v>-1.6653399999999999E-2</v>
      </c>
      <c r="AB72" s="22">
        <v>62</v>
      </c>
      <c r="AC72" s="22">
        <v>1.5170300000000001</v>
      </c>
      <c r="AD72">
        <f t="shared" si="4"/>
        <v>16.653399999999998</v>
      </c>
      <c r="AE72">
        <f t="shared" si="5"/>
        <v>25.276363985999996</v>
      </c>
      <c r="AF72" s="9"/>
      <c r="AG72" s="22">
        <v>0.21224999999999999</v>
      </c>
      <c r="AH72" s="22">
        <v>284.79599999999999</v>
      </c>
      <c r="AI72" s="22">
        <v>-1.78894E-2</v>
      </c>
      <c r="AJ72" s="22">
        <v>62</v>
      </c>
      <c r="AK72" s="22">
        <v>0.21218899999999999</v>
      </c>
      <c r="AL72">
        <f t="shared" si="6"/>
        <v>17.889399999999998</v>
      </c>
      <c r="AM72">
        <f t="shared" si="7"/>
        <v>3.7970251499999996</v>
      </c>
      <c r="AP72" s="9"/>
      <c r="AQ72" s="22">
        <v>1.51779</v>
      </c>
      <c r="AR72" s="22">
        <v>380.75900000000001</v>
      </c>
      <c r="AS72" s="22">
        <v>-1.6699200000000001E-2</v>
      </c>
      <c r="AT72" s="22">
        <v>62</v>
      </c>
      <c r="AU72" s="22">
        <v>1.5164200000000001</v>
      </c>
      <c r="AV72">
        <f t="shared" si="8"/>
        <v>16.699200000000001</v>
      </c>
      <c r="AW72">
        <f t="shared" si="9"/>
        <v>25.345878768000002</v>
      </c>
      <c r="AX72" s="9"/>
      <c r="AY72" s="22">
        <v>0.21224999999999999</v>
      </c>
      <c r="AZ72" s="22">
        <v>475.02800000000002</v>
      </c>
      <c r="BA72" s="22">
        <v>-1.7864999999999999E-2</v>
      </c>
      <c r="BB72" s="22">
        <v>62</v>
      </c>
      <c r="BC72" s="22">
        <v>0.21106</v>
      </c>
      <c r="BD72">
        <f t="shared" si="10"/>
        <v>17.864999999999998</v>
      </c>
      <c r="BE72">
        <f t="shared" si="11"/>
        <v>3.7918462499999994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61.872500000000002</v>
      </c>
      <c r="I73" s="22">
        <v>6.1361699999999998E-2</v>
      </c>
      <c r="J73" s="22">
        <v>63</v>
      </c>
      <c r="K73" s="22">
        <v>8.2366900000000007E-2</v>
      </c>
      <c r="L73">
        <f t="shared" si="0"/>
        <v>-61.361699999999999</v>
      </c>
      <c r="M73">
        <f t="shared" si="1"/>
        <v>-92.825525292000009</v>
      </c>
      <c r="N73" s="9"/>
      <c r="O73" s="22">
        <v>0.21728500000000001</v>
      </c>
      <c r="P73" s="22">
        <v>134.09200000000001</v>
      </c>
      <c r="Q73" s="22">
        <v>-1.80664E-2</v>
      </c>
      <c r="R73" s="22">
        <v>63</v>
      </c>
      <c r="S73" s="22">
        <v>0.21679699999999999</v>
      </c>
      <c r="T73">
        <f t="shared" si="2"/>
        <v>18.066400000000002</v>
      </c>
      <c r="U73">
        <f t="shared" si="3"/>
        <v>3.9255577240000004</v>
      </c>
      <c r="X73" s="9"/>
      <c r="Y73" s="22">
        <v>1.5127600000000001</v>
      </c>
      <c r="Z73" s="22">
        <v>192.87899999999999</v>
      </c>
      <c r="AA73" s="22">
        <v>-1.6693099999999999E-2</v>
      </c>
      <c r="AB73" s="22">
        <v>63</v>
      </c>
      <c r="AC73" s="22">
        <v>1.5118400000000001</v>
      </c>
      <c r="AD73">
        <f t="shared" si="4"/>
        <v>16.693099999999998</v>
      </c>
      <c r="AE73">
        <f t="shared" si="5"/>
        <v>25.252653956</v>
      </c>
      <c r="AF73" s="9"/>
      <c r="AG73" s="22">
        <v>0.21728500000000001</v>
      </c>
      <c r="AH73" s="22">
        <v>284.89699999999999</v>
      </c>
      <c r="AI73" s="22">
        <v>-1.78864E-2</v>
      </c>
      <c r="AJ73" s="22">
        <v>63</v>
      </c>
      <c r="AK73" s="22">
        <v>0.21679699999999999</v>
      </c>
      <c r="AL73">
        <f t="shared" si="6"/>
        <v>17.886400000000002</v>
      </c>
      <c r="AM73">
        <f t="shared" si="7"/>
        <v>3.8864464240000003</v>
      </c>
      <c r="AP73" s="9"/>
      <c r="AQ73" s="22">
        <v>1.5127600000000001</v>
      </c>
      <c r="AR73" s="22">
        <v>380.86</v>
      </c>
      <c r="AS73" s="22">
        <v>-1.6744999999999999E-2</v>
      </c>
      <c r="AT73" s="22">
        <v>63</v>
      </c>
      <c r="AU73" s="22">
        <v>1.5121500000000001</v>
      </c>
      <c r="AV73">
        <f t="shared" si="8"/>
        <v>16.745000000000001</v>
      </c>
      <c r="AW73">
        <f t="shared" si="9"/>
        <v>25.331166200000002</v>
      </c>
      <c r="AX73" s="9"/>
      <c r="AY73" s="22">
        <v>0.21728500000000001</v>
      </c>
      <c r="AZ73" s="22">
        <v>475.12799999999999</v>
      </c>
      <c r="BA73" s="22">
        <v>-1.78589E-2</v>
      </c>
      <c r="BB73" s="22">
        <v>63</v>
      </c>
      <c r="BC73" s="22">
        <v>0.216888</v>
      </c>
      <c r="BD73">
        <f t="shared" si="10"/>
        <v>17.858900000000002</v>
      </c>
      <c r="BE73">
        <f t="shared" si="11"/>
        <v>3.8804710865000005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61.973199999999999</v>
      </c>
      <c r="I74" s="22">
        <v>6.1306800000000002E-2</v>
      </c>
      <c r="J74" s="22">
        <v>64</v>
      </c>
      <c r="K74" s="22">
        <v>8.2366900000000007E-2</v>
      </c>
      <c r="L74">
        <f t="shared" si="0"/>
        <v>-61.306800000000003</v>
      </c>
      <c r="M74">
        <f t="shared" si="1"/>
        <v>-92.433488495999995</v>
      </c>
      <c r="N74" s="9"/>
      <c r="O74" s="22">
        <v>0.22232099999999999</v>
      </c>
      <c r="P74" s="22">
        <v>134.19200000000001</v>
      </c>
      <c r="Q74" s="22">
        <v>-1.8069499999999999E-2</v>
      </c>
      <c r="R74" s="22">
        <v>64</v>
      </c>
      <c r="S74" s="22">
        <v>0.222168</v>
      </c>
      <c r="T74">
        <f t="shared" si="2"/>
        <v>18.069499999999998</v>
      </c>
      <c r="U74">
        <f t="shared" si="3"/>
        <v>4.0172293094999993</v>
      </c>
      <c r="X74" s="9"/>
      <c r="Y74" s="22">
        <v>1.5077199999999999</v>
      </c>
      <c r="Z74" s="22">
        <v>192.97900000000001</v>
      </c>
      <c r="AA74" s="22">
        <v>-1.67297E-2</v>
      </c>
      <c r="AB74" s="22">
        <v>64</v>
      </c>
      <c r="AC74" s="22">
        <v>1.5075700000000001</v>
      </c>
      <c r="AD74">
        <f t="shared" si="4"/>
        <v>16.729700000000001</v>
      </c>
      <c r="AE74">
        <f t="shared" si="5"/>
        <v>25.223703284000003</v>
      </c>
      <c r="AF74" s="9"/>
      <c r="AG74" s="22">
        <v>0.22232099999999999</v>
      </c>
      <c r="AH74" s="22">
        <v>284.99799999999999</v>
      </c>
      <c r="AI74" s="22">
        <v>-1.78894E-2</v>
      </c>
      <c r="AJ74" s="22">
        <v>64</v>
      </c>
      <c r="AK74" s="22">
        <v>0.22198499999999999</v>
      </c>
      <c r="AL74">
        <f t="shared" si="6"/>
        <v>17.889399999999998</v>
      </c>
      <c r="AM74">
        <f t="shared" si="7"/>
        <v>3.9771892973999994</v>
      </c>
      <c r="AP74" s="9"/>
      <c r="AQ74" s="22">
        <v>1.5077199999999999</v>
      </c>
      <c r="AR74" s="22">
        <v>380.96</v>
      </c>
      <c r="AS74" s="22">
        <v>-1.6760299999999999E-2</v>
      </c>
      <c r="AT74" s="22">
        <v>64</v>
      </c>
      <c r="AU74" s="22">
        <v>1.5069600000000001</v>
      </c>
      <c r="AV74">
        <f t="shared" si="8"/>
        <v>16.760299999999997</v>
      </c>
      <c r="AW74">
        <f t="shared" si="9"/>
        <v>25.269839515999994</v>
      </c>
      <c r="AX74" s="9"/>
      <c r="AY74" s="22">
        <v>0.22232099999999999</v>
      </c>
      <c r="AZ74" s="22">
        <v>475.22899999999998</v>
      </c>
      <c r="BA74" s="22">
        <v>-1.7864999999999999E-2</v>
      </c>
      <c r="BB74" s="22">
        <v>64</v>
      </c>
      <c r="BC74" s="22">
        <v>0.221832</v>
      </c>
      <c r="BD74">
        <f t="shared" si="10"/>
        <v>17.864999999999998</v>
      </c>
      <c r="BE74">
        <f t="shared" si="11"/>
        <v>3.9717646649999994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62.073900000000002</v>
      </c>
      <c r="I75" s="22">
        <v>6.12305E-2</v>
      </c>
      <c r="J75" s="22">
        <v>65</v>
      </c>
      <c r="K75" s="22">
        <v>8.2397499999999999E-2</v>
      </c>
      <c r="L75">
        <f t="shared" si="0"/>
        <v>-61.230499999999999</v>
      </c>
      <c r="M75">
        <f t="shared" si="1"/>
        <v>-92.010460045000002</v>
      </c>
      <c r="N75" s="9"/>
      <c r="O75" s="22">
        <v>0.227356</v>
      </c>
      <c r="P75" s="22">
        <v>134.29300000000001</v>
      </c>
      <c r="Q75" s="22">
        <v>-1.80664E-2</v>
      </c>
      <c r="R75" s="22">
        <v>65</v>
      </c>
      <c r="S75" s="22">
        <v>0.22775300000000001</v>
      </c>
      <c r="T75">
        <f t="shared" si="2"/>
        <v>18.066400000000002</v>
      </c>
      <c r="U75">
        <f t="shared" si="3"/>
        <v>4.1075044384000003</v>
      </c>
      <c r="X75" s="9"/>
      <c r="Y75" s="22">
        <v>1.5026900000000001</v>
      </c>
      <c r="Z75" s="22">
        <v>193.08</v>
      </c>
      <c r="AA75" s="22">
        <v>-1.6781600000000001E-2</v>
      </c>
      <c r="AB75" s="22">
        <v>65</v>
      </c>
      <c r="AC75" s="22">
        <v>1.50238</v>
      </c>
      <c r="AD75">
        <f t="shared" si="4"/>
        <v>16.781600000000001</v>
      </c>
      <c r="AE75">
        <f t="shared" si="5"/>
        <v>25.217542504000004</v>
      </c>
      <c r="AF75" s="9"/>
      <c r="AG75" s="22">
        <v>0.227356</v>
      </c>
      <c r="AH75" s="22">
        <v>285.09899999999999</v>
      </c>
      <c r="AI75" s="22">
        <v>-1.7883300000000001E-2</v>
      </c>
      <c r="AJ75" s="22">
        <v>65</v>
      </c>
      <c r="AK75" s="22">
        <v>0.22726399999999999</v>
      </c>
      <c r="AL75">
        <f t="shared" si="6"/>
        <v>17.883300000000002</v>
      </c>
      <c r="AM75">
        <f t="shared" si="7"/>
        <v>4.0658755548000007</v>
      </c>
      <c r="AP75" s="9"/>
      <c r="AQ75" s="22">
        <v>1.5026900000000001</v>
      </c>
      <c r="AR75" s="22">
        <v>381.06099999999998</v>
      </c>
      <c r="AS75" s="22">
        <v>-1.6790800000000002E-2</v>
      </c>
      <c r="AT75" s="22">
        <v>65</v>
      </c>
      <c r="AU75" s="22">
        <v>1.50116</v>
      </c>
      <c r="AV75">
        <f t="shared" si="8"/>
        <v>16.790800000000001</v>
      </c>
      <c r="AW75">
        <f t="shared" si="9"/>
        <v>25.231367252000002</v>
      </c>
      <c r="AX75" s="9"/>
      <c r="AY75" s="22">
        <v>0.227356</v>
      </c>
      <c r="AZ75" s="22">
        <v>475.33</v>
      </c>
      <c r="BA75" s="22">
        <v>-1.78589E-2</v>
      </c>
      <c r="BB75" s="22">
        <v>65</v>
      </c>
      <c r="BC75" s="22">
        <v>0.22641</v>
      </c>
      <c r="BD75">
        <f t="shared" si="10"/>
        <v>17.858900000000002</v>
      </c>
      <c r="BE75">
        <f t="shared" si="11"/>
        <v>4.0603280684000005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62.174599999999998</v>
      </c>
      <c r="I76" s="22">
        <v>6.1212200000000001E-2</v>
      </c>
      <c r="J76" s="22">
        <v>66</v>
      </c>
      <c r="K76" s="22">
        <v>8.2336400000000004E-2</v>
      </c>
      <c r="L76">
        <f t="shared" ref="L76:L139" si="12">-I76/$F$2*1000</f>
        <v>-61.212200000000003</v>
      </c>
      <c r="M76">
        <f t="shared" ref="M76:M139" si="13">L76*G76</f>
        <v>-91.674451329999997</v>
      </c>
      <c r="N76" s="9"/>
      <c r="O76" s="22">
        <v>0.23239099999999999</v>
      </c>
      <c r="P76" s="22">
        <v>134.39400000000001</v>
      </c>
      <c r="Q76" s="22">
        <v>-1.8057299999999998E-2</v>
      </c>
      <c r="R76" s="22">
        <v>66</v>
      </c>
      <c r="S76" s="22">
        <v>0.231934</v>
      </c>
      <c r="T76">
        <f t="shared" ref="T76:T139" si="14">-Q76/$F$2*1000</f>
        <v>18.057299999999998</v>
      </c>
      <c r="U76">
        <f t="shared" ref="U76:U139" si="15">T76*O76</f>
        <v>4.1963540042999989</v>
      </c>
      <c r="X76" s="9"/>
      <c r="Y76" s="22">
        <v>1.4976499999999999</v>
      </c>
      <c r="Z76" s="22">
        <v>193.18100000000001</v>
      </c>
      <c r="AA76" s="22">
        <v>-1.6818199999999998E-2</v>
      </c>
      <c r="AB76" s="22">
        <v>66</v>
      </c>
      <c r="AC76" s="22">
        <v>1.49658</v>
      </c>
      <c r="AD76">
        <f t="shared" ref="AD76:AD139" si="16">-AA76/$F$2*1000</f>
        <v>16.818199999999997</v>
      </c>
      <c r="AE76">
        <f t="shared" ref="AE76:AE139" si="17">AD76*Y76</f>
        <v>25.187777229999995</v>
      </c>
      <c r="AF76" s="9"/>
      <c r="AG76" s="22">
        <v>0.23239099999999999</v>
      </c>
      <c r="AH76" s="22">
        <v>285.19900000000001</v>
      </c>
      <c r="AI76" s="22">
        <v>-1.7883300000000001E-2</v>
      </c>
      <c r="AJ76" s="22">
        <v>66</v>
      </c>
      <c r="AK76" s="22">
        <v>0.231934</v>
      </c>
      <c r="AL76">
        <f t="shared" ref="AL76:AL139" si="18">-AI76/$F$2*1000</f>
        <v>17.883300000000002</v>
      </c>
      <c r="AM76">
        <f t="shared" ref="AM76:AM139" si="19">AL76*AG76</f>
        <v>4.1559179703</v>
      </c>
      <c r="AP76" s="9"/>
      <c r="AQ76" s="22">
        <v>1.4976499999999999</v>
      </c>
      <c r="AR76" s="22">
        <v>381.16199999999998</v>
      </c>
      <c r="AS76" s="22">
        <v>-1.6836500000000001E-2</v>
      </c>
      <c r="AT76" s="22">
        <v>66</v>
      </c>
      <c r="AU76" s="22">
        <v>1.4968900000000001</v>
      </c>
      <c r="AV76">
        <f t="shared" ref="AV76:AV139" si="20">-AS76/$F$2*1000</f>
        <v>16.836500000000001</v>
      </c>
      <c r="AW76">
        <f t="shared" ref="AW76:AW139" si="21">AV76*AQ76</f>
        <v>25.215184225000002</v>
      </c>
      <c r="AX76" s="9"/>
      <c r="AY76" s="22">
        <v>0.23239099999999999</v>
      </c>
      <c r="AZ76" s="22">
        <v>475.43</v>
      </c>
      <c r="BA76" s="22">
        <v>-1.78589E-2</v>
      </c>
      <c r="BB76" s="22">
        <v>66</v>
      </c>
      <c r="BC76" s="22">
        <v>0.23236100000000001</v>
      </c>
      <c r="BD76">
        <f t="shared" ref="BD76:BD139" si="22">-BA76/$F$2*1000</f>
        <v>17.858900000000002</v>
      </c>
      <c r="BE76">
        <f t="shared" ref="BE76:BE139" si="23">BD76*AY76</f>
        <v>4.1502476299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62.275300000000001</v>
      </c>
      <c r="I77" s="22">
        <v>6.1172499999999998E-2</v>
      </c>
      <c r="J77" s="22">
        <v>67</v>
      </c>
      <c r="K77" s="22">
        <v>8.2336400000000004E-2</v>
      </c>
      <c r="L77">
        <f t="shared" si="12"/>
        <v>-61.172499999999999</v>
      </c>
      <c r="M77">
        <f t="shared" si="13"/>
        <v>-91.306685224999995</v>
      </c>
      <c r="N77" s="9"/>
      <c r="O77" s="22">
        <v>0.237427</v>
      </c>
      <c r="P77" s="22">
        <v>134.494</v>
      </c>
      <c r="Q77" s="22">
        <v>-1.8054199999999999E-2</v>
      </c>
      <c r="R77" s="22">
        <v>67</v>
      </c>
      <c r="S77" s="22">
        <v>0.23696900000000001</v>
      </c>
      <c r="T77">
        <f t="shared" si="14"/>
        <v>18.054199999999998</v>
      </c>
      <c r="U77">
        <f t="shared" si="15"/>
        <v>4.2865545433999994</v>
      </c>
      <c r="X77" s="9"/>
      <c r="Y77" s="22">
        <v>1.49261</v>
      </c>
      <c r="Z77" s="22">
        <v>193.28100000000001</v>
      </c>
      <c r="AA77" s="22">
        <v>-1.6842699999999999E-2</v>
      </c>
      <c r="AB77" s="22">
        <v>67</v>
      </c>
      <c r="AC77" s="22">
        <v>1.49231</v>
      </c>
      <c r="AD77">
        <f t="shared" si="16"/>
        <v>16.842699999999997</v>
      </c>
      <c r="AE77">
        <f t="shared" si="17"/>
        <v>25.139582446999995</v>
      </c>
      <c r="AF77" s="9"/>
      <c r="AG77" s="22">
        <v>0.237427</v>
      </c>
      <c r="AH77" s="22">
        <v>285.3</v>
      </c>
      <c r="AI77" s="22">
        <v>-1.7877199999999999E-2</v>
      </c>
      <c r="AJ77" s="22">
        <v>67</v>
      </c>
      <c r="AK77" s="22">
        <v>0.23693800000000001</v>
      </c>
      <c r="AL77">
        <f t="shared" si="18"/>
        <v>17.877199999999998</v>
      </c>
      <c r="AM77">
        <f t="shared" si="19"/>
        <v>4.2445299643999999</v>
      </c>
      <c r="AP77" s="9"/>
      <c r="AQ77" s="22">
        <v>1.49261</v>
      </c>
      <c r="AR77" s="22">
        <v>381.26299999999998</v>
      </c>
      <c r="AS77" s="22">
        <v>-1.68518E-2</v>
      </c>
      <c r="AT77" s="22">
        <v>67</v>
      </c>
      <c r="AU77" s="22">
        <v>1.4917</v>
      </c>
      <c r="AV77">
        <f t="shared" si="20"/>
        <v>16.851800000000001</v>
      </c>
      <c r="AW77">
        <f t="shared" si="21"/>
        <v>25.153165198</v>
      </c>
      <c r="AX77" s="9"/>
      <c r="AY77" s="22">
        <v>0.237427</v>
      </c>
      <c r="AZ77" s="22">
        <v>475.53100000000001</v>
      </c>
      <c r="BA77" s="22">
        <v>-1.78589E-2</v>
      </c>
      <c r="BB77" s="22">
        <v>67</v>
      </c>
      <c r="BC77" s="22">
        <v>0.23699999999999999</v>
      </c>
      <c r="BD77">
        <f t="shared" si="22"/>
        <v>17.858900000000002</v>
      </c>
      <c r="BE77">
        <f t="shared" si="23"/>
        <v>4.2401850503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62.375999999999998</v>
      </c>
      <c r="I78" s="22">
        <v>6.1175500000000001E-2</v>
      </c>
      <c r="J78" s="22">
        <v>68</v>
      </c>
      <c r="K78" s="22">
        <v>8.2214400000000007E-2</v>
      </c>
      <c r="L78">
        <f t="shared" si="12"/>
        <v>-61.1755</v>
      </c>
      <c r="M78">
        <f t="shared" si="13"/>
        <v>-91.003450289999989</v>
      </c>
      <c r="N78" s="9"/>
      <c r="O78" s="22">
        <v>0.24246200000000001</v>
      </c>
      <c r="P78" s="22">
        <v>134.595</v>
      </c>
      <c r="Q78" s="22">
        <v>-1.8044999999999999E-2</v>
      </c>
      <c r="R78" s="22">
        <v>68</v>
      </c>
      <c r="S78" s="22">
        <v>0.24243200000000001</v>
      </c>
      <c r="T78">
        <f t="shared" si="14"/>
        <v>18.044999999999998</v>
      </c>
      <c r="U78">
        <f t="shared" si="15"/>
        <v>4.3752267900000001</v>
      </c>
      <c r="X78" s="9"/>
      <c r="Y78" s="22">
        <v>1.4875799999999999</v>
      </c>
      <c r="Z78" s="22">
        <v>193.38200000000001</v>
      </c>
      <c r="AA78" s="22">
        <v>-1.6876200000000001E-2</v>
      </c>
      <c r="AB78" s="22">
        <v>68</v>
      </c>
      <c r="AC78" s="22">
        <v>1.48712</v>
      </c>
      <c r="AD78">
        <f t="shared" si="16"/>
        <v>16.876200000000001</v>
      </c>
      <c r="AE78">
        <f t="shared" si="17"/>
        <v>25.104697596000001</v>
      </c>
      <c r="AF78" s="9"/>
      <c r="AG78" s="22">
        <v>0.24246200000000001</v>
      </c>
      <c r="AH78" s="22">
        <v>285.40100000000001</v>
      </c>
      <c r="AI78" s="22">
        <v>-1.7877199999999999E-2</v>
      </c>
      <c r="AJ78" s="22">
        <v>68</v>
      </c>
      <c r="AK78" s="22">
        <v>0.24188200000000001</v>
      </c>
      <c r="AL78">
        <f t="shared" si="18"/>
        <v>17.877199999999998</v>
      </c>
      <c r="AM78">
        <f t="shared" si="19"/>
        <v>4.3345416663999998</v>
      </c>
      <c r="AP78" s="9"/>
      <c r="AQ78" s="22">
        <v>1.4875799999999999</v>
      </c>
      <c r="AR78" s="22">
        <v>381.363</v>
      </c>
      <c r="AS78" s="22">
        <v>-1.6873200000000001E-2</v>
      </c>
      <c r="AT78" s="22">
        <v>68</v>
      </c>
      <c r="AU78" s="22">
        <v>1.48651</v>
      </c>
      <c r="AV78">
        <f t="shared" si="20"/>
        <v>16.873200000000001</v>
      </c>
      <c r="AW78">
        <f t="shared" si="21"/>
        <v>25.100234856</v>
      </c>
      <c r="AX78" s="9"/>
      <c r="AY78" s="22">
        <v>0.24246200000000001</v>
      </c>
      <c r="AZ78" s="22">
        <v>475.63200000000001</v>
      </c>
      <c r="BA78" s="22">
        <v>-1.7855800000000002E-2</v>
      </c>
      <c r="BB78" s="22">
        <v>68</v>
      </c>
      <c r="BC78" s="22">
        <v>0.24160799999999999</v>
      </c>
      <c r="BD78">
        <f t="shared" si="22"/>
        <v>17.855800000000002</v>
      </c>
      <c r="BE78">
        <f t="shared" si="23"/>
        <v>4.3293529796000003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62.476700000000001</v>
      </c>
      <c r="I79" s="22">
        <v>6.11511E-2</v>
      </c>
      <c r="J79" s="22">
        <v>69</v>
      </c>
      <c r="K79" s="22">
        <v>8.2305900000000001E-2</v>
      </c>
      <c r="L79">
        <f t="shared" si="12"/>
        <v>-61.1511</v>
      </c>
      <c r="M79">
        <f t="shared" si="13"/>
        <v>-90.658951794000004</v>
      </c>
      <c r="N79" s="9"/>
      <c r="O79" s="22">
        <v>0.247498</v>
      </c>
      <c r="P79" s="22">
        <v>134.696</v>
      </c>
      <c r="Q79" s="22">
        <v>-1.8041999999999999E-2</v>
      </c>
      <c r="R79" s="22">
        <v>69</v>
      </c>
      <c r="S79" s="22">
        <v>0.246918</v>
      </c>
      <c r="T79">
        <f t="shared" si="14"/>
        <v>18.041999999999998</v>
      </c>
      <c r="U79">
        <f t="shared" si="15"/>
        <v>4.4653589159999996</v>
      </c>
      <c r="X79" s="9"/>
      <c r="Y79" s="22">
        <v>1.48254</v>
      </c>
      <c r="Z79" s="22">
        <v>193.483</v>
      </c>
      <c r="AA79" s="22">
        <v>-1.6903700000000001E-2</v>
      </c>
      <c r="AB79" s="22">
        <v>69</v>
      </c>
      <c r="AC79" s="22">
        <v>1.48193</v>
      </c>
      <c r="AD79">
        <f t="shared" si="16"/>
        <v>16.903700000000001</v>
      </c>
      <c r="AE79">
        <f t="shared" si="17"/>
        <v>25.060411397999999</v>
      </c>
      <c r="AF79" s="9"/>
      <c r="AG79" s="22">
        <v>0.247498</v>
      </c>
      <c r="AH79" s="22">
        <v>285.50099999999998</v>
      </c>
      <c r="AI79" s="22">
        <v>-1.78741E-2</v>
      </c>
      <c r="AJ79" s="22">
        <v>69</v>
      </c>
      <c r="AK79" s="22">
        <v>0.24655199999999999</v>
      </c>
      <c r="AL79">
        <f t="shared" si="18"/>
        <v>17.874100000000002</v>
      </c>
      <c r="AM79">
        <f t="shared" si="19"/>
        <v>4.4238040018000007</v>
      </c>
      <c r="AP79" s="9"/>
      <c r="AQ79" s="22">
        <v>1.48254</v>
      </c>
      <c r="AR79" s="22">
        <v>381.464</v>
      </c>
      <c r="AS79" s="22">
        <v>-1.6900600000000002E-2</v>
      </c>
      <c r="AT79" s="22">
        <v>69</v>
      </c>
      <c r="AU79" s="22">
        <v>1.48163</v>
      </c>
      <c r="AV79">
        <f t="shared" si="20"/>
        <v>16.900600000000001</v>
      </c>
      <c r="AW79">
        <f t="shared" si="21"/>
        <v>25.055815524</v>
      </c>
      <c r="AX79" s="9"/>
      <c r="AY79" s="22">
        <v>0.247498</v>
      </c>
      <c r="AZ79" s="22">
        <v>475.733</v>
      </c>
      <c r="BA79" s="22">
        <v>-1.7852799999999999E-2</v>
      </c>
      <c r="BB79" s="22">
        <v>69</v>
      </c>
      <c r="BC79" s="22">
        <v>0.24731400000000001</v>
      </c>
      <c r="BD79">
        <f t="shared" si="22"/>
        <v>17.852799999999998</v>
      </c>
      <c r="BE79">
        <f t="shared" si="23"/>
        <v>4.4185322943999994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62.577500000000001</v>
      </c>
      <c r="I80" s="22">
        <v>6.1123700000000003E-2</v>
      </c>
      <c r="J80" s="22">
        <v>70</v>
      </c>
      <c r="K80" s="22">
        <v>8.2336400000000004E-2</v>
      </c>
      <c r="L80">
        <f t="shared" si="12"/>
        <v>-61.123699999999999</v>
      </c>
      <c r="M80">
        <f t="shared" si="13"/>
        <v>-90.310877987000012</v>
      </c>
      <c r="N80" s="9"/>
      <c r="O80" s="22">
        <v>0.25253300000000001</v>
      </c>
      <c r="P80" s="22">
        <v>134.797</v>
      </c>
      <c r="Q80" s="22">
        <v>-1.8048100000000001E-2</v>
      </c>
      <c r="R80" s="22">
        <v>70</v>
      </c>
      <c r="S80" s="22">
        <v>0.25201400000000002</v>
      </c>
      <c r="T80">
        <f t="shared" si="14"/>
        <v>18.048100000000002</v>
      </c>
      <c r="U80">
        <f t="shared" si="15"/>
        <v>4.5577408373000008</v>
      </c>
      <c r="X80" s="9"/>
      <c r="Y80" s="22">
        <v>1.4775100000000001</v>
      </c>
      <c r="Z80" s="22">
        <v>193.584</v>
      </c>
      <c r="AA80" s="22">
        <v>-1.6928100000000001E-2</v>
      </c>
      <c r="AB80" s="22">
        <v>70</v>
      </c>
      <c r="AC80" s="22">
        <v>1.47705</v>
      </c>
      <c r="AD80">
        <f t="shared" si="16"/>
        <v>16.928100000000001</v>
      </c>
      <c r="AE80">
        <f t="shared" si="17"/>
        <v>25.011437031000003</v>
      </c>
      <c r="AF80" s="9"/>
      <c r="AG80" s="22">
        <v>0.25253300000000001</v>
      </c>
      <c r="AH80" s="22">
        <v>285.60199999999998</v>
      </c>
      <c r="AI80" s="22">
        <v>-1.78619E-2</v>
      </c>
      <c r="AJ80" s="22">
        <v>70</v>
      </c>
      <c r="AK80" s="22">
        <v>0.25204500000000002</v>
      </c>
      <c r="AL80">
        <f t="shared" si="18"/>
        <v>17.861899999999999</v>
      </c>
      <c r="AM80">
        <f t="shared" si="19"/>
        <v>4.5107191926999999</v>
      </c>
      <c r="AP80" s="9"/>
      <c r="AQ80" s="22">
        <v>1.4775100000000001</v>
      </c>
      <c r="AR80" s="22">
        <v>381.565</v>
      </c>
      <c r="AS80" s="22">
        <v>-1.6928100000000001E-2</v>
      </c>
      <c r="AT80" s="22">
        <v>70</v>
      </c>
      <c r="AU80" s="22">
        <v>1.47675</v>
      </c>
      <c r="AV80">
        <f t="shared" si="20"/>
        <v>16.928100000000001</v>
      </c>
      <c r="AW80">
        <f t="shared" si="21"/>
        <v>25.011437031000003</v>
      </c>
      <c r="AX80" s="9"/>
      <c r="AY80" s="22">
        <v>0.25253300000000001</v>
      </c>
      <c r="AZ80" s="22">
        <v>475.83300000000003</v>
      </c>
      <c r="BA80" s="22">
        <v>-1.7852799999999999E-2</v>
      </c>
      <c r="BB80" s="22">
        <v>70</v>
      </c>
      <c r="BC80" s="22">
        <v>0.25174000000000002</v>
      </c>
      <c r="BD80">
        <f t="shared" si="22"/>
        <v>17.852799999999998</v>
      </c>
      <c r="BE80">
        <f t="shared" si="23"/>
        <v>4.5084211423999996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62.678199999999997</v>
      </c>
      <c r="I81" s="22">
        <v>6.1050399999999998E-2</v>
      </c>
      <c r="J81" s="22">
        <v>71</v>
      </c>
      <c r="K81" s="22">
        <v>8.2336400000000004E-2</v>
      </c>
      <c r="L81">
        <f t="shared" si="12"/>
        <v>-61.050399999999996</v>
      </c>
      <c r="M81">
        <f t="shared" si="13"/>
        <v>-89.894882487999993</v>
      </c>
      <c r="N81" s="9"/>
      <c r="O81" s="22">
        <v>0.25756800000000002</v>
      </c>
      <c r="P81" s="22">
        <v>134.89699999999999</v>
      </c>
      <c r="Q81" s="22">
        <v>-1.8048100000000001E-2</v>
      </c>
      <c r="R81" s="22">
        <v>71</v>
      </c>
      <c r="S81" s="22">
        <v>0.25692700000000002</v>
      </c>
      <c r="T81">
        <f t="shared" si="14"/>
        <v>18.048100000000002</v>
      </c>
      <c r="U81">
        <f t="shared" si="15"/>
        <v>4.6486130208000009</v>
      </c>
      <c r="X81" s="9"/>
      <c r="Y81" s="22">
        <v>1.4724699999999999</v>
      </c>
      <c r="Z81" s="22">
        <v>193.684</v>
      </c>
      <c r="AA81" s="22">
        <v>-1.6958600000000001E-2</v>
      </c>
      <c r="AB81" s="22">
        <v>71</v>
      </c>
      <c r="AC81" s="22">
        <v>1.4718599999999999</v>
      </c>
      <c r="AD81">
        <f t="shared" si="16"/>
        <v>16.958600000000001</v>
      </c>
      <c r="AE81">
        <f t="shared" si="17"/>
        <v>24.971029741999999</v>
      </c>
      <c r="AF81" s="9"/>
      <c r="AG81" s="22">
        <v>0.25756800000000002</v>
      </c>
      <c r="AH81" s="22">
        <v>285.70299999999997</v>
      </c>
      <c r="AI81" s="22">
        <v>-1.7867999999999998E-2</v>
      </c>
      <c r="AJ81" s="22">
        <v>71</v>
      </c>
      <c r="AK81" s="22">
        <v>0.25683600000000001</v>
      </c>
      <c r="AL81">
        <f t="shared" si="18"/>
        <v>17.867999999999999</v>
      </c>
      <c r="AM81">
        <f t="shared" si="19"/>
        <v>4.602225024</v>
      </c>
      <c r="AP81" s="9"/>
      <c r="AQ81" s="22">
        <v>1.4724699999999999</v>
      </c>
      <c r="AR81" s="22">
        <v>381.66500000000002</v>
      </c>
      <c r="AS81" s="22">
        <v>-1.6943400000000001E-2</v>
      </c>
      <c r="AT81" s="22">
        <v>71</v>
      </c>
      <c r="AU81" s="22">
        <v>1.47156</v>
      </c>
      <c r="AV81">
        <f t="shared" si="20"/>
        <v>16.9434</v>
      </c>
      <c r="AW81">
        <f t="shared" si="21"/>
        <v>24.948648198000001</v>
      </c>
      <c r="AX81" s="9"/>
      <c r="AY81" s="22">
        <v>0.25756800000000002</v>
      </c>
      <c r="AZ81" s="22">
        <v>475.93400000000003</v>
      </c>
      <c r="BA81" s="22">
        <v>-1.78467E-2</v>
      </c>
      <c r="BB81" s="22">
        <v>71</v>
      </c>
      <c r="BC81" s="22">
        <v>0.25659199999999999</v>
      </c>
      <c r="BD81">
        <f t="shared" si="22"/>
        <v>17.846699999999998</v>
      </c>
      <c r="BE81">
        <f t="shared" si="23"/>
        <v>4.5967388256000001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62.7789</v>
      </c>
      <c r="I82" s="22">
        <v>6.0983299999999997E-2</v>
      </c>
      <c r="J82" s="22">
        <v>72</v>
      </c>
      <c r="K82" s="22">
        <v>8.2336400000000004E-2</v>
      </c>
      <c r="L82">
        <f t="shared" si="12"/>
        <v>-60.9833</v>
      </c>
      <c r="M82">
        <f t="shared" si="13"/>
        <v>-89.489333752000007</v>
      </c>
      <c r="N82" s="9"/>
      <c r="O82" s="22">
        <v>0.262604</v>
      </c>
      <c r="P82" s="22">
        <v>134.99799999999999</v>
      </c>
      <c r="Q82" s="22">
        <v>-1.8041999999999999E-2</v>
      </c>
      <c r="R82" s="22">
        <v>72</v>
      </c>
      <c r="S82" s="22">
        <v>0.26202399999999998</v>
      </c>
      <c r="T82">
        <f t="shared" si="14"/>
        <v>18.041999999999998</v>
      </c>
      <c r="U82">
        <f t="shared" si="15"/>
        <v>4.7379013679999993</v>
      </c>
      <c r="X82" s="9"/>
      <c r="Y82" s="22">
        <v>1.4674400000000001</v>
      </c>
      <c r="Z82" s="22">
        <v>193.785</v>
      </c>
      <c r="AA82" s="22">
        <v>-1.69891E-2</v>
      </c>
      <c r="AB82" s="22">
        <v>72</v>
      </c>
      <c r="AC82" s="22">
        <v>1.46698</v>
      </c>
      <c r="AD82">
        <f t="shared" si="16"/>
        <v>16.989100000000001</v>
      </c>
      <c r="AE82">
        <f t="shared" si="17"/>
        <v>24.930484904000004</v>
      </c>
      <c r="AF82" s="9"/>
      <c r="AG82" s="22">
        <v>0.262604</v>
      </c>
      <c r="AH82" s="22">
        <v>285.803</v>
      </c>
      <c r="AI82" s="22">
        <v>-1.78741E-2</v>
      </c>
      <c r="AJ82" s="22">
        <v>72</v>
      </c>
      <c r="AK82" s="22">
        <v>0.26171899999999998</v>
      </c>
      <c r="AL82">
        <f t="shared" si="18"/>
        <v>17.874100000000002</v>
      </c>
      <c r="AM82">
        <f t="shared" si="19"/>
        <v>4.6938101564000005</v>
      </c>
      <c r="AP82" s="9"/>
      <c r="AQ82" s="22">
        <v>1.4674400000000001</v>
      </c>
      <c r="AR82" s="22">
        <v>381.76600000000002</v>
      </c>
      <c r="AS82" s="22">
        <v>-1.69617E-2</v>
      </c>
      <c r="AT82" s="22">
        <v>72</v>
      </c>
      <c r="AU82" s="22">
        <v>1.4666699999999999</v>
      </c>
      <c r="AV82">
        <f t="shared" si="20"/>
        <v>16.9617</v>
      </c>
      <c r="AW82">
        <f t="shared" si="21"/>
        <v>24.890277048000002</v>
      </c>
      <c r="AX82" s="9"/>
      <c r="AY82" s="22">
        <v>0.262604</v>
      </c>
      <c r="AZ82" s="22">
        <v>476.03500000000003</v>
      </c>
      <c r="BA82" s="22">
        <v>-1.7840600000000002E-2</v>
      </c>
      <c r="BB82" s="22">
        <v>72</v>
      </c>
      <c r="BC82" s="22">
        <v>0.262268</v>
      </c>
      <c r="BD82">
        <f t="shared" si="22"/>
        <v>17.840600000000002</v>
      </c>
      <c r="BE82">
        <f t="shared" si="23"/>
        <v>4.6850129224000003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62.879600000000003</v>
      </c>
      <c r="I83" s="22">
        <v>6.0998499999999997E-2</v>
      </c>
      <c r="J83" s="22">
        <v>73</v>
      </c>
      <c r="K83" s="22">
        <v>8.2366900000000007E-2</v>
      </c>
      <c r="L83">
        <f t="shared" si="12"/>
        <v>-60.9985</v>
      </c>
      <c r="M83">
        <f t="shared" si="13"/>
        <v>-89.20420639999999</v>
      </c>
      <c r="N83" s="9"/>
      <c r="O83" s="22">
        <v>0.26763900000000002</v>
      </c>
      <c r="P83" s="22">
        <v>135.09899999999999</v>
      </c>
      <c r="Q83" s="22">
        <v>-1.8044999999999999E-2</v>
      </c>
      <c r="R83" s="22">
        <v>73</v>
      </c>
      <c r="S83" s="22">
        <v>0.266876</v>
      </c>
      <c r="T83">
        <f t="shared" si="14"/>
        <v>18.044999999999998</v>
      </c>
      <c r="U83">
        <f t="shared" si="15"/>
        <v>4.8295457549999998</v>
      </c>
      <c r="X83" s="9"/>
      <c r="Y83" s="22">
        <v>1.4623999999999999</v>
      </c>
      <c r="Z83" s="22">
        <v>193.886</v>
      </c>
      <c r="AA83" s="22">
        <v>-1.7010500000000001E-2</v>
      </c>
      <c r="AB83" s="22">
        <v>73</v>
      </c>
      <c r="AC83" s="22">
        <v>1.4611799999999999</v>
      </c>
      <c r="AD83">
        <f t="shared" si="16"/>
        <v>17.0105</v>
      </c>
      <c r="AE83">
        <f t="shared" si="17"/>
        <v>24.876155199999999</v>
      </c>
      <c r="AF83" s="9"/>
      <c r="AG83" s="22">
        <v>0.26763900000000002</v>
      </c>
      <c r="AH83" s="22">
        <v>285.904</v>
      </c>
      <c r="AI83" s="22">
        <v>-1.7867999999999998E-2</v>
      </c>
      <c r="AJ83" s="22">
        <v>73</v>
      </c>
      <c r="AK83" s="22">
        <v>0.26721200000000001</v>
      </c>
      <c r="AL83">
        <f t="shared" si="18"/>
        <v>17.867999999999999</v>
      </c>
      <c r="AM83">
        <f t="shared" si="19"/>
        <v>4.782173652</v>
      </c>
      <c r="AP83" s="9"/>
      <c r="AQ83" s="22">
        <v>1.4623999999999999</v>
      </c>
      <c r="AR83" s="22">
        <v>381.86700000000002</v>
      </c>
      <c r="AS83" s="22">
        <v>-1.69891E-2</v>
      </c>
      <c r="AT83" s="22">
        <v>73</v>
      </c>
      <c r="AU83" s="22">
        <v>1.4611799999999999</v>
      </c>
      <c r="AV83">
        <f t="shared" si="20"/>
        <v>16.989100000000001</v>
      </c>
      <c r="AW83">
        <f t="shared" si="21"/>
        <v>24.844859839999998</v>
      </c>
      <c r="AX83" s="9"/>
      <c r="AY83" s="22">
        <v>0.26763900000000002</v>
      </c>
      <c r="AZ83" s="22">
        <v>476.13499999999999</v>
      </c>
      <c r="BA83" s="22">
        <v>-1.7828400000000001E-2</v>
      </c>
      <c r="BB83" s="22">
        <v>73</v>
      </c>
      <c r="BC83" s="22">
        <v>0.267517</v>
      </c>
      <c r="BD83">
        <f t="shared" si="22"/>
        <v>17.828400000000002</v>
      </c>
      <c r="BE83">
        <f t="shared" si="23"/>
        <v>4.771575147600001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62.9803</v>
      </c>
      <c r="I84" s="22">
        <v>6.0983299999999997E-2</v>
      </c>
      <c r="J84" s="22">
        <v>74</v>
      </c>
      <c r="K84" s="22">
        <v>8.2336400000000004E-2</v>
      </c>
      <c r="L84">
        <f t="shared" si="12"/>
        <v>-60.9833</v>
      </c>
      <c r="M84">
        <f t="shared" si="13"/>
        <v>-88.875231921000008</v>
      </c>
      <c r="N84" s="9"/>
      <c r="O84" s="22">
        <v>0.272675</v>
      </c>
      <c r="P84" s="22">
        <v>135.19900000000001</v>
      </c>
      <c r="Q84" s="22">
        <v>-1.8035900000000001E-2</v>
      </c>
      <c r="R84" s="22">
        <v>74</v>
      </c>
      <c r="S84" s="22">
        <v>0.27160600000000001</v>
      </c>
      <c r="T84">
        <f t="shared" si="14"/>
        <v>18.035900000000002</v>
      </c>
      <c r="U84">
        <f t="shared" si="15"/>
        <v>4.9179390325000005</v>
      </c>
      <c r="X84" s="9"/>
      <c r="Y84" s="22">
        <v>1.4573700000000001</v>
      </c>
      <c r="Z84" s="22">
        <v>193.98599999999999</v>
      </c>
      <c r="AA84" s="22">
        <v>-1.7025800000000001E-2</v>
      </c>
      <c r="AB84" s="22">
        <v>74</v>
      </c>
      <c r="AC84" s="22">
        <v>1.4565999999999999</v>
      </c>
      <c r="AD84">
        <f t="shared" si="16"/>
        <v>17.0258</v>
      </c>
      <c r="AE84">
        <f t="shared" si="17"/>
        <v>24.812890146000001</v>
      </c>
      <c r="AF84" s="9"/>
      <c r="AG84" s="22">
        <v>0.272675</v>
      </c>
      <c r="AH84" s="22">
        <v>286.005</v>
      </c>
      <c r="AI84" s="22">
        <v>-1.7855800000000002E-2</v>
      </c>
      <c r="AJ84" s="22">
        <v>74</v>
      </c>
      <c r="AK84" s="22">
        <v>0.272034</v>
      </c>
      <c r="AL84">
        <f t="shared" si="18"/>
        <v>17.855800000000002</v>
      </c>
      <c r="AM84">
        <f t="shared" si="19"/>
        <v>4.8688302650000006</v>
      </c>
      <c r="AP84" s="9"/>
      <c r="AQ84" s="22">
        <v>1.4573700000000001</v>
      </c>
      <c r="AR84" s="22">
        <v>381.96699999999998</v>
      </c>
      <c r="AS84" s="22">
        <v>-1.70013E-2</v>
      </c>
      <c r="AT84" s="22">
        <v>74</v>
      </c>
      <c r="AU84" s="22">
        <v>1.4565999999999999</v>
      </c>
      <c r="AV84">
        <f t="shared" si="20"/>
        <v>17.001300000000001</v>
      </c>
      <c r="AW84">
        <f t="shared" si="21"/>
        <v>24.777184581</v>
      </c>
      <c r="AX84" s="9"/>
      <c r="AY84" s="22">
        <v>0.272675</v>
      </c>
      <c r="AZ84" s="22">
        <v>476.23599999999999</v>
      </c>
      <c r="BA84" s="22">
        <v>-1.7837499999999999E-2</v>
      </c>
      <c r="BB84" s="22">
        <v>74</v>
      </c>
      <c r="BC84" s="22">
        <v>0.27209499999999998</v>
      </c>
      <c r="BD84">
        <f t="shared" si="22"/>
        <v>17.837499999999999</v>
      </c>
      <c r="BE84">
        <f t="shared" si="23"/>
        <v>4.8638403124999998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63.081000000000003</v>
      </c>
      <c r="I85" s="22">
        <v>6.0946699999999999E-2</v>
      </c>
      <c r="J85" s="22">
        <v>75</v>
      </c>
      <c r="K85" s="22">
        <v>8.2336400000000004E-2</v>
      </c>
      <c r="L85">
        <f t="shared" si="12"/>
        <v>-60.9467</v>
      </c>
      <c r="M85">
        <f t="shared" si="13"/>
        <v>-88.514720810999989</v>
      </c>
      <c r="N85" s="9"/>
      <c r="O85" s="22">
        <v>0.27771000000000001</v>
      </c>
      <c r="P85" s="22">
        <v>135.30000000000001</v>
      </c>
      <c r="Q85" s="22">
        <v>-1.80389E-2</v>
      </c>
      <c r="R85" s="22">
        <v>75</v>
      </c>
      <c r="S85" s="22">
        <v>0.27746599999999999</v>
      </c>
      <c r="T85">
        <f t="shared" si="14"/>
        <v>18.038900000000002</v>
      </c>
      <c r="U85">
        <f t="shared" si="15"/>
        <v>5.0095829190000005</v>
      </c>
      <c r="X85" s="9"/>
      <c r="Y85" s="22">
        <v>1.4523299999999999</v>
      </c>
      <c r="Z85" s="22">
        <v>194.08699999999999</v>
      </c>
      <c r="AA85" s="22">
        <v>-1.70441E-2</v>
      </c>
      <c r="AB85" s="22">
        <v>75</v>
      </c>
      <c r="AC85" s="22">
        <v>1.4514199999999999</v>
      </c>
      <c r="AD85">
        <f t="shared" si="16"/>
        <v>17.0441</v>
      </c>
      <c r="AE85">
        <f t="shared" si="17"/>
        <v>24.753657752999999</v>
      </c>
      <c r="AF85" s="9"/>
      <c r="AG85" s="22">
        <v>0.27771000000000001</v>
      </c>
      <c r="AH85" s="22">
        <v>286.10599999999999</v>
      </c>
      <c r="AI85" s="22">
        <v>-1.78589E-2</v>
      </c>
      <c r="AJ85" s="22">
        <v>75</v>
      </c>
      <c r="AK85" s="22">
        <v>0.27710000000000001</v>
      </c>
      <c r="AL85">
        <f t="shared" si="18"/>
        <v>17.858900000000002</v>
      </c>
      <c r="AM85">
        <f t="shared" si="19"/>
        <v>4.9595951190000012</v>
      </c>
      <c r="AP85" s="9"/>
      <c r="AQ85" s="22">
        <v>1.4523299999999999</v>
      </c>
      <c r="AR85" s="22">
        <v>382.06799999999998</v>
      </c>
      <c r="AS85" s="22">
        <v>-1.7007399999999999E-2</v>
      </c>
      <c r="AT85" s="22">
        <v>75</v>
      </c>
      <c r="AU85" s="22">
        <v>1.4517199999999999</v>
      </c>
      <c r="AV85">
        <f t="shared" si="20"/>
        <v>17.007400000000001</v>
      </c>
      <c r="AW85">
        <f t="shared" si="21"/>
        <v>24.700357241999999</v>
      </c>
      <c r="AX85" s="9"/>
      <c r="AY85" s="22">
        <v>0.27771000000000001</v>
      </c>
      <c r="AZ85" s="22">
        <v>476.33699999999999</v>
      </c>
      <c r="BA85" s="22">
        <v>-1.7825299999999999E-2</v>
      </c>
      <c r="BB85" s="22">
        <v>75</v>
      </c>
      <c r="BC85" s="22">
        <v>0.277588</v>
      </c>
      <c r="BD85">
        <f t="shared" si="22"/>
        <v>17.825299999999999</v>
      </c>
      <c r="BE85">
        <f t="shared" si="23"/>
        <v>4.9502640629999997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63.181699999999999</v>
      </c>
      <c r="I86" s="22">
        <v>6.1032099999999999E-2</v>
      </c>
      <c r="J86" s="22">
        <v>76</v>
      </c>
      <c r="K86" s="22">
        <v>8.2275399999999999E-2</v>
      </c>
      <c r="L86">
        <f t="shared" si="12"/>
        <v>-61.0321</v>
      </c>
      <c r="M86">
        <f t="shared" si="13"/>
        <v>-88.33175833</v>
      </c>
      <c r="N86" s="9"/>
      <c r="O86" s="22">
        <v>0.28274500000000002</v>
      </c>
      <c r="P86" s="22">
        <v>135.40100000000001</v>
      </c>
      <c r="Q86" s="22">
        <v>-1.8041999999999999E-2</v>
      </c>
      <c r="R86" s="22">
        <v>76</v>
      </c>
      <c r="S86" s="22">
        <v>0.28222700000000001</v>
      </c>
      <c r="T86">
        <f t="shared" si="14"/>
        <v>18.041999999999998</v>
      </c>
      <c r="U86">
        <f t="shared" si="15"/>
        <v>5.1012852899999999</v>
      </c>
      <c r="X86" s="9"/>
      <c r="Y86" s="22">
        <v>1.4473</v>
      </c>
      <c r="Z86" s="22">
        <v>194.18799999999999</v>
      </c>
      <c r="AA86" s="22">
        <v>-1.7077599999999998E-2</v>
      </c>
      <c r="AB86" s="22">
        <v>76</v>
      </c>
      <c r="AC86" s="22">
        <v>1.4468399999999999</v>
      </c>
      <c r="AD86">
        <f t="shared" si="16"/>
        <v>17.077599999999997</v>
      </c>
      <c r="AE86">
        <f t="shared" si="17"/>
        <v>24.716410479999997</v>
      </c>
      <c r="AF86" s="9"/>
      <c r="AG86" s="22">
        <v>0.28274500000000002</v>
      </c>
      <c r="AH86" s="22">
        <v>286.20600000000002</v>
      </c>
      <c r="AI86" s="22">
        <v>-1.78619E-2</v>
      </c>
      <c r="AJ86" s="22">
        <v>76</v>
      </c>
      <c r="AK86" s="22">
        <v>0.28225699999999998</v>
      </c>
      <c r="AL86">
        <f t="shared" si="18"/>
        <v>17.861899999999999</v>
      </c>
      <c r="AM86">
        <f t="shared" si="19"/>
        <v>5.0503629155</v>
      </c>
      <c r="AP86" s="9"/>
      <c r="AQ86" s="22">
        <v>1.4473</v>
      </c>
      <c r="AR86" s="22">
        <v>382.16899999999998</v>
      </c>
      <c r="AS86" s="22">
        <v>-1.7025800000000001E-2</v>
      </c>
      <c r="AT86" s="22">
        <v>76</v>
      </c>
      <c r="AU86" s="22">
        <v>1.4462299999999999</v>
      </c>
      <c r="AV86">
        <f t="shared" si="20"/>
        <v>17.0258</v>
      </c>
      <c r="AW86">
        <f t="shared" si="21"/>
        <v>24.641440340000003</v>
      </c>
      <c r="AX86" s="9"/>
      <c r="AY86" s="22">
        <v>0.28274500000000002</v>
      </c>
      <c r="AZ86" s="22">
        <v>476.43700000000001</v>
      </c>
      <c r="BA86" s="22">
        <v>-1.7825299999999999E-2</v>
      </c>
      <c r="BB86" s="22">
        <v>76</v>
      </c>
      <c r="BC86" s="22">
        <v>0.28225699999999998</v>
      </c>
      <c r="BD86">
        <f t="shared" si="22"/>
        <v>17.825299999999999</v>
      </c>
      <c r="BE86">
        <f t="shared" si="23"/>
        <v>5.0400144485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63.282400000000003</v>
      </c>
      <c r="I87" s="22">
        <v>6.1038200000000001E-2</v>
      </c>
      <c r="J87" s="22">
        <v>77</v>
      </c>
      <c r="K87" s="22">
        <v>8.2366900000000007E-2</v>
      </c>
      <c r="L87">
        <f t="shared" si="12"/>
        <v>-61.038200000000003</v>
      </c>
      <c r="M87">
        <f t="shared" si="13"/>
        <v>-88.032954332000017</v>
      </c>
      <c r="N87" s="9"/>
      <c r="O87" s="22">
        <v>0.28778100000000001</v>
      </c>
      <c r="P87" s="22">
        <v>135.50200000000001</v>
      </c>
      <c r="Q87" s="22">
        <v>-1.8041999999999999E-2</v>
      </c>
      <c r="R87" s="22">
        <v>77</v>
      </c>
      <c r="S87" s="22">
        <v>0.28720099999999998</v>
      </c>
      <c r="T87">
        <f t="shared" si="14"/>
        <v>18.041999999999998</v>
      </c>
      <c r="U87">
        <f t="shared" si="15"/>
        <v>5.1921448019999996</v>
      </c>
      <c r="X87" s="9"/>
      <c r="Y87" s="22">
        <v>1.4422600000000001</v>
      </c>
      <c r="Z87" s="22">
        <v>194.28800000000001</v>
      </c>
      <c r="AA87" s="22">
        <v>-1.7095900000000001E-2</v>
      </c>
      <c r="AB87" s="22">
        <v>77</v>
      </c>
      <c r="AC87" s="22">
        <v>1.4416500000000001</v>
      </c>
      <c r="AD87">
        <f t="shared" si="16"/>
        <v>17.0959</v>
      </c>
      <c r="AE87">
        <f t="shared" si="17"/>
        <v>24.656732734000002</v>
      </c>
      <c r="AF87" s="9"/>
      <c r="AG87" s="22">
        <v>0.28778100000000001</v>
      </c>
      <c r="AH87" s="22">
        <v>286.30700000000002</v>
      </c>
      <c r="AI87" s="22">
        <v>-1.7855800000000002E-2</v>
      </c>
      <c r="AJ87" s="22">
        <v>77</v>
      </c>
      <c r="AK87" s="22">
        <v>0.287659</v>
      </c>
      <c r="AL87">
        <f t="shared" si="18"/>
        <v>17.855800000000002</v>
      </c>
      <c r="AM87">
        <f t="shared" si="19"/>
        <v>5.138559979800001</v>
      </c>
      <c r="AP87" s="9"/>
      <c r="AQ87" s="22">
        <v>1.4422600000000001</v>
      </c>
      <c r="AR87" s="22">
        <v>382.27</v>
      </c>
      <c r="AS87" s="22">
        <v>-1.7034899999999999E-2</v>
      </c>
      <c r="AT87" s="22">
        <v>77</v>
      </c>
      <c r="AU87" s="22">
        <v>1.4413499999999999</v>
      </c>
      <c r="AV87">
        <f t="shared" si="20"/>
        <v>17.0349</v>
      </c>
      <c r="AW87">
        <f t="shared" si="21"/>
        <v>24.568754874000003</v>
      </c>
      <c r="AX87" s="9"/>
      <c r="AY87" s="22">
        <v>0.28778100000000001</v>
      </c>
      <c r="AZ87" s="22">
        <v>476.53800000000001</v>
      </c>
      <c r="BA87" s="22">
        <v>-1.78192E-2</v>
      </c>
      <c r="BB87" s="22">
        <v>77</v>
      </c>
      <c r="BC87" s="22">
        <v>0.28747600000000001</v>
      </c>
      <c r="BD87">
        <f t="shared" si="22"/>
        <v>17.819199999999999</v>
      </c>
      <c r="BE87">
        <f t="shared" si="23"/>
        <v>5.1280271951999996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63.383099999999999</v>
      </c>
      <c r="I88" s="22">
        <v>6.0955799999999997E-2</v>
      </c>
      <c r="J88" s="22">
        <v>78</v>
      </c>
      <c r="K88" s="22">
        <v>8.2305900000000001E-2</v>
      </c>
      <c r="L88">
        <f t="shared" si="12"/>
        <v>-60.955799999999996</v>
      </c>
      <c r="M88">
        <f t="shared" si="13"/>
        <v>-87.607504433999992</v>
      </c>
      <c r="N88" s="9"/>
      <c r="O88" s="22">
        <v>0.29281600000000002</v>
      </c>
      <c r="P88" s="22">
        <v>135.602</v>
      </c>
      <c r="Q88" s="22">
        <v>-1.8032800000000002E-2</v>
      </c>
      <c r="R88" s="22">
        <v>78</v>
      </c>
      <c r="S88" s="22">
        <v>0.29248000000000002</v>
      </c>
      <c r="T88">
        <f t="shared" si="14"/>
        <v>18.032800000000002</v>
      </c>
      <c r="U88">
        <f t="shared" si="15"/>
        <v>5.2802923648000011</v>
      </c>
      <c r="X88" s="9"/>
      <c r="Y88" s="22">
        <v>1.43723</v>
      </c>
      <c r="Z88" s="22">
        <v>194.38900000000001</v>
      </c>
      <c r="AA88" s="22">
        <v>-1.7092900000000001E-2</v>
      </c>
      <c r="AB88" s="22">
        <v>78</v>
      </c>
      <c r="AC88" s="22">
        <v>1.4373800000000001</v>
      </c>
      <c r="AD88">
        <f t="shared" si="16"/>
        <v>17.0929</v>
      </c>
      <c r="AE88">
        <f t="shared" si="17"/>
        <v>24.566428667</v>
      </c>
      <c r="AF88" s="9"/>
      <c r="AG88" s="22">
        <v>0.29281600000000002</v>
      </c>
      <c r="AH88" s="22">
        <v>286.40800000000002</v>
      </c>
      <c r="AI88" s="22">
        <v>-1.78497E-2</v>
      </c>
      <c r="AJ88" s="22">
        <v>78</v>
      </c>
      <c r="AK88" s="22">
        <v>0.29214499999999999</v>
      </c>
      <c r="AL88">
        <f t="shared" si="18"/>
        <v>17.849699999999999</v>
      </c>
      <c r="AM88">
        <f t="shared" si="19"/>
        <v>5.2266777551999999</v>
      </c>
      <c r="AP88" s="9"/>
      <c r="AQ88" s="22">
        <v>1.43723</v>
      </c>
      <c r="AR88" s="22">
        <v>382.37</v>
      </c>
      <c r="AS88" s="22">
        <v>-1.7047099999999999E-2</v>
      </c>
      <c r="AT88" s="22">
        <v>78</v>
      </c>
      <c r="AU88" s="22">
        <v>1.4364600000000001</v>
      </c>
      <c r="AV88">
        <f t="shared" si="20"/>
        <v>17.0471</v>
      </c>
      <c r="AW88">
        <f t="shared" si="21"/>
        <v>24.500603533</v>
      </c>
      <c r="AX88" s="9"/>
      <c r="AY88" s="22">
        <v>0.29281600000000002</v>
      </c>
      <c r="AZ88" s="22">
        <v>476.63900000000001</v>
      </c>
      <c r="BA88" s="22">
        <v>-1.7822299999999999E-2</v>
      </c>
      <c r="BB88" s="22">
        <v>78</v>
      </c>
      <c r="BC88" s="22">
        <v>0.292267</v>
      </c>
      <c r="BD88">
        <f t="shared" si="22"/>
        <v>17.822299999999998</v>
      </c>
      <c r="BE88">
        <f t="shared" si="23"/>
        <v>5.2186545967999995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63.483800000000002</v>
      </c>
      <c r="I89" s="22">
        <v>6.0907000000000003E-2</v>
      </c>
      <c r="J89" s="22">
        <v>79</v>
      </c>
      <c r="K89" s="22">
        <v>8.2336400000000004E-2</v>
      </c>
      <c r="L89">
        <f t="shared" si="12"/>
        <v>-60.907000000000004</v>
      </c>
      <c r="M89">
        <f t="shared" si="13"/>
        <v>-87.230396330000005</v>
      </c>
      <c r="N89" s="9"/>
      <c r="O89" s="22">
        <v>0.29785200000000001</v>
      </c>
      <c r="P89" s="22">
        <v>135.703</v>
      </c>
      <c r="Q89" s="22">
        <v>-1.8032800000000002E-2</v>
      </c>
      <c r="R89" s="22">
        <v>79</v>
      </c>
      <c r="S89" s="22">
        <v>0.29736299999999999</v>
      </c>
      <c r="T89">
        <f t="shared" si="14"/>
        <v>18.032800000000002</v>
      </c>
      <c r="U89">
        <f t="shared" si="15"/>
        <v>5.3711055456000008</v>
      </c>
      <c r="X89" s="9"/>
      <c r="Y89" s="22">
        <v>1.4321900000000001</v>
      </c>
      <c r="Z89" s="22">
        <v>194.49</v>
      </c>
      <c r="AA89" s="22">
        <v>-1.71112E-2</v>
      </c>
      <c r="AB89" s="22">
        <v>79</v>
      </c>
      <c r="AC89" s="22">
        <v>1.4315800000000001</v>
      </c>
      <c r="AD89">
        <f t="shared" si="16"/>
        <v>17.1112</v>
      </c>
      <c r="AE89">
        <f t="shared" si="17"/>
        <v>24.506489528000003</v>
      </c>
      <c r="AF89" s="9"/>
      <c r="AG89" s="22">
        <v>0.29785200000000001</v>
      </c>
      <c r="AH89" s="22">
        <v>286.50799999999998</v>
      </c>
      <c r="AI89" s="22">
        <v>-1.78497E-2</v>
      </c>
      <c r="AJ89" s="22">
        <v>79</v>
      </c>
      <c r="AK89" s="22">
        <v>0.29718</v>
      </c>
      <c r="AL89">
        <f t="shared" si="18"/>
        <v>17.849699999999999</v>
      </c>
      <c r="AM89">
        <f t="shared" si="19"/>
        <v>5.3165688443999999</v>
      </c>
      <c r="AP89" s="9"/>
      <c r="AQ89" s="22">
        <v>1.4321900000000001</v>
      </c>
      <c r="AR89" s="22">
        <v>382.471</v>
      </c>
      <c r="AS89" s="22">
        <v>-1.70715E-2</v>
      </c>
      <c r="AT89" s="22">
        <v>79</v>
      </c>
      <c r="AU89" s="22">
        <v>1.43127</v>
      </c>
      <c r="AV89">
        <f t="shared" si="20"/>
        <v>17.0715</v>
      </c>
      <c r="AW89">
        <f t="shared" si="21"/>
        <v>24.449631585000002</v>
      </c>
      <c r="AX89" s="9"/>
      <c r="AY89" s="22">
        <v>0.29785200000000001</v>
      </c>
      <c r="AZ89" s="22">
        <v>476.74</v>
      </c>
      <c r="BA89" s="22">
        <v>-1.78192E-2</v>
      </c>
      <c r="BB89" s="22">
        <v>79</v>
      </c>
      <c r="BC89" s="22">
        <v>0.29727199999999998</v>
      </c>
      <c r="BD89">
        <f t="shared" si="22"/>
        <v>17.819199999999999</v>
      </c>
      <c r="BE89">
        <f t="shared" si="23"/>
        <v>5.3074843584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63.584499999999998</v>
      </c>
      <c r="I90" s="22">
        <v>6.0879500000000003E-2</v>
      </c>
      <c r="J90" s="22">
        <v>80</v>
      </c>
      <c r="K90" s="22">
        <v>8.2397499999999999E-2</v>
      </c>
      <c r="L90">
        <f t="shared" si="12"/>
        <v>-60.8795</v>
      </c>
      <c r="M90">
        <f t="shared" si="13"/>
        <v>-86.884178425000002</v>
      </c>
      <c r="N90" s="9"/>
      <c r="O90" s="22">
        <v>0.30288700000000002</v>
      </c>
      <c r="P90" s="22">
        <v>135.804</v>
      </c>
      <c r="Q90" s="22">
        <v>-1.8035900000000001E-2</v>
      </c>
      <c r="R90" s="22">
        <v>80</v>
      </c>
      <c r="S90" s="22">
        <v>0.30291699999999999</v>
      </c>
      <c r="T90">
        <f t="shared" si="14"/>
        <v>18.035900000000002</v>
      </c>
      <c r="U90">
        <f t="shared" si="15"/>
        <v>5.4628396433000006</v>
      </c>
      <c r="X90" s="9"/>
      <c r="Y90" s="22">
        <v>1.4271499999999999</v>
      </c>
      <c r="Z90" s="22">
        <v>194.59100000000001</v>
      </c>
      <c r="AA90" s="22">
        <v>-1.71234E-2</v>
      </c>
      <c r="AB90" s="22">
        <v>80</v>
      </c>
      <c r="AC90" s="22">
        <v>1.4267000000000001</v>
      </c>
      <c r="AD90">
        <f t="shared" si="16"/>
        <v>17.1234</v>
      </c>
      <c r="AE90">
        <f t="shared" si="17"/>
        <v>24.437660309999998</v>
      </c>
      <c r="AF90" s="9"/>
      <c r="AG90" s="22">
        <v>0.30288700000000002</v>
      </c>
      <c r="AH90" s="22">
        <v>286.60899999999998</v>
      </c>
      <c r="AI90" s="22">
        <v>-1.7852799999999999E-2</v>
      </c>
      <c r="AJ90" s="22">
        <v>80</v>
      </c>
      <c r="AK90" s="22">
        <v>0.30236800000000003</v>
      </c>
      <c r="AL90">
        <f t="shared" si="18"/>
        <v>17.852799999999998</v>
      </c>
      <c r="AM90">
        <f t="shared" si="19"/>
        <v>5.4073810336000001</v>
      </c>
      <c r="AP90" s="9"/>
      <c r="AQ90" s="22">
        <v>1.4271499999999999</v>
      </c>
      <c r="AR90" s="22">
        <v>382.572</v>
      </c>
      <c r="AS90" s="22">
        <v>-1.70715E-2</v>
      </c>
      <c r="AT90" s="22">
        <v>80</v>
      </c>
      <c r="AU90" s="22">
        <v>1.42639</v>
      </c>
      <c r="AV90">
        <f t="shared" si="20"/>
        <v>17.0715</v>
      </c>
      <c r="AW90">
        <f t="shared" si="21"/>
        <v>24.363591225</v>
      </c>
      <c r="AX90" s="9"/>
      <c r="AY90" s="22">
        <v>0.30288700000000002</v>
      </c>
      <c r="AZ90" s="22">
        <v>476.84</v>
      </c>
      <c r="BA90" s="22">
        <v>-1.7816200000000001E-2</v>
      </c>
      <c r="BB90" s="22">
        <v>80</v>
      </c>
      <c r="BC90" s="22">
        <v>0.302338</v>
      </c>
      <c r="BD90">
        <f t="shared" si="22"/>
        <v>17.816200000000002</v>
      </c>
      <c r="BE90">
        <f t="shared" si="23"/>
        <v>5.3962953694000007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63.685200000000002</v>
      </c>
      <c r="I91" s="22">
        <v>6.0812400000000003E-2</v>
      </c>
      <c r="J91" s="22">
        <v>81</v>
      </c>
      <c r="K91" s="22">
        <v>8.2366900000000007E-2</v>
      </c>
      <c r="L91">
        <f t="shared" si="12"/>
        <v>-60.812400000000004</v>
      </c>
      <c r="M91">
        <f t="shared" si="13"/>
        <v>-86.482530288000007</v>
      </c>
      <c r="N91" s="9"/>
      <c r="O91" s="22">
        <v>0.30792199999999997</v>
      </c>
      <c r="P91" s="22">
        <v>135.904</v>
      </c>
      <c r="Q91" s="22">
        <v>-1.80267E-2</v>
      </c>
      <c r="R91" s="22">
        <v>81</v>
      </c>
      <c r="S91" s="22">
        <v>0.30734299999999998</v>
      </c>
      <c r="T91">
        <f t="shared" si="14"/>
        <v>18.026699999999998</v>
      </c>
      <c r="U91">
        <f t="shared" si="15"/>
        <v>5.5508175173999987</v>
      </c>
      <c r="X91" s="9"/>
      <c r="Y91" s="22">
        <v>1.4221200000000001</v>
      </c>
      <c r="Z91" s="22">
        <v>194.691</v>
      </c>
      <c r="AA91" s="22">
        <v>-1.7141699999999999E-2</v>
      </c>
      <c r="AB91" s="22">
        <v>81</v>
      </c>
      <c r="AC91" s="22">
        <v>1.4209000000000001</v>
      </c>
      <c r="AD91">
        <f t="shared" si="16"/>
        <v>17.1417</v>
      </c>
      <c r="AE91">
        <f t="shared" si="17"/>
        <v>24.377554404000001</v>
      </c>
      <c r="AF91" s="9"/>
      <c r="AG91" s="22">
        <v>0.30792199999999997</v>
      </c>
      <c r="AH91" s="22">
        <v>286.70999999999998</v>
      </c>
      <c r="AI91" s="22">
        <v>-1.78467E-2</v>
      </c>
      <c r="AJ91" s="22">
        <v>81</v>
      </c>
      <c r="AK91" s="22">
        <v>0.307556</v>
      </c>
      <c r="AL91">
        <f t="shared" si="18"/>
        <v>17.846699999999998</v>
      </c>
      <c r="AM91">
        <f t="shared" si="19"/>
        <v>5.4953915573999987</v>
      </c>
      <c r="AP91" s="9"/>
      <c r="AQ91" s="22">
        <v>1.4221200000000001</v>
      </c>
      <c r="AR91" s="22">
        <v>382.67200000000003</v>
      </c>
      <c r="AS91" s="22">
        <v>-1.7080700000000001E-2</v>
      </c>
      <c r="AT91" s="22">
        <v>81</v>
      </c>
      <c r="AU91" s="22">
        <v>1.4215100000000001</v>
      </c>
      <c r="AV91">
        <f t="shared" si="20"/>
        <v>17.0807</v>
      </c>
      <c r="AW91">
        <f t="shared" si="21"/>
        <v>24.290805084000002</v>
      </c>
      <c r="AX91" s="9"/>
      <c r="AY91" s="22">
        <v>0.30792199999999997</v>
      </c>
      <c r="AZ91" s="22">
        <v>476.94099999999997</v>
      </c>
      <c r="BA91" s="22">
        <v>-1.7816200000000001E-2</v>
      </c>
      <c r="BB91" s="22">
        <v>81</v>
      </c>
      <c r="BC91" s="22">
        <v>0.30749500000000002</v>
      </c>
      <c r="BD91">
        <f t="shared" si="22"/>
        <v>17.816200000000002</v>
      </c>
      <c r="BE91">
        <f t="shared" si="23"/>
        <v>5.4859999363999998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63.785899999999998</v>
      </c>
      <c r="I92" s="22">
        <v>6.0760500000000002E-2</v>
      </c>
      <c r="J92" s="22">
        <v>82</v>
      </c>
      <c r="K92" s="22">
        <v>8.2428000000000001E-2</v>
      </c>
      <c r="L92">
        <f t="shared" si="12"/>
        <v>-60.7605</v>
      </c>
      <c r="M92">
        <f t="shared" si="13"/>
        <v>-86.102489339999991</v>
      </c>
      <c r="N92" s="9"/>
      <c r="O92" s="22">
        <v>0.31295800000000001</v>
      </c>
      <c r="P92" s="22">
        <v>136.005</v>
      </c>
      <c r="Q92" s="22">
        <v>-1.80237E-2</v>
      </c>
      <c r="R92" s="22">
        <v>82</v>
      </c>
      <c r="S92" s="22">
        <v>0.31308000000000002</v>
      </c>
      <c r="T92">
        <f t="shared" si="14"/>
        <v>18.023700000000002</v>
      </c>
      <c r="U92">
        <f t="shared" si="15"/>
        <v>5.6406611046000004</v>
      </c>
      <c r="X92" s="9"/>
      <c r="Y92" s="22">
        <v>1.4170799999999999</v>
      </c>
      <c r="Z92" s="22">
        <v>194.792</v>
      </c>
      <c r="AA92" s="22">
        <v>-1.7160000000000002E-2</v>
      </c>
      <c r="AB92" s="22">
        <v>82</v>
      </c>
      <c r="AC92" s="22">
        <v>1.41632</v>
      </c>
      <c r="AD92">
        <f t="shared" si="16"/>
        <v>17.16</v>
      </c>
      <c r="AE92">
        <f t="shared" si="17"/>
        <v>24.317092799999998</v>
      </c>
      <c r="AF92" s="9"/>
      <c r="AG92" s="22">
        <v>0.31295800000000001</v>
      </c>
      <c r="AH92" s="22">
        <v>286.81099999999998</v>
      </c>
      <c r="AI92" s="22">
        <v>-1.78497E-2</v>
      </c>
      <c r="AJ92" s="22">
        <v>82</v>
      </c>
      <c r="AK92" s="22">
        <v>0.31240800000000002</v>
      </c>
      <c r="AL92">
        <f t="shared" si="18"/>
        <v>17.849699999999999</v>
      </c>
      <c r="AM92">
        <f t="shared" si="19"/>
        <v>5.5862064126000002</v>
      </c>
      <c r="AP92" s="9"/>
      <c r="AQ92" s="22">
        <v>1.4170799999999999</v>
      </c>
      <c r="AR92" s="22">
        <v>382.77300000000002</v>
      </c>
      <c r="AS92" s="22">
        <v>-1.7086799999999999E-2</v>
      </c>
      <c r="AT92" s="22">
        <v>82</v>
      </c>
      <c r="AU92" s="22">
        <v>1.41632</v>
      </c>
      <c r="AV92">
        <f t="shared" si="20"/>
        <v>17.0868</v>
      </c>
      <c r="AW92">
        <f t="shared" si="21"/>
        <v>24.213362543999999</v>
      </c>
      <c r="AX92" s="9"/>
      <c r="AY92" s="22">
        <v>0.31295800000000001</v>
      </c>
      <c r="AZ92" s="22">
        <v>477.04199999999997</v>
      </c>
      <c r="BA92" s="22">
        <v>-1.7813099999999998E-2</v>
      </c>
      <c r="BB92" s="22">
        <v>82</v>
      </c>
      <c r="BC92" s="22">
        <v>0.31268299999999999</v>
      </c>
      <c r="BD92">
        <f t="shared" si="22"/>
        <v>17.813099999999999</v>
      </c>
      <c r="BE92">
        <f t="shared" si="23"/>
        <v>5.5747521498000001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63.886699999999998</v>
      </c>
      <c r="I93" s="22">
        <v>6.06873E-2</v>
      </c>
      <c r="J93" s="22">
        <v>83</v>
      </c>
      <c r="K93" s="22">
        <v>8.2397499999999999E-2</v>
      </c>
      <c r="L93">
        <f t="shared" si="12"/>
        <v>-60.6873</v>
      </c>
      <c r="M93">
        <f t="shared" si="13"/>
        <v>-85.693501964999996</v>
      </c>
      <c r="N93" s="9"/>
      <c r="O93" s="22">
        <v>0.31799300000000003</v>
      </c>
      <c r="P93" s="22">
        <v>136.10599999999999</v>
      </c>
      <c r="Q93" s="22">
        <v>-1.80237E-2</v>
      </c>
      <c r="R93" s="22">
        <v>83</v>
      </c>
      <c r="S93" s="22">
        <v>0.31735200000000002</v>
      </c>
      <c r="T93">
        <f t="shared" si="14"/>
        <v>18.023700000000002</v>
      </c>
      <c r="U93">
        <f t="shared" si="15"/>
        <v>5.7314104341000007</v>
      </c>
      <c r="X93" s="9"/>
      <c r="Y93" s="22">
        <v>1.41205</v>
      </c>
      <c r="Z93" s="22">
        <v>194.893</v>
      </c>
      <c r="AA93" s="22">
        <v>-1.71661E-2</v>
      </c>
      <c r="AB93" s="22">
        <v>83</v>
      </c>
      <c r="AC93" s="22">
        <v>1.41113</v>
      </c>
      <c r="AD93">
        <f t="shared" si="16"/>
        <v>17.1661</v>
      </c>
      <c r="AE93">
        <f t="shared" si="17"/>
        <v>24.239391505</v>
      </c>
      <c r="AF93" s="9"/>
      <c r="AG93" s="22">
        <v>0.31799300000000003</v>
      </c>
      <c r="AH93" s="22">
        <v>286.911</v>
      </c>
      <c r="AI93" s="22">
        <v>-1.7840600000000002E-2</v>
      </c>
      <c r="AJ93" s="22">
        <v>83</v>
      </c>
      <c r="AK93" s="22">
        <v>0.31729099999999999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1.41205</v>
      </c>
      <c r="AR93" s="22">
        <v>382.87400000000002</v>
      </c>
      <c r="AS93" s="22">
        <v>-1.7089799999999999E-2</v>
      </c>
      <c r="AT93" s="22">
        <v>83</v>
      </c>
      <c r="AU93" s="22">
        <v>1.41113</v>
      </c>
      <c r="AV93">
        <f t="shared" si="20"/>
        <v>17.0898</v>
      </c>
      <c r="AW93">
        <f t="shared" si="21"/>
        <v>24.131652089999999</v>
      </c>
      <c r="AX93" s="9"/>
      <c r="AY93" s="22">
        <v>0.31799300000000003</v>
      </c>
      <c r="AZ93" s="22">
        <v>477.142</v>
      </c>
      <c r="BA93" s="22">
        <v>-1.78192E-2</v>
      </c>
      <c r="BB93" s="22">
        <v>83</v>
      </c>
      <c r="BC93" s="22">
        <v>0.317444</v>
      </c>
      <c r="BD93">
        <f t="shared" si="22"/>
        <v>17.819199999999999</v>
      </c>
      <c r="BE93">
        <f t="shared" si="23"/>
        <v>5.6663808655999999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63.987400000000001</v>
      </c>
      <c r="I94" s="22">
        <v>6.0665900000000002E-2</v>
      </c>
      <c r="J94" s="22">
        <v>84</v>
      </c>
      <c r="K94" s="22">
        <v>8.2458500000000004E-2</v>
      </c>
      <c r="L94">
        <f t="shared" si="12"/>
        <v>-60.665900000000001</v>
      </c>
      <c r="M94">
        <f t="shared" si="13"/>
        <v>-85.357527959000009</v>
      </c>
      <c r="N94" s="9"/>
      <c r="O94" s="22">
        <v>0.32302900000000001</v>
      </c>
      <c r="P94" s="22">
        <v>136.20699999999999</v>
      </c>
      <c r="Q94" s="22">
        <v>-1.8014499999999999E-2</v>
      </c>
      <c r="R94" s="22">
        <v>84</v>
      </c>
      <c r="S94" s="22">
        <v>0.32238800000000001</v>
      </c>
      <c r="T94">
        <f t="shared" si="14"/>
        <v>18.014499999999998</v>
      </c>
      <c r="U94">
        <f t="shared" si="15"/>
        <v>5.8192059205</v>
      </c>
      <c r="X94" s="9"/>
      <c r="Y94" s="22">
        <v>1.4070100000000001</v>
      </c>
      <c r="Z94" s="22">
        <v>194.99299999999999</v>
      </c>
      <c r="AA94" s="22">
        <v>-1.7160000000000002E-2</v>
      </c>
      <c r="AB94" s="22">
        <v>84</v>
      </c>
      <c r="AC94" s="22">
        <v>1.40686</v>
      </c>
      <c r="AD94">
        <f t="shared" si="16"/>
        <v>17.16</v>
      </c>
      <c r="AE94">
        <f t="shared" si="17"/>
        <v>24.144291600000003</v>
      </c>
      <c r="AF94" s="9"/>
      <c r="AG94" s="22">
        <v>0.32302900000000001</v>
      </c>
      <c r="AH94" s="22">
        <v>287.012</v>
      </c>
      <c r="AI94" s="22">
        <v>-1.7837499999999999E-2</v>
      </c>
      <c r="AJ94" s="22">
        <v>84</v>
      </c>
      <c r="AK94" s="22">
        <v>0.322357</v>
      </c>
      <c r="AL94">
        <f t="shared" si="18"/>
        <v>17.837499999999999</v>
      </c>
      <c r="AM94">
        <f t="shared" si="19"/>
        <v>5.7620297874999995</v>
      </c>
      <c r="AP94" s="9"/>
      <c r="AQ94" s="22">
        <v>1.4070100000000001</v>
      </c>
      <c r="AR94" s="22">
        <v>382.97500000000002</v>
      </c>
      <c r="AS94" s="22">
        <v>-1.7099E-2</v>
      </c>
      <c r="AT94" s="22">
        <v>84</v>
      </c>
      <c r="AU94" s="22">
        <v>1.40686</v>
      </c>
      <c r="AV94">
        <f t="shared" si="20"/>
        <v>17.099</v>
      </c>
      <c r="AW94">
        <f t="shared" si="21"/>
        <v>24.058463990000003</v>
      </c>
      <c r="AX94" s="9"/>
      <c r="AY94" s="22">
        <v>0.32302900000000001</v>
      </c>
      <c r="AZ94" s="22">
        <v>477.24299999999999</v>
      </c>
      <c r="BA94" s="22">
        <v>-1.7813099999999998E-2</v>
      </c>
      <c r="BB94" s="22">
        <v>84</v>
      </c>
      <c r="BC94" s="22">
        <v>0.32253999999999999</v>
      </c>
      <c r="BD94">
        <f t="shared" si="22"/>
        <v>17.813099999999999</v>
      </c>
      <c r="BE94">
        <f t="shared" si="23"/>
        <v>5.7541478798999997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64.088099999999997</v>
      </c>
      <c r="I95" s="22">
        <v>6.0665900000000002E-2</v>
      </c>
      <c r="J95" s="22">
        <v>85</v>
      </c>
      <c r="K95" s="22">
        <v>8.2397499999999999E-2</v>
      </c>
      <c r="L95">
        <f t="shared" si="12"/>
        <v>-60.665900000000001</v>
      </c>
      <c r="M95">
        <f t="shared" si="13"/>
        <v>-85.052378481999995</v>
      </c>
      <c r="N95" s="9"/>
      <c r="O95" s="22">
        <v>0.32806400000000002</v>
      </c>
      <c r="P95" s="22">
        <v>136.30699999999999</v>
      </c>
      <c r="Q95" s="22">
        <v>-1.8005400000000001E-2</v>
      </c>
      <c r="R95" s="22">
        <v>85</v>
      </c>
      <c r="S95" s="22">
        <v>0.32690399999999997</v>
      </c>
      <c r="T95">
        <f t="shared" si="14"/>
        <v>18.005400000000002</v>
      </c>
      <c r="U95">
        <f t="shared" si="15"/>
        <v>5.9069235456000007</v>
      </c>
      <c r="X95" s="9"/>
      <c r="Y95" s="22">
        <v>1.40198</v>
      </c>
      <c r="Z95" s="22">
        <v>195.09399999999999</v>
      </c>
      <c r="AA95" s="22">
        <v>-1.7178300000000001E-2</v>
      </c>
      <c r="AB95" s="22">
        <v>85</v>
      </c>
      <c r="AC95" s="22">
        <v>1.40137</v>
      </c>
      <c r="AD95">
        <f t="shared" si="16"/>
        <v>17.1783</v>
      </c>
      <c r="AE95">
        <f t="shared" si="17"/>
        <v>24.083633034000002</v>
      </c>
      <c r="AF95" s="9"/>
      <c r="AG95" s="22">
        <v>0.32806400000000002</v>
      </c>
      <c r="AH95" s="22">
        <v>287.113</v>
      </c>
      <c r="AI95" s="22">
        <v>-1.7840600000000002E-2</v>
      </c>
      <c r="AJ95" s="22">
        <v>85</v>
      </c>
      <c r="AK95" s="22">
        <v>0.32772800000000002</v>
      </c>
      <c r="AL95">
        <f t="shared" si="18"/>
        <v>17.840600000000002</v>
      </c>
      <c r="AM95">
        <f t="shared" si="19"/>
        <v>5.852858598400001</v>
      </c>
      <c r="AP95" s="9"/>
      <c r="AQ95" s="22">
        <v>1.40198</v>
      </c>
      <c r="AR95" s="22">
        <v>383.07499999999999</v>
      </c>
      <c r="AS95" s="22">
        <v>-1.7102099999999999E-2</v>
      </c>
      <c r="AT95" s="22">
        <v>85</v>
      </c>
      <c r="AU95" s="22">
        <v>1.40137</v>
      </c>
      <c r="AV95">
        <f t="shared" si="20"/>
        <v>17.1021</v>
      </c>
      <c r="AW95">
        <f t="shared" si="21"/>
        <v>23.976802158000002</v>
      </c>
      <c r="AX95" s="9"/>
      <c r="AY95" s="22">
        <v>0.32806400000000002</v>
      </c>
      <c r="AZ95" s="22">
        <v>477.34399999999999</v>
      </c>
      <c r="BA95" s="22">
        <v>-1.7807E-2</v>
      </c>
      <c r="BB95" s="22">
        <v>85</v>
      </c>
      <c r="BC95" s="22">
        <v>0.327515</v>
      </c>
      <c r="BD95">
        <f t="shared" si="22"/>
        <v>17.806999999999999</v>
      </c>
      <c r="BE95">
        <f t="shared" si="23"/>
        <v>5.841835648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64.188800000000001</v>
      </c>
      <c r="I96" s="22">
        <v>6.0665900000000002E-2</v>
      </c>
      <c r="J96" s="22">
        <v>86</v>
      </c>
      <c r="K96" s="22">
        <v>8.2366900000000007E-2</v>
      </c>
      <c r="L96">
        <f t="shared" si="12"/>
        <v>-60.665900000000001</v>
      </c>
      <c r="M96">
        <f t="shared" si="13"/>
        <v>-84.746622346000009</v>
      </c>
      <c r="N96" s="9"/>
      <c r="O96" s="22">
        <v>0.33309899999999998</v>
      </c>
      <c r="P96" s="22">
        <v>136.40799999999999</v>
      </c>
      <c r="Q96" s="22">
        <v>-1.8002299999999999E-2</v>
      </c>
      <c r="R96" s="22">
        <v>86</v>
      </c>
      <c r="S96" s="22">
        <v>0.33090199999999997</v>
      </c>
      <c r="T96">
        <f t="shared" si="14"/>
        <v>18.002299999999998</v>
      </c>
      <c r="U96">
        <f t="shared" si="15"/>
        <v>5.9965481276999988</v>
      </c>
      <c r="X96" s="9"/>
      <c r="Y96" s="22">
        <v>1.3969400000000001</v>
      </c>
      <c r="Z96" s="22">
        <v>195.19499999999999</v>
      </c>
      <c r="AA96" s="22">
        <v>-1.7187500000000001E-2</v>
      </c>
      <c r="AB96" s="22">
        <v>86</v>
      </c>
      <c r="AC96" s="22">
        <v>1.39618</v>
      </c>
      <c r="AD96">
        <f t="shared" si="16"/>
        <v>17.1875</v>
      </c>
      <c r="AE96">
        <f t="shared" si="17"/>
        <v>24.00990625</v>
      </c>
      <c r="AF96" s="9"/>
      <c r="AG96" s="22">
        <v>0.33309899999999998</v>
      </c>
      <c r="AH96" s="22">
        <v>287.21300000000002</v>
      </c>
      <c r="AI96" s="22">
        <v>-1.7837499999999999E-2</v>
      </c>
      <c r="AJ96" s="22">
        <v>86</v>
      </c>
      <c r="AK96" s="22">
        <v>0.33248899999999998</v>
      </c>
      <c r="AL96">
        <f t="shared" si="18"/>
        <v>17.837499999999999</v>
      </c>
      <c r="AM96">
        <f t="shared" si="19"/>
        <v>5.9416534124999991</v>
      </c>
      <c r="AP96" s="9"/>
      <c r="AQ96" s="22">
        <v>1.3969400000000001</v>
      </c>
      <c r="AR96" s="22">
        <v>383.17599999999999</v>
      </c>
      <c r="AS96" s="22">
        <v>-1.7117299999999998E-2</v>
      </c>
      <c r="AT96" s="22">
        <v>86</v>
      </c>
      <c r="AU96" s="22">
        <v>1.39618</v>
      </c>
      <c r="AV96">
        <f t="shared" si="20"/>
        <v>17.1173</v>
      </c>
      <c r="AW96">
        <f t="shared" si="21"/>
        <v>23.911841062000001</v>
      </c>
      <c r="AX96" s="9"/>
      <c r="AY96" s="22">
        <v>0.33309899999999998</v>
      </c>
      <c r="AZ96" s="22">
        <v>477.44499999999999</v>
      </c>
      <c r="BA96" s="22">
        <v>-1.7800900000000001E-2</v>
      </c>
      <c r="BB96" s="22">
        <v>86</v>
      </c>
      <c r="BC96" s="22">
        <v>0.33251999999999998</v>
      </c>
      <c r="BD96">
        <f t="shared" si="22"/>
        <v>17.800900000000002</v>
      </c>
      <c r="BE96">
        <f t="shared" si="23"/>
        <v>5.9294619891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64.289500000000004</v>
      </c>
      <c r="I97" s="22">
        <v>6.0601799999999997E-2</v>
      </c>
      <c r="J97" s="22">
        <v>87</v>
      </c>
      <c r="K97" s="22">
        <v>8.2458500000000004E-2</v>
      </c>
      <c r="L97">
        <f t="shared" si="12"/>
        <v>-60.601799999999997</v>
      </c>
      <c r="M97">
        <f t="shared" si="13"/>
        <v>-84.352251437999996</v>
      </c>
      <c r="N97" s="9"/>
      <c r="O97" s="22">
        <v>0.33813500000000002</v>
      </c>
      <c r="P97" s="22">
        <v>136.50899999999999</v>
      </c>
      <c r="Q97" s="22">
        <v>-1.79962E-2</v>
      </c>
      <c r="R97" s="22">
        <v>87</v>
      </c>
      <c r="S97" s="22">
        <v>0.33776899999999999</v>
      </c>
      <c r="T97">
        <f t="shared" si="14"/>
        <v>17.996200000000002</v>
      </c>
      <c r="U97">
        <f t="shared" si="15"/>
        <v>6.0851450870000008</v>
      </c>
      <c r="X97" s="9"/>
      <c r="Y97" s="22">
        <v>1.39191</v>
      </c>
      <c r="Z97" s="22">
        <v>195.29599999999999</v>
      </c>
      <c r="AA97" s="22">
        <v>-1.7202800000000001E-2</v>
      </c>
      <c r="AB97" s="22">
        <v>87</v>
      </c>
      <c r="AC97" s="22">
        <v>1.3915999999999999</v>
      </c>
      <c r="AD97">
        <f t="shared" si="16"/>
        <v>17.2028</v>
      </c>
      <c r="AE97">
        <f t="shared" si="17"/>
        <v>23.944749347999998</v>
      </c>
      <c r="AF97" s="9"/>
      <c r="AG97" s="22">
        <v>0.33813500000000002</v>
      </c>
      <c r="AH97" s="22">
        <v>287.31400000000002</v>
      </c>
      <c r="AI97" s="22">
        <v>-1.78345E-2</v>
      </c>
      <c r="AJ97" s="22">
        <v>87</v>
      </c>
      <c r="AK97" s="22">
        <v>0.33770800000000001</v>
      </c>
      <c r="AL97">
        <f t="shared" si="18"/>
        <v>17.834499999999998</v>
      </c>
      <c r="AM97">
        <f t="shared" si="19"/>
        <v>6.0304686575000002</v>
      </c>
      <c r="AP97" s="9"/>
      <c r="AQ97" s="22">
        <v>1.39191</v>
      </c>
      <c r="AR97" s="22">
        <v>383.27699999999999</v>
      </c>
      <c r="AS97" s="22">
        <v>-1.7114299999999999E-2</v>
      </c>
      <c r="AT97" s="22">
        <v>87</v>
      </c>
      <c r="AU97" s="22">
        <v>1.3913</v>
      </c>
      <c r="AV97">
        <f t="shared" si="20"/>
        <v>17.1143</v>
      </c>
      <c r="AW97">
        <f t="shared" si="21"/>
        <v>23.821565313000001</v>
      </c>
      <c r="AX97" s="9"/>
      <c r="AY97" s="22">
        <v>0.33813500000000002</v>
      </c>
      <c r="AZ97" s="22">
        <v>477.54500000000002</v>
      </c>
      <c r="BA97" s="22">
        <v>-1.7791700000000001E-2</v>
      </c>
      <c r="BB97" s="22">
        <v>87</v>
      </c>
      <c r="BC97" s="22">
        <v>0.33749400000000002</v>
      </c>
      <c r="BD97">
        <f t="shared" si="22"/>
        <v>17.791700000000002</v>
      </c>
      <c r="BE97">
        <f t="shared" si="23"/>
        <v>6.0159964795000009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64.390199999999993</v>
      </c>
      <c r="I98" s="22">
        <v>6.0620100000000003E-2</v>
      </c>
      <c r="J98" s="22">
        <v>88</v>
      </c>
      <c r="K98" s="22">
        <v>8.2428000000000001E-2</v>
      </c>
      <c r="L98">
        <f t="shared" si="12"/>
        <v>-60.620100000000001</v>
      </c>
      <c r="M98">
        <f t="shared" si="13"/>
        <v>-84.072198087000004</v>
      </c>
      <c r="N98" s="9"/>
      <c r="O98" s="22">
        <v>0.34316999999999998</v>
      </c>
      <c r="P98" s="22">
        <v>136.60900000000001</v>
      </c>
      <c r="Q98" s="22">
        <v>-1.7999299999999999E-2</v>
      </c>
      <c r="R98" s="22">
        <v>88</v>
      </c>
      <c r="S98" s="22">
        <v>0.34182699999999999</v>
      </c>
      <c r="T98">
        <f t="shared" si="14"/>
        <v>17.999299999999998</v>
      </c>
      <c r="U98">
        <f t="shared" si="15"/>
        <v>6.176819780999999</v>
      </c>
      <c r="X98" s="9"/>
      <c r="Y98" s="22">
        <v>1.38687</v>
      </c>
      <c r="Z98" s="22">
        <v>195.39599999999999</v>
      </c>
      <c r="AA98" s="22">
        <v>-1.7208899999999999E-2</v>
      </c>
      <c r="AB98" s="22">
        <v>88</v>
      </c>
      <c r="AC98" s="22">
        <v>1.38611</v>
      </c>
      <c r="AD98">
        <f t="shared" si="16"/>
        <v>17.2089</v>
      </c>
      <c r="AE98">
        <f t="shared" si="17"/>
        <v>23.866507143</v>
      </c>
      <c r="AF98" s="9"/>
      <c r="AG98" s="22">
        <v>0.34316999999999998</v>
      </c>
      <c r="AH98" s="22">
        <v>287.41500000000002</v>
      </c>
      <c r="AI98" s="22">
        <v>-1.7825299999999999E-2</v>
      </c>
      <c r="AJ98" s="22">
        <v>88</v>
      </c>
      <c r="AK98" s="22">
        <v>0.34240700000000002</v>
      </c>
      <c r="AL98">
        <f t="shared" si="18"/>
        <v>17.825299999999999</v>
      </c>
      <c r="AM98">
        <f t="shared" si="19"/>
        <v>6.1171082009999989</v>
      </c>
      <c r="AP98" s="9"/>
      <c r="AQ98" s="22">
        <v>1.38687</v>
      </c>
      <c r="AR98" s="22">
        <v>383.37700000000001</v>
      </c>
      <c r="AS98" s="22">
        <v>-1.7117299999999998E-2</v>
      </c>
      <c r="AT98" s="22">
        <v>88</v>
      </c>
      <c r="AU98" s="22">
        <v>1.38611</v>
      </c>
      <c r="AV98">
        <f t="shared" si="20"/>
        <v>17.1173</v>
      </c>
      <c r="AW98">
        <f t="shared" si="21"/>
        <v>23.739469851000003</v>
      </c>
      <c r="AX98" s="9"/>
      <c r="AY98" s="22">
        <v>0.34316999999999998</v>
      </c>
      <c r="AZ98" s="22">
        <v>477.64600000000002</v>
      </c>
      <c r="BA98" s="22">
        <v>-1.7797899999999998E-2</v>
      </c>
      <c r="BB98" s="22">
        <v>88</v>
      </c>
      <c r="BC98" s="22">
        <v>0.34252899999999997</v>
      </c>
      <c r="BD98">
        <f t="shared" si="22"/>
        <v>17.797899999999998</v>
      </c>
      <c r="BE98">
        <f t="shared" si="23"/>
        <v>6.1077053429999992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64.490899999999996</v>
      </c>
      <c r="I99" s="22">
        <v>6.0604900000000003E-2</v>
      </c>
      <c r="J99" s="22">
        <v>89</v>
      </c>
      <c r="K99" s="22">
        <v>8.2397499999999999E-2</v>
      </c>
      <c r="L99">
        <f t="shared" si="12"/>
        <v>-60.604900000000001</v>
      </c>
      <c r="M99">
        <f t="shared" si="13"/>
        <v>-83.746275015999998</v>
      </c>
      <c r="N99" s="9"/>
      <c r="O99" s="22">
        <v>0.34820600000000002</v>
      </c>
      <c r="P99" s="22">
        <v>136.71</v>
      </c>
      <c r="Q99" s="22">
        <v>-1.7999299999999999E-2</v>
      </c>
      <c r="R99" s="22">
        <v>89</v>
      </c>
      <c r="S99" s="22">
        <v>0.34799200000000002</v>
      </c>
      <c r="T99">
        <f t="shared" si="14"/>
        <v>17.999299999999998</v>
      </c>
      <c r="U99">
        <f t="shared" si="15"/>
        <v>6.2674642557999993</v>
      </c>
      <c r="X99" s="9"/>
      <c r="Y99" s="22">
        <v>1.38184</v>
      </c>
      <c r="Z99" s="22">
        <v>195.49700000000001</v>
      </c>
      <c r="AA99" s="22">
        <v>-1.7211899999999999E-2</v>
      </c>
      <c r="AB99" s="22">
        <v>89</v>
      </c>
      <c r="AC99" s="22">
        <v>1.3809199999999999</v>
      </c>
      <c r="AD99">
        <f t="shared" si="16"/>
        <v>17.2119</v>
      </c>
      <c r="AE99">
        <f t="shared" si="17"/>
        <v>23.784091896</v>
      </c>
      <c r="AF99" s="9"/>
      <c r="AG99" s="22">
        <v>0.34820600000000002</v>
      </c>
      <c r="AH99" s="22">
        <v>287.51600000000002</v>
      </c>
      <c r="AI99" s="22">
        <v>-1.7831400000000001E-2</v>
      </c>
      <c r="AJ99" s="22">
        <v>89</v>
      </c>
      <c r="AK99" s="22">
        <v>0.34789999999999999</v>
      </c>
      <c r="AL99">
        <f t="shared" si="18"/>
        <v>17.831400000000002</v>
      </c>
      <c r="AM99">
        <f t="shared" si="19"/>
        <v>6.2090004684000011</v>
      </c>
      <c r="AP99" s="9"/>
      <c r="AQ99" s="22">
        <v>1.38184</v>
      </c>
      <c r="AR99" s="22">
        <v>383.47800000000001</v>
      </c>
      <c r="AS99" s="22">
        <v>-1.7120400000000001E-2</v>
      </c>
      <c r="AT99" s="22">
        <v>89</v>
      </c>
      <c r="AU99" s="22">
        <v>1.38123</v>
      </c>
      <c r="AV99">
        <f t="shared" si="20"/>
        <v>17.1204</v>
      </c>
      <c r="AW99">
        <f t="shared" si="21"/>
        <v>23.657653535999998</v>
      </c>
      <c r="AX99" s="9"/>
      <c r="AY99" s="22">
        <v>0.34820600000000002</v>
      </c>
      <c r="AZ99" s="22">
        <v>477.74700000000001</v>
      </c>
      <c r="BA99" s="22">
        <v>-1.7791700000000001E-2</v>
      </c>
      <c r="BB99" s="22">
        <v>89</v>
      </c>
      <c r="BC99" s="22">
        <v>0.34759499999999999</v>
      </c>
      <c r="BD99">
        <f t="shared" si="22"/>
        <v>17.791700000000002</v>
      </c>
      <c r="BE99">
        <f t="shared" si="23"/>
        <v>6.1951766902000012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64.5916</v>
      </c>
      <c r="I100" s="22">
        <v>6.0598800000000001E-2</v>
      </c>
      <c r="J100" s="22">
        <v>90</v>
      </c>
      <c r="K100" s="22">
        <v>8.2489000000000007E-2</v>
      </c>
      <c r="L100">
        <f t="shared" si="12"/>
        <v>-60.598800000000004</v>
      </c>
      <c r="M100">
        <f t="shared" si="13"/>
        <v>-83.432427840000003</v>
      </c>
      <c r="N100" s="9"/>
      <c r="O100" s="22">
        <v>0.35324100000000003</v>
      </c>
      <c r="P100" s="22">
        <v>136.81100000000001</v>
      </c>
      <c r="Q100" s="22">
        <v>-1.79962E-2</v>
      </c>
      <c r="R100" s="22">
        <v>90</v>
      </c>
      <c r="S100" s="22">
        <v>0.35302699999999998</v>
      </c>
      <c r="T100">
        <f t="shared" si="14"/>
        <v>17.996200000000002</v>
      </c>
      <c r="U100">
        <f t="shared" si="15"/>
        <v>6.3569956842000011</v>
      </c>
      <c r="X100" s="9"/>
      <c r="Y100" s="22">
        <v>1.3768</v>
      </c>
      <c r="Z100" s="22">
        <v>195.59800000000001</v>
      </c>
      <c r="AA100" s="22">
        <v>-1.7227200000000002E-2</v>
      </c>
      <c r="AB100" s="22">
        <v>90</v>
      </c>
      <c r="AC100" s="22">
        <v>1.3751199999999999</v>
      </c>
      <c r="AD100">
        <f t="shared" si="16"/>
        <v>17.2272</v>
      </c>
      <c r="AE100">
        <f t="shared" si="17"/>
        <v>23.718408960000001</v>
      </c>
      <c r="AF100" s="9"/>
      <c r="AG100" s="22">
        <v>0.35324100000000003</v>
      </c>
      <c r="AH100" s="22">
        <v>287.61599999999999</v>
      </c>
      <c r="AI100" s="22">
        <v>-1.7828400000000001E-2</v>
      </c>
      <c r="AJ100" s="22">
        <v>90</v>
      </c>
      <c r="AK100" s="22">
        <v>0.35281400000000002</v>
      </c>
      <c r="AL100">
        <f t="shared" si="18"/>
        <v>17.828400000000002</v>
      </c>
      <c r="AM100">
        <f t="shared" si="19"/>
        <v>6.2977218444000016</v>
      </c>
      <c r="AP100" s="9"/>
      <c r="AQ100" s="22">
        <v>1.3768</v>
      </c>
      <c r="AR100" s="22">
        <v>383.57900000000001</v>
      </c>
      <c r="AS100" s="22">
        <v>-1.71387E-2</v>
      </c>
      <c r="AT100" s="22">
        <v>90</v>
      </c>
      <c r="AU100" s="22">
        <v>1.3757299999999999</v>
      </c>
      <c r="AV100">
        <f t="shared" si="20"/>
        <v>17.1387</v>
      </c>
      <c r="AW100">
        <f t="shared" si="21"/>
        <v>23.596562160000001</v>
      </c>
      <c r="AX100" s="9"/>
      <c r="AY100" s="22">
        <v>0.35324100000000003</v>
      </c>
      <c r="AZ100" s="22">
        <v>477.84699999999998</v>
      </c>
      <c r="BA100" s="22">
        <v>-1.7804E-2</v>
      </c>
      <c r="BB100" s="22">
        <v>90</v>
      </c>
      <c r="BC100" s="22">
        <v>0.35278300000000001</v>
      </c>
      <c r="BD100">
        <f t="shared" si="22"/>
        <v>17.804000000000002</v>
      </c>
      <c r="BE100">
        <f t="shared" si="23"/>
        <v>6.2891027640000008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64.692300000000003</v>
      </c>
      <c r="I101" s="22">
        <v>6.0543800000000002E-2</v>
      </c>
      <c r="J101" s="22">
        <v>91</v>
      </c>
      <c r="K101" s="22">
        <v>8.2397499999999999E-2</v>
      </c>
      <c r="L101">
        <f t="shared" si="12"/>
        <v>-60.543800000000005</v>
      </c>
      <c r="M101">
        <f t="shared" si="13"/>
        <v>-83.052168526000003</v>
      </c>
      <c r="N101" s="9"/>
      <c r="O101" s="22">
        <v>0.35827599999999998</v>
      </c>
      <c r="P101" s="22">
        <v>136.911</v>
      </c>
      <c r="Q101" s="22">
        <v>-1.7990099999999998E-2</v>
      </c>
      <c r="R101" s="22">
        <v>91</v>
      </c>
      <c r="S101" s="22">
        <v>0.35745199999999999</v>
      </c>
      <c r="T101">
        <f t="shared" si="14"/>
        <v>17.990099999999998</v>
      </c>
      <c r="U101">
        <f t="shared" si="15"/>
        <v>6.445421067599999</v>
      </c>
      <c r="X101" s="9"/>
      <c r="Y101" s="22">
        <v>1.3717699999999999</v>
      </c>
      <c r="Z101" s="22">
        <v>195.69800000000001</v>
      </c>
      <c r="AA101" s="22">
        <v>-1.7227200000000002E-2</v>
      </c>
      <c r="AB101" s="22">
        <v>91</v>
      </c>
      <c r="AC101" s="22">
        <v>1.3711500000000001</v>
      </c>
      <c r="AD101">
        <f t="shared" si="16"/>
        <v>17.2272</v>
      </c>
      <c r="AE101">
        <f t="shared" si="17"/>
        <v>23.631756143999997</v>
      </c>
      <c r="AF101" s="9"/>
      <c r="AG101" s="22">
        <v>0.35827599999999998</v>
      </c>
      <c r="AH101" s="22">
        <v>287.71699999999998</v>
      </c>
      <c r="AI101" s="22">
        <v>-1.7828400000000001E-2</v>
      </c>
      <c r="AJ101" s="22">
        <v>91</v>
      </c>
      <c r="AK101" s="22">
        <v>0.35763499999999998</v>
      </c>
      <c r="AL101">
        <f t="shared" si="18"/>
        <v>17.828400000000002</v>
      </c>
      <c r="AM101">
        <f t="shared" si="19"/>
        <v>6.3874878384000002</v>
      </c>
      <c r="AP101" s="9"/>
      <c r="AQ101" s="22">
        <v>1.3717699999999999</v>
      </c>
      <c r="AR101" s="22">
        <v>383.68</v>
      </c>
      <c r="AS101" s="22">
        <v>-1.7141699999999999E-2</v>
      </c>
      <c r="AT101" s="22">
        <v>91</v>
      </c>
      <c r="AU101" s="22">
        <v>1.3708499999999999</v>
      </c>
      <c r="AV101">
        <f t="shared" si="20"/>
        <v>17.1417</v>
      </c>
      <c r="AW101">
        <f t="shared" si="21"/>
        <v>23.514469808999998</v>
      </c>
      <c r="AX101" s="9"/>
      <c r="AY101" s="22">
        <v>0.35827599999999998</v>
      </c>
      <c r="AZ101" s="22">
        <v>477.94799999999998</v>
      </c>
      <c r="BA101" s="22">
        <v>-1.7797899999999998E-2</v>
      </c>
      <c r="BB101" s="22">
        <v>91</v>
      </c>
      <c r="BC101" s="22">
        <v>0.35769699999999999</v>
      </c>
      <c r="BD101">
        <f t="shared" si="22"/>
        <v>17.797899999999998</v>
      </c>
      <c r="BE101">
        <f t="shared" si="23"/>
        <v>6.3765604203999988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64.793000000000006</v>
      </c>
      <c r="I102" s="22">
        <v>6.0562100000000001E-2</v>
      </c>
      <c r="J102" s="22">
        <v>92</v>
      </c>
      <c r="K102" s="22">
        <v>8.2458500000000004E-2</v>
      </c>
      <c r="L102">
        <f t="shared" si="12"/>
        <v>-60.562100000000001</v>
      </c>
      <c r="M102">
        <f t="shared" si="13"/>
        <v>-82.772038933000005</v>
      </c>
      <c r="N102" s="9"/>
      <c r="O102" s="22">
        <v>0.36331200000000002</v>
      </c>
      <c r="P102" s="22">
        <v>137.012</v>
      </c>
      <c r="Q102" s="22">
        <v>-1.7993200000000001E-2</v>
      </c>
      <c r="R102" s="22">
        <v>92</v>
      </c>
      <c r="S102" s="22">
        <v>0.36267100000000002</v>
      </c>
      <c r="T102">
        <f t="shared" si="14"/>
        <v>17.993200000000002</v>
      </c>
      <c r="U102">
        <f t="shared" si="15"/>
        <v>6.5371454784000012</v>
      </c>
      <c r="X102" s="9"/>
      <c r="Y102" s="22">
        <v>1.36673</v>
      </c>
      <c r="Z102" s="22">
        <v>195.79900000000001</v>
      </c>
      <c r="AA102" s="22">
        <v>-1.7224099999999999E-2</v>
      </c>
      <c r="AB102" s="22">
        <v>92</v>
      </c>
      <c r="AC102" s="22">
        <v>1.3662700000000001</v>
      </c>
      <c r="AD102">
        <f t="shared" si="16"/>
        <v>17.2241</v>
      </c>
      <c r="AE102">
        <f t="shared" si="17"/>
        <v>23.540694193</v>
      </c>
      <c r="AF102" s="9"/>
      <c r="AG102" s="22">
        <v>0.36331200000000002</v>
      </c>
      <c r="AH102" s="22">
        <v>287.81799999999998</v>
      </c>
      <c r="AI102" s="22">
        <v>-1.7822299999999999E-2</v>
      </c>
      <c r="AJ102" s="22">
        <v>92</v>
      </c>
      <c r="AK102" s="22">
        <v>0.362732</v>
      </c>
      <c r="AL102">
        <f t="shared" si="18"/>
        <v>17.822299999999998</v>
      </c>
      <c r="AM102">
        <f t="shared" si="19"/>
        <v>6.4750554575999999</v>
      </c>
      <c r="AP102" s="9"/>
      <c r="AQ102" s="22">
        <v>1.36673</v>
      </c>
      <c r="AR102" s="22">
        <v>383.78</v>
      </c>
      <c r="AS102" s="22">
        <v>-1.7147800000000001E-2</v>
      </c>
      <c r="AT102" s="22">
        <v>92</v>
      </c>
      <c r="AU102" s="22">
        <v>1.3656600000000001</v>
      </c>
      <c r="AV102">
        <f t="shared" si="20"/>
        <v>17.1478</v>
      </c>
      <c r="AW102">
        <f t="shared" si="21"/>
        <v>23.436412694000001</v>
      </c>
      <c r="AX102" s="9"/>
      <c r="AY102" s="22">
        <v>0.36331200000000002</v>
      </c>
      <c r="AZ102" s="22">
        <v>478.04899999999998</v>
      </c>
      <c r="BA102" s="22">
        <v>-1.7791700000000001E-2</v>
      </c>
      <c r="BB102" s="22">
        <v>92</v>
      </c>
      <c r="BC102" s="22">
        <v>0.363037</v>
      </c>
      <c r="BD102">
        <f t="shared" si="22"/>
        <v>17.791700000000002</v>
      </c>
      <c r="BE102">
        <f t="shared" si="23"/>
        <v>6.4639381104000009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64.893699999999995</v>
      </c>
      <c r="I103" s="22">
        <v>6.0507199999999997E-2</v>
      </c>
      <c r="J103" s="22">
        <v>93</v>
      </c>
      <c r="K103" s="22">
        <v>8.2428000000000001E-2</v>
      </c>
      <c r="L103">
        <f t="shared" si="12"/>
        <v>-60.507199999999997</v>
      </c>
      <c r="M103">
        <f t="shared" si="13"/>
        <v>-82.392049168</v>
      </c>
      <c r="N103" s="9"/>
      <c r="O103" s="22">
        <v>0.36834699999999998</v>
      </c>
      <c r="P103" s="22">
        <v>137.113</v>
      </c>
      <c r="Q103" s="22">
        <v>-1.7990099999999998E-2</v>
      </c>
      <c r="R103" s="22">
        <v>93</v>
      </c>
      <c r="S103" s="22">
        <v>0.36801099999999998</v>
      </c>
      <c r="T103">
        <f t="shared" si="14"/>
        <v>17.990099999999998</v>
      </c>
      <c r="U103">
        <f t="shared" si="15"/>
        <v>6.6265993646999988</v>
      </c>
      <c r="X103" s="9"/>
      <c r="Y103" s="22">
        <v>1.3616900000000001</v>
      </c>
      <c r="Z103" s="22">
        <v>195.9</v>
      </c>
      <c r="AA103" s="22">
        <v>-1.7230200000000001E-2</v>
      </c>
      <c r="AB103" s="22">
        <v>93</v>
      </c>
      <c r="AC103" s="22">
        <v>1.3598600000000001</v>
      </c>
      <c r="AD103">
        <f t="shared" si="16"/>
        <v>17.2302</v>
      </c>
      <c r="AE103">
        <f t="shared" si="17"/>
        <v>23.462191038</v>
      </c>
      <c r="AF103" s="9"/>
      <c r="AG103" s="22">
        <v>0.36834699999999998</v>
      </c>
      <c r="AH103" s="22">
        <v>287.91800000000001</v>
      </c>
      <c r="AI103" s="22">
        <v>-1.7813099999999998E-2</v>
      </c>
      <c r="AJ103" s="22">
        <v>93</v>
      </c>
      <c r="AK103" s="22">
        <v>0.36807299999999998</v>
      </c>
      <c r="AL103">
        <f t="shared" si="18"/>
        <v>17.813099999999999</v>
      </c>
      <c r="AM103">
        <f t="shared" si="19"/>
        <v>6.5614019456999992</v>
      </c>
      <c r="AP103" s="9"/>
      <c r="AQ103" s="22">
        <v>1.3616900000000001</v>
      </c>
      <c r="AR103" s="22">
        <v>383.88099999999997</v>
      </c>
      <c r="AS103" s="22">
        <v>-1.7144800000000002E-2</v>
      </c>
      <c r="AT103" s="22">
        <v>93</v>
      </c>
      <c r="AU103" s="22">
        <v>1.3604700000000001</v>
      </c>
      <c r="AV103">
        <f t="shared" si="20"/>
        <v>17.1448</v>
      </c>
      <c r="AW103">
        <f t="shared" si="21"/>
        <v>23.345902712000001</v>
      </c>
      <c r="AX103" s="9"/>
      <c r="AY103" s="22">
        <v>0.36834699999999998</v>
      </c>
      <c r="AZ103" s="22">
        <v>478.15</v>
      </c>
      <c r="BA103" s="22">
        <v>-1.7782599999999999E-2</v>
      </c>
      <c r="BB103" s="22">
        <v>93</v>
      </c>
      <c r="BC103" s="22">
        <v>0.36788900000000002</v>
      </c>
      <c r="BD103">
        <f t="shared" si="22"/>
        <v>17.782599999999999</v>
      </c>
      <c r="BE103">
        <f t="shared" si="23"/>
        <v>6.550167362199999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64.994399999999999</v>
      </c>
      <c r="I104" s="22">
        <v>6.0476700000000001E-2</v>
      </c>
      <c r="J104" s="22">
        <v>94</v>
      </c>
      <c r="K104" s="22">
        <v>8.2428000000000001E-2</v>
      </c>
      <c r="L104">
        <f t="shared" si="12"/>
        <v>-60.476700000000001</v>
      </c>
      <c r="M104">
        <f t="shared" si="13"/>
        <v>-82.046319822000001</v>
      </c>
      <c r="N104" s="9"/>
      <c r="O104" s="22">
        <v>0.37338300000000002</v>
      </c>
      <c r="P104" s="22">
        <v>137.214</v>
      </c>
      <c r="Q104" s="22">
        <v>-1.79962E-2</v>
      </c>
      <c r="R104" s="22">
        <v>94</v>
      </c>
      <c r="S104" s="22">
        <v>0.37286399999999997</v>
      </c>
      <c r="T104">
        <f t="shared" si="14"/>
        <v>17.996200000000002</v>
      </c>
      <c r="U104">
        <f t="shared" si="15"/>
        <v>6.7194751446000014</v>
      </c>
      <c r="X104" s="9"/>
      <c r="Y104" s="22">
        <v>1.35666</v>
      </c>
      <c r="Z104" s="22">
        <v>196.001</v>
      </c>
      <c r="AA104" s="22">
        <v>-1.72333E-2</v>
      </c>
      <c r="AB104" s="22">
        <v>94</v>
      </c>
      <c r="AC104" s="22">
        <v>1.3565100000000001</v>
      </c>
      <c r="AD104">
        <f t="shared" si="16"/>
        <v>17.2333</v>
      </c>
      <c r="AE104">
        <f t="shared" si="17"/>
        <v>23.379728778</v>
      </c>
      <c r="AF104" s="9"/>
      <c r="AG104" s="22">
        <v>0.37338300000000002</v>
      </c>
      <c r="AH104" s="22">
        <v>288.01900000000001</v>
      </c>
      <c r="AI104" s="22">
        <v>-1.7816200000000001E-2</v>
      </c>
      <c r="AJ104" s="22">
        <v>94</v>
      </c>
      <c r="AK104" s="22">
        <v>0.37292500000000001</v>
      </c>
      <c r="AL104">
        <f t="shared" si="18"/>
        <v>17.816200000000002</v>
      </c>
      <c r="AM104">
        <f t="shared" si="19"/>
        <v>6.652266204600001</v>
      </c>
      <c r="AP104" s="9"/>
      <c r="AQ104" s="22">
        <v>1.35666</v>
      </c>
      <c r="AR104" s="22">
        <v>383.98200000000003</v>
      </c>
      <c r="AS104" s="22">
        <v>-1.71509E-2</v>
      </c>
      <c r="AT104" s="22">
        <v>94</v>
      </c>
      <c r="AU104" s="22">
        <v>1.3559000000000001</v>
      </c>
      <c r="AV104">
        <f t="shared" si="20"/>
        <v>17.1509</v>
      </c>
      <c r="AW104">
        <f t="shared" si="21"/>
        <v>23.267939993999999</v>
      </c>
      <c r="AX104" s="9"/>
      <c r="AY104" s="22">
        <v>0.37338300000000002</v>
      </c>
      <c r="AZ104" s="22">
        <v>478.25</v>
      </c>
      <c r="BA104" s="22">
        <v>-1.77948E-2</v>
      </c>
      <c r="BB104" s="22">
        <v>94</v>
      </c>
      <c r="BC104" s="22">
        <v>0.37298599999999998</v>
      </c>
      <c r="BD104">
        <f t="shared" si="22"/>
        <v>17.794799999999999</v>
      </c>
      <c r="BE104">
        <f t="shared" si="23"/>
        <v>6.6442758083999998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65.095200000000006</v>
      </c>
      <c r="I105" s="22">
        <v>6.0449200000000002E-2</v>
      </c>
      <c r="J105" s="22">
        <v>95</v>
      </c>
      <c r="K105" s="22">
        <v>8.2458500000000004E-2</v>
      </c>
      <c r="L105">
        <f t="shared" si="12"/>
        <v>-60.449200000000005</v>
      </c>
      <c r="M105">
        <f t="shared" si="13"/>
        <v>-81.704347704000014</v>
      </c>
      <c r="N105" s="9"/>
      <c r="O105" s="22">
        <v>0.37841799999999998</v>
      </c>
      <c r="P105" s="22">
        <v>137.31399999999999</v>
      </c>
      <c r="Q105" s="22">
        <v>-1.7990099999999998E-2</v>
      </c>
      <c r="R105" s="22">
        <v>95</v>
      </c>
      <c r="S105" s="22">
        <v>0.37762499999999999</v>
      </c>
      <c r="T105">
        <f t="shared" si="14"/>
        <v>17.990099999999998</v>
      </c>
      <c r="U105">
        <f t="shared" si="15"/>
        <v>6.8077776617999985</v>
      </c>
      <c r="X105" s="9"/>
      <c r="Y105" s="22">
        <v>1.35162</v>
      </c>
      <c r="Z105" s="22">
        <v>196.101</v>
      </c>
      <c r="AA105" s="22">
        <v>-1.72455E-2</v>
      </c>
      <c r="AB105" s="22">
        <v>95</v>
      </c>
      <c r="AC105" s="22">
        <v>1.35101</v>
      </c>
      <c r="AD105">
        <f t="shared" si="16"/>
        <v>17.2455</v>
      </c>
      <c r="AE105">
        <f t="shared" si="17"/>
        <v>23.309362710000002</v>
      </c>
      <c r="AF105" s="9"/>
      <c r="AG105" s="22">
        <v>0.37841799999999998</v>
      </c>
      <c r="AH105" s="22">
        <v>288.12</v>
      </c>
      <c r="AI105" s="22">
        <v>-1.7822299999999999E-2</v>
      </c>
      <c r="AJ105" s="22">
        <v>95</v>
      </c>
      <c r="AK105" s="22">
        <v>0.37796000000000002</v>
      </c>
      <c r="AL105">
        <f t="shared" si="18"/>
        <v>17.822299999999998</v>
      </c>
      <c r="AM105">
        <f t="shared" si="19"/>
        <v>6.7442791213999991</v>
      </c>
      <c r="AP105" s="9"/>
      <c r="AQ105" s="22">
        <v>1.35162</v>
      </c>
      <c r="AR105" s="22">
        <v>384.08199999999999</v>
      </c>
      <c r="AS105" s="22">
        <v>-1.7163100000000001E-2</v>
      </c>
      <c r="AT105" s="22">
        <v>95</v>
      </c>
      <c r="AU105" s="22">
        <v>1.3507100000000001</v>
      </c>
      <c r="AV105">
        <f t="shared" si="20"/>
        <v>17.1631</v>
      </c>
      <c r="AW105">
        <f t="shared" si="21"/>
        <v>23.197989222</v>
      </c>
      <c r="AX105" s="9"/>
      <c r="AY105" s="22">
        <v>0.37841799999999998</v>
      </c>
      <c r="AZ105" s="22">
        <v>478.351</v>
      </c>
      <c r="BA105" s="22">
        <v>-1.7788700000000001E-2</v>
      </c>
      <c r="BB105" s="22">
        <v>95</v>
      </c>
      <c r="BC105" s="22">
        <v>0.37783800000000001</v>
      </c>
      <c r="BD105">
        <f t="shared" si="22"/>
        <v>17.788700000000002</v>
      </c>
      <c r="BE105">
        <f t="shared" si="23"/>
        <v>6.7315642766000003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65.195899999999995</v>
      </c>
      <c r="I106" s="22">
        <v>6.0418699999999999E-2</v>
      </c>
      <c r="J106" s="22">
        <v>96</v>
      </c>
      <c r="K106" s="22">
        <v>8.2458500000000004E-2</v>
      </c>
      <c r="L106">
        <f t="shared" si="12"/>
        <v>-60.418700000000001</v>
      </c>
      <c r="M106">
        <f t="shared" si="13"/>
        <v>-81.359217232999995</v>
      </c>
      <c r="N106" s="9"/>
      <c r="O106" s="22">
        <v>0.38345299999999999</v>
      </c>
      <c r="P106" s="22">
        <v>137.41499999999999</v>
      </c>
      <c r="Q106" s="22">
        <v>-1.7981E-2</v>
      </c>
      <c r="R106" s="22">
        <v>96</v>
      </c>
      <c r="S106" s="22">
        <v>0.38287399999999999</v>
      </c>
      <c r="T106">
        <f t="shared" si="14"/>
        <v>17.981000000000002</v>
      </c>
      <c r="U106">
        <f t="shared" si="15"/>
        <v>6.8948683930000003</v>
      </c>
      <c r="X106" s="9"/>
      <c r="Y106" s="22">
        <v>1.34659</v>
      </c>
      <c r="Z106" s="22">
        <v>196.202</v>
      </c>
      <c r="AA106" s="22">
        <v>-1.7254599999999998E-2</v>
      </c>
      <c r="AB106" s="22">
        <v>96</v>
      </c>
      <c r="AC106" s="22">
        <v>1.34613</v>
      </c>
      <c r="AD106">
        <f t="shared" si="16"/>
        <v>17.2546</v>
      </c>
      <c r="AE106">
        <f t="shared" si="17"/>
        <v>23.234871813999998</v>
      </c>
      <c r="AF106" s="9"/>
      <c r="AG106" s="22">
        <v>0.38345299999999999</v>
      </c>
      <c r="AH106" s="22">
        <v>288.22000000000003</v>
      </c>
      <c r="AI106" s="22">
        <v>-1.7810099999999999E-2</v>
      </c>
      <c r="AJ106" s="22">
        <v>96</v>
      </c>
      <c r="AK106" s="22">
        <v>0.38226300000000002</v>
      </c>
      <c r="AL106">
        <f t="shared" si="18"/>
        <v>17.810099999999998</v>
      </c>
      <c r="AM106">
        <f t="shared" si="19"/>
        <v>6.8293362752999993</v>
      </c>
      <c r="AP106" s="9"/>
      <c r="AQ106" s="22">
        <v>1.34659</v>
      </c>
      <c r="AR106" s="22">
        <v>384.18299999999999</v>
      </c>
      <c r="AS106" s="22">
        <v>-1.7163100000000001E-2</v>
      </c>
      <c r="AT106" s="22">
        <v>96</v>
      </c>
      <c r="AU106" s="22">
        <v>1.34552</v>
      </c>
      <c r="AV106">
        <f t="shared" si="20"/>
        <v>17.1631</v>
      </c>
      <c r="AW106">
        <f t="shared" si="21"/>
        <v>23.111658829</v>
      </c>
      <c r="AX106" s="9"/>
      <c r="AY106" s="22">
        <v>0.38345299999999999</v>
      </c>
      <c r="AZ106" s="22">
        <v>478.452</v>
      </c>
      <c r="BA106" s="22">
        <v>-1.7782599999999999E-2</v>
      </c>
      <c r="BB106" s="22">
        <v>96</v>
      </c>
      <c r="BC106" s="22">
        <v>0.382965</v>
      </c>
      <c r="BD106">
        <f t="shared" si="22"/>
        <v>17.782599999999999</v>
      </c>
      <c r="BE106">
        <f t="shared" si="23"/>
        <v>6.8187913177999997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65.296599999999998</v>
      </c>
      <c r="I107" s="22">
        <v>6.0430900000000003E-2</v>
      </c>
      <c r="J107" s="22">
        <v>97</v>
      </c>
      <c r="K107" s="22">
        <v>8.2428000000000001E-2</v>
      </c>
      <c r="L107">
        <f t="shared" si="12"/>
        <v>-60.430900000000001</v>
      </c>
      <c r="M107">
        <f t="shared" si="13"/>
        <v>-81.071073894999998</v>
      </c>
      <c r="N107" s="9"/>
      <c r="O107" s="22">
        <v>0.38848899999999997</v>
      </c>
      <c r="P107" s="22">
        <v>137.51599999999999</v>
      </c>
      <c r="Q107" s="22">
        <v>-1.7987099999999999E-2</v>
      </c>
      <c r="R107" s="22">
        <v>97</v>
      </c>
      <c r="S107" s="22">
        <v>0.387604</v>
      </c>
      <c r="T107">
        <f t="shared" si="14"/>
        <v>17.987099999999998</v>
      </c>
      <c r="U107">
        <f t="shared" si="15"/>
        <v>6.9877904918999985</v>
      </c>
      <c r="X107" s="9"/>
      <c r="Y107" s="22">
        <v>1.34155</v>
      </c>
      <c r="Z107" s="22">
        <v>196.303</v>
      </c>
      <c r="AA107" s="22">
        <v>-1.7263799999999999E-2</v>
      </c>
      <c r="AB107" s="22">
        <v>97</v>
      </c>
      <c r="AC107" s="22">
        <v>1.3400300000000001</v>
      </c>
      <c r="AD107">
        <f t="shared" si="16"/>
        <v>17.2638</v>
      </c>
      <c r="AE107">
        <f t="shared" si="17"/>
        <v>23.16025089</v>
      </c>
      <c r="AF107" s="9"/>
      <c r="AG107" s="22">
        <v>0.38848899999999997</v>
      </c>
      <c r="AH107" s="22">
        <v>288.32100000000003</v>
      </c>
      <c r="AI107" s="22">
        <v>-1.7810099999999999E-2</v>
      </c>
      <c r="AJ107" s="22">
        <v>97</v>
      </c>
      <c r="AK107" s="22">
        <v>0.38800000000000001</v>
      </c>
      <c r="AL107">
        <f t="shared" si="18"/>
        <v>17.810099999999998</v>
      </c>
      <c r="AM107">
        <f t="shared" si="19"/>
        <v>6.9190279388999993</v>
      </c>
      <c r="AP107" s="9"/>
      <c r="AQ107" s="22">
        <v>1.34155</v>
      </c>
      <c r="AR107" s="22">
        <v>384.28399999999999</v>
      </c>
      <c r="AS107" s="22">
        <v>-1.7172199999999999E-2</v>
      </c>
      <c r="AT107" s="22">
        <v>97</v>
      </c>
      <c r="AU107" s="22">
        <v>1.3406400000000001</v>
      </c>
      <c r="AV107">
        <f t="shared" si="20"/>
        <v>17.1722</v>
      </c>
      <c r="AW107">
        <f t="shared" si="21"/>
        <v>23.037364910000001</v>
      </c>
      <c r="AX107" s="9"/>
      <c r="AY107" s="22">
        <v>0.38848899999999997</v>
      </c>
      <c r="AZ107" s="22">
        <v>478.55200000000002</v>
      </c>
      <c r="BA107" s="22">
        <v>-1.7782599999999999E-2</v>
      </c>
      <c r="BB107" s="22">
        <v>97</v>
      </c>
      <c r="BC107" s="22">
        <v>0.387909</v>
      </c>
      <c r="BD107">
        <f t="shared" si="22"/>
        <v>17.782599999999999</v>
      </c>
      <c r="BE107">
        <f t="shared" si="23"/>
        <v>6.9083444913999994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65.397300000000001</v>
      </c>
      <c r="I108" s="22">
        <v>6.0440099999999997E-2</v>
      </c>
      <c r="J108" s="22">
        <v>98</v>
      </c>
      <c r="K108" s="22">
        <v>8.2458500000000004E-2</v>
      </c>
      <c r="L108">
        <f t="shared" si="12"/>
        <v>-60.440099999999994</v>
      </c>
      <c r="M108">
        <f t="shared" si="13"/>
        <v>-80.779402451999985</v>
      </c>
      <c r="N108" s="9"/>
      <c r="O108" s="22">
        <v>0.39352399999999998</v>
      </c>
      <c r="P108" s="22">
        <v>137.61600000000001</v>
      </c>
      <c r="Q108" s="22">
        <v>-1.7987099999999999E-2</v>
      </c>
      <c r="R108" s="22">
        <v>98</v>
      </c>
      <c r="S108" s="22">
        <v>0.39269999999999999</v>
      </c>
      <c r="T108">
        <f t="shared" si="14"/>
        <v>17.987099999999998</v>
      </c>
      <c r="U108">
        <f t="shared" si="15"/>
        <v>7.0783555403999987</v>
      </c>
      <c r="X108" s="9"/>
      <c r="Y108" s="22">
        <v>1.3365199999999999</v>
      </c>
      <c r="Z108" s="22">
        <v>196.40299999999999</v>
      </c>
      <c r="AA108" s="22">
        <v>-1.7251599999999999E-2</v>
      </c>
      <c r="AB108" s="22">
        <v>98</v>
      </c>
      <c r="AC108" s="22">
        <v>1.33575</v>
      </c>
      <c r="AD108">
        <f t="shared" si="16"/>
        <v>17.2516</v>
      </c>
      <c r="AE108">
        <f t="shared" si="17"/>
        <v>23.057108432</v>
      </c>
      <c r="AF108" s="9"/>
      <c r="AG108" s="22">
        <v>0.39352399999999998</v>
      </c>
      <c r="AH108" s="22">
        <v>288.42200000000003</v>
      </c>
      <c r="AI108" s="22">
        <v>-1.7816200000000001E-2</v>
      </c>
      <c r="AJ108" s="22">
        <v>98</v>
      </c>
      <c r="AK108" s="22">
        <v>0.39285300000000001</v>
      </c>
      <c r="AL108">
        <f t="shared" si="18"/>
        <v>17.816200000000002</v>
      </c>
      <c r="AM108">
        <f t="shared" si="19"/>
        <v>7.011102288800001</v>
      </c>
      <c r="AP108" s="9"/>
      <c r="AQ108" s="22">
        <v>1.3365199999999999</v>
      </c>
      <c r="AR108" s="22">
        <v>384.38400000000001</v>
      </c>
      <c r="AS108" s="22">
        <v>-1.7181399999999999E-2</v>
      </c>
      <c r="AT108" s="22">
        <v>98</v>
      </c>
      <c r="AU108" s="22">
        <v>1.33606</v>
      </c>
      <c r="AV108">
        <f t="shared" si="20"/>
        <v>17.1814</v>
      </c>
      <c r="AW108">
        <f t="shared" si="21"/>
        <v>22.963284727999998</v>
      </c>
      <c r="AX108" s="9"/>
      <c r="AY108" s="22">
        <v>0.39352399999999998</v>
      </c>
      <c r="AZ108" s="22">
        <v>478.65300000000002</v>
      </c>
      <c r="BA108" s="22">
        <v>-1.7782599999999999E-2</v>
      </c>
      <c r="BB108" s="22">
        <v>98</v>
      </c>
      <c r="BC108" s="22">
        <v>0.39306600000000003</v>
      </c>
      <c r="BD108">
        <f t="shared" si="22"/>
        <v>17.782599999999999</v>
      </c>
      <c r="BE108">
        <f t="shared" si="23"/>
        <v>6.9978798823999995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65.498000000000005</v>
      </c>
      <c r="I109" s="22">
        <v>6.0388200000000003E-2</v>
      </c>
      <c r="J109" s="22">
        <v>99</v>
      </c>
      <c r="K109" s="22">
        <v>8.2519499999999996E-2</v>
      </c>
      <c r="L109">
        <f t="shared" si="12"/>
        <v>-60.388200000000005</v>
      </c>
      <c r="M109">
        <f t="shared" si="13"/>
        <v>-80.405680536000006</v>
      </c>
      <c r="N109" s="9"/>
      <c r="O109" s="22">
        <v>0.39856000000000003</v>
      </c>
      <c r="P109" s="22">
        <v>137.71700000000001</v>
      </c>
      <c r="Q109" s="22">
        <v>-1.7984E-2</v>
      </c>
      <c r="R109" s="22">
        <v>99</v>
      </c>
      <c r="S109" s="22">
        <v>0.397949</v>
      </c>
      <c r="T109">
        <f t="shared" si="14"/>
        <v>17.984000000000002</v>
      </c>
      <c r="U109">
        <f t="shared" si="15"/>
        <v>7.167703040000001</v>
      </c>
      <c r="X109" s="9"/>
      <c r="Y109" s="22">
        <v>1.33148</v>
      </c>
      <c r="Z109" s="22">
        <v>196.50399999999999</v>
      </c>
      <c r="AA109" s="22">
        <v>-1.7257700000000001E-2</v>
      </c>
      <c r="AB109" s="22">
        <v>99</v>
      </c>
      <c r="AC109" s="22">
        <v>1.33087</v>
      </c>
      <c r="AD109">
        <f t="shared" si="16"/>
        <v>17.2577</v>
      </c>
      <c r="AE109">
        <f t="shared" si="17"/>
        <v>22.978282396000001</v>
      </c>
      <c r="AF109" s="9"/>
      <c r="AG109" s="22">
        <v>0.39856000000000003</v>
      </c>
      <c r="AH109" s="22">
        <v>288.52300000000002</v>
      </c>
      <c r="AI109" s="22">
        <v>-1.7816200000000001E-2</v>
      </c>
      <c r="AJ109" s="22">
        <v>99</v>
      </c>
      <c r="AK109" s="22">
        <v>0.39807100000000001</v>
      </c>
      <c r="AL109">
        <f t="shared" si="18"/>
        <v>17.816200000000002</v>
      </c>
      <c r="AM109">
        <f t="shared" si="19"/>
        <v>7.1008246720000017</v>
      </c>
      <c r="AP109" s="9"/>
      <c r="AQ109" s="22">
        <v>1.33148</v>
      </c>
      <c r="AR109" s="22">
        <v>384.48500000000001</v>
      </c>
      <c r="AS109" s="22">
        <v>-1.7181399999999999E-2</v>
      </c>
      <c r="AT109" s="22">
        <v>99</v>
      </c>
      <c r="AU109" s="22">
        <v>1.33087</v>
      </c>
      <c r="AV109">
        <f t="shared" si="20"/>
        <v>17.1814</v>
      </c>
      <c r="AW109">
        <f t="shared" si="21"/>
        <v>22.876690472</v>
      </c>
      <c r="AX109" s="9"/>
      <c r="AY109" s="22">
        <v>0.39856000000000003</v>
      </c>
      <c r="AZ109" s="22">
        <v>478.75400000000002</v>
      </c>
      <c r="BA109" s="22">
        <v>-1.7770399999999999E-2</v>
      </c>
      <c r="BB109" s="22">
        <v>99</v>
      </c>
      <c r="BC109" s="22">
        <v>0.39831499999999997</v>
      </c>
      <c r="BD109">
        <f t="shared" si="22"/>
        <v>17.770399999999999</v>
      </c>
      <c r="BE109">
        <f t="shared" si="23"/>
        <v>7.0825706239999997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65.598699999999994</v>
      </c>
      <c r="I110" s="22">
        <v>6.03577E-2</v>
      </c>
      <c r="J110" s="22">
        <v>100</v>
      </c>
      <c r="K110" s="22">
        <v>8.2519499999999996E-2</v>
      </c>
      <c r="L110">
        <f t="shared" si="12"/>
        <v>-60.357700000000001</v>
      </c>
      <c r="M110">
        <f t="shared" si="13"/>
        <v>-80.061471165</v>
      </c>
      <c r="N110" s="9"/>
      <c r="O110" s="22">
        <v>0.40359499999999998</v>
      </c>
      <c r="P110" s="22">
        <v>137.81800000000001</v>
      </c>
      <c r="Q110" s="22">
        <v>-1.7987099999999999E-2</v>
      </c>
      <c r="R110" s="22">
        <v>100</v>
      </c>
      <c r="S110" s="22">
        <v>0.40325899999999998</v>
      </c>
      <c r="T110">
        <f t="shared" si="14"/>
        <v>17.987099999999998</v>
      </c>
      <c r="U110">
        <f t="shared" si="15"/>
        <v>7.2595036244999989</v>
      </c>
      <c r="X110" s="9"/>
      <c r="Y110" s="22">
        <v>1.3264499999999999</v>
      </c>
      <c r="Z110" s="22">
        <v>196.60499999999999</v>
      </c>
      <c r="AA110" s="22">
        <v>-1.7269900000000001E-2</v>
      </c>
      <c r="AB110" s="22">
        <v>100</v>
      </c>
      <c r="AC110" s="22">
        <v>1.32599</v>
      </c>
      <c r="AD110">
        <f t="shared" si="16"/>
        <v>17.2699</v>
      </c>
      <c r="AE110">
        <f t="shared" si="17"/>
        <v>22.907658854999998</v>
      </c>
      <c r="AF110" s="9"/>
      <c r="AG110" s="22">
        <v>0.40359499999999998</v>
      </c>
      <c r="AH110" s="22">
        <v>288.62299999999999</v>
      </c>
      <c r="AI110" s="22">
        <v>-1.7807E-2</v>
      </c>
      <c r="AJ110" s="22">
        <v>100</v>
      </c>
      <c r="AK110" s="22">
        <v>0.40283200000000002</v>
      </c>
      <c r="AL110">
        <f t="shared" si="18"/>
        <v>17.806999999999999</v>
      </c>
      <c r="AM110">
        <f t="shared" si="19"/>
        <v>7.1868161649999989</v>
      </c>
      <c r="AP110" s="9"/>
      <c r="AQ110" s="22">
        <v>1.3264499999999999</v>
      </c>
      <c r="AR110" s="22">
        <v>384.58600000000001</v>
      </c>
      <c r="AS110" s="22">
        <v>-1.7187500000000001E-2</v>
      </c>
      <c r="AT110" s="22">
        <v>100</v>
      </c>
      <c r="AU110" s="22">
        <v>1.32507</v>
      </c>
      <c r="AV110">
        <f t="shared" si="20"/>
        <v>17.1875</v>
      </c>
      <c r="AW110">
        <f t="shared" si="21"/>
        <v>22.798359374999997</v>
      </c>
      <c r="AX110" s="9"/>
      <c r="AY110" s="22">
        <v>0.40359499999999998</v>
      </c>
      <c r="AZ110" s="22">
        <v>478.85399999999998</v>
      </c>
      <c r="BA110" s="22">
        <v>-1.7773400000000002E-2</v>
      </c>
      <c r="BB110" s="22">
        <v>100</v>
      </c>
      <c r="BC110" s="22">
        <v>0.40338099999999999</v>
      </c>
      <c r="BD110">
        <f t="shared" si="22"/>
        <v>17.773400000000002</v>
      </c>
      <c r="BE110">
        <f t="shared" si="23"/>
        <v>7.1732553730000008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65.699399999999997</v>
      </c>
      <c r="I111" s="22">
        <v>6.03577E-2</v>
      </c>
      <c r="J111" s="22">
        <v>101</v>
      </c>
      <c r="K111" s="22">
        <v>8.2519499999999996E-2</v>
      </c>
      <c r="L111">
        <f t="shared" si="12"/>
        <v>-60.357700000000001</v>
      </c>
      <c r="M111">
        <f t="shared" si="13"/>
        <v>-79.757268357000001</v>
      </c>
      <c r="N111" s="9"/>
      <c r="O111" s="22">
        <v>0.40862999999999999</v>
      </c>
      <c r="P111" s="22">
        <v>137.91900000000001</v>
      </c>
      <c r="Q111" s="22">
        <v>-1.7981E-2</v>
      </c>
      <c r="R111" s="22">
        <v>101</v>
      </c>
      <c r="S111" s="22">
        <v>0.40890500000000002</v>
      </c>
      <c r="T111">
        <f t="shared" si="14"/>
        <v>17.981000000000002</v>
      </c>
      <c r="U111">
        <f t="shared" si="15"/>
        <v>7.3475760300000008</v>
      </c>
      <c r="X111" s="9"/>
      <c r="Y111" s="22">
        <v>1.32141</v>
      </c>
      <c r="Z111" s="22">
        <v>196.70500000000001</v>
      </c>
      <c r="AA111" s="22">
        <v>-1.7276E-2</v>
      </c>
      <c r="AB111" s="22">
        <v>101</v>
      </c>
      <c r="AC111" s="22">
        <v>1.32111</v>
      </c>
      <c r="AD111">
        <f t="shared" si="16"/>
        <v>17.276</v>
      </c>
      <c r="AE111">
        <f t="shared" si="17"/>
        <v>22.82867916</v>
      </c>
      <c r="AF111" s="9"/>
      <c r="AG111" s="22">
        <v>0.40862999999999999</v>
      </c>
      <c r="AH111" s="22">
        <v>288.72399999999999</v>
      </c>
      <c r="AI111" s="22">
        <v>-1.7807E-2</v>
      </c>
      <c r="AJ111" s="22">
        <v>101</v>
      </c>
      <c r="AK111" s="22">
        <v>0.40795900000000002</v>
      </c>
      <c r="AL111">
        <f t="shared" si="18"/>
        <v>17.806999999999999</v>
      </c>
      <c r="AM111">
        <f t="shared" si="19"/>
        <v>7.2764744099999996</v>
      </c>
      <c r="AP111" s="9"/>
      <c r="AQ111" s="22">
        <v>1.32141</v>
      </c>
      <c r="AR111" s="22">
        <v>384.68700000000001</v>
      </c>
      <c r="AS111" s="22">
        <v>-1.7178300000000001E-2</v>
      </c>
      <c r="AT111" s="22">
        <v>101</v>
      </c>
      <c r="AU111" s="22">
        <v>1.3208</v>
      </c>
      <c r="AV111">
        <f t="shared" si="20"/>
        <v>17.1783</v>
      </c>
      <c r="AW111">
        <f t="shared" si="21"/>
        <v>22.699577402999999</v>
      </c>
      <c r="AX111" s="9"/>
      <c r="AY111" s="22">
        <v>0.40862999999999999</v>
      </c>
      <c r="AZ111" s="22">
        <v>478.95499999999998</v>
      </c>
      <c r="BA111" s="22">
        <v>-1.77673E-2</v>
      </c>
      <c r="BB111" s="22">
        <v>101</v>
      </c>
      <c r="BC111" s="22">
        <v>0.40783700000000001</v>
      </c>
      <c r="BD111">
        <f t="shared" si="22"/>
        <v>17.767299999999999</v>
      </c>
      <c r="BE111">
        <f t="shared" si="23"/>
        <v>7.2602517989999997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65.8001</v>
      </c>
      <c r="I112" s="22">
        <v>6.0299699999999998E-2</v>
      </c>
      <c r="J112" s="22">
        <v>102</v>
      </c>
      <c r="K112" s="22">
        <v>8.2458500000000004E-2</v>
      </c>
      <c r="L112">
        <f t="shared" si="12"/>
        <v>-60.299699999999994</v>
      </c>
      <c r="M112">
        <f t="shared" si="13"/>
        <v>-79.377319086</v>
      </c>
      <c r="N112" s="9"/>
      <c r="O112" s="22">
        <v>0.41366599999999998</v>
      </c>
      <c r="P112" s="22">
        <v>138.01900000000001</v>
      </c>
      <c r="Q112" s="22">
        <v>-1.7974899999999999E-2</v>
      </c>
      <c r="R112" s="22">
        <v>102</v>
      </c>
      <c r="S112" s="22">
        <v>0.41271999999999998</v>
      </c>
      <c r="T112">
        <f t="shared" si="14"/>
        <v>17.974899999999998</v>
      </c>
      <c r="U112">
        <f t="shared" si="15"/>
        <v>7.4356049833999984</v>
      </c>
      <c r="X112" s="9"/>
      <c r="Y112" s="22">
        <v>1.3163800000000001</v>
      </c>
      <c r="Z112" s="22">
        <v>196.80600000000001</v>
      </c>
      <c r="AA112" s="22">
        <v>-1.7279099999999999E-2</v>
      </c>
      <c r="AB112" s="22">
        <v>102</v>
      </c>
      <c r="AC112" s="22">
        <v>1.31531</v>
      </c>
      <c r="AD112">
        <f t="shared" si="16"/>
        <v>17.2791</v>
      </c>
      <c r="AE112">
        <f t="shared" si="17"/>
        <v>22.745861658000003</v>
      </c>
      <c r="AF112" s="9"/>
      <c r="AG112" s="22">
        <v>0.41366599999999998</v>
      </c>
      <c r="AH112" s="22">
        <v>288.82499999999999</v>
      </c>
      <c r="AI112" s="22">
        <v>-1.7800900000000001E-2</v>
      </c>
      <c r="AJ112" s="22">
        <v>102</v>
      </c>
      <c r="AK112" s="22">
        <v>0.41366599999999998</v>
      </c>
      <c r="AL112">
        <f t="shared" si="18"/>
        <v>17.800900000000002</v>
      </c>
      <c r="AM112">
        <f t="shared" si="19"/>
        <v>7.3636270994000004</v>
      </c>
      <c r="AP112" s="9"/>
      <c r="AQ112" s="22">
        <v>1.3163800000000001</v>
      </c>
      <c r="AR112" s="22">
        <v>384.78699999999998</v>
      </c>
      <c r="AS112" s="22">
        <v>-1.7178300000000001E-2</v>
      </c>
      <c r="AT112" s="22">
        <v>102</v>
      </c>
      <c r="AU112" s="22">
        <v>1.3156099999999999</v>
      </c>
      <c r="AV112">
        <f t="shared" si="20"/>
        <v>17.1783</v>
      </c>
      <c r="AW112">
        <f t="shared" si="21"/>
        <v>22.613170554000003</v>
      </c>
      <c r="AX112" s="9"/>
      <c r="AY112" s="22">
        <v>0.41366599999999998</v>
      </c>
      <c r="AZ112" s="22">
        <v>479.05599999999998</v>
      </c>
      <c r="BA112" s="22">
        <v>-1.77643E-2</v>
      </c>
      <c r="BB112" s="22">
        <v>102</v>
      </c>
      <c r="BC112" s="22">
        <v>0.41308600000000001</v>
      </c>
      <c r="BD112">
        <f t="shared" si="22"/>
        <v>17.764299999999999</v>
      </c>
      <c r="BE112">
        <f t="shared" si="23"/>
        <v>7.3484869237999995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65.900800000000004</v>
      </c>
      <c r="I113" s="22">
        <v>6.0220299999999997E-2</v>
      </c>
      <c r="J113" s="22">
        <v>103</v>
      </c>
      <c r="K113" s="22">
        <v>8.2458500000000004E-2</v>
      </c>
      <c r="L113">
        <f t="shared" si="12"/>
        <v>-60.220299999999995</v>
      </c>
      <c r="M113">
        <f t="shared" si="13"/>
        <v>-78.969288201999987</v>
      </c>
      <c r="N113" s="9"/>
      <c r="O113" s="22">
        <v>0.41870099999999999</v>
      </c>
      <c r="P113" s="22">
        <v>138.12</v>
      </c>
      <c r="Q113" s="22">
        <v>-1.79718E-2</v>
      </c>
      <c r="R113" s="22">
        <v>103</v>
      </c>
      <c r="S113" s="22">
        <v>0.41830400000000001</v>
      </c>
      <c r="T113">
        <f t="shared" si="14"/>
        <v>17.971799999999998</v>
      </c>
      <c r="U113">
        <f t="shared" si="15"/>
        <v>7.5248106317999994</v>
      </c>
      <c r="X113" s="9"/>
      <c r="Y113" s="22">
        <v>1.31134</v>
      </c>
      <c r="Z113" s="22">
        <v>196.90700000000001</v>
      </c>
      <c r="AA113" s="22">
        <v>-1.7291299999999999E-2</v>
      </c>
      <c r="AB113" s="22">
        <v>103</v>
      </c>
      <c r="AC113" s="22">
        <v>1.3104199999999999</v>
      </c>
      <c r="AD113">
        <f t="shared" si="16"/>
        <v>17.2913</v>
      </c>
      <c r="AE113">
        <f t="shared" si="17"/>
        <v>22.674773341999998</v>
      </c>
      <c r="AF113" s="9"/>
      <c r="AG113" s="22">
        <v>0.41870099999999999</v>
      </c>
      <c r="AH113" s="22">
        <v>288.92500000000001</v>
      </c>
      <c r="AI113" s="22">
        <v>-1.7791700000000001E-2</v>
      </c>
      <c r="AJ113" s="22">
        <v>103</v>
      </c>
      <c r="AK113" s="22">
        <v>0.41833500000000001</v>
      </c>
      <c r="AL113">
        <f t="shared" si="18"/>
        <v>17.791700000000002</v>
      </c>
      <c r="AM113">
        <f t="shared" si="19"/>
        <v>7.4494025817000011</v>
      </c>
      <c r="AP113" s="9"/>
      <c r="AQ113" s="22">
        <v>1.31134</v>
      </c>
      <c r="AR113" s="22">
        <v>384.88799999999998</v>
      </c>
      <c r="AS113" s="22">
        <v>-1.7187500000000001E-2</v>
      </c>
      <c r="AT113" s="22">
        <v>103</v>
      </c>
      <c r="AU113" s="22">
        <v>1.3104199999999999</v>
      </c>
      <c r="AV113">
        <f t="shared" si="20"/>
        <v>17.1875</v>
      </c>
      <c r="AW113">
        <f t="shared" si="21"/>
        <v>22.538656249999999</v>
      </c>
      <c r="AX113" s="9"/>
      <c r="AY113" s="22">
        <v>0.41870099999999999</v>
      </c>
      <c r="AZ113" s="22">
        <v>479.15699999999998</v>
      </c>
      <c r="BA113" s="22">
        <v>-1.77673E-2</v>
      </c>
      <c r="BB113" s="22">
        <v>103</v>
      </c>
      <c r="BC113" s="22">
        <v>0.41824299999999998</v>
      </c>
      <c r="BD113">
        <f t="shared" si="22"/>
        <v>17.767299999999999</v>
      </c>
      <c r="BE113">
        <f t="shared" si="23"/>
        <v>7.4391862772999993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66.001499999999993</v>
      </c>
      <c r="I114" s="22">
        <v>6.02356E-2</v>
      </c>
      <c r="J114" s="22">
        <v>104</v>
      </c>
      <c r="K114" s="22">
        <v>8.2489000000000007E-2</v>
      </c>
      <c r="L114">
        <f t="shared" si="12"/>
        <v>-60.235599999999998</v>
      </c>
      <c r="M114">
        <f t="shared" si="13"/>
        <v>-78.685764280000001</v>
      </c>
      <c r="N114" s="9"/>
      <c r="O114" s="22">
        <v>0.42373699999999997</v>
      </c>
      <c r="P114" s="22">
        <v>138.221</v>
      </c>
      <c r="Q114" s="22">
        <v>-1.79718E-2</v>
      </c>
      <c r="R114" s="22">
        <v>104</v>
      </c>
      <c r="S114" s="22">
        <v>0.42388900000000002</v>
      </c>
      <c r="T114">
        <f t="shared" si="14"/>
        <v>17.971799999999998</v>
      </c>
      <c r="U114">
        <f t="shared" si="15"/>
        <v>7.6153166165999986</v>
      </c>
      <c r="X114" s="9"/>
      <c r="Y114" s="22">
        <v>1.3063</v>
      </c>
      <c r="Z114" s="22">
        <v>197.00800000000001</v>
      </c>
      <c r="AA114" s="22">
        <v>-1.7279099999999999E-2</v>
      </c>
      <c r="AB114" s="22">
        <v>104</v>
      </c>
      <c r="AC114" s="22">
        <v>1.3067599999999999</v>
      </c>
      <c r="AD114">
        <f t="shared" si="16"/>
        <v>17.2791</v>
      </c>
      <c r="AE114">
        <f t="shared" si="17"/>
        <v>22.571688330000001</v>
      </c>
      <c r="AF114" s="9"/>
      <c r="AG114" s="22">
        <v>0.42373699999999997</v>
      </c>
      <c r="AH114" s="22">
        <v>289.02600000000001</v>
      </c>
      <c r="AI114" s="22">
        <v>-1.77795E-2</v>
      </c>
      <c r="AJ114" s="22">
        <v>104</v>
      </c>
      <c r="AK114" s="22">
        <v>0.424072</v>
      </c>
      <c r="AL114">
        <f t="shared" si="18"/>
        <v>17.779499999999999</v>
      </c>
      <c r="AM114">
        <f t="shared" si="19"/>
        <v>7.5338319914999987</v>
      </c>
      <c r="AP114" s="9"/>
      <c r="AQ114" s="22">
        <v>1.3063</v>
      </c>
      <c r="AR114" s="22">
        <v>384.98899999999998</v>
      </c>
      <c r="AS114" s="22">
        <v>-1.71936E-2</v>
      </c>
      <c r="AT114" s="22">
        <v>104</v>
      </c>
      <c r="AU114" s="22">
        <v>1.30585</v>
      </c>
      <c r="AV114">
        <f t="shared" si="20"/>
        <v>17.1936</v>
      </c>
      <c r="AW114">
        <f t="shared" si="21"/>
        <v>22.459999679999999</v>
      </c>
      <c r="AX114" s="9"/>
      <c r="AY114" s="22">
        <v>0.42373699999999997</v>
      </c>
      <c r="AZ114" s="22">
        <v>479.25700000000001</v>
      </c>
      <c r="BA114" s="22">
        <v>-1.77643E-2</v>
      </c>
      <c r="BB114" s="22">
        <v>104</v>
      </c>
      <c r="BC114" s="22">
        <v>0.42373699999999997</v>
      </c>
      <c r="BD114">
        <f t="shared" si="22"/>
        <v>17.764299999999999</v>
      </c>
      <c r="BE114">
        <f t="shared" si="23"/>
        <v>7.5273911890999994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66.102199999999996</v>
      </c>
      <c r="I115" s="22">
        <v>6.0205099999999998E-2</v>
      </c>
      <c r="J115" s="22">
        <v>105</v>
      </c>
      <c r="K115" s="22">
        <v>8.2428000000000001E-2</v>
      </c>
      <c r="L115">
        <f t="shared" si="12"/>
        <v>-60.205099999999995</v>
      </c>
      <c r="M115">
        <f t="shared" si="13"/>
        <v>-78.34309047699999</v>
      </c>
      <c r="N115" s="9"/>
      <c r="O115" s="22">
        <v>0.42877199999999999</v>
      </c>
      <c r="P115" s="22">
        <v>138.321</v>
      </c>
      <c r="Q115" s="22">
        <v>-1.7974899999999999E-2</v>
      </c>
      <c r="R115" s="22">
        <v>105</v>
      </c>
      <c r="S115" s="22">
        <v>0.42864999999999998</v>
      </c>
      <c r="T115">
        <f t="shared" si="14"/>
        <v>17.974899999999998</v>
      </c>
      <c r="U115">
        <f t="shared" si="15"/>
        <v>7.7071338227999986</v>
      </c>
      <c r="X115" s="9"/>
      <c r="Y115" s="22">
        <v>1.3012699999999999</v>
      </c>
      <c r="Z115" s="22">
        <v>197.108</v>
      </c>
      <c r="AA115" s="22">
        <v>-1.7294299999999999E-2</v>
      </c>
      <c r="AB115" s="22">
        <v>105</v>
      </c>
      <c r="AC115" s="22">
        <v>1.3006599999999999</v>
      </c>
      <c r="AD115">
        <f t="shared" si="16"/>
        <v>17.2943</v>
      </c>
      <c r="AE115">
        <f t="shared" si="17"/>
        <v>22.504553760999997</v>
      </c>
      <c r="AF115" s="9"/>
      <c r="AG115" s="22">
        <v>0.42877199999999999</v>
      </c>
      <c r="AH115" s="22">
        <v>289.12700000000001</v>
      </c>
      <c r="AI115" s="22">
        <v>-1.7782599999999999E-2</v>
      </c>
      <c r="AJ115" s="22">
        <v>105</v>
      </c>
      <c r="AK115" s="22">
        <v>0.42816199999999999</v>
      </c>
      <c r="AL115">
        <f t="shared" si="18"/>
        <v>17.782599999999999</v>
      </c>
      <c r="AM115">
        <f t="shared" si="19"/>
        <v>7.6246809671999989</v>
      </c>
      <c r="AP115" s="9"/>
      <c r="AQ115" s="22">
        <v>1.3012699999999999</v>
      </c>
      <c r="AR115" s="22">
        <v>385.089</v>
      </c>
      <c r="AS115" s="22">
        <v>-1.7196699999999999E-2</v>
      </c>
      <c r="AT115" s="22">
        <v>105</v>
      </c>
      <c r="AU115" s="22">
        <v>1.3006599999999999</v>
      </c>
      <c r="AV115">
        <f t="shared" si="20"/>
        <v>17.1967</v>
      </c>
      <c r="AW115">
        <f t="shared" si="21"/>
        <v>22.377549808999998</v>
      </c>
      <c r="AX115" s="9"/>
      <c r="AY115" s="22">
        <v>0.42877199999999999</v>
      </c>
      <c r="AZ115" s="22">
        <v>479.358</v>
      </c>
      <c r="BA115" s="22">
        <v>-1.77673E-2</v>
      </c>
      <c r="BB115" s="22">
        <v>105</v>
      </c>
      <c r="BC115" s="22">
        <v>0.428284</v>
      </c>
      <c r="BD115">
        <f t="shared" si="22"/>
        <v>17.767299999999999</v>
      </c>
      <c r="BE115">
        <f t="shared" si="23"/>
        <v>7.6181207555999988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66.2029</v>
      </c>
      <c r="I116" s="22">
        <v>6.0186799999999999E-2</v>
      </c>
      <c r="J116" s="22">
        <v>106</v>
      </c>
      <c r="K116" s="22">
        <v>8.2458500000000004E-2</v>
      </c>
      <c r="L116">
        <f t="shared" si="12"/>
        <v>-60.186799999999998</v>
      </c>
      <c r="M116">
        <f t="shared" si="13"/>
        <v>-78.015935763999991</v>
      </c>
      <c r="N116" s="9"/>
      <c r="O116" s="22">
        <v>0.433807</v>
      </c>
      <c r="P116" s="22">
        <v>138.422</v>
      </c>
      <c r="Q116" s="22">
        <v>-1.79688E-2</v>
      </c>
      <c r="R116" s="22">
        <v>106</v>
      </c>
      <c r="S116" s="22">
        <v>0.43310500000000002</v>
      </c>
      <c r="T116">
        <f t="shared" si="14"/>
        <v>17.968800000000002</v>
      </c>
      <c r="U116">
        <f t="shared" si="15"/>
        <v>7.794991221600001</v>
      </c>
      <c r="X116" s="9"/>
      <c r="Y116" s="22">
        <v>1.29623</v>
      </c>
      <c r="Z116" s="22">
        <v>197.209</v>
      </c>
      <c r="AA116" s="22">
        <v>-1.7297400000000001E-2</v>
      </c>
      <c r="AB116" s="22">
        <v>106</v>
      </c>
      <c r="AC116" s="22">
        <v>1.2957799999999999</v>
      </c>
      <c r="AD116">
        <f t="shared" si="16"/>
        <v>17.2974</v>
      </c>
      <c r="AE116">
        <f t="shared" si="17"/>
        <v>22.421408801999998</v>
      </c>
      <c r="AF116" s="9"/>
      <c r="AG116" s="22">
        <v>0.433807</v>
      </c>
      <c r="AH116" s="22">
        <v>289.22800000000001</v>
      </c>
      <c r="AI116" s="22">
        <v>-1.7782599999999999E-2</v>
      </c>
      <c r="AJ116" s="22">
        <v>106</v>
      </c>
      <c r="AK116" s="22">
        <v>0.43310500000000002</v>
      </c>
      <c r="AL116">
        <f t="shared" si="18"/>
        <v>17.782599999999999</v>
      </c>
      <c r="AM116">
        <f t="shared" si="19"/>
        <v>7.714216358199999</v>
      </c>
      <c r="AP116" s="9"/>
      <c r="AQ116" s="22">
        <v>1.29623</v>
      </c>
      <c r="AR116" s="22">
        <v>385.19</v>
      </c>
      <c r="AS116" s="22">
        <v>-1.7202800000000001E-2</v>
      </c>
      <c r="AT116" s="22">
        <v>106</v>
      </c>
      <c r="AU116" s="22">
        <v>1.2957799999999999</v>
      </c>
      <c r="AV116">
        <f t="shared" si="20"/>
        <v>17.2028</v>
      </c>
      <c r="AW116">
        <f t="shared" si="21"/>
        <v>22.298785444</v>
      </c>
      <c r="AX116" s="9"/>
      <c r="AY116" s="22">
        <v>0.433807</v>
      </c>
      <c r="AZ116" s="22">
        <v>479.459</v>
      </c>
      <c r="BA116" s="22">
        <v>-1.7749000000000001E-2</v>
      </c>
      <c r="BB116" s="22">
        <v>106</v>
      </c>
      <c r="BC116" s="22">
        <v>0.43341099999999999</v>
      </c>
      <c r="BD116">
        <f t="shared" si="22"/>
        <v>17.749000000000002</v>
      </c>
      <c r="BE116">
        <f t="shared" si="23"/>
        <v>7.6996404430000007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66.303600000000003</v>
      </c>
      <c r="I117" s="22">
        <v>6.0199000000000003E-2</v>
      </c>
      <c r="J117" s="22">
        <v>107</v>
      </c>
      <c r="K117" s="22">
        <v>8.2397499999999999E-2</v>
      </c>
      <c r="L117">
        <f t="shared" si="12"/>
        <v>-60.199000000000005</v>
      </c>
      <c r="M117">
        <f t="shared" si="13"/>
        <v>-77.728948799999998</v>
      </c>
      <c r="N117" s="9"/>
      <c r="O117" s="22">
        <v>0.43884299999999998</v>
      </c>
      <c r="P117" s="22">
        <v>138.523</v>
      </c>
      <c r="Q117" s="22">
        <v>-1.7959599999999999E-2</v>
      </c>
      <c r="R117" s="22">
        <v>107</v>
      </c>
      <c r="S117" s="22">
        <v>0.43847700000000001</v>
      </c>
      <c r="T117">
        <f t="shared" si="14"/>
        <v>17.959599999999998</v>
      </c>
      <c r="U117">
        <f t="shared" si="15"/>
        <v>7.8814447427999985</v>
      </c>
      <c r="X117" s="9"/>
      <c r="Y117" s="22">
        <v>1.2911999999999999</v>
      </c>
      <c r="Z117" s="22">
        <v>197.31</v>
      </c>
      <c r="AA117" s="22">
        <v>-1.7294299999999999E-2</v>
      </c>
      <c r="AB117" s="22">
        <v>107</v>
      </c>
      <c r="AC117" s="22">
        <v>1.2905899999999999</v>
      </c>
      <c r="AD117">
        <f t="shared" si="16"/>
        <v>17.2943</v>
      </c>
      <c r="AE117">
        <f t="shared" si="17"/>
        <v>22.330400159999996</v>
      </c>
      <c r="AF117" s="9"/>
      <c r="AG117" s="22">
        <v>0.43884299999999998</v>
      </c>
      <c r="AH117" s="22">
        <v>289.32799999999997</v>
      </c>
      <c r="AI117" s="22">
        <v>-1.7773400000000002E-2</v>
      </c>
      <c r="AJ117" s="22">
        <v>107</v>
      </c>
      <c r="AK117" s="22">
        <v>0.43826300000000001</v>
      </c>
      <c r="AL117">
        <f t="shared" si="18"/>
        <v>17.773400000000002</v>
      </c>
      <c r="AM117">
        <f t="shared" si="19"/>
        <v>7.7997321762000009</v>
      </c>
      <c r="AP117" s="9"/>
      <c r="AQ117" s="22">
        <v>1.2911999999999999</v>
      </c>
      <c r="AR117" s="22">
        <v>385.291</v>
      </c>
      <c r="AS117" s="22">
        <v>-1.72058E-2</v>
      </c>
      <c r="AT117" s="22">
        <v>107</v>
      </c>
      <c r="AU117" s="22">
        <v>1.2896700000000001</v>
      </c>
      <c r="AV117">
        <f t="shared" si="20"/>
        <v>17.2058</v>
      </c>
      <c r="AW117">
        <f t="shared" si="21"/>
        <v>22.216128959999999</v>
      </c>
      <c r="AX117" s="9"/>
      <c r="AY117" s="22">
        <v>0.43884299999999998</v>
      </c>
      <c r="AZ117" s="22">
        <v>479.55900000000003</v>
      </c>
      <c r="BA117" s="22">
        <v>-1.77643E-2</v>
      </c>
      <c r="BB117" s="22">
        <v>107</v>
      </c>
      <c r="BC117" s="22">
        <v>0.43820199999999998</v>
      </c>
      <c r="BD117">
        <f t="shared" si="22"/>
        <v>17.764299999999999</v>
      </c>
      <c r="BE117">
        <f t="shared" si="23"/>
        <v>7.7957387048999989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66.404399999999995</v>
      </c>
      <c r="I118" s="22">
        <v>6.0150099999999998E-2</v>
      </c>
      <c r="J118" s="22">
        <v>108</v>
      </c>
      <c r="K118" s="22">
        <v>8.2366900000000007E-2</v>
      </c>
      <c r="L118">
        <f t="shared" si="12"/>
        <v>-60.150099999999995</v>
      </c>
      <c r="M118">
        <f t="shared" si="13"/>
        <v>-77.362652615999991</v>
      </c>
      <c r="N118" s="9"/>
      <c r="O118" s="22">
        <v>0.44387799999999999</v>
      </c>
      <c r="P118" s="22">
        <v>138.624</v>
      </c>
      <c r="Q118" s="22">
        <v>-1.79565E-2</v>
      </c>
      <c r="R118" s="22">
        <v>108</v>
      </c>
      <c r="S118" s="22">
        <v>0.44381700000000002</v>
      </c>
      <c r="T118">
        <f t="shared" si="14"/>
        <v>17.956500000000002</v>
      </c>
      <c r="U118">
        <f t="shared" si="15"/>
        <v>7.9704953070000011</v>
      </c>
      <c r="X118" s="9"/>
      <c r="Y118" s="22">
        <v>1.28616</v>
      </c>
      <c r="Z118" s="22">
        <v>197.41</v>
      </c>
      <c r="AA118" s="22">
        <v>-1.73004E-2</v>
      </c>
      <c r="AB118" s="22">
        <v>108</v>
      </c>
      <c r="AC118" s="22">
        <v>1.2850999999999999</v>
      </c>
      <c r="AD118">
        <f t="shared" si="16"/>
        <v>17.3004</v>
      </c>
      <c r="AE118">
        <f t="shared" si="17"/>
        <v>22.251082464</v>
      </c>
      <c r="AF118" s="9"/>
      <c r="AG118" s="22">
        <v>0.44387799999999999</v>
      </c>
      <c r="AH118" s="22">
        <v>289.42899999999997</v>
      </c>
      <c r="AI118" s="22">
        <v>-1.7770399999999999E-2</v>
      </c>
      <c r="AJ118" s="22">
        <v>108</v>
      </c>
      <c r="AK118" s="22">
        <v>0.44323699999999999</v>
      </c>
      <c r="AL118">
        <f t="shared" si="18"/>
        <v>17.770399999999999</v>
      </c>
      <c r="AM118">
        <f t="shared" si="19"/>
        <v>7.8878896111999994</v>
      </c>
      <c r="AP118" s="9"/>
      <c r="AQ118" s="22">
        <v>1.28616</v>
      </c>
      <c r="AR118" s="22">
        <v>385.392</v>
      </c>
      <c r="AS118" s="22">
        <v>-1.7211899999999999E-2</v>
      </c>
      <c r="AT118" s="22">
        <v>108</v>
      </c>
      <c r="AU118" s="22">
        <v>1.2857099999999999</v>
      </c>
      <c r="AV118">
        <f t="shared" si="20"/>
        <v>17.2119</v>
      </c>
      <c r="AW118">
        <f t="shared" si="21"/>
        <v>22.137257303999998</v>
      </c>
      <c r="AX118" s="9"/>
      <c r="AY118" s="22">
        <v>0.44387799999999999</v>
      </c>
      <c r="AZ118" s="22">
        <v>479.66</v>
      </c>
      <c r="BA118" s="22">
        <v>-1.7758199999999998E-2</v>
      </c>
      <c r="BB118" s="22">
        <v>108</v>
      </c>
      <c r="BC118" s="22">
        <v>0.44323699999999999</v>
      </c>
      <c r="BD118">
        <f t="shared" si="22"/>
        <v>17.758199999999999</v>
      </c>
      <c r="BE118">
        <f t="shared" si="23"/>
        <v>7.8824742995999992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66.505099999999999</v>
      </c>
      <c r="I119" s="22">
        <v>6.0104400000000002E-2</v>
      </c>
      <c r="J119" s="22">
        <v>109</v>
      </c>
      <c r="K119" s="22">
        <v>8.2428000000000001E-2</v>
      </c>
      <c r="L119">
        <f t="shared" si="12"/>
        <v>-60.104400000000005</v>
      </c>
      <c r="M119">
        <f t="shared" si="13"/>
        <v>-77.001549972000007</v>
      </c>
      <c r="N119" s="9"/>
      <c r="O119" s="22">
        <v>0.44891399999999998</v>
      </c>
      <c r="P119" s="22">
        <v>138.72399999999999</v>
      </c>
      <c r="Q119" s="22">
        <v>-1.7959599999999999E-2</v>
      </c>
      <c r="R119" s="22">
        <v>109</v>
      </c>
      <c r="S119" s="22">
        <v>0.44812000000000002</v>
      </c>
      <c r="T119">
        <f t="shared" si="14"/>
        <v>17.959599999999998</v>
      </c>
      <c r="U119">
        <f t="shared" si="15"/>
        <v>8.0623158743999994</v>
      </c>
      <c r="X119" s="9"/>
      <c r="Y119" s="22">
        <v>1.2811300000000001</v>
      </c>
      <c r="Z119" s="22">
        <v>197.511</v>
      </c>
      <c r="AA119" s="22">
        <v>-1.7303499999999999E-2</v>
      </c>
      <c r="AB119" s="22">
        <v>109</v>
      </c>
      <c r="AC119" s="22">
        <v>1.2802100000000001</v>
      </c>
      <c r="AD119">
        <f t="shared" si="16"/>
        <v>17.3035</v>
      </c>
      <c r="AE119">
        <f t="shared" si="17"/>
        <v>22.168032955000001</v>
      </c>
      <c r="AF119" s="9"/>
      <c r="AG119" s="22">
        <v>0.44891399999999998</v>
      </c>
      <c r="AH119" s="22">
        <v>289.52999999999997</v>
      </c>
      <c r="AI119" s="22">
        <v>-1.77673E-2</v>
      </c>
      <c r="AJ119" s="22">
        <v>109</v>
      </c>
      <c r="AK119" s="22">
        <v>0.44839499999999999</v>
      </c>
      <c r="AL119">
        <f t="shared" si="18"/>
        <v>17.767299999999999</v>
      </c>
      <c r="AM119">
        <f t="shared" si="19"/>
        <v>7.9759897121999987</v>
      </c>
      <c r="AP119" s="9"/>
      <c r="AQ119" s="22">
        <v>1.2811300000000001</v>
      </c>
      <c r="AR119" s="22">
        <v>385.49200000000002</v>
      </c>
      <c r="AS119" s="22">
        <v>-1.7218000000000001E-2</v>
      </c>
      <c r="AT119" s="22">
        <v>109</v>
      </c>
      <c r="AU119" s="22">
        <v>1.2799100000000001</v>
      </c>
      <c r="AV119">
        <f t="shared" si="20"/>
        <v>17.218</v>
      </c>
      <c r="AW119">
        <f t="shared" si="21"/>
        <v>22.058496340000001</v>
      </c>
      <c r="AX119" s="9"/>
      <c r="AY119" s="22">
        <v>0.44891399999999998</v>
      </c>
      <c r="AZ119" s="22">
        <v>479.76100000000002</v>
      </c>
      <c r="BA119" s="22">
        <v>-1.7758199999999998E-2</v>
      </c>
      <c r="BB119" s="22">
        <v>109</v>
      </c>
      <c r="BC119" s="22">
        <v>0.44854699999999997</v>
      </c>
      <c r="BD119">
        <f t="shared" si="22"/>
        <v>17.758199999999999</v>
      </c>
      <c r="BE119">
        <f t="shared" si="23"/>
        <v>7.9719045947999989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66.605800000000002</v>
      </c>
      <c r="I120" s="22">
        <v>6.0092199999999998E-2</v>
      </c>
      <c r="J120" s="22">
        <v>110</v>
      </c>
      <c r="K120" s="22">
        <v>8.2458500000000004E-2</v>
      </c>
      <c r="L120">
        <f t="shared" si="12"/>
        <v>-60.092199999999998</v>
      </c>
      <c r="M120">
        <f t="shared" si="13"/>
        <v>-76.683055498000002</v>
      </c>
      <c r="N120" s="9"/>
      <c r="O120" s="22">
        <v>0.45394899999999999</v>
      </c>
      <c r="P120" s="22">
        <v>138.82499999999999</v>
      </c>
      <c r="Q120" s="22">
        <v>-1.7950399999999998E-2</v>
      </c>
      <c r="R120" s="22">
        <v>110</v>
      </c>
      <c r="S120" s="22">
        <v>0.45391799999999999</v>
      </c>
      <c r="T120">
        <f t="shared" si="14"/>
        <v>17.950399999999998</v>
      </c>
      <c r="U120">
        <f t="shared" si="15"/>
        <v>8.1485661295999989</v>
      </c>
      <c r="X120" s="9"/>
      <c r="Y120" s="22">
        <v>1.2760899999999999</v>
      </c>
      <c r="Z120" s="22">
        <v>197.61199999999999</v>
      </c>
      <c r="AA120" s="22">
        <v>-1.73157E-2</v>
      </c>
      <c r="AB120" s="22">
        <v>110</v>
      </c>
      <c r="AC120" s="22">
        <v>1.2753300000000001</v>
      </c>
      <c r="AD120">
        <f t="shared" si="16"/>
        <v>17.3157</v>
      </c>
      <c r="AE120">
        <f t="shared" si="17"/>
        <v>22.096391612999998</v>
      </c>
      <c r="AF120" s="9"/>
      <c r="AG120" s="22">
        <v>0.45394899999999999</v>
      </c>
      <c r="AH120" s="22">
        <v>289.63</v>
      </c>
      <c r="AI120" s="22">
        <v>-1.7773400000000002E-2</v>
      </c>
      <c r="AJ120" s="22">
        <v>110</v>
      </c>
      <c r="AK120" s="22">
        <v>0.453461</v>
      </c>
      <c r="AL120">
        <f t="shared" si="18"/>
        <v>17.773400000000002</v>
      </c>
      <c r="AM120">
        <f t="shared" si="19"/>
        <v>8.0682171566000012</v>
      </c>
      <c r="AP120" s="9"/>
      <c r="AQ120" s="22">
        <v>1.2760899999999999</v>
      </c>
      <c r="AR120" s="22">
        <v>385.59300000000002</v>
      </c>
      <c r="AS120" s="22">
        <v>-1.7224099999999999E-2</v>
      </c>
      <c r="AT120" s="22">
        <v>110</v>
      </c>
      <c r="AU120" s="22">
        <v>1.27502</v>
      </c>
      <c r="AV120">
        <f t="shared" si="20"/>
        <v>17.2241</v>
      </c>
      <c r="AW120">
        <f t="shared" si="21"/>
        <v>21.979501768999999</v>
      </c>
      <c r="AX120" s="9"/>
      <c r="AY120" s="22">
        <v>0.45394899999999999</v>
      </c>
      <c r="AZ120" s="22">
        <v>479.86200000000002</v>
      </c>
      <c r="BA120" s="22">
        <v>-1.7758199999999998E-2</v>
      </c>
      <c r="BB120" s="22">
        <v>110</v>
      </c>
      <c r="BC120" s="22">
        <v>0.45358300000000001</v>
      </c>
      <c r="BD120">
        <f t="shared" si="22"/>
        <v>17.758199999999999</v>
      </c>
      <c r="BE120">
        <f t="shared" si="23"/>
        <v>8.0613171317999992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66.706500000000005</v>
      </c>
      <c r="I121" s="22">
        <v>6.0055499999999998E-2</v>
      </c>
      <c r="J121" s="22">
        <v>111</v>
      </c>
      <c r="K121" s="22">
        <v>8.2428000000000001E-2</v>
      </c>
      <c r="L121">
        <f t="shared" si="12"/>
        <v>-60.055499999999995</v>
      </c>
      <c r="M121">
        <f t="shared" si="13"/>
        <v>-76.334143830000002</v>
      </c>
      <c r="N121" s="9"/>
      <c r="O121" s="22">
        <v>0.458984</v>
      </c>
      <c r="P121" s="22">
        <v>138.92599999999999</v>
      </c>
      <c r="Q121" s="22">
        <v>-1.7950399999999998E-2</v>
      </c>
      <c r="R121" s="22">
        <v>111</v>
      </c>
      <c r="S121" s="22">
        <v>0.45864899999999997</v>
      </c>
      <c r="T121">
        <f t="shared" si="14"/>
        <v>17.950399999999998</v>
      </c>
      <c r="U121">
        <f t="shared" si="15"/>
        <v>8.2389463935999991</v>
      </c>
      <c r="X121" s="9"/>
      <c r="Y121" s="22">
        <v>1.2710600000000001</v>
      </c>
      <c r="Z121" s="22">
        <v>197.71299999999999</v>
      </c>
      <c r="AA121" s="22">
        <v>-1.7312600000000001E-2</v>
      </c>
      <c r="AB121" s="22">
        <v>111</v>
      </c>
      <c r="AC121" s="22">
        <v>1.2704500000000001</v>
      </c>
      <c r="AD121">
        <f t="shared" si="16"/>
        <v>17.3126</v>
      </c>
      <c r="AE121">
        <f t="shared" si="17"/>
        <v>22.005353356000001</v>
      </c>
      <c r="AF121" s="9"/>
      <c r="AG121" s="22">
        <v>0.458984</v>
      </c>
      <c r="AH121" s="22">
        <v>289.73099999999999</v>
      </c>
      <c r="AI121" s="22">
        <v>-1.7773400000000002E-2</v>
      </c>
      <c r="AJ121" s="22">
        <v>111</v>
      </c>
      <c r="AK121" s="22">
        <v>0.45846599999999998</v>
      </c>
      <c r="AL121">
        <f t="shared" si="18"/>
        <v>17.773400000000002</v>
      </c>
      <c r="AM121">
        <f t="shared" si="19"/>
        <v>8.1577062256000019</v>
      </c>
      <c r="AP121" s="9"/>
      <c r="AQ121" s="22">
        <v>1.2710600000000001</v>
      </c>
      <c r="AR121" s="22">
        <v>385.69400000000002</v>
      </c>
      <c r="AS121" s="22">
        <v>-1.7227200000000002E-2</v>
      </c>
      <c r="AT121" s="22">
        <v>111</v>
      </c>
      <c r="AU121" s="22">
        <v>1.2698400000000001</v>
      </c>
      <c r="AV121">
        <f t="shared" si="20"/>
        <v>17.2272</v>
      </c>
      <c r="AW121">
        <f t="shared" si="21"/>
        <v>21.896804832000001</v>
      </c>
      <c r="AX121" s="9"/>
      <c r="AY121" s="22">
        <v>0.458984</v>
      </c>
      <c r="AZ121" s="22">
        <v>479.96199999999999</v>
      </c>
      <c r="BA121" s="22">
        <v>-1.7755099999999999E-2</v>
      </c>
      <c r="BB121" s="22">
        <v>111</v>
      </c>
      <c r="BC121" s="22">
        <v>0.45843499999999998</v>
      </c>
      <c r="BD121">
        <f t="shared" si="22"/>
        <v>17.755099999999999</v>
      </c>
      <c r="BE121">
        <f t="shared" si="23"/>
        <v>8.1493068183999995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66.807199999999995</v>
      </c>
      <c r="I122" s="22">
        <v>6.0043300000000001E-2</v>
      </c>
      <c r="J122" s="22">
        <v>112</v>
      </c>
      <c r="K122" s="22">
        <v>8.2397499999999999E-2</v>
      </c>
      <c r="L122">
        <f t="shared" si="12"/>
        <v>-60.043300000000002</v>
      </c>
      <c r="M122">
        <f t="shared" si="13"/>
        <v>-76.016018665999994</v>
      </c>
      <c r="N122" s="9"/>
      <c r="O122" s="22">
        <v>0.46401999999999999</v>
      </c>
      <c r="P122" s="22">
        <v>139.02600000000001</v>
      </c>
      <c r="Q122" s="22">
        <v>-1.7947399999999999E-2</v>
      </c>
      <c r="R122" s="22">
        <v>112</v>
      </c>
      <c r="S122" s="22">
        <v>0.463287</v>
      </c>
      <c r="T122">
        <f t="shared" si="14"/>
        <v>17.947399999999998</v>
      </c>
      <c r="U122">
        <f t="shared" si="15"/>
        <v>8.327952547999999</v>
      </c>
      <c r="X122" s="9"/>
      <c r="Y122" s="22">
        <v>1.2660199999999999</v>
      </c>
      <c r="Z122" s="22">
        <v>197.81299999999999</v>
      </c>
      <c r="AA122" s="22">
        <v>-1.7321799999999998E-2</v>
      </c>
      <c r="AB122" s="22">
        <v>112</v>
      </c>
      <c r="AC122" s="22">
        <v>1.26556</v>
      </c>
      <c r="AD122">
        <f t="shared" si="16"/>
        <v>17.3218</v>
      </c>
      <c r="AE122">
        <f t="shared" si="17"/>
        <v>21.929745235999999</v>
      </c>
      <c r="AF122" s="9"/>
      <c r="AG122" s="22">
        <v>0.46401999999999999</v>
      </c>
      <c r="AH122" s="22">
        <v>289.83199999999999</v>
      </c>
      <c r="AI122" s="22">
        <v>-1.7758199999999998E-2</v>
      </c>
      <c r="AJ122" s="22">
        <v>112</v>
      </c>
      <c r="AK122" s="22">
        <v>0.46340900000000002</v>
      </c>
      <c r="AL122">
        <f t="shared" si="18"/>
        <v>17.758199999999999</v>
      </c>
      <c r="AM122">
        <f t="shared" si="19"/>
        <v>8.2401599639999983</v>
      </c>
      <c r="AP122" s="9"/>
      <c r="AQ122" s="22">
        <v>1.2660199999999999</v>
      </c>
      <c r="AR122" s="22">
        <v>385.79399999999998</v>
      </c>
      <c r="AS122" s="22">
        <v>-1.7227200000000002E-2</v>
      </c>
      <c r="AT122" s="22">
        <v>112</v>
      </c>
      <c r="AU122" s="22">
        <v>1.2652600000000001</v>
      </c>
      <c r="AV122">
        <f t="shared" si="20"/>
        <v>17.2272</v>
      </c>
      <c r="AW122">
        <f t="shared" si="21"/>
        <v>21.809979744</v>
      </c>
      <c r="AX122" s="9"/>
      <c r="AY122" s="22">
        <v>0.46401999999999999</v>
      </c>
      <c r="AZ122" s="22">
        <v>480.06299999999999</v>
      </c>
      <c r="BA122" s="22">
        <v>-1.7749000000000001E-2</v>
      </c>
      <c r="BB122" s="22">
        <v>112</v>
      </c>
      <c r="BC122" s="22">
        <v>0.463806</v>
      </c>
      <c r="BD122">
        <f t="shared" si="22"/>
        <v>17.749000000000002</v>
      </c>
      <c r="BE122">
        <f t="shared" si="23"/>
        <v>8.2358909800000006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66.907899999999998</v>
      </c>
      <c r="I123" s="22">
        <v>6.0021999999999999E-2</v>
      </c>
      <c r="J123" s="22">
        <v>113</v>
      </c>
      <c r="K123" s="22">
        <v>8.2428000000000001E-2</v>
      </c>
      <c r="L123">
        <f t="shared" si="12"/>
        <v>-60.021999999999998</v>
      </c>
      <c r="M123">
        <f t="shared" si="13"/>
        <v>-75.687141780000005</v>
      </c>
      <c r="N123" s="9"/>
      <c r="O123" s="22">
        <v>0.469055</v>
      </c>
      <c r="P123" s="22">
        <v>139.12700000000001</v>
      </c>
      <c r="Q123" s="22">
        <v>-1.7938200000000001E-2</v>
      </c>
      <c r="R123" s="22">
        <v>113</v>
      </c>
      <c r="S123" s="22">
        <v>0.46850599999999998</v>
      </c>
      <c r="T123">
        <f t="shared" si="14"/>
        <v>17.938200000000002</v>
      </c>
      <c r="U123">
        <f t="shared" si="15"/>
        <v>8.4140024010000012</v>
      </c>
      <c r="X123" s="9"/>
      <c r="Y123" s="22">
        <v>1.2609900000000001</v>
      </c>
      <c r="Z123" s="22">
        <v>197.91399999999999</v>
      </c>
      <c r="AA123" s="22">
        <v>-1.73157E-2</v>
      </c>
      <c r="AB123" s="22">
        <v>113</v>
      </c>
      <c r="AC123" s="22">
        <v>1.25946</v>
      </c>
      <c r="AD123">
        <f t="shared" si="16"/>
        <v>17.3157</v>
      </c>
      <c r="AE123">
        <f t="shared" si="17"/>
        <v>21.834924543</v>
      </c>
      <c r="AF123" s="9"/>
      <c r="AG123" s="22">
        <v>0.469055</v>
      </c>
      <c r="AH123" s="22">
        <v>289.93299999999999</v>
      </c>
      <c r="AI123" s="22">
        <v>-1.7758199999999998E-2</v>
      </c>
      <c r="AJ123" s="22">
        <v>113</v>
      </c>
      <c r="AK123" s="22">
        <v>0.46893299999999999</v>
      </c>
      <c r="AL123">
        <f t="shared" si="18"/>
        <v>17.758199999999999</v>
      </c>
      <c r="AM123">
        <f t="shared" si="19"/>
        <v>8.3295725009999995</v>
      </c>
      <c r="AP123" s="9"/>
      <c r="AQ123" s="22">
        <v>1.2609900000000001</v>
      </c>
      <c r="AR123" s="22">
        <v>385.89499999999998</v>
      </c>
      <c r="AS123" s="22">
        <v>-1.72333E-2</v>
      </c>
      <c r="AT123" s="22">
        <v>113</v>
      </c>
      <c r="AU123" s="22">
        <v>1.26007</v>
      </c>
      <c r="AV123">
        <f t="shared" si="20"/>
        <v>17.2333</v>
      </c>
      <c r="AW123">
        <f t="shared" si="21"/>
        <v>21.731018967000001</v>
      </c>
      <c r="AX123" s="9"/>
      <c r="AY123" s="22">
        <v>0.469055</v>
      </c>
      <c r="AZ123" s="22">
        <v>480.16399999999999</v>
      </c>
      <c r="BA123" s="22">
        <v>-1.77521E-2</v>
      </c>
      <c r="BB123" s="22">
        <v>113</v>
      </c>
      <c r="BC123" s="22">
        <v>0.46795700000000001</v>
      </c>
      <c r="BD123">
        <f t="shared" si="22"/>
        <v>17.752099999999999</v>
      </c>
      <c r="BE123">
        <f t="shared" si="23"/>
        <v>8.3267112655000002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67.008600000000001</v>
      </c>
      <c r="I124" s="22">
        <v>6.0028100000000001E-2</v>
      </c>
      <c r="J124" s="22">
        <v>114</v>
      </c>
      <c r="K124" s="22">
        <v>8.2519499999999996E-2</v>
      </c>
      <c r="L124">
        <f t="shared" si="12"/>
        <v>-60.028100000000002</v>
      </c>
      <c r="M124">
        <f t="shared" si="13"/>
        <v>-75.392292194999996</v>
      </c>
      <c r="N124" s="9"/>
      <c r="O124" s="22">
        <v>0.47409099999999998</v>
      </c>
      <c r="P124" s="22">
        <v>139.22800000000001</v>
      </c>
      <c r="Q124" s="22">
        <v>-1.79413E-2</v>
      </c>
      <c r="R124" s="22">
        <v>114</v>
      </c>
      <c r="S124" s="22">
        <v>0.473389</v>
      </c>
      <c r="T124">
        <f t="shared" si="14"/>
        <v>17.941300000000002</v>
      </c>
      <c r="U124">
        <f t="shared" si="15"/>
        <v>8.5058088583</v>
      </c>
      <c r="X124" s="9"/>
      <c r="Y124" s="22">
        <v>1.2559499999999999</v>
      </c>
      <c r="Z124" s="22">
        <v>198.01499999999999</v>
      </c>
      <c r="AA124" s="22">
        <v>-1.7321799999999998E-2</v>
      </c>
      <c r="AB124" s="22">
        <v>114</v>
      </c>
      <c r="AC124" s="22">
        <v>1.25549</v>
      </c>
      <c r="AD124">
        <f t="shared" si="16"/>
        <v>17.3218</v>
      </c>
      <c r="AE124">
        <f t="shared" si="17"/>
        <v>21.755314709999997</v>
      </c>
      <c r="AF124" s="9"/>
      <c r="AG124" s="22">
        <v>0.47409099999999998</v>
      </c>
      <c r="AH124" s="22">
        <v>290.03300000000002</v>
      </c>
      <c r="AI124" s="22">
        <v>-1.77643E-2</v>
      </c>
      <c r="AJ124" s="22">
        <v>114</v>
      </c>
      <c r="AK124" s="22">
        <v>0.47323599999999999</v>
      </c>
      <c r="AL124">
        <f t="shared" si="18"/>
        <v>17.764299999999999</v>
      </c>
      <c r="AM124">
        <f t="shared" si="19"/>
        <v>8.4218947512999982</v>
      </c>
      <c r="AP124" s="9"/>
      <c r="AQ124" s="22">
        <v>1.2559499999999999</v>
      </c>
      <c r="AR124" s="22">
        <v>385.99599999999998</v>
      </c>
      <c r="AS124" s="22">
        <v>-1.7242400000000001E-2</v>
      </c>
      <c r="AT124" s="22">
        <v>114</v>
      </c>
      <c r="AU124" s="22">
        <v>1.25488</v>
      </c>
      <c r="AV124">
        <f t="shared" si="20"/>
        <v>17.2424</v>
      </c>
      <c r="AW124">
        <f t="shared" si="21"/>
        <v>21.655592279999997</v>
      </c>
      <c r="AX124" s="9"/>
      <c r="AY124" s="22">
        <v>0.47409099999999998</v>
      </c>
      <c r="AZ124" s="22">
        <v>480.26400000000001</v>
      </c>
      <c r="BA124" s="22">
        <v>-1.7746000000000001E-2</v>
      </c>
      <c r="BB124" s="22">
        <v>114</v>
      </c>
      <c r="BC124" s="22">
        <v>0.473694</v>
      </c>
      <c r="BD124">
        <f t="shared" si="22"/>
        <v>17.746000000000002</v>
      </c>
      <c r="BE124">
        <f t="shared" si="23"/>
        <v>8.413218886000001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67.109300000000005</v>
      </c>
      <c r="I125" s="22">
        <v>6.0015899999999997E-2</v>
      </c>
      <c r="J125" s="22">
        <v>115</v>
      </c>
      <c r="K125" s="22">
        <v>8.2489000000000007E-2</v>
      </c>
      <c r="L125">
        <f t="shared" si="12"/>
        <v>-60.015899999999995</v>
      </c>
      <c r="M125">
        <f t="shared" si="13"/>
        <v>-75.075089628000001</v>
      </c>
      <c r="N125" s="9"/>
      <c r="O125" s="22">
        <v>0.479126</v>
      </c>
      <c r="P125" s="22">
        <v>139.328</v>
      </c>
      <c r="Q125" s="22">
        <v>-1.7932099999999999E-2</v>
      </c>
      <c r="R125" s="22">
        <v>115</v>
      </c>
      <c r="S125" s="22">
        <v>0.47817999999999999</v>
      </c>
      <c r="T125">
        <f t="shared" si="14"/>
        <v>17.932099999999998</v>
      </c>
      <c r="U125">
        <f t="shared" si="15"/>
        <v>8.5917353446</v>
      </c>
      <c r="X125" s="9"/>
      <c r="Y125" s="22">
        <v>1.25092</v>
      </c>
      <c r="Z125" s="22">
        <v>198.11500000000001</v>
      </c>
      <c r="AA125" s="22">
        <v>-1.7318699999999999E-2</v>
      </c>
      <c r="AB125" s="22">
        <v>115</v>
      </c>
      <c r="AC125" s="22">
        <v>1.25061</v>
      </c>
      <c r="AD125">
        <f t="shared" si="16"/>
        <v>17.3187</v>
      </c>
      <c r="AE125">
        <f t="shared" si="17"/>
        <v>21.664308204000001</v>
      </c>
      <c r="AF125" s="9"/>
      <c r="AG125" s="22">
        <v>0.479126</v>
      </c>
      <c r="AH125" s="22">
        <v>290.13400000000001</v>
      </c>
      <c r="AI125" s="22">
        <v>-1.7770399999999999E-2</v>
      </c>
      <c r="AJ125" s="22">
        <v>115</v>
      </c>
      <c r="AK125" s="22">
        <v>0.478607</v>
      </c>
      <c r="AL125">
        <f t="shared" si="18"/>
        <v>17.770399999999999</v>
      </c>
      <c r="AM125">
        <f t="shared" si="19"/>
        <v>8.5142606703999988</v>
      </c>
      <c r="AP125" s="9"/>
      <c r="AQ125" s="22">
        <v>1.25092</v>
      </c>
      <c r="AR125" s="22">
        <v>386.09699999999998</v>
      </c>
      <c r="AS125" s="22">
        <v>-1.72485E-2</v>
      </c>
      <c r="AT125" s="22">
        <v>115</v>
      </c>
      <c r="AU125" s="22">
        <v>1.25031</v>
      </c>
      <c r="AV125">
        <f t="shared" si="20"/>
        <v>17.2485</v>
      </c>
      <c r="AW125">
        <f t="shared" si="21"/>
        <v>21.576493620000001</v>
      </c>
      <c r="AX125" s="9"/>
      <c r="AY125" s="22">
        <v>0.479126</v>
      </c>
      <c r="AZ125" s="22">
        <v>480.36500000000001</v>
      </c>
      <c r="BA125" s="22">
        <v>-1.7733800000000001E-2</v>
      </c>
      <c r="BB125" s="22">
        <v>115</v>
      </c>
      <c r="BC125" s="22">
        <v>0.47845500000000002</v>
      </c>
      <c r="BD125">
        <f t="shared" si="22"/>
        <v>17.733800000000002</v>
      </c>
      <c r="BE125">
        <f t="shared" si="23"/>
        <v>8.4967246588000016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67.209999999999994</v>
      </c>
      <c r="I126" s="22">
        <v>5.9982300000000002E-2</v>
      </c>
      <c r="J126" s="22">
        <v>116</v>
      </c>
      <c r="K126" s="22">
        <v>8.2489000000000007E-2</v>
      </c>
      <c r="L126">
        <f t="shared" si="12"/>
        <v>-59.982300000000002</v>
      </c>
      <c r="M126">
        <f t="shared" si="13"/>
        <v>-74.730747924000013</v>
      </c>
      <c r="N126" s="9"/>
      <c r="O126" s="22">
        <v>0.48416100000000001</v>
      </c>
      <c r="P126" s="22">
        <v>139.429</v>
      </c>
      <c r="Q126" s="22">
        <v>-1.7932099999999999E-2</v>
      </c>
      <c r="R126" s="22">
        <v>116</v>
      </c>
      <c r="S126" s="22">
        <v>0.48364299999999999</v>
      </c>
      <c r="T126">
        <f t="shared" si="14"/>
        <v>17.932099999999998</v>
      </c>
      <c r="U126">
        <f t="shared" si="15"/>
        <v>8.6820234680999988</v>
      </c>
      <c r="X126" s="9"/>
      <c r="Y126" s="22">
        <v>1.2458800000000001</v>
      </c>
      <c r="Z126" s="22">
        <v>198.21600000000001</v>
      </c>
      <c r="AA126" s="22">
        <v>-1.7324800000000001E-2</v>
      </c>
      <c r="AB126" s="22">
        <v>116</v>
      </c>
      <c r="AC126" s="22">
        <v>1.24481</v>
      </c>
      <c r="AD126">
        <f t="shared" si="16"/>
        <v>17.3248</v>
      </c>
      <c r="AE126">
        <f t="shared" si="17"/>
        <v>21.584621824000003</v>
      </c>
      <c r="AF126" s="9"/>
      <c r="AG126" s="22">
        <v>0.48416100000000001</v>
      </c>
      <c r="AH126" s="22">
        <v>290.23500000000001</v>
      </c>
      <c r="AI126" s="22">
        <v>-1.7773400000000002E-2</v>
      </c>
      <c r="AJ126" s="22">
        <v>116</v>
      </c>
      <c r="AK126" s="22">
        <v>0.48379499999999998</v>
      </c>
      <c r="AL126">
        <f t="shared" si="18"/>
        <v>17.773400000000002</v>
      </c>
      <c r="AM126">
        <f t="shared" si="19"/>
        <v>8.6051871174000016</v>
      </c>
      <c r="AP126" s="9"/>
      <c r="AQ126" s="22">
        <v>1.2458800000000001</v>
      </c>
      <c r="AR126" s="22">
        <v>386.197</v>
      </c>
      <c r="AS126" s="22">
        <v>-1.7251599999999999E-2</v>
      </c>
      <c r="AT126" s="22">
        <v>116</v>
      </c>
      <c r="AU126" s="22">
        <v>1.24542</v>
      </c>
      <c r="AV126">
        <f t="shared" si="20"/>
        <v>17.2516</v>
      </c>
      <c r="AW126">
        <f t="shared" si="21"/>
        <v>21.493423408000002</v>
      </c>
      <c r="AX126" s="9"/>
      <c r="AY126" s="22">
        <v>0.48416100000000001</v>
      </c>
      <c r="AZ126" s="22">
        <v>480.46600000000001</v>
      </c>
      <c r="BA126" s="22">
        <v>-1.77368E-2</v>
      </c>
      <c r="BB126" s="22">
        <v>116</v>
      </c>
      <c r="BC126" s="22">
        <v>0.483734</v>
      </c>
      <c r="BD126">
        <f t="shared" si="22"/>
        <v>17.736799999999999</v>
      </c>
      <c r="BE126">
        <f t="shared" si="23"/>
        <v>8.5874668247999999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67.310699999999997</v>
      </c>
      <c r="I127" s="22">
        <v>5.9945699999999998E-2</v>
      </c>
      <c r="J127" s="22">
        <v>117</v>
      </c>
      <c r="K127" s="22">
        <v>8.2489000000000007E-2</v>
      </c>
      <c r="L127">
        <f t="shared" si="12"/>
        <v>-59.945699999999995</v>
      </c>
      <c r="M127">
        <f t="shared" si="13"/>
        <v>-74.383022387999986</v>
      </c>
      <c r="N127" s="9"/>
      <c r="O127" s="22">
        <v>0.48919699999999999</v>
      </c>
      <c r="P127" s="22">
        <v>139.53</v>
      </c>
      <c r="Q127" s="22">
        <v>-1.7923000000000001E-2</v>
      </c>
      <c r="R127" s="22">
        <v>117</v>
      </c>
      <c r="S127" s="22">
        <v>0.48840299999999998</v>
      </c>
      <c r="T127">
        <f t="shared" si="14"/>
        <v>17.923000000000002</v>
      </c>
      <c r="U127">
        <f t="shared" si="15"/>
        <v>8.7678778310000016</v>
      </c>
      <c r="X127" s="9"/>
      <c r="Y127" s="22">
        <v>1.2408399999999999</v>
      </c>
      <c r="Z127" s="22">
        <v>198.31700000000001</v>
      </c>
      <c r="AA127" s="22">
        <v>-1.7340100000000001E-2</v>
      </c>
      <c r="AB127" s="22">
        <v>117</v>
      </c>
      <c r="AC127" s="22">
        <v>1.23993</v>
      </c>
      <c r="AD127">
        <f t="shared" si="16"/>
        <v>17.3401</v>
      </c>
      <c r="AE127">
        <f t="shared" si="17"/>
        <v>21.516289684</v>
      </c>
      <c r="AF127" s="9"/>
      <c r="AG127" s="22">
        <v>0.48919699999999999</v>
      </c>
      <c r="AH127" s="22">
        <v>290.33499999999998</v>
      </c>
      <c r="AI127" s="22">
        <v>-1.77643E-2</v>
      </c>
      <c r="AJ127" s="22">
        <v>117</v>
      </c>
      <c r="AK127" s="22">
        <v>0.488983</v>
      </c>
      <c r="AL127">
        <f t="shared" si="18"/>
        <v>17.764299999999999</v>
      </c>
      <c r="AM127">
        <f t="shared" si="19"/>
        <v>8.6902422670999986</v>
      </c>
      <c r="AP127" s="9"/>
      <c r="AQ127" s="22">
        <v>1.2408399999999999</v>
      </c>
      <c r="AR127" s="22">
        <v>386.298</v>
      </c>
      <c r="AS127" s="22">
        <v>-1.7251599999999999E-2</v>
      </c>
      <c r="AT127" s="22">
        <v>117</v>
      </c>
      <c r="AU127" s="22">
        <v>1.24054</v>
      </c>
      <c r="AV127">
        <f t="shared" si="20"/>
        <v>17.2516</v>
      </c>
      <c r="AW127">
        <f t="shared" si="21"/>
        <v>21.406475344</v>
      </c>
      <c r="AX127" s="9"/>
      <c r="AY127" s="22">
        <v>0.48919699999999999</v>
      </c>
      <c r="AZ127" s="22">
        <v>480.56700000000001</v>
      </c>
      <c r="BA127" s="22">
        <v>-1.77246E-2</v>
      </c>
      <c r="BB127" s="22">
        <v>117</v>
      </c>
      <c r="BC127" s="22">
        <v>0.488373</v>
      </c>
      <c r="BD127">
        <f t="shared" si="22"/>
        <v>17.724599999999999</v>
      </c>
      <c r="BE127">
        <f t="shared" si="23"/>
        <v>8.6708211461999998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67.4114</v>
      </c>
      <c r="I128" s="22">
        <v>5.9918199999999998E-2</v>
      </c>
      <c r="J128" s="22">
        <v>118</v>
      </c>
      <c r="K128" s="22">
        <v>8.2458500000000004E-2</v>
      </c>
      <c r="L128">
        <f t="shared" si="12"/>
        <v>-59.918199999999999</v>
      </c>
      <c r="M128">
        <f t="shared" si="13"/>
        <v>-74.047510742</v>
      </c>
      <c r="N128" s="9"/>
      <c r="O128" s="22">
        <v>0.494232</v>
      </c>
      <c r="P128" s="22">
        <v>139.631</v>
      </c>
      <c r="Q128" s="22">
        <v>-1.7932099999999999E-2</v>
      </c>
      <c r="R128" s="22">
        <v>118</v>
      </c>
      <c r="S128" s="22">
        <v>0.493927</v>
      </c>
      <c r="T128">
        <f t="shared" si="14"/>
        <v>17.932099999999998</v>
      </c>
      <c r="U128">
        <f t="shared" si="15"/>
        <v>8.8626176471999987</v>
      </c>
      <c r="X128" s="9"/>
      <c r="Y128" s="22">
        <v>1.2358100000000001</v>
      </c>
      <c r="Z128" s="22">
        <v>198.417</v>
      </c>
      <c r="AA128" s="22">
        <v>-1.7337000000000002E-2</v>
      </c>
      <c r="AB128" s="22">
        <v>118</v>
      </c>
      <c r="AC128" s="22">
        <v>1.2347399999999999</v>
      </c>
      <c r="AD128">
        <f t="shared" si="16"/>
        <v>17.337000000000003</v>
      </c>
      <c r="AE128">
        <f t="shared" si="17"/>
        <v>21.425237970000005</v>
      </c>
      <c r="AF128" s="9"/>
      <c r="AG128" s="22">
        <v>0.494232</v>
      </c>
      <c r="AH128" s="22">
        <v>290.43599999999998</v>
      </c>
      <c r="AI128" s="22">
        <v>-1.7761200000000001E-2</v>
      </c>
      <c r="AJ128" s="22">
        <v>118</v>
      </c>
      <c r="AK128" s="22">
        <v>0.49371300000000001</v>
      </c>
      <c r="AL128">
        <f t="shared" si="18"/>
        <v>17.761200000000002</v>
      </c>
      <c r="AM128">
        <f t="shared" si="19"/>
        <v>8.7781533984000006</v>
      </c>
      <c r="AP128" s="9"/>
      <c r="AQ128" s="22">
        <v>1.2358100000000001</v>
      </c>
      <c r="AR128" s="22">
        <v>386.399</v>
      </c>
      <c r="AS128" s="22">
        <v>-1.72455E-2</v>
      </c>
      <c r="AT128" s="22">
        <v>118</v>
      </c>
      <c r="AU128" s="22">
        <v>1.23444</v>
      </c>
      <c r="AV128">
        <f t="shared" si="20"/>
        <v>17.2455</v>
      </c>
      <c r="AW128">
        <f t="shared" si="21"/>
        <v>21.312161355000001</v>
      </c>
      <c r="AX128" s="9"/>
      <c r="AY128" s="22">
        <v>0.494232</v>
      </c>
      <c r="AZ128" s="22">
        <v>480.66699999999997</v>
      </c>
      <c r="BA128" s="22">
        <v>-1.7727699999999999E-2</v>
      </c>
      <c r="BB128" s="22">
        <v>118</v>
      </c>
      <c r="BC128" s="22">
        <v>0.49365199999999998</v>
      </c>
      <c r="BD128">
        <f t="shared" si="22"/>
        <v>17.727699999999999</v>
      </c>
      <c r="BE128">
        <f t="shared" si="23"/>
        <v>8.7615966263999994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67.512100000000004</v>
      </c>
      <c r="I129" s="22">
        <v>5.9899899999999999E-2</v>
      </c>
      <c r="J129" s="22">
        <v>119</v>
      </c>
      <c r="K129" s="22">
        <v>8.2519499999999996E-2</v>
      </c>
      <c r="L129">
        <f t="shared" si="12"/>
        <v>-59.899900000000002</v>
      </c>
      <c r="M129">
        <f t="shared" si="13"/>
        <v>-73.722999923000003</v>
      </c>
      <c r="N129" s="9"/>
      <c r="O129" s="22">
        <v>0.49926799999999999</v>
      </c>
      <c r="P129" s="22">
        <v>139.73099999999999</v>
      </c>
      <c r="Q129" s="22">
        <v>-1.79291E-2</v>
      </c>
      <c r="R129" s="22">
        <v>119</v>
      </c>
      <c r="S129" s="22">
        <v>0.49920700000000001</v>
      </c>
      <c r="T129">
        <f t="shared" si="14"/>
        <v>17.929099999999998</v>
      </c>
      <c r="U129">
        <f t="shared" si="15"/>
        <v>8.9514258987999984</v>
      </c>
      <c r="X129" s="9"/>
      <c r="Y129" s="22">
        <v>1.2307699999999999</v>
      </c>
      <c r="Z129" s="22">
        <v>198.518</v>
      </c>
      <c r="AA129" s="22">
        <v>-1.7340100000000001E-2</v>
      </c>
      <c r="AB129" s="22">
        <v>119</v>
      </c>
      <c r="AC129" s="22">
        <v>1.2301599999999999</v>
      </c>
      <c r="AD129">
        <f t="shared" si="16"/>
        <v>17.3401</v>
      </c>
      <c r="AE129">
        <f t="shared" si="17"/>
        <v>21.341674876999999</v>
      </c>
      <c r="AF129" s="9"/>
      <c r="AG129" s="22">
        <v>0.49926799999999999</v>
      </c>
      <c r="AH129" s="22">
        <v>290.53699999999998</v>
      </c>
      <c r="AI129" s="22">
        <v>-1.7758199999999998E-2</v>
      </c>
      <c r="AJ129" s="22">
        <v>119</v>
      </c>
      <c r="AK129" s="22">
        <v>0.49847399999999997</v>
      </c>
      <c r="AL129">
        <f t="shared" si="18"/>
        <v>17.758199999999999</v>
      </c>
      <c r="AM129">
        <f t="shared" si="19"/>
        <v>8.8661009975999985</v>
      </c>
      <c r="AP129" s="9"/>
      <c r="AQ129" s="22">
        <v>1.2307699999999999</v>
      </c>
      <c r="AR129" s="22">
        <v>386.49900000000002</v>
      </c>
      <c r="AS129" s="22">
        <v>-1.72485E-2</v>
      </c>
      <c r="AT129" s="22">
        <v>119</v>
      </c>
      <c r="AU129" s="22">
        <v>1.2301599999999999</v>
      </c>
      <c r="AV129">
        <f t="shared" si="20"/>
        <v>17.2485</v>
      </c>
      <c r="AW129">
        <f t="shared" si="21"/>
        <v>21.228936344999997</v>
      </c>
      <c r="AX129" s="9"/>
      <c r="AY129" s="22">
        <v>0.49926799999999999</v>
      </c>
      <c r="AZ129" s="22">
        <v>480.76799999999997</v>
      </c>
      <c r="BA129" s="22">
        <v>-1.7730699999999999E-2</v>
      </c>
      <c r="BB129" s="22">
        <v>119</v>
      </c>
      <c r="BC129" s="22">
        <v>0.49877899999999997</v>
      </c>
      <c r="BD129">
        <f t="shared" si="22"/>
        <v>17.730699999999999</v>
      </c>
      <c r="BE129">
        <f t="shared" si="23"/>
        <v>8.8523711275999997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67.612899999999996</v>
      </c>
      <c r="I130" s="22">
        <v>5.9875499999999998E-2</v>
      </c>
      <c r="J130" s="22">
        <v>120</v>
      </c>
      <c r="K130" s="22">
        <v>8.2549999999999998E-2</v>
      </c>
      <c r="L130">
        <f t="shared" si="12"/>
        <v>-59.875499999999995</v>
      </c>
      <c r="M130">
        <f t="shared" si="13"/>
        <v>-73.391795369999997</v>
      </c>
      <c r="N130" s="9"/>
      <c r="O130" s="22">
        <v>0.50430299999999995</v>
      </c>
      <c r="P130" s="22">
        <v>139.83199999999999</v>
      </c>
      <c r="Q130" s="22">
        <v>-1.7923000000000001E-2</v>
      </c>
      <c r="R130" s="22">
        <v>120</v>
      </c>
      <c r="S130" s="22">
        <v>0.50338700000000003</v>
      </c>
      <c r="T130">
        <f t="shared" si="14"/>
        <v>17.923000000000002</v>
      </c>
      <c r="U130">
        <f t="shared" si="15"/>
        <v>9.0386226690000004</v>
      </c>
      <c r="X130" s="9"/>
      <c r="Y130" s="22">
        <v>1.2257400000000001</v>
      </c>
      <c r="Z130" s="22">
        <v>198.619</v>
      </c>
      <c r="AA130" s="22">
        <v>-1.7349199999999999E-2</v>
      </c>
      <c r="AB130" s="22">
        <v>120</v>
      </c>
      <c r="AC130" s="22">
        <v>1.22498</v>
      </c>
      <c r="AD130">
        <f t="shared" si="16"/>
        <v>17.3492</v>
      </c>
      <c r="AE130">
        <f t="shared" si="17"/>
        <v>21.265608408000002</v>
      </c>
      <c r="AF130" s="9"/>
      <c r="AG130" s="22">
        <v>0.50430299999999995</v>
      </c>
      <c r="AH130" s="22">
        <v>290.637</v>
      </c>
      <c r="AI130" s="22">
        <v>-1.7755099999999999E-2</v>
      </c>
      <c r="AJ130" s="22">
        <v>120</v>
      </c>
      <c r="AK130" s="22">
        <v>0.50311300000000003</v>
      </c>
      <c r="AL130">
        <f t="shared" si="18"/>
        <v>17.755099999999999</v>
      </c>
      <c r="AM130">
        <f t="shared" si="19"/>
        <v>8.9539501952999991</v>
      </c>
      <c r="AP130" s="9"/>
      <c r="AQ130" s="22">
        <v>1.2257400000000001</v>
      </c>
      <c r="AR130" s="22">
        <v>386.6</v>
      </c>
      <c r="AS130" s="22">
        <v>-1.7263799999999999E-2</v>
      </c>
      <c r="AT130" s="22">
        <v>120</v>
      </c>
      <c r="AU130" s="22">
        <v>1.2246699999999999</v>
      </c>
      <c r="AV130">
        <f t="shared" si="20"/>
        <v>17.2638</v>
      </c>
      <c r="AW130">
        <f t="shared" si="21"/>
        <v>21.160930212</v>
      </c>
      <c r="AX130" s="9"/>
      <c r="AY130" s="22">
        <v>0.50430299999999995</v>
      </c>
      <c r="AZ130" s="22">
        <v>480.86900000000003</v>
      </c>
      <c r="BA130" s="22">
        <v>-1.77094E-2</v>
      </c>
      <c r="BB130" s="22">
        <v>120</v>
      </c>
      <c r="BC130" s="22">
        <v>0.50375400000000004</v>
      </c>
      <c r="BD130">
        <f t="shared" si="22"/>
        <v>17.709399999999999</v>
      </c>
      <c r="BE130">
        <f t="shared" si="23"/>
        <v>8.9309035481999981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67.7136</v>
      </c>
      <c r="I131" s="22">
        <v>5.9817500000000003E-2</v>
      </c>
      <c r="J131" s="22">
        <v>121</v>
      </c>
      <c r="K131" s="22">
        <v>8.2489000000000007E-2</v>
      </c>
      <c r="L131">
        <f t="shared" si="12"/>
        <v>-59.817500000000003</v>
      </c>
      <c r="M131">
        <f t="shared" si="13"/>
        <v>-73.019222249999999</v>
      </c>
      <c r="N131" s="9"/>
      <c r="O131" s="22">
        <v>0.50933799999999996</v>
      </c>
      <c r="P131" s="22">
        <v>139.93299999999999</v>
      </c>
      <c r="Q131" s="22">
        <v>-1.7913800000000001E-2</v>
      </c>
      <c r="R131" s="22">
        <v>121</v>
      </c>
      <c r="S131" s="22">
        <v>0.508575</v>
      </c>
      <c r="T131">
        <f t="shared" si="14"/>
        <v>17.913800000000002</v>
      </c>
      <c r="U131">
        <f t="shared" si="15"/>
        <v>9.1241790643999998</v>
      </c>
      <c r="X131" s="9"/>
      <c r="Y131" s="22">
        <v>1.2206999999999999</v>
      </c>
      <c r="Z131" s="22">
        <v>198.72</v>
      </c>
      <c r="AA131" s="22">
        <v>-1.7352300000000001E-2</v>
      </c>
      <c r="AB131" s="22">
        <v>121</v>
      </c>
      <c r="AC131" s="22">
        <v>1.2194799999999999</v>
      </c>
      <c r="AD131">
        <f t="shared" si="16"/>
        <v>17.3523</v>
      </c>
      <c r="AE131">
        <f t="shared" si="17"/>
        <v>21.181952609999996</v>
      </c>
      <c r="AF131" s="9"/>
      <c r="AG131" s="22">
        <v>0.50933799999999996</v>
      </c>
      <c r="AH131" s="22">
        <v>290.738</v>
      </c>
      <c r="AI131" s="22">
        <v>-1.7742899999999999E-2</v>
      </c>
      <c r="AJ131" s="22">
        <v>121</v>
      </c>
      <c r="AK131" s="22">
        <v>0.508575</v>
      </c>
      <c r="AL131">
        <f t="shared" si="18"/>
        <v>17.742899999999999</v>
      </c>
      <c r="AM131">
        <f t="shared" si="19"/>
        <v>9.0371332001999978</v>
      </c>
      <c r="AP131" s="9"/>
      <c r="AQ131" s="22">
        <v>1.2206999999999999</v>
      </c>
      <c r="AR131" s="22">
        <v>386.70100000000002</v>
      </c>
      <c r="AS131" s="22">
        <v>-1.72607E-2</v>
      </c>
      <c r="AT131" s="22">
        <v>121</v>
      </c>
      <c r="AU131" s="22">
        <v>1.2191799999999999</v>
      </c>
      <c r="AV131">
        <f t="shared" si="20"/>
        <v>17.2607</v>
      </c>
      <c r="AW131">
        <f t="shared" si="21"/>
        <v>21.070136489999999</v>
      </c>
      <c r="AX131" s="9"/>
      <c r="AY131" s="22">
        <v>0.50933799999999996</v>
      </c>
      <c r="AZ131" s="22">
        <v>480.96899999999999</v>
      </c>
      <c r="BA131" s="22">
        <v>-1.7727699999999999E-2</v>
      </c>
      <c r="BB131" s="22">
        <v>121</v>
      </c>
      <c r="BC131" s="22">
        <v>0.50866699999999998</v>
      </c>
      <c r="BD131">
        <f t="shared" si="22"/>
        <v>17.727699999999999</v>
      </c>
      <c r="BE131">
        <f t="shared" si="23"/>
        <v>9.029391262599999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67.814300000000003</v>
      </c>
      <c r="I132" s="22">
        <v>5.9787E-2</v>
      </c>
      <c r="J132" s="22">
        <v>122</v>
      </c>
      <c r="K132" s="22">
        <v>8.2549999999999998E-2</v>
      </c>
      <c r="L132">
        <f t="shared" si="12"/>
        <v>-59.786999999999999</v>
      </c>
      <c r="M132">
        <f t="shared" si="13"/>
        <v>-72.681262290000006</v>
      </c>
      <c r="N132" s="9"/>
      <c r="O132" s="22">
        <v>0.514374</v>
      </c>
      <c r="P132" s="22">
        <v>140.03299999999999</v>
      </c>
      <c r="Q132" s="22">
        <v>-1.7913800000000001E-2</v>
      </c>
      <c r="R132" s="22">
        <v>122</v>
      </c>
      <c r="S132" s="22">
        <v>0.513733</v>
      </c>
      <c r="T132">
        <f t="shared" si="14"/>
        <v>17.913800000000002</v>
      </c>
      <c r="U132">
        <f t="shared" si="15"/>
        <v>9.2143929612000015</v>
      </c>
      <c r="X132" s="9"/>
      <c r="Y132" s="22">
        <v>1.21567</v>
      </c>
      <c r="Z132" s="22">
        <v>198.82</v>
      </c>
      <c r="AA132" s="22">
        <v>-1.7355300000000001E-2</v>
      </c>
      <c r="AB132" s="22">
        <v>122</v>
      </c>
      <c r="AC132" s="22">
        <v>1.2149000000000001</v>
      </c>
      <c r="AD132">
        <f t="shared" si="16"/>
        <v>17.3553</v>
      </c>
      <c r="AE132">
        <f t="shared" si="17"/>
        <v>21.098317551000001</v>
      </c>
      <c r="AF132" s="9"/>
      <c r="AG132" s="22">
        <v>0.514374</v>
      </c>
      <c r="AH132" s="22">
        <v>290.839</v>
      </c>
      <c r="AI132" s="22">
        <v>-1.77521E-2</v>
      </c>
      <c r="AJ132" s="22">
        <v>122</v>
      </c>
      <c r="AK132" s="22">
        <v>0.51351899999999995</v>
      </c>
      <c r="AL132">
        <f t="shared" si="18"/>
        <v>17.752099999999999</v>
      </c>
      <c r="AM132">
        <f t="shared" si="19"/>
        <v>9.1312186853999986</v>
      </c>
      <c r="AP132" s="9"/>
      <c r="AQ132" s="22">
        <v>1.21567</v>
      </c>
      <c r="AR132" s="22">
        <v>386.80099999999999</v>
      </c>
      <c r="AS132" s="22">
        <v>-1.7269900000000001E-2</v>
      </c>
      <c r="AT132" s="22">
        <v>122</v>
      </c>
      <c r="AU132" s="22">
        <v>1.2149000000000001</v>
      </c>
      <c r="AV132">
        <f t="shared" si="20"/>
        <v>17.2699</v>
      </c>
      <c r="AW132">
        <f t="shared" si="21"/>
        <v>20.994499333</v>
      </c>
      <c r="AX132" s="9"/>
      <c r="AY132" s="22">
        <v>0.514374</v>
      </c>
      <c r="AZ132" s="22">
        <v>481.07</v>
      </c>
      <c r="BA132" s="22">
        <v>-1.7721600000000001E-2</v>
      </c>
      <c r="BB132" s="22">
        <v>122</v>
      </c>
      <c r="BC132" s="22">
        <v>0.51400800000000002</v>
      </c>
      <c r="BD132">
        <f t="shared" si="22"/>
        <v>17.721600000000002</v>
      </c>
      <c r="BE132">
        <f t="shared" si="23"/>
        <v>9.1155302784000014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67.915000000000006</v>
      </c>
      <c r="I133" s="22">
        <v>5.9750400000000002E-2</v>
      </c>
      <c r="J133" s="22">
        <v>123</v>
      </c>
      <c r="K133" s="22">
        <v>8.2489000000000007E-2</v>
      </c>
      <c r="L133">
        <f t="shared" si="12"/>
        <v>-59.750399999999999</v>
      </c>
      <c r="M133">
        <f t="shared" si="13"/>
        <v>-72.33562675200001</v>
      </c>
      <c r="N133" s="9"/>
      <c r="O133" s="22">
        <v>0.51940900000000001</v>
      </c>
      <c r="P133" s="22">
        <v>140.13399999999999</v>
      </c>
      <c r="Q133" s="22">
        <v>-1.7926000000000001E-2</v>
      </c>
      <c r="R133" s="22">
        <v>123</v>
      </c>
      <c r="S133" s="22">
        <v>0.51827999999999996</v>
      </c>
      <c r="T133">
        <f t="shared" si="14"/>
        <v>17.926000000000002</v>
      </c>
      <c r="U133">
        <f t="shared" si="15"/>
        <v>9.3109257340000013</v>
      </c>
      <c r="X133" s="9"/>
      <c r="Y133" s="22">
        <v>1.2106300000000001</v>
      </c>
      <c r="Z133" s="22">
        <v>198.92099999999999</v>
      </c>
      <c r="AA133" s="22">
        <v>-1.7361499999999998E-2</v>
      </c>
      <c r="AB133" s="22">
        <v>123</v>
      </c>
      <c r="AC133" s="22">
        <v>1.2097199999999999</v>
      </c>
      <c r="AD133">
        <f t="shared" si="16"/>
        <v>17.361499999999999</v>
      </c>
      <c r="AE133">
        <f t="shared" si="17"/>
        <v>21.018352745000001</v>
      </c>
      <c r="AF133" s="9"/>
      <c r="AG133" s="22">
        <v>0.51940900000000001</v>
      </c>
      <c r="AH133" s="22">
        <v>290.94</v>
      </c>
      <c r="AI133" s="22">
        <v>-1.77521E-2</v>
      </c>
      <c r="AJ133" s="22">
        <v>123</v>
      </c>
      <c r="AK133" s="22">
        <v>0.51944000000000001</v>
      </c>
      <c r="AL133">
        <f t="shared" si="18"/>
        <v>17.752099999999999</v>
      </c>
      <c r="AM133">
        <f t="shared" si="19"/>
        <v>9.2206005088999987</v>
      </c>
      <c r="AP133" s="9"/>
      <c r="AQ133" s="22">
        <v>1.2106300000000001</v>
      </c>
      <c r="AR133" s="22">
        <v>386.90199999999999</v>
      </c>
      <c r="AS133" s="22">
        <v>-1.7272900000000001E-2</v>
      </c>
      <c r="AT133" s="22">
        <v>123</v>
      </c>
      <c r="AU133" s="22">
        <v>1.2103299999999999</v>
      </c>
      <c r="AV133">
        <f t="shared" si="20"/>
        <v>17.2729</v>
      </c>
      <c r="AW133">
        <f t="shared" si="21"/>
        <v>20.911090927</v>
      </c>
      <c r="AX133" s="9"/>
      <c r="AY133" s="22">
        <v>0.51940900000000001</v>
      </c>
      <c r="AZ133" s="22">
        <v>481.17099999999999</v>
      </c>
      <c r="BA133" s="22">
        <v>-1.77246E-2</v>
      </c>
      <c r="BB133" s="22">
        <v>123</v>
      </c>
      <c r="BC133" s="22">
        <v>0.51849400000000001</v>
      </c>
      <c r="BD133">
        <f t="shared" si="22"/>
        <v>17.724599999999999</v>
      </c>
      <c r="BE133">
        <f t="shared" si="23"/>
        <v>9.2063167614000001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68.015699999999995</v>
      </c>
      <c r="I134" s="22">
        <v>5.9735099999999999E-2</v>
      </c>
      <c r="J134" s="22">
        <v>124</v>
      </c>
      <c r="K134" s="22">
        <v>8.2519499999999996E-2</v>
      </c>
      <c r="L134">
        <f t="shared" si="12"/>
        <v>-59.735100000000003</v>
      </c>
      <c r="M134">
        <f t="shared" si="13"/>
        <v>-72.016636560000009</v>
      </c>
      <c r="N134" s="9"/>
      <c r="O134" s="22">
        <v>0.52444500000000005</v>
      </c>
      <c r="P134" s="22">
        <v>140.23500000000001</v>
      </c>
      <c r="Q134" s="22">
        <v>-1.7907699999999999E-2</v>
      </c>
      <c r="R134" s="22">
        <v>124</v>
      </c>
      <c r="S134" s="22">
        <v>0.522675</v>
      </c>
      <c r="T134">
        <f t="shared" si="14"/>
        <v>17.907699999999998</v>
      </c>
      <c r="U134">
        <f t="shared" si="15"/>
        <v>9.3916037264999996</v>
      </c>
      <c r="X134" s="9"/>
      <c r="Y134" s="22">
        <v>1.2056</v>
      </c>
      <c r="Z134" s="22">
        <v>199.02199999999999</v>
      </c>
      <c r="AA134" s="22">
        <v>-1.7361499999999998E-2</v>
      </c>
      <c r="AB134" s="22">
        <v>124</v>
      </c>
      <c r="AC134" s="22">
        <v>1.2045300000000001</v>
      </c>
      <c r="AD134">
        <f t="shared" si="16"/>
        <v>17.361499999999999</v>
      </c>
      <c r="AE134">
        <f t="shared" si="17"/>
        <v>20.931024399999998</v>
      </c>
      <c r="AF134" s="9"/>
      <c r="AG134" s="22">
        <v>0.52444500000000005</v>
      </c>
      <c r="AH134" s="22">
        <v>291.04000000000002</v>
      </c>
      <c r="AI134" s="22">
        <v>-1.7746000000000001E-2</v>
      </c>
      <c r="AJ134" s="22">
        <v>124</v>
      </c>
      <c r="AK134" s="22">
        <v>0.52337599999999995</v>
      </c>
      <c r="AL134">
        <f t="shared" si="18"/>
        <v>17.746000000000002</v>
      </c>
      <c r="AM134">
        <f t="shared" si="19"/>
        <v>9.3068009700000012</v>
      </c>
      <c r="AP134" s="9"/>
      <c r="AQ134" s="22">
        <v>1.2056</v>
      </c>
      <c r="AR134" s="22">
        <v>387.00299999999999</v>
      </c>
      <c r="AS134" s="22">
        <v>-1.7282100000000002E-2</v>
      </c>
      <c r="AT134" s="22">
        <v>124</v>
      </c>
      <c r="AU134" s="22">
        <v>1.2048300000000001</v>
      </c>
      <c r="AV134">
        <f t="shared" si="20"/>
        <v>17.282100000000003</v>
      </c>
      <c r="AW134">
        <f t="shared" si="21"/>
        <v>20.835299760000005</v>
      </c>
      <c r="AX134" s="9"/>
      <c r="AY134" s="22">
        <v>0.52444500000000005</v>
      </c>
      <c r="AZ134" s="22">
        <v>481.27100000000002</v>
      </c>
      <c r="BA134" s="22">
        <v>-1.7718500000000002E-2</v>
      </c>
      <c r="BB134" s="22">
        <v>124</v>
      </c>
      <c r="BC134" s="22">
        <v>0.52365099999999998</v>
      </c>
      <c r="BD134">
        <f t="shared" si="22"/>
        <v>17.718500000000002</v>
      </c>
      <c r="BE134">
        <f t="shared" si="23"/>
        <v>9.2923787325000013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68.116399999999999</v>
      </c>
      <c r="I135" s="22">
        <v>5.97168E-2</v>
      </c>
      <c r="J135" s="22">
        <v>125</v>
      </c>
      <c r="K135" s="22">
        <v>8.2458500000000004E-2</v>
      </c>
      <c r="L135">
        <f t="shared" si="12"/>
        <v>-59.716799999999999</v>
      </c>
      <c r="M135">
        <f t="shared" si="13"/>
        <v>-71.693601408000006</v>
      </c>
      <c r="N135" s="9"/>
      <c r="O135" s="22">
        <v>0.52947999999999995</v>
      </c>
      <c r="P135" s="22">
        <v>140.33600000000001</v>
      </c>
      <c r="Q135" s="22">
        <v>-1.79016E-2</v>
      </c>
      <c r="R135" s="22">
        <v>125</v>
      </c>
      <c r="S135" s="22">
        <v>0.52917499999999995</v>
      </c>
      <c r="T135">
        <f t="shared" si="14"/>
        <v>17.901599999999998</v>
      </c>
      <c r="U135">
        <f t="shared" si="15"/>
        <v>9.4785391679999975</v>
      </c>
      <c r="X135" s="9"/>
      <c r="Y135" s="22">
        <v>1.2005600000000001</v>
      </c>
      <c r="Z135" s="22">
        <v>199.12200000000001</v>
      </c>
      <c r="AA135" s="22">
        <v>-1.73676E-2</v>
      </c>
      <c r="AB135" s="22">
        <v>125</v>
      </c>
      <c r="AC135" s="22">
        <v>1.1993400000000001</v>
      </c>
      <c r="AD135">
        <f t="shared" si="16"/>
        <v>17.367599999999999</v>
      </c>
      <c r="AE135">
        <f t="shared" si="17"/>
        <v>20.850845855999999</v>
      </c>
      <c r="AF135" s="9"/>
      <c r="AG135" s="22">
        <v>0.52947999999999995</v>
      </c>
      <c r="AH135" s="22">
        <v>291.14100000000002</v>
      </c>
      <c r="AI135" s="22">
        <v>-1.7746000000000001E-2</v>
      </c>
      <c r="AJ135" s="22">
        <v>125</v>
      </c>
      <c r="AK135" s="22">
        <v>0.529053</v>
      </c>
      <c r="AL135">
        <f t="shared" si="18"/>
        <v>17.746000000000002</v>
      </c>
      <c r="AM135">
        <f t="shared" si="19"/>
        <v>9.3961520800000002</v>
      </c>
      <c r="AP135" s="9"/>
      <c r="AQ135" s="22">
        <v>1.2005600000000001</v>
      </c>
      <c r="AR135" s="22">
        <v>387.10399999999998</v>
      </c>
      <c r="AS135" s="22">
        <v>-1.7282100000000002E-2</v>
      </c>
      <c r="AT135" s="22">
        <v>125</v>
      </c>
      <c r="AU135" s="22">
        <v>1.1993400000000001</v>
      </c>
      <c r="AV135">
        <f t="shared" si="20"/>
        <v>17.282100000000003</v>
      </c>
      <c r="AW135">
        <f t="shared" si="21"/>
        <v>20.748197976000004</v>
      </c>
      <c r="AX135" s="9"/>
      <c r="AY135" s="22">
        <v>0.52947999999999995</v>
      </c>
      <c r="AZ135" s="22">
        <v>481.37200000000001</v>
      </c>
      <c r="BA135" s="22">
        <v>-1.7703199999999999E-2</v>
      </c>
      <c r="BB135" s="22">
        <v>125</v>
      </c>
      <c r="BC135" s="22">
        <v>0.52883899999999995</v>
      </c>
      <c r="BD135">
        <f t="shared" si="22"/>
        <v>17.703199999999999</v>
      </c>
      <c r="BE135">
        <f t="shared" si="23"/>
        <v>9.3734903359999979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68.217100000000002</v>
      </c>
      <c r="I136" s="22">
        <v>5.9719800000000003E-2</v>
      </c>
      <c r="J136" s="22">
        <v>126</v>
      </c>
      <c r="K136" s="22">
        <v>8.2489000000000007E-2</v>
      </c>
      <c r="L136">
        <f t="shared" si="12"/>
        <v>-59.719800000000006</v>
      </c>
      <c r="M136">
        <f t="shared" si="13"/>
        <v>-71.396812494000002</v>
      </c>
      <c r="N136" s="9"/>
      <c r="O136" s="22">
        <v>0.53451499999999996</v>
      </c>
      <c r="P136" s="22">
        <v>140.43600000000001</v>
      </c>
      <c r="Q136" s="22">
        <v>-1.7898600000000001E-2</v>
      </c>
      <c r="R136" s="22">
        <v>126</v>
      </c>
      <c r="S136" s="22">
        <v>0.53405800000000003</v>
      </c>
      <c r="T136">
        <f t="shared" si="14"/>
        <v>17.898600000000002</v>
      </c>
      <c r="U136">
        <f t="shared" si="15"/>
        <v>9.5670701789999999</v>
      </c>
      <c r="X136" s="9"/>
      <c r="Y136" s="22">
        <v>1.19553</v>
      </c>
      <c r="Z136" s="22">
        <v>199.22300000000001</v>
      </c>
      <c r="AA136" s="22">
        <v>-1.7364500000000001E-2</v>
      </c>
      <c r="AB136" s="22">
        <v>126</v>
      </c>
      <c r="AC136" s="22">
        <v>1.1956800000000001</v>
      </c>
      <c r="AD136">
        <f t="shared" si="16"/>
        <v>17.364500000000003</v>
      </c>
      <c r="AE136">
        <f t="shared" si="17"/>
        <v>20.759780685000003</v>
      </c>
      <c r="AF136" s="9"/>
      <c r="AG136" s="22">
        <v>0.53451499999999996</v>
      </c>
      <c r="AH136" s="22">
        <v>291.24200000000002</v>
      </c>
      <c r="AI136" s="22">
        <v>-1.7739899999999999E-2</v>
      </c>
      <c r="AJ136" s="22">
        <v>126</v>
      </c>
      <c r="AK136" s="22">
        <v>0.53430200000000005</v>
      </c>
      <c r="AL136">
        <f t="shared" si="18"/>
        <v>17.739899999999999</v>
      </c>
      <c r="AM136">
        <f t="shared" si="19"/>
        <v>9.482242648499998</v>
      </c>
      <c r="AP136" s="9"/>
      <c r="AQ136" s="22">
        <v>1.19553</v>
      </c>
      <c r="AR136" s="22">
        <v>387.20400000000001</v>
      </c>
      <c r="AS136" s="22">
        <v>-1.7291299999999999E-2</v>
      </c>
      <c r="AT136" s="22">
        <v>126</v>
      </c>
      <c r="AU136" s="22">
        <v>1.19537</v>
      </c>
      <c r="AV136">
        <f t="shared" si="20"/>
        <v>17.2913</v>
      </c>
      <c r="AW136">
        <f t="shared" si="21"/>
        <v>20.672267889</v>
      </c>
      <c r="AX136" s="9"/>
      <c r="AY136" s="22">
        <v>0.53451499999999996</v>
      </c>
      <c r="AZ136" s="22">
        <v>481.47300000000001</v>
      </c>
      <c r="BA136" s="22">
        <v>-1.7703199999999999E-2</v>
      </c>
      <c r="BB136" s="22">
        <v>126</v>
      </c>
      <c r="BC136" s="22">
        <v>0.53384399999999999</v>
      </c>
      <c r="BD136">
        <f t="shared" si="22"/>
        <v>17.703199999999999</v>
      </c>
      <c r="BE136">
        <f t="shared" si="23"/>
        <v>9.4626259479999995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68.317800000000005</v>
      </c>
      <c r="I137" s="22">
        <v>5.9701499999999998E-2</v>
      </c>
      <c r="J137" s="22">
        <v>127</v>
      </c>
      <c r="K137" s="22">
        <v>8.2580600000000004E-2</v>
      </c>
      <c r="L137">
        <f t="shared" si="12"/>
        <v>-59.701499999999996</v>
      </c>
      <c r="M137">
        <f t="shared" si="13"/>
        <v>-71.074038735000002</v>
      </c>
      <c r="N137" s="9"/>
      <c r="O137" s="22">
        <v>0.539551</v>
      </c>
      <c r="P137" s="22">
        <v>140.53700000000001</v>
      </c>
      <c r="Q137" s="22">
        <v>-1.79016E-2</v>
      </c>
      <c r="R137" s="22">
        <v>127</v>
      </c>
      <c r="S137" s="22">
        <v>0.54055799999999998</v>
      </c>
      <c r="T137">
        <f t="shared" si="14"/>
        <v>17.901599999999998</v>
      </c>
      <c r="U137">
        <f t="shared" si="15"/>
        <v>9.6588261815999985</v>
      </c>
      <c r="X137" s="9"/>
      <c r="Y137" s="22">
        <v>1.19049</v>
      </c>
      <c r="Z137" s="22">
        <v>199.32400000000001</v>
      </c>
      <c r="AA137" s="22">
        <v>-1.7364500000000001E-2</v>
      </c>
      <c r="AB137" s="22">
        <v>127</v>
      </c>
      <c r="AC137" s="22">
        <v>1.1895800000000001</v>
      </c>
      <c r="AD137">
        <f t="shared" si="16"/>
        <v>17.364500000000003</v>
      </c>
      <c r="AE137">
        <f t="shared" si="17"/>
        <v>20.672263605000005</v>
      </c>
      <c r="AF137" s="9"/>
      <c r="AG137" s="22">
        <v>0.539551</v>
      </c>
      <c r="AH137" s="22">
        <v>291.34199999999998</v>
      </c>
      <c r="AI137" s="22">
        <v>-1.7739899999999999E-2</v>
      </c>
      <c r="AJ137" s="22">
        <v>127</v>
      </c>
      <c r="AK137" s="22">
        <v>0.53936799999999996</v>
      </c>
      <c r="AL137">
        <f t="shared" si="18"/>
        <v>17.739899999999999</v>
      </c>
      <c r="AM137">
        <f t="shared" si="19"/>
        <v>9.5715807849000001</v>
      </c>
      <c r="AP137" s="9"/>
      <c r="AQ137" s="22">
        <v>1.19049</v>
      </c>
      <c r="AR137" s="22">
        <v>387.30500000000001</v>
      </c>
      <c r="AS137" s="22">
        <v>-1.7294299999999999E-2</v>
      </c>
      <c r="AT137" s="22">
        <v>127</v>
      </c>
      <c r="AU137" s="22">
        <v>1.1895800000000001</v>
      </c>
      <c r="AV137">
        <f t="shared" si="20"/>
        <v>17.2943</v>
      </c>
      <c r="AW137">
        <f t="shared" si="21"/>
        <v>20.588691207</v>
      </c>
      <c r="AX137" s="9"/>
      <c r="AY137" s="22">
        <v>0.539551</v>
      </c>
      <c r="AZ137" s="22">
        <v>481.57400000000001</v>
      </c>
      <c r="BA137" s="22">
        <v>-1.77124E-2</v>
      </c>
      <c r="BB137" s="22">
        <v>127</v>
      </c>
      <c r="BC137" s="22">
        <v>0.53884900000000002</v>
      </c>
      <c r="BD137">
        <f t="shared" si="22"/>
        <v>17.712399999999999</v>
      </c>
      <c r="BE137">
        <f t="shared" si="23"/>
        <v>9.5567431323999994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68.418499999999995</v>
      </c>
      <c r="I138" s="22">
        <v>5.9634399999999997E-2</v>
      </c>
      <c r="J138" s="22">
        <v>128</v>
      </c>
      <c r="K138" s="22">
        <v>8.2580600000000004E-2</v>
      </c>
      <c r="L138">
        <f t="shared" si="12"/>
        <v>-59.634399999999999</v>
      </c>
      <c r="M138">
        <f t="shared" si="13"/>
        <v>-70.694195823999991</v>
      </c>
      <c r="N138" s="9"/>
      <c r="O138" s="22">
        <v>0.54458600000000001</v>
      </c>
      <c r="P138" s="22">
        <v>140.63800000000001</v>
      </c>
      <c r="Q138" s="22">
        <v>-1.7895500000000002E-2</v>
      </c>
      <c r="R138" s="22">
        <v>128</v>
      </c>
      <c r="S138" s="22">
        <v>0.54483000000000004</v>
      </c>
      <c r="T138">
        <f t="shared" si="14"/>
        <v>17.895500000000002</v>
      </c>
      <c r="U138">
        <f t="shared" si="15"/>
        <v>9.7456387630000005</v>
      </c>
      <c r="X138" s="9"/>
      <c r="Y138" s="22">
        <v>1.18546</v>
      </c>
      <c r="Z138" s="22">
        <v>199.42500000000001</v>
      </c>
      <c r="AA138" s="22">
        <v>-1.7385899999999999E-2</v>
      </c>
      <c r="AB138" s="22">
        <v>128</v>
      </c>
      <c r="AC138" s="22">
        <v>1.18469</v>
      </c>
      <c r="AD138">
        <f t="shared" si="16"/>
        <v>17.385899999999999</v>
      </c>
      <c r="AE138">
        <f t="shared" si="17"/>
        <v>20.610289013999999</v>
      </c>
      <c r="AF138" s="9"/>
      <c r="AG138" s="22">
        <v>0.54458600000000001</v>
      </c>
      <c r="AH138" s="22">
        <v>291.44299999999998</v>
      </c>
      <c r="AI138" s="22">
        <v>-1.7742899999999999E-2</v>
      </c>
      <c r="AJ138" s="22">
        <v>128</v>
      </c>
      <c r="AK138" s="22">
        <v>0.54415899999999995</v>
      </c>
      <c r="AL138">
        <f t="shared" si="18"/>
        <v>17.742899999999999</v>
      </c>
      <c r="AM138">
        <f t="shared" si="19"/>
        <v>9.6625349394000004</v>
      </c>
      <c r="AP138" s="9"/>
      <c r="AQ138" s="22">
        <v>1.18546</v>
      </c>
      <c r="AR138" s="22">
        <v>387.40600000000001</v>
      </c>
      <c r="AS138" s="22">
        <v>-1.7303499999999999E-2</v>
      </c>
      <c r="AT138" s="22">
        <v>128</v>
      </c>
      <c r="AU138" s="22">
        <v>1.1843900000000001</v>
      </c>
      <c r="AV138">
        <f t="shared" si="20"/>
        <v>17.3035</v>
      </c>
      <c r="AW138">
        <f t="shared" si="21"/>
        <v>20.512607109999998</v>
      </c>
      <c r="AX138" s="9"/>
      <c r="AY138" s="22">
        <v>0.54458600000000001</v>
      </c>
      <c r="AZ138" s="22">
        <v>481.67399999999998</v>
      </c>
      <c r="BA138" s="22">
        <v>-1.77094E-2</v>
      </c>
      <c r="BB138" s="22">
        <v>128</v>
      </c>
      <c r="BC138" s="22">
        <v>0.54391500000000004</v>
      </c>
      <c r="BD138">
        <f t="shared" si="22"/>
        <v>17.709399999999999</v>
      </c>
      <c r="BE138">
        <f t="shared" si="23"/>
        <v>9.6442913083999997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68.519199999999998</v>
      </c>
      <c r="I139" s="22">
        <v>5.9588599999999999E-2</v>
      </c>
      <c r="J139" s="22">
        <v>129</v>
      </c>
      <c r="K139" s="22">
        <v>8.2672099999999998E-2</v>
      </c>
      <c r="L139">
        <f t="shared" si="12"/>
        <v>-59.5886</v>
      </c>
      <c r="M139">
        <f t="shared" si="13"/>
        <v>-70.339575212</v>
      </c>
      <c r="N139" s="9"/>
      <c r="O139" s="22">
        <v>0.54962200000000005</v>
      </c>
      <c r="P139" s="22">
        <v>140.738</v>
      </c>
      <c r="Q139" s="22">
        <v>-1.7895500000000002E-2</v>
      </c>
      <c r="R139" s="22">
        <v>129</v>
      </c>
      <c r="S139" s="22">
        <v>0.54977399999999998</v>
      </c>
      <c r="T139">
        <f t="shared" si="14"/>
        <v>17.895500000000002</v>
      </c>
      <c r="U139">
        <f t="shared" si="15"/>
        <v>9.8357605010000029</v>
      </c>
      <c r="X139" s="9"/>
      <c r="Y139" s="22">
        <v>1.18042</v>
      </c>
      <c r="Z139" s="22">
        <v>199.52500000000001</v>
      </c>
      <c r="AA139" s="22">
        <v>-1.7376699999999998E-2</v>
      </c>
      <c r="AB139" s="22">
        <v>129</v>
      </c>
      <c r="AC139" s="22">
        <v>1.1792</v>
      </c>
      <c r="AD139">
        <f t="shared" si="16"/>
        <v>17.3767</v>
      </c>
      <c r="AE139">
        <f t="shared" si="17"/>
        <v>20.511804214000001</v>
      </c>
      <c r="AF139" s="9"/>
      <c r="AG139" s="22">
        <v>0.54962200000000005</v>
      </c>
      <c r="AH139" s="22">
        <v>291.54399999999998</v>
      </c>
      <c r="AI139" s="22">
        <v>-1.77368E-2</v>
      </c>
      <c r="AJ139" s="22">
        <v>129</v>
      </c>
      <c r="AK139" s="22">
        <v>0.54910300000000001</v>
      </c>
      <c r="AL139">
        <f t="shared" si="18"/>
        <v>17.736799999999999</v>
      </c>
      <c r="AM139">
        <f t="shared" si="19"/>
        <v>9.7485354896</v>
      </c>
      <c r="AP139" s="9"/>
      <c r="AQ139" s="22">
        <v>1.18042</v>
      </c>
      <c r="AR139" s="22">
        <v>387.50599999999997</v>
      </c>
      <c r="AS139" s="22">
        <v>-1.7306499999999999E-2</v>
      </c>
      <c r="AT139" s="22">
        <v>129</v>
      </c>
      <c r="AU139" s="22">
        <v>1.1792</v>
      </c>
      <c r="AV139">
        <f t="shared" si="20"/>
        <v>17.3065</v>
      </c>
      <c r="AW139">
        <f t="shared" si="21"/>
        <v>20.428938729999999</v>
      </c>
      <c r="AX139" s="9"/>
      <c r="AY139" s="22">
        <v>0.54962200000000005</v>
      </c>
      <c r="AZ139" s="22">
        <v>481.77499999999998</v>
      </c>
      <c r="BA139" s="22">
        <v>-1.77124E-2</v>
      </c>
      <c r="BB139" s="22">
        <v>129</v>
      </c>
      <c r="BC139" s="22">
        <v>0.54919399999999996</v>
      </c>
      <c r="BD139">
        <f t="shared" si="22"/>
        <v>17.712399999999999</v>
      </c>
      <c r="BE139">
        <f t="shared" si="23"/>
        <v>9.7351247128000011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68.619900000000001</v>
      </c>
      <c r="I140" s="22">
        <v>5.9521499999999998E-2</v>
      </c>
      <c r="J140" s="22">
        <v>130</v>
      </c>
      <c r="K140" s="22">
        <v>8.2611100000000007E-2</v>
      </c>
      <c r="L140">
        <f t="shared" ref="L140:L203" si="24">-I140/$F$2*1000</f>
        <v>-59.521499999999996</v>
      </c>
      <c r="M140">
        <f t="shared" ref="M140:M203" si="25">L140*G140</f>
        <v>-69.960380670000006</v>
      </c>
      <c r="N140" s="9"/>
      <c r="O140" s="22">
        <v>0.55465699999999996</v>
      </c>
      <c r="P140" s="22">
        <v>140.839</v>
      </c>
      <c r="Q140" s="22">
        <v>-1.7898600000000001E-2</v>
      </c>
      <c r="R140" s="22">
        <v>130</v>
      </c>
      <c r="S140" s="22">
        <v>0.55346700000000004</v>
      </c>
      <c r="T140">
        <f t="shared" ref="T140:T203" si="26">-Q140/$F$2*1000</f>
        <v>17.898600000000002</v>
      </c>
      <c r="U140">
        <f t="shared" ref="U140:U203" si="27">T140*O140</f>
        <v>9.9275837802000009</v>
      </c>
      <c r="X140" s="9"/>
      <c r="Y140" s="22">
        <v>1.1753800000000001</v>
      </c>
      <c r="Z140" s="22">
        <v>199.626</v>
      </c>
      <c r="AA140" s="22">
        <v>-1.7376699999999998E-2</v>
      </c>
      <c r="AB140" s="22">
        <v>130</v>
      </c>
      <c r="AC140" s="22">
        <v>1.17432</v>
      </c>
      <c r="AD140">
        <f t="shared" ref="AD140:AD203" si="28">-AA140/$F$2*1000</f>
        <v>17.3767</v>
      </c>
      <c r="AE140">
        <f t="shared" ref="AE140:AE203" si="29">AD140*Y140</f>
        <v>20.424225646</v>
      </c>
      <c r="AF140" s="9"/>
      <c r="AG140" s="22">
        <v>0.55465699999999996</v>
      </c>
      <c r="AH140" s="22">
        <v>291.64499999999998</v>
      </c>
      <c r="AI140" s="22">
        <v>-1.7730699999999999E-2</v>
      </c>
      <c r="AJ140" s="22">
        <v>130</v>
      </c>
      <c r="AK140" s="22">
        <v>0.55401599999999995</v>
      </c>
      <c r="AL140">
        <f t="shared" ref="AL140:AL203" si="30">-AI140/$F$2*1000</f>
        <v>17.730699999999999</v>
      </c>
      <c r="AM140">
        <f t="shared" ref="AM140:AM203" si="31">AL140*AG140</f>
        <v>9.8344568698999986</v>
      </c>
      <c r="AP140" s="9"/>
      <c r="AQ140" s="22">
        <v>1.1753800000000001</v>
      </c>
      <c r="AR140" s="22">
        <v>387.60700000000003</v>
      </c>
      <c r="AS140" s="22">
        <v>-1.7306499999999999E-2</v>
      </c>
      <c r="AT140" s="22">
        <v>130</v>
      </c>
      <c r="AU140" s="22">
        <v>1.17462</v>
      </c>
      <c r="AV140">
        <f t="shared" ref="AV140:AV203" si="32">-AS140/$F$2*1000</f>
        <v>17.3065</v>
      </c>
      <c r="AW140">
        <f t="shared" ref="AW140:AW203" si="33">AV140*AQ140</f>
        <v>20.341713970000001</v>
      </c>
      <c r="AX140" s="9"/>
      <c r="AY140" s="22">
        <v>0.55465699999999996</v>
      </c>
      <c r="AZ140" s="22">
        <v>481.87599999999998</v>
      </c>
      <c r="BA140" s="22">
        <v>-1.7700199999999999E-2</v>
      </c>
      <c r="BB140" s="22">
        <v>130</v>
      </c>
      <c r="BC140" s="22">
        <v>0.55398599999999998</v>
      </c>
      <c r="BD140">
        <f t="shared" ref="BD140:BD203" si="34">-BA140/$F$2*1000</f>
        <v>17.700199999999999</v>
      </c>
      <c r="BE140">
        <f t="shared" ref="BE140:BE203" si="35">BD140*AY140</f>
        <v>9.8175398313999978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68.720600000000005</v>
      </c>
      <c r="I141" s="22">
        <v>5.9506200000000002E-2</v>
      </c>
      <c r="J141" s="22">
        <v>131</v>
      </c>
      <c r="K141" s="22">
        <v>8.2580600000000004E-2</v>
      </c>
      <c r="L141">
        <f t="shared" si="24"/>
        <v>-59.5062</v>
      </c>
      <c r="M141">
        <f t="shared" si="25"/>
        <v>-69.643081170000002</v>
      </c>
      <c r="N141" s="9"/>
      <c r="O141" s="22">
        <v>0.55969199999999997</v>
      </c>
      <c r="P141" s="22">
        <v>140.94</v>
      </c>
      <c r="Q141" s="22">
        <v>-1.7892499999999999E-2</v>
      </c>
      <c r="R141" s="22">
        <v>131</v>
      </c>
      <c r="S141" s="22">
        <v>0.55950900000000003</v>
      </c>
      <c r="T141">
        <f t="shared" si="26"/>
        <v>17.892499999999998</v>
      </c>
      <c r="U141">
        <f t="shared" si="27"/>
        <v>10.014289109999998</v>
      </c>
      <c r="X141" s="9"/>
      <c r="Y141" s="22">
        <v>1.17035</v>
      </c>
      <c r="Z141" s="22">
        <v>199.727</v>
      </c>
      <c r="AA141" s="22">
        <v>-1.7385899999999999E-2</v>
      </c>
      <c r="AB141" s="22">
        <v>131</v>
      </c>
      <c r="AC141" s="22">
        <v>1.16943</v>
      </c>
      <c r="AD141">
        <f t="shared" si="28"/>
        <v>17.385899999999999</v>
      </c>
      <c r="AE141">
        <f t="shared" si="29"/>
        <v>20.347588065</v>
      </c>
      <c r="AF141" s="9"/>
      <c r="AG141" s="22">
        <v>0.55969199999999997</v>
      </c>
      <c r="AH141" s="22">
        <v>291.745</v>
      </c>
      <c r="AI141" s="22">
        <v>-1.7733800000000001E-2</v>
      </c>
      <c r="AJ141" s="22">
        <v>131</v>
      </c>
      <c r="AK141" s="22">
        <v>0.55923500000000004</v>
      </c>
      <c r="AL141">
        <f t="shared" si="30"/>
        <v>17.733800000000002</v>
      </c>
      <c r="AM141">
        <f t="shared" si="31"/>
        <v>9.925465989600001</v>
      </c>
      <c r="AP141" s="9"/>
      <c r="AQ141" s="22">
        <v>1.17035</v>
      </c>
      <c r="AR141" s="22">
        <v>387.70800000000003</v>
      </c>
      <c r="AS141" s="22">
        <v>-1.7306499999999999E-2</v>
      </c>
      <c r="AT141" s="22">
        <v>131</v>
      </c>
      <c r="AU141" s="22">
        <v>1.16974</v>
      </c>
      <c r="AV141">
        <f t="shared" si="32"/>
        <v>17.3065</v>
      </c>
      <c r="AW141">
        <f t="shared" si="33"/>
        <v>20.254662275000001</v>
      </c>
      <c r="AX141" s="9"/>
      <c r="AY141" s="22">
        <v>0.55969199999999997</v>
      </c>
      <c r="AZ141" s="22">
        <v>481.976</v>
      </c>
      <c r="BA141" s="22">
        <v>-1.7706300000000001E-2</v>
      </c>
      <c r="BB141" s="22">
        <v>131</v>
      </c>
      <c r="BC141" s="22">
        <v>0.55917399999999995</v>
      </c>
      <c r="BD141">
        <f t="shared" si="34"/>
        <v>17.706300000000002</v>
      </c>
      <c r="BE141">
        <f t="shared" si="35"/>
        <v>9.9100744596000006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68.821299999999994</v>
      </c>
      <c r="I142" s="22">
        <v>5.94482E-2</v>
      </c>
      <c r="J142" s="22">
        <v>132</v>
      </c>
      <c r="K142" s="22">
        <v>8.2672099999999998E-2</v>
      </c>
      <c r="L142">
        <f t="shared" si="24"/>
        <v>-59.4482</v>
      </c>
      <c r="M142">
        <f t="shared" si="25"/>
        <v>-69.275581942000002</v>
      </c>
      <c r="N142" s="9"/>
      <c r="O142" s="22">
        <v>0.56472800000000001</v>
      </c>
      <c r="P142" s="22">
        <v>141.041</v>
      </c>
      <c r="Q142" s="22">
        <v>-1.7898600000000001E-2</v>
      </c>
      <c r="R142" s="22">
        <v>132</v>
      </c>
      <c r="S142" s="22">
        <v>0.56436200000000003</v>
      </c>
      <c r="T142">
        <f t="shared" si="26"/>
        <v>17.898600000000002</v>
      </c>
      <c r="U142">
        <f t="shared" si="27"/>
        <v>10.107840580800001</v>
      </c>
      <c r="X142" s="9"/>
      <c r="Y142" s="22">
        <v>1.1653100000000001</v>
      </c>
      <c r="Z142" s="22">
        <v>199.827</v>
      </c>
      <c r="AA142" s="22">
        <v>-1.7395000000000001E-2</v>
      </c>
      <c r="AB142" s="22">
        <v>132</v>
      </c>
      <c r="AC142" s="22">
        <v>1.16516</v>
      </c>
      <c r="AD142">
        <f t="shared" si="28"/>
        <v>17.395</v>
      </c>
      <c r="AE142">
        <f t="shared" si="29"/>
        <v>20.270567450000001</v>
      </c>
      <c r="AF142" s="9"/>
      <c r="AG142" s="22">
        <v>0.56472800000000001</v>
      </c>
      <c r="AH142" s="22">
        <v>291.846</v>
      </c>
      <c r="AI142" s="22">
        <v>-1.7733800000000001E-2</v>
      </c>
      <c r="AJ142" s="22">
        <v>132</v>
      </c>
      <c r="AK142" s="22">
        <v>0.56420899999999996</v>
      </c>
      <c r="AL142">
        <f t="shared" si="30"/>
        <v>17.733800000000002</v>
      </c>
      <c r="AM142">
        <f t="shared" si="31"/>
        <v>10.014773406400002</v>
      </c>
      <c r="AP142" s="9"/>
      <c r="AQ142" s="22">
        <v>1.1653100000000001</v>
      </c>
      <c r="AR142" s="22">
        <v>387.80900000000003</v>
      </c>
      <c r="AS142" s="22">
        <v>-1.7306499999999999E-2</v>
      </c>
      <c r="AT142" s="22">
        <v>132</v>
      </c>
      <c r="AU142" s="22">
        <v>1.16455</v>
      </c>
      <c r="AV142">
        <f t="shared" si="32"/>
        <v>17.3065</v>
      </c>
      <c r="AW142">
        <f t="shared" si="33"/>
        <v>20.167437515</v>
      </c>
      <c r="AX142" s="9"/>
      <c r="AY142" s="22">
        <v>0.56472800000000001</v>
      </c>
      <c r="AZ142" s="22">
        <v>482.077</v>
      </c>
      <c r="BA142" s="22">
        <v>-1.7703199999999999E-2</v>
      </c>
      <c r="BB142" s="22">
        <v>132</v>
      </c>
      <c r="BC142" s="22">
        <v>0.56399500000000002</v>
      </c>
      <c r="BD142">
        <f t="shared" si="34"/>
        <v>17.703199999999999</v>
      </c>
      <c r="BE142">
        <f t="shared" si="35"/>
        <v>9.9974927295999994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68.9221</v>
      </c>
      <c r="I143" s="22">
        <v>5.9381099999999999E-2</v>
      </c>
      <c r="J143" s="22">
        <v>133</v>
      </c>
      <c r="K143" s="22">
        <v>8.2733200000000007E-2</v>
      </c>
      <c r="L143">
        <f t="shared" si="24"/>
        <v>-59.381099999999996</v>
      </c>
      <c r="M143">
        <f t="shared" si="25"/>
        <v>-68.898702707999988</v>
      </c>
      <c r="N143" s="9"/>
      <c r="O143" s="22">
        <v>0.56976300000000002</v>
      </c>
      <c r="P143" s="22">
        <v>141.14099999999999</v>
      </c>
      <c r="Q143" s="22">
        <v>-1.7883300000000001E-2</v>
      </c>
      <c r="R143" s="22">
        <v>133</v>
      </c>
      <c r="S143" s="22">
        <v>0.56896999999999998</v>
      </c>
      <c r="T143">
        <f t="shared" si="26"/>
        <v>17.883300000000002</v>
      </c>
      <c r="U143">
        <f t="shared" si="27"/>
        <v>10.189242657900001</v>
      </c>
      <c r="X143" s="9"/>
      <c r="Y143" s="22">
        <v>1.16028</v>
      </c>
      <c r="Z143" s="22">
        <v>199.928</v>
      </c>
      <c r="AA143" s="22">
        <v>-1.73981E-2</v>
      </c>
      <c r="AB143" s="22">
        <v>133</v>
      </c>
      <c r="AC143" s="22">
        <v>1.1599699999999999</v>
      </c>
      <c r="AD143">
        <f t="shared" si="28"/>
        <v>17.398099999999999</v>
      </c>
      <c r="AE143">
        <f t="shared" si="29"/>
        <v>20.186667468</v>
      </c>
      <c r="AF143" s="9"/>
      <c r="AG143" s="22">
        <v>0.56976300000000002</v>
      </c>
      <c r="AH143" s="22">
        <v>291.947</v>
      </c>
      <c r="AI143" s="22">
        <v>-1.7721600000000001E-2</v>
      </c>
      <c r="AJ143" s="22">
        <v>133</v>
      </c>
      <c r="AK143" s="22">
        <v>0.56893899999999997</v>
      </c>
      <c r="AL143">
        <f t="shared" si="30"/>
        <v>17.721600000000002</v>
      </c>
      <c r="AM143">
        <f t="shared" si="31"/>
        <v>10.097111980800001</v>
      </c>
      <c r="AP143" s="9"/>
      <c r="AQ143" s="22">
        <v>1.16028</v>
      </c>
      <c r="AR143" s="22">
        <v>387.90899999999999</v>
      </c>
      <c r="AS143" s="22">
        <v>-1.7306499999999999E-2</v>
      </c>
      <c r="AT143" s="22">
        <v>133</v>
      </c>
      <c r="AU143" s="22">
        <v>1.1593599999999999</v>
      </c>
      <c r="AV143">
        <f t="shared" si="32"/>
        <v>17.3065</v>
      </c>
      <c r="AW143">
        <f t="shared" si="33"/>
        <v>20.08038582</v>
      </c>
      <c r="AX143" s="9"/>
      <c r="AY143" s="22">
        <v>0.56976300000000002</v>
      </c>
      <c r="AZ143" s="22">
        <v>482.178</v>
      </c>
      <c r="BA143" s="22">
        <v>-1.76971E-2</v>
      </c>
      <c r="BB143" s="22">
        <v>133</v>
      </c>
      <c r="BC143" s="22">
        <v>0.569214</v>
      </c>
      <c r="BD143">
        <f t="shared" si="34"/>
        <v>17.697099999999999</v>
      </c>
      <c r="BE143">
        <f t="shared" si="35"/>
        <v>10.0831527873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69.022800000000004</v>
      </c>
      <c r="I144" s="22">
        <v>5.9301800000000002E-2</v>
      </c>
      <c r="J144" s="22">
        <v>134</v>
      </c>
      <c r="K144" s="22">
        <v>8.2794199999999998E-2</v>
      </c>
      <c r="L144">
        <f t="shared" si="24"/>
        <v>-59.3018</v>
      </c>
      <c r="M144">
        <f t="shared" si="25"/>
        <v>-68.507811431999997</v>
      </c>
      <c r="N144" s="9"/>
      <c r="O144" s="22">
        <v>0.57479899999999995</v>
      </c>
      <c r="P144" s="22">
        <v>141.24199999999999</v>
      </c>
      <c r="Q144" s="22">
        <v>-1.7883300000000001E-2</v>
      </c>
      <c r="R144" s="22">
        <v>134</v>
      </c>
      <c r="S144" s="22">
        <v>0.57376099999999997</v>
      </c>
      <c r="T144">
        <f t="shared" si="26"/>
        <v>17.883300000000002</v>
      </c>
      <c r="U144">
        <f t="shared" si="27"/>
        <v>10.2793029567</v>
      </c>
      <c r="X144" s="9"/>
      <c r="Y144" s="22">
        <v>1.15524</v>
      </c>
      <c r="Z144" s="22">
        <v>200.029</v>
      </c>
      <c r="AA144" s="22">
        <v>-1.7401099999999999E-2</v>
      </c>
      <c r="AB144" s="22">
        <v>134</v>
      </c>
      <c r="AC144" s="22">
        <v>1.15448</v>
      </c>
      <c r="AD144">
        <f t="shared" si="28"/>
        <v>17.4011</v>
      </c>
      <c r="AE144">
        <f t="shared" si="29"/>
        <v>20.102446764</v>
      </c>
      <c r="AF144" s="9"/>
      <c r="AG144" s="22">
        <v>0.57479899999999995</v>
      </c>
      <c r="AH144" s="22">
        <v>292.04700000000003</v>
      </c>
      <c r="AI144" s="22">
        <v>-1.7718500000000002E-2</v>
      </c>
      <c r="AJ144" s="22">
        <v>134</v>
      </c>
      <c r="AK144" s="22">
        <v>0.57424900000000001</v>
      </c>
      <c r="AL144">
        <f t="shared" si="30"/>
        <v>17.718500000000002</v>
      </c>
      <c r="AM144">
        <f t="shared" si="31"/>
        <v>10.184576081500001</v>
      </c>
      <c r="AP144" s="9"/>
      <c r="AQ144" s="22">
        <v>1.15524</v>
      </c>
      <c r="AR144" s="22">
        <v>388.01</v>
      </c>
      <c r="AS144" s="22">
        <v>-1.7318699999999999E-2</v>
      </c>
      <c r="AT144" s="22">
        <v>134</v>
      </c>
      <c r="AU144" s="22">
        <v>1.15387</v>
      </c>
      <c r="AV144">
        <f t="shared" si="32"/>
        <v>17.3187</v>
      </c>
      <c r="AW144">
        <f t="shared" si="33"/>
        <v>20.007254988</v>
      </c>
      <c r="AX144" s="9"/>
      <c r="AY144" s="22">
        <v>0.57479899999999995</v>
      </c>
      <c r="AZ144" s="22">
        <v>482.279</v>
      </c>
      <c r="BA144" s="22">
        <v>-1.76971E-2</v>
      </c>
      <c r="BB144" s="22">
        <v>134</v>
      </c>
      <c r="BC144" s="22">
        <v>0.57406599999999997</v>
      </c>
      <c r="BD144">
        <f t="shared" si="34"/>
        <v>17.697099999999999</v>
      </c>
      <c r="BE144">
        <f t="shared" si="35"/>
        <v>10.172275382899999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69.123500000000007</v>
      </c>
      <c r="I145" s="22">
        <v>5.9237699999999997E-2</v>
      </c>
      <c r="J145" s="22">
        <v>135</v>
      </c>
      <c r="K145" s="22">
        <v>8.2885700000000007E-2</v>
      </c>
      <c r="L145">
        <f t="shared" si="24"/>
        <v>-59.237699999999997</v>
      </c>
      <c r="M145">
        <f t="shared" si="25"/>
        <v>-68.135794916999998</v>
      </c>
      <c r="N145" s="9"/>
      <c r="O145" s="22">
        <v>0.57983399999999996</v>
      </c>
      <c r="P145" s="22">
        <v>141.34299999999999</v>
      </c>
      <c r="Q145" s="22">
        <v>-1.7864999999999999E-2</v>
      </c>
      <c r="R145" s="22">
        <v>135</v>
      </c>
      <c r="S145" s="22">
        <v>0.57922399999999996</v>
      </c>
      <c r="T145">
        <f t="shared" si="26"/>
        <v>17.864999999999998</v>
      </c>
      <c r="U145">
        <f t="shared" si="27"/>
        <v>10.358734409999999</v>
      </c>
      <c r="X145" s="9"/>
      <c r="Y145" s="22">
        <v>1.15021</v>
      </c>
      <c r="Z145" s="22">
        <v>200.13</v>
      </c>
      <c r="AA145" s="22">
        <v>-1.7401099999999999E-2</v>
      </c>
      <c r="AB145" s="22">
        <v>135</v>
      </c>
      <c r="AC145" s="22">
        <v>1.1492899999999999</v>
      </c>
      <c r="AD145">
        <f t="shared" si="28"/>
        <v>17.4011</v>
      </c>
      <c r="AE145">
        <f t="shared" si="29"/>
        <v>20.014919231</v>
      </c>
      <c r="AF145" s="9"/>
      <c r="AG145" s="22">
        <v>0.57983399999999996</v>
      </c>
      <c r="AH145" s="22">
        <v>292.14800000000002</v>
      </c>
      <c r="AI145" s="22">
        <v>-1.7721600000000001E-2</v>
      </c>
      <c r="AJ145" s="22">
        <v>135</v>
      </c>
      <c r="AK145" s="22">
        <v>0.579681</v>
      </c>
      <c r="AL145">
        <f t="shared" si="30"/>
        <v>17.721600000000002</v>
      </c>
      <c r="AM145">
        <f t="shared" si="31"/>
        <v>10.275586214400001</v>
      </c>
      <c r="AP145" s="9"/>
      <c r="AQ145" s="22">
        <v>1.15021</v>
      </c>
      <c r="AR145" s="22">
        <v>388.11099999999999</v>
      </c>
      <c r="AS145" s="22">
        <v>-1.73157E-2</v>
      </c>
      <c r="AT145" s="22">
        <v>135</v>
      </c>
      <c r="AU145" s="22">
        <v>1.1496</v>
      </c>
      <c r="AV145">
        <f t="shared" si="32"/>
        <v>17.3157</v>
      </c>
      <c r="AW145">
        <f t="shared" si="33"/>
        <v>19.916691297</v>
      </c>
      <c r="AX145" s="9"/>
      <c r="AY145" s="22">
        <v>0.57983399999999996</v>
      </c>
      <c r="AZ145" s="22">
        <v>482.37900000000002</v>
      </c>
      <c r="BA145" s="22">
        <v>-1.7690999999999998E-2</v>
      </c>
      <c r="BB145" s="22">
        <v>135</v>
      </c>
      <c r="BC145" s="22">
        <v>0.57885699999999995</v>
      </c>
      <c r="BD145">
        <f t="shared" si="34"/>
        <v>17.690999999999999</v>
      </c>
      <c r="BE145">
        <f t="shared" si="35"/>
        <v>10.257843293999999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69.224199999999996</v>
      </c>
      <c r="I146" s="22">
        <v>5.9155300000000001E-2</v>
      </c>
      <c r="J146" s="22">
        <v>136</v>
      </c>
      <c r="K146" s="22">
        <v>8.2916299999999998E-2</v>
      </c>
      <c r="L146">
        <f t="shared" si="24"/>
        <v>-59.155300000000004</v>
      </c>
      <c r="M146">
        <f t="shared" si="25"/>
        <v>-67.742874901000008</v>
      </c>
      <c r="N146" s="9"/>
      <c r="O146" s="22">
        <v>0.58486899999999997</v>
      </c>
      <c r="P146" s="22">
        <v>141.44300000000001</v>
      </c>
      <c r="Q146" s="22">
        <v>-1.7877199999999999E-2</v>
      </c>
      <c r="R146" s="22">
        <v>136</v>
      </c>
      <c r="S146" s="22">
        <v>0.58377100000000004</v>
      </c>
      <c r="T146">
        <f t="shared" si="26"/>
        <v>17.877199999999998</v>
      </c>
      <c r="U146">
        <f t="shared" si="27"/>
        <v>10.455820086799999</v>
      </c>
      <c r="X146" s="9"/>
      <c r="Y146" s="22">
        <v>1.14517</v>
      </c>
      <c r="Z146" s="22">
        <v>200.23</v>
      </c>
      <c r="AA146" s="22">
        <v>-1.7407200000000001E-2</v>
      </c>
      <c r="AB146" s="22">
        <v>136</v>
      </c>
      <c r="AC146" s="22">
        <v>1.1444099999999999</v>
      </c>
      <c r="AD146">
        <f t="shared" si="28"/>
        <v>17.4072</v>
      </c>
      <c r="AE146">
        <f t="shared" si="29"/>
        <v>19.934203224000001</v>
      </c>
      <c r="AF146" s="9"/>
      <c r="AG146" s="22">
        <v>0.58486899999999997</v>
      </c>
      <c r="AH146" s="22">
        <v>292.24900000000002</v>
      </c>
      <c r="AI146" s="22">
        <v>-1.7721600000000001E-2</v>
      </c>
      <c r="AJ146" s="22">
        <v>136</v>
      </c>
      <c r="AK146" s="22">
        <v>0.58435099999999995</v>
      </c>
      <c r="AL146">
        <f t="shared" si="30"/>
        <v>17.721600000000002</v>
      </c>
      <c r="AM146">
        <f t="shared" si="31"/>
        <v>10.364814470400001</v>
      </c>
      <c r="AP146" s="9"/>
      <c r="AQ146" s="22">
        <v>1.14517</v>
      </c>
      <c r="AR146" s="22">
        <v>388.21100000000001</v>
      </c>
      <c r="AS146" s="22">
        <v>-1.7321799999999998E-2</v>
      </c>
      <c r="AT146" s="22">
        <v>136</v>
      </c>
      <c r="AU146" s="22">
        <v>1.1444099999999999</v>
      </c>
      <c r="AV146">
        <f t="shared" si="32"/>
        <v>17.3218</v>
      </c>
      <c r="AW146">
        <f t="shared" si="33"/>
        <v>19.836405706000001</v>
      </c>
      <c r="AX146" s="9"/>
      <c r="AY146" s="22">
        <v>0.58486899999999997</v>
      </c>
      <c r="AZ146" s="22">
        <v>482.48</v>
      </c>
      <c r="BA146" s="22">
        <v>-1.76819E-2</v>
      </c>
      <c r="BB146" s="22">
        <v>136</v>
      </c>
      <c r="BC146" s="22">
        <v>0.584229</v>
      </c>
      <c r="BD146">
        <f t="shared" si="34"/>
        <v>17.681899999999999</v>
      </c>
      <c r="BE146">
        <f t="shared" si="35"/>
        <v>10.341595171099998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69.3249</v>
      </c>
      <c r="I147" s="22">
        <v>5.91461E-2</v>
      </c>
      <c r="J147" s="22">
        <v>137</v>
      </c>
      <c r="K147" s="22">
        <v>8.2977300000000004E-2</v>
      </c>
      <c r="L147">
        <f t="shared" si="24"/>
        <v>-59.146099999999997</v>
      </c>
      <c r="M147">
        <f t="shared" si="25"/>
        <v>-67.434834453999997</v>
      </c>
      <c r="N147" s="9"/>
      <c r="O147" s="22">
        <v>0.58990500000000001</v>
      </c>
      <c r="P147" s="22">
        <v>141.54400000000001</v>
      </c>
      <c r="Q147" s="22">
        <v>-1.7871100000000001E-2</v>
      </c>
      <c r="R147" s="22">
        <v>137</v>
      </c>
      <c r="S147" s="22">
        <v>0.58941699999999997</v>
      </c>
      <c r="T147">
        <f t="shared" si="26"/>
        <v>17.871100000000002</v>
      </c>
      <c r="U147">
        <f t="shared" si="27"/>
        <v>10.542251245500001</v>
      </c>
      <c r="X147" s="9"/>
      <c r="Y147" s="22">
        <v>1.1401399999999999</v>
      </c>
      <c r="Z147" s="22">
        <v>200.33099999999999</v>
      </c>
      <c r="AA147" s="22">
        <v>-1.7407200000000001E-2</v>
      </c>
      <c r="AB147" s="22">
        <v>137</v>
      </c>
      <c r="AC147" s="22">
        <v>1.1389199999999999</v>
      </c>
      <c r="AD147">
        <f t="shared" si="28"/>
        <v>17.4072</v>
      </c>
      <c r="AE147">
        <f t="shared" si="29"/>
        <v>19.846645007999999</v>
      </c>
      <c r="AF147" s="9"/>
      <c r="AG147" s="22">
        <v>0.58990500000000001</v>
      </c>
      <c r="AH147" s="22">
        <v>292.34899999999999</v>
      </c>
      <c r="AI147" s="22">
        <v>-1.77246E-2</v>
      </c>
      <c r="AJ147" s="22">
        <v>137</v>
      </c>
      <c r="AK147" s="22">
        <v>0.58941699999999997</v>
      </c>
      <c r="AL147">
        <f t="shared" si="30"/>
        <v>17.724599999999999</v>
      </c>
      <c r="AM147">
        <f t="shared" si="31"/>
        <v>10.455830163</v>
      </c>
      <c r="AP147" s="9"/>
      <c r="AQ147" s="22">
        <v>1.1401399999999999</v>
      </c>
      <c r="AR147" s="22">
        <v>388.31200000000001</v>
      </c>
      <c r="AS147" s="22">
        <v>-1.7324800000000001E-2</v>
      </c>
      <c r="AT147" s="22">
        <v>137</v>
      </c>
      <c r="AU147" s="22">
        <v>1.1392199999999999</v>
      </c>
      <c r="AV147">
        <f t="shared" si="32"/>
        <v>17.3248</v>
      </c>
      <c r="AW147">
        <f t="shared" si="33"/>
        <v>19.752697471999998</v>
      </c>
      <c r="AX147" s="9"/>
      <c r="AY147" s="22">
        <v>0.58990500000000001</v>
      </c>
      <c r="AZ147" s="22">
        <v>482.58100000000002</v>
      </c>
      <c r="BA147" s="22">
        <v>-1.7694100000000001E-2</v>
      </c>
      <c r="BB147" s="22">
        <v>137</v>
      </c>
      <c r="BC147" s="22">
        <v>0.58895900000000001</v>
      </c>
      <c r="BD147">
        <f t="shared" si="34"/>
        <v>17.694100000000002</v>
      </c>
      <c r="BE147">
        <f t="shared" si="35"/>
        <v>10.437838060500003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69.425600000000003</v>
      </c>
      <c r="I148" s="22">
        <v>5.9060700000000001E-2</v>
      </c>
      <c r="J148" s="22">
        <v>138</v>
      </c>
      <c r="K148" s="22">
        <v>8.2977300000000004E-2</v>
      </c>
      <c r="L148">
        <f t="shared" si="24"/>
        <v>-59.060700000000004</v>
      </c>
      <c r="M148">
        <f t="shared" si="25"/>
        <v>-67.039800570000011</v>
      </c>
      <c r="N148" s="9"/>
      <c r="O148" s="22">
        <v>0.59494000000000002</v>
      </c>
      <c r="P148" s="22">
        <v>141.64500000000001</v>
      </c>
      <c r="Q148" s="22">
        <v>-1.7864999999999999E-2</v>
      </c>
      <c r="R148" s="22">
        <v>138</v>
      </c>
      <c r="S148" s="22">
        <v>0.59436</v>
      </c>
      <c r="T148">
        <f t="shared" si="26"/>
        <v>17.864999999999998</v>
      </c>
      <c r="U148">
        <f t="shared" si="27"/>
        <v>10.628603099999999</v>
      </c>
      <c r="X148" s="9"/>
      <c r="Y148" s="22">
        <v>1.1351</v>
      </c>
      <c r="Z148" s="22">
        <v>200.43199999999999</v>
      </c>
      <c r="AA148" s="22">
        <v>-1.7407200000000001E-2</v>
      </c>
      <c r="AB148" s="22">
        <v>138</v>
      </c>
      <c r="AC148" s="22">
        <v>1.1346400000000001</v>
      </c>
      <c r="AD148">
        <f t="shared" si="28"/>
        <v>17.4072</v>
      </c>
      <c r="AE148">
        <f t="shared" si="29"/>
        <v>19.758912719999998</v>
      </c>
      <c r="AF148" s="9"/>
      <c r="AG148" s="22">
        <v>0.59494000000000002</v>
      </c>
      <c r="AH148" s="22">
        <v>292.45</v>
      </c>
      <c r="AI148" s="22">
        <v>-1.77246E-2</v>
      </c>
      <c r="AJ148" s="22">
        <v>138</v>
      </c>
      <c r="AK148" s="22">
        <v>0.59436</v>
      </c>
      <c r="AL148">
        <f t="shared" si="30"/>
        <v>17.724599999999999</v>
      </c>
      <c r="AM148">
        <f t="shared" si="31"/>
        <v>10.545073523999999</v>
      </c>
      <c r="AP148" s="9"/>
      <c r="AQ148" s="22">
        <v>1.1351</v>
      </c>
      <c r="AR148" s="22">
        <v>388.41300000000001</v>
      </c>
      <c r="AS148" s="22">
        <v>-1.73309E-2</v>
      </c>
      <c r="AT148" s="22">
        <v>138</v>
      </c>
      <c r="AU148" s="22">
        <v>1.1346400000000001</v>
      </c>
      <c r="AV148">
        <f t="shared" si="32"/>
        <v>17.3309</v>
      </c>
      <c r="AW148">
        <f t="shared" si="33"/>
        <v>19.67230459</v>
      </c>
      <c r="AX148" s="9"/>
      <c r="AY148" s="22">
        <v>0.59494000000000002</v>
      </c>
      <c r="AZ148" s="22">
        <v>482.68099999999998</v>
      </c>
      <c r="BA148" s="22">
        <v>-1.7687999999999999E-2</v>
      </c>
      <c r="BB148" s="22">
        <v>138</v>
      </c>
      <c r="BC148" s="22">
        <v>0.594086</v>
      </c>
      <c r="BD148">
        <f t="shared" si="34"/>
        <v>17.687999999999999</v>
      </c>
      <c r="BE148">
        <f t="shared" si="35"/>
        <v>10.52329872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69.526300000000006</v>
      </c>
      <c r="I149" s="22">
        <v>5.9027099999999999E-2</v>
      </c>
      <c r="J149" s="22">
        <v>139</v>
      </c>
      <c r="K149" s="22">
        <v>8.2977300000000004E-2</v>
      </c>
      <c r="L149">
        <f t="shared" si="24"/>
        <v>-59.027099999999997</v>
      </c>
      <c r="M149">
        <f t="shared" si="25"/>
        <v>-66.704754896999987</v>
      </c>
      <c r="N149" s="9"/>
      <c r="O149" s="22">
        <v>0.59997599999999995</v>
      </c>
      <c r="P149" s="22">
        <v>141.745</v>
      </c>
      <c r="Q149" s="22">
        <v>-1.78589E-2</v>
      </c>
      <c r="R149" s="22">
        <v>139</v>
      </c>
      <c r="S149" s="22">
        <v>0.59979199999999999</v>
      </c>
      <c r="T149">
        <f t="shared" si="26"/>
        <v>17.858900000000002</v>
      </c>
      <c r="U149">
        <f t="shared" si="27"/>
        <v>10.714911386400001</v>
      </c>
      <c r="X149" s="9"/>
      <c r="Y149" s="22">
        <v>1.1300699999999999</v>
      </c>
      <c r="Z149" s="22">
        <v>200.53200000000001</v>
      </c>
      <c r="AA149" s="22">
        <v>-1.7419400000000002E-2</v>
      </c>
      <c r="AB149" s="22">
        <v>139</v>
      </c>
      <c r="AC149" s="22">
        <v>1.1285400000000001</v>
      </c>
      <c r="AD149">
        <f t="shared" si="28"/>
        <v>17.419400000000003</v>
      </c>
      <c r="AE149">
        <f t="shared" si="29"/>
        <v>19.685141358000003</v>
      </c>
      <c r="AF149" s="9"/>
      <c r="AG149" s="22">
        <v>0.59997599999999995</v>
      </c>
      <c r="AH149" s="22">
        <v>292.55099999999999</v>
      </c>
      <c r="AI149" s="22">
        <v>-1.7718500000000002E-2</v>
      </c>
      <c r="AJ149" s="22">
        <v>139</v>
      </c>
      <c r="AK149" s="22">
        <v>0.60000600000000004</v>
      </c>
      <c r="AL149">
        <f t="shared" si="30"/>
        <v>17.718500000000002</v>
      </c>
      <c r="AM149">
        <f t="shared" si="31"/>
        <v>10.630674756000001</v>
      </c>
      <c r="AP149" s="9"/>
      <c r="AQ149" s="22">
        <v>1.1300699999999999</v>
      </c>
      <c r="AR149" s="22">
        <v>388.51400000000001</v>
      </c>
      <c r="AS149" s="22">
        <v>-1.7333999999999999E-2</v>
      </c>
      <c r="AT149" s="22">
        <v>139</v>
      </c>
      <c r="AU149" s="22">
        <v>1.1294599999999999</v>
      </c>
      <c r="AV149">
        <f t="shared" si="32"/>
        <v>17.334</v>
      </c>
      <c r="AW149">
        <f t="shared" si="33"/>
        <v>19.588633379999997</v>
      </c>
      <c r="AX149" s="9"/>
      <c r="AY149" s="22">
        <v>0.59997599999999995</v>
      </c>
      <c r="AZ149" s="22">
        <v>482.78199999999998</v>
      </c>
      <c r="BA149" s="22">
        <v>-1.76819E-2</v>
      </c>
      <c r="BB149" s="22">
        <v>139</v>
      </c>
      <c r="BC149" s="22">
        <v>0.599518</v>
      </c>
      <c r="BD149">
        <f t="shared" si="34"/>
        <v>17.681899999999999</v>
      </c>
      <c r="BE149">
        <f t="shared" si="35"/>
        <v>10.608715634399999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69.626999999999995</v>
      </c>
      <c r="I150" s="22">
        <v>5.8972200000000002E-2</v>
      </c>
      <c r="J150" s="22">
        <v>140</v>
      </c>
      <c r="K150" s="22">
        <v>8.3007800000000007E-2</v>
      </c>
      <c r="L150">
        <f t="shared" si="24"/>
        <v>-58.972200000000001</v>
      </c>
      <c r="M150">
        <f t="shared" si="25"/>
        <v>-66.345494165999995</v>
      </c>
      <c r="N150" s="9"/>
      <c r="O150" s="22">
        <v>0.60501099999999997</v>
      </c>
      <c r="P150" s="22">
        <v>141.846</v>
      </c>
      <c r="Q150" s="22">
        <v>-1.78589E-2</v>
      </c>
      <c r="R150" s="22">
        <v>140</v>
      </c>
      <c r="S150" s="22">
        <v>0.60397299999999998</v>
      </c>
      <c r="T150">
        <f t="shared" si="26"/>
        <v>17.858900000000002</v>
      </c>
      <c r="U150">
        <f t="shared" si="27"/>
        <v>10.804830947900001</v>
      </c>
      <c r="X150" s="9"/>
      <c r="Y150" s="22">
        <v>1.12503</v>
      </c>
      <c r="Z150" s="22">
        <v>200.63300000000001</v>
      </c>
      <c r="AA150" s="22">
        <v>-1.7419400000000002E-2</v>
      </c>
      <c r="AB150" s="22">
        <v>140</v>
      </c>
      <c r="AC150" s="22">
        <v>1.1245700000000001</v>
      </c>
      <c r="AD150">
        <f t="shared" si="28"/>
        <v>17.419400000000003</v>
      </c>
      <c r="AE150">
        <f t="shared" si="29"/>
        <v>19.597347582000005</v>
      </c>
      <c r="AF150" s="9"/>
      <c r="AG150" s="22">
        <v>0.60501099999999997</v>
      </c>
      <c r="AH150" s="22">
        <v>292.65199999999999</v>
      </c>
      <c r="AI150" s="22">
        <v>-1.77124E-2</v>
      </c>
      <c r="AJ150" s="22">
        <v>140</v>
      </c>
      <c r="AK150" s="22">
        <v>0.60443100000000005</v>
      </c>
      <c r="AL150">
        <f t="shared" si="30"/>
        <v>17.712399999999999</v>
      </c>
      <c r="AM150">
        <f t="shared" si="31"/>
        <v>10.716196836399998</v>
      </c>
      <c r="AP150" s="9"/>
      <c r="AQ150" s="22">
        <v>1.12503</v>
      </c>
      <c r="AR150" s="22">
        <v>388.61399999999998</v>
      </c>
      <c r="AS150" s="22">
        <v>-1.7340100000000001E-2</v>
      </c>
      <c r="AT150" s="22">
        <v>140</v>
      </c>
      <c r="AU150" s="22">
        <v>1.1245700000000001</v>
      </c>
      <c r="AV150">
        <f t="shared" si="32"/>
        <v>17.3401</v>
      </c>
      <c r="AW150">
        <f t="shared" si="33"/>
        <v>19.508132702999998</v>
      </c>
      <c r="AX150" s="9"/>
      <c r="AY150" s="22">
        <v>0.60501099999999997</v>
      </c>
      <c r="AZ150" s="22">
        <v>482.88299999999998</v>
      </c>
      <c r="BA150" s="22">
        <v>-1.76849E-2</v>
      </c>
      <c r="BB150" s="22">
        <v>140</v>
      </c>
      <c r="BC150" s="22">
        <v>0.60446200000000005</v>
      </c>
      <c r="BD150">
        <f t="shared" si="34"/>
        <v>17.684899999999999</v>
      </c>
      <c r="BE150">
        <f t="shared" si="35"/>
        <v>10.699559033899998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69.727699999999999</v>
      </c>
      <c r="I151" s="22">
        <v>5.8944700000000003E-2</v>
      </c>
      <c r="J151" s="22">
        <v>141</v>
      </c>
      <c r="K151" s="22">
        <v>8.3038299999999995E-2</v>
      </c>
      <c r="L151">
        <f t="shared" si="24"/>
        <v>-58.944700000000005</v>
      </c>
      <c r="M151">
        <f t="shared" si="25"/>
        <v>-66.01806400000001</v>
      </c>
      <c r="N151" s="9"/>
      <c r="O151" s="22">
        <v>0.61004599999999998</v>
      </c>
      <c r="P151" s="22">
        <v>141.947</v>
      </c>
      <c r="Q151" s="22">
        <v>-1.78497E-2</v>
      </c>
      <c r="R151" s="22">
        <v>141</v>
      </c>
      <c r="S151" s="22">
        <v>0.60965000000000003</v>
      </c>
      <c r="T151">
        <f t="shared" si="26"/>
        <v>17.849699999999999</v>
      </c>
      <c r="U151">
        <f t="shared" si="27"/>
        <v>10.889138086199999</v>
      </c>
      <c r="X151" s="9"/>
      <c r="Y151" s="22">
        <v>1.1200000000000001</v>
      </c>
      <c r="Z151" s="22">
        <v>200.73400000000001</v>
      </c>
      <c r="AA151" s="22">
        <v>-1.7419400000000002E-2</v>
      </c>
      <c r="AB151" s="22">
        <v>141</v>
      </c>
      <c r="AC151" s="22">
        <v>1.11938</v>
      </c>
      <c r="AD151">
        <f t="shared" si="28"/>
        <v>17.419400000000003</v>
      </c>
      <c r="AE151">
        <f t="shared" si="29"/>
        <v>19.509728000000006</v>
      </c>
      <c r="AF151" s="9"/>
      <c r="AG151" s="22">
        <v>0.61004599999999998</v>
      </c>
      <c r="AH151" s="22">
        <v>292.75200000000001</v>
      </c>
      <c r="AI151" s="22">
        <v>-1.77124E-2</v>
      </c>
      <c r="AJ151" s="22">
        <v>141</v>
      </c>
      <c r="AK151" s="22">
        <v>0.60946699999999998</v>
      </c>
      <c r="AL151">
        <f t="shared" si="30"/>
        <v>17.712399999999999</v>
      </c>
      <c r="AM151">
        <f t="shared" si="31"/>
        <v>10.805378770399999</v>
      </c>
      <c r="AP151" s="9"/>
      <c r="AQ151" s="22">
        <v>1.1200000000000001</v>
      </c>
      <c r="AR151" s="22">
        <v>388.71499999999997</v>
      </c>
      <c r="AS151" s="22">
        <v>-1.7337000000000002E-2</v>
      </c>
      <c r="AT151" s="22">
        <v>141</v>
      </c>
      <c r="AU151" s="22">
        <v>1.11938</v>
      </c>
      <c r="AV151">
        <f t="shared" si="32"/>
        <v>17.337000000000003</v>
      </c>
      <c r="AW151">
        <f t="shared" si="33"/>
        <v>19.417440000000006</v>
      </c>
      <c r="AX151" s="9"/>
      <c r="AY151" s="22">
        <v>0.61004599999999998</v>
      </c>
      <c r="AZ151" s="22">
        <v>482.98399999999998</v>
      </c>
      <c r="BA151" s="22">
        <v>-1.76727E-2</v>
      </c>
      <c r="BB151" s="22">
        <v>141</v>
      </c>
      <c r="BC151" s="22">
        <v>0.609039</v>
      </c>
      <c r="BD151">
        <f t="shared" si="34"/>
        <v>17.672699999999999</v>
      </c>
      <c r="BE151">
        <f t="shared" si="35"/>
        <v>10.781159944199999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69.828400000000002</v>
      </c>
      <c r="I152" s="22">
        <v>5.8953899999999997E-2</v>
      </c>
      <c r="J152" s="22">
        <v>142</v>
      </c>
      <c r="K152" s="22">
        <v>8.3099400000000004E-2</v>
      </c>
      <c r="L152">
        <f t="shared" si="24"/>
        <v>-58.953899999999997</v>
      </c>
      <c r="M152">
        <f t="shared" si="25"/>
        <v>-65.731240344</v>
      </c>
      <c r="N152" s="9"/>
      <c r="O152" s="22">
        <v>0.61508200000000002</v>
      </c>
      <c r="P152" s="22">
        <v>142.048</v>
      </c>
      <c r="Q152" s="22">
        <v>-1.7843600000000001E-2</v>
      </c>
      <c r="R152" s="22">
        <v>142</v>
      </c>
      <c r="S152" s="22">
        <v>0.61447099999999999</v>
      </c>
      <c r="T152">
        <f t="shared" si="26"/>
        <v>17.843600000000002</v>
      </c>
      <c r="U152">
        <f t="shared" si="27"/>
        <v>10.975277175200002</v>
      </c>
      <c r="X152" s="9"/>
      <c r="Y152" s="22">
        <v>1.11496</v>
      </c>
      <c r="Z152" s="22">
        <v>200.834</v>
      </c>
      <c r="AA152" s="22">
        <v>-1.7416399999999999E-2</v>
      </c>
      <c r="AB152" s="22">
        <v>142</v>
      </c>
      <c r="AC152" s="22">
        <v>1.1142000000000001</v>
      </c>
      <c r="AD152">
        <f t="shared" si="28"/>
        <v>17.416399999999999</v>
      </c>
      <c r="AE152">
        <f t="shared" si="29"/>
        <v>19.418589343999997</v>
      </c>
      <c r="AF152" s="9"/>
      <c r="AG152" s="22">
        <v>0.61508200000000002</v>
      </c>
      <c r="AH152" s="22">
        <v>292.85300000000001</v>
      </c>
      <c r="AI152" s="22">
        <v>-1.7706300000000001E-2</v>
      </c>
      <c r="AJ152" s="22">
        <v>142</v>
      </c>
      <c r="AK152" s="22">
        <v>0.61462399999999995</v>
      </c>
      <c r="AL152">
        <f t="shared" si="30"/>
        <v>17.706300000000002</v>
      </c>
      <c r="AM152">
        <f t="shared" si="31"/>
        <v>10.890826416600001</v>
      </c>
      <c r="AP152" s="9"/>
      <c r="AQ152" s="22">
        <v>1.11496</v>
      </c>
      <c r="AR152" s="22">
        <v>388.81599999999997</v>
      </c>
      <c r="AS152" s="22">
        <v>-1.7346199999999999E-2</v>
      </c>
      <c r="AT152" s="22">
        <v>142</v>
      </c>
      <c r="AU152" s="22">
        <v>1.1148100000000001</v>
      </c>
      <c r="AV152">
        <f t="shared" si="32"/>
        <v>17.3462</v>
      </c>
      <c r="AW152">
        <f t="shared" si="33"/>
        <v>19.340319151999999</v>
      </c>
      <c r="AX152" s="9"/>
      <c r="AY152" s="22">
        <v>0.61508200000000002</v>
      </c>
      <c r="AZ152" s="22">
        <v>483.084</v>
      </c>
      <c r="BA152" s="22">
        <v>-1.7666600000000001E-2</v>
      </c>
      <c r="BB152" s="22">
        <v>142</v>
      </c>
      <c r="BC152" s="22">
        <v>0.61441000000000001</v>
      </c>
      <c r="BD152">
        <f t="shared" si="34"/>
        <v>17.666600000000003</v>
      </c>
      <c r="BE152">
        <f t="shared" si="35"/>
        <v>10.866407661200002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69.929100000000005</v>
      </c>
      <c r="I153" s="22">
        <v>5.8947800000000002E-2</v>
      </c>
      <c r="J153" s="22">
        <v>143</v>
      </c>
      <c r="K153" s="22">
        <v>8.3068799999999998E-2</v>
      </c>
      <c r="L153">
        <f t="shared" si="24"/>
        <v>-58.947800000000001</v>
      </c>
      <c r="M153">
        <f t="shared" si="25"/>
        <v>-65.427342175999996</v>
      </c>
      <c r="N153" s="9"/>
      <c r="O153" s="22">
        <v>0.62011700000000003</v>
      </c>
      <c r="P153" s="22">
        <v>142.148</v>
      </c>
      <c r="Q153" s="22">
        <v>-1.78467E-2</v>
      </c>
      <c r="R153" s="22">
        <v>143</v>
      </c>
      <c r="S153" s="22">
        <v>0.61990400000000001</v>
      </c>
      <c r="T153">
        <f t="shared" si="26"/>
        <v>17.846699999999998</v>
      </c>
      <c r="U153">
        <f t="shared" si="27"/>
        <v>11.067042063899999</v>
      </c>
      <c r="X153" s="9"/>
      <c r="Y153" s="22">
        <v>1.10992</v>
      </c>
      <c r="Z153" s="22">
        <v>200.935</v>
      </c>
      <c r="AA153" s="22">
        <v>-1.7431599999999998E-2</v>
      </c>
      <c r="AB153" s="22">
        <v>143</v>
      </c>
      <c r="AC153" s="22">
        <v>1.1087</v>
      </c>
      <c r="AD153">
        <f t="shared" si="28"/>
        <v>17.4316</v>
      </c>
      <c r="AE153">
        <f t="shared" si="29"/>
        <v>19.347681472000001</v>
      </c>
      <c r="AF153" s="9"/>
      <c r="AG153" s="22">
        <v>0.62011700000000003</v>
      </c>
      <c r="AH153" s="22">
        <v>292.95400000000001</v>
      </c>
      <c r="AI153" s="22">
        <v>-1.7715499999999999E-2</v>
      </c>
      <c r="AJ153" s="22">
        <v>143</v>
      </c>
      <c r="AK153" s="22">
        <v>0.619232</v>
      </c>
      <c r="AL153">
        <f t="shared" si="30"/>
        <v>17.715499999999999</v>
      </c>
      <c r="AM153">
        <f t="shared" si="31"/>
        <v>10.985682713499999</v>
      </c>
      <c r="AP153" s="9"/>
      <c r="AQ153" s="22">
        <v>1.10992</v>
      </c>
      <c r="AR153" s="22">
        <v>388.916</v>
      </c>
      <c r="AS153" s="22">
        <v>-1.73431E-2</v>
      </c>
      <c r="AT153" s="22">
        <v>143</v>
      </c>
      <c r="AU153" s="22">
        <v>1.10931</v>
      </c>
      <c r="AV153">
        <f t="shared" si="32"/>
        <v>17.3431</v>
      </c>
      <c r="AW153">
        <f t="shared" si="33"/>
        <v>19.249453551999999</v>
      </c>
      <c r="AX153" s="9"/>
      <c r="AY153" s="22">
        <v>0.62011700000000003</v>
      </c>
      <c r="AZ153" s="22">
        <v>483.185</v>
      </c>
      <c r="BA153" s="22">
        <v>-1.76697E-2</v>
      </c>
      <c r="BB153" s="22">
        <v>143</v>
      </c>
      <c r="BC153" s="22">
        <v>0.61950700000000003</v>
      </c>
      <c r="BD153">
        <f t="shared" si="34"/>
        <v>17.669699999999999</v>
      </c>
      <c r="BE153">
        <f t="shared" si="35"/>
        <v>10.957281354899999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70.029799999999994</v>
      </c>
      <c r="I154" s="22">
        <v>5.8880599999999998E-2</v>
      </c>
      <c r="J154" s="22">
        <v>144</v>
      </c>
      <c r="K154" s="22">
        <v>8.3160399999999995E-2</v>
      </c>
      <c r="L154">
        <f t="shared" si="24"/>
        <v>-58.880600000000001</v>
      </c>
      <c r="M154">
        <f t="shared" si="25"/>
        <v>-65.056586134</v>
      </c>
      <c r="N154" s="9"/>
      <c r="O154" s="22">
        <v>0.62515299999999996</v>
      </c>
      <c r="P154" s="22">
        <v>142.249</v>
      </c>
      <c r="Q154" s="22">
        <v>-1.7843600000000001E-2</v>
      </c>
      <c r="R154" s="22">
        <v>144</v>
      </c>
      <c r="S154" s="22">
        <v>0.62539699999999998</v>
      </c>
      <c r="T154">
        <f t="shared" si="26"/>
        <v>17.843600000000002</v>
      </c>
      <c r="U154">
        <f t="shared" si="27"/>
        <v>11.154980070800001</v>
      </c>
      <c r="X154" s="9"/>
      <c r="Y154" s="22">
        <v>1.1048899999999999</v>
      </c>
      <c r="Z154" s="22">
        <v>201.036</v>
      </c>
      <c r="AA154" s="22">
        <v>-1.7434700000000001E-2</v>
      </c>
      <c r="AB154" s="22">
        <v>144</v>
      </c>
      <c r="AC154" s="22">
        <v>1.1041300000000001</v>
      </c>
      <c r="AD154">
        <f t="shared" si="28"/>
        <v>17.434699999999999</v>
      </c>
      <c r="AE154">
        <f t="shared" si="29"/>
        <v>19.263425682999998</v>
      </c>
      <c r="AF154" s="9"/>
      <c r="AG154" s="22">
        <v>0.62515299999999996</v>
      </c>
      <c r="AH154" s="22">
        <v>293.05399999999997</v>
      </c>
      <c r="AI154" s="22">
        <v>-1.7703199999999999E-2</v>
      </c>
      <c r="AJ154" s="22">
        <v>144</v>
      </c>
      <c r="AK154" s="22">
        <v>0.62426800000000005</v>
      </c>
      <c r="AL154">
        <f t="shared" si="30"/>
        <v>17.703199999999999</v>
      </c>
      <c r="AM154">
        <f t="shared" si="31"/>
        <v>11.067208589599998</v>
      </c>
      <c r="AP154" s="9"/>
      <c r="AQ154" s="22">
        <v>1.1048899999999999</v>
      </c>
      <c r="AR154" s="22">
        <v>389.017</v>
      </c>
      <c r="AS154" s="22">
        <v>-1.7346199999999999E-2</v>
      </c>
      <c r="AT154" s="22">
        <v>144</v>
      </c>
      <c r="AU154" s="22">
        <v>1.10382</v>
      </c>
      <c r="AV154">
        <f t="shared" si="32"/>
        <v>17.3462</v>
      </c>
      <c r="AW154">
        <f t="shared" si="33"/>
        <v>19.165642918</v>
      </c>
      <c r="AX154" s="9"/>
      <c r="AY154" s="22">
        <v>0.62515299999999996</v>
      </c>
      <c r="AZ154" s="22">
        <v>483.286</v>
      </c>
      <c r="BA154" s="22">
        <v>-1.76697E-2</v>
      </c>
      <c r="BB154" s="22">
        <v>144</v>
      </c>
      <c r="BC154" s="22">
        <v>0.62454200000000004</v>
      </c>
      <c r="BD154">
        <f t="shared" si="34"/>
        <v>17.669699999999999</v>
      </c>
      <c r="BE154">
        <f t="shared" si="35"/>
        <v>11.046265964099998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70.130600000000001</v>
      </c>
      <c r="I155" s="22">
        <v>5.8865399999999998E-2</v>
      </c>
      <c r="J155" s="22">
        <v>145</v>
      </c>
      <c r="K155" s="22">
        <v>8.3129900000000007E-2</v>
      </c>
      <c r="L155">
        <f t="shared" si="24"/>
        <v>-58.865400000000001</v>
      </c>
      <c r="M155">
        <f t="shared" si="25"/>
        <v>-64.743110189999996</v>
      </c>
      <c r="N155" s="9"/>
      <c r="O155" s="22">
        <v>0.63018799999999997</v>
      </c>
      <c r="P155" s="22">
        <v>142.35</v>
      </c>
      <c r="Q155" s="22">
        <v>-1.7855800000000002E-2</v>
      </c>
      <c r="R155" s="22">
        <v>145</v>
      </c>
      <c r="S155" s="22">
        <v>0.62963899999999995</v>
      </c>
      <c r="T155">
        <f t="shared" si="26"/>
        <v>17.855800000000002</v>
      </c>
      <c r="U155">
        <f t="shared" si="27"/>
        <v>11.2525108904</v>
      </c>
      <c r="X155" s="9"/>
      <c r="Y155" s="22">
        <v>1.09985</v>
      </c>
      <c r="Z155" s="22">
        <v>201.137</v>
      </c>
      <c r="AA155" s="22">
        <v>-1.7428599999999999E-2</v>
      </c>
      <c r="AB155" s="22">
        <v>145</v>
      </c>
      <c r="AC155" s="22">
        <v>1.09894</v>
      </c>
      <c r="AD155">
        <f t="shared" si="28"/>
        <v>17.428599999999999</v>
      </c>
      <c r="AE155">
        <f t="shared" si="29"/>
        <v>19.168845709999999</v>
      </c>
      <c r="AF155" s="9"/>
      <c r="AG155" s="22">
        <v>0.63018799999999997</v>
      </c>
      <c r="AH155" s="22">
        <v>293.15499999999997</v>
      </c>
      <c r="AI155" s="22">
        <v>-1.76971E-2</v>
      </c>
      <c r="AJ155" s="22">
        <v>145</v>
      </c>
      <c r="AK155" s="22">
        <v>0.62863199999999997</v>
      </c>
      <c r="AL155">
        <f t="shared" si="30"/>
        <v>17.697099999999999</v>
      </c>
      <c r="AM155">
        <f t="shared" si="31"/>
        <v>11.152500054799999</v>
      </c>
      <c r="AP155" s="9"/>
      <c r="AQ155" s="22">
        <v>1.09985</v>
      </c>
      <c r="AR155" s="22">
        <v>389.11799999999999</v>
      </c>
      <c r="AS155" s="22">
        <v>-1.7352300000000001E-2</v>
      </c>
      <c r="AT155" s="22">
        <v>145</v>
      </c>
      <c r="AU155" s="22">
        <v>1.09924</v>
      </c>
      <c r="AV155">
        <f t="shared" si="32"/>
        <v>17.3523</v>
      </c>
      <c r="AW155">
        <f t="shared" si="33"/>
        <v>19.084927154999999</v>
      </c>
      <c r="AX155" s="9"/>
      <c r="AY155" s="22">
        <v>0.63018799999999997</v>
      </c>
      <c r="AZ155" s="22">
        <v>483.38600000000002</v>
      </c>
      <c r="BA155" s="22">
        <v>-1.7666600000000001E-2</v>
      </c>
      <c r="BB155" s="22">
        <v>145</v>
      </c>
      <c r="BC155" s="22">
        <v>0.62954699999999997</v>
      </c>
      <c r="BD155">
        <f t="shared" si="34"/>
        <v>17.666600000000003</v>
      </c>
      <c r="BE155">
        <f t="shared" si="35"/>
        <v>11.133279320800002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70.231300000000005</v>
      </c>
      <c r="I156" s="22">
        <v>5.8798200000000002E-2</v>
      </c>
      <c r="J156" s="22">
        <v>146</v>
      </c>
      <c r="K156" s="22">
        <v>8.3129900000000007E-2</v>
      </c>
      <c r="L156">
        <f t="shared" si="24"/>
        <v>-58.798200000000001</v>
      </c>
      <c r="M156">
        <f t="shared" si="25"/>
        <v>-64.373445324000002</v>
      </c>
      <c r="N156" s="9"/>
      <c r="O156" s="22">
        <v>0.63522299999999998</v>
      </c>
      <c r="P156" s="22">
        <v>142.44999999999999</v>
      </c>
      <c r="Q156" s="22">
        <v>-1.7837499999999999E-2</v>
      </c>
      <c r="R156" s="22">
        <v>146</v>
      </c>
      <c r="S156" s="22">
        <v>0.634521</v>
      </c>
      <c r="T156">
        <f t="shared" si="26"/>
        <v>17.837499999999999</v>
      </c>
      <c r="U156">
        <f t="shared" si="27"/>
        <v>11.330790262499999</v>
      </c>
      <c r="X156" s="9"/>
      <c r="Y156" s="22">
        <v>1.0948199999999999</v>
      </c>
      <c r="Z156" s="22">
        <v>201.23699999999999</v>
      </c>
      <c r="AA156" s="22">
        <v>-1.74255E-2</v>
      </c>
      <c r="AB156" s="22">
        <v>146</v>
      </c>
      <c r="AC156" s="22">
        <v>1.09497</v>
      </c>
      <c r="AD156">
        <f t="shared" si="28"/>
        <v>17.4255</v>
      </c>
      <c r="AE156">
        <f t="shared" si="29"/>
        <v>19.077785909999999</v>
      </c>
      <c r="AF156" s="9"/>
      <c r="AG156" s="22">
        <v>0.63522299999999998</v>
      </c>
      <c r="AH156" s="22">
        <v>293.25599999999997</v>
      </c>
      <c r="AI156" s="22">
        <v>-1.7690999999999998E-2</v>
      </c>
      <c r="AJ156" s="22">
        <v>146</v>
      </c>
      <c r="AK156" s="22">
        <v>0.63470499999999996</v>
      </c>
      <c r="AL156">
        <f t="shared" si="30"/>
        <v>17.690999999999999</v>
      </c>
      <c r="AM156">
        <f t="shared" si="31"/>
        <v>11.237730093</v>
      </c>
      <c r="AP156" s="9"/>
      <c r="AQ156" s="22">
        <v>1.0948199999999999</v>
      </c>
      <c r="AR156" s="22">
        <v>389.21800000000002</v>
      </c>
      <c r="AS156" s="22">
        <v>-1.73584E-2</v>
      </c>
      <c r="AT156" s="22">
        <v>146</v>
      </c>
      <c r="AU156" s="22">
        <v>1.09467</v>
      </c>
      <c r="AV156">
        <f t="shared" si="32"/>
        <v>17.3584</v>
      </c>
      <c r="AW156">
        <f t="shared" si="33"/>
        <v>19.004323487999997</v>
      </c>
      <c r="AX156" s="9"/>
      <c r="AY156" s="22">
        <v>0.63522299999999998</v>
      </c>
      <c r="AZ156" s="22">
        <v>483.48700000000002</v>
      </c>
      <c r="BA156" s="22">
        <v>-1.7663600000000002E-2</v>
      </c>
      <c r="BB156" s="22">
        <v>146</v>
      </c>
      <c r="BC156" s="22">
        <v>0.63446000000000002</v>
      </c>
      <c r="BD156">
        <f t="shared" si="34"/>
        <v>17.663600000000002</v>
      </c>
      <c r="BE156">
        <f t="shared" si="35"/>
        <v>11.220324982800001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70.331999999999994</v>
      </c>
      <c r="I157" s="22">
        <v>5.87769E-2</v>
      </c>
      <c r="J157" s="22">
        <v>147</v>
      </c>
      <c r="K157" s="22">
        <v>8.3221400000000001E-2</v>
      </c>
      <c r="L157">
        <f t="shared" si="24"/>
        <v>-58.776899999999998</v>
      </c>
      <c r="M157">
        <f t="shared" si="25"/>
        <v>-64.053890081999995</v>
      </c>
      <c r="N157" s="9"/>
      <c r="O157" s="22">
        <v>0.64025900000000002</v>
      </c>
      <c r="P157" s="22">
        <v>142.55099999999999</v>
      </c>
      <c r="Q157" s="22">
        <v>-1.7837499999999999E-2</v>
      </c>
      <c r="R157" s="22">
        <v>147</v>
      </c>
      <c r="S157" s="22">
        <v>0.63970899999999997</v>
      </c>
      <c r="T157">
        <f t="shared" si="26"/>
        <v>17.837499999999999</v>
      </c>
      <c r="U157">
        <f t="shared" si="27"/>
        <v>11.420619912499999</v>
      </c>
      <c r="X157" s="9"/>
      <c r="Y157" s="22">
        <v>1.08978</v>
      </c>
      <c r="Z157" s="22">
        <v>201.33799999999999</v>
      </c>
      <c r="AA157" s="22">
        <v>-1.7428599999999999E-2</v>
      </c>
      <c r="AB157" s="22">
        <v>147</v>
      </c>
      <c r="AC157" s="22">
        <v>1.08887</v>
      </c>
      <c r="AD157">
        <f t="shared" si="28"/>
        <v>17.428599999999999</v>
      </c>
      <c r="AE157">
        <f t="shared" si="29"/>
        <v>18.993339708000001</v>
      </c>
      <c r="AF157" s="9"/>
      <c r="AG157" s="22">
        <v>0.64025900000000002</v>
      </c>
      <c r="AH157" s="22">
        <v>293.35700000000003</v>
      </c>
      <c r="AI157" s="22">
        <v>-1.76971E-2</v>
      </c>
      <c r="AJ157" s="22">
        <v>147</v>
      </c>
      <c r="AK157" s="22">
        <v>0.63980099999999995</v>
      </c>
      <c r="AL157">
        <f t="shared" si="30"/>
        <v>17.697099999999999</v>
      </c>
      <c r="AM157">
        <f t="shared" si="31"/>
        <v>11.330727548900001</v>
      </c>
      <c r="AP157" s="9"/>
      <c r="AQ157" s="22">
        <v>1.08978</v>
      </c>
      <c r="AR157" s="22">
        <v>389.31900000000002</v>
      </c>
      <c r="AS157" s="22">
        <v>-1.7361499999999998E-2</v>
      </c>
      <c r="AT157" s="22">
        <v>147</v>
      </c>
      <c r="AU157" s="22">
        <v>1.08856</v>
      </c>
      <c r="AV157">
        <f t="shared" si="32"/>
        <v>17.361499999999999</v>
      </c>
      <c r="AW157">
        <f t="shared" si="33"/>
        <v>18.920215469999999</v>
      </c>
      <c r="AX157" s="9"/>
      <c r="AY157" s="22">
        <v>0.64025900000000002</v>
      </c>
      <c r="AZ157" s="22">
        <v>483.58800000000002</v>
      </c>
      <c r="BA157" s="22">
        <v>-1.76575E-2</v>
      </c>
      <c r="BB157" s="22">
        <v>147</v>
      </c>
      <c r="BC157" s="22">
        <v>0.63970899999999997</v>
      </c>
      <c r="BD157">
        <f t="shared" si="34"/>
        <v>17.657499999999999</v>
      </c>
      <c r="BE157">
        <f t="shared" si="35"/>
        <v>11.305373292499999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70.432699999999997</v>
      </c>
      <c r="I158" s="22">
        <v>5.87494E-2</v>
      </c>
      <c r="J158" s="22">
        <v>148</v>
      </c>
      <c r="K158" s="22">
        <v>8.3160399999999995E-2</v>
      </c>
      <c r="L158">
        <f t="shared" si="24"/>
        <v>-58.749400000000001</v>
      </c>
      <c r="M158">
        <f t="shared" si="25"/>
        <v>-63.728411650000005</v>
      </c>
      <c r="N158" s="9"/>
      <c r="O158" s="22">
        <v>0.64529400000000003</v>
      </c>
      <c r="P158" s="22">
        <v>142.65199999999999</v>
      </c>
      <c r="Q158" s="22">
        <v>-1.7828400000000001E-2</v>
      </c>
      <c r="R158" s="22">
        <v>148</v>
      </c>
      <c r="S158" s="22">
        <v>0.64453099999999997</v>
      </c>
      <c r="T158">
        <f t="shared" si="26"/>
        <v>17.828400000000002</v>
      </c>
      <c r="U158">
        <f t="shared" si="27"/>
        <v>11.504559549600001</v>
      </c>
      <c r="X158" s="9"/>
      <c r="Y158" s="22">
        <v>1.0847500000000001</v>
      </c>
      <c r="Z158" s="22">
        <v>201.43899999999999</v>
      </c>
      <c r="AA158" s="22">
        <v>-1.7443799999999999E-2</v>
      </c>
      <c r="AB158" s="22">
        <v>148</v>
      </c>
      <c r="AC158" s="22">
        <v>1.0839799999999999</v>
      </c>
      <c r="AD158">
        <f t="shared" si="28"/>
        <v>17.4438</v>
      </c>
      <c r="AE158">
        <f t="shared" si="29"/>
        <v>18.922162050000001</v>
      </c>
      <c r="AF158" s="9"/>
      <c r="AG158" s="22">
        <v>0.64529400000000003</v>
      </c>
      <c r="AH158" s="22">
        <v>293.45699999999999</v>
      </c>
      <c r="AI158" s="22">
        <v>-1.7694100000000001E-2</v>
      </c>
      <c r="AJ158" s="22">
        <v>148</v>
      </c>
      <c r="AK158" s="22">
        <v>0.64471400000000001</v>
      </c>
      <c r="AL158">
        <f t="shared" si="30"/>
        <v>17.694100000000002</v>
      </c>
      <c r="AM158">
        <f t="shared" si="31"/>
        <v>11.417896565400001</v>
      </c>
      <c r="AP158" s="9"/>
      <c r="AQ158" s="22">
        <v>1.0847500000000001</v>
      </c>
      <c r="AR158" s="22">
        <v>389.42</v>
      </c>
      <c r="AS158" s="22">
        <v>-1.7364500000000001E-2</v>
      </c>
      <c r="AT158" s="22">
        <v>148</v>
      </c>
      <c r="AU158" s="22">
        <v>1.0839799999999999</v>
      </c>
      <c r="AV158">
        <f t="shared" si="32"/>
        <v>17.364500000000003</v>
      </c>
      <c r="AW158">
        <f t="shared" si="33"/>
        <v>18.836141375000004</v>
      </c>
      <c r="AX158" s="9"/>
      <c r="AY158" s="22">
        <v>0.64529400000000003</v>
      </c>
      <c r="AZ158" s="22">
        <v>483.68799999999999</v>
      </c>
      <c r="BA158" s="22">
        <v>-1.7654400000000001E-2</v>
      </c>
      <c r="BB158" s="22">
        <v>148</v>
      </c>
      <c r="BC158" s="22">
        <v>0.64462299999999995</v>
      </c>
      <c r="BD158">
        <f t="shared" si="34"/>
        <v>17.654399999999999</v>
      </c>
      <c r="BE158">
        <f t="shared" si="35"/>
        <v>11.3922783936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70.5334</v>
      </c>
      <c r="I159" s="22">
        <v>5.87646E-2</v>
      </c>
      <c r="J159" s="22">
        <v>149</v>
      </c>
      <c r="K159" s="22">
        <v>8.3252000000000007E-2</v>
      </c>
      <c r="L159">
        <f t="shared" si="24"/>
        <v>-58.764600000000002</v>
      </c>
      <c r="M159">
        <f t="shared" si="25"/>
        <v>-63.448726266000001</v>
      </c>
      <c r="N159" s="9"/>
      <c r="O159" s="22">
        <v>0.65032999999999996</v>
      </c>
      <c r="P159" s="22">
        <v>142.75299999999999</v>
      </c>
      <c r="Q159" s="22">
        <v>-1.7825299999999999E-2</v>
      </c>
      <c r="R159" s="22">
        <v>149</v>
      </c>
      <c r="S159" s="22">
        <v>0.64990199999999998</v>
      </c>
      <c r="T159">
        <f t="shared" si="26"/>
        <v>17.825299999999999</v>
      </c>
      <c r="U159">
        <f t="shared" si="27"/>
        <v>11.592327348999998</v>
      </c>
      <c r="X159" s="9"/>
      <c r="Y159" s="22">
        <v>1.0797099999999999</v>
      </c>
      <c r="Z159" s="22">
        <v>201.53899999999999</v>
      </c>
      <c r="AA159" s="22">
        <v>-1.7443799999999999E-2</v>
      </c>
      <c r="AB159" s="22">
        <v>149</v>
      </c>
      <c r="AC159" s="22">
        <v>1.0784899999999999</v>
      </c>
      <c r="AD159">
        <f t="shared" si="28"/>
        <v>17.4438</v>
      </c>
      <c r="AE159">
        <f t="shared" si="29"/>
        <v>18.834245297999999</v>
      </c>
      <c r="AF159" s="9"/>
      <c r="AG159" s="22">
        <v>0.65032999999999996</v>
      </c>
      <c r="AH159" s="22">
        <v>293.55799999999999</v>
      </c>
      <c r="AI159" s="22">
        <v>-1.7694100000000001E-2</v>
      </c>
      <c r="AJ159" s="22">
        <v>149</v>
      </c>
      <c r="AK159" s="22">
        <v>0.64956700000000001</v>
      </c>
      <c r="AL159">
        <f t="shared" si="30"/>
        <v>17.694100000000002</v>
      </c>
      <c r="AM159">
        <f t="shared" si="31"/>
        <v>11.507004053000001</v>
      </c>
      <c r="AP159" s="9"/>
      <c r="AQ159" s="22">
        <v>1.0797099999999999</v>
      </c>
      <c r="AR159" s="22">
        <v>389.52100000000002</v>
      </c>
      <c r="AS159" s="22">
        <v>-1.7361499999999998E-2</v>
      </c>
      <c r="AT159" s="22">
        <v>149</v>
      </c>
      <c r="AU159" s="22">
        <v>1.0784899999999999</v>
      </c>
      <c r="AV159">
        <f t="shared" si="32"/>
        <v>17.361499999999999</v>
      </c>
      <c r="AW159">
        <f t="shared" si="33"/>
        <v>18.745385164999998</v>
      </c>
      <c r="AX159" s="9"/>
      <c r="AY159" s="22">
        <v>0.65032999999999996</v>
      </c>
      <c r="AZ159" s="22">
        <v>483.78899999999999</v>
      </c>
      <c r="BA159" s="22">
        <v>-1.7666600000000001E-2</v>
      </c>
      <c r="BB159" s="22">
        <v>149</v>
      </c>
      <c r="BC159" s="22">
        <v>0.64938399999999996</v>
      </c>
      <c r="BD159">
        <f t="shared" si="34"/>
        <v>17.666600000000003</v>
      </c>
      <c r="BE159">
        <f t="shared" si="35"/>
        <v>11.489119978000002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70.634100000000004</v>
      </c>
      <c r="I160" s="22">
        <v>5.87646E-2</v>
      </c>
      <c r="J160" s="22">
        <v>150</v>
      </c>
      <c r="K160" s="22">
        <v>8.3282499999999995E-2</v>
      </c>
      <c r="L160">
        <f t="shared" si="24"/>
        <v>-58.764600000000002</v>
      </c>
      <c r="M160">
        <f t="shared" si="25"/>
        <v>-63.153140328000006</v>
      </c>
      <c r="N160" s="9"/>
      <c r="O160" s="22">
        <v>0.65536499999999998</v>
      </c>
      <c r="P160" s="22">
        <v>142.85300000000001</v>
      </c>
      <c r="Q160" s="22">
        <v>-1.7825299999999999E-2</v>
      </c>
      <c r="R160" s="22">
        <v>150</v>
      </c>
      <c r="S160" s="22">
        <v>0.65502899999999997</v>
      </c>
      <c r="T160">
        <f t="shared" si="26"/>
        <v>17.825299999999999</v>
      </c>
      <c r="U160">
        <f t="shared" si="27"/>
        <v>11.682077734499998</v>
      </c>
      <c r="X160" s="9"/>
      <c r="Y160" s="22">
        <v>1.0746800000000001</v>
      </c>
      <c r="Z160" s="22">
        <v>201.64</v>
      </c>
      <c r="AA160" s="22">
        <v>-1.745E-2</v>
      </c>
      <c r="AB160" s="22">
        <v>150</v>
      </c>
      <c r="AC160" s="22">
        <v>1.0732999999999999</v>
      </c>
      <c r="AD160">
        <f t="shared" si="28"/>
        <v>17.45</v>
      </c>
      <c r="AE160">
        <f t="shared" si="29"/>
        <v>18.753166</v>
      </c>
      <c r="AF160" s="9"/>
      <c r="AG160" s="22">
        <v>0.65536499999999998</v>
      </c>
      <c r="AH160" s="22">
        <v>293.65899999999999</v>
      </c>
      <c r="AI160" s="22">
        <v>-1.76819E-2</v>
      </c>
      <c r="AJ160" s="22">
        <v>150</v>
      </c>
      <c r="AK160" s="22">
        <v>0.65475499999999998</v>
      </c>
      <c r="AL160">
        <f t="shared" si="30"/>
        <v>17.681899999999999</v>
      </c>
      <c r="AM160">
        <f t="shared" si="31"/>
        <v>11.588098393499999</v>
      </c>
      <c r="AP160" s="9"/>
      <c r="AQ160" s="22">
        <v>1.0746800000000001</v>
      </c>
      <c r="AR160" s="22">
        <v>389.62099999999998</v>
      </c>
      <c r="AS160" s="22">
        <v>-1.7373699999999999E-2</v>
      </c>
      <c r="AT160" s="22">
        <v>150</v>
      </c>
      <c r="AU160" s="22">
        <v>1.07361</v>
      </c>
      <c r="AV160">
        <f t="shared" si="32"/>
        <v>17.373699999999999</v>
      </c>
      <c r="AW160">
        <f t="shared" si="33"/>
        <v>18.671167916000002</v>
      </c>
      <c r="AX160" s="9"/>
      <c r="AY160" s="22">
        <v>0.65536499999999998</v>
      </c>
      <c r="AZ160" s="22">
        <v>483.89</v>
      </c>
      <c r="BA160" s="22">
        <v>-1.7654400000000001E-2</v>
      </c>
      <c r="BB160" s="22">
        <v>150</v>
      </c>
      <c r="BC160" s="22">
        <v>0.65475499999999998</v>
      </c>
      <c r="BD160">
        <f t="shared" si="34"/>
        <v>17.654399999999999</v>
      </c>
      <c r="BE160">
        <f t="shared" si="35"/>
        <v>11.570075855999999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70.734800000000007</v>
      </c>
      <c r="I161" s="22">
        <v>5.88348E-2</v>
      </c>
      <c r="J161" s="22">
        <v>151</v>
      </c>
      <c r="K161" s="22">
        <v>8.3099400000000004E-2</v>
      </c>
      <c r="L161">
        <f t="shared" si="24"/>
        <v>-58.834800000000001</v>
      </c>
      <c r="M161">
        <f t="shared" si="25"/>
        <v>-62.932055471999995</v>
      </c>
      <c r="N161" s="9"/>
      <c r="O161" s="22">
        <v>0.66039999999999999</v>
      </c>
      <c r="P161" s="22">
        <v>142.95400000000001</v>
      </c>
      <c r="Q161" s="22">
        <v>-1.7822299999999999E-2</v>
      </c>
      <c r="R161" s="22">
        <v>151</v>
      </c>
      <c r="S161" s="22">
        <v>0.65969800000000001</v>
      </c>
      <c r="T161">
        <f t="shared" si="26"/>
        <v>17.822299999999998</v>
      </c>
      <c r="U161">
        <f t="shared" si="27"/>
        <v>11.769846919999999</v>
      </c>
      <c r="X161" s="9"/>
      <c r="Y161" s="22">
        <v>1.0696399999999999</v>
      </c>
      <c r="Z161" s="22">
        <v>201.74100000000001</v>
      </c>
      <c r="AA161" s="22">
        <v>-1.7443799999999999E-2</v>
      </c>
      <c r="AB161" s="22">
        <v>151</v>
      </c>
      <c r="AC161" s="22">
        <v>1.06873</v>
      </c>
      <c r="AD161">
        <f t="shared" si="28"/>
        <v>17.4438</v>
      </c>
      <c r="AE161">
        <f t="shared" si="29"/>
        <v>18.658586231999998</v>
      </c>
      <c r="AF161" s="9"/>
      <c r="AG161" s="22">
        <v>0.66039999999999999</v>
      </c>
      <c r="AH161" s="22">
        <v>293.75900000000001</v>
      </c>
      <c r="AI161" s="22">
        <v>-1.76819E-2</v>
      </c>
      <c r="AJ161" s="22">
        <v>151</v>
      </c>
      <c r="AK161" s="22">
        <v>0.66015599999999997</v>
      </c>
      <c r="AL161">
        <f t="shared" si="30"/>
        <v>17.681899999999999</v>
      </c>
      <c r="AM161">
        <f t="shared" si="31"/>
        <v>11.677126759999998</v>
      </c>
      <c r="AP161" s="9"/>
      <c r="AQ161" s="22">
        <v>1.0696399999999999</v>
      </c>
      <c r="AR161" s="22">
        <v>389.72199999999998</v>
      </c>
      <c r="AS161" s="22">
        <v>-1.7364500000000001E-2</v>
      </c>
      <c r="AT161" s="22">
        <v>151</v>
      </c>
      <c r="AU161" s="22">
        <v>1.06873</v>
      </c>
      <c r="AV161">
        <f t="shared" si="32"/>
        <v>17.364500000000003</v>
      </c>
      <c r="AW161">
        <f t="shared" si="33"/>
        <v>18.573763780000004</v>
      </c>
      <c r="AX161" s="9"/>
      <c r="AY161" s="22">
        <v>0.66039999999999999</v>
      </c>
      <c r="AZ161" s="22">
        <v>483.99099999999999</v>
      </c>
      <c r="BA161" s="22">
        <v>-1.7660499999999999E-2</v>
      </c>
      <c r="BB161" s="22">
        <v>151</v>
      </c>
      <c r="BC161" s="22">
        <v>0.65976000000000001</v>
      </c>
      <c r="BD161">
        <f t="shared" si="34"/>
        <v>17.660499999999999</v>
      </c>
      <c r="BE161">
        <f t="shared" si="35"/>
        <v>11.6629942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70.835499999999996</v>
      </c>
      <c r="I162" s="22">
        <v>5.8837899999999999E-2</v>
      </c>
      <c r="J162" s="22">
        <v>152</v>
      </c>
      <c r="K162" s="22">
        <v>8.3068799999999998E-2</v>
      </c>
      <c r="L162">
        <f t="shared" si="24"/>
        <v>-58.837899999999998</v>
      </c>
      <c r="M162">
        <f t="shared" si="25"/>
        <v>-62.639416719000003</v>
      </c>
      <c r="N162" s="9"/>
      <c r="O162" s="22">
        <v>0.66543600000000003</v>
      </c>
      <c r="P162" s="22">
        <v>143.05500000000001</v>
      </c>
      <c r="Q162" s="22">
        <v>-1.78192E-2</v>
      </c>
      <c r="R162" s="22">
        <v>152</v>
      </c>
      <c r="S162" s="22">
        <v>0.66476400000000002</v>
      </c>
      <c r="T162">
        <f t="shared" si="26"/>
        <v>17.819199999999999</v>
      </c>
      <c r="U162">
        <f t="shared" si="27"/>
        <v>11.857537171199999</v>
      </c>
      <c r="X162" s="9"/>
      <c r="Y162" s="22">
        <v>1.0646100000000001</v>
      </c>
      <c r="Z162" s="22">
        <v>201.84200000000001</v>
      </c>
      <c r="AA162" s="22">
        <v>-1.7459100000000002E-2</v>
      </c>
      <c r="AB162" s="22">
        <v>152</v>
      </c>
      <c r="AC162" s="22">
        <v>1.0635399999999999</v>
      </c>
      <c r="AD162">
        <f t="shared" si="28"/>
        <v>17.459100000000003</v>
      </c>
      <c r="AE162">
        <f t="shared" si="29"/>
        <v>18.587132451000006</v>
      </c>
      <c r="AF162" s="9"/>
      <c r="AG162" s="22">
        <v>0.66543600000000003</v>
      </c>
      <c r="AH162" s="22">
        <v>293.86</v>
      </c>
      <c r="AI162" s="22">
        <v>-1.7678800000000001E-2</v>
      </c>
      <c r="AJ162" s="22">
        <v>152</v>
      </c>
      <c r="AK162" s="22">
        <v>0.66467299999999996</v>
      </c>
      <c r="AL162">
        <f t="shared" si="30"/>
        <v>17.678800000000003</v>
      </c>
      <c r="AM162">
        <f t="shared" si="31"/>
        <v>11.764109956800002</v>
      </c>
      <c r="AP162" s="9"/>
      <c r="AQ162" s="22">
        <v>1.0646100000000001</v>
      </c>
      <c r="AR162" s="22">
        <v>389.82299999999998</v>
      </c>
      <c r="AS162" s="22">
        <v>-1.7373699999999999E-2</v>
      </c>
      <c r="AT162" s="22">
        <v>152</v>
      </c>
      <c r="AU162" s="22">
        <v>1.0632299999999999</v>
      </c>
      <c r="AV162">
        <f t="shared" si="32"/>
        <v>17.373699999999999</v>
      </c>
      <c r="AW162">
        <f t="shared" si="33"/>
        <v>18.496214757000001</v>
      </c>
      <c r="AX162" s="9"/>
      <c r="AY162" s="22">
        <v>0.66543600000000003</v>
      </c>
      <c r="AZ162" s="22">
        <v>484.09100000000001</v>
      </c>
      <c r="BA162" s="22">
        <v>-1.7645299999999999E-2</v>
      </c>
      <c r="BB162" s="22">
        <v>152</v>
      </c>
      <c r="BC162" s="22">
        <v>0.66500899999999996</v>
      </c>
      <c r="BD162">
        <f t="shared" si="34"/>
        <v>17.645299999999999</v>
      </c>
      <c r="BE162">
        <f t="shared" si="35"/>
        <v>11.7418178508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70.936199999999999</v>
      </c>
      <c r="I163" s="22">
        <v>5.88348E-2</v>
      </c>
      <c r="J163" s="22">
        <v>153</v>
      </c>
      <c r="K163" s="22">
        <v>8.3007800000000007E-2</v>
      </c>
      <c r="L163">
        <f t="shared" si="24"/>
        <v>-58.834800000000001</v>
      </c>
      <c r="M163">
        <f t="shared" si="25"/>
        <v>-62.339589035999992</v>
      </c>
      <c r="N163" s="9"/>
      <c r="O163" s="22">
        <v>0.67047100000000004</v>
      </c>
      <c r="P163" s="22">
        <v>143.155</v>
      </c>
      <c r="Q163" s="22">
        <v>-1.7813099999999998E-2</v>
      </c>
      <c r="R163" s="22">
        <v>153</v>
      </c>
      <c r="S163" s="22">
        <v>0.66915899999999995</v>
      </c>
      <c r="T163">
        <f t="shared" si="26"/>
        <v>17.813099999999999</v>
      </c>
      <c r="U163">
        <f t="shared" si="27"/>
        <v>11.9431669701</v>
      </c>
      <c r="X163" s="9"/>
      <c r="Y163" s="22">
        <v>1.0595699999999999</v>
      </c>
      <c r="Z163" s="22">
        <v>201.94200000000001</v>
      </c>
      <c r="AA163" s="22">
        <v>-1.7456099999999999E-2</v>
      </c>
      <c r="AB163" s="22">
        <v>153</v>
      </c>
      <c r="AC163" s="22">
        <v>1.0589599999999999</v>
      </c>
      <c r="AD163">
        <f t="shared" si="28"/>
        <v>17.456099999999999</v>
      </c>
      <c r="AE163">
        <f t="shared" si="29"/>
        <v>18.495959876999997</v>
      </c>
      <c r="AF163" s="9"/>
      <c r="AG163" s="22">
        <v>0.67047100000000004</v>
      </c>
      <c r="AH163" s="22">
        <v>293.96100000000001</v>
      </c>
      <c r="AI163" s="22">
        <v>-1.7675799999999998E-2</v>
      </c>
      <c r="AJ163" s="22">
        <v>153</v>
      </c>
      <c r="AK163" s="22">
        <v>0.66992200000000002</v>
      </c>
      <c r="AL163">
        <f t="shared" si="30"/>
        <v>17.675799999999999</v>
      </c>
      <c r="AM163">
        <f t="shared" si="31"/>
        <v>11.8511113018</v>
      </c>
      <c r="AP163" s="9"/>
      <c r="AQ163" s="22">
        <v>1.0595699999999999</v>
      </c>
      <c r="AR163" s="22">
        <v>389.923</v>
      </c>
      <c r="AS163" s="22">
        <v>-1.7376699999999998E-2</v>
      </c>
      <c r="AT163" s="22">
        <v>153</v>
      </c>
      <c r="AU163" s="22">
        <v>1.0583499999999999</v>
      </c>
      <c r="AV163">
        <f t="shared" si="32"/>
        <v>17.3767</v>
      </c>
      <c r="AW163">
        <f t="shared" si="33"/>
        <v>18.411830018999996</v>
      </c>
      <c r="AX163" s="9"/>
      <c r="AY163" s="22">
        <v>0.67047100000000004</v>
      </c>
      <c r="AZ163" s="22">
        <v>484.19200000000001</v>
      </c>
      <c r="BA163" s="22">
        <v>-1.76422E-2</v>
      </c>
      <c r="BB163" s="22">
        <v>153</v>
      </c>
      <c r="BC163" s="22">
        <v>0.66973899999999997</v>
      </c>
      <c r="BD163">
        <f t="shared" si="34"/>
        <v>17.642199999999999</v>
      </c>
      <c r="BE163">
        <f t="shared" si="35"/>
        <v>11.8285834762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71.036900000000003</v>
      </c>
      <c r="I164" s="22">
        <v>5.8837899999999999E-2</v>
      </c>
      <c r="J164" s="22">
        <v>154</v>
      </c>
      <c r="K164" s="22">
        <v>8.3129900000000007E-2</v>
      </c>
      <c r="L164">
        <f t="shared" si="24"/>
        <v>-58.837899999999998</v>
      </c>
      <c r="M164">
        <f t="shared" si="25"/>
        <v>-62.046330686999994</v>
      </c>
      <c r="N164" s="9"/>
      <c r="O164" s="22">
        <v>0.67550699999999997</v>
      </c>
      <c r="P164" s="22">
        <v>143.256</v>
      </c>
      <c r="Q164" s="22">
        <v>-1.78192E-2</v>
      </c>
      <c r="R164" s="22">
        <v>154</v>
      </c>
      <c r="S164" s="22">
        <v>0.67535400000000001</v>
      </c>
      <c r="T164">
        <f t="shared" si="26"/>
        <v>17.819199999999999</v>
      </c>
      <c r="U164">
        <f t="shared" si="27"/>
        <v>12.036994334399999</v>
      </c>
      <c r="X164" s="9"/>
      <c r="Y164" s="22">
        <v>1.05453</v>
      </c>
      <c r="Z164" s="22">
        <v>202.04300000000001</v>
      </c>
      <c r="AA164" s="22">
        <v>-1.74652E-2</v>
      </c>
      <c r="AB164" s="22">
        <v>154</v>
      </c>
      <c r="AC164" s="22">
        <v>1.0537700000000001</v>
      </c>
      <c r="AD164">
        <f t="shared" si="28"/>
        <v>17.465199999999999</v>
      </c>
      <c r="AE164">
        <f t="shared" si="29"/>
        <v>18.417577355999999</v>
      </c>
      <c r="AF164" s="9"/>
      <c r="AG164" s="22">
        <v>0.67550699999999997</v>
      </c>
      <c r="AH164" s="22">
        <v>294.06200000000001</v>
      </c>
      <c r="AI164" s="22">
        <v>-1.7675799999999998E-2</v>
      </c>
      <c r="AJ164" s="22">
        <v>154</v>
      </c>
      <c r="AK164" s="22">
        <v>0.67483499999999996</v>
      </c>
      <c r="AL164">
        <f t="shared" si="30"/>
        <v>17.675799999999999</v>
      </c>
      <c r="AM164">
        <f t="shared" si="31"/>
        <v>11.940126630599998</v>
      </c>
      <c r="AP164" s="9"/>
      <c r="AQ164" s="22">
        <v>1.05453</v>
      </c>
      <c r="AR164" s="22">
        <v>390.024</v>
      </c>
      <c r="AS164" s="22">
        <v>-1.7376699999999998E-2</v>
      </c>
      <c r="AT164" s="22">
        <v>154</v>
      </c>
      <c r="AU164" s="22">
        <v>1.0540799999999999</v>
      </c>
      <c r="AV164">
        <f t="shared" si="32"/>
        <v>17.3767</v>
      </c>
      <c r="AW164">
        <f t="shared" si="33"/>
        <v>18.324251450999999</v>
      </c>
      <c r="AX164" s="9"/>
      <c r="AY164" s="22">
        <v>0.67550699999999997</v>
      </c>
      <c r="AZ164" s="22">
        <v>484.29300000000001</v>
      </c>
      <c r="BA164" s="22">
        <v>-1.76422E-2</v>
      </c>
      <c r="BB164" s="22">
        <v>154</v>
      </c>
      <c r="BC164" s="22">
        <v>0.67480499999999999</v>
      </c>
      <c r="BD164">
        <f t="shared" si="34"/>
        <v>17.642199999999999</v>
      </c>
      <c r="BE164">
        <f t="shared" si="35"/>
        <v>11.917429595399998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71.137600000000006</v>
      </c>
      <c r="I165" s="22">
        <v>5.8758499999999998E-2</v>
      </c>
      <c r="J165" s="22">
        <v>155</v>
      </c>
      <c r="K165" s="22">
        <v>8.3068799999999998E-2</v>
      </c>
      <c r="L165">
        <f t="shared" si="24"/>
        <v>-58.758499999999998</v>
      </c>
      <c r="M165">
        <f t="shared" si="25"/>
        <v>-61.667045750000007</v>
      </c>
      <c r="N165" s="9"/>
      <c r="O165" s="22">
        <v>0.68054199999999998</v>
      </c>
      <c r="P165" s="22">
        <v>143.357</v>
      </c>
      <c r="Q165" s="22">
        <v>-1.7813099999999998E-2</v>
      </c>
      <c r="R165" s="22">
        <v>155</v>
      </c>
      <c r="S165" s="22">
        <v>0.68054199999999998</v>
      </c>
      <c r="T165">
        <f t="shared" si="26"/>
        <v>17.813099999999999</v>
      </c>
      <c r="U165">
        <f t="shared" si="27"/>
        <v>12.122562700199998</v>
      </c>
      <c r="X165" s="9"/>
      <c r="Y165" s="22">
        <v>1.0495000000000001</v>
      </c>
      <c r="Z165" s="22">
        <v>202.14400000000001</v>
      </c>
      <c r="AA165" s="22">
        <v>-1.7462200000000001E-2</v>
      </c>
      <c r="AB165" s="22">
        <v>155</v>
      </c>
      <c r="AC165" s="22">
        <v>1.0488900000000001</v>
      </c>
      <c r="AD165">
        <f t="shared" si="28"/>
        <v>17.462199999999999</v>
      </c>
      <c r="AE165">
        <f t="shared" si="29"/>
        <v>18.326578900000001</v>
      </c>
      <c r="AF165" s="9"/>
      <c r="AG165" s="22">
        <v>0.68054199999999998</v>
      </c>
      <c r="AH165" s="22">
        <v>294.16199999999998</v>
      </c>
      <c r="AI165" s="22">
        <v>-1.76819E-2</v>
      </c>
      <c r="AJ165" s="22">
        <v>155</v>
      </c>
      <c r="AK165" s="22">
        <v>0.68008400000000002</v>
      </c>
      <c r="AL165">
        <f t="shared" si="30"/>
        <v>17.681899999999999</v>
      </c>
      <c r="AM165">
        <f t="shared" si="31"/>
        <v>12.033275589799999</v>
      </c>
      <c r="AP165" s="9"/>
      <c r="AQ165" s="22">
        <v>1.0495000000000001</v>
      </c>
      <c r="AR165" s="22">
        <v>390.125</v>
      </c>
      <c r="AS165" s="22">
        <v>-1.73828E-2</v>
      </c>
      <c r="AT165" s="22">
        <v>155</v>
      </c>
      <c r="AU165" s="22">
        <v>1.0488900000000001</v>
      </c>
      <c r="AV165">
        <f t="shared" si="32"/>
        <v>17.3828</v>
      </c>
      <c r="AW165">
        <f t="shared" si="33"/>
        <v>18.243248600000001</v>
      </c>
      <c r="AX165" s="9"/>
      <c r="AY165" s="22">
        <v>0.68054199999999998</v>
      </c>
      <c r="AZ165" s="22">
        <v>484.39299999999997</v>
      </c>
      <c r="BA165" s="22">
        <v>-1.7645299999999999E-2</v>
      </c>
      <c r="BB165" s="22">
        <v>155</v>
      </c>
      <c r="BC165" s="22">
        <v>0.67956499999999997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71.238299999999995</v>
      </c>
      <c r="I166" s="22">
        <v>5.8773800000000001E-2</v>
      </c>
      <c r="J166" s="22">
        <v>156</v>
      </c>
      <c r="K166" s="22">
        <v>8.3068799999999998E-2</v>
      </c>
      <c r="L166">
        <f t="shared" si="24"/>
        <v>-58.773800000000001</v>
      </c>
      <c r="M166">
        <f t="shared" si="25"/>
        <v>-61.386883147999995</v>
      </c>
      <c r="N166" s="9"/>
      <c r="O166" s="22">
        <v>0.68557699999999999</v>
      </c>
      <c r="P166" s="22">
        <v>143.458</v>
      </c>
      <c r="Q166" s="22">
        <v>-1.7810099999999999E-2</v>
      </c>
      <c r="R166" s="22">
        <v>156</v>
      </c>
      <c r="S166" s="22">
        <v>0.68533299999999997</v>
      </c>
      <c r="T166">
        <f t="shared" si="26"/>
        <v>17.810099999999998</v>
      </c>
      <c r="U166">
        <f t="shared" si="27"/>
        <v>12.210194927699998</v>
      </c>
      <c r="X166" s="9"/>
      <c r="Y166" s="22">
        <v>1.0444599999999999</v>
      </c>
      <c r="Z166" s="22">
        <v>202.244</v>
      </c>
      <c r="AA166" s="22">
        <v>-1.7477400000000001E-2</v>
      </c>
      <c r="AB166" s="22">
        <v>156</v>
      </c>
      <c r="AC166" s="22">
        <v>1.0440100000000001</v>
      </c>
      <c r="AD166">
        <f t="shared" si="28"/>
        <v>17.477399999999999</v>
      </c>
      <c r="AE166">
        <f t="shared" si="29"/>
        <v>18.254445204</v>
      </c>
      <c r="AF166" s="9"/>
      <c r="AG166" s="22">
        <v>0.68557699999999999</v>
      </c>
      <c r="AH166" s="22">
        <v>294.26299999999998</v>
      </c>
      <c r="AI166" s="22">
        <v>-1.7666600000000001E-2</v>
      </c>
      <c r="AJ166" s="22">
        <v>156</v>
      </c>
      <c r="AK166" s="22">
        <v>0.68493700000000002</v>
      </c>
      <c r="AL166">
        <f t="shared" si="30"/>
        <v>17.666600000000003</v>
      </c>
      <c r="AM166">
        <f t="shared" si="31"/>
        <v>12.111814628200001</v>
      </c>
      <c r="AP166" s="9"/>
      <c r="AQ166" s="22">
        <v>1.0444599999999999</v>
      </c>
      <c r="AR166" s="22">
        <v>390.226</v>
      </c>
      <c r="AS166" s="22">
        <v>-1.73981E-2</v>
      </c>
      <c r="AT166" s="22">
        <v>156</v>
      </c>
      <c r="AU166" s="22">
        <v>1.0430900000000001</v>
      </c>
      <c r="AV166">
        <f t="shared" si="32"/>
        <v>17.398099999999999</v>
      </c>
      <c r="AW166">
        <f t="shared" si="33"/>
        <v>18.171619525999997</v>
      </c>
      <c r="AX166" s="9"/>
      <c r="AY166" s="22">
        <v>0.68557699999999999</v>
      </c>
      <c r="AZ166" s="22">
        <v>484.49400000000003</v>
      </c>
      <c r="BA166" s="22">
        <v>-1.76422E-2</v>
      </c>
      <c r="BB166" s="22">
        <v>156</v>
      </c>
      <c r="BC166" s="22">
        <v>0.68502799999999997</v>
      </c>
      <c r="BD166">
        <f t="shared" si="34"/>
        <v>17.642199999999999</v>
      </c>
      <c r="BE166">
        <f t="shared" si="35"/>
        <v>12.095086549399999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71.338999999999999</v>
      </c>
      <c r="I167" s="22">
        <v>5.8795199999999999E-2</v>
      </c>
      <c r="J167" s="22">
        <v>157</v>
      </c>
      <c r="K167" s="22">
        <v>8.3038299999999995E-2</v>
      </c>
      <c r="L167">
        <f t="shared" si="24"/>
        <v>-58.795200000000001</v>
      </c>
      <c r="M167">
        <f t="shared" si="25"/>
        <v>-61.113494736000007</v>
      </c>
      <c r="N167" s="9"/>
      <c r="O167" s="22">
        <v>0.69061300000000003</v>
      </c>
      <c r="P167" s="22">
        <v>143.55799999999999</v>
      </c>
      <c r="Q167" s="22">
        <v>-1.7807E-2</v>
      </c>
      <c r="R167" s="22">
        <v>157</v>
      </c>
      <c r="S167" s="22">
        <v>0.69039899999999998</v>
      </c>
      <c r="T167">
        <f t="shared" si="26"/>
        <v>17.806999999999999</v>
      </c>
      <c r="U167">
        <f t="shared" si="27"/>
        <v>12.297745690999999</v>
      </c>
      <c r="X167" s="9"/>
      <c r="Y167" s="22">
        <v>1.0394300000000001</v>
      </c>
      <c r="Z167" s="22">
        <v>202.345</v>
      </c>
      <c r="AA167" s="22">
        <v>-1.7477400000000001E-2</v>
      </c>
      <c r="AB167" s="22">
        <v>157</v>
      </c>
      <c r="AC167" s="22">
        <v>1.0382100000000001</v>
      </c>
      <c r="AD167">
        <f t="shared" si="28"/>
        <v>17.477399999999999</v>
      </c>
      <c r="AE167">
        <f t="shared" si="29"/>
        <v>18.166533882</v>
      </c>
      <c r="AF167" s="9"/>
      <c r="AG167" s="22">
        <v>0.69061300000000003</v>
      </c>
      <c r="AH167" s="22">
        <v>294.36399999999998</v>
      </c>
      <c r="AI167" s="22">
        <v>-1.76697E-2</v>
      </c>
      <c r="AJ167" s="22">
        <v>157</v>
      </c>
      <c r="AK167" s="22">
        <v>0.68841600000000003</v>
      </c>
      <c r="AL167">
        <f t="shared" si="30"/>
        <v>17.669699999999999</v>
      </c>
      <c r="AM167">
        <f t="shared" si="31"/>
        <v>12.2029245261</v>
      </c>
      <c r="AP167" s="9"/>
      <c r="AQ167" s="22">
        <v>1.0394300000000001</v>
      </c>
      <c r="AR167" s="22">
        <v>390.32600000000002</v>
      </c>
      <c r="AS167" s="22">
        <v>-1.7395000000000001E-2</v>
      </c>
      <c r="AT167" s="22">
        <v>157</v>
      </c>
      <c r="AU167" s="22">
        <v>1.0382100000000001</v>
      </c>
      <c r="AV167">
        <f t="shared" si="32"/>
        <v>17.395</v>
      </c>
      <c r="AW167">
        <f t="shared" si="33"/>
        <v>18.08088485</v>
      </c>
      <c r="AX167" s="9"/>
      <c r="AY167" s="22">
        <v>0.69061300000000003</v>
      </c>
      <c r="AZ167" s="22">
        <v>484.59500000000003</v>
      </c>
      <c r="BA167" s="22">
        <v>-1.7633099999999999E-2</v>
      </c>
      <c r="BB167" s="22">
        <v>157</v>
      </c>
      <c r="BC167" s="22">
        <v>0.68997200000000003</v>
      </c>
      <c r="BD167">
        <f t="shared" si="34"/>
        <v>17.633099999999999</v>
      </c>
      <c r="BE167">
        <f t="shared" si="35"/>
        <v>12.1776480903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71.439800000000005</v>
      </c>
      <c r="I168" s="22">
        <v>5.87921E-2</v>
      </c>
      <c r="J168" s="22">
        <v>158</v>
      </c>
      <c r="K168" s="22">
        <v>8.3160399999999995E-2</v>
      </c>
      <c r="L168">
        <f t="shared" si="24"/>
        <v>-58.792099999999998</v>
      </c>
      <c r="M168">
        <f t="shared" si="25"/>
        <v>-60.813960318999996</v>
      </c>
      <c r="N168" s="9"/>
      <c r="O168" s="22">
        <v>0.69564800000000004</v>
      </c>
      <c r="P168" s="22">
        <v>143.65899999999999</v>
      </c>
      <c r="Q168" s="22">
        <v>-1.7804E-2</v>
      </c>
      <c r="R168" s="22">
        <v>158</v>
      </c>
      <c r="S168" s="22">
        <v>0.69479400000000002</v>
      </c>
      <c r="T168">
        <f t="shared" si="26"/>
        <v>17.804000000000002</v>
      </c>
      <c r="U168">
        <f t="shared" si="27"/>
        <v>12.385316992000002</v>
      </c>
      <c r="X168" s="9"/>
      <c r="Y168" s="22">
        <v>1.0343899999999999</v>
      </c>
      <c r="Z168" s="22">
        <v>202.446</v>
      </c>
      <c r="AA168" s="22">
        <v>-1.7477400000000001E-2</v>
      </c>
      <c r="AB168" s="22">
        <v>158</v>
      </c>
      <c r="AC168" s="22">
        <v>1.0339400000000001</v>
      </c>
      <c r="AD168">
        <f t="shared" si="28"/>
        <v>17.477399999999999</v>
      </c>
      <c r="AE168">
        <f t="shared" si="29"/>
        <v>18.078447785999998</v>
      </c>
      <c r="AF168" s="9"/>
      <c r="AG168" s="22">
        <v>0.69564800000000004</v>
      </c>
      <c r="AH168" s="22">
        <v>294.464</v>
      </c>
      <c r="AI168" s="22">
        <v>-1.7663600000000002E-2</v>
      </c>
      <c r="AJ168" s="22">
        <v>158</v>
      </c>
      <c r="AK168" s="22">
        <v>0.69494599999999995</v>
      </c>
      <c r="AL168">
        <f t="shared" si="30"/>
        <v>17.663600000000002</v>
      </c>
      <c r="AM168">
        <f t="shared" si="31"/>
        <v>12.287648012800002</v>
      </c>
      <c r="AP168" s="9"/>
      <c r="AQ168" s="22">
        <v>1.0343899999999999</v>
      </c>
      <c r="AR168" s="22">
        <v>390.42700000000002</v>
      </c>
      <c r="AS168" s="22">
        <v>-1.73981E-2</v>
      </c>
      <c r="AT168" s="22">
        <v>158</v>
      </c>
      <c r="AU168" s="22">
        <v>1.03241</v>
      </c>
      <c r="AV168">
        <f t="shared" si="32"/>
        <v>17.398099999999999</v>
      </c>
      <c r="AW168">
        <f t="shared" si="33"/>
        <v>17.996420658999998</v>
      </c>
      <c r="AX168" s="9"/>
      <c r="AY168" s="22">
        <v>0.69564800000000004</v>
      </c>
      <c r="AZ168" s="22">
        <v>484.69600000000003</v>
      </c>
      <c r="BA168" s="22">
        <v>-1.7639200000000001E-2</v>
      </c>
      <c r="BB168" s="22">
        <v>158</v>
      </c>
      <c r="BC168" s="22">
        <v>0.69494599999999995</v>
      </c>
      <c r="BD168">
        <f t="shared" si="34"/>
        <v>17.639200000000002</v>
      </c>
      <c r="BE168">
        <f t="shared" si="35"/>
        <v>12.270674201600002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71.540499999999994</v>
      </c>
      <c r="I169" s="22">
        <v>5.8752400000000003E-2</v>
      </c>
      <c r="J169" s="22">
        <v>159</v>
      </c>
      <c r="K169" s="22">
        <v>8.3129900000000007E-2</v>
      </c>
      <c r="L169">
        <f t="shared" si="24"/>
        <v>-58.752400000000002</v>
      </c>
      <c r="M169">
        <f t="shared" si="25"/>
        <v>-60.477370464000003</v>
      </c>
      <c r="N169" s="9"/>
      <c r="O169" s="22">
        <v>0.70068399999999997</v>
      </c>
      <c r="P169" s="22">
        <v>143.76</v>
      </c>
      <c r="Q169" s="22">
        <v>-1.7800900000000001E-2</v>
      </c>
      <c r="R169" s="22">
        <v>159</v>
      </c>
      <c r="S169" s="22">
        <v>0.69930999999999999</v>
      </c>
      <c r="T169">
        <f t="shared" si="26"/>
        <v>17.800900000000002</v>
      </c>
      <c r="U169">
        <f t="shared" si="27"/>
        <v>12.472805815600001</v>
      </c>
      <c r="X169" s="9"/>
      <c r="Y169" s="22">
        <v>1.0293600000000001</v>
      </c>
      <c r="Z169" s="22">
        <v>202.547</v>
      </c>
      <c r="AA169" s="22">
        <v>-1.7483499999999999E-2</v>
      </c>
      <c r="AB169" s="22">
        <v>159</v>
      </c>
      <c r="AC169" s="22">
        <v>1.02905</v>
      </c>
      <c r="AD169">
        <f t="shared" si="28"/>
        <v>17.483499999999999</v>
      </c>
      <c r="AE169">
        <f t="shared" si="29"/>
        <v>17.996815560000002</v>
      </c>
      <c r="AF169" s="9"/>
      <c r="AG169" s="22">
        <v>0.70068399999999997</v>
      </c>
      <c r="AH169" s="22">
        <v>294.565</v>
      </c>
      <c r="AI169" s="22">
        <v>-1.7660499999999999E-2</v>
      </c>
      <c r="AJ169" s="22">
        <v>159</v>
      </c>
      <c r="AK169" s="22">
        <v>0.69998199999999999</v>
      </c>
      <c r="AL169">
        <f t="shared" si="30"/>
        <v>17.660499999999999</v>
      </c>
      <c r="AM169">
        <f t="shared" si="31"/>
        <v>12.374429781999998</v>
      </c>
      <c r="AP169" s="9"/>
      <c r="AQ169" s="22">
        <v>1.0293600000000001</v>
      </c>
      <c r="AR169" s="22">
        <v>390.52800000000002</v>
      </c>
      <c r="AS169" s="22">
        <v>-1.7395000000000001E-2</v>
      </c>
      <c r="AT169" s="22">
        <v>159</v>
      </c>
      <c r="AU169" s="22">
        <v>1.0293600000000001</v>
      </c>
      <c r="AV169">
        <f t="shared" si="32"/>
        <v>17.395</v>
      </c>
      <c r="AW169">
        <f t="shared" si="33"/>
        <v>17.905717200000002</v>
      </c>
      <c r="AX169" s="9"/>
      <c r="AY169" s="22">
        <v>0.70068399999999997</v>
      </c>
      <c r="AZ169" s="22">
        <v>484.79599999999999</v>
      </c>
      <c r="BA169" s="22">
        <v>-1.7627E-2</v>
      </c>
      <c r="BB169" s="22">
        <v>159</v>
      </c>
      <c r="BC169" s="22">
        <v>0.70034799999999997</v>
      </c>
      <c r="BD169">
        <f t="shared" si="34"/>
        <v>17.626999999999999</v>
      </c>
      <c r="BE169">
        <f t="shared" si="35"/>
        <v>12.350956867999999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71.641199999999998</v>
      </c>
      <c r="I170" s="22">
        <v>5.8706700000000001E-2</v>
      </c>
      <c r="J170" s="22">
        <v>160</v>
      </c>
      <c r="K170" s="22">
        <v>8.3038299999999995E-2</v>
      </c>
      <c r="L170">
        <f t="shared" si="24"/>
        <v>-58.706699999999998</v>
      </c>
      <c r="M170">
        <f t="shared" si="25"/>
        <v>-60.13444694399999</v>
      </c>
      <c r="N170" s="9"/>
      <c r="O170" s="22">
        <v>0.70571899999999999</v>
      </c>
      <c r="P170" s="22">
        <v>143.86000000000001</v>
      </c>
      <c r="Q170" s="22">
        <v>-1.7804E-2</v>
      </c>
      <c r="R170" s="22">
        <v>160</v>
      </c>
      <c r="S170" s="22">
        <v>0.705017</v>
      </c>
      <c r="T170">
        <f t="shared" si="26"/>
        <v>17.804000000000002</v>
      </c>
      <c r="U170">
        <f t="shared" si="27"/>
        <v>12.564621076000002</v>
      </c>
      <c r="X170" s="9"/>
      <c r="Y170" s="22">
        <v>1.0243199999999999</v>
      </c>
      <c r="Z170" s="22">
        <v>202.64699999999999</v>
      </c>
      <c r="AA170" s="22">
        <v>-1.74927E-2</v>
      </c>
      <c r="AB170" s="22">
        <v>160</v>
      </c>
      <c r="AC170" s="22">
        <v>1.02356</v>
      </c>
      <c r="AD170">
        <f t="shared" si="28"/>
        <v>17.492699999999999</v>
      </c>
      <c r="AE170">
        <f t="shared" si="29"/>
        <v>17.918122463999996</v>
      </c>
      <c r="AF170" s="9"/>
      <c r="AG170" s="22">
        <v>0.70571899999999999</v>
      </c>
      <c r="AH170" s="22">
        <v>294.666</v>
      </c>
      <c r="AI170" s="22">
        <v>-1.7666600000000001E-2</v>
      </c>
      <c r="AJ170" s="22">
        <v>160</v>
      </c>
      <c r="AK170" s="22">
        <v>0.70452899999999996</v>
      </c>
      <c r="AL170">
        <f t="shared" si="30"/>
        <v>17.666600000000003</v>
      </c>
      <c r="AM170">
        <f t="shared" si="31"/>
        <v>12.467655285400001</v>
      </c>
      <c r="AP170" s="9"/>
      <c r="AQ170" s="22">
        <v>1.0243199999999999</v>
      </c>
      <c r="AR170" s="22">
        <v>390.62799999999999</v>
      </c>
      <c r="AS170" s="22">
        <v>-1.73981E-2</v>
      </c>
      <c r="AT170" s="22">
        <v>160</v>
      </c>
      <c r="AU170" s="22">
        <v>1.02295</v>
      </c>
      <c r="AV170">
        <f t="shared" si="32"/>
        <v>17.398099999999999</v>
      </c>
      <c r="AW170">
        <f t="shared" si="33"/>
        <v>17.821221791999999</v>
      </c>
      <c r="AX170" s="9"/>
      <c r="AY170" s="22">
        <v>0.70571899999999999</v>
      </c>
      <c r="AZ170" s="22">
        <v>484.89699999999999</v>
      </c>
      <c r="BA170" s="22">
        <v>-1.763E-2</v>
      </c>
      <c r="BB170" s="22">
        <v>160</v>
      </c>
      <c r="BC170" s="22">
        <v>0.70526100000000003</v>
      </c>
      <c r="BD170">
        <f t="shared" si="34"/>
        <v>17.63</v>
      </c>
      <c r="BE170">
        <f t="shared" si="35"/>
        <v>12.441825969999998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71.741900000000001</v>
      </c>
      <c r="I171" s="22">
        <v>5.8715799999999999E-2</v>
      </c>
      <c r="J171" s="22">
        <v>161</v>
      </c>
      <c r="K171" s="22">
        <v>8.3099400000000004E-2</v>
      </c>
      <c r="L171">
        <f t="shared" si="24"/>
        <v>-58.715800000000002</v>
      </c>
      <c r="M171">
        <f t="shared" si="25"/>
        <v>-59.848427782000002</v>
      </c>
      <c r="N171" s="9"/>
      <c r="O171" s="22">
        <v>0.710754</v>
      </c>
      <c r="P171" s="22">
        <v>143.96100000000001</v>
      </c>
      <c r="Q171" s="22">
        <v>-1.7800900000000001E-2</v>
      </c>
      <c r="R171" s="22">
        <v>161</v>
      </c>
      <c r="S171" s="22">
        <v>0.71023599999999998</v>
      </c>
      <c r="T171">
        <f t="shared" si="26"/>
        <v>17.800900000000002</v>
      </c>
      <c r="U171">
        <f t="shared" si="27"/>
        <v>12.652060878600002</v>
      </c>
      <c r="X171" s="9"/>
      <c r="Y171" s="22">
        <v>1.01929</v>
      </c>
      <c r="Z171" s="22">
        <v>202.74799999999999</v>
      </c>
      <c r="AA171" s="22">
        <v>-1.7486600000000001E-2</v>
      </c>
      <c r="AB171" s="22">
        <v>161</v>
      </c>
      <c r="AC171" s="22">
        <v>1.01776</v>
      </c>
      <c r="AD171">
        <f t="shared" si="28"/>
        <v>17.486600000000003</v>
      </c>
      <c r="AE171">
        <f t="shared" si="29"/>
        <v>17.823916514000004</v>
      </c>
      <c r="AF171" s="9"/>
      <c r="AG171" s="22">
        <v>0.710754</v>
      </c>
      <c r="AH171" s="22">
        <v>294.76600000000002</v>
      </c>
      <c r="AI171" s="22">
        <v>-1.7648299999999999E-2</v>
      </c>
      <c r="AJ171" s="22">
        <v>161</v>
      </c>
      <c r="AK171" s="22">
        <v>0.71005200000000002</v>
      </c>
      <c r="AL171">
        <f t="shared" si="30"/>
        <v>17.648299999999999</v>
      </c>
      <c r="AM171">
        <f t="shared" si="31"/>
        <v>12.543599818199999</v>
      </c>
      <c r="AP171" s="9"/>
      <c r="AQ171" s="22">
        <v>1.01929</v>
      </c>
      <c r="AR171" s="22">
        <v>390.72899999999998</v>
      </c>
      <c r="AS171" s="22">
        <v>-1.73981E-2</v>
      </c>
      <c r="AT171" s="22">
        <v>161</v>
      </c>
      <c r="AU171" s="22">
        <v>1.01776</v>
      </c>
      <c r="AV171">
        <f t="shared" si="32"/>
        <v>17.398099999999999</v>
      </c>
      <c r="AW171">
        <f t="shared" si="33"/>
        <v>17.733709349000002</v>
      </c>
      <c r="AX171" s="9"/>
      <c r="AY171" s="22">
        <v>0.710754</v>
      </c>
      <c r="AZ171" s="22">
        <v>484.99799999999999</v>
      </c>
      <c r="BA171" s="22">
        <v>-1.7639200000000001E-2</v>
      </c>
      <c r="BB171" s="22">
        <v>161</v>
      </c>
      <c r="BC171" s="22">
        <v>0.71029699999999996</v>
      </c>
      <c r="BD171">
        <f t="shared" si="34"/>
        <v>17.639200000000002</v>
      </c>
      <c r="BE171">
        <f t="shared" si="35"/>
        <v>12.537131956800001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71.842600000000004</v>
      </c>
      <c r="I172" s="22">
        <v>5.86975E-2</v>
      </c>
      <c r="J172" s="22">
        <v>162</v>
      </c>
      <c r="K172" s="22">
        <v>8.3007800000000007E-2</v>
      </c>
      <c r="L172">
        <f t="shared" si="24"/>
        <v>-58.697499999999998</v>
      </c>
      <c r="M172">
        <f t="shared" si="25"/>
        <v>-59.533939375000003</v>
      </c>
      <c r="N172" s="9"/>
      <c r="O172" s="22">
        <v>0.71579000000000004</v>
      </c>
      <c r="P172" s="22">
        <v>144.06200000000001</v>
      </c>
      <c r="Q172" s="22">
        <v>-1.7788700000000001E-2</v>
      </c>
      <c r="R172" s="22">
        <v>162</v>
      </c>
      <c r="S172" s="22">
        <v>0.71496599999999999</v>
      </c>
      <c r="T172">
        <f t="shared" si="26"/>
        <v>17.788700000000002</v>
      </c>
      <c r="U172">
        <f t="shared" si="27"/>
        <v>12.732973573000002</v>
      </c>
      <c r="X172" s="9"/>
      <c r="Y172" s="22">
        <v>1.0142500000000001</v>
      </c>
      <c r="Z172" s="22">
        <v>202.84899999999999</v>
      </c>
      <c r="AA172" s="22">
        <v>-1.7495699999999999E-2</v>
      </c>
      <c r="AB172" s="22">
        <v>162</v>
      </c>
      <c r="AC172" s="22">
        <v>1.01349</v>
      </c>
      <c r="AD172">
        <f t="shared" si="28"/>
        <v>17.495699999999999</v>
      </c>
      <c r="AE172">
        <f t="shared" si="29"/>
        <v>17.745013725</v>
      </c>
      <c r="AF172" s="9"/>
      <c r="AG172" s="22">
        <v>0.71579000000000004</v>
      </c>
      <c r="AH172" s="22">
        <v>294.86700000000002</v>
      </c>
      <c r="AI172" s="22">
        <v>-1.7651400000000001E-2</v>
      </c>
      <c r="AJ172" s="22">
        <v>162</v>
      </c>
      <c r="AK172" s="22">
        <v>0.71548500000000004</v>
      </c>
      <c r="AL172">
        <f t="shared" si="30"/>
        <v>17.651400000000002</v>
      </c>
      <c r="AM172">
        <f t="shared" si="31"/>
        <v>12.634695606000003</v>
      </c>
      <c r="AP172" s="9"/>
      <c r="AQ172" s="22">
        <v>1.0142500000000001</v>
      </c>
      <c r="AR172" s="22">
        <v>390.83</v>
      </c>
      <c r="AS172" s="22">
        <v>-1.7419400000000002E-2</v>
      </c>
      <c r="AT172" s="22">
        <v>162</v>
      </c>
      <c r="AU172" s="22">
        <v>1.01288</v>
      </c>
      <c r="AV172">
        <f t="shared" si="32"/>
        <v>17.419400000000003</v>
      </c>
      <c r="AW172">
        <f t="shared" si="33"/>
        <v>17.667626450000004</v>
      </c>
      <c r="AX172" s="9"/>
      <c r="AY172" s="22">
        <v>0.71579000000000004</v>
      </c>
      <c r="AZ172" s="22">
        <v>485.09800000000001</v>
      </c>
      <c r="BA172" s="22">
        <v>-1.7627E-2</v>
      </c>
      <c r="BB172" s="22">
        <v>162</v>
      </c>
      <c r="BC172" s="22">
        <v>0.71487400000000001</v>
      </c>
      <c r="BD172">
        <f t="shared" si="34"/>
        <v>17.626999999999999</v>
      </c>
      <c r="BE172">
        <f t="shared" si="35"/>
        <v>12.61723033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71.943299999999994</v>
      </c>
      <c r="I173" s="22">
        <v>5.8712800000000002E-2</v>
      </c>
      <c r="J173" s="22">
        <v>163</v>
      </c>
      <c r="K173" s="22">
        <v>8.3068799999999998E-2</v>
      </c>
      <c r="L173">
        <f t="shared" si="24"/>
        <v>-58.712800000000001</v>
      </c>
      <c r="M173">
        <f t="shared" si="25"/>
        <v>-59.254132016</v>
      </c>
      <c r="N173" s="9"/>
      <c r="O173" s="22">
        <v>0.72082500000000005</v>
      </c>
      <c r="P173" s="22">
        <v>144.16200000000001</v>
      </c>
      <c r="Q173" s="22">
        <v>-1.7797899999999998E-2</v>
      </c>
      <c r="R173" s="22">
        <v>163</v>
      </c>
      <c r="S173" s="22">
        <v>0.71975699999999998</v>
      </c>
      <c r="T173">
        <f t="shared" si="26"/>
        <v>17.797899999999998</v>
      </c>
      <c r="U173">
        <f t="shared" si="27"/>
        <v>12.8291712675</v>
      </c>
      <c r="X173" s="9"/>
      <c r="Y173" s="22">
        <v>1.00922</v>
      </c>
      <c r="Z173" s="22">
        <v>202.94900000000001</v>
      </c>
      <c r="AA173" s="22">
        <v>-1.74927E-2</v>
      </c>
      <c r="AB173" s="22">
        <v>163</v>
      </c>
      <c r="AC173" s="22">
        <v>1.008</v>
      </c>
      <c r="AD173">
        <f t="shared" si="28"/>
        <v>17.492699999999999</v>
      </c>
      <c r="AE173">
        <f t="shared" si="29"/>
        <v>17.653982694</v>
      </c>
      <c r="AF173" s="9"/>
      <c r="AG173" s="22">
        <v>0.72082500000000005</v>
      </c>
      <c r="AH173" s="22">
        <v>294.96800000000002</v>
      </c>
      <c r="AI173" s="22">
        <v>-1.7654400000000001E-2</v>
      </c>
      <c r="AJ173" s="22">
        <v>163</v>
      </c>
      <c r="AK173" s="22">
        <v>0.71991000000000005</v>
      </c>
      <c r="AL173">
        <f t="shared" si="30"/>
        <v>17.654399999999999</v>
      </c>
      <c r="AM173">
        <f t="shared" si="31"/>
        <v>12.725732880000001</v>
      </c>
      <c r="AP173" s="9"/>
      <c r="AQ173" s="22">
        <v>1.00922</v>
      </c>
      <c r="AR173" s="22">
        <v>390.93</v>
      </c>
      <c r="AS173" s="22">
        <v>-1.74133E-2</v>
      </c>
      <c r="AT173" s="22">
        <v>163</v>
      </c>
      <c r="AU173" s="22">
        <v>1.0083</v>
      </c>
      <c r="AV173">
        <f t="shared" si="32"/>
        <v>17.4133</v>
      </c>
      <c r="AW173">
        <f t="shared" si="33"/>
        <v>17.573850625999999</v>
      </c>
      <c r="AX173" s="9"/>
      <c r="AY173" s="22">
        <v>0.72082500000000005</v>
      </c>
      <c r="AZ173" s="22">
        <v>485.19900000000001</v>
      </c>
      <c r="BA173" s="22">
        <v>-1.7623900000000001E-2</v>
      </c>
      <c r="BB173" s="22">
        <v>163</v>
      </c>
      <c r="BC173" s="22">
        <v>0.72024500000000002</v>
      </c>
      <c r="BD173">
        <f t="shared" si="34"/>
        <v>17.623900000000003</v>
      </c>
      <c r="BE173">
        <f t="shared" si="35"/>
        <v>12.703747717500002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72.043999999999997</v>
      </c>
      <c r="I174" s="22">
        <v>5.8712800000000002E-2</v>
      </c>
      <c r="J174" s="22">
        <v>164</v>
      </c>
      <c r="K174" s="22">
        <v>8.2977300000000004E-2</v>
      </c>
      <c r="L174">
        <f t="shared" si="24"/>
        <v>-58.712800000000001</v>
      </c>
      <c r="M174">
        <f t="shared" si="25"/>
        <v>-58.958219504000006</v>
      </c>
      <c r="N174" s="9"/>
      <c r="O174" s="22">
        <v>0.72586099999999998</v>
      </c>
      <c r="P174" s="22">
        <v>144.26300000000001</v>
      </c>
      <c r="Q174" s="22">
        <v>-1.7788700000000001E-2</v>
      </c>
      <c r="R174" s="22">
        <v>164</v>
      </c>
      <c r="S174" s="22">
        <v>0.72524999999999995</v>
      </c>
      <c r="T174">
        <f t="shared" si="26"/>
        <v>17.788700000000002</v>
      </c>
      <c r="U174">
        <f t="shared" si="27"/>
        <v>12.9121235707</v>
      </c>
      <c r="X174" s="9"/>
      <c r="Y174" s="22">
        <v>1.0041800000000001</v>
      </c>
      <c r="Z174" s="22">
        <v>203.05</v>
      </c>
      <c r="AA174" s="22">
        <v>-1.7495699999999999E-2</v>
      </c>
      <c r="AB174" s="22">
        <v>164</v>
      </c>
      <c r="AC174" s="22">
        <v>1.0037199999999999</v>
      </c>
      <c r="AD174">
        <f t="shared" si="28"/>
        <v>17.495699999999999</v>
      </c>
      <c r="AE174">
        <f t="shared" si="29"/>
        <v>17.568832025999999</v>
      </c>
      <c r="AF174" s="9"/>
      <c r="AG174" s="22">
        <v>0.72586099999999998</v>
      </c>
      <c r="AH174" s="22">
        <v>295.06900000000002</v>
      </c>
      <c r="AI174" s="22">
        <v>-1.7651400000000001E-2</v>
      </c>
      <c r="AJ174" s="22">
        <v>164</v>
      </c>
      <c r="AK174" s="22">
        <v>0.724854</v>
      </c>
      <c r="AL174">
        <f t="shared" si="30"/>
        <v>17.651400000000002</v>
      </c>
      <c r="AM174">
        <f t="shared" si="31"/>
        <v>12.812462855400002</v>
      </c>
      <c r="AP174" s="9"/>
      <c r="AQ174" s="22">
        <v>1.0041800000000001</v>
      </c>
      <c r="AR174" s="22">
        <v>391.03100000000001</v>
      </c>
      <c r="AS174" s="22">
        <v>-1.74133E-2</v>
      </c>
      <c r="AT174" s="22">
        <v>164</v>
      </c>
      <c r="AU174" s="22">
        <v>1.0031099999999999</v>
      </c>
      <c r="AV174">
        <f t="shared" si="32"/>
        <v>17.4133</v>
      </c>
      <c r="AW174">
        <f t="shared" si="33"/>
        <v>17.486087594000001</v>
      </c>
      <c r="AX174" s="9"/>
      <c r="AY174" s="22">
        <v>0.72586099999999998</v>
      </c>
      <c r="AZ174" s="22">
        <v>485.3</v>
      </c>
      <c r="BA174" s="22">
        <v>-1.7617799999999999E-2</v>
      </c>
      <c r="BB174" s="22">
        <v>164</v>
      </c>
      <c r="BC174" s="22">
        <v>0.72509800000000002</v>
      </c>
      <c r="BD174">
        <f t="shared" si="34"/>
        <v>17.617799999999999</v>
      </c>
      <c r="BE174">
        <f t="shared" si="35"/>
        <v>12.788073925799999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72.1447</v>
      </c>
      <c r="I175" s="22">
        <v>5.8709699999999997E-2</v>
      </c>
      <c r="J175" s="22">
        <v>165</v>
      </c>
      <c r="K175" s="22">
        <v>8.3038299999999995E-2</v>
      </c>
      <c r="L175">
        <f t="shared" si="24"/>
        <v>-58.709699999999998</v>
      </c>
      <c r="M175">
        <f t="shared" si="25"/>
        <v>-58.659561916199998</v>
      </c>
      <c r="N175" s="9"/>
      <c r="O175" s="22">
        <v>0.73089599999999999</v>
      </c>
      <c r="P175" s="22">
        <v>144.364</v>
      </c>
      <c r="Q175" s="22">
        <v>-1.7785599999999999E-2</v>
      </c>
      <c r="R175" s="22">
        <v>165</v>
      </c>
      <c r="S175" s="22">
        <v>0.73037700000000005</v>
      </c>
      <c r="T175">
        <f t="shared" si="26"/>
        <v>17.785599999999999</v>
      </c>
      <c r="U175">
        <f t="shared" si="27"/>
        <v>12.999423897599998</v>
      </c>
      <c r="X175" s="9"/>
      <c r="Y175" s="22">
        <v>0.99914599999999998</v>
      </c>
      <c r="Z175" s="22">
        <v>203.15100000000001</v>
      </c>
      <c r="AA175" s="22">
        <v>-1.75079E-2</v>
      </c>
      <c r="AB175" s="22">
        <v>165</v>
      </c>
      <c r="AC175" s="22">
        <v>0.99822999999999995</v>
      </c>
      <c r="AD175">
        <f t="shared" si="28"/>
        <v>17.507899999999999</v>
      </c>
      <c r="AE175">
        <f t="shared" si="29"/>
        <v>17.492948253399998</v>
      </c>
      <c r="AF175" s="9"/>
      <c r="AG175" s="22">
        <v>0.73089599999999999</v>
      </c>
      <c r="AH175" s="22">
        <v>295.16899999999998</v>
      </c>
      <c r="AI175" s="22">
        <v>-1.76422E-2</v>
      </c>
      <c r="AJ175" s="22">
        <v>165</v>
      </c>
      <c r="AK175" s="22">
        <v>0.73043800000000003</v>
      </c>
      <c r="AL175">
        <f t="shared" si="30"/>
        <v>17.642199999999999</v>
      </c>
      <c r="AM175">
        <f t="shared" si="31"/>
        <v>12.8946134112</v>
      </c>
      <c r="AP175" s="9"/>
      <c r="AQ175" s="22">
        <v>0.99914599999999998</v>
      </c>
      <c r="AR175" s="22">
        <v>391.13200000000001</v>
      </c>
      <c r="AS175" s="22">
        <v>-1.74133E-2</v>
      </c>
      <c r="AT175" s="22">
        <v>165</v>
      </c>
      <c r="AU175" s="22">
        <v>0.99761999999999995</v>
      </c>
      <c r="AV175">
        <f t="shared" si="32"/>
        <v>17.4133</v>
      </c>
      <c r="AW175">
        <f t="shared" si="33"/>
        <v>17.3984290418</v>
      </c>
      <c r="AX175" s="9"/>
      <c r="AY175" s="22">
        <v>0.73089599999999999</v>
      </c>
      <c r="AZ175" s="22">
        <v>485.4</v>
      </c>
      <c r="BA175" s="22">
        <v>-1.7605599999999999E-2</v>
      </c>
      <c r="BB175" s="22">
        <v>165</v>
      </c>
      <c r="BC175" s="22">
        <v>0.73031599999999997</v>
      </c>
      <c r="BD175">
        <f t="shared" si="34"/>
        <v>17.605599999999999</v>
      </c>
      <c r="BE175">
        <f t="shared" si="35"/>
        <v>12.867862617599998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72.245400000000004</v>
      </c>
      <c r="I176" s="22">
        <v>5.86823E-2</v>
      </c>
      <c r="J176" s="22">
        <v>166</v>
      </c>
      <c r="K176" s="22">
        <v>8.3129900000000007E-2</v>
      </c>
      <c r="L176">
        <f t="shared" si="24"/>
        <v>-58.682299999999998</v>
      </c>
      <c r="M176">
        <f t="shared" si="25"/>
        <v>-58.336661253000003</v>
      </c>
      <c r="N176" s="9"/>
      <c r="O176" s="22">
        <v>0.735931</v>
      </c>
      <c r="P176" s="22">
        <v>144.465</v>
      </c>
      <c r="Q176" s="22">
        <v>-1.77795E-2</v>
      </c>
      <c r="R176" s="22">
        <v>166</v>
      </c>
      <c r="S176" s="22">
        <v>0.73495500000000002</v>
      </c>
      <c r="T176">
        <f t="shared" si="26"/>
        <v>17.779499999999999</v>
      </c>
      <c r="U176">
        <f t="shared" si="27"/>
        <v>13.084485214499999</v>
      </c>
      <c r="X176" s="9"/>
      <c r="Y176" s="22">
        <v>0.99411000000000005</v>
      </c>
      <c r="Z176" s="22">
        <v>203.251</v>
      </c>
      <c r="AA176" s="22">
        <v>-1.75079E-2</v>
      </c>
      <c r="AB176" s="22">
        <v>166</v>
      </c>
      <c r="AC176" s="22">
        <v>0.99334699999999998</v>
      </c>
      <c r="AD176">
        <f t="shared" si="28"/>
        <v>17.507899999999999</v>
      </c>
      <c r="AE176">
        <f t="shared" si="29"/>
        <v>17.404778469</v>
      </c>
      <c r="AF176" s="9"/>
      <c r="AG176" s="22">
        <v>0.735931</v>
      </c>
      <c r="AH176" s="22">
        <v>295.27</v>
      </c>
      <c r="AI176" s="22">
        <v>-1.7639200000000001E-2</v>
      </c>
      <c r="AJ176" s="22">
        <v>166</v>
      </c>
      <c r="AK176" s="22">
        <v>0.73529100000000003</v>
      </c>
      <c r="AL176">
        <f t="shared" si="30"/>
        <v>17.639200000000002</v>
      </c>
      <c r="AM176">
        <f t="shared" si="31"/>
        <v>12.981234095200001</v>
      </c>
      <c r="AP176" s="9"/>
      <c r="AQ176" s="22">
        <v>0.99411000000000005</v>
      </c>
      <c r="AR176" s="22">
        <v>391.233</v>
      </c>
      <c r="AS176" s="22">
        <v>-1.74103E-2</v>
      </c>
      <c r="AT176" s="22">
        <v>166</v>
      </c>
      <c r="AU176" s="22">
        <v>0.99304199999999998</v>
      </c>
      <c r="AV176">
        <f t="shared" si="32"/>
        <v>17.410299999999999</v>
      </c>
      <c r="AW176">
        <f t="shared" si="33"/>
        <v>17.307753333000001</v>
      </c>
      <c r="AX176" s="9"/>
      <c r="AY176" s="22">
        <v>0.735931</v>
      </c>
      <c r="AZ176" s="22">
        <v>485.50099999999998</v>
      </c>
      <c r="BA176" s="22">
        <v>-1.76147E-2</v>
      </c>
      <c r="BB176" s="22">
        <v>166</v>
      </c>
      <c r="BC176" s="22">
        <v>0.73544299999999996</v>
      </c>
      <c r="BD176">
        <f t="shared" si="34"/>
        <v>17.614699999999999</v>
      </c>
      <c r="BE176">
        <f t="shared" si="35"/>
        <v>12.963203785699999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72.346100000000007</v>
      </c>
      <c r="I177" s="22">
        <v>5.8666999999999997E-2</v>
      </c>
      <c r="J177" s="22">
        <v>167</v>
      </c>
      <c r="K177" s="22">
        <v>8.3099400000000004E-2</v>
      </c>
      <c r="L177">
        <f t="shared" si="24"/>
        <v>-58.666999999999994</v>
      </c>
      <c r="M177">
        <f t="shared" si="25"/>
        <v>-58.026063024999999</v>
      </c>
      <c r="N177" s="9"/>
      <c r="O177" s="22">
        <v>0.74096700000000004</v>
      </c>
      <c r="P177" s="22">
        <v>144.565</v>
      </c>
      <c r="Q177" s="22">
        <v>-1.77795E-2</v>
      </c>
      <c r="R177" s="22">
        <v>167</v>
      </c>
      <c r="S177" s="22">
        <v>0.74023399999999995</v>
      </c>
      <c r="T177">
        <f t="shared" si="26"/>
        <v>17.779499999999999</v>
      </c>
      <c r="U177">
        <f t="shared" si="27"/>
        <v>13.174022776499999</v>
      </c>
      <c r="X177" s="9"/>
      <c r="Y177" s="22">
        <v>0.98907500000000004</v>
      </c>
      <c r="Z177" s="22">
        <v>203.352</v>
      </c>
      <c r="AA177" s="22">
        <v>-1.7510999999999999E-2</v>
      </c>
      <c r="AB177" s="22">
        <v>167</v>
      </c>
      <c r="AC177" s="22">
        <v>0.98815900000000001</v>
      </c>
      <c r="AD177">
        <f t="shared" si="28"/>
        <v>17.510999999999999</v>
      </c>
      <c r="AE177">
        <f t="shared" si="29"/>
        <v>17.319692324999998</v>
      </c>
      <c r="AF177" s="9"/>
      <c r="AG177" s="22">
        <v>0.74096700000000004</v>
      </c>
      <c r="AH177" s="22">
        <v>295.37099999999998</v>
      </c>
      <c r="AI177" s="22">
        <v>-1.7639200000000001E-2</v>
      </c>
      <c r="AJ177" s="22">
        <v>167</v>
      </c>
      <c r="AK177" s="22">
        <v>0.74020399999999997</v>
      </c>
      <c r="AL177">
        <f t="shared" si="30"/>
        <v>17.639200000000002</v>
      </c>
      <c r="AM177">
        <f t="shared" si="31"/>
        <v>13.070065106400003</v>
      </c>
      <c r="AP177" s="9"/>
      <c r="AQ177" s="22">
        <v>0.98907500000000004</v>
      </c>
      <c r="AR177" s="22">
        <v>391.33300000000003</v>
      </c>
      <c r="AS177" s="22">
        <v>-1.7431599999999998E-2</v>
      </c>
      <c r="AT177" s="22">
        <v>167</v>
      </c>
      <c r="AU177" s="22">
        <v>0.98785400000000001</v>
      </c>
      <c r="AV177">
        <f t="shared" si="32"/>
        <v>17.4316</v>
      </c>
      <c r="AW177">
        <f t="shared" si="33"/>
        <v>17.241159769999999</v>
      </c>
      <c r="AX177" s="9"/>
      <c r="AY177" s="22">
        <v>0.74096700000000004</v>
      </c>
      <c r="AZ177" s="22">
        <v>485.60199999999998</v>
      </c>
      <c r="BA177" s="22">
        <v>-1.7608599999999999E-2</v>
      </c>
      <c r="BB177" s="22">
        <v>167</v>
      </c>
      <c r="BC177" s="22">
        <v>0.74026499999999995</v>
      </c>
      <c r="BD177">
        <f t="shared" si="34"/>
        <v>17.608599999999999</v>
      </c>
      <c r="BE177">
        <f t="shared" si="35"/>
        <v>13.047391516199999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72.446799999999996</v>
      </c>
      <c r="I178" s="22">
        <v>5.8645599999999999E-2</v>
      </c>
      <c r="J178" s="22">
        <v>168</v>
      </c>
      <c r="K178" s="22">
        <v>8.3129900000000007E-2</v>
      </c>
      <c r="L178">
        <f t="shared" si="24"/>
        <v>-58.645600000000002</v>
      </c>
      <c r="M178">
        <f t="shared" si="25"/>
        <v>-57.709557578400002</v>
      </c>
      <c r="N178" s="9"/>
      <c r="O178" s="22">
        <v>0.74600200000000005</v>
      </c>
      <c r="P178" s="22">
        <v>144.666</v>
      </c>
      <c r="Q178" s="22">
        <v>-1.7773400000000002E-2</v>
      </c>
      <c r="R178" s="22">
        <v>168</v>
      </c>
      <c r="S178" s="22">
        <v>0.74560499999999996</v>
      </c>
      <c r="T178">
        <f t="shared" si="26"/>
        <v>17.773400000000002</v>
      </c>
      <c r="U178">
        <f t="shared" si="27"/>
        <v>13.258991946800002</v>
      </c>
      <c r="X178" s="9"/>
      <c r="Y178" s="22">
        <v>0.984039</v>
      </c>
      <c r="Z178" s="22">
        <v>203.453</v>
      </c>
      <c r="AA178" s="22">
        <v>-1.75201E-2</v>
      </c>
      <c r="AB178" s="22">
        <v>168</v>
      </c>
      <c r="AC178" s="22">
        <v>0.98327600000000004</v>
      </c>
      <c r="AD178">
        <f t="shared" si="28"/>
        <v>17.520099999999999</v>
      </c>
      <c r="AE178">
        <f t="shared" si="29"/>
        <v>17.240461683899998</v>
      </c>
      <c r="AF178" s="9"/>
      <c r="AG178" s="22">
        <v>0.74600200000000005</v>
      </c>
      <c r="AH178" s="22">
        <v>295.471</v>
      </c>
      <c r="AI178" s="22">
        <v>-1.76422E-2</v>
      </c>
      <c r="AJ178" s="22">
        <v>168</v>
      </c>
      <c r="AK178" s="22">
        <v>0.74511700000000003</v>
      </c>
      <c r="AL178">
        <f t="shared" si="30"/>
        <v>17.642199999999999</v>
      </c>
      <c r="AM178">
        <f t="shared" si="31"/>
        <v>13.161116484400001</v>
      </c>
      <c r="AP178" s="9"/>
      <c r="AQ178" s="22">
        <v>0.984039</v>
      </c>
      <c r="AR178" s="22">
        <v>391.43400000000003</v>
      </c>
      <c r="AS178" s="22">
        <v>-1.7416399999999999E-2</v>
      </c>
      <c r="AT178" s="22">
        <v>168</v>
      </c>
      <c r="AU178" s="22">
        <v>0.98358199999999996</v>
      </c>
      <c r="AV178">
        <f t="shared" si="32"/>
        <v>17.416399999999999</v>
      </c>
      <c r="AW178">
        <f t="shared" si="33"/>
        <v>17.138416839599998</v>
      </c>
      <c r="AX178" s="9"/>
      <c r="AY178" s="22">
        <v>0.74600200000000005</v>
      </c>
      <c r="AZ178" s="22">
        <v>485.70299999999997</v>
      </c>
      <c r="BA178" s="22">
        <v>-1.76025E-2</v>
      </c>
      <c r="BB178" s="22">
        <v>168</v>
      </c>
      <c r="BC178" s="22">
        <v>0.74517800000000001</v>
      </c>
      <c r="BD178">
        <f t="shared" si="34"/>
        <v>17.602499999999999</v>
      </c>
      <c r="BE178">
        <f t="shared" si="35"/>
        <v>13.131500205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72.547499999999999</v>
      </c>
      <c r="I179" s="22">
        <v>5.8630399999999999E-2</v>
      </c>
      <c r="J179" s="22">
        <v>169</v>
      </c>
      <c r="K179" s="22">
        <v>8.3099400000000004E-2</v>
      </c>
      <c r="L179">
        <f t="shared" si="24"/>
        <v>-58.630400000000002</v>
      </c>
      <c r="M179">
        <f t="shared" si="25"/>
        <v>-57.399396121599999</v>
      </c>
      <c r="N179" s="9"/>
      <c r="O179" s="22">
        <v>0.75103799999999998</v>
      </c>
      <c r="P179" s="22">
        <v>144.767</v>
      </c>
      <c r="Q179" s="22">
        <v>-1.77673E-2</v>
      </c>
      <c r="R179" s="22">
        <v>169</v>
      </c>
      <c r="S179" s="22">
        <v>0.75024400000000002</v>
      </c>
      <c r="T179">
        <f t="shared" si="26"/>
        <v>17.767299999999999</v>
      </c>
      <c r="U179">
        <f t="shared" si="27"/>
        <v>13.343917457399998</v>
      </c>
      <c r="X179" s="9"/>
      <c r="Y179" s="22">
        <v>0.97900399999999999</v>
      </c>
      <c r="Z179" s="22">
        <v>203.554</v>
      </c>
      <c r="AA179" s="22">
        <v>-1.7513999999999998E-2</v>
      </c>
      <c r="AB179" s="22">
        <v>169</v>
      </c>
      <c r="AC179" s="22">
        <v>0.97808799999999996</v>
      </c>
      <c r="AD179">
        <f t="shared" si="28"/>
        <v>17.513999999999999</v>
      </c>
      <c r="AE179">
        <f t="shared" si="29"/>
        <v>17.146276055999998</v>
      </c>
      <c r="AF179" s="9"/>
      <c r="AG179" s="22">
        <v>0.75103799999999998</v>
      </c>
      <c r="AH179" s="22">
        <v>295.572</v>
      </c>
      <c r="AI179" s="22">
        <v>-1.7636099999999998E-2</v>
      </c>
      <c r="AJ179" s="22">
        <v>169</v>
      </c>
      <c r="AK179" s="22">
        <v>0.75009199999999998</v>
      </c>
      <c r="AL179">
        <f t="shared" si="30"/>
        <v>17.636099999999999</v>
      </c>
      <c r="AM179">
        <f t="shared" si="31"/>
        <v>13.245381271799999</v>
      </c>
      <c r="AP179" s="9"/>
      <c r="AQ179" s="22">
        <v>0.97900399999999999</v>
      </c>
      <c r="AR179" s="22">
        <v>391.53500000000003</v>
      </c>
      <c r="AS179" s="22">
        <v>-1.7431599999999998E-2</v>
      </c>
      <c r="AT179" s="22">
        <v>169</v>
      </c>
      <c r="AU179" s="22">
        <v>0.97839399999999999</v>
      </c>
      <c r="AV179">
        <f t="shared" si="32"/>
        <v>17.4316</v>
      </c>
      <c r="AW179">
        <f t="shared" si="33"/>
        <v>17.065606126399999</v>
      </c>
      <c r="AX179" s="9"/>
      <c r="AY179" s="22">
        <v>0.75103799999999998</v>
      </c>
      <c r="AZ179" s="22">
        <v>485.803</v>
      </c>
      <c r="BA179" s="22">
        <v>-1.7611700000000001E-2</v>
      </c>
      <c r="BB179" s="22">
        <v>169</v>
      </c>
      <c r="BC179" s="22">
        <v>0.75042699999999996</v>
      </c>
      <c r="BD179">
        <f t="shared" si="34"/>
        <v>17.611700000000003</v>
      </c>
      <c r="BE179">
        <f t="shared" si="35"/>
        <v>13.227055944600002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72.648300000000006</v>
      </c>
      <c r="I180" s="22">
        <v>5.8596799999999997E-2</v>
      </c>
      <c r="J180" s="22">
        <v>170</v>
      </c>
      <c r="K180" s="22">
        <v>8.3099400000000004E-2</v>
      </c>
      <c r="L180">
        <f t="shared" si="24"/>
        <v>-58.596799999999995</v>
      </c>
      <c r="M180">
        <f t="shared" si="25"/>
        <v>-57.071466699199995</v>
      </c>
      <c r="N180" s="9"/>
      <c r="O180" s="22">
        <v>0.756073</v>
      </c>
      <c r="P180" s="22">
        <v>144.86699999999999</v>
      </c>
      <c r="Q180" s="22">
        <v>-1.7773400000000002E-2</v>
      </c>
      <c r="R180" s="22">
        <v>170</v>
      </c>
      <c r="S180" s="22">
        <v>0.75439500000000004</v>
      </c>
      <c r="T180">
        <f t="shared" si="26"/>
        <v>17.773400000000002</v>
      </c>
      <c r="U180">
        <f t="shared" si="27"/>
        <v>13.437987858200001</v>
      </c>
      <c r="X180" s="9"/>
      <c r="Y180" s="22">
        <v>0.97396899999999997</v>
      </c>
      <c r="Z180" s="22">
        <v>203.654</v>
      </c>
      <c r="AA180" s="22">
        <v>-1.7523199999999999E-2</v>
      </c>
      <c r="AB180" s="22">
        <v>170</v>
      </c>
      <c r="AC180" s="22">
        <v>0.97289999999999999</v>
      </c>
      <c r="AD180">
        <f t="shared" si="28"/>
        <v>17.523199999999999</v>
      </c>
      <c r="AE180">
        <f t="shared" si="29"/>
        <v>17.0670535808</v>
      </c>
      <c r="AF180" s="9"/>
      <c r="AG180" s="22">
        <v>0.756073</v>
      </c>
      <c r="AH180" s="22">
        <v>295.673</v>
      </c>
      <c r="AI180" s="22">
        <v>-1.763E-2</v>
      </c>
      <c r="AJ180" s="22">
        <v>170</v>
      </c>
      <c r="AK180" s="22">
        <v>0.75470000000000004</v>
      </c>
      <c r="AL180">
        <f t="shared" si="30"/>
        <v>17.63</v>
      </c>
      <c r="AM180">
        <f t="shared" si="31"/>
        <v>13.32956699</v>
      </c>
      <c r="AP180" s="9"/>
      <c r="AQ180" s="22">
        <v>0.97396899999999997</v>
      </c>
      <c r="AR180" s="22">
        <v>391.63499999999999</v>
      </c>
      <c r="AS180" s="22">
        <v>-1.7428599999999999E-2</v>
      </c>
      <c r="AT180" s="22">
        <v>170</v>
      </c>
      <c r="AU180" s="22">
        <v>0.97351100000000002</v>
      </c>
      <c r="AV180">
        <f t="shared" si="32"/>
        <v>17.428599999999999</v>
      </c>
      <c r="AW180">
        <f t="shared" si="33"/>
        <v>16.974916113399999</v>
      </c>
      <c r="AX180" s="9"/>
      <c r="AY180" s="22">
        <v>0.756073</v>
      </c>
      <c r="AZ180" s="22">
        <v>485.904</v>
      </c>
      <c r="BA180" s="22">
        <v>-1.7593399999999999E-2</v>
      </c>
      <c r="BB180" s="22">
        <v>170</v>
      </c>
      <c r="BC180" s="22">
        <v>0.75531000000000004</v>
      </c>
      <c r="BD180">
        <f t="shared" si="34"/>
        <v>17.593399999999999</v>
      </c>
      <c r="BE180">
        <f t="shared" si="35"/>
        <v>13.3018947182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72.748999999999995</v>
      </c>
      <c r="I181" s="22">
        <v>5.8596799999999997E-2</v>
      </c>
      <c r="J181" s="22">
        <v>171</v>
      </c>
      <c r="K181" s="22">
        <v>8.3160399999999995E-2</v>
      </c>
      <c r="L181">
        <f t="shared" si="24"/>
        <v>-58.596799999999995</v>
      </c>
      <c r="M181">
        <f t="shared" si="25"/>
        <v>-56.776373214399996</v>
      </c>
      <c r="N181" s="9"/>
      <c r="O181" s="22">
        <v>0.76110800000000001</v>
      </c>
      <c r="P181" s="22">
        <v>144.96799999999999</v>
      </c>
      <c r="Q181" s="22">
        <v>-1.77643E-2</v>
      </c>
      <c r="R181" s="22">
        <v>171</v>
      </c>
      <c r="S181" s="22">
        <v>0.76019300000000001</v>
      </c>
      <c r="T181">
        <f t="shared" si="26"/>
        <v>17.764299999999999</v>
      </c>
      <c r="U181">
        <f t="shared" si="27"/>
        <v>13.520550844399999</v>
      </c>
      <c r="X181" s="9"/>
      <c r="Y181" s="22">
        <v>0.96893300000000004</v>
      </c>
      <c r="Z181" s="22">
        <v>203.755</v>
      </c>
      <c r="AA181" s="22">
        <v>-1.7526199999999999E-2</v>
      </c>
      <c r="AB181" s="22">
        <v>171</v>
      </c>
      <c r="AC181" s="22">
        <v>0.96771200000000002</v>
      </c>
      <c r="AD181">
        <f t="shared" si="28"/>
        <v>17.526199999999999</v>
      </c>
      <c r="AE181">
        <f t="shared" si="29"/>
        <v>16.981713544600002</v>
      </c>
      <c r="AF181" s="9"/>
      <c r="AG181" s="22">
        <v>0.76110800000000001</v>
      </c>
      <c r="AH181" s="22">
        <v>295.774</v>
      </c>
      <c r="AI181" s="22">
        <v>-1.7623900000000001E-2</v>
      </c>
      <c r="AJ181" s="22">
        <v>171</v>
      </c>
      <c r="AK181" s="22">
        <v>0.76049800000000001</v>
      </c>
      <c r="AL181">
        <f t="shared" si="30"/>
        <v>17.623900000000003</v>
      </c>
      <c r="AM181">
        <f t="shared" si="31"/>
        <v>13.413691281200002</v>
      </c>
      <c r="AP181" s="9"/>
      <c r="AQ181" s="22">
        <v>0.96893300000000004</v>
      </c>
      <c r="AR181" s="22">
        <v>391.73599999999999</v>
      </c>
      <c r="AS181" s="22">
        <v>-1.74377E-2</v>
      </c>
      <c r="AT181" s="22">
        <v>171</v>
      </c>
      <c r="AU181" s="22">
        <v>0.96771200000000002</v>
      </c>
      <c r="AV181">
        <f t="shared" si="32"/>
        <v>17.4377</v>
      </c>
      <c r="AW181">
        <f t="shared" si="33"/>
        <v>16.895962974100001</v>
      </c>
      <c r="AX181" s="9"/>
      <c r="AY181" s="22">
        <v>0.76110800000000001</v>
      </c>
      <c r="AZ181" s="22">
        <v>486.005</v>
      </c>
      <c r="BA181" s="22">
        <v>-1.75873E-2</v>
      </c>
      <c r="BB181" s="22">
        <v>171</v>
      </c>
      <c r="BC181" s="22">
        <v>0.75958300000000001</v>
      </c>
      <c r="BD181">
        <f t="shared" si="34"/>
        <v>17.587299999999999</v>
      </c>
      <c r="BE181">
        <f t="shared" si="35"/>
        <v>13.385834728399999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72.849699999999999</v>
      </c>
      <c r="I182" s="22">
        <v>5.8554099999999998E-2</v>
      </c>
      <c r="J182" s="22">
        <v>172</v>
      </c>
      <c r="K182" s="22">
        <v>8.3160399999999995E-2</v>
      </c>
      <c r="L182">
        <f t="shared" si="24"/>
        <v>-58.554099999999998</v>
      </c>
      <c r="M182">
        <f t="shared" si="25"/>
        <v>-56.440179881799999</v>
      </c>
      <c r="N182" s="9"/>
      <c r="O182" s="22">
        <v>0.76614400000000005</v>
      </c>
      <c r="P182" s="22">
        <v>145.06899999999999</v>
      </c>
      <c r="Q182" s="22">
        <v>-1.7761200000000001E-2</v>
      </c>
      <c r="R182" s="22">
        <v>172</v>
      </c>
      <c r="S182" s="22">
        <v>0.76477099999999998</v>
      </c>
      <c r="T182">
        <f t="shared" si="26"/>
        <v>17.761200000000002</v>
      </c>
      <c r="U182">
        <f t="shared" si="27"/>
        <v>13.607636812800003</v>
      </c>
      <c r="X182" s="9"/>
      <c r="Y182" s="22">
        <v>0.96389800000000003</v>
      </c>
      <c r="Z182" s="22">
        <v>203.85599999999999</v>
      </c>
      <c r="AA182" s="22">
        <v>-1.75354E-2</v>
      </c>
      <c r="AB182" s="22">
        <v>172</v>
      </c>
      <c r="AC182" s="22">
        <v>0.96313499999999996</v>
      </c>
      <c r="AD182">
        <f t="shared" si="28"/>
        <v>17.535399999999999</v>
      </c>
      <c r="AE182">
        <f t="shared" si="29"/>
        <v>16.902336989199998</v>
      </c>
      <c r="AF182" s="9"/>
      <c r="AG182" s="22">
        <v>0.76614400000000005</v>
      </c>
      <c r="AH182" s="22">
        <v>295.87400000000002</v>
      </c>
      <c r="AI182" s="22">
        <v>-1.7620799999999999E-2</v>
      </c>
      <c r="AJ182" s="22">
        <v>172</v>
      </c>
      <c r="AK182" s="22">
        <v>0.76538099999999998</v>
      </c>
      <c r="AL182">
        <f t="shared" si="30"/>
        <v>17.620799999999999</v>
      </c>
      <c r="AM182">
        <f t="shared" si="31"/>
        <v>13.500070195199999</v>
      </c>
      <c r="AP182" s="9"/>
      <c r="AQ182" s="22">
        <v>0.96389800000000003</v>
      </c>
      <c r="AR182" s="22">
        <v>391.83699999999999</v>
      </c>
      <c r="AS182" s="22">
        <v>-1.7440799999999999E-2</v>
      </c>
      <c r="AT182" s="22">
        <v>172</v>
      </c>
      <c r="AU182" s="22">
        <v>0.96252400000000005</v>
      </c>
      <c r="AV182">
        <f t="shared" si="32"/>
        <v>17.440799999999999</v>
      </c>
      <c r="AW182">
        <f t="shared" si="33"/>
        <v>16.811152238399998</v>
      </c>
      <c r="AX182" s="9"/>
      <c r="AY182" s="22">
        <v>0.76614400000000005</v>
      </c>
      <c r="AZ182" s="22">
        <v>486.10500000000002</v>
      </c>
      <c r="BA182" s="22">
        <v>-1.7593399999999999E-2</v>
      </c>
      <c r="BB182" s="22">
        <v>172</v>
      </c>
      <c r="BC182" s="22">
        <v>0.76415999999999995</v>
      </c>
      <c r="BD182">
        <f t="shared" si="34"/>
        <v>17.593399999999999</v>
      </c>
      <c r="BE182">
        <f t="shared" si="35"/>
        <v>13.479077849599999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72.950400000000002</v>
      </c>
      <c r="I183" s="22">
        <v>5.8593800000000001E-2</v>
      </c>
      <c r="J183" s="22">
        <v>173</v>
      </c>
      <c r="K183" s="22">
        <v>8.3099400000000004E-2</v>
      </c>
      <c r="L183">
        <f t="shared" si="24"/>
        <v>-58.593800000000002</v>
      </c>
      <c r="M183">
        <f t="shared" si="25"/>
        <v>-56.183368255600001</v>
      </c>
      <c r="N183" s="9"/>
      <c r="O183" s="22">
        <v>0.77117899999999995</v>
      </c>
      <c r="P183" s="22">
        <v>145.16999999999999</v>
      </c>
      <c r="Q183" s="22">
        <v>-1.7746000000000001E-2</v>
      </c>
      <c r="R183" s="22">
        <v>173</v>
      </c>
      <c r="S183" s="22">
        <v>0.77056899999999995</v>
      </c>
      <c r="T183">
        <f t="shared" si="26"/>
        <v>17.746000000000002</v>
      </c>
      <c r="U183">
        <f t="shared" si="27"/>
        <v>13.685342534</v>
      </c>
      <c r="X183" s="9"/>
      <c r="Y183" s="22">
        <v>0.95886199999999999</v>
      </c>
      <c r="Z183" s="22">
        <v>203.95599999999999</v>
      </c>
      <c r="AA183" s="22">
        <v>-1.7529300000000001E-2</v>
      </c>
      <c r="AB183" s="22">
        <v>173</v>
      </c>
      <c r="AC183" s="22">
        <v>0.95825199999999999</v>
      </c>
      <c r="AD183">
        <f t="shared" si="28"/>
        <v>17.529300000000003</v>
      </c>
      <c r="AE183">
        <f t="shared" si="29"/>
        <v>16.808179656600004</v>
      </c>
      <c r="AF183" s="9"/>
      <c r="AG183" s="22">
        <v>0.77117899999999995</v>
      </c>
      <c r="AH183" s="22">
        <v>295.97500000000002</v>
      </c>
      <c r="AI183" s="22">
        <v>-1.7627E-2</v>
      </c>
      <c r="AJ183" s="22">
        <v>173</v>
      </c>
      <c r="AK183" s="22">
        <v>0.77026399999999995</v>
      </c>
      <c r="AL183">
        <f t="shared" si="30"/>
        <v>17.626999999999999</v>
      </c>
      <c r="AM183">
        <f t="shared" si="31"/>
        <v>13.593572232999998</v>
      </c>
      <c r="AP183" s="9"/>
      <c r="AQ183" s="22">
        <v>0.95886199999999999</v>
      </c>
      <c r="AR183" s="22">
        <v>391.93799999999999</v>
      </c>
      <c r="AS183" s="22">
        <v>-1.7440799999999999E-2</v>
      </c>
      <c r="AT183" s="22">
        <v>173</v>
      </c>
      <c r="AU183" s="22">
        <v>0.95794699999999999</v>
      </c>
      <c r="AV183">
        <f t="shared" si="32"/>
        <v>17.440799999999999</v>
      </c>
      <c r="AW183">
        <f t="shared" si="33"/>
        <v>16.7233203696</v>
      </c>
      <c r="AX183" s="9"/>
      <c r="AY183" s="22">
        <v>0.77117899999999995</v>
      </c>
      <c r="AZ183" s="22">
        <v>486.20600000000002</v>
      </c>
      <c r="BA183" s="22">
        <v>-1.75873E-2</v>
      </c>
      <c r="BB183" s="22">
        <v>173</v>
      </c>
      <c r="BC183" s="22">
        <v>0.77026399999999995</v>
      </c>
      <c r="BD183">
        <f t="shared" si="34"/>
        <v>17.587299999999999</v>
      </c>
      <c r="BE183">
        <f t="shared" si="35"/>
        <v>13.562956426699998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73.051100000000005</v>
      </c>
      <c r="I184" s="22">
        <v>5.8557100000000001E-2</v>
      </c>
      <c r="J184" s="22">
        <v>174</v>
      </c>
      <c r="K184" s="22">
        <v>8.3160399999999995E-2</v>
      </c>
      <c r="L184">
        <f t="shared" si="24"/>
        <v>-58.557099999999998</v>
      </c>
      <c r="M184">
        <f t="shared" si="25"/>
        <v>-55.853343021699999</v>
      </c>
      <c r="N184" s="9"/>
      <c r="O184" s="22">
        <v>0.77621499999999999</v>
      </c>
      <c r="P184" s="22">
        <v>145.27000000000001</v>
      </c>
      <c r="Q184" s="22">
        <v>-1.7761200000000001E-2</v>
      </c>
      <c r="R184" s="22">
        <v>174</v>
      </c>
      <c r="S184" s="22">
        <v>0.77545200000000003</v>
      </c>
      <c r="T184">
        <f t="shared" si="26"/>
        <v>17.761200000000002</v>
      </c>
      <c r="U184">
        <f t="shared" si="27"/>
        <v>13.786509858000002</v>
      </c>
      <c r="X184" s="9"/>
      <c r="Y184" s="22">
        <v>0.95382699999999998</v>
      </c>
      <c r="Z184" s="22">
        <v>204.05699999999999</v>
      </c>
      <c r="AA184" s="22">
        <v>-1.7529300000000001E-2</v>
      </c>
      <c r="AB184" s="22">
        <v>174</v>
      </c>
      <c r="AC184" s="22">
        <v>0.95306400000000002</v>
      </c>
      <c r="AD184">
        <f t="shared" si="28"/>
        <v>17.529300000000003</v>
      </c>
      <c r="AE184">
        <f t="shared" si="29"/>
        <v>16.719919631100002</v>
      </c>
      <c r="AF184" s="9"/>
      <c r="AG184" s="22">
        <v>0.77621499999999999</v>
      </c>
      <c r="AH184" s="22">
        <v>296.07600000000002</v>
      </c>
      <c r="AI184" s="22">
        <v>-1.7617799999999999E-2</v>
      </c>
      <c r="AJ184" s="22">
        <v>174</v>
      </c>
      <c r="AK184" s="22">
        <v>0.774841</v>
      </c>
      <c r="AL184">
        <f t="shared" si="30"/>
        <v>17.617799999999999</v>
      </c>
      <c r="AM184">
        <f t="shared" si="31"/>
        <v>13.675200626999999</v>
      </c>
      <c r="AP184" s="9"/>
      <c r="AQ184" s="22">
        <v>0.95382699999999998</v>
      </c>
      <c r="AR184" s="22">
        <v>392.03800000000001</v>
      </c>
      <c r="AS184" s="22">
        <v>-1.7446900000000001E-2</v>
      </c>
      <c r="AT184" s="22">
        <v>174</v>
      </c>
      <c r="AU184" s="22">
        <v>0.95306400000000002</v>
      </c>
      <c r="AV184">
        <f t="shared" si="32"/>
        <v>17.446900000000003</v>
      </c>
      <c r="AW184">
        <f t="shared" si="33"/>
        <v>16.641324286300001</v>
      </c>
      <c r="AX184" s="9"/>
      <c r="AY184" s="22">
        <v>0.77621499999999999</v>
      </c>
      <c r="AZ184" s="22">
        <v>486.30700000000002</v>
      </c>
      <c r="BA184" s="22">
        <v>-1.7596400000000002E-2</v>
      </c>
      <c r="BB184" s="22">
        <v>174</v>
      </c>
      <c r="BC184" s="22">
        <v>0.775146</v>
      </c>
      <c r="BD184">
        <f t="shared" si="34"/>
        <v>17.596400000000003</v>
      </c>
      <c r="BE184">
        <f t="shared" si="35"/>
        <v>13.658589626000001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73.151799999999994</v>
      </c>
      <c r="I185" s="22">
        <v>5.85754E-2</v>
      </c>
      <c r="J185" s="22">
        <v>175</v>
      </c>
      <c r="K185" s="22">
        <v>8.3038299999999995E-2</v>
      </c>
      <c r="L185">
        <f t="shared" si="24"/>
        <v>-58.575400000000002</v>
      </c>
      <c r="M185">
        <f t="shared" si="25"/>
        <v>-55.5758709168</v>
      </c>
      <c r="N185" s="9"/>
      <c r="O185" s="22">
        <v>0.78125</v>
      </c>
      <c r="P185" s="22">
        <v>145.37100000000001</v>
      </c>
      <c r="Q185" s="22">
        <v>-1.7758199999999998E-2</v>
      </c>
      <c r="R185" s="22">
        <v>175</v>
      </c>
      <c r="S185" s="22">
        <v>0.78033399999999997</v>
      </c>
      <c r="T185">
        <f t="shared" si="26"/>
        <v>17.758199999999999</v>
      </c>
      <c r="U185">
        <f t="shared" si="27"/>
        <v>13.87359375</v>
      </c>
      <c r="X185" s="9"/>
      <c r="Y185" s="22">
        <v>0.94879199999999997</v>
      </c>
      <c r="Z185" s="22">
        <v>204.15799999999999</v>
      </c>
      <c r="AA185" s="22">
        <v>-1.7532300000000001E-2</v>
      </c>
      <c r="AB185" s="22">
        <v>175</v>
      </c>
      <c r="AC185" s="22">
        <v>0.94848600000000005</v>
      </c>
      <c r="AD185">
        <f t="shared" si="28"/>
        <v>17.532299999999999</v>
      </c>
      <c r="AE185">
        <f t="shared" si="29"/>
        <v>16.6345059816</v>
      </c>
      <c r="AF185" s="9"/>
      <c r="AG185" s="22">
        <v>0.78125</v>
      </c>
      <c r="AH185" s="22">
        <v>296.17599999999999</v>
      </c>
      <c r="AI185" s="22">
        <v>-1.7611700000000001E-2</v>
      </c>
      <c r="AJ185" s="22">
        <v>175</v>
      </c>
      <c r="AK185" s="22">
        <v>0.78064</v>
      </c>
      <c r="AL185">
        <f t="shared" si="30"/>
        <v>17.611700000000003</v>
      </c>
      <c r="AM185">
        <f t="shared" si="31"/>
        <v>13.759140625000002</v>
      </c>
      <c r="AP185" s="9"/>
      <c r="AQ185" s="22">
        <v>0.94879199999999997</v>
      </c>
      <c r="AR185" s="22">
        <v>392.13900000000001</v>
      </c>
      <c r="AS185" s="22">
        <v>-1.7443799999999999E-2</v>
      </c>
      <c r="AT185" s="22">
        <v>175</v>
      </c>
      <c r="AU185" s="22">
        <v>0.94848600000000005</v>
      </c>
      <c r="AV185">
        <f t="shared" si="32"/>
        <v>17.4438</v>
      </c>
      <c r="AW185">
        <f t="shared" si="33"/>
        <v>16.550537889599997</v>
      </c>
      <c r="AX185" s="9"/>
      <c r="AY185" s="22">
        <v>0.78125</v>
      </c>
      <c r="AZ185" s="22">
        <v>486.40800000000002</v>
      </c>
      <c r="BA185" s="22">
        <v>-1.75903E-2</v>
      </c>
      <c r="BB185" s="22">
        <v>175</v>
      </c>
      <c r="BC185" s="22">
        <v>0.78033399999999997</v>
      </c>
      <c r="BD185">
        <f t="shared" si="34"/>
        <v>17.590299999999999</v>
      </c>
      <c r="BE185">
        <f t="shared" si="35"/>
        <v>13.742421875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73.252499999999998</v>
      </c>
      <c r="I186" s="22">
        <v>5.8581500000000002E-2</v>
      </c>
      <c r="J186" s="22">
        <v>176</v>
      </c>
      <c r="K186" s="22">
        <v>8.3099400000000004E-2</v>
      </c>
      <c r="L186">
        <f t="shared" si="24"/>
        <v>-58.581499999999998</v>
      </c>
      <c r="M186">
        <f t="shared" si="25"/>
        <v>-55.286642114000003</v>
      </c>
      <c r="N186" s="9"/>
      <c r="O186" s="22">
        <v>0.78628500000000001</v>
      </c>
      <c r="P186" s="22">
        <v>145.47200000000001</v>
      </c>
      <c r="Q186" s="22">
        <v>-1.7755099999999999E-2</v>
      </c>
      <c r="R186" s="22">
        <v>176</v>
      </c>
      <c r="S186" s="22">
        <v>0.78582799999999997</v>
      </c>
      <c r="T186">
        <f t="shared" si="26"/>
        <v>17.755099999999999</v>
      </c>
      <c r="U186">
        <f t="shared" si="27"/>
        <v>13.960568803499999</v>
      </c>
      <c r="X186" s="9"/>
      <c r="Y186" s="22">
        <v>0.94375600000000004</v>
      </c>
      <c r="Z186" s="22">
        <v>204.25899999999999</v>
      </c>
      <c r="AA186" s="22">
        <v>-1.7532300000000001E-2</v>
      </c>
      <c r="AB186" s="22">
        <v>176</v>
      </c>
      <c r="AC186" s="22">
        <v>0.94299299999999997</v>
      </c>
      <c r="AD186">
        <f t="shared" si="28"/>
        <v>17.532299999999999</v>
      </c>
      <c r="AE186">
        <f t="shared" si="29"/>
        <v>16.5462133188</v>
      </c>
      <c r="AF186" s="9"/>
      <c r="AG186" s="22">
        <v>0.78628500000000001</v>
      </c>
      <c r="AH186" s="22">
        <v>296.27699999999999</v>
      </c>
      <c r="AI186" s="22">
        <v>-1.7620799999999999E-2</v>
      </c>
      <c r="AJ186" s="22">
        <v>176</v>
      </c>
      <c r="AK186" s="22">
        <v>0.78613299999999997</v>
      </c>
      <c r="AL186">
        <f t="shared" si="30"/>
        <v>17.620799999999999</v>
      </c>
      <c r="AM186">
        <f t="shared" si="31"/>
        <v>13.854970728</v>
      </c>
      <c r="AP186" s="9"/>
      <c r="AQ186" s="22">
        <v>0.94375600000000004</v>
      </c>
      <c r="AR186" s="22">
        <v>392.24</v>
      </c>
      <c r="AS186" s="22">
        <v>-1.7443799999999999E-2</v>
      </c>
      <c r="AT186" s="22">
        <v>176</v>
      </c>
      <c r="AU186" s="22">
        <v>0.94268799999999997</v>
      </c>
      <c r="AV186">
        <f t="shared" si="32"/>
        <v>17.4438</v>
      </c>
      <c r="AW186">
        <f t="shared" si="33"/>
        <v>16.462690912799999</v>
      </c>
      <c r="AX186" s="9"/>
      <c r="AY186" s="22">
        <v>0.78628500000000001</v>
      </c>
      <c r="AZ186" s="22">
        <v>486.50799999999998</v>
      </c>
      <c r="BA186" s="22">
        <v>-1.7581200000000002E-2</v>
      </c>
      <c r="BB186" s="22">
        <v>176</v>
      </c>
      <c r="BC186" s="22">
        <v>0.78552200000000005</v>
      </c>
      <c r="BD186">
        <f t="shared" si="34"/>
        <v>17.581200000000003</v>
      </c>
      <c r="BE186">
        <f t="shared" si="35"/>
        <v>13.823833842000003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73.353200000000001</v>
      </c>
      <c r="I187" s="22">
        <v>5.8572399999999997E-2</v>
      </c>
      <c r="J187" s="22">
        <v>177</v>
      </c>
      <c r="K187" s="22">
        <v>8.3007800000000007E-2</v>
      </c>
      <c r="L187">
        <f t="shared" si="24"/>
        <v>-58.572399999999995</v>
      </c>
      <c r="M187">
        <f t="shared" si="25"/>
        <v>-54.9831419004</v>
      </c>
      <c r="N187" s="9"/>
      <c r="O187" s="22">
        <v>0.79132100000000005</v>
      </c>
      <c r="P187" s="22">
        <v>145.572</v>
      </c>
      <c r="Q187" s="22">
        <v>-1.7761200000000001E-2</v>
      </c>
      <c r="R187" s="22">
        <v>177</v>
      </c>
      <c r="S187" s="22">
        <v>0.79101600000000005</v>
      </c>
      <c r="T187">
        <f t="shared" si="26"/>
        <v>17.761200000000002</v>
      </c>
      <c r="U187">
        <f t="shared" si="27"/>
        <v>14.054810545200002</v>
      </c>
      <c r="X187" s="9"/>
      <c r="Y187" s="22">
        <v>0.93872100000000003</v>
      </c>
      <c r="Z187" s="22">
        <v>204.35900000000001</v>
      </c>
      <c r="AA187" s="22">
        <v>-1.75354E-2</v>
      </c>
      <c r="AB187" s="22">
        <v>177</v>
      </c>
      <c r="AC187" s="22">
        <v>0.937805</v>
      </c>
      <c r="AD187">
        <f t="shared" si="28"/>
        <v>17.535399999999999</v>
      </c>
      <c r="AE187">
        <f t="shared" si="29"/>
        <v>16.460848223399999</v>
      </c>
      <c r="AF187" s="9"/>
      <c r="AG187" s="22">
        <v>0.79132100000000005</v>
      </c>
      <c r="AH187" s="22">
        <v>296.37799999999999</v>
      </c>
      <c r="AI187" s="22">
        <v>-1.7605599999999999E-2</v>
      </c>
      <c r="AJ187" s="22">
        <v>177</v>
      </c>
      <c r="AK187" s="22">
        <v>0.79071000000000002</v>
      </c>
      <c r="AL187">
        <f t="shared" si="30"/>
        <v>17.605599999999999</v>
      </c>
      <c r="AM187">
        <f t="shared" si="31"/>
        <v>13.931680997600001</v>
      </c>
      <c r="AP187" s="9"/>
      <c r="AQ187" s="22">
        <v>0.93872100000000003</v>
      </c>
      <c r="AR187" s="22">
        <v>392.34</v>
      </c>
      <c r="AS187" s="22">
        <v>-1.7462200000000001E-2</v>
      </c>
      <c r="AT187" s="22">
        <v>177</v>
      </c>
      <c r="AU187" s="22">
        <v>0.937805</v>
      </c>
      <c r="AV187">
        <f t="shared" si="32"/>
        <v>17.462199999999999</v>
      </c>
      <c r="AW187">
        <f t="shared" si="33"/>
        <v>16.3921338462</v>
      </c>
      <c r="AX187" s="9"/>
      <c r="AY187" s="22">
        <v>0.79132100000000005</v>
      </c>
      <c r="AZ187" s="22">
        <v>486.60899999999998</v>
      </c>
      <c r="BA187" s="22">
        <v>-1.75751E-2</v>
      </c>
      <c r="BB187" s="22">
        <v>177</v>
      </c>
      <c r="BC187" s="22">
        <v>0.78979500000000002</v>
      </c>
      <c r="BD187">
        <f t="shared" si="34"/>
        <v>17.575099999999999</v>
      </c>
      <c r="BE187">
        <f t="shared" si="35"/>
        <v>13.907545707100001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73.453900000000004</v>
      </c>
      <c r="I188" s="22">
        <v>5.85602E-2</v>
      </c>
      <c r="J188" s="22">
        <v>178</v>
      </c>
      <c r="K188" s="22">
        <v>8.2916299999999998E-2</v>
      </c>
      <c r="L188">
        <f t="shared" si="24"/>
        <v>-58.560200000000002</v>
      </c>
      <c r="M188">
        <f t="shared" si="25"/>
        <v>-54.676780337000004</v>
      </c>
      <c r="N188" s="9"/>
      <c r="O188" s="22">
        <v>0.79635599999999995</v>
      </c>
      <c r="P188" s="22">
        <v>145.673</v>
      </c>
      <c r="Q188" s="22">
        <v>-1.77368E-2</v>
      </c>
      <c r="R188" s="22">
        <v>178</v>
      </c>
      <c r="S188" s="22">
        <v>0.81512499999999999</v>
      </c>
      <c r="T188">
        <f t="shared" si="26"/>
        <v>17.736799999999999</v>
      </c>
      <c r="U188">
        <f t="shared" si="27"/>
        <v>14.124807100799998</v>
      </c>
      <c r="X188" s="9"/>
      <c r="Y188" s="22">
        <v>0.93368499999999999</v>
      </c>
      <c r="Z188" s="22">
        <v>204.46</v>
      </c>
      <c r="AA188" s="22">
        <v>-1.75476E-2</v>
      </c>
      <c r="AB188" s="22">
        <v>178</v>
      </c>
      <c r="AC188" s="22">
        <v>0.93231200000000003</v>
      </c>
      <c r="AD188">
        <f t="shared" si="28"/>
        <v>17.547599999999999</v>
      </c>
      <c r="AE188">
        <f t="shared" si="29"/>
        <v>16.383930906</v>
      </c>
      <c r="AF188" s="9"/>
      <c r="AG188" s="22">
        <v>0.79635599999999995</v>
      </c>
      <c r="AH188" s="22">
        <v>296.47899999999998</v>
      </c>
      <c r="AI188" s="22">
        <v>-1.7608599999999999E-2</v>
      </c>
      <c r="AJ188" s="22">
        <v>178</v>
      </c>
      <c r="AK188" s="22">
        <v>0.79559299999999999</v>
      </c>
      <c r="AL188">
        <f t="shared" si="30"/>
        <v>17.608599999999999</v>
      </c>
      <c r="AM188">
        <f t="shared" si="31"/>
        <v>14.022714261599999</v>
      </c>
      <c r="AP188" s="9"/>
      <c r="AQ188" s="22">
        <v>0.93368499999999999</v>
      </c>
      <c r="AR188" s="22">
        <v>392.44099999999997</v>
      </c>
      <c r="AS188" s="22">
        <v>-1.7462200000000001E-2</v>
      </c>
      <c r="AT188" s="22">
        <v>178</v>
      </c>
      <c r="AU188" s="22">
        <v>0.93322799999999995</v>
      </c>
      <c r="AV188">
        <f t="shared" si="32"/>
        <v>17.462199999999999</v>
      </c>
      <c r="AW188">
        <f t="shared" si="33"/>
        <v>16.304194206999998</v>
      </c>
      <c r="AX188" s="9"/>
      <c r="AY188" s="22">
        <v>0.79635599999999995</v>
      </c>
      <c r="AZ188" s="22">
        <v>486.71</v>
      </c>
      <c r="BA188" s="22">
        <v>-1.75873E-2</v>
      </c>
      <c r="BB188" s="22">
        <v>178</v>
      </c>
      <c r="BC188" s="22">
        <v>0.79528799999999999</v>
      </c>
      <c r="BD188">
        <f t="shared" si="34"/>
        <v>17.587299999999999</v>
      </c>
      <c r="BE188">
        <f t="shared" si="35"/>
        <v>14.005751878799998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73.554599999999994</v>
      </c>
      <c r="I189" s="22">
        <v>5.8523600000000002E-2</v>
      </c>
      <c r="J189" s="22">
        <v>179</v>
      </c>
      <c r="K189" s="22">
        <v>8.2885700000000007E-2</v>
      </c>
      <c r="L189">
        <f t="shared" si="24"/>
        <v>-58.523600000000002</v>
      </c>
      <c r="M189">
        <f t="shared" si="25"/>
        <v>-54.347941140000003</v>
      </c>
      <c r="N189" s="9"/>
      <c r="O189" s="22">
        <v>0.80139199999999999</v>
      </c>
      <c r="P189" s="22">
        <v>145.774</v>
      </c>
      <c r="Q189" s="22">
        <v>-1.77124E-2</v>
      </c>
      <c r="R189" s="22">
        <v>179</v>
      </c>
      <c r="S189" s="22">
        <v>0.80047599999999997</v>
      </c>
      <c r="T189">
        <f t="shared" si="26"/>
        <v>17.712399999999999</v>
      </c>
      <c r="U189">
        <f t="shared" si="27"/>
        <v>14.194575660799998</v>
      </c>
      <c r="X189" s="9"/>
      <c r="Y189" s="22">
        <v>0.92864999999999998</v>
      </c>
      <c r="Z189" s="22">
        <v>204.56100000000001</v>
      </c>
      <c r="AA189" s="22">
        <v>-1.75598E-2</v>
      </c>
      <c r="AB189" s="22">
        <v>179</v>
      </c>
      <c r="AC189" s="22">
        <v>0.92803999999999998</v>
      </c>
      <c r="AD189">
        <f t="shared" si="28"/>
        <v>17.559799999999999</v>
      </c>
      <c r="AE189">
        <f t="shared" si="29"/>
        <v>16.306908269999997</v>
      </c>
      <c r="AF189" s="9"/>
      <c r="AG189" s="22">
        <v>0.80139199999999999</v>
      </c>
      <c r="AH189" s="22">
        <v>296.57900000000001</v>
      </c>
      <c r="AI189" s="22">
        <v>-1.7617799999999999E-2</v>
      </c>
      <c r="AJ189" s="22">
        <v>179</v>
      </c>
      <c r="AK189" s="22">
        <v>0.80047599999999997</v>
      </c>
      <c r="AL189">
        <f t="shared" si="30"/>
        <v>17.617799999999999</v>
      </c>
      <c r="AM189">
        <f t="shared" si="31"/>
        <v>14.118763977599999</v>
      </c>
      <c r="AP189" s="9"/>
      <c r="AQ189" s="22">
        <v>0.92864999999999998</v>
      </c>
      <c r="AR189" s="22">
        <v>392.54199999999997</v>
      </c>
      <c r="AS189" s="22">
        <v>-1.7456099999999999E-2</v>
      </c>
      <c r="AT189" s="22">
        <v>179</v>
      </c>
      <c r="AU189" s="22">
        <v>0.92742899999999995</v>
      </c>
      <c r="AV189">
        <f t="shared" si="32"/>
        <v>17.456099999999999</v>
      </c>
      <c r="AW189">
        <f t="shared" si="33"/>
        <v>16.210607265</v>
      </c>
      <c r="AX189" s="9"/>
      <c r="AY189" s="22">
        <v>0.80139199999999999</v>
      </c>
      <c r="AZ189" s="22">
        <v>486.81</v>
      </c>
      <c r="BA189" s="22">
        <v>-1.7578099999999999E-2</v>
      </c>
      <c r="BB189" s="22">
        <v>179</v>
      </c>
      <c r="BC189" s="22">
        <v>0.80108599999999996</v>
      </c>
      <c r="BD189">
        <f t="shared" si="34"/>
        <v>17.578099999999999</v>
      </c>
      <c r="BE189">
        <f t="shared" si="35"/>
        <v>14.086948715199998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73.655299999999997</v>
      </c>
      <c r="I190" s="22">
        <v>5.8544899999999997E-2</v>
      </c>
      <c r="J190" s="22">
        <v>180</v>
      </c>
      <c r="K190" s="22">
        <v>8.2916299999999998E-2</v>
      </c>
      <c r="L190">
        <f t="shared" si="24"/>
        <v>-58.544899999999998</v>
      </c>
      <c r="M190">
        <f t="shared" si="25"/>
        <v>-54.072947813499994</v>
      </c>
      <c r="N190" s="9"/>
      <c r="O190" s="22">
        <v>0.806427</v>
      </c>
      <c r="P190" s="22">
        <v>145.874</v>
      </c>
      <c r="Q190" s="22">
        <v>-1.7715499999999999E-2</v>
      </c>
      <c r="R190" s="22">
        <v>180</v>
      </c>
      <c r="S190" s="22">
        <v>0.80566400000000005</v>
      </c>
      <c r="T190">
        <f t="shared" si="26"/>
        <v>17.715499999999999</v>
      </c>
      <c r="U190">
        <f t="shared" si="27"/>
        <v>14.286257518499999</v>
      </c>
      <c r="X190" s="9"/>
      <c r="Y190" s="22">
        <v>0.92361499999999996</v>
      </c>
      <c r="Z190" s="22">
        <v>204.661</v>
      </c>
      <c r="AA190" s="22">
        <v>-1.7550699999999999E-2</v>
      </c>
      <c r="AB190" s="22">
        <v>180</v>
      </c>
      <c r="AC190" s="22">
        <v>0.92224099999999998</v>
      </c>
      <c r="AD190">
        <f t="shared" si="28"/>
        <v>17.550699999999999</v>
      </c>
      <c r="AE190">
        <f t="shared" si="29"/>
        <v>16.210089780499999</v>
      </c>
      <c r="AF190" s="9"/>
      <c r="AG190" s="22">
        <v>0.806427</v>
      </c>
      <c r="AH190" s="22">
        <v>296.68</v>
      </c>
      <c r="AI190" s="22">
        <v>-1.7611700000000001E-2</v>
      </c>
      <c r="AJ190" s="22">
        <v>180</v>
      </c>
      <c r="AK190" s="22">
        <v>0.80566400000000005</v>
      </c>
      <c r="AL190">
        <f t="shared" si="30"/>
        <v>17.611700000000003</v>
      </c>
      <c r="AM190">
        <f t="shared" si="31"/>
        <v>14.202550395900003</v>
      </c>
      <c r="AP190" s="9"/>
      <c r="AQ190" s="22">
        <v>0.92361499999999996</v>
      </c>
      <c r="AR190" s="22">
        <v>392.64299999999997</v>
      </c>
      <c r="AS190" s="22">
        <v>-1.74652E-2</v>
      </c>
      <c r="AT190" s="22">
        <v>180</v>
      </c>
      <c r="AU190" s="22">
        <v>0.92315700000000001</v>
      </c>
      <c r="AV190">
        <f t="shared" si="32"/>
        <v>17.465199999999999</v>
      </c>
      <c r="AW190">
        <f t="shared" si="33"/>
        <v>16.131120698</v>
      </c>
      <c r="AX190" s="9"/>
      <c r="AY190" s="22">
        <v>0.806427</v>
      </c>
      <c r="AZ190" s="22">
        <v>486.911</v>
      </c>
      <c r="BA190" s="22">
        <v>-1.7562899999999999E-2</v>
      </c>
      <c r="BB190" s="22">
        <v>180</v>
      </c>
      <c r="BC190" s="22">
        <v>0.80566400000000005</v>
      </c>
      <c r="BD190">
        <f t="shared" si="34"/>
        <v>17.562899999999999</v>
      </c>
      <c r="BE190">
        <f t="shared" si="35"/>
        <v>14.1631967583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73.756</v>
      </c>
      <c r="I191" s="22">
        <v>5.8544899999999997E-2</v>
      </c>
      <c r="J191" s="22">
        <v>181</v>
      </c>
      <c r="K191" s="22">
        <v>8.2916299999999998E-2</v>
      </c>
      <c r="L191">
        <f t="shared" si="24"/>
        <v>-58.544899999999998</v>
      </c>
      <c r="M191">
        <f t="shared" si="25"/>
        <v>-53.778115697099999</v>
      </c>
      <c r="N191" s="9"/>
      <c r="O191" s="22">
        <v>0.81146200000000002</v>
      </c>
      <c r="P191" s="22">
        <v>145.97499999999999</v>
      </c>
      <c r="Q191" s="22">
        <v>-1.7715499999999999E-2</v>
      </c>
      <c r="R191" s="22">
        <v>181</v>
      </c>
      <c r="S191" s="22">
        <v>0.81054700000000002</v>
      </c>
      <c r="T191">
        <f t="shared" si="26"/>
        <v>17.715499999999999</v>
      </c>
      <c r="U191">
        <f t="shared" si="27"/>
        <v>14.375455060999998</v>
      </c>
      <c r="X191" s="9"/>
      <c r="Y191" s="22">
        <v>0.91857900000000003</v>
      </c>
      <c r="Z191" s="22">
        <v>204.762</v>
      </c>
      <c r="AA191" s="22">
        <v>-1.7550699999999999E-2</v>
      </c>
      <c r="AB191" s="22">
        <v>181</v>
      </c>
      <c r="AC191" s="22">
        <v>0.91735800000000001</v>
      </c>
      <c r="AD191">
        <f t="shared" si="28"/>
        <v>17.550699999999999</v>
      </c>
      <c r="AE191">
        <f t="shared" si="29"/>
        <v>16.121704455300002</v>
      </c>
      <c r="AF191" s="9"/>
      <c r="AG191" s="22">
        <v>0.81146200000000002</v>
      </c>
      <c r="AH191" s="22">
        <v>296.78100000000001</v>
      </c>
      <c r="AI191" s="22">
        <v>-1.7605599999999999E-2</v>
      </c>
      <c r="AJ191" s="22">
        <v>181</v>
      </c>
      <c r="AK191" s="22">
        <v>0.81115700000000002</v>
      </c>
      <c r="AL191">
        <f t="shared" si="30"/>
        <v>17.605599999999999</v>
      </c>
      <c r="AM191">
        <f t="shared" si="31"/>
        <v>14.2862753872</v>
      </c>
      <c r="AP191" s="9"/>
      <c r="AQ191" s="22">
        <v>0.91857900000000003</v>
      </c>
      <c r="AR191" s="22">
        <v>392.74299999999999</v>
      </c>
      <c r="AS191" s="22">
        <v>-1.7471299999999999E-2</v>
      </c>
      <c r="AT191" s="22">
        <v>181</v>
      </c>
      <c r="AU191" s="22">
        <v>0.91766400000000004</v>
      </c>
      <c r="AV191">
        <f t="shared" si="32"/>
        <v>17.471299999999999</v>
      </c>
      <c r="AW191">
        <f t="shared" si="33"/>
        <v>16.0487692827</v>
      </c>
      <c r="AX191" s="9"/>
      <c r="AY191" s="22">
        <v>0.81146200000000002</v>
      </c>
      <c r="AZ191" s="22">
        <v>487.012</v>
      </c>
      <c r="BA191" s="22">
        <v>-1.7562899999999999E-2</v>
      </c>
      <c r="BB191" s="22">
        <v>181</v>
      </c>
      <c r="BC191" s="22">
        <v>0.81085200000000002</v>
      </c>
      <c r="BD191">
        <f t="shared" si="34"/>
        <v>17.562899999999999</v>
      </c>
      <c r="BE191">
        <f t="shared" si="35"/>
        <v>14.2516259598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73.856700000000004</v>
      </c>
      <c r="I192" s="22">
        <v>5.8483899999999998E-2</v>
      </c>
      <c r="J192" s="22">
        <v>182</v>
      </c>
      <c r="K192" s="22">
        <v>8.2977300000000004E-2</v>
      </c>
      <c r="L192">
        <f t="shared" si="24"/>
        <v>-58.483899999999998</v>
      </c>
      <c r="M192">
        <f t="shared" si="25"/>
        <v>-53.427615941600003</v>
      </c>
      <c r="N192" s="9"/>
      <c r="O192" s="22">
        <v>0.81649799999999995</v>
      </c>
      <c r="P192" s="22">
        <v>146.07599999999999</v>
      </c>
      <c r="Q192" s="22">
        <v>-1.7706300000000001E-2</v>
      </c>
      <c r="R192" s="22">
        <v>182</v>
      </c>
      <c r="S192" s="22">
        <v>0.81512499999999999</v>
      </c>
      <c r="T192">
        <f t="shared" si="26"/>
        <v>17.706300000000002</v>
      </c>
      <c r="U192">
        <f t="shared" si="27"/>
        <v>14.457158537400002</v>
      </c>
      <c r="X192" s="9"/>
      <c r="Y192" s="22">
        <v>0.91354400000000002</v>
      </c>
      <c r="Z192" s="22">
        <v>204.863</v>
      </c>
      <c r="AA192" s="22">
        <v>-1.75476E-2</v>
      </c>
      <c r="AB192" s="22">
        <v>182</v>
      </c>
      <c r="AC192" s="22">
        <v>0.91339099999999995</v>
      </c>
      <c r="AD192">
        <f t="shared" si="28"/>
        <v>17.547599999999999</v>
      </c>
      <c r="AE192">
        <f t="shared" si="29"/>
        <v>16.030504694400001</v>
      </c>
      <c r="AF192" s="9"/>
      <c r="AG192" s="22">
        <v>0.81649799999999995</v>
      </c>
      <c r="AH192" s="22">
        <v>296.88099999999997</v>
      </c>
      <c r="AI192" s="22">
        <v>-1.76025E-2</v>
      </c>
      <c r="AJ192" s="22">
        <v>182</v>
      </c>
      <c r="AK192" s="22">
        <v>0.81603999999999999</v>
      </c>
      <c r="AL192">
        <f t="shared" si="30"/>
        <v>17.602499999999999</v>
      </c>
      <c r="AM192">
        <f t="shared" si="31"/>
        <v>14.372406044999998</v>
      </c>
      <c r="AP192" s="9"/>
      <c r="AQ192" s="22">
        <v>0.91354400000000002</v>
      </c>
      <c r="AR192" s="22">
        <v>392.84399999999999</v>
      </c>
      <c r="AS192" s="22">
        <v>-1.7471299999999999E-2</v>
      </c>
      <c r="AT192" s="22">
        <v>182</v>
      </c>
      <c r="AU192" s="22">
        <v>0.91217000000000004</v>
      </c>
      <c r="AV192">
        <f t="shared" si="32"/>
        <v>17.471299999999999</v>
      </c>
      <c r="AW192">
        <f t="shared" si="33"/>
        <v>15.960801287200001</v>
      </c>
      <c r="AX192" s="9"/>
      <c r="AY192" s="22">
        <v>0.81649799999999995</v>
      </c>
      <c r="AZ192" s="22">
        <v>487.113</v>
      </c>
      <c r="BA192" s="22">
        <v>-1.7565899999999999E-2</v>
      </c>
      <c r="BB192" s="22">
        <v>182</v>
      </c>
      <c r="BC192" s="22">
        <v>0.81573499999999999</v>
      </c>
      <c r="BD192">
        <f t="shared" si="34"/>
        <v>17.565899999999999</v>
      </c>
      <c r="BE192">
        <f t="shared" si="35"/>
        <v>14.342522218199999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73.957499999999996</v>
      </c>
      <c r="I193" s="22">
        <v>5.8486900000000001E-2</v>
      </c>
      <c r="J193" s="22">
        <v>183</v>
      </c>
      <c r="K193" s="22">
        <v>8.2946800000000001E-2</v>
      </c>
      <c r="L193">
        <f t="shared" si="24"/>
        <v>-58.486899999999999</v>
      </c>
      <c r="M193">
        <f t="shared" si="25"/>
        <v>-53.135816545200001</v>
      </c>
      <c r="N193" s="9"/>
      <c r="O193" s="22">
        <v>0.82153299999999996</v>
      </c>
      <c r="P193" s="22">
        <v>146.17699999999999</v>
      </c>
      <c r="Q193" s="22">
        <v>-1.77094E-2</v>
      </c>
      <c r="R193" s="22">
        <v>183</v>
      </c>
      <c r="S193" s="22">
        <v>0.82031299999999996</v>
      </c>
      <c r="T193">
        <f t="shared" si="26"/>
        <v>17.709399999999999</v>
      </c>
      <c r="U193">
        <f t="shared" si="27"/>
        <v>14.548856510199998</v>
      </c>
      <c r="X193" s="9"/>
      <c r="Y193" s="22">
        <v>0.90850799999999998</v>
      </c>
      <c r="Z193" s="22">
        <v>204.964</v>
      </c>
      <c r="AA193" s="22">
        <v>-1.75598E-2</v>
      </c>
      <c r="AB193" s="22">
        <v>183</v>
      </c>
      <c r="AC193" s="22">
        <v>0.90728799999999998</v>
      </c>
      <c r="AD193">
        <f t="shared" si="28"/>
        <v>17.559799999999999</v>
      </c>
      <c r="AE193">
        <f t="shared" si="29"/>
        <v>15.953218778399998</v>
      </c>
      <c r="AF193" s="9"/>
      <c r="AG193" s="22">
        <v>0.82153299999999996</v>
      </c>
      <c r="AH193" s="22">
        <v>296.98200000000003</v>
      </c>
      <c r="AI193" s="22">
        <v>-1.7596400000000002E-2</v>
      </c>
      <c r="AJ193" s="22">
        <v>183</v>
      </c>
      <c r="AK193" s="22">
        <v>0.82092299999999996</v>
      </c>
      <c r="AL193">
        <f t="shared" si="30"/>
        <v>17.596400000000003</v>
      </c>
      <c r="AM193">
        <f t="shared" si="31"/>
        <v>14.456023281200002</v>
      </c>
      <c r="AP193" s="9"/>
      <c r="AQ193" s="22">
        <v>0.90850799999999998</v>
      </c>
      <c r="AR193" s="22">
        <v>392.94499999999999</v>
      </c>
      <c r="AS193" s="22">
        <v>-1.7471299999999999E-2</v>
      </c>
      <c r="AT193" s="22">
        <v>183</v>
      </c>
      <c r="AU193" s="22">
        <v>0.90698199999999995</v>
      </c>
      <c r="AV193">
        <f t="shared" si="32"/>
        <v>17.471299999999999</v>
      </c>
      <c r="AW193">
        <f t="shared" si="33"/>
        <v>15.8728158204</v>
      </c>
      <c r="AX193" s="9"/>
      <c r="AY193" s="22">
        <v>0.82153299999999996</v>
      </c>
      <c r="AZ193" s="22">
        <v>487.21300000000002</v>
      </c>
      <c r="BA193" s="22">
        <v>-1.7565899999999999E-2</v>
      </c>
      <c r="BB193" s="22">
        <v>183</v>
      </c>
      <c r="BC193" s="22">
        <v>0.82092299999999996</v>
      </c>
      <c r="BD193">
        <f t="shared" si="34"/>
        <v>17.565899999999999</v>
      </c>
      <c r="BE193">
        <f t="shared" si="35"/>
        <v>14.430966524699999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74.058199999999999</v>
      </c>
      <c r="I194" s="22">
        <v>5.8486900000000001E-2</v>
      </c>
      <c r="J194" s="22">
        <v>184</v>
      </c>
      <c r="K194" s="22">
        <v>8.2946800000000001E-2</v>
      </c>
      <c r="L194">
        <f t="shared" si="24"/>
        <v>-58.486899999999999</v>
      </c>
      <c r="M194">
        <f t="shared" si="25"/>
        <v>-52.841335003699996</v>
      </c>
      <c r="N194" s="9"/>
      <c r="O194" s="22">
        <v>0.826569</v>
      </c>
      <c r="P194" s="22">
        <v>146.27699999999999</v>
      </c>
      <c r="Q194" s="22">
        <v>-1.7703199999999999E-2</v>
      </c>
      <c r="R194" s="22">
        <v>184</v>
      </c>
      <c r="S194" s="22">
        <v>0.82580600000000004</v>
      </c>
      <c r="T194">
        <f t="shared" si="26"/>
        <v>17.703199999999999</v>
      </c>
      <c r="U194">
        <f t="shared" si="27"/>
        <v>14.6329163208</v>
      </c>
      <c r="X194" s="9"/>
      <c r="Y194" s="22">
        <v>0.90347299999999997</v>
      </c>
      <c r="Z194" s="22">
        <v>205.06399999999999</v>
      </c>
      <c r="AA194" s="22">
        <v>-1.7556800000000001E-2</v>
      </c>
      <c r="AB194" s="22">
        <v>184</v>
      </c>
      <c r="AC194" s="22">
        <v>0.90301500000000001</v>
      </c>
      <c r="AD194">
        <f t="shared" si="28"/>
        <v>17.556800000000003</v>
      </c>
      <c r="AE194">
        <f t="shared" si="29"/>
        <v>15.862094766400002</v>
      </c>
      <c r="AF194" s="9"/>
      <c r="AG194" s="22">
        <v>0.826569</v>
      </c>
      <c r="AH194" s="22">
        <v>297.08300000000003</v>
      </c>
      <c r="AI194" s="22">
        <v>-1.75903E-2</v>
      </c>
      <c r="AJ194" s="22">
        <v>184</v>
      </c>
      <c r="AK194" s="22">
        <v>0.82550000000000001</v>
      </c>
      <c r="AL194">
        <f t="shared" si="30"/>
        <v>17.590299999999999</v>
      </c>
      <c r="AM194">
        <f t="shared" si="31"/>
        <v>14.539596680699999</v>
      </c>
      <c r="AP194" s="9"/>
      <c r="AQ194" s="22">
        <v>0.90347299999999997</v>
      </c>
      <c r="AR194" s="22">
        <v>393.04500000000002</v>
      </c>
      <c r="AS194" s="22">
        <v>-1.7477400000000001E-2</v>
      </c>
      <c r="AT194" s="22">
        <v>184</v>
      </c>
      <c r="AU194" s="22">
        <v>0.90271000000000001</v>
      </c>
      <c r="AV194">
        <f t="shared" si="32"/>
        <v>17.477399999999999</v>
      </c>
      <c r="AW194">
        <f t="shared" si="33"/>
        <v>15.7903590102</v>
      </c>
      <c r="AX194" s="9"/>
      <c r="AY194" s="22">
        <v>0.826569</v>
      </c>
      <c r="AZ194" s="22">
        <v>487.31400000000002</v>
      </c>
      <c r="BA194" s="22">
        <v>-1.7556800000000001E-2</v>
      </c>
      <c r="BB194" s="22">
        <v>184</v>
      </c>
      <c r="BC194" s="22">
        <v>0.82641600000000004</v>
      </c>
      <c r="BD194">
        <f t="shared" si="34"/>
        <v>17.556800000000003</v>
      </c>
      <c r="BE194">
        <f t="shared" si="35"/>
        <v>14.511906619200003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74.158900000000003</v>
      </c>
      <c r="I195" s="22">
        <v>5.8499099999999998E-2</v>
      </c>
      <c r="J195" s="22">
        <v>185</v>
      </c>
      <c r="K195" s="22">
        <v>8.2946800000000001E-2</v>
      </c>
      <c r="L195">
        <f t="shared" si="24"/>
        <v>-58.499099999999999</v>
      </c>
      <c r="M195">
        <f t="shared" si="25"/>
        <v>-52.557814405799995</v>
      </c>
      <c r="N195" s="9"/>
      <c r="O195" s="22">
        <v>0.83160400000000001</v>
      </c>
      <c r="P195" s="22">
        <v>146.37799999999999</v>
      </c>
      <c r="Q195" s="22">
        <v>-1.7690999999999998E-2</v>
      </c>
      <c r="R195" s="22">
        <v>185</v>
      </c>
      <c r="S195" s="22">
        <v>0.83129900000000001</v>
      </c>
      <c r="T195">
        <f t="shared" si="26"/>
        <v>17.690999999999999</v>
      </c>
      <c r="U195">
        <f t="shared" si="27"/>
        <v>14.711906363999999</v>
      </c>
      <c r="X195" s="9"/>
      <c r="Y195" s="22">
        <v>0.89843799999999996</v>
      </c>
      <c r="Z195" s="22">
        <v>205.16499999999999</v>
      </c>
      <c r="AA195" s="22">
        <v>-1.7572000000000001E-2</v>
      </c>
      <c r="AB195" s="22">
        <v>185</v>
      </c>
      <c r="AC195" s="22">
        <v>0.89782700000000004</v>
      </c>
      <c r="AD195">
        <f t="shared" si="28"/>
        <v>17.571999999999999</v>
      </c>
      <c r="AE195">
        <f t="shared" si="29"/>
        <v>15.787352535999998</v>
      </c>
      <c r="AF195" s="9"/>
      <c r="AG195" s="22">
        <v>0.83160400000000001</v>
      </c>
      <c r="AH195" s="22">
        <v>297.18299999999999</v>
      </c>
      <c r="AI195" s="22">
        <v>-1.7593399999999999E-2</v>
      </c>
      <c r="AJ195" s="22">
        <v>185</v>
      </c>
      <c r="AK195" s="22">
        <v>0.83068799999999998</v>
      </c>
      <c r="AL195">
        <f t="shared" si="30"/>
        <v>17.593399999999999</v>
      </c>
      <c r="AM195">
        <f t="shared" si="31"/>
        <v>14.6307418136</v>
      </c>
      <c r="AP195" s="9"/>
      <c r="AQ195" s="22">
        <v>0.89843799999999996</v>
      </c>
      <c r="AR195" s="22">
        <v>393.14600000000002</v>
      </c>
      <c r="AS195" s="22">
        <v>-1.7483499999999999E-2</v>
      </c>
      <c r="AT195" s="22">
        <v>185</v>
      </c>
      <c r="AU195" s="22">
        <v>0.89721700000000004</v>
      </c>
      <c r="AV195">
        <f t="shared" si="32"/>
        <v>17.483499999999999</v>
      </c>
      <c r="AW195">
        <f t="shared" si="33"/>
        <v>15.707840772999999</v>
      </c>
      <c r="AX195" s="9"/>
      <c r="AY195" s="22">
        <v>0.83160400000000001</v>
      </c>
      <c r="AZ195" s="22">
        <v>487.41500000000002</v>
      </c>
      <c r="BA195" s="22">
        <v>-1.75598E-2</v>
      </c>
      <c r="BB195" s="22">
        <v>185</v>
      </c>
      <c r="BC195" s="22">
        <v>0.83160400000000001</v>
      </c>
      <c r="BD195">
        <f t="shared" si="34"/>
        <v>17.559799999999999</v>
      </c>
      <c r="BE195">
        <f t="shared" si="35"/>
        <v>14.602799919199999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74.259600000000006</v>
      </c>
      <c r="I196" s="22">
        <v>5.8459499999999998E-2</v>
      </c>
      <c r="J196" s="22">
        <v>186</v>
      </c>
      <c r="K196" s="22">
        <v>8.3007800000000007E-2</v>
      </c>
      <c r="L196">
        <f t="shared" si="24"/>
        <v>-58.459499999999998</v>
      </c>
      <c r="M196">
        <f t="shared" si="25"/>
        <v>-52.227834219000002</v>
      </c>
      <c r="N196" s="9"/>
      <c r="O196" s="22">
        <v>0.83663900000000002</v>
      </c>
      <c r="P196" s="22">
        <v>146.47900000000001</v>
      </c>
      <c r="Q196" s="22">
        <v>-1.7694100000000001E-2</v>
      </c>
      <c r="R196" s="22">
        <v>186</v>
      </c>
      <c r="S196" s="22">
        <v>0.83557099999999995</v>
      </c>
      <c r="T196">
        <f t="shared" si="26"/>
        <v>17.694100000000002</v>
      </c>
      <c r="U196">
        <f t="shared" si="27"/>
        <v>14.803574129900003</v>
      </c>
      <c r="X196" s="9"/>
      <c r="Y196" s="22">
        <v>0.89340200000000003</v>
      </c>
      <c r="Z196" s="22">
        <v>205.26599999999999</v>
      </c>
      <c r="AA196" s="22">
        <v>-1.7572000000000001E-2</v>
      </c>
      <c r="AB196" s="22">
        <v>186</v>
      </c>
      <c r="AC196" s="22">
        <v>0.89233399999999996</v>
      </c>
      <c r="AD196">
        <f t="shared" si="28"/>
        <v>17.571999999999999</v>
      </c>
      <c r="AE196">
        <f t="shared" si="29"/>
        <v>15.698859944000001</v>
      </c>
      <c r="AF196" s="9"/>
      <c r="AG196" s="22">
        <v>0.83663900000000002</v>
      </c>
      <c r="AH196" s="22">
        <v>297.28399999999999</v>
      </c>
      <c r="AI196" s="22">
        <v>-1.7581200000000002E-2</v>
      </c>
      <c r="AJ196" s="22">
        <v>186</v>
      </c>
      <c r="AK196" s="22">
        <v>0.83618199999999998</v>
      </c>
      <c r="AL196">
        <f t="shared" si="30"/>
        <v>17.581200000000003</v>
      </c>
      <c r="AM196">
        <f t="shared" si="31"/>
        <v>14.709117586800003</v>
      </c>
      <c r="AP196" s="9"/>
      <c r="AQ196" s="22">
        <v>0.89340200000000003</v>
      </c>
      <c r="AR196" s="22">
        <v>393.24700000000001</v>
      </c>
      <c r="AS196" s="22">
        <v>-1.74805E-2</v>
      </c>
      <c r="AT196" s="22">
        <v>186</v>
      </c>
      <c r="AU196" s="22">
        <v>0.89233399999999996</v>
      </c>
      <c r="AV196">
        <f t="shared" si="32"/>
        <v>17.480499999999999</v>
      </c>
      <c r="AW196">
        <f t="shared" si="33"/>
        <v>15.617113660999999</v>
      </c>
      <c r="AX196" s="9"/>
      <c r="AY196" s="22">
        <v>0.83663900000000002</v>
      </c>
      <c r="AZ196" s="22">
        <v>487.51499999999999</v>
      </c>
      <c r="BA196" s="22">
        <v>-1.7553699999999998E-2</v>
      </c>
      <c r="BB196" s="22">
        <v>186</v>
      </c>
      <c r="BC196" s="22">
        <v>0.83679199999999998</v>
      </c>
      <c r="BD196">
        <f t="shared" si="34"/>
        <v>17.553699999999999</v>
      </c>
      <c r="BE196">
        <f t="shared" si="35"/>
        <v>14.686110014300001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74.360299999999995</v>
      </c>
      <c r="I197" s="22">
        <v>5.8429000000000002E-2</v>
      </c>
      <c r="J197" s="22">
        <v>187</v>
      </c>
      <c r="K197" s="22">
        <v>8.3038299999999995E-2</v>
      </c>
      <c r="L197">
        <f t="shared" si="24"/>
        <v>-58.429000000000002</v>
      </c>
      <c r="M197">
        <f t="shared" si="25"/>
        <v>-51.906395443000001</v>
      </c>
      <c r="N197" s="9"/>
      <c r="O197" s="22">
        <v>0.84167499999999995</v>
      </c>
      <c r="P197" s="22">
        <v>146.57900000000001</v>
      </c>
      <c r="Q197" s="22">
        <v>-1.7687999999999999E-2</v>
      </c>
      <c r="R197" s="22">
        <v>187</v>
      </c>
      <c r="S197" s="22">
        <v>0.84106400000000003</v>
      </c>
      <c r="T197">
        <f t="shared" si="26"/>
        <v>17.687999999999999</v>
      </c>
      <c r="U197">
        <f t="shared" si="27"/>
        <v>14.887547399999999</v>
      </c>
      <c r="X197" s="9"/>
      <c r="Y197" s="22">
        <v>0.88836700000000002</v>
      </c>
      <c r="Z197" s="22">
        <v>205.36600000000001</v>
      </c>
      <c r="AA197" s="22">
        <v>-1.75751E-2</v>
      </c>
      <c r="AB197" s="22">
        <v>187</v>
      </c>
      <c r="AC197" s="22">
        <v>0.88745099999999999</v>
      </c>
      <c r="AD197">
        <f t="shared" si="28"/>
        <v>17.575099999999999</v>
      </c>
      <c r="AE197">
        <f t="shared" si="29"/>
        <v>15.6131388617</v>
      </c>
      <c r="AF197" s="9"/>
      <c r="AG197" s="22">
        <v>0.84167499999999995</v>
      </c>
      <c r="AH197" s="22">
        <v>297.38499999999999</v>
      </c>
      <c r="AI197" s="22">
        <v>-1.7578099999999999E-2</v>
      </c>
      <c r="AJ197" s="22">
        <v>187</v>
      </c>
      <c r="AK197" s="22">
        <v>0.84136999999999995</v>
      </c>
      <c r="AL197">
        <f t="shared" si="30"/>
        <v>17.578099999999999</v>
      </c>
      <c r="AM197">
        <f t="shared" si="31"/>
        <v>14.795047317499998</v>
      </c>
      <c r="AP197" s="9"/>
      <c r="AQ197" s="22">
        <v>0.88836700000000002</v>
      </c>
      <c r="AR197" s="22">
        <v>393.34699999999998</v>
      </c>
      <c r="AS197" s="22">
        <v>-1.74805E-2</v>
      </c>
      <c r="AT197" s="22">
        <v>187</v>
      </c>
      <c r="AU197" s="22">
        <v>0.88745099999999999</v>
      </c>
      <c r="AV197">
        <f t="shared" si="32"/>
        <v>17.480499999999999</v>
      </c>
      <c r="AW197">
        <f t="shared" si="33"/>
        <v>15.5290993435</v>
      </c>
      <c r="AX197" s="9"/>
      <c r="AY197" s="22">
        <v>0.84167499999999995</v>
      </c>
      <c r="AZ197" s="22">
        <v>487.61599999999999</v>
      </c>
      <c r="BA197" s="22">
        <v>-1.7550699999999999E-2</v>
      </c>
      <c r="BB197" s="22">
        <v>187</v>
      </c>
      <c r="BC197" s="22">
        <v>0.84075900000000003</v>
      </c>
      <c r="BD197">
        <f t="shared" si="34"/>
        <v>17.550699999999999</v>
      </c>
      <c r="BE197">
        <f t="shared" si="35"/>
        <v>14.771985422499998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74.460999999999999</v>
      </c>
      <c r="I198" s="22">
        <v>5.8435099999999997E-2</v>
      </c>
      <c r="J198" s="22">
        <v>188</v>
      </c>
      <c r="K198" s="22">
        <v>8.3038299999999995E-2</v>
      </c>
      <c r="L198">
        <f t="shared" si="24"/>
        <v>-58.435099999999998</v>
      </c>
      <c r="M198">
        <f t="shared" si="25"/>
        <v>-51.617535318099996</v>
      </c>
      <c r="N198" s="9"/>
      <c r="O198" s="22">
        <v>0.84670999999999996</v>
      </c>
      <c r="P198" s="22">
        <v>146.68</v>
      </c>
      <c r="Q198" s="22">
        <v>-1.7687999999999999E-2</v>
      </c>
      <c r="R198" s="22">
        <v>188</v>
      </c>
      <c r="S198" s="22">
        <v>0.845642</v>
      </c>
      <c r="T198">
        <f t="shared" si="26"/>
        <v>17.687999999999999</v>
      </c>
      <c r="U198">
        <f t="shared" si="27"/>
        <v>14.976606479999999</v>
      </c>
      <c r="X198" s="9"/>
      <c r="Y198" s="22">
        <v>0.88333099999999998</v>
      </c>
      <c r="Z198" s="22">
        <v>205.46700000000001</v>
      </c>
      <c r="AA198" s="22">
        <v>-1.7569000000000001E-2</v>
      </c>
      <c r="AB198" s="22">
        <v>188</v>
      </c>
      <c r="AC198" s="22">
        <v>0.88226300000000002</v>
      </c>
      <c r="AD198">
        <f t="shared" si="28"/>
        <v>17.569000000000003</v>
      </c>
      <c r="AE198">
        <f t="shared" si="29"/>
        <v>15.519242339000002</v>
      </c>
      <c r="AF198" s="9"/>
      <c r="AG198" s="22">
        <v>0.84670999999999996</v>
      </c>
      <c r="AH198" s="22">
        <v>297.48599999999999</v>
      </c>
      <c r="AI198" s="22">
        <v>-1.7584200000000001E-2</v>
      </c>
      <c r="AJ198" s="22">
        <v>188</v>
      </c>
      <c r="AK198" s="22">
        <v>0.845947</v>
      </c>
      <c r="AL198">
        <f t="shared" si="30"/>
        <v>17.584200000000003</v>
      </c>
      <c r="AM198">
        <f t="shared" si="31"/>
        <v>14.888717982000001</v>
      </c>
      <c r="AP198" s="9"/>
      <c r="AQ198" s="22">
        <v>0.88333099999999998</v>
      </c>
      <c r="AR198" s="22">
        <v>393.44799999999998</v>
      </c>
      <c r="AS198" s="22">
        <v>-1.74927E-2</v>
      </c>
      <c r="AT198" s="22">
        <v>188</v>
      </c>
      <c r="AU198" s="22">
        <v>0.88195800000000002</v>
      </c>
      <c r="AV198">
        <f t="shared" si="32"/>
        <v>17.492699999999999</v>
      </c>
      <c r="AW198">
        <f t="shared" si="33"/>
        <v>15.451844183699999</v>
      </c>
      <c r="AX198" s="9"/>
      <c r="AY198" s="22">
        <v>0.84670999999999996</v>
      </c>
      <c r="AZ198" s="22">
        <v>487.71699999999998</v>
      </c>
      <c r="BA198" s="22">
        <v>-1.75476E-2</v>
      </c>
      <c r="BB198" s="22">
        <v>188</v>
      </c>
      <c r="BC198" s="22">
        <v>0.84472700000000001</v>
      </c>
      <c r="BD198">
        <f t="shared" si="34"/>
        <v>17.547599999999999</v>
      </c>
      <c r="BE198">
        <f t="shared" si="35"/>
        <v>14.857728395999999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74.561700000000002</v>
      </c>
      <c r="I199" s="22">
        <v>5.8435099999999997E-2</v>
      </c>
      <c r="J199" s="22">
        <v>189</v>
      </c>
      <c r="K199" s="22">
        <v>8.2977300000000004E-2</v>
      </c>
      <c r="L199">
        <f t="shared" si="24"/>
        <v>-58.435099999999998</v>
      </c>
      <c r="M199">
        <f t="shared" si="25"/>
        <v>-51.323314589599995</v>
      </c>
      <c r="N199" s="9"/>
      <c r="O199" s="22">
        <v>0.851746</v>
      </c>
      <c r="P199" s="22">
        <v>146.78100000000001</v>
      </c>
      <c r="Q199" s="22">
        <v>-1.76849E-2</v>
      </c>
      <c r="R199" s="22">
        <v>189</v>
      </c>
      <c r="S199" s="22">
        <v>0.85052499999999998</v>
      </c>
      <c r="T199">
        <f t="shared" si="26"/>
        <v>17.684899999999999</v>
      </c>
      <c r="U199">
        <f t="shared" si="27"/>
        <v>15.063042835399999</v>
      </c>
      <c r="X199" s="9"/>
      <c r="Y199" s="22">
        <v>0.87829599999999997</v>
      </c>
      <c r="Z199" s="22">
        <v>205.56800000000001</v>
      </c>
      <c r="AA199" s="22">
        <v>-1.7578099999999999E-2</v>
      </c>
      <c r="AB199" s="22">
        <v>189</v>
      </c>
      <c r="AC199" s="22">
        <v>0.87738000000000005</v>
      </c>
      <c r="AD199">
        <f t="shared" si="28"/>
        <v>17.578099999999999</v>
      </c>
      <c r="AE199">
        <f t="shared" si="29"/>
        <v>15.438774917599998</v>
      </c>
      <c r="AF199" s="9"/>
      <c r="AG199" s="22">
        <v>0.851746</v>
      </c>
      <c r="AH199" s="22">
        <v>297.58600000000001</v>
      </c>
      <c r="AI199" s="22">
        <v>-1.7572000000000001E-2</v>
      </c>
      <c r="AJ199" s="22">
        <v>189</v>
      </c>
      <c r="AK199" s="22">
        <v>0.85143999999999997</v>
      </c>
      <c r="AL199">
        <f t="shared" si="30"/>
        <v>17.571999999999999</v>
      </c>
      <c r="AM199">
        <f t="shared" si="31"/>
        <v>14.966880712</v>
      </c>
      <c r="AP199" s="9"/>
      <c r="AQ199" s="22">
        <v>0.87829599999999997</v>
      </c>
      <c r="AR199" s="22">
        <v>393.54899999999998</v>
      </c>
      <c r="AS199" s="22">
        <v>-1.7495699999999999E-2</v>
      </c>
      <c r="AT199" s="22">
        <v>189</v>
      </c>
      <c r="AU199" s="22">
        <v>0.87768599999999997</v>
      </c>
      <c r="AV199">
        <f t="shared" si="32"/>
        <v>17.495699999999999</v>
      </c>
      <c r="AW199">
        <f t="shared" si="33"/>
        <v>15.366403327199999</v>
      </c>
      <c r="AX199" s="9"/>
      <c r="AY199" s="22">
        <v>0.851746</v>
      </c>
      <c r="AZ199" s="22">
        <v>487.81700000000001</v>
      </c>
      <c r="BA199" s="22">
        <v>-1.7541500000000002E-2</v>
      </c>
      <c r="BB199" s="22">
        <v>189</v>
      </c>
      <c r="BC199" s="22">
        <v>0.85082999999999998</v>
      </c>
      <c r="BD199">
        <f t="shared" si="34"/>
        <v>17.541500000000003</v>
      </c>
      <c r="BE199">
        <f t="shared" si="35"/>
        <v>14.940902459000002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74.662400000000005</v>
      </c>
      <c r="I200" s="22">
        <v>5.8413699999999999E-2</v>
      </c>
      <c r="J200" s="22">
        <v>190</v>
      </c>
      <c r="K200" s="22">
        <v>8.3068799999999998E-2</v>
      </c>
      <c r="L200">
        <f t="shared" si="24"/>
        <v>-58.413699999999999</v>
      </c>
      <c r="M200">
        <f t="shared" si="25"/>
        <v>-51.010347662000001</v>
      </c>
      <c r="N200" s="9"/>
      <c r="O200" s="22">
        <v>0.85678100000000001</v>
      </c>
      <c r="P200" s="22">
        <v>146.88200000000001</v>
      </c>
      <c r="Q200" s="22">
        <v>-1.76819E-2</v>
      </c>
      <c r="R200" s="22">
        <v>190</v>
      </c>
      <c r="S200" s="22">
        <v>0.85601799999999995</v>
      </c>
      <c r="T200">
        <f t="shared" si="26"/>
        <v>17.681899999999999</v>
      </c>
      <c r="U200">
        <f t="shared" si="27"/>
        <v>15.149515963899999</v>
      </c>
      <c r="X200" s="9"/>
      <c r="Y200" s="22">
        <v>0.87326000000000004</v>
      </c>
      <c r="Z200" s="22">
        <v>205.66800000000001</v>
      </c>
      <c r="AA200" s="22">
        <v>-1.7584200000000001E-2</v>
      </c>
      <c r="AB200" s="22">
        <v>190</v>
      </c>
      <c r="AC200" s="22">
        <v>0.872498</v>
      </c>
      <c r="AD200">
        <f t="shared" si="28"/>
        <v>17.584200000000003</v>
      </c>
      <c r="AE200">
        <f t="shared" si="29"/>
        <v>15.355578492000003</v>
      </c>
      <c r="AF200" s="9"/>
      <c r="AG200" s="22">
        <v>0.85678100000000001</v>
      </c>
      <c r="AH200" s="22">
        <v>297.68700000000001</v>
      </c>
      <c r="AI200" s="22">
        <v>-1.7581200000000002E-2</v>
      </c>
      <c r="AJ200" s="22">
        <v>190</v>
      </c>
      <c r="AK200" s="22">
        <v>0.85540799999999995</v>
      </c>
      <c r="AL200">
        <f t="shared" si="30"/>
        <v>17.581200000000003</v>
      </c>
      <c r="AM200">
        <f t="shared" si="31"/>
        <v>15.063238117200003</v>
      </c>
      <c r="AP200" s="9"/>
      <c r="AQ200" s="22">
        <v>0.87326000000000004</v>
      </c>
      <c r="AR200" s="22">
        <v>393.65</v>
      </c>
      <c r="AS200" s="22">
        <v>-1.74927E-2</v>
      </c>
      <c r="AT200" s="22">
        <v>190</v>
      </c>
      <c r="AU200" s="22">
        <v>0.872803</v>
      </c>
      <c r="AV200">
        <f t="shared" si="32"/>
        <v>17.492699999999999</v>
      </c>
      <c r="AW200">
        <f t="shared" si="33"/>
        <v>15.275675202</v>
      </c>
      <c r="AX200" s="9"/>
      <c r="AY200" s="22">
        <v>0.85678100000000001</v>
      </c>
      <c r="AZ200" s="22">
        <v>487.91800000000001</v>
      </c>
      <c r="BA200" s="22">
        <v>-1.7538499999999999E-2</v>
      </c>
      <c r="BB200" s="22">
        <v>190</v>
      </c>
      <c r="BC200" s="22">
        <v>0.85540799999999995</v>
      </c>
      <c r="BD200">
        <f t="shared" si="34"/>
        <v>17.538499999999999</v>
      </c>
      <c r="BE200">
        <f t="shared" si="35"/>
        <v>15.026653568499999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74.763099999999994</v>
      </c>
      <c r="I201" s="22">
        <v>5.8401500000000002E-2</v>
      </c>
      <c r="J201" s="22">
        <v>191</v>
      </c>
      <c r="K201" s="22">
        <v>8.3099400000000004E-2</v>
      </c>
      <c r="L201">
        <f t="shared" si="24"/>
        <v>-58.401499999999999</v>
      </c>
      <c r="M201">
        <f t="shared" si="25"/>
        <v>-50.705642337500002</v>
      </c>
      <c r="N201" s="9"/>
      <c r="O201" s="22">
        <v>0.86181600000000003</v>
      </c>
      <c r="P201" s="22">
        <v>146.982</v>
      </c>
      <c r="Q201" s="22">
        <v>-1.7675799999999998E-2</v>
      </c>
      <c r="R201" s="22">
        <v>191</v>
      </c>
      <c r="S201" s="22">
        <v>0.86090100000000003</v>
      </c>
      <c r="T201">
        <f t="shared" si="26"/>
        <v>17.675799999999999</v>
      </c>
      <c r="U201">
        <f t="shared" si="27"/>
        <v>15.2332872528</v>
      </c>
      <c r="X201" s="9"/>
      <c r="Y201" s="22">
        <v>0.86822500000000002</v>
      </c>
      <c r="Z201" s="22">
        <v>205.76900000000001</v>
      </c>
      <c r="AA201" s="22">
        <v>-1.7578099999999999E-2</v>
      </c>
      <c r="AB201" s="22">
        <v>191</v>
      </c>
      <c r="AC201" s="22">
        <v>0.86731000000000003</v>
      </c>
      <c r="AD201">
        <f t="shared" si="28"/>
        <v>17.578099999999999</v>
      </c>
      <c r="AE201">
        <f t="shared" si="29"/>
        <v>15.261745872500001</v>
      </c>
      <c r="AF201" s="9"/>
      <c r="AG201" s="22">
        <v>0.86181600000000003</v>
      </c>
      <c r="AH201" s="22">
        <v>297.78800000000001</v>
      </c>
      <c r="AI201" s="22">
        <v>-1.7578099999999999E-2</v>
      </c>
      <c r="AJ201" s="22">
        <v>191</v>
      </c>
      <c r="AK201" s="22">
        <v>0.86029100000000003</v>
      </c>
      <c r="AL201">
        <f t="shared" si="30"/>
        <v>17.578099999999999</v>
      </c>
      <c r="AM201">
        <f t="shared" si="31"/>
        <v>15.149087829599999</v>
      </c>
      <c r="AP201" s="9"/>
      <c r="AQ201" s="22">
        <v>0.86822500000000002</v>
      </c>
      <c r="AR201" s="22">
        <v>393.75</v>
      </c>
      <c r="AS201" s="22">
        <v>-1.75049E-2</v>
      </c>
      <c r="AT201" s="22">
        <v>191</v>
      </c>
      <c r="AU201" s="22">
        <v>0.86731000000000003</v>
      </c>
      <c r="AV201">
        <f t="shared" si="32"/>
        <v>17.504899999999999</v>
      </c>
      <c r="AW201">
        <f t="shared" si="33"/>
        <v>15.1981918025</v>
      </c>
      <c r="AX201" s="9"/>
      <c r="AY201" s="22">
        <v>0.86181600000000003</v>
      </c>
      <c r="AZ201" s="22">
        <v>488.01900000000001</v>
      </c>
      <c r="BA201" s="22">
        <v>-1.75354E-2</v>
      </c>
      <c r="BB201" s="22">
        <v>191</v>
      </c>
      <c r="BC201" s="22">
        <v>0.86090100000000003</v>
      </c>
      <c r="BD201">
        <f t="shared" si="34"/>
        <v>17.535399999999999</v>
      </c>
      <c r="BE201">
        <f t="shared" si="35"/>
        <v>15.1122882864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74.863799999999998</v>
      </c>
      <c r="I202" s="22">
        <v>5.8398400000000003E-2</v>
      </c>
      <c r="J202" s="22">
        <v>192</v>
      </c>
      <c r="K202" s="22">
        <v>8.3068799999999998E-2</v>
      </c>
      <c r="L202">
        <f t="shared" si="24"/>
        <v>-58.398400000000002</v>
      </c>
      <c r="M202">
        <f t="shared" si="25"/>
        <v>-50.408914896000006</v>
      </c>
      <c r="N202" s="9"/>
      <c r="O202" s="22">
        <v>0.86685199999999996</v>
      </c>
      <c r="P202" s="22">
        <v>147.083</v>
      </c>
      <c r="Q202" s="22">
        <v>-1.76727E-2</v>
      </c>
      <c r="R202" s="22">
        <v>192</v>
      </c>
      <c r="S202" s="22">
        <v>0.865784</v>
      </c>
      <c r="T202">
        <f t="shared" si="26"/>
        <v>17.672699999999999</v>
      </c>
      <c r="U202">
        <f t="shared" si="27"/>
        <v>15.319615340399999</v>
      </c>
      <c r="X202" s="9"/>
      <c r="Y202" s="22">
        <v>0.86319000000000001</v>
      </c>
      <c r="Z202" s="22">
        <v>205.87</v>
      </c>
      <c r="AA202" s="22">
        <v>-1.7584200000000001E-2</v>
      </c>
      <c r="AB202" s="22">
        <v>192</v>
      </c>
      <c r="AC202" s="22">
        <v>0.86242700000000005</v>
      </c>
      <c r="AD202">
        <f t="shared" si="28"/>
        <v>17.584200000000003</v>
      </c>
      <c r="AE202">
        <f t="shared" si="29"/>
        <v>15.178505598000003</v>
      </c>
      <c r="AF202" s="9"/>
      <c r="AG202" s="22">
        <v>0.86685199999999996</v>
      </c>
      <c r="AH202" s="22">
        <v>297.88799999999998</v>
      </c>
      <c r="AI202" s="22">
        <v>-1.7572000000000001E-2</v>
      </c>
      <c r="AJ202" s="22">
        <v>192</v>
      </c>
      <c r="AK202" s="22">
        <v>0.866089</v>
      </c>
      <c r="AL202">
        <f t="shared" si="30"/>
        <v>17.571999999999999</v>
      </c>
      <c r="AM202">
        <f t="shared" si="31"/>
        <v>15.232323343999999</v>
      </c>
      <c r="AP202" s="9"/>
      <c r="AQ202" s="22">
        <v>0.86319000000000001</v>
      </c>
      <c r="AR202" s="22">
        <v>393.851</v>
      </c>
      <c r="AS202" s="22">
        <v>-1.7513999999999998E-2</v>
      </c>
      <c r="AT202" s="22">
        <v>192</v>
      </c>
      <c r="AU202" s="22">
        <v>0.86181600000000003</v>
      </c>
      <c r="AV202">
        <f t="shared" si="32"/>
        <v>17.513999999999999</v>
      </c>
      <c r="AW202">
        <f t="shared" si="33"/>
        <v>15.11790966</v>
      </c>
      <c r="AX202" s="9"/>
      <c r="AY202" s="22">
        <v>0.86685199999999996</v>
      </c>
      <c r="AZ202" s="22">
        <v>488.12</v>
      </c>
      <c r="BA202" s="22">
        <v>-1.7538499999999999E-2</v>
      </c>
      <c r="BB202" s="22">
        <v>192</v>
      </c>
      <c r="BC202" s="22">
        <v>0.866394</v>
      </c>
      <c r="BD202">
        <f t="shared" si="34"/>
        <v>17.538499999999999</v>
      </c>
      <c r="BE202">
        <f t="shared" si="35"/>
        <v>15.203283801999998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74.964500000000001</v>
      </c>
      <c r="I203" s="22">
        <v>5.83679E-2</v>
      </c>
      <c r="J203" s="22">
        <v>193</v>
      </c>
      <c r="K203" s="22">
        <v>8.3068799999999998E-2</v>
      </c>
      <c r="L203">
        <f t="shared" si="24"/>
        <v>-58.367899999999999</v>
      </c>
      <c r="M203">
        <f t="shared" si="25"/>
        <v>-50.0886468566</v>
      </c>
      <c r="N203" s="9"/>
      <c r="O203" s="22">
        <v>0.87188699999999997</v>
      </c>
      <c r="P203" s="22">
        <v>147.184</v>
      </c>
      <c r="Q203" s="22">
        <v>-1.76697E-2</v>
      </c>
      <c r="R203" s="22">
        <v>193</v>
      </c>
      <c r="S203" s="22">
        <v>0.87127699999999997</v>
      </c>
      <c r="T203">
        <f t="shared" si="26"/>
        <v>17.669699999999999</v>
      </c>
      <c r="U203">
        <f t="shared" si="27"/>
        <v>15.405981723899998</v>
      </c>
      <c r="X203" s="9"/>
      <c r="Y203" s="22">
        <v>0.85815399999999997</v>
      </c>
      <c r="Z203" s="22">
        <v>205.971</v>
      </c>
      <c r="AA203" s="22">
        <v>-1.75903E-2</v>
      </c>
      <c r="AB203" s="22">
        <v>193</v>
      </c>
      <c r="AC203" s="22">
        <v>0.85784899999999997</v>
      </c>
      <c r="AD203">
        <f t="shared" si="28"/>
        <v>17.590299999999999</v>
      </c>
      <c r="AE203">
        <f t="shared" si="29"/>
        <v>15.095186306199999</v>
      </c>
      <c r="AF203" s="9"/>
      <c r="AG203" s="22">
        <v>0.87188699999999997</v>
      </c>
      <c r="AH203" s="22">
        <v>297.98899999999998</v>
      </c>
      <c r="AI203" s="22">
        <v>-1.75751E-2</v>
      </c>
      <c r="AJ203" s="22">
        <v>193</v>
      </c>
      <c r="AK203" s="22">
        <v>0.87066699999999997</v>
      </c>
      <c r="AL203">
        <f t="shared" si="30"/>
        <v>17.575099999999999</v>
      </c>
      <c r="AM203">
        <f t="shared" si="31"/>
        <v>15.323501213699998</v>
      </c>
      <c r="AP203" s="9"/>
      <c r="AQ203" s="22">
        <v>0.85815399999999997</v>
      </c>
      <c r="AR203" s="22">
        <v>393.952</v>
      </c>
      <c r="AS203" s="22">
        <v>-1.75079E-2</v>
      </c>
      <c r="AT203" s="22">
        <v>193</v>
      </c>
      <c r="AU203" s="22">
        <v>0.85723899999999997</v>
      </c>
      <c r="AV203">
        <f t="shared" si="32"/>
        <v>17.507899999999999</v>
      </c>
      <c r="AW203">
        <f t="shared" si="33"/>
        <v>15.024474416599999</v>
      </c>
      <c r="AX203" s="9"/>
      <c r="AY203" s="22">
        <v>0.87188699999999997</v>
      </c>
      <c r="AZ203" s="22">
        <v>488.22</v>
      </c>
      <c r="BA203" s="22">
        <v>-1.7529300000000001E-2</v>
      </c>
      <c r="BB203" s="22">
        <v>193</v>
      </c>
      <c r="BC203" s="22">
        <v>0.87097199999999997</v>
      </c>
      <c r="BD203">
        <f t="shared" si="34"/>
        <v>17.529300000000003</v>
      </c>
      <c r="BE203">
        <f t="shared" si="35"/>
        <v>15.283568789100002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75.065200000000004</v>
      </c>
      <c r="I204" s="22">
        <v>5.8383200000000003E-2</v>
      </c>
      <c r="J204" s="22">
        <v>194</v>
      </c>
      <c r="K204" s="22">
        <v>8.3068799999999998E-2</v>
      </c>
      <c r="L204">
        <f t="shared" ref="L204:L267" si="36">-I204/$F$2*1000</f>
        <v>-58.383200000000002</v>
      </c>
      <c r="M204">
        <f t="shared" ref="M204:M267" si="37">L204*G204</f>
        <v>-49.807817200800002</v>
      </c>
      <c r="N204" s="9"/>
      <c r="O204" s="22">
        <v>0.87692300000000001</v>
      </c>
      <c r="P204" s="22">
        <v>147.28399999999999</v>
      </c>
      <c r="Q204" s="22">
        <v>-1.7666600000000001E-2</v>
      </c>
      <c r="R204" s="22">
        <v>194</v>
      </c>
      <c r="S204" s="22">
        <v>0.87585400000000002</v>
      </c>
      <c r="T204">
        <f t="shared" ref="T204:T267" si="38">-Q204/$F$2*1000</f>
        <v>17.666600000000003</v>
      </c>
      <c r="U204">
        <f t="shared" ref="U204:U267" si="39">T204*O204</f>
        <v>15.492247871800002</v>
      </c>
      <c r="X204" s="9"/>
      <c r="Y204" s="22">
        <v>0.85311899999999996</v>
      </c>
      <c r="Z204" s="22">
        <v>206.071</v>
      </c>
      <c r="AA204" s="22">
        <v>-1.7599500000000001E-2</v>
      </c>
      <c r="AB204" s="22">
        <v>194</v>
      </c>
      <c r="AC204" s="22">
        <v>0.852356</v>
      </c>
      <c r="AD204">
        <f t="shared" ref="AD204:AD267" si="40">-AA204/$F$2*1000</f>
        <v>17.599499999999999</v>
      </c>
      <c r="AE204">
        <f t="shared" ref="AE204:AE267" si="41">AD204*Y204</f>
        <v>15.014467840499998</v>
      </c>
      <c r="AF204" s="9"/>
      <c r="AG204" s="22">
        <v>0.87692300000000001</v>
      </c>
      <c r="AH204" s="22">
        <v>298.08999999999997</v>
      </c>
      <c r="AI204" s="22">
        <v>-1.7562899999999999E-2</v>
      </c>
      <c r="AJ204" s="22">
        <v>194</v>
      </c>
      <c r="AK204" s="22">
        <v>0.87554900000000002</v>
      </c>
      <c r="AL204">
        <f t="shared" ref="AL204:AL267" si="42">-AI204/$F$2*1000</f>
        <v>17.562899999999999</v>
      </c>
      <c r="AM204">
        <f t="shared" ref="AM204:AM267" si="43">AL204*AG204</f>
        <v>15.4013109567</v>
      </c>
      <c r="AP204" s="9"/>
      <c r="AQ204" s="22">
        <v>0.85311899999999996</v>
      </c>
      <c r="AR204" s="22">
        <v>394.05200000000002</v>
      </c>
      <c r="AS204" s="22">
        <v>-1.7510999999999999E-2</v>
      </c>
      <c r="AT204" s="22">
        <v>194</v>
      </c>
      <c r="AU204" s="22">
        <v>0.852051</v>
      </c>
      <c r="AV204">
        <f t="shared" ref="AV204:AV267" si="44">-AS204/$F$2*1000</f>
        <v>17.510999999999999</v>
      </c>
      <c r="AW204">
        <f t="shared" ref="AW204:AW267" si="45">AV204*AQ204</f>
        <v>14.938966808999998</v>
      </c>
      <c r="AX204" s="9"/>
      <c r="AY204" s="22">
        <v>0.87692300000000001</v>
      </c>
      <c r="AZ204" s="22">
        <v>488.32100000000003</v>
      </c>
      <c r="BA204" s="22">
        <v>-1.7532300000000001E-2</v>
      </c>
      <c r="BB204" s="22">
        <v>194</v>
      </c>
      <c r="BC204" s="22">
        <v>0.87524400000000002</v>
      </c>
      <c r="BD204">
        <f t="shared" ref="BD204:BD267" si="46">-BA204/$F$2*1000</f>
        <v>17.532299999999999</v>
      </c>
      <c r="BE204">
        <f t="shared" ref="BE204:BE267" si="47">BD204*AY204</f>
        <v>15.374477112899999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75.165999999999997</v>
      </c>
      <c r="I205" s="22">
        <v>5.8297700000000001E-2</v>
      </c>
      <c r="J205" s="22">
        <v>195</v>
      </c>
      <c r="K205" s="22">
        <v>8.3038299999999995E-2</v>
      </c>
      <c r="L205">
        <f t="shared" si="36"/>
        <v>-58.297699999999999</v>
      </c>
      <c r="M205">
        <f t="shared" si="37"/>
        <v>-49.441288309100003</v>
      </c>
      <c r="N205" s="9"/>
      <c r="O205" s="22">
        <v>0.88195800000000002</v>
      </c>
      <c r="P205" s="22">
        <v>147.38499999999999</v>
      </c>
      <c r="Q205" s="22">
        <v>-1.7660499999999999E-2</v>
      </c>
      <c r="R205" s="22">
        <v>195</v>
      </c>
      <c r="S205" s="22">
        <v>0.88073699999999999</v>
      </c>
      <c r="T205">
        <f t="shared" si="38"/>
        <v>17.660499999999999</v>
      </c>
      <c r="U205">
        <f t="shared" si="39"/>
        <v>15.575819258999999</v>
      </c>
      <c r="X205" s="9"/>
      <c r="Y205" s="22">
        <v>0.84808300000000003</v>
      </c>
      <c r="Z205" s="22">
        <v>206.172</v>
      </c>
      <c r="AA205" s="22">
        <v>-1.75903E-2</v>
      </c>
      <c r="AB205" s="22">
        <v>195</v>
      </c>
      <c r="AC205" s="22">
        <v>0.84777800000000003</v>
      </c>
      <c r="AD205">
        <f t="shared" si="40"/>
        <v>17.590299999999999</v>
      </c>
      <c r="AE205">
        <f t="shared" si="41"/>
        <v>14.918034394899999</v>
      </c>
      <c r="AF205" s="9"/>
      <c r="AG205" s="22">
        <v>0.88195800000000002</v>
      </c>
      <c r="AH205" s="22">
        <v>298.19099999999997</v>
      </c>
      <c r="AI205" s="22">
        <v>-1.7565899999999999E-2</v>
      </c>
      <c r="AJ205" s="22">
        <v>195</v>
      </c>
      <c r="AK205" s="22">
        <v>0.88134800000000002</v>
      </c>
      <c r="AL205">
        <f t="shared" si="42"/>
        <v>17.565899999999999</v>
      </c>
      <c r="AM205">
        <f t="shared" si="43"/>
        <v>15.492386032199999</v>
      </c>
      <c r="AP205" s="9"/>
      <c r="AQ205" s="22">
        <v>0.84808300000000003</v>
      </c>
      <c r="AR205" s="22">
        <v>394.15300000000002</v>
      </c>
      <c r="AS205" s="22">
        <v>-1.75201E-2</v>
      </c>
      <c r="AT205" s="22">
        <v>195</v>
      </c>
      <c r="AU205" s="22">
        <v>0.84716800000000003</v>
      </c>
      <c r="AV205">
        <f t="shared" si="44"/>
        <v>17.520099999999999</v>
      </c>
      <c r="AW205">
        <f t="shared" si="45"/>
        <v>14.858498968299999</v>
      </c>
      <c r="AX205" s="9"/>
      <c r="AY205" s="22">
        <v>0.88195800000000002</v>
      </c>
      <c r="AZ205" s="22">
        <v>488.42200000000003</v>
      </c>
      <c r="BA205" s="22">
        <v>-1.7513999999999998E-2</v>
      </c>
      <c r="BB205" s="22">
        <v>195</v>
      </c>
      <c r="BC205" s="22">
        <v>0.88134800000000002</v>
      </c>
      <c r="BD205">
        <f t="shared" si="46"/>
        <v>17.513999999999999</v>
      </c>
      <c r="BE205">
        <f t="shared" si="47"/>
        <v>15.446612412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75.2667</v>
      </c>
      <c r="I206" s="22">
        <v>5.83008E-2</v>
      </c>
      <c r="J206" s="22">
        <v>196</v>
      </c>
      <c r="K206" s="22">
        <v>8.3068799999999998E-2</v>
      </c>
      <c r="L206">
        <f t="shared" si="36"/>
        <v>-58.300800000000002</v>
      </c>
      <c r="M206">
        <f t="shared" si="37"/>
        <v>-49.150372838400003</v>
      </c>
      <c r="N206" s="9"/>
      <c r="O206" s="22">
        <v>0.88699300000000003</v>
      </c>
      <c r="P206" s="22">
        <v>147.48599999999999</v>
      </c>
      <c r="Q206" s="22">
        <v>-1.7666600000000001E-2</v>
      </c>
      <c r="R206" s="22">
        <v>196</v>
      </c>
      <c r="S206" s="22">
        <v>0.88653599999999999</v>
      </c>
      <c r="T206">
        <f t="shared" si="38"/>
        <v>17.666600000000003</v>
      </c>
      <c r="U206">
        <f t="shared" si="39"/>
        <v>15.670150533800003</v>
      </c>
      <c r="X206" s="9"/>
      <c r="Y206" s="22">
        <v>0.84304800000000002</v>
      </c>
      <c r="Z206" s="22">
        <v>206.273</v>
      </c>
      <c r="AA206" s="22">
        <v>-1.7593399999999999E-2</v>
      </c>
      <c r="AB206" s="22">
        <v>196</v>
      </c>
      <c r="AC206" s="22">
        <v>0.84197999999999995</v>
      </c>
      <c r="AD206">
        <f t="shared" si="40"/>
        <v>17.593399999999999</v>
      </c>
      <c r="AE206">
        <f t="shared" si="41"/>
        <v>14.832080683199999</v>
      </c>
      <c r="AF206" s="9"/>
      <c r="AG206" s="22">
        <v>0.88699300000000003</v>
      </c>
      <c r="AH206" s="22">
        <v>298.291</v>
      </c>
      <c r="AI206" s="22">
        <v>-1.75598E-2</v>
      </c>
      <c r="AJ206" s="22">
        <v>196</v>
      </c>
      <c r="AK206" s="22">
        <v>0.88653599999999999</v>
      </c>
      <c r="AL206">
        <f t="shared" si="42"/>
        <v>17.559799999999999</v>
      </c>
      <c r="AM206">
        <f t="shared" si="43"/>
        <v>15.5754196814</v>
      </c>
      <c r="AP206" s="9"/>
      <c r="AQ206" s="22">
        <v>0.84304800000000002</v>
      </c>
      <c r="AR206" s="22">
        <v>394.25400000000002</v>
      </c>
      <c r="AS206" s="22">
        <v>-1.7510999999999999E-2</v>
      </c>
      <c r="AT206" s="22">
        <v>196</v>
      </c>
      <c r="AU206" s="22">
        <v>0.84167499999999995</v>
      </c>
      <c r="AV206">
        <f t="shared" si="44"/>
        <v>17.510999999999999</v>
      </c>
      <c r="AW206">
        <f t="shared" si="45"/>
        <v>14.762613527999999</v>
      </c>
      <c r="AX206" s="9"/>
      <c r="AY206" s="22">
        <v>0.88699300000000003</v>
      </c>
      <c r="AZ206" s="22">
        <v>488.52199999999999</v>
      </c>
      <c r="BA206" s="22">
        <v>-1.75201E-2</v>
      </c>
      <c r="BB206" s="22">
        <v>196</v>
      </c>
      <c r="BC206" s="22">
        <v>0.88653599999999999</v>
      </c>
      <c r="BD206">
        <f t="shared" si="46"/>
        <v>17.520099999999999</v>
      </c>
      <c r="BE206">
        <f t="shared" si="47"/>
        <v>15.540206059299999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75.367400000000004</v>
      </c>
      <c r="I207" s="22">
        <v>5.8276399999999999E-2</v>
      </c>
      <c r="J207" s="22">
        <v>197</v>
      </c>
      <c r="K207" s="22">
        <v>8.3038299999999995E-2</v>
      </c>
      <c r="L207">
        <f t="shared" si="36"/>
        <v>-58.276400000000002</v>
      </c>
      <c r="M207">
        <f t="shared" si="37"/>
        <v>-48.8363807932</v>
      </c>
      <c r="N207" s="9"/>
      <c r="O207" s="22">
        <v>0.89202899999999996</v>
      </c>
      <c r="P207" s="22">
        <v>147.58699999999999</v>
      </c>
      <c r="Q207" s="22">
        <v>-1.7660499999999999E-2</v>
      </c>
      <c r="R207" s="22">
        <v>197</v>
      </c>
      <c r="S207" s="22">
        <v>0.89080800000000004</v>
      </c>
      <c r="T207">
        <f t="shared" si="38"/>
        <v>17.660499999999999</v>
      </c>
      <c r="U207">
        <f t="shared" si="39"/>
        <v>15.753678154499998</v>
      </c>
      <c r="X207" s="9"/>
      <c r="Y207" s="22">
        <v>0.83801300000000001</v>
      </c>
      <c r="Z207" s="22">
        <v>206.37299999999999</v>
      </c>
      <c r="AA207" s="22">
        <v>-1.7599500000000001E-2</v>
      </c>
      <c r="AB207" s="22">
        <v>197</v>
      </c>
      <c r="AC207" s="22">
        <v>0.83709699999999998</v>
      </c>
      <c r="AD207">
        <f t="shared" si="40"/>
        <v>17.599499999999999</v>
      </c>
      <c r="AE207">
        <f t="shared" si="41"/>
        <v>14.7486097935</v>
      </c>
      <c r="AF207" s="9"/>
      <c r="AG207" s="22">
        <v>0.89202899999999996</v>
      </c>
      <c r="AH207" s="22">
        <v>298.392</v>
      </c>
      <c r="AI207" s="22">
        <v>-1.7556800000000001E-2</v>
      </c>
      <c r="AJ207" s="22">
        <v>197</v>
      </c>
      <c r="AK207" s="22">
        <v>0.89141800000000004</v>
      </c>
      <c r="AL207">
        <f t="shared" si="42"/>
        <v>17.556800000000003</v>
      </c>
      <c r="AM207">
        <f t="shared" si="43"/>
        <v>15.661174747200002</v>
      </c>
      <c r="AP207" s="9"/>
      <c r="AQ207" s="22">
        <v>0.83801300000000001</v>
      </c>
      <c r="AR207" s="22">
        <v>394.35500000000002</v>
      </c>
      <c r="AS207" s="22">
        <v>-1.7526199999999999E-2</v>
      </c>
      <c r="AT207" s="22">
        <v>197</v>
      </c>
      <c r="AU207" s="22">
        <v>0.83740199999999998</v>
      </c>
      <c r="AV207">
        <f t="shared" si="44"/>
        <v>17.526199999999999</v>
      </c>
      <c r="AW207">
        <f t="shared" si="45"/>
        <v>14.6871834406</v>
      </c>
      <c r="AX207" s="9"/>
      <c r="AY207" s="22">
        <v>0.89202899999999996</v>
      </c>
      <c r="AZ207" s="22">
        <v>488.62299999999999</v>
      </c>
      <c r="BA207" s="22">
        <v>-1.7517100000000001E-2</v>
      </c>
      <c r="BB207" s="22">
        <v>197</v>
      </c>
      <c r="BC207" s="22">
        <v>0.89080800000000004</v>
      </c>
      <c r="BD207">
        <f t="shared" si="46"/>
        <v>17.517099999999999</v>
      </c>
      <c r="BE207">
        <f t="shared" si="47"/>
        <v>15.625761195899999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75.468100000000007</v>
      </c>
      <c r="I208" s="22">
        <v>5.8264200000000002E-2</v>
      </c>
      <c r="J208" s="22">
        <v>198</v>
      </c>
      <c r="K208" s="22">
        <v>8.3007800000000007E-2</v>
      </c>
      <c r="L208">
        <f t="shared" si="36"/>
        <v>-58.264200000000002</v>
      </c>
      <c r="M208">
        <f t="shared" si="37"/>
        <v>-48.532738523399999</v>
      </c>
      <c r="N208" s="9"/>
      <c r="O208" s="22">
        <v>0.89706399999999997</v>
      </c>
      <c r="P208" s="22">
        <v>147.68700000000001</v>
      </c>
      <c r="Q208" s="22">
        <v>-1.76575E-2</v>
      </c>
      <c r="R208" s="22">
        <v>198</v>
      </c>
      <c r="S208" s="22">
        <v>0.89569100000000001</v>
      </c>
      <c r="T208">
        <f t="shared" si="38"/>
        <v>17.657499999999999</v>
      </c>
      <c r="U208">
        <f t="shared" si="39"/>
        <v>15.839907579999998</v>
      </c>
      <c r="X208" s="9"/>
      <c r="Y208" s="22">
        <v>0.83297699999999997</v>
      </c>
      <c r="Z208" s="22">
        <v>206.47399999999999</v>
      </c>
      <c r="AA208" s="22">
        <v>-1.7605599999999999E-2</v>
      </c>
      <c r="AB208" s="22">
        <v>198</v>
      </c>
      <c r="AC208" s="22">
        <v>0.83221400000000001</v>
      </c>
      <c r="AD208">
        <f t="shared" si="40"/>
        <v>17.605599999999999</v>
      </c>
      <c r="AE208">
        <f t="shared" si="41"/>
        <v>14.665059871199999</v>
      </c>
      <c r="AF208" s="9"/>
      <c r="AG208" s="22">
        <v>0.89706399999999997</v>
      </c>
      <c r="AH208" s="22">
        <v>298.49299999999999</v>
      </c>
      <c r="AI208" s="22">
        <v>-1.7550699999999999E-2</v>
      </c>
      <c r="AJ208" s="22">
        <v>198</v>
      </c>
      <c r="AK208" s="22">
        <v>0.89630100000000001</v>
      </c>
      <c r="AL208">
        <f t="shared" si="42"/>
        <v>17.550699999999999</v>
      </c>
      <c r="AM208">
        <f t="shared" si="43"/>
        <v>15.744101144799998</v>
      </c>
      <c r="AP208" s="9"/>
      <c r="AQ208" s="22">
        <v>0.83297699999999997</v>
      </c>
      <c r="AR208" s="22">
        <v>394.45499999999998</v>
      </c>
      <c r="AS208" s="22">
        <v>-1.7517100000000001E-2</v>
      </c>
      <c r="AT208" s="22">
        <v>198</v>
      </c>
      <c r="AU208" s="22">
        <v>0.83221400000000001</v>
      </c>
      <c r="AV208">
        <f t="shared" si="44"/>
        <v>17.517099999999999</v>
      </c>
      <c r="AW208">
        <f t="shared" si="45"/>
        <v>14.591341406699998</v>
      </c>
      <c r="AX208" s="9"/>
      <c r="AY208" s="22">
        <v>0.89706399999999997</v>
      </c>
      <c r="AZ208" s="22">
        <v>488.72399999999999</v>
      </c>
      <c r="BA208" s="22">
        <v>-1.7517100000000001E-2</v>
      </c>
      <c r="BB208" s="22">
        <v>198</v>
      </c>
      <c r="BC208" s="22">
        <v>0.89660600000000001</v>
      </c>
      <c r="BD208">
        <f t="shared" si="46"/>
        <v>17.517099999999999</v>
      </c>
      <c r="BE208">
        <f t="shared" si="47"/>
        <v>15.713959794399999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75.568799999999996</v>
      </c>
      <c r="I209" s="22">
        <v>5.8227500000000001E-2</v>
      </c>
      <c r="J209" s="22">
        <v>199</v>
      </c>
      <c r="K209" s="22">
        <v>8.3068799999999998E-2</v>
      </c>
      <c r="L209">
        <f t="shared" si="36"/>
        <v>-58.227499999999999</v>
      </c>
      <c r="M209">
        <f t="shared" si="37"/>
        <v>-48.208992804999994</v>
      </c>
      <c r="N209" s="9"/>
      <c r="O209" s="22">
        <v>0.90210000000000001</v>
      </c>
      <c r="P209" s="22">
        <v>147.78800000000001</v>
      </c>
      <c r="Q209" s="22">
        <v>-1.7645299999999999E-2</v>
      </c>
      <c r="R209" s="22">
        <v>199</v>
      </c>
      <c r="S209" s="22">
        <v>0.90118399999999999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0.82794199999999996</v>
      </c>
      <c r="Z209" s="22">
        <v>206.57499999999999</v>
      </c>
      <c r="AA209" s="22">
        <v>-1.7599500000000001E-2</v>
      </c>
      <c r="AB209" s="22">
        <v>199</v>
      </c>
      <c r="AC209" s="22">
        <v>0.82702600000000004</v>
      </c>
      <c r="AD209">
        <f t="shared" si="40"/>
        <v>17.599499999999999</v>
      </c>
      <c r="AE209">
        <f t="shared" si="41"/>
        <v>14.571365228999998</v>
      </c>
      <c r="AF209" s="9"/>
      <c r="AG209" s="22">
        <v>0.90210000000000001</v>
      </c>
      <c r="AH209" s="22">
        <v>298.59300000000002</v>
      </c>
      <c r="AI209" s="22">
        <v>-1.7553699999999998E-2</v>
      </c>
      <c r="AJ209" s="22">
        <v>199</v>
      </c>
      <c r="AK209" s="22">
        <v>0.90148899999999998</v>
      </c>
      <c r="AL209">
        <f t="shared" si="42"/>
        <v>17.553699999999999</v>
      </c>
      <c r="AM209">
        <f t="shared" si="43"/>
        <v>15.835192769999999</v>
      </c>
      <c r="AP209" s="9"/>
      <c r="AQ209" s="22">
        <v>0.82794199999999996</v>
      </c>
      <c r="AR209" s="22">
        <v>394.55599999999998</v>
      </c>
      <c r="AS209" s="22">
        <v>-1.7529300000000001E-2</v>
      </c>
      <c r="AT209" s="22">
        <v>199</v>
      </c>
      <c r="AU209" s="22">
        <v>0.82763699999999996</v>
      </c>
      <c r="AV209">
        <f t="shared" si="44"/>
        <v>17.529300000000003</v>
      </c>
      <c r="AW209">
        <f t="shared" si="45"/>
        <v>14.513243700600002</v>
      </c>
      <c r="AX209" s="9"/>
      <c r="AY209" s="22">
        <v>0.90210000000000001</v>
      </c>
      <c r="AZ209" s="22">
        <v>488.82499999999999</v>
      </c>
      <c r="BA209" s="22">
        <v>-1.7517100000000001E-2</v>
      </c>
      <c r="BB209" s="22">
        <v>199</v>
      </c>
      <c r="BC209" s="22">
        <v>0.90118399999999999</v>
      </c>
      <c r="BD209">
        <f t="shared" si="46"/>
        <v>17.517099999999999</v>
      </c>
      <c r="BE209">
        <f t="shared" si="47"/>
        <v>15.802175909999999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75.669499999999999</v>
      </c>
      <c r="I210" s="22">
        <v>5.8227500000000001E-2</v>
      </c>
      <c r="J210" s="22">
        <v>200</v>
      </c>
      <c r="K210" s="22">
        <v>8.3099400000000004E-2</v>
      </c>
      <c r="L210">
        <f t="shared" si="36"/>
        <v>-58.227499999999999</v>
      </c>
      <c r="M210">
        <f t="shared" si="37"/>
        <v>-47.915759115</v>
      </c>
      <c r="N210" s="9"/>
      <c r="O210" s="22">
        <v>0.90713500000000002</v>
      </c>
      <c r="P210" s="22">
        <v>147.88900000000001</v>
      </c>
      <c r="Q210" s="22">
        <v>-1.76422E-2</v>
      </c>
      <c r="R210" s="22">
        <v>200</v>
      </c>
      <c r="S210" s="22">
        <v>0.90698199999999995</v>
      </c>
      <c r="T210">
        <f t="shared" si="38"/>
        <v>17.642199999999999</v>
      </c>
      <c r="U210">
        <f t="shared" si="39"/>
        <v>16.003857097000001</v>
      </c>
      <c r="X210" s="9"/>
      <c r="Y210" s="22">
        <v>0.82290600000000003</v>
      </c>
      <c r="Z210" s="22">
        <v>206.67599999999999</v>
      </c>
      <c r="AA210" s="22">
        <v>-1.7608599999999999E-2</v>
      </c>
      <c r="AB210" s="22">
        <v>200</v>
      </c>
      <c r="AC210" s="22">
        <v>0.82214399999999999</v>
      </c>
      <c r="AD210">
        <f t="shared" si="40"/>
        <v>17.608599999999999</v>
      </c>
      <c r="AE210">
        <f t="shared" si="41"/>
        <v>14.4902225916</v>
      </c>
      <c r="AF210" s="9"/>
      <c r="AG210" s="22">
        <v>0.90713500000000002</v>
      </c>
      <c r="AH210" s="22">
        <v>298.69400000000002</v>
      </c>
      <c r="AI210" s="22">
        <v>-1.7550699999999999E-2</v>
      </c>
      <c r="AJ210" s="22">
        <v>200</v>
      </c>
      <c r="AK210" s="22">
        <v>0.90576199999999996</v>
      </c>
      <c r="AL210">
        <f t="shared" si="42"/>
        <v>17.550699999999999</v>
      </c>
      <c r="AM210">
        <f t="shared" si="43"/>
        <v>15.920854244499999</v>
      </c>
      <c r="AP210" s="9"/>
      <c r="AQ210" s="22">
        <v>0.82290600000000003</v>
      </c>
      <c r="AR210" s="22">
        <v>394.65699999999998</v>
      </c>
      <c r="AS210" s="22">
        <v>-1.7529300000000001E-2</v>
      </c>
      <c r="AT210" s="22">
        <v>200</v>
      </c>
      <c r="AU210" s="22">
        <v>0.82183799999999996</v>
      </c>
      <c r="AV210">
        <f t="shared" si="44"/>
        <v>17.529300000000003</v>
      </c>
      <c r="AW210">
        <f t="shared" si="45"/>
        <v>14.424966145800003</v>
      </c>
      <c r="AX210" s="9"/>
      <c r="AY210" s="22">
        <v>0.90713500000000002</v>
      </c>
      <c r="AZ210" s="22">
        <v>488.92500000000001</v>
      </c>
      <c r="BA210" s="22">
        <v>-1.75079E-2</v>
      </c>
      <c r="BB210" s="22">
        <v>200</v>
      </c>
      <c r="BC210" s="22">
        <v>0.90698199999999995</v>
      </c>
      <c r="BD210">
        <f t="shared" si="46"/>
        <v>17.507899999999999</v>
      </c>
      <c r="BE210">
        <f t="shared" si="47"/>
        <v>15.882028866500001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75.770200000000003</v>
      </c>
      <c r="I211" s="22">
        <v>5.8203100000000001E-2</v>
      </c>
      <c r="J211" s="22">
        <v>201</v>
      </c>
      <c r="K211" s="22">
        <v>8.3129900000000007E-2</v>
      </c>
      <c r="L211">
        <f t="shared" si="36"/>
        <v>-58.203099999999999</v>
      </c>
      <c r="M211">
        <f t="shared" si="37"/>
        <v>-47.6026276001</v>
      </c>
      <c r="N211" s="9"/>
      <c r="O211" s="22">
        <v>0.91217000000000004</v>
      </c>
      <c r="P211" s="22">
        <v>147.989</v>
      </c>
      <c r="Q211" s="22">
        <v>-1.76422E-2</v>
      </c>
      <c r="R211" s="22">
        <v>201</v>
      </c>
      <c r="S211" s="22">
        <v>0.91156000000000004</v>
      </c>
      <c r="T211">
        <f t="shared" si="38"/>
        <v>17.642199999999999</v>
      </c>
      <c r="U211">
        <f t="shared" si="39"/>
        <v>16.092685574000001</v>
      </c>
      <c r="X211" s="9"/>
      <c r="Y211" s="22">
        <v>0.81787100000000001</v>
      </c>
      <c r="Z211" s="22">
        <v>206.77600000000001</v>
      </c>
      <c r="AA211" s="22">
        <v>-1.7611700000000001E-2</v>
      </c>
      <c r="AB211" s="22">
        <v>201</v>
      </c>
      <c r="AC211" s="22">
        <v>0.81695600000000002</v>
      </c>
      <c r="AD211">
        <f t="shared" si="40"/>
        <v>17.611700000000003</v>
      </c>
      <c r="AE211">
        <f t="shared" si="41"/>
        <v>14.404098690700001</v>
      </c>
      <c r="AF211" s="9"/>
      <c r="AG211" s="22">
        <v>0.91217000000000004</v>
      </c>
      <c r="AH211" s="22">
        <v>298.79500000000002</v>
      </c>
      <c r="AI211" s="22">
        <v>-1.7541500000000002E-2</v>
      </c>
      <c r="AJ211" s="22">
        <v>201</v>
      </c>
      <c r="AK211" s="22">
        <v>0.91125500000000004</v>
      </c>
      <c r="AL211">
        <f t="shared" si="42"/>
        <v>17.541500000000003</v>
      </c>
      <c r="AM211">
        <f t="shared" si="43"/>
        <v>16.000830055000002</v>
      </c>
      <c r="AP211" s="9"/>
      <c r="AQ211" s="22">
        <v>0.81787100000000001</v>
      </c>
      <c r="AR211" s="22">
        <v>394.75700000000001</v>
      </c>
      <c r="AS211" s="22">
        <v>-1.75354E-2</v>
      </c>
      <c r="AT211" s="22">
        <v>201</v>
      </c>
      <c r="AU211" s="22">
        <v>0.81726100000000002</v>
      </c>
      <c r="AV211">
        <f t="shared" si="44"/>
        <v>17.535399999999999</v>
      </c>
      <c r="AW211">
        <f t="shared" si="45"/>
        <v>14.3416951334</v>
      </c>
      <c r="AX211" s="9"/>
      <c r="AY211" s="22">
        <v>0.91217000000000004</v>
      </c>
      <c r="AZ211" s="22">
        <v>489.02600000000001</v>
      </c>
      <c r="BA211" s="22">
        <v>-1.7501800000000001E-2</v>
      </c>
      <c r="BB211" s="22">
        <v>201</v>
      </c>
      <c r="BC211" s="22">
        <v>0.91156000000000004</v>
      </c>
      <c r="BD211">
        <f t="shared" si="46"/>
        <v>17.501800000000003</v>
      </c>
      <c r="BE211">
        <f t="shared" si="47"/>
        <v>15.964616906000003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75.870900000000006</v>
      </c>
      <c r="I212" s="22">
        <v>5.8187900000000001E-2</v>
      </c>
      <c r="J212" s="22">
        <v>202</v>
      </c>
      <c r="K212" s="22">
        <v>8.3129900000000007E-2</v>
      </c>
      <c r="L212">
        <f t="shared" si="36"/>
        <v>-58.187899999999999</v>
      </c>
      <c r="M212">
        <f t="shared" si="37"/>
        <v>-47.2972198844</v>
      </c>
      <c r="N212" s="9"/>
      <c r="O212" s="22">
        <v>0.91720599999999997</v>
      </c>
      <c r="P212" s="22">
        <v>148.09</v>
      </c>
      <c r="Q212" s="22">
        <v>-1.7645299999999999E-2</v>
      </c>
      <c r="R212" s="22">
        <v>202</v>
      </c>
      <c r="S212" s="22">
        <v>0.91674800000000001</v>
      </c>
      <c r="T212">
        <f t="shared" si="38"/>
        <v>17.645299999999999</v>
      </c>
      <c r="U212">
        <f t="shared" si="39"/>
        <v>16.184375031799998</v>
      </c>
      <c r="X212" s="9"/>
      <c r="Y212" s="22">
        <v>0.812836</v>
      </c>
      <c r="Z212" s="22">
        <v>206.87700000000001</v>
      </c>
      <c r="AA212" s="22">
        <v>-1.76147E-2</v>
      </c>
      <c r="AB212" s="22">
        <v>202</v>
      </c>
      <c r="AC212" s="22">
        <v>0.81207300000000004</v>
      </c>
      <c r="AD212">
        <f t="shared" si="40"/>
        <v>17.614699999999999</v>
      </c>
      <c r="AE212">
        <f t="shared" si="41"/>
        <v>14.317862289199999</v>
      </c>
      <c r="AF212" s="9"/>
      <c r="AG212" s="22">
        <v>0.91720599999999997</v>
      </c>
      <c r="AH212" s="22">
        <v>298.89600000000002</v>
      </c>
      <c r="AI212" s="22">
        <v>-1.7541500000000002E-2</v>
      </c>
      <c r="AJ212" s="22">
        <v>202</v>
      </c>
      <c r="AK212" s="22">
        <v>0.91644300000000001</v>
      </c>
      <c r="AL212">
        <f t="shared" si="42"/>
        <v>17.541500000000003</v>
      </c>
      <c r="AM212">
        <f t="shared" si="43"/>
        <v>16.089169049000002</v>
      </c>
      <c r="AP212" s="9"/>
      <c r="AQ212" s="22">
        <v>0.812836</v>
      </c>
      <c r="AR212" s="22">
        <v>394.858</v>
      </c>
      <c r="AS212" s="22">
        <v>-1.7538499999999999E-2</v>
      </c>
      <c r="AT212" s="22">
        <v>202</v>
      </c>
      <c r="AU212" s="22">
        <v>0.81146200000000002</v>
      </c>
      <c r="AV212">
        <f t="shared" si="44"/>
        <v>17.538499999999999</v>
      </c>
      <c r="AW212">
        <f t="shared" si="45"/>
        <v>14.255924186</v>
      </c>
      <c r="AX212" s="9"/>
      <c r="AY212" s="22">
        <v>0.91720599999999997</v>
      </c>
      <c r="AZ212" s="22">
        <v>489.12700000000001</v>
      </c>
      <c r="BA212" s="22">
        <v>-1.75079E-2</v>
      </c>
      <c r="BB212" s="22">
        <v>202</v>
      </c>
      <c r="BC212" s="22">
        <v>0.91644300000000001</v>
      </c>
      <c r="BD212">
        <f t="shared" si="46"/>
        <v>17.507899999999999</v>
      </c>
      <c r="BE212">
        <f t="shared" si="47"/>
        <v>16.058350927399999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75.971599999999995</v>
      </c>
      <c r="I213" s="22">
        <v>5.8194000000000003E-2</v>
      </c>
      <c r="J213" s="22">
        <v>203</v>
      </c>
      <c r="K213" s="22">
        <v>8.3160399999999995E-2</v>
      </c>
      <c r="L213">
        <f t="shared" si="36"/>
        <v>-58.194000000000003</v>
      </c>
      <c r="M213">
        <f t="shared" si="37"/>
        <v>-47.009113200000002</v>
      </c>
      <c r="N213" s="9"/>
      <c r="O213" s="22">
        <v>0.92224099999999998</v>
      </c>
      <c r="P213" s="22">
        <v>148.191</v>
      </c>
      <c r="Q213" s="22">
        <v>-1.7639200000000001E-2</v>
      </c>
      <c r="R213" s="22">
        <v>203</v>
      </c>
      <c r="S213" s="22">
        <v>0.92224099999999998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0.80779999999999996</v>
      </c>
      <c r="Z213" s="22">
        <v>206.97800000000001</v>
      </c>
      <c r="AA213" s="22">
        <v>-1.7617799999999999E-2</v>
      </c>
      <c r="AB213" s="22">
        <v>203</v>
      </c>
      <c r="AC213" s="22">
        <v>0.80779999999999996</v>
      </c>
      <c r="AD213">
        <f t="shared" si="40"/>
        <v>17.617799999999999</v>
      </c>
      <c r="AE213">
        <f t="shared" si="41"/>
        <v>14.231658839999998</v>
      </c>
      <c r="AF213" s="9"/>
      <c r="AG213" s="22">
        <v>0.92224099999999998</v>
      </c>
      <c r="AH213" s="22">
        <v>298.99599999999998</v>
      </c>
      <c r="AI213" s="22">
        <v>-1.7529300000000001E-2</v>
      </c>
      <c r="AJ213" s="22">
        <v>203</v>
      </c>
      <c r="AK213" s="22">
        <v>0.92102099999999998</v>
      </c>
      <c r="AL213">
        <f t="shared" si="42"/>
        <v>17.529300000000003</v>
      </c>
      <c r="AM213">
        <f t="shared" si="43"/>
        <v>16.166239161300002</v>
      </c>
      <c r="AP213" s="9"/>
      <c r="AQ213" s="22">
        <v>0.80779999999999996</v>
      </c>
      <c r="AR213" s="22">
        <v>394.959</v>
      </c>
      <c r="AS213" s="22">
        <v>-1.7538499999999999E-2</v>
      </c>
      <c r="AT213" s="22">
        <v>203</v>
      </c>
      <c r="AU213" s="22">
        <v>0.80718999999999996</v>
      </c>
      <c r="AV213">
        <f t="shared" si="44"/>
        <v>17.538499999999999</v>
      </c>
      <c r="AW213">
        <f t="shared" si="45"/>
        <v>14.167600299999998</v>
      </c>
      <c r="AX213" s="9"/>
      <c r="AY213" s="22">
        <v>0.92224099999999998</v>
      </c>
      <c r="AZ213" s="22">
        <v>489.22699999999998</v>
      </c>
      <c r="BA213" s="22">
        <v>-1.75049E-2</v>
      </c>
      <c r="BB213" s="22">
        <v>203</v>
      </c>
      <c r="BC213" s="22">
        <v>0.92132599999999998</v>
      </c>
      <c r="BD213">
        <f t="shared" si="46"/>
        <v>17.504899999999999</v>
      </c>
      <c r="BE213">
        <f t="shared" si="47"/>
        <v>16.143736480899999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76.072299999999998</v>
      </c>
      <c r="I214" s="22">
        <v>5.8169600000000002E-2</v>
      </c>
      <c r="J214" s="22">
        <v>204</v>
      </c>
      <c r="K214" s="22">
        <v>8.3160399999999995E-2</v>
      </c>
      <c r="L214">
        <f t="shared" si="36"/>
        <v>-58.169600000000003</v>
      </c>
      <c r="M214">
        <f t="shared" si="37"/>
        <v>-46.696518943999997</v>
      </c>
      <c r="N214" s="9"/>
      <c r="O214" s="22">
        <v>0.92727700000000002</v>
      </c>
      <c r="P214" s="22">
        <v>148.291</v>
      </c>
      <c r="Q214" s="22">
        <v>-1.76422E-2</v>
      </c>
      <c r="R214" s="22">
        <v>204</v>
      </c>
      <c r="S214" s="22">
        <v>0.92620800000000003</v>
      </c>
      <c r="T214">
        <f t="shared" si="38"/>
        <v>17.642199999999999</v>
      </c>
      <c r="U214">
        <f t="shared" si="39"/>
        <v>16.359206289399999</v>
      </c>
      <c r="X214" s="9"/>
      <c r="Y214" s="22">
        <v>0.80276499999999995</v>
      </c>
      <c r="Z214" s="22">
        <v>207.078</v>
      </c>
      <c r="AA214" s="22">
        <v>-1.7620799999999999E-2</v>
      </c>
      <c r="AB214" s="22">
        <v>204</v>
      </c>
      <c r="AC214" s="22">
        <v>0.80291699999999999</v>
      </c>
      <c r="AD214">
        <f t="shared" si="40"/>
        <v>17.620799999999999</v>
      </c>
      <c r="AE214">
        <f t="shared" si="41"/>
        <v>14.145361511999999</v>
      </c>
      <c r="AF214" s="9"/>
      <c r="AG214" s="22">
        <v>0.92727700000000002</v>
      </c>
      <c r="AH214" s="22">
        <v>299.09699999999998</v>
      </c>
      <c r="AI214" s="22">
        <v>-1.7529300000000001E-2</v>
      </c>
      <c r="AJ214" s="22">
        <v>204</v>
      </c>
      <c r="AK214" s="22">
        <v>0.92620800000000003</v>
      </c>
      <c r="AL214">
        <f t="shared" si="42"/>
        <v>17.529300000000003</v>
      </c>
      <c r="AM214">
        <f t="shared" si="43"/>
        <v>16.254516716100003</v>
      </c>
      <c r="AP214" s="9"/>
      <c r="AQ214" s="22">
        <v>0.80276499999999995</v>
      </c>
      <c r="AR214" s="22">
        <v>395.06</v>
      </c>
      <c r="AS214" s="22">
        <v>-1.7529300000000001E-2</v>
      </c>
      <c r="AT214" s="22">
        <v>204</v>
      </c>
      <c r="AU214" s="22">
        <v>0.80230699999999999</v>
      </c>
      <c r="AV214">
        <f t="shared" si="44"/>
        <v>17.529300000000003</v>
      </c>
      <c r="AW214">
        <f t="shared" si="45"/>
        <v>14.071908514500002</v>
      </c>
      <c r="AX214" s="9"/>
      <c r="AY214" s="22">
        <v>0.92727700000000002</v>
      </c>
      <c r="AZ214" s="22">
        <v>489.32799999999997</v>
      </c>
      <c r="BA214" s="22">
        <v>-1.7501800000000001E-2</v>
      </c>
      <c r="BB214" s="22">
        <v>204</v>
      </c>
      <c r="BC214" s="22">
        <v>0.92620800000000003</v>
      </c>
      <c r="BD214">
        <f t="shared" si="46"/>
        <v>17.501800000000003</v>
      </c>
      <c r="BE214">
        <f t="shared" si="47"/>
        <v>16.229016598600005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76.173000000000002</v>
      </c>
      <c r="I215" s="22">
        <v>5.8194000000000003E-2</v>
      </c>
      <c r="J215" s="22">
        <v>205</v>
      </c>
      <c r="K215" s="22">
        <v>8.3129900000000007E-2</v>
      </c>
      <c r="L215">
        <f t="shared" si="36"/>
        <v>-58.194000000000003</v>
      </c>
      <c r="M215">
        <f t="shared" si="37"/>
        <v>-46.423041426000005</v>
      </c>
      <c r="N215" s="9"/>
      <c r="O215" s="22">
        <v>0.93231200000000003</v>
      </c>
      <c r="P215" s="22">
        <v>148.392</v>
      </c>
      <c r="Q215" s="22">
        <v>-1.7636099999999998E-2</v>
      </c>
      <c r="R215" s="22">
        <v>205</v>
      </c>
      <c r="S215" s="22">
        <v>0.93200700000000003</v>
      </c>
      <c r="T215">
        <f t="shared" si="38"/>
        <v>17.636099999999999</v>
      </c>
      <c r="U215">
        <f t="shared" si="39"/>
        <v>16.4423476632</v>
      </c>
      <c r="X215" s="9"/>
      <c r="Y215" s="22">
        <v>0.79772900000000002</v>
      </c>
      <c r="Z215" s="22">
        <v>207.179</v>
      </c>
      <c r="AA215" s="22">
        <v>-1.7627E-2</v>
      </c>
      <c r="AB215" s="22">
        <v>205</v>
      </c>
      <c r="AC215" s="22">
        <v>0.79681400000000002</v>
      </c>
      <c r="AD215">
        <f t="shared" si="40"/>
        <v>17.626999999999999</v>
      </c>
      <c r="AE215">
        <f t="shared" si="41"/>
        <v>14.061569083</v>
      </c>
      <c r="AF215" s="9"/>
      <c r="AG215" s="22">
        <v>0.93231200000000003</v>
      </c>
      <c r="AH215" s="22">
        <v>299.19799999999998</v>
      </c>
      <c r="AI215" s="22">
        <v>-1.7532300000000001E-2</v>
      </c>
      <c r="AJ215" s="22">
        <v>205</v>
      </c>
      <c r="AK215" s="22">
        <v>0.931396</v>
      </c>
      <c r="AL215">
        <f t="shared" si="42"/>
        <v>17.532299999999999</v>
      </c>
      <c r="AM215">
        <f t="shared" si="43"/>
        <v>16.345573677600001</v>
      </c>
      <c r="AP215" s="9"/>
      <c r="AQ215" s="22">
        <v>0.79772900000000002</v>
      </c>
      <c r="AR215" s="22">
        <v>395.16</v>
      </c>
      <c r="AS215" s="22">
        <v>-1.75476E-2</v>
      </c>
      <c r="AT215" s="22">
        <v>205</v>
      </c>
      <c r="AU215" s="22">
        <v>0.79711900000000002</v>
      </c>
      <c r="AV215">
        <f t="shared" si="44"/>
        <v>17.547599999999999</v>
      </c>
      <c r="AW215">
        <f t="shared" si="45"/>
        <v>13.9982294004</v>
      </c>
      <c r="AX215" s="9"/>
      <c r="AY215" s="22">
        <v>0.93231200000000003</v>
      </c>
      <c r="AZ215" s="22">
        <v>489.42899999999997</v>
      </c>
      <c r="BA215" s="22">
        <v>-1.7498799999999998E-2</v>
      </c>
      <c r="BB215" s="22">
        <v>205</v>
      </c>
      <c r="BC215" s="22">
        <v>0.93200700000000003</v>
      </c>
      <c r="BD215">
        <f t="shared" si="46"/>
        <v>17.498799999999999</v>
      </c>
      <c r="BE215">
        <f t="shared" si="47"/>
        <v>16.3143412256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76.273700000000005</v>
      </c>
      <c r="I216" s="22">
        <v>5.81512E-2</v>
      </c>
      <c r="J216" s="22">
        <v>206</v>
      </c>
      <c r="K216" s="22">
        <v>8.3129900000000007E-2</v>
      </c>
      <c r="L216">
        <f t="shared" si="36"/>
        <v>-58.151200000000003</v>
      </c>
      <c r="M216">
        <f t="shared" si="37"/>
        <v>-46.096107332800003</v>
      </c>
      <c r="N216" s="9"/>
      <c r="O216" s="22">
        <v>0.93734700000000004</v>
      </c>
      <c r="P216" s="22">
        <v>148.49299999999999</v>
      </c>
      <c r="Q216" s="22">
        <v>-1.763E-2</v>
      </c>
      <c r="R216" s="22">
        <v>206</v>
      </c>
      <c r="S216" s="22">
        <v>0.937195</v>
      </c>
      <c r="T216">
        <f t="shared" si="38"/>
        <v>17.63</v>
      </c>
      <c r="U216">
        <f t="shared" si="39"/>
        <v>16.525427610000001</v>
      </c>
      <c r="X216" s="9"/>
      <c r="Y216" s="22">
        <v>0.79269400000000001</v>
      </c>
      <c r="Z216" s="22">
        <v>207.28</v>
      </c>
      <c r="AA216" s="22">
        <v>-1.763E-2</v>
      </c>
      <c r="AB216" s="22">
        <v>206</v>
      </c>
      <c r="AC216" s="22">
        <v>0.79193100000000005</v>
      </c>
      <c r="AD216">
        <f t="shared" si="40"/>
        <v>17.63</v>
      </c>
      <c r="AE216">
        <f t="shared" si="41"/>
        <v>13.97519522</v>
      </c>
      <c r="AF216" s="9"/>
      <c r="AG216" s="22">
        <v>0.93734700000000004</v>
      </c>
      <c r="AH216" s="22">
        <v>299.298</v>
      </c>
      <c r="AI216" s="22">
        <v>-1.7526199999999999E-2</v>
      </c>
      <c r="AJ216" s="22">
        <v>206</v>
      </c>
      <c r="AK216" s="22">
        <v>0.93689</v>
      </c>
      <c r="AL216">
        <f t="shared" si="42"/>
        <v>17.526199999999999</v>
      </c>
      <c r="AM216">
        <f t="shared" si="43"/>
        <v>16.4281309914</v>
      </c>
      <c r="AP216" s="9"/>
      <c r="AQ216" s="22">
        <v>0.79269400000000001</v>
      </c>
      <c r="AR216" s="22">
        <v>395.26100000000002</v>
      </c>
      <c r="AS216" s="22">
        <v>-1.7538499999999999E-2</v>
      </c>
      <c r="AT216" s="22">
        <v>206</v>
      </c>
      <c r="AU216" s="22">
        <v>0.79193100000000005</v>
      </c>
      <c r="AV216">
        <f t="shared" si="44"/>
        <v>17.538499999999999</v>
      </c>
      <c r="AW216">
        <f t="shared" si="45"/>
        <v>13.902663719</v>
      </c>
      <c r="AX216" s="9"/>
      <c r="AY216" s="22">
        <v>0.93734700000000004</v>
      </c>
      <c r="AZ216" s="22">
        <v>489.53</v>
      </c>
      <c r="BA216" s="22">
        <v>-1.7501800000000001E-2</v>
      </c>
      <c r="BB216" s="22">
        <v>206</v>
      </c>
      <c r="BC216" s="22">
        <v>0.93689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76.374399999999994</v>
      </c>
      <c r="I217" s="22">
        <v>5.8203100000000001E-2</v>
      </c>
      <c r="J217" s="22">
        <v>207</v>
      </c>
      <c r="K217" s="22">
        <v>8.3007800000000007E-2</v>
      </c>
      <c r="L217">
        <f t="shared" si="36"/>
        <v>-58.203099999999999</v>
      </c>
      <c r="M217">
        <f t="shared" si="37"/>
        <v>-45.844195542899996</v>
      </c>
      <c r="N217" s="9"/>
      <c r="O217" s="22">
        <v>0.94238299999999997</v>
      </c>
      <c r="P217" s="22">
        <v>148.59399999999999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0.787659</v>
      </c>
      <c r="Z217" s="22">
        <v>207.381</v>
      </c>
      <c r="AA217" s="22">
        <v>-1.7636099999999998E-2</v>
      </c>
      <c r="AB217" s="22">
        <v>207</v>
      </c>
      <c r="AC217" s="22">
        <v>0.78643799999999997</v>
      </c>
      <c r="AD217">
        <f t="shared" si="40"/>
        <v>17.636099999999999</v>
      </c>
      <c r="AE217">
        <f t="shared" si="41"/>
        <v>13.891232889899999</v>
      </c>
      <c r="AF217" s="9"/>
      <c r="AG217" s="22">
        <v>0.94238299999999997</v>
      </c>
      <c r="AH217" s="22">
        <v>299.399</v>
      </c>
      <c r="AI217" s="22">
        <v>-1.7517100000000001E-2</v>
      </c>
      <c r="AJ217" s="22">
        <v>207</v>
      </c>
      <c r="AK217" s="22">
        <v>0.94116200000000005</v>
      </c>
      <c r="AL217">
        <f t="shared" si="42"/>
        <v>17.517099999999999</v>
      </c>
      <c r="AM217">
        <f t="shared" si="43"/>
        <v>16.5078172493</v>
      </c>
      <c r="AP217" s="9"/>
      <c r="AQ217" s="22">
        <v>0.787659</v>
      </c>
      <c r="AR217" s="22">
        <v>395.36200000000002</v>
      </c>
      <c r="AS217" s="22">
        <v>-1.7553699999999998E-2</v>
      </c>
      <c r="AT217" s="22">
        <v>207</v>
      </c>
      <c r="AU217" s="22">
        <v>0.78643799999999997</v>
      </c>
      <c r="AV217">
        <f t="shared" si="44"/>
        <v>17.553699999999999</v>
      </c>
      <c r="AW217">
        <f t="shared" si="45"/>
        <v>13.826329788299999</v>
      </c>
      <c r="AX217" s="9"/>
      <c r="AY217" s="22">
        <v>0.94238299999999997</v>
      </c>
      <c r="AZ217" s="22">
        <v>489.63</v>
      </c>
      <c r="BA217" s="22">
        <v>-1.7495699999999999E-2</v>
      </c>
      <c r="BB217" s="22">
        <v>207</v>
      </c>
      <c r="BC217" s="22">
        <v>0.94177200000000005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76.475200000000001</v>
      </c>
      <c r="I218" s="22">
        <v>5.8200099999999998E-2</v>
      </c>
      <c r="J218" s="22">
        <v>208</v>
      </c>
      <c r="K218" s="22">
        <v>8.2946800000000001E-2</v>
      </c>
      <c r="L218">
        <f t="shared" si="36"/>
        <v>-58.200099999999999</v>
      </c>
      <c r="M218">
        <f t="shared" si="37"/>
        <v>-45.548736862299997</v>
      </c>
      <c r="N218" s="9"/>
      <c r="O218" s="22">
        <v>0.94741799999999998</v>
      </c>
      <c r="P218" s="22">
        <v>148.69399999999999</v>
      </c>
      <c r="Q218" s="22">
        <v>-1.7623900000000001E-2</v>
      </c>
      <c r="R218" s="22">
        <v>208</v>
      </c>
      <c r="S218" s="22">
        <v>0.94665500000000002</v>
      </c>
      <c r="T218">
        <f t="shared" si="38"/>
        <v>17.623900000000003</v>
      </c>
      <c r="U218">
        <f t="shared" si="39"/>
        <v>16.697200090200003</v>
      </c>
      <c r="X218" s="9"/>
      <c r="Y218" s="22">
        <v>0.78262299999999996</v>
      </c>
      <c r="Z218" s="22">
        <v>207.48099999999999</v>
      </c>
      <c r="AA218" s="22">
        <v>-1.7633099999999999E-2</v>
      </c>
      <c r="AB218" s="22">
        <v>208</v>
      </c>
      <c r="AC218" s="22">
        <v>0.78186</v>
      </c>
      <c r="AD218">
        <f t="shared" si="40"/>
        <v>17.633099999999999</v>
      </c>
      <c r="AE218">
        <f t="shared" si="41"/>
        <v>13.800069621299999</v>
      </c>
      <c r="AF218" s="9"/>
      <c r="AG218" s="22">
        <v>0.94741799999999998</v>
      </c>
      <c r="AH218" s="22">
        <v>299.5</v>
      </c>
      <c r="AI218" s="22">
        <v>-1.75079E-2</v>
      </c>
      <c r="AJ218" s="22">
        <v>208</v>
      </c>
      <c r="AK218" s="22">
        <v>0.94665500000000002</v>
      </c>
      <c r="AL218">
        <f t="shared" si="42"/>
        <v>17.507899999999999</v>
      </c>
      <c r="AM218">
        <f t="shared" si="43"/>
        <v>16.587299602199998</v>
      </c>
      <c r="AP218" s="9"/>
      <c r="AQ218" s="22">
        <v>0.78262299999999996</v>
      </c>
      <c r="AR218" s="22">
        <v>395.46199999999999</v>
      </c>
      <c r="AS218" s="22">
        <v>-1.7556800000000001E-2</v>
      </c>
      <c r="AT218" s="22">
        <v>208</v>
      </c>
      <c r="AU218" s="22">
        <v>0.78216600000000003</v>
      </c>
      <c r="AV218">
        <f t="shared" si="44"/>
        <v>17.556800000000003</v>
      </c>
      <c r="AW218">
        <f t="shared" si="45"/>
        <v>13.740355486400002</v>
      </c>
      <c r="AX218" s="9"/>
      <c r="AY218" s="22">
        <v>0.94741799999999998</v>
      </c>
      <c r="AZ218" s="22">
        <v>489.73099999999999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76.575900000000004</v>
      </c>
      <c r="I219" s="22">
        <v>5.8242799999999997E-2</v>
      </c>
      <c r="J219" s="22">
        <v>209</v>
      </c>
      <c r="K219" s="22">
        <v>8.2916299999999998E-2</v>
      </c>
      <c r="L219">
        <f t="shared" si="36"/>
        <v>-58.242799999999995</v>
      </c>
      <c r="M219">
        <f t="shared" si="37"/>
        <v>-45.288902366399995</v>
      </c>
      <c r="N219" s="9"/>
      <c r="O219" s="22">
        <v>0.95245400000000002</v>
      </c>
      <c r="P219" s="22">
        <v>148.79499999999999</v>
      </c>
      <c r="Q219" s="22">
        <v>-1.76147E-2</v>
      </c>
      <c r="R219" s="22">
        <v>209</v>
      </c>
      <c r="S219" s="22">
        <v>0.95153799999999999</v>
      </c>
      <c r="T219">
        <f t="shared" si="38"/>
        <v>17.614699999999999</v>
      </c>
      <c r="U219">
        <f t="shared" si="39"/>
        <v>16.777191473799999</v>
      </c>
      <c r="X219" s="9"/>
      <c r="Y219" s="22">
        <v>0.77758799999999995</v>
      </c>
      <c r="Z219" s="22">
        <v>207.58199999999999</v>
      </c>
      <c r="AA219" s="22">
        <v>-1.7636099999999998E-2</v>
      </c>
      <c r="AB219" s="22">
        <v>209</v>
      </c>
      <c r="AC219" s="22">
        <v>0.77697799999999995</v>
      </c>
      <c r="AD219">
        <f t="shared" si="40"/>
        <v>17.636099999999999</v>
      </c>
      <c r="AE219">
        <f t="shared" si="41"/>
        <v>13.713619726799998</v>
      </c>
      <c r="AF219" s="9"/>
      <c r="AG219" s="22">
        <v>0.95245400000000002</v>
      </c>
      <c r="AH219" s="22">
        <v>299.60000000000002</v>
      </c>
      <c r="AI219" s="22">
        <v>-1.75201E-2</v>
      </c>
      <c r="AJ219" s="22">
        <v>209</v>
      </c>
      <c r="AK219" s="22">
        <v>0.95184299999999999</v>
      </c>
      <c r="AL219">
        <f t="shared" si="42"/>
        <v>17.520099999999999</v>
      </c>
      <c r="AM219">
        <f t="shared" si="43"/>
        <v>16.687089325399999</v>
      </c>
      <c r="AP219" s="9"/>
      <c r="AQ219" s="22">
        <v>0.77758799999999995</v>
      </c>
      <c r="AR219" s="22">
        <v>395.56299999999999</v>
      </c>
      <c r="AS219" s="22">
        <v>-1.7569000000000001E-2</v>
      </c>
      <c r="AT219" s="22">
        <v>209</v>
      </c>
      <c r="AU219" s="22">
        <v>0.77667200000000003</v>
      </c>
      <c r="AV219">
        <f t="shared" si="44"/>
        <v>17.569000000000003</v>
      </c>
      <c r="AW219">
        <f t="shared" si="45"/>
        <v>13.661443572000001</v>
      </c>
      <c r="AX219" s="9"/>
      <c r="AY219" s="22">
        <v>0.95245400000000002</v>
      </c>
      <c r="AZ219" s="22">
        <v>489.83199999999999</v>
      </c>
      <c r="BA219" s="22">
        <v>-1.7489600000000001E-2</v>
      </c>
      <c r="BB219" s="22">
        <v>209</v>
      </c>
      <c r="BC219" s="22">
        <v>0.95184299999999999</v>
      </c>
      <c r="BD219">
        <f t="shared" si="46"/>
        <v>17.489599999999999</v>
      </c>
      <c r="BE219">
        <f t="shared" si="47"/>
        <v>16.658039478399999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76.676599999999993</v>
      </c>
      <c r="I220" s="22">
        <v>5.8200099999999998E-2</v>
      </c>
      <c r="J220" s="22">
        <v>210</v>
      </c>
      <c r="K220" s="22">
        <v>8.2946800000000001E-2</v>
      </c>
      <c r="L220">
        <f t="shared" si="36"/>
        <v>-58.200099999999999</v>
      </c>
      <c r="M220">
        <f t="shared" si="37"/>
        <v>-44.962603655199999</v>
      </c>
      <c r="N220" s="9"/>
      <c r="O220" s="22">
        <v>0.95748900000000003</v>
      </c>
      <c r="P220" s="22">
        <v>148.89599999999999</v>
      </c>
      <c r="Q220" s="22">
        <v>-1.7611700000000001E-2</v>
      </c>
      <c r="R220" s="22">
        <v>210</v>
      </c>
      <c r="S220" s="22">
        <v>0.95733599999999996</v>
      </c>
      <c r="T220">
        <f t="shared" si="38"/>
        <v>17.611700000000003</v>
      </c>
      <c r="U220">
        <f t="shared" si="39"/>
        <v>16.863009021300002</v>
      </c>
      <c r="X220" s="9"/>
      <c r="Y220" s="22">
        <v>0.77255200000000002</v>
      </c>
      <c r="Z220" s="22">
        <v>207.68299999999999</v>
      </c>
      <c r="AA220" s="22">
        <v>-1.7639200000000001E-2</v>
      </c>
      <c r="AB220" s="22">
        <v>210</v>
      </c>
      <c r="AC220" s="22">
        <v>0.77178999999999998</v>
      </c>
      <c r="AD220">
        <f t="shared" si="40"/>
        <v>17.639200000000002</v>
      </c>
      <c r="AE220">
        <f t="shared" si="41"/>
        <v>13.627199238400003</v>
      </c>
      <c r="AF220" s="9"/>
      <c r="AG220" s="22">
        <v>0.95748900000000003</v>
      </c>
      <c r="AH220" s="22">
        <v>299.70100000000002</v>
      </c>
      <c r="AI220" s="22">
        <v>-1.75079E-2</v>
      </c>
      <c r="AJ220" s="22">
        <v>210</v>
      </c>
      <c r="AK220" s="22">
        <v>0.95672599999999997</v>
      </c>
      <c r="AL220">
        <f t="shared" si="42"/>
        <v>17.507899999999999</v>
      </c>
      <c r="AM220">
        <f t="shared" si="43"/>
        <v>16.7636216631</v>
      </c>
      <c r="AP220" s="9"/>
      <c r="AQ220" s="22">
        <v>0.77255200000000002</v>
      </c>
      <c r="AR220" s="22">
        <v>395.66399999999999</v>
      </c>
      <c r="AS220" s="22">
        <v>-1.7581200000000002E-2</v>
      </c>
      <c r="AT220" s="22">
        <v>210</v>
      </c>
      <c r="AU220" s="22">
        <v>0.77148399999999995</v>
      </c>
      <c r="AV220">
        <f t="shared" si="44"/>
        <v>17.581200000000003</v>
      </c>
      <c r="AW220">
        <f t="shared" si="45"/>
        <v>13.582391222400002</v>
      </c>
      <c r="AX220" s="9"/>
      <c r="AY220" s="22">
        <v>0.95748900000000003</v>
      </c>
      <c r="AZ220" s="22">
        <v>489.93200000000002</v>
      </c>
      <c r="BA220" s="22">
        <v>-1.7489600000000001E-2</v>
      </c>
      <c r="BB220" s="22">
        <v>210</v>
      </c>
      <c r="BC220" s="22">
        <v>0.95611599999999997</v>
      </c>
      <c r="BD220">
        <f t="shared" si="46"/>
        <v>17.489599999999999</v>
      </c>
      <c r="BE220">
        <f t="shared" si="47"/>
        <v>16.746099614399999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76.777299999999997</v>
      </c>
      <c r="I221" s="22">
        <v>5.8129899999999998E-2</v>
      </c>
      <c r="J221" s="22">
        <v>211</v>
      </c>
      <c r="K221" s="22">
        <v>8.2977300000000004E-2</v>
      </c>
      <c r="L221">
        <f t="shared" si="36"/>
        <v>-58.129899999999999</v>
      </c>
      <c r="M221">
        <f t="shared" si="37"/>
        <v>-44.615686458299997</v>
      </c>
      <c r="N221" s="9"/>
      <c r="O221" s="22">
        <v>0.96252400000000005</v>
      </c>
      <c r="P221" s="22">
        <v>148.99600000000001</v>
      </c>
      <c r="Q221" s="22">
        <v>-1.7617799999999999E-2</v>
      </c>
      <c r="R221" s="22">
        <v>211</v>
      </c>
      <c r="S221" s="22">
        <v>0.96191400000000005</v>
      </c>
      <c r="T221">
        <f t="shared" si="38"/>
        <v>17.617799999999999</v>
      </c>
      <c r="U221">
        <f t="shared" si="39"/>
        <v>16.957555327200001</v>
      </c>
      <c r="X221" s="9"/>
      <c r="Y221" s="22">
        <v>0.767517</v>
      </c>
      <c r="Z221" s="22">
        <v>207.78299999999999</v>
      </c>
      <c r="AA221" s="22">
        <v>-1.76422E-2</v>
      </c>
      <c r="AB221" s="22">
        <v>211</v>
      </c>
      <c r="AC221" s="22">
        <v>0.76629599999999998</v>
      </c>
      <c r="AD221">
        <f t="shared" si="40"/>
        <v>17.642199999999999</v>
      </c>
      <c r="AE221">
        <f t="shared" si="41"/>
        <v>13.5406884174</v>
      </c>
      <c r="AF221" s="9"/>
      <c r="AG221" s="22">
        <v>0.96252400000000005</v>
      </c>
      <c r="AH221" s="22">
        <v>299.80200000000002</v>
      </c>
      <c r="AI221" s="22">
        <v>-1.75079E-2</v>
      </c>
      <c r="AJ221" s="22">
        <v>211</v>
      </c>
      <c r="AK221" s="22">
        <v>0.96160900000000005</v>
      </c>
      <c r="AL221">
        <f t="shared" si="42"/>
        <v>17.507899999999999</v>
      </c>
      <c r="AM221">
        <f t="shared" si="43"/>
        <v>16.851773939600001</v>
      </c>
      <c r="AP221" s="9"/>
      <c r="AQ221" s="22">
        <v>0.767517</v>
      </c>
      <c r="AR221" s="22">
        <v>395.76400000000001</v>
      </c>
      <c r="AS221" s="22">
        <v>-1.7569000000000001E-2</v>
      </c>
      <c r="AT221" s="22">
        <v>211</v>
      </c>
      <c r="AU221" s="22">
        <v>0.76599099999999998</v>
      </c>
      <c r="AV221">
        <f t="shared" si="44"/>
        <v>17.569000000000003</v>
      </c>
      <c r="AW221">
        <f t="shared" si="45"/>
        <v>13.484506173000002</v>
      </c>
      <c r="AX221" s="9"/>
      <c r="AY221" s="22">
        <v>0.96252400000000005</v>
      </c>
      <c r="AZ221" s="22">
        <v>490.03300000000002</v>
      </c>
      <c r="BA221" s="22">
        <v>-1.7486600000000001E-2</v>
      </c>
      <c r="BB221" s="22">
        <v>211</v>
      </c>
      <c r="BC221" s="22">
        <v>0.96099900000000005</v>
      </c>
      <c r="BD221">
        <f t="shared" si="46"/>
        <v>17.486600000000003</v>
      </c>
      <c r="BE221">
        <f t="shared" si="47"/>
        <v>16.831272178400003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76.878</v>
      </c>
      <c r="I222" s="22">
        <v>5.8120699999999997E-2</v>
      </c>
      <c r="J222" s="22">
        <v>212</v>
      </c>
      <c r="K222" s="22">
        <v>8.2977300000000004E-2</v>
      </c>
      <c r="L222">
        <f t="shared" si="36"/>
        <v>-58.120699999999999</v>
      </c>
      <c r="M222">
        <f t="shared" si="37"/>
        <v>-44.315987577400001</v>
      </c>
      <c r="N222" s="9"/>
      <c r="O222" s="22">
        <v>0.96755999999999998</v>
      </c>
      <c r="P222" s="22">
        <v>149.09700000000001</v>
      </c>
      <c r="Q222" s="22">
        <v>-1.76147E-2</v>
      </c>
      <c r="R222" s="22">
        <v>212</v>
      </c>
      <c r="S222" s="22">
        <v>0.96679700000000002</v>
      </c>
      <c r="T222">
        <f t="shared" si="38"/>
        <v>17.614699999999999</v>
      </c>
      <c r="U222">
        <f t="shared" si="39"/>
        <v>17.043279131999999</v>
      </c>
      <c r="X222" s="9"/>
      <c r="Y222" s="22">
        <v>0.76248199999999999</v>
      </c>
      <c r="Z222" s="22">
        <v>207.88399999999999</v>
      </c>
      <c r="AA222" s="22">
        <v>-1.76422E-2</v>
      </c>
      <c r="AB222" s="22">
        <v>212</v>
      </c>
      <c r="AC222" s="22">
        <v>0.76202400000000003</v>
      </c>
      <c r="AD222">
        <f t="shared" si="40"/>
        <v>17.642199999999999</v>
      </c>
      <c r="AE222">
        <f t="shared" si="41"/>
        <v>13.451859940399999</v>
      </c>
      <c r="AF222" s="9"/>
      <c r="AG222" s="22">
        <v>0.96755999999999998</v>
      </c>
      <c r="AH222" s="22">
        <v>299.90300000000002</v>
      </c>
      <c r="AI222" s="22">
        <v>-1.7510999999999999E-2</v>
      </c>
      <c r="AJ222" s="22">
        <v>212</v>
      </c>
      <c r="AK222" s="22">
        <v>0.96649200000000002</v>
      </c>
      <c r="AL222">
        <f t="shared" si="42"/>
        <v>17.510999999999999</v>
      </c>
      <c r="AM222">
        <f t="shared" si="43"/>
        <v>16.942943159999999</v>
      </c>
      <c r="AP222" s="9"/>
      <c r="AQ222" s="22">
        <v>0.76248199999999999</v>
      </c>
      <c r="AR222" s="22">
        <v>395.86500000000001</v>
      </c>
      <c r="AS222" s="22">
        <v>-1.75751E-2</v>
      </c>
      <c r="AT222" s="22">
        <v>212</v>
      </c>
      <c r="AU222" s="22">
        <v>0.76202400000000003</v>
      </c>
      <c r="AV222">
        <f t="shared" si="44"/>
        <v>17.575099999999999</v>
      </c>
      <c r="AW222">
        <f t="shared" si="45"/>
        <v>13.400697398199998</v>
      </c>
      <c r="AX222" s="9"/>
      <c r="AY222" s="22">
        <v>0.96755999999999998</v>
      </c>
      <c r="AZ222" s="22">
        <v>490.13400000000001</v>
      </c>
      <c r="BA222" s="22">
        <v>-1.7483499999999999E-2</v>
      </c>
      <c r="BB222" s="22">
        <v>212</v>
      </c>
      <c r="BC222" s="22">
        <v>0.96679700000000002</v>
      </c>
      <c r="BD222">
        <f t="shared" si="46"/>
        <v>17.483499999999999</v>
      </c>
      <c r="BE222">
        <f t="shared" si="47"/>
        <v>16.91633526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76.978700000000003</v>
      </c>
      <c r="I223" s="22">
        <v>5.80933E-2</v>
      </c>
      <c r="J223" s="22">
        <v>213</v>
      </c>
      <c r="K223" s="22">
        <v>8.2885700000000007E-2</v>
      </c>
      <c r="L223">
        <f t="shared" si="36"/>
        <v>-58.093299999999999</v>
      </c>
      <c r="M223">
        <f t="shared" si="37"/>
        <v>-44.002537711799995</v>
      </c>
      <c r="N223" s="9"/>
      <c r="O223" s="22">
        <v>0.97259499999999999</v>
      </c>
      <c r="P223" s="22">
        <v>149.19800000000001</v>
      </c>
      <c r="Q223" s="22">
        <v>-1.7611700000000001E-2</v>
      </c>
      <c r="R223" s="22">
        <v>213</v>
      </c>
      <c r="S223" s="22">
        <v>0.97167999999999999</v>
      </c>
      <c r="T223">
        <f t="shared" si="38"/>
        <v>17.611700000000003</v>
      </c>
      <c r="U223">
        <f t="shared" si="39"/>
        <v>17.129051361500004</v>
      </c>
      <c r="X223" s="9"/>
      <c r="Y223" s="22">
        <v>0.75744599999999995</v>
      </c>
      <c r="Z223" s="22">
        <v>207.98500000000001</v>
      </c>
      <c r="AA223" s="22">
        <v>-1.7645299999999999E-2</v>
      </c>
      <c r="AB223" s="22">
        <v>213</v>
      </c>
      <c r="AC223" s="22">
        <v>0.75683599999999995</v>
      </c>
      <c r="AD223">
        <f t="shared" si="40"/>
        <v>17.645299999999999</v>
      </c>
      <c r="AE223">
        <f t="shared" si="41"/>
        <v>13.365361903799998</v>
      </c>
      <c r="AF223" s="9"/>
      <c r="AG223" s="22">
        <v>0.97259499999999999</v>
      </c>
      <c r="AH223" s="22">
        <v>300.00299999999999</v>
      </c>
      <c r="AI223" s="22">
        <v>-1.7501800000000001E-2</v>
      </c>
      <c r="AJ223" s="22">
        <v>213</v>
      </c>
      <c r="AK223" s="22">
        <v>0.97137499999999999</v>
      </c>
      <c r="AL223">
        <f t="shared" si="42"/>
        <v>17.501800000000003</v>
      </c>
      <c r="AM223">
        <f t="shared" si="43"/>
        <v>17.022163171000003</v>
      </c>
      <c r="AP223" s="9"/>
      <c r="AQ223" s="22">
        <v>0.75744599999999995</v>
      </c>
      <c r="AR223" s="22">
        <v>395.96600000000001</v>
      </c>
      <c r="AS223" s="22">
        <v>-1.7581200000000002E-2</v>
      </c>
      <c r="AT223" s="22">
        <v>213</v>
      </c>
      <c r="AU223" s="22">
        <v>0.75653099999999995</v>
      </c>
      <c r="AV223">
        <f t="shared" si="44"/>
        <v>17.581200000000003</v>
      </c>
      <c r="AW223">
        <f t="shared" si="45"/>
        <v>13.3168096152</v>
      </c>
      <c r="AX223" s="9"/>
      <c r="AY223" s="22">
        <v>0.97259499999999999</v>
      </c>
      <c r="AZ223" s="22">
        <v>490.23399999999998</v>
      </c>
      <c r="BA223" s="22">
        <v>-1.7483499999999999E-2</v>
      </c>
      <c r="BB223" s="22">
        <v>213</v>
      </c>
      <c r="BC223" s="22">
        <v>0.97106899999999996</v>
      </c>
      <c r="BD223">
        <f t="shared" si="46"/>
        <v>17.483499999999999</v>
      </c>
      <c r="BE223">
        <f t="shared" si="47"/>
        <v>17.0043646825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77.079400000000007</v>
      </c>
      <c r="I224" s="22">
        <v>5.8099400000000002E-2</v>
      </c>
      <c r="J224" s="22">
        <v>214</v>
      </c>
      <c r="K224" s="22">
        <v>8.2977300000000004E-2</v>
      </c>
      <c r="L224">
        <f t="shared" si="36"/>
        <v>-58.099400000000003</v>
      </c>
      <c r="M224">
        <f t="shared" si="37"/>
        <v>-43.714627653400008</v>
      </c>
      <c r="N224" s="9"/>
      <c r="O224" s="22">
        <v>0.97763100000000003</v>
      </c>
      <c r="P224" s="22">
        <v>149.29900000000001</v>
      </c>
      <c r="Q224" s="22">
        <v>-1.7596400000000002E-2</v>
      </c>
      <c r="R224" s="22">
        <v>214</v>
      </c>
      <c r="S224" s="22">
        <v>0.97656299999999996</v>
      </c>
      <c r="T224">
        <f t="shared" si="38"/>
        <v>17.596400000000003</v>
      </c>
      <c r="U224">
        <f t="shared" si="39"/>
        <v>17.202786128400003</v>
      </c>
      <c r="X224" s="9"/>
      <c r="Y224" s="22">
        <v>0.75241100000000005</v>
      </c>
      <c r="Z224" s="22">
        <v>208.08500000000001</v>
      </c>
      <c r="AA224" s="22">
        <v>-1.7645299999999999E-2</v>
      </c>
      <c r="AB224" s="22">
        <v>214</v>
      </c>
      <c r="AC224" s="22">
        <v>0.75164799999999998</v>
      </c>
      <c r="AD224">
        <f t="shared" si="40"/>
        <v>17.645299999999999</v>
      </c>
      <c r="AE224">
        <f t="shared" si="41"/>
        <v>13.2765178183</v>
      </c>
      <c r="AF224" s="9"/>
      <c r="AG224" s="22">
        <v>0.97763100000000003</v>
      </c>
      <c r="AH224" s="22">
        <v>300.10399999999998</v>
      </c>
      <c r="AI224" s="22">
        <v>-1.7498799999999998E-2</v>
      </c>
      <c r="AJ224" s="22">
        <v>214</v>
      </c>
      <c r="AK224" s="22">
        <v>0.97656299999999996</v>
      </c>
      <c r="AL224">
        <f t="shared" si="42"/>
        <v>17.498799999999999</v>
      </c>
      <c r="AM224">
        <f t="shared" si="43"/>
        <v>17.107369342799998</v>
      </c>
      <c r="AP224" s="9"/>
      <c r="AQ224" s="22">
        <v>0.75241100000000005</v>
      </c>
      <c r="AR224" s="22">
        <v>396.06700000000001</v>
      </c>
      <c r="AS224" s="22">
        <v>-1.7569000000000001E-2</v>
      </c>
      <c r="AT224" s="22">
        <v>214</v>
      </c>
      <c r="AU224" s="22">
        <v>0.75103799999999998</v>
      </c>
      <c r="AV224">
        <f t="shared" si="44"/>
        <v>17.569000000000003</v>
      </c>
      <c r="AW224">
        <f t="shared" si="45"/>
        <v>13.219108859000002</v>
      </c>
      <c r="AX224" s="9"/>
      <c r="AY224" s="22">
        <v>0.97763100000000003</v>
      </c>
      <c r="AZ224" s="22">
        <v>490.33499999999998</v>
      </c>
      <c r="BA224" s="22">
        <v>-1.7486600000000001E-2</v>
      </c>
      <c r="BB224" s="22">
        <v>214</v>
      </c>
      <c r="BC224" s="22">
        <v>0.97717299999999996</v>
      </c>
      <c r="BD224">
        <f t="shared" si="46"/>
        <v>17.486600000000003</v>
      </c>
      <c r="BE224">
        <f t="shared" si="47"/>
        <v>17.095442244600004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77.180099999999996</v>
      </c>
      <c r="I225" s="22">
        <v>5.8071900000000003E-2</v>
      </c>
      <c r="J225" s="22">
        <v>215</v>
      </c>
      <c r="K225" s="22">
        <v>8.2916299999999998E-2</v>
      </c>
      <c r="L225">
        <f t="shared" si="36"/>
        <v>-58.071899999999999</v>
      </c>
      <c r="M225">
        <f t="shared" si="37"/>
        <v>-43.401486262500001</v>
      </c>
      <c r="N225" s="9"/>
      <c r="O225" s="22">
        <v>0.98266600000000004</v>
      </c>
      <c r="P225" s="22">
        <v>149.399</v>
      </c>
      <c r="Q225" s="22">
        <v>-1.7599500000000001E-2</v>
      </c>
      <c r="R225" s="22">
        <v>215</v>
      </c>
      <c r="S225" s="22">
        <v>0.98327600000000004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0.74737500000000001</v>
      </c>
      <c r="Z225" s="22">
        <v>208.18600000000001</v>
      </c>
      <c r="AA225" s="22">
        <v>-1.7654400000000001E-2</v>
      </c>
      <c r="AB225" s="22">
        <v>215</v>
      </c>
      <c r="AC225" s="22">
        <v>0.74697899999999995</v>
      </c>
      <c r="AD225">
        <f t="shared" si="40"/>
        <v>17.654399999999999</v>
      </c>
      <c r="AE225">
        <f t="shared" si="41"/>
        <v>13.194457199999999</v>
      </c>
      <c r="AF225" s="9"/>
      <c r="AG225" s="22">
        <v>0.98266600000000004</v>
      </c>
      <c r="AH225" s="22">
        <v>300.20499999999998</v>
      </c>
      <c r="AI225" s="22">
        <v>-1.7495699999999999E-2</v>
      </c>
      <c r="AJ225" s="22">
        <v>215</v>
      </c>
      <c r="AK225" s="22">
        <v>0.98205600000000004</v>
      </c>
      <c r="AL225">
        <f t="shared" si="42"/>
        <v>17.495699999999999</v>
      </c>
      <c r="AM225">
        <f t="shared" si="43"/>
        <v>17.192429536199999</v>
      </c>
      <c r="AP225" s="9"/>
      <c r="AQ225" s="22">
        <v>0.74737500000000001</v>
      </c>
      <c r="AR225" s="22">
        <v>396.16699999999997</v>
      </c>
      <c r="AS225" s="22">
        <v>-1.7581200000000002E-2</v>
      </c>
      <c r="AT225" s="22">
        <v>215</v>
      </c>
      <c r="AU225" s="22">
        <v>0.74661299999999997</v>
      </c>
      <c r="AV225">
        <f t="shared" si="44"/>
        <v>17.581200000000003</v>
      </c>
      <c r="AW225">
        <f t="shared" si="45"/>
        <v>13.139749350000002</v>
      </c>
      <c r="AX225" s="9"/>
      <c r="AY225" s="22">
        <v>0.98266600000000004</v>
      </c>
      <c r="AZ225" s="22">
        <v>490.43599999999998</v>
      </c>
      <c r="BA225" s="22">
        <v>-1.7474400000000001E-2</v>
      </c>
      <c r="BB225" s="22">
        <v>215</v>
      </c>
      <c r="BC225" s="22">
        <v>0.98175000000000001</v>
      </c>
      <c r="BD225">
        <f t="shared" si="46"/>
        <v>17.474400000000003</v>
      </c>
      <c r="BE225">
        <f t="shared" si="47"/>
        <v>17.171498750400005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77.280799999999999</v>
      </c>
      <c r="I226" s="22">
        <v>5.8016999999999999E-2</v>
      </c>
      <c r="J226" s="22">
        <v>216</v>
      </c>
      <c r="K226" s="22">
        <v>8.2946800000000001E-2</v>
      </c>
      <c r="L226">
        <f t="shared" si="36"/>
        <v>-58.016999999999996</v>
      </c>
      <c r="M226">
        <f t="shared" si="37"/>
        <v>-43.068339779999995</v>
      </c>
      <c r="N226" s="9"/>
      <c r="O226" s="22">
        <v>0.98770100000000005</v>
      </c>
      <c r="P226" s="22">
        <v>149.5</v>
      </c>
      <c r="Q226" s="22">
        <v>-1.7605599999999999E-2</v>
      </c>
      <c r="R226" s="22">
        <v>216</v>
      </c>
      <c r="S226" s="22">
        <v>0.98663299999999998</v>
      </c>
      <c r="T226">
        <f t="shared" si="38"/>
        <v>17.605599999999999</v>
      </c>
      <c r="U226">
        <f t="shared" si="39"/>
        <v>17.389068725600001</v>
      </c>
      <c r="X226" s="9"/>
      <c r="Y226" s="22">
        <v>0.74234</v>
      </c>
      <c r="Z226" s="22">
        <v>208.28700000000001</v>
      </c>
      <c r="AA226" s="22">
        <v>-1.7660499999999999E-2</v>
      </c>
      <c r="AB226" s="22">
        <v>216</v>
      </c>
      <c r="AC226" s="22">
        <v>0.741699</v>
      </c>
      <c r="AD226">
        <f t="shared" si="40"/>
        <v>17.660499999999999</v>
      </c>
      <c r="AE226">
        <f t="shared" si="41"/>
        <v>13.110095569999999</v>
      </c>
      <c r="AF226" s="9"/>
      <c r="AG226" s="22">
        <v>0.98770100000000005</v>
      </c>
      <c r="AH226" s="22">
        <v>300.30500000000001</v>
      </c>
      <c r="AI226" s="22">
        <v>-1.7498799999999998E-2</v>
      </c>
      <c r="AJ226" s="22">
        <v>216</v>
      </c>
      <c r="AK226" s="22">
        <v>0.98663299999999998</v>
      </c>
      <c r="AL226">
        <f t="shared" si="42"/>
        <v>17.498799999999999</v>
      </c>
      <c r="AM226">
        <f t="shared" si="43"/>
        <v>17.283582258799999</v>
      </c>
      <c r="AP226" s="9"/>
      <c r="AQ226" s="22">
        <v>0.74234</v>
      </c>
      <c r="AR226" s="22">
        <v>396.26799999999997</v>
      </c>
      <c r="AS226" s="22">
        <v>-1.7584200000000001E-2</v>
      </c>
      <c r="AT226" s="22">
        <v>216</v>
      </c>
      <c r="AU226" s="22">
        <v>0.74182099999999995</v>
      </c>
      <c r="AV226">
        <f t="shared" si="44"/>
        <v>17.584200000000003</v>
      </c>
      <c r="AW226">
        <f t="shared" si="45"/>
        <v>13.053455028000002</v>
      </c>
      <c r="AX226" s="9"/>
      <c r="AY226" s="22">
        <v>0.98770100000000005</v>
      </c>
      <c r="AZ226" s="22">
        <v>490.53699999999998</v>
      </c>
      <c r="BA226" s="22">
        <v>-1.7477400000000001E-2</v>
      </c>
      <c r="BB226" s="22">
        <v>216</v>
      </c>
      <c r="BC226" s="22">
        <v>0.98632799999999998</v>
      </c>
      <c r="BD226">
        <f t="shared" si="46"/>
        <v>17.477399999999999</v>
      </c>
      <c r="BE226">
        <f t="shared" si="47"/>
        <v>17.262445457400002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77.381500000000003</v>
      </c>
      <c r="I227" s="22">
        <v>5.7977300000000002E-2</v>
      </c>
      <c r="J227" s="22">
        <v>217</v>
      </c>
      <c r="K227" s="22">
        <v>8.2916299999999998E-2</v>
      </c>
      <c r="L227">
        <f t="shared" si="36"/>
        <v>-57.9773</v>
      </c>
      <c r="M227">
        <f t="shared" si="37"/>
        <v>-42.7469531765</v>
      </c>
      <c r="N227" s="9"/>
      <c r="O227" s="22">
        <v>0.99273699999999998</v>
      </c>
      <c r="P227" s="22">
        <v>149.601</v>
      </c>
      <c r="Q227" s="22">
        <v>-1.7599500000000001E-2</v>
      </c>
      <c r="R227" s="22">
        <v>217</v>
      </c>
      <c r="S227" s="22">
        <v>0.99243199999999998</v>
      </c>
      <c r="T227">
        <f t="shared" si="38"/>
        <v>17.599499999999999</v>
      </c>
      <c r="U227">
        <f t="shared" si="39"/>
        <v>17.4716748315</v>
      </c>
      <c r="X227" s="9"/>
      <c r="Y227" s="22">
        <v>0.73730499999999999</v>
      </c>
      <c r="Z227" s="22">
        <v>208.38800000000001</v>
      </c>
      <c r="AA227" s="22">
        <v>-1.7666600000000001E-2</v>
      </c>
      <c r="AB227" s="22">
        <v>217</v>
      </c>
      <c r="AC227" s="22">
        <v>0.73654200000000003</v>
      </c>
      <c r="AD227">
        <f t="shared" si="40"/>
        <v>17.666600000000003</v>
      </c>
      <c r="AE227">
        <f t="shared" si="41"/>
        <v>13.025672513000002</v>
      </c>
      <c r="AF227" s="9"/>
      <c r="AG227" s="22">
        <v>0.99273699999999998</v>
      </c>
      <c r="AH227" s="22">
        <v>300.40600000000001</v>
      </c>
      <c r="AI227" s="22">
        <v>-1.7489600000000001E-2</v>
      </c>
      <c r="AJ227" s="22">
        <v>217</v>
      </c>
      <c r="AK227" s="22">
        <v>0.99182099999999995</v>
      </c>
      <c r="AL227">
        <f t="shared" si="42"/>
        <v>17.489599999999999</v>
      </c>
      <c r="AM227">
        <f t="shared" si="43"/>
        <v>17.362573035200001</v>
      </c>
      <c r="AP227" s="9"/>
      <c r="AQ227" s="22">
        <v>0.73730499999999999</v>
      </c>
      <c r="AR227" s="22">
        <v>396.36900000000003</v>
      </c>
      <c r="AS227" s="22">
        <v>-1.7578099999999999E-2</v>
      </c>
      <c r="AT227" s="22">
        <v>217</v>
      </c>
      <c r="AU227" s="22">
        <v>0.73663299999999998</v>
      </c>
      <c r="AV227">
        <f t="shared" si="44"/>
        <v>17.578099999999999</v>
      </c>
      <c r="AW227">
        <f t="shared" si="45"/>
        <v>12.960421020499998</v>
      </c>
      <c r="AX227" s="9"/>
      <c r="AY227" s="22">
        <v>0.99273699999999998</v>
      </c>
      <c r="AZ227" s="22">
        <v>490.637</v>
      </c>
      <c r="BA227" s="22">
        <v>-1.7474400000000001E-2</v>
      </c>
      <c r="BB227" s="22">
        <v>217</v>
      </c>
      <c r="BC227" s="22">
        <v>0.99182099999999995</v>
      </c>
      <c r="BD227">
        <f t="shared" si="46"/>
        <v>17.474400000000003</v>
      </c>
      <c r="BE227">
        <f t="shared" si="47"/>
        <v>17.347483432800001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77.482200000000006</v>
      </c>
      <c r="I228" s="22">
        <v>5.7992599999999998E-2</v>
      </c>
      <c r="J228" s="22">
        <v>218</v>
      </c>
      <c r="K228" s="22">
        <v>8.2946800000000001E-2</v>
      </c>
      <c r="L228">
        <f t="shared" si="36"/>
        <v>-57.992599999999996</v>
      </c>
      <c r="M228">
        <f t="shared" si="37"/>
        <v>-42.466183209399993</v>
      </c>
      <c r="N228" s="9"/>
      <c r="O228" s="22">
        <v>0.99777199999999999</v>
      </c>
      <c r="P228" s="22">
        <v>149.70099999999999</v>
      </c>
      <c r="Q228" s="22">
        <v>-1.7593399999999999E-2</v>
      </c>
      <c r="R228" s="22">
        <v>218</v>
      </c>
      <c r="S228" s="22">
        <v>0.99731400000000003</v>
      </c>
      <c r="T228">
        <f t="shared" si="38"/>
        <v>17.593399999999999</v>
      </c>
      <c r="U228">
        <f t="shared" si="39"/>
        <v>17.554201904799999</v>
      </c>
      <c r="X228" s="9"/>
      <c r="Y228" s="22">
        <v>0.73226899999999995</v>
      </c>
      <c r="Z228" s="22">
        <v>208.488</v>
      </c>
      <c r="AA228" s="22">
        <v>-1.7675799999999998E-2</v>
      </c>
      <c r="AB228" s="22">
        <v>218</v>
      </c>
      <c r="AC228" s="22">
        <v>0.73165899999999995</v>
      </c>
      <c r="AD228">
        <f t="shared" si="40"/>
        <v>17.675799999999999</v>
      </c>
      <c r="AE228">
        <f t="shared" si="41"/>
        <v>12.943440390199997</v>
      </c>
      <c r="AF228" s="9"/>
      <c r="AG228" s="22">
        <v>0.99777199999999999</v>
      </c>
      <c r="AH228" s="22">
        <v>300.50700000000001</v>
      </c>
      <c r="AI228" s="22">
        <v>-1.7501800000000001E-2</v>
      </c>
      <c r="AJ228" s="22">
        <v>218</v>
      </c>
      <c r="AK228" s="22">
        <v>0.99670400000000003</v>
      </c>
      <c r="AL228">
        <f t="shared" si="42"/>
        <v>17.501800000000003</v>
      </c>
      <c r="AM228">
        <f t="shared" si="43"/>
        <v>17.462805989600003</v>
      </c>
      <c r="AP228" s="9"/>
      <c r="AQ228" s="22">
        <v>0.73226899999999995</v>
      </c>
      <c r="AR228" s="22">
        <v>396.46899999999999</v>
      </c>
      <c r="AS228" s="22">
        <v>-1.7599500000000001E-2</v>
      </c>
      <c r="AT228" s="22">
        <v>218</v>
      </c>
      <c r="AU228" s="22">
        <v>0.73159799999999997</v>
      </c>
      <c r="AV228">
        <f t="shared" si="44"/>
        <v>17.599499999999999</v>
      </c>
      <c r="AW228">
        <f t="shared" si="45"/>
        <v>12.887568265499999</v>
      </c>
      <c r="AX228" s="9"/>
      <c r="AY228" s="22">
        <v>0.99777199999999999</v>
      </c>
      <c r="AZ228" s="22">
        <v>490.738</v>
      </c>
      <c r="BA228" s="22">
        <v>-1.7468299999999999E-2</v>
      </c>
      <c r="BB228" s="22">
        <v>218</v>
      </c>
      <c r="BC228" s="22">
        <v>0.99731400000000003</v>
      </c>
      <c r="BD228">
        <f t="shared" si="46"/>
        <v>17.468299999999999</v>
      </c>
      <c r="BE228">
        <f t="shared" si="47"/>
        <v>17.429380627600001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77.582899999999995</v>
      </c>
      <c r="I229" s="22">
        <v>5.79987E-2</v>
      </c>
      <c r="J229" s="22">
        <v>219</v>
      </c>
      <c r="K229" s="22">
        <v>8.2855200000000004E-2</v>
      </c>
      <c r="L229">
        <f t="shared" si="36"/>
        <v>-57.998699999999999</v>
      </c>
      <c r="M229">
        <f t="shared" si="37"/>
        <v>-42.178626595800004</v>
      </c>
      <c r="N229" s="9"/>
      <c r="O229" s="22">
        <v>1.00281</v>
      </c>
      <c r="P229" s="22">
        <v>149.80199999999999</v>
      </c>
      <c r="Q229" s="22">
        <v>-1.7599500000000001E-2</v>
      </c>
      <c r="R229" s="22">
        <v>219</v>
      </c>
      <c r="S229" s="22">
        <v>1.0018899999999999</v>
      </c>
      <c r="T229">
        <f t="shared" si="38"/>
        <v>17.599499999999999</v>
      </c>
      <c r="U229">
        <f t="shared" si="39"/>
        <v>17.648954594999999</v>
      </c>
      <c r="X229" s="9"/>
      <c r="Y229" s="22">
        <v>0.72723400000000005</v>
      </c>
      <c r="Z229" s="22">
        <v>208.589</v>
      </c>
      <c r="AA229" s="22">
        <v>-1.7666600000000001E-2</v>
      </c>
      <c r="AB229" s="22">
        <v>219</v>
      </c>
      <c r="AC229" s="22">
        <v>0.72656299999999996</v>
      </c>
      <c r="AD229">
        <f t="shared" si="40"/>
        <v>17.666600000000003</v>
      </c>
      <c r="AE229">
        <f t="shared" si="41"/>
        <v>12.847752184400003</v>
      </c>
      <c r="AF229" s="9"/>
      <c r="AG229" s="22">
        <v>1.00281</v>
      </c>
      <c r="AH229" s="22">
        <v>300.608</v>
      </c>
      <c r="AI229" s="22">
        <v>-1.74927E-2</v>
      </c>
      <c r="AJ229" s="22">
        <v>219</v>
      </c>
      <c r="AK229" s="22">
        <v>1.00098</v>
      </c>
      <c r="AL229">
        <f t="shared" si="42"/>
        <v>17.492699999999999</v>
      </c>
      <c r="AM229">
        <f t="shared" si="43"/>
        <v>17.541854486999998</v>
      </c>
      <c r="AP229" s="9"/>
      <c r="AQ229" s="22">
        <v>0.72723400000000005</v>
      </c>
      <c r="AR229" s="22">
        <v>396.57</v>
      </c>
      <c r="AS229" s="22">
        <v>-1.75903E-2</v>
      </c>
      <c r="AT229" s="22">
        <v>219</v>
      </c>
      <c r="AU229" s="22">
        <v>0.72656299999999996</v>
      </c>
      <c r="AV229">
        <f t="shared" si="44"/>
        <v>17.590299999999999</v>
      </c>
      <c r="AW229">
        <f t="shared" si="45"/>
        <v>12.792264230200001</v>
      </c>
      <c r="AX229" s="9"/>
      <c r="AY229" s="22">
        <v>1.00281</v>
      </c>
      <c r="AZ229" s="22">
        <v>490.839</v>
      </c>
      <c r="BA229" s="22">
        <v>-1.74652E-2</v>
      </c>
      <c r="BB229" s="22">
        <v>219</v>
      </c>
      <c r="BC229" s="22">
        <v>1.0012799999999999</v>
      </c>
      <c r="BD229">
        <f t="shared" si="46"/>
        <v>17.465199999999999</v>
      </c>
      <c r="BE229">
        <f t="shared" si="47"/>
        <v>17.514277212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77.683700000000002</v>
      </c>
      <c r="I230" s="22">
        <v>5.7940699999999998E-2</v>
      </c>
      <c r="J230" s="22">
        <v>220</v>
      </c>
      <c r="K230" s="22">
        <v>8.2824700000000001E-2</v>
      </c>
      <c r="L230">
        <f t="shared" si="36"/>
        <v>-57.9407</v>
      </c>
      <c r="M230">
        <f t="shared" si="37"/>
        <v>-41.844657658599999</v>
      </c>
      <c r="N230" s="9"/>
      <c r="O230" s="22">
        <v>1.0078400000000001</v>
      </c>
      <c r="P230" s="22">
        <v>149.90299999999999</v>
      </c>
      <c r="Q230" s="22">
        <v>-1.7593399999999999E-2</v>
      </c>
      <c r="R230" s="22">
        <v>220</v>
      </c>
      <c r="S230" s="22">
        <v>1.0067699999999999</v>
      </c>
      <c r="T230">
        <f t="shared" si="38"/>
        <v>17.593399999999999</v>
      </c>
      <c r="U230">
        <f t="shared" si="39"/>
        <v>17.731332256000002</v>
      </c>
      <c r="X230" s="9"/>
      <c r="Y230" s="22">
        <v>0.72219800000000001</v>
      </c>
      <c r="Z230" s="22">
        <v>208.69</v>
      </c>
      <c r="AA230" s="22">
        <v>-1.76697E-2</v>
      </c>
      <c r="AB230" s="22">
        <v>220</v>
      </c>
      <c r="AC230" s="22">
        <v>0.72149700000000005</v>
      </c>
      <c r="AD230">
        <f t="shared" si="40"/>
        <v>17.669699999999999</v>
      </c>
      <c r="AE230">
        <f t="shared" si="41"/>
        <v>12.761022000599999</v>
      </c>
      <c r="AF230" s="9"/>
      <c r="AG230" s="22">
        <v>1.0078400000000001</v>
      </c>
      <c r="AH230" s="22">
        <v>300.70800000000003</v>
      </c>
      <c r="AI230" s="22">
        <v>-1.7489600000000001E-2</v>
      </c>
      <c r="AJ230" s="22">
        <v>220</v>
      </c>
      <c r="AK230" s="22">
        <v>1.00739</v>
      </c>
      <c r="AL230">
        <f t="shared" si="42"/>
        <v>17.489599999999999</v>
      </c>
      <c r="AM230">
        <f t="shared" si="43"/>
        <v>17.626718464</v>
      </c>
      <c r="AP230" s="9"/>
      <c r="AQ230" s="22">
        <v>0.72219800000000001</v>
      </c>
      <c r="AR230" s="22">
        <v>396.67099999999999</v>
      </c>
      <c r="AS230" s="22">
        <v>-1.7593399999999999E-2</v>
      </c>
      <c r="AT230" s="22">
        <v>220</v>
      </c>
      <c r="AU230" s="22">
        <v>0.72155800000000003</v>
      </c>
      <c r="AV230">
        <f t="shared" si="44"/>
        <v>17.593399999999999</v>
      </c>
      <c r="AW230">
        <f t="shared" si="45"/>
        <v>12.7059182932</v>
      </c>
      <c r="AX230" s="9"/>
      <c r="AY230" s="22">
        <v>1.0078400000000001</v>
      </c>
      <c r="AZ230" s="22">
        <v>490.93900000000002</v>
      </c>
      <c r="BA230" s="22">
        <v>-1.7459100000000002E-2</v>
      </c>
      <c r="BB230" s="22">
        <v>220</v>
      </c>
      <c r="BC230" s="22">
        <v>1.00708</v>
      </c>
      <c r="BD230">
        <f t="shared" si="46"/>
        <v>17.459100000000003</v>
      </c>
      <c r="BE230">
        <f t="shared" si="47"/>
        <v>17.595979344000003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77.784400000000005</v>
      </c>
      <c r="I231" s="22">
        <v>5.7931499999999997E-2</v>
      </c>
      <c r="J231" s="22">
        <v>221</v>
      </c>
      <c r="K231" s="22">
        <v>8.2855200000000004E-2</v>
      </c>
      <c r="L231">
        <f t="shared" si="36"/>
        <v>-57.9315</v>
      </c>
      <c r="M231">
        <f t="shared" si="37"/>
        <v>-41.546328334499997</v>
      </c>
      <c r="N231" s="9"/>
      <c r="O231" s="22">
        <v>1.01288</v>
      </c>
      <c r="P231" s="22">
        <v>150.00399999999999</v>
      </c>
      <c r="Q231" s="22">
        <v>-1.7593399999999999E-2</v>
      </c>
      <c r="R231" s="22">
        <v>221</v>
      </c>
      <c r="S231" s="22">
        <v>1.01135</v>
      </c>
      <c r="T231">
        <f t="shared" si="38"/>
        <v>17.593399999999999</v>
      </c>
      <c r="U231">
        <f t="shared" si="39"/>
        <v>17.820002991999999</v>
      </c>
      <c r="X231" s="9"/>
      <c r="Y231" s="22">
        <v>0.71716299999999999</v>
      </c>
      <c r="Z231" s="22">
        <v>208.79</v>
      </c>
      <c r="AA231" s="22">
        <v>-1.76727E-2</v>
      </c>
      <c r="AB231" s="22">
        <v>221</v>
      </c>
      <c r="AC231" s="22">
        <v>0.71636999999999995</v>
      </c>
      <c r="AD231">
        <f t="shared" si="40"/>
        <v>17.672699999999999</v>
      </c>
      <c r="AE231">
        <f t="shared" si="41"/>
        <v>12.674206550099999</v>
      </c>
      <c r="AF231" s="9"/>
      <c r="AG231" s="22">
        <v>1.01288</v>
      </c>
      <c r="AH231" s="22">
        <v>300.80900000000003</v>
      </c>
      <c r="AI231" s="22">
        <v>-1.74805E-2</v>
      </c>
      <c r="AJ231" s="22">
        <v>221</v>
      </c>
      <c r="AK231" s="22">
        <v>1.01257</v>
      </c>
      <c r="AL231">
        <f t="shared" si="42"/>
        <v>17.480499999999999</v>
      </c>
      <c r="AM231">
        <f t="shared" si="43"/>
        <v>17.705648839999999</v>
      </c>
      <c r="AP231" s="9"/>
      <c r="AQ231" s="22">
        <v>0.71716299999999999</v>
      </c>
      <c r="AR231" s="22">
        <v>396.77199999999999</v>
      </c>
      <c r="AS231" s="22">
        <v>-1.7596400000000002E-2</v>
      </c>
      <c r="AT231" s="22">
        <v>221</v>
      </c>
      <c r="AU231" s="22">
        <v>0.71670500000000004</v>
      </c>
      <c r="AV231">
        <f t="shared" si="44"/>
        <v>17.596400000000003</v>
      </c>
      <c r="AW231">
        <f t="shared" si="45"/>
        <v>12.619487013200002</v>
      </c>
      <c r="AX231" s="9"/>
      <c r="AY231" s="22">
        <v>1.01288</v>
      </c>
      <c r="AZ231" s="22">
        <v>491.04</v>
      </c>
      <c r="BA231" s="22">
        <v>-1.7462200000000001E-2</v>
      </c>
      <c r="BB231" s="22">
        <v>221</v>
      </c>
      <c r="BC231" s="22">
        <v>1.01196</v>
      </c>
      <c r="BD231">
        <f t="shared" si="46"/>
        <v>17.462199999999999</v>
      </c>
      <c r="BE231">
        <f t="shared" si="47"/>
        <v>17.687113136000001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77.885099999999994</v>
      </c>
      <c r="I232" s="22">
        <v>5.7940699999999998E-2</v>
      </c>
      <c r="J232" s="22">
        <v>222</v>
      </c>
      <c r="K232" s="22">
        <v>8.2946800000000001E-2</v>
      </c>
      <c r="L232">
        <f t="shared" si="36"/>
        <v>-57.9407</v>
      </c>
      <c r="M232">
        <f t="shared" si="37"/>
        <v>-41.261194809599999</v>
      </c>
      <c r="N232" s="9"/>
      <c r="O232" s="22">
        <v>1.0179100000000001</v>
      </c>
      <c r="P232" s="22">
        <v>150.10400000000001</v>
      </c>
      <c r="Q232" s="22">
        <v>-1.7593399999999999E-2</v>
      </c>
      <c r="R232" s="22">
        <v>222</v>
      </c>
      <c r="S232" s="22">
        <v>1.01685</v>
      </c>
      <c r="T232">
        <f t="shared" si="38"/>
        <v>17.593399999999999</v>
      </c>
      <c r="U232">
        <f t="shared" si="39"/>
        <v>17.908497794000002</v>
      </c>
      <c r="X232" s="9"/>
      <c r="Y232" s="22">
        <v>0.71212799999999998</v>
      </c>
      <c r="Z232" s="22">
        <v>208.89099999999999</v>
      </c>
      <c r="AA232" s="22">
        <v>-1.7678800000000001E-2</v>
      </c>
      <c r="AB232" s="22">
        <v>222</v>
      </c>
      <c r="AC232" s="22">
        <v>0.71136500000000003</v>
      </c>
      <c r="AD232">
        <f t="shared" si="40"/>
        <v>17.678800000000003</v>
      </c>
      <c r="AE232">
        <f t="shared" si="41"/>
        <v>12.589568486400001</v>
      </c>
      <c r="AF232" s="9"/>
      <c r="AG232" s="22">
        <v>1.0179100000000001</v>
      </c>
      <c r="AH232" s="22">
        <v>300.91000000000003</v>
      </c>
      <c r="AI232" s="22">
        <v>-1.7474400000000001E-2</v>
      </c>
      <c r="AJ232" s="22">
        <v>222</v>
      </c>
      <c r="AK232" s="22">
        <v>1.01715</v>
      </c>
      <c r="AL232">
        <f t="shared" si="42"/>
        <v>17.474400000000003</v>
      </c>
      <c r="AM232">
        <f t="shared" si="43"/>
        <v>17.787366504000005</v>
      </c>
      <c r="AP232" s="9"/>
      <c r="AQ232" s="22">
        <v>0.71212799999999998</v>
      </c>
      <c r="AR232" s="22">
        <v>396.87200000000001</v>
      </c>
      <c r="AS232" s="22">
        <v>-1.7596400000000002E-2</v>
      </c>
      <c r="AT232" s="22">
        <v>222</v>
      </c>
      <c r="AU232" s="22">
        <v>0.71157800000000004</v>
      </c>
      <c r="AV232">
        <f t="shared" si="44"/>
        <v>17.596400000000003</v>
      </c>
      <c r="AW232">
        <f t="shared" si="45"/>
        <v>12.530889139200001</v>
      </c>
      <c r="AX232" s="9"/>
      <c r="AY232" s="22">
        <v>1.0179100000000001</v>
      </c>
      <c r="AZ232" s="22">
        <v>491.14100000000002</v>
      </c>
      <c r="BA232" s="22">
        <v>-1.7453E-2</v>
      </c>
      <c r="BB232" s="22">
        <v>222</v>
      </c>
      <c r="BC232" s="22">
        <v>1.01593</v>
      </c>
      <c r="BD232">
        <f t="shared" si="46"/>
        <v>17.452999999999999</v>
      </c>
      <c r="BE232">
        <f t="shared" si="47"/>
        <v>17.765583230000001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77.985799999999998</v>
      </c>
      <c r="I233" s="22">
        <v>5.7879600000000003E-2</v>
      </c>
      <c r="J233" s="22">
        <v>223</v>
      </c>
      <c r="K233" s="22">
        <v>8.2855200000000004E-2</v>
      </c>
      <c r="L233">
        <f t="shared" si="36"/>
        <v>-57.879600000000003</v>
      </c>
      <c r="M233">
        <f t="shared" si="37"/>
        <v>-40.926202123200007</v>
      </c>
      <c r="N233" s="9"/>
      <c r="O233" s="22">
        <v>1.02295</v>
      </c>
      <c r="P233" s="22">
        <v>150.20500000000001</v>
      </c>
      <c r="Q233" s="22">
        <v>-1.7569000000000001E-2</v>
      </c>
      <c r="R233" s="22">
        <v>223</v>
      </c>
      <c r="S233" s="22">
        <v>1.02173</v>
      </c>
      <c r="T233">
        <f t="shared" si="38"/>
        <v>17.569000000000003</v>
      </c>
      <c r="U233">
        <f t="shared" si="39"/>
        <v>17.972208550000005</v>
      </c>
      <c r="X233" s="9"/>
      <c r="Y233" s="22">
        <v>0.70709200000000005</v>
      </c>
      <c r="Z233" s="22">
        <v>208.99199999999999</v>
      </c>
      <c r="AA233" s="22">
        <v>-1.7678800000000001E-2</v>
      </c>
      <c r="AB233" s="22">
        <v>223</v>
      </c>
      <c r="AC233" s="22">
        <v>0.70629900000000001</v>
      </c>
      <c r="AD233">
        <f t="shared" si="40"/>
        <v>17.678800000000003</v>
      </c>
      <c r="AE233">
        <f t="shared" si="41"/>
        <v>12.500538049600003</v>
      </c>
      <c r="AF233" s="9"/>
      <c r="AG233" s="22">
        <v>1.02295</v>
      </c>
      <c r="AH233" s="22">
        <v>301.01</v>
      </c>
      <c r="AI233" s="22">
        <v>-1.7474400000000001E-2</v>
      </c>
      <c r="AJ233" s="22">
        <v>223</v>
      </c>
      <c r="AK233" s="22">
        <v>1.02234</v>
      </c>
      <c r="AL233">
        <f t="shared" si="42"/>
        <v>17.474400000000003</v>
      </c>
      <c r="AM233">
        <f t="shared" si="43"/>
        <v>17.875437480000002</v>
      </c>
      <c r="AP233" s="9"/>
      <c r="AQ233" s="22">
        <v>0.70709200000000005</v>
      </c>
      <c r="AR233" s="22">
        <v>396.97300000000001</v>
      </c>
      <c r="AS233" s="22">
        <v>-1.75903E-2</v>
      </c>
      <c r="AT233" s="22">
        <v>223</v>
      </c>
      <c r="AU233" s="22">
        <v>0.70642099999999997</v>
      </c>
      <c r="AV233">
        <f t="shared" si="44"/>
        <v>17.590299999999999</v>
      </c>
      <c r="AW233">
        <f t="shared" si="45"/>
        <v>12.4379604076</v>
      </c>
      <c r="AX233" s="9"/>
      <c r="AY233" s="22">
        <v>1.02295</v>
      </c>
      <c r="AZ233" s="22">
        <v>491.24200000000002</v>
      </c>
      <c r="BA233" s="22">
        <v>-1.745E-2</v>
      </c>
      <c r="BB233" s="22">
        <v>223</v>
      </c>
      <c r="BC233" s="22">
        <v>1.02173</v>
      </c>
      <c r="BD233">
        <f t="shared" si="46"/>
        <v>17.45</v>
      </c>
      <c r="BE233">
        <f t="shared" si="47"/>
        <v>17.8504775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78.086500000000001</v>
      </c>
      <c r="I234" s="22">
        <v>5.7864400000000003E-2</v>
      </c>
      <c r="J234" s="22">
        <v>224</v>
      </c>
      <c r="K234" s="22">
        <v>8.2916299999999998E-2</v>
      </c>
      <c r="L234">
        <f t="shared" si="36"/>
        <v>-57.864400000000003</v>
      </c>
      <c r="M234">
        <f t="shared" si="37"/>
        <v>-40.624107070800008</v>
      </c>
      <c r="N234" s="9"/>
      <c r="O234" s="22">
        <v>1.0279799999999999</v>
      </c>
      <c r="P234" s="22">
        <v>150.30600000000001</v>
      </c>
      <c r="Q234" s="22">
        <v>-1.7572000000000001E-2</v>
      </c>
      <c r="R234" s="22">
        <v>224</v>
      </c>
      <c r="S234" s="22">
        <v>1.0275300000000001</v>
      </c>
      <c r="T234">
        <f t="shared" si="38"/>
        <v>17.571999999999999</v>
      </c>
      <c r="U234">
        <f t="shared" si="39"/>
        <v>18.063664559999996</v>
      </c>
      <c r="X234" s="9"/>
      <c r="Y234" s="22">
        <v>0.70205700000000004</v>
      </c>
      <c r="Z234" s="22">
        <v>209.09299999999999</v>
      </c>
      <c r="AA234" s="22">
        <v>-1.76819E-2</v>
      </c>
      <c r="AB234" s="22">
        <v>224</v>
      </c>
      <c r="AC234" s="22">
        <v>0.701569</v>
      </c>
      <c r="AD234">
        <f t="shared" si="40"/>
        <v>17.681899999999999</v>
      </c>
      <c r="AE234">
        <f t="shared" si="41"/>
        <v>12.4137016683</v>
      </c>
      <c r="AF234" s="9"/>
      <c r="AG234" s="22">
        <v>1.0279799999999999</v>
      </c>
      <c r="AH234" s="22">
        <v>301.11099999999999</v>
      </c>
      <c r="AI234" s="22">
        <v>-1.7477400000000001E-2</v>
      </c>
      <c r="AJ234" s="22">
        <v>224</v>
      </c>
      <c r="AK234" s="22">
        <v>1.0269200000000001</v>
      </c>
      <c r="AL234">
        <f t="shared" si="42"/>
        <v>17.477399999999999</v>
      </c>
      <c r="AM234">
        <f t="shared" si="43"/>
        <v>17.966417651999997</v>
      </c>
      <c r="AP234" s="9"/>
      <c r="AQ234" s="22">
        <v>0.70205700000000004</v>
      </c>
      <c r="AR234" s="22">
        <v>397.07400000000001</v>
      </c>
      <c r="AS234" s="22">
        <v>-1.7596400000000002E-2</v>
      </c>
      <c r="AT234" s="22">
        <v>224</v>
      </c>
      <c r="AU234" s="22">
        <v>0.70132399999999995</v>
      </c>
      <c r="AV234">
        <f t="shared" si="44"/>
        <v>17.596400000000003</v>
      </c>
      <c r="AW234">
        <f t="shared" si="45"/>
        <v>12.353675794800003</v>
      </c>
      <c r="AX234" s="9"/>
      <c r="AY234" s="22">
        <v>1.0279799999999999</v>
      </c>
      <c r="AZ234" s="22">
        <v>491.34199999999998</v>
      </c>
      <c r="BA234" s="22">
        <v>-1.7440799999999999E-2</v>
      </c>
      <c r="BB234" s="22">
        <v>224</v>
      </c>
      <c r="BC234" s="22">
        <v>1.02661</v>
      </c>
      <c r="BD234">
        <f t="shared" si="46"/>
        <v>17.440799999999999</v>
      </c>
      <c r="BE234">
        <f t="shared" si="47"/>
        <v>17.928793583999997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78.187200000000004</v>
      </c>
      <c r="I235" s="22">
        <v>5.7879600000000003E-2</v>
      </c>
      <c r="J235" s="22">
        <v>225</v>
      </c>
      <c r="K235" s="22">
        <v>8.2916299999999998E-2</v>
      </c>
      <c r="L235">
        <f t="shared" si="36"/>
        <v>-57.879600000000003</v>
      </c>
      <c r="M235">
        <f t="shared" si="37"/>
        <v>-40.343296671600001</v>
      </c>
      <c r="N235" s="9"/>
      <c r="O235" s="22">
        <v>1.03302</v>
      </c>
      <c r="P235" s="22">
        <v>150.40600000000001</v>
      </c>
      <c r="Q235" s="22">
        <v>-1.7569000000000001E-2</v>
      </c>
      <c r="R235" s="22">
        <v>225</v>
      </c>
      <c r="S235" s="22">
        <v>1.03149</v>
      </c>
      <c r="T235">
        <f t="shared" si="38"/>
        <v>17.569000000000003</v>
      </c>
      <c r="U235">
        <f t="shared" si="39"/>
        <v>18.149128380000004</v>
      </c>
      <c r="X235" s="9"/>
      <c r="Y235" s="22">
        <v>0.697021</v>
      </c>
      <c r="Z235" s="22">
        <v>209.19300000000001</v>
      </c>
      <c r="AA235" s="22">
        <v>-1.7687999999999999E-2</v>
      </c>
      <c r="AB235" s="22">
        <v>225</v>
      </c>
      <c r="AC235" s="22">
        <v>0.69625899999999996</v>
      </c>
      <c r="AD235">
        <f t="shared" si="40"/>
        <v>17.687999999999999</v>
      </c>
      <c r="AE235">
        <f t="shared" si="41"/>
        <v>12.328907447999999</v>
      </c>
      <c r="AF235" s="9"/>
      <c r="AG235" s="22">
        <v>1.03302</v>
      </c>
      <c r="AH235" s="22">
        <v>301.21199999999999</v>
      </c>
      <c r="AI235" s="22">
        <v>-1.7471299999999999E-2</v>
      </c>
      <c r="AJ235" s="22">
        <v>225</v>
      </c>
      <c r="AK235" s="22">
        <v>1.0321</v>
      </c>
      <c r="AL235">
        <f t="shared" si="42"/>
        <v>17.471299999999999</v>
      </c>
      <c r="AM235">
        <f t="shared" si="43"/>
        <v>18.048202326000002</v>
      </c>
      <c r="AP235" s="9"/>
      <c r="AQ235" s="22">
        <v>0.697021</v>
      </c>
      <c r="AR235" s="22">
        <v>397.17399999999998</v>
      </c>
      <c r="AS235" s="22">
        <v>-1.7608599999999999E-2</v>
      </c>
      <c r="AT235" s="22">
        <v>225</v>
      </c>
      <c r="AU235" s="22">
        <v>0.69616699999999998</v>
      </c>
      <c r="AV235">
        <f t="shared" si="44"/>
        <v>17.608599999999999</v>
      </c>
      <c r="AW235">
        <f t="shared" si="45"/>
        <v>12.273563980599999</v>
      </c>
      <c r="AX235" s="9"/>
      <c r="AY235" s="22">
        <v>1.03302</v>
      </c>
      <c r="AZ235" s="22">
        <v>491.44299999999998</v>
      </c>
      <c r="BA235" s="22">
        <v>-1.7443799999999999E-2</v>
      </c>
      <c r="BB235" s="22">
        <v>225</v>
      </c>
      <c r="BC235" s="22">
        <v>1.03241</v>
      </c>
      <c r="BD235">
        <f t="shared" si="46"/>
        <v>17.4438</v>
      </c>
      <c r="BE235">
        <f t="shared" si="47"/>
        <v>18.019794275999999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78.287899999999993</v>
      </c>
      <c r="I236" s="22">
        <v>5.7840000000000003E-2</v>
      </c>
      <c r="J236" s="22">
        <v>226</v>
      </c>
      <c r="K236" s="22">
        <v>8.2946800000000001E-2</v>
      </c>
      <c r="L236">
        <f t="shared" si="36"/>
        <v>-57.84</v>
      </c>
      <c r="M236">
        <f t="shared" si="37"/>
        <v>-40.024470239999999</v>
      </c>
      <c r="N236" s="9"/>
      <c r="O236" s="22">
        <v>1.03806</v>
      </c>
      <c r="P236" s="22">
        <v>150.50700000000001</v>
      </c>
      <c r="Q236" s="22">
        <v>-1.7578099999999999E-2</v>
      </c>
      <c r="R236" s="22">
        <v>226</v>
      </c>
      <c r="S236" s="22">
        <v>1.0376000000000001</v>
      </c>
      <c r="T236">
        <f t="shared" si="38"/>
        <v>17.578099999999999</v>
      </c>
      <c r="U236">
        <f t="shared" si="39"/>
        <v>18.247122485999999</v>
      </c>
      <c r="X236" s="9"/>
      <c r="Y236" s="22">
        <v>0.69198599999999999</v>
      </c>
      <c r="Z236" s="22">
        <v>209.29400000000001</v>
      </c>
      <c r="AA236" s="22">
        <v>-1.7675799999999998E-2</v>
      </c>
      <c r="AB236" s="22">
        <v>226</v>
      </c>
      <c r="AC236" s="22">
        <v>0.69131500000000001</v>
      </c>
      <c r="AD236">
        <f t="shared" si="40"/>
        <v>17.675799999999999</v>
      </c>
      <c r="AE236">
        <f t="shared" si="41"/>
        <v>12.231406138799999</v>
      </c>
      <c r="AF236" s="9"/>
      <c r="AG236" s="22">
        <v>1.03806</v>
      </c>
      <c r="AH236" s="22">
        <v>301.31299999999999</v>
      </c>
      <c r="AI236" s="22">
        <v>-1.7462200000000001E-2</v>
      </c>
      <c r="AJ236" s="22">
        <v>226</v>
      </c>
      <c r="AK236" s="22">
        <v>1.0369900000000001</v>
      </c>
      <c r="AL236">
        <f t="shared" si="42"/>
        <v>17.462199999999999</v>
      </c>
      <c r="AM236">
        <f t="shared" si="43"/>
        <v>18.126811331999999</v>
      </c>
      <c r="AP236" s="9"/>
      <c r="AQ236" s="22">
        <v>0.69198599999999999</v>
      </c>
      <c r="AR236" s="22">
        <v>397.27499999999998</v>
      </c>
      <c r="AS236" s="22">
        <v>-1.76147E-2</v>
      </c>
      <c r="AT236" s="22">
        <v>226</v>
      </c>
      <c r="AU236" s="22">
        <v>0.69140599999999997</v>
      </c>
      <c r="AV236">
        <f t="shared" si="44"/>
        <v>17.614699999999999</v>
      </c>
      <c r="AW236">
        <f t="shared" si="45"/>
        <v>12.189125794199999</v>
      </c>
      <c r="AX236" s="9"/>
      <c r="AY236" s="22">
        <v>1.03806</v>
      </c>
      <c r="AZ236" s="22">
        <v>491.54399999999998</v>
      </c>
      <c r="BA236" s="22">
        <v>-1.7443799999999999E-2</v>
      </c>
      <c r="BB236" s="22">
        <v>226</v>
      </c>
      <c r="BC236" s="22">
        <v>1.03668</v>
      </c>
      <c r="BD236">
        <f t="shared" si="46"/>
        <v>17.4438</v>
      </c>
      <c r="BE236">
        <f t="shared" si="47"/>
        <v>18.107711028000001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78.388599999999997</v>
      </c>
      <c r="I237" s="22">
        <v>5.7855200000000002E-2</v>
      </c>
      <c r="J237" s="22">
        <v>227</v>
      </c>
      <c r="K237" s="22">
        <v>8.2916299999999998E-2</v>
      </c>
      <c r="L237">
        <f t="shared" si="36"/>
        <v>-57.855200000000004</v>
      </c>
      <c r="M237">
        <f t="shared" si="37"/>
        <v>-39.7436874952</v>
      </c>
      <c r="N237" s="9"/>
      <c r="O237" s="22">
        <v>1.0430900000000001</v>
      </c>
      <c r="P237" s="22">
        <v>150.608</v>
      </c>
      <c r="Q237" s="22">
        <v>-1.7572000000000001E-2</v>
      </c>
      <c r="R237" s="22">
        <v>227</v>
      </c>
      <c r="S237" s="22">
        <v>1.0421800000000001</v>
      </c>
      <c r="T237">
        <f t="shared" si="38"/>
        <v>17.571999999999999</v>
      </c>
      <c r="U237">
        <f t="shared" si="39"/>
        <v>18.329177480000002</v>
      </c>
      <c r="X237" s="9"/>
      <c r="Y237" s="22">
        <v>0.68695099999999998</v>
      </c>
      <c r="Z237" s="22">
        <v>209.39500000000001</v>
      </c>
      <c r="AA237" s="22">
        <v>-1.7690999999999998E-2</v>
      </c>
      <c r="AB237" s="22">
        <v>227</v>
      </c>
      <c r="AC237" s="22">
        <v>0.68612700000000004</v>
      </c>
      <c r="AD237">
        <f t="shared" si="40"/>
        <v>17.690999999999999</v>
      </c>
      <c r="AE237">
        <f t="shared" si="41"/>
        <v>12.152850140999998</v>
      </c>
      <c r="AF237" s="9"/>
      <c r="AG237" s="22">
        <v>1.0430900000000001</v>
      </c>
      <c r="AH237" s="22">
        <v>301.41300000000001</v>
      </c>
      <c r="AI237" s="22">
        <v>-1.7468299999999999E-2</v>
      </c>
      <c r="AJ237" s="22">
        <v>227</v>
      </c>
      <c r="AK237" s="22">
        <v>1.0421800000000001</v>
      </c>
      <c r="AL237">
        <f t="shared" si="42"/>
        <v>17.468299999999999</v>
      </c>
      <c r="AM237">
        <f t="shared" si="43"/>
        <v>18.221009046999999</v>
      </c>
      <c r="AP237" s="9"/>
      <c r="AQ237" s="22">
        <v>0.68695099999999998</v>
      </c>
      <c r="AR237" s="22">
        <v>397.37599999999998</v>
      </c>
      <c r="AS237" s="22">
        <v>-1.7605599999999999E-2</v>
      </c>
      <c r="AT237" s="22">
        <v>227</v>
      </c>
      <c r="AU237" s="22">
        <v>0.68621799999999999</v>
      </c>
      <c r="AV237">
        <f t="shared" si="44"/>
        <v>17.605599999999999</v>
      </c>
      <c r="AW237">
        <f t="shared" si="45"/>
        <v>12.094184525599999</v>
      </c>
      <c r="AX237" s="9"/>
      <c r="AY237" s="22">
        <v>1.0430900000000001</v>
      </c>
      <c r="AZ237" s="22">
        <v>491.64400000000001</v>
      </c>
      <c r="BA237" s="22">
        <v>-1.7440799999999999E-2</v>
      </c>
      <c r="BB237" s="22">
        <v>227</v>
      </c>
      <c r="BC237" s="22">
        <v>1.0418700000000001</v>
      </c>
      <c r="BD237">
        <f t="shared" si="46"/>
        <v>17.440799999999999</v>
      </c>
      <c r="BE237">
        <f t="shared" si="47"/>
        <v>18.192324072000002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78.4893</v>
      </c>
      <c r="I238" s="22">
        <v>5.7882700000000002E-2</v>
      </c>
      <c r="J238" s="22">
        <v>228</v>
      </c>
      <c r="K238" s="22">
        <v>8.2855200000000004E-2</v>
      </c>
      <c r="L238">
        <f t="shared" si="36"/>
        <v>-57.8827</v>
      </c>
      <c r="M238">
        <f t="shared" si="37"/>
        <v>-39.471081370500002</v>
      </c>
      <c r="N238" s="9"/>
      <c r="O238" s="22">
        <v>1.04813</v>
      </c>
      <c r="P238" s="22">
        <v>150.708</v>
      </c>
      <c r="Q238" s="22">
        <v>-1.7569000000000001E-2</v>
      </c>
      <c r="R238" s="22">
        <v>228</v>
      </c>
      <c r="S238" s="22">
        <v>1.0470600000000001</v>
      </c>
      <c r="T238">
        <f t="shared" si="38"/>
        <v>17.569000000000003</v>
      </c>
      <c r="U238">
        <f t="shared" si="39"/>
        <v>18.414595970000004</v>
      </c>
      <c r="X238" s="9"/>
      <c r="Y238" s="22">
        <v>0.68191500000000005</v>
      </c>
      <c r="Z238" s="22">
        <v>209.495</v>
      </c>
      <c r="AA238" s="22">
        <v>-1.7687999999999999E-2</v>
      </c>
      <c r="AB238" s="22">
        <v>228</v>
      </c>
      <c r="AC238" s="22">
        <v>0.68145800000000001</v>
      </c>
      <c r="AD238">
        <f t="shared" si="40"/>
        <v>17.687999999999999</v>
      </c>
      <c r="AE238">
        <f t="shared" si="41"/>
        <v>12.06171252</v>
      </c>
      <c r="AF238" s="9"/>
      <c r="AG238" s="22">
        <v>1.04813</v>
      </c>
      <c r="AH238" s="22">
        <v>301.51400000000001</v>
      </c>
      <c r="AI238" s="22">
        <v>-1.74652E-2</v>
      </c>
      <c r="AJ238" s="22">
        <v>228</v>
      </c>
      <c r="AK238" s="22">
        <v>1.0473600000000001</v>
      </c>
      <c r="AL238">
        <f t="shared" si="42"/>
        <v>17.465199999999999</v>
      </c>
      <c r="AM238">
        <f t="shared" si="43"/>
        <v>18.305800076000001</v>
      </c>
      <c r="AP238" s="9"/>
      <c r="AQ238" s="22">
        <v>0.68191500000000005</v>
      </c>
      <c r="AR238" s="22">
        <v>397.47699999999998</v>
      </c>
      <c r="AS238" s="22">
        <v>-1.76025E-2</v>
      </c>
      <c r="AT238" s="22">
        <v>228</v>
      </c>
      <c r="AU238" s="22">
        <v>0.681427</v>
      </c>
      <c r="AV238">
        <f t="shared" si="44"/>
        <v>17.602499999999999</v>
      </c>
      <c r="AW238">
        <f t="shared" si="45"/>
        <v>12.0034087875</v>
      </c>
      <c r="AX238" s="9"/>
      <c r="AY238" s="22">
        <v>1.04813</v>
      </c>
      <c r="AZ238" s="22">
        <v>491.745</v>
      </c>
      <c r="BA238" s="22">
        <v>-1.7434700000000001E-2</v>
      </c>
      <c r="BB238" s="22">
        <v>228</v>
      </c>
      <c r="BC238" s="22">
        <v>1.0476700000000001</v>
      </c>
      <c r="BD238">
        <f t="shared" si="46"/>
        <v>17.434699999999999</v>
      </c>
      <c r="BE238">
        <f t="shared" si="47"/>
        <v>18.273832111000001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78.59</v>
      </c>
      <c r="I239" s="22">
        <v>5.7888799999999997E-2</v>
      </c>
      <c r="J239" s="22">
        <v>229</v>
      </c>
      <c r="K239" s="22">
        <v>8.2794199999999998E-2</v>
      </c>
      <c r="L239">
        <f t="shared" si="36"/>
        <v>-57.888799999999996</v>
      </c>
      <c r="M239">
        <f t="shared" si="37"/>
        <v>-39.183770944000003</v>
      </c>
      <c r="N239" s="9"/>
      <c r="O239" s="22">
        <v>1.0531600000000001</v>
      </c>
      <c r="P239" s="22">
        <v>150.809</v>
      </c>
      <c r="Q239" s="22">
        <v>-1.7565899999999999E-2</v>
      </c>
      <c r="R239" s="22">
        <v>229</v>
      </c>
      <c r="S239" s="22">
        <v>1.0519400000000001</v>
      </c>
      <c r="T239">
        <f t="shared" si="38"/>
        <v>17.565899999999999</v>
      </c>
      <c r="U239">
        <f t="shared" si="39"/>
        <v>18.499703243999999</v>
      </c>
      <c r="X239" s="9"/>
      <c r="Y239" s="22">
        <v>0.67688000000000004</v>
      </c>
      <c r="Z239" s="22">
        <v>209.596</v>
      </c>
      <c r="AA239" s="22">
        <v>-1.7706300000000001E-2</v>
      </c>
      <c r="AB239" s="22">
        <v>229</v>
      </c>
      <c r="AC239" s="22">
        <v>0.67642199999999997</v>
      </c>
      <c r="AD239">
        <f t="shared" si="40"/>
        <v>17.706300000000002</v>
      </c>
      <c r="AE239">
        <f t="shared" si="41"/>
        <v>11.985040344000002</v>
      </c>
      <c r="AF239" s="9"/>
      <c r="AG239" s="22">
        <v>1.0531600000000001</v>
      </c>
      <c r="AH239" s="22">
        <v>301.61500000000001</v>
      </c>
      <c r="AI239" s="22">
        <v>-1.7462200000000001E-2</v>
      </c>
      <c r="AJ239" s="22">
        <v>229</v>
      </c>
      <c r="AK239" s="22">
        <v>1.0522499999999999</v>
      </c>
      <c r="AL239">
        <f t="shared" si="42"/>
        <v>17.462199999999999</v>
      </c>
      <c r="AM239">
        <f t="shared" si="43"/>
        <v>18.390490551999999</v>
      </c>
      <c r="AP239" s="9"/>
      <c r="AQ239" s="22">
        <v>0.67688000000000004</v>
      </c>
      <c r="AR239" s="22">
        <v>397.577</v>
      </c>
      <c r="AS239" s="22">
        <v>-1.7608599999999999E-2</v>
      </c>
      <c r="AT239" s="22">
        <v>229</v>
      </c>
      <c r="AU239" s="22">
        <v>0.67636099999999999</v>
      </c>
      <c r="AV239">
        <f t="shared" si="44"/>
        <v>17.608599999999999</v>
      </c>
      <c r="AW239">
        <f t="shared" si="45"/>
        <v>11.918909168000001</v>
      </c>
      <c r="AX239" s="9"/>
      <c r="AY239" s="22">
        <v>1.0531600000000001</v>
      </c>
      <c r="AZ239" s="22">
        <v>491.846</v>
      </c>
      <c r="BA239" s="22">
        <v>-1.7434700000000001E-2</v>
      </c>
      <c r="BB239" s="22">
        <v>229</v>
      </c>
      <c r="BC239" s="22">
        <v>1.0516399999999999</v>
      </c>
      <c r="BD239">
        <f t="shared" si="46"/>
        <v>17.434699999999999</v>
      </c>
      <c r="BE239">
        <f t="shared" si="47"/>
        <v>18.361528652000001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78.690700000000007</v>
      </c>
      <c r="I240" s="22">
        <v>5.7855200000000002E-2</v>
      </c>
      <c r="J240" s="22">
        <v>230</v>
      </c>
      <c r="K240" s="22">
        <v>8.2733200000000007E-2</v>
      </c>
      <c r="L240">
        <f t="shared" si="36"/>
        <v>-57.855200000000004</v>
      </c>
      <c r="M240">
        <f t="shared" si="37"/>
        <v>-38.869668988800001</v>
      </c>
      <c r="N240" s="9"/>
      <c r="O240" s="22">
        <v>1.0582</v>
      </c>
      <c r="P240" s="22">
        <v>150.91</v>
      </c>
      <c r="Q240" s="22">
        <v>-1.7553699999999998E-2</v>
      </c>
      <c r="R240" s="22">
        <v>230</v>
      </c>
      <c r="S240" s="22">
        <v>1.0574300000000001</v>
      </c>
      <c r="T240">
        <f t="shared" si="38"/>
        <v>17.553699999999999</v>
      </c>
      <c r="U240">
        <f t="shared" si="39"/>
        <v>18.575325339999999</v>
      </c>
      <c r="X240" s="9"/>
      <c r="Y240" s="22">
        <v>0.671844</v>
      </c>
      <c r="Z240" s="22">
        <v>209.697</v>
      </c>
      <c r="AA240" s="22">
        <v>-1.76971E-2</v>
      </c>
      <c r="AB240" s="22">
        <v>230</v>
      </c>
      <c r="AC240" s="22">
        <v>0.67132599999999998</v>
      </c>
      <c r="AD240">
        <f t="shared" si="40"/>
        <v>17.697099999999999</v>
      </c>
      <c r="AE240">
        <f t="shared" si="41"/>
        <v>11.8896904524</v>
      </c>
      <c r="AF240" s="9"/>
      <c r="AG240" s="22">
        <v>1.0582</v>
      </c>
      <c r="AH240" s="22">
        <v>301.71499999999997</v>
      </c>
      <c r="AI240" s="22">
        <v>-1.7459100000000002E-2</v>
      </c>
      <c r="AJ240" s="22">
        <v>230</v>
      </c>
      <c r="AK240" s="22">
        <v>1.0568200000000001</v>
      </c>
      <c r="AL240">
        <f t="shared" si="42"/>
        <v>17.459100000000003</v>
      </c>
      <c r="AM240">
        <f t="shared" si="43"/>
        <v>18.475219620000004</v>
      </c>
      <c r="AP240" s="9"/>
      <c r="AQ240" s="22">
        <v>0.671844</v>
      </c>
      <c r="AR240" s="22">
        <v>397.678</v>
      </c>
      <c r="AS240" s="22">
        <v>-1.7620799999999999E-2</v>
      </c>
      <c r="AT240" s="22">
        <v>230</v>
      </c>
      <c r="AU240" s="22">
        <v>0.671234</v>
      </c>
      <c r="AV240">
        <f t="shared" si="44"/>
        <v>17.620799999999999</v>
      </c>
      <c r="AW240">
        <f t="shared" si="45"/>
        <v>11.838428755199999</v>
      </c>
      <c r="AX240" s="9"/>
      <c r="AY240" s="22">
        <v>1.0582</v>
      </c>
      <c r="AZ240" s="22">
        <v>491.947</v>
      </c>
      <c r="BA240" s="22">
        <v>-1.74255E-2</v>
      </c>
      <c r="BB240" s="22">
        <v>230</v>
      </c>
      <c r="BC240" s="22">
        <v>1.0571299999999999</v>
      </c>
      <c r="BD240">
        <f t="shared" si="46"/>
        <v>17.4255</v>
      </c>
      <c r="BE240">
        <f t="shared" si="47"/>
        <v>18.439664100000002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78.791399999999996</v>
      </c>
      <c r="I241" s="22">
        <v>5.7873500000000001E-2</v>
      </c>
      <c r="J241" s="22">
        <v>231</v>
      </c>
      <c r="K241" s="22">
        <v>8.2885700000000007E-2</v>
      </c>
      <c r="L241">
        <f t="shared" si="36"/>
        <v>-57.8735</v>
      </c>
      <c r="M241">
        <f t="shared" si="37"/>
        <v>-38.590570661499996</v>
      </c>
      <c r="N241" s="9"/>
      <c r="O241" s="22">
        <v>1.0632299999999999</v>
      </c>
      <c r="P241" s="22">
        <v>151.011</v>
      </c>
      <c r="Q241" s="22">
        <v>-1.7550699999999999E-2</v>
      </c>
      <c r="R241" s="22">
        <v>231</v>
      </c>
      <c r="S241" s="22">
        <v>1.0623199999999999</v>
      </c>
      <c r="T241">
        <f t="shared" si="38"/>
        <v>17.550699999999999</v>
      </c>
      <c r="U241">
        <f t="shared" si="39"/>
        <v>18.660430760999997</v>
      </c>
      <c r="X241" s="9"/>
      <c r="Y241" s="22">
        <v>0.66680899999999999</v>
      </c>
      <c r="Z241" s="22">
        <v>209.798</v>
      </c>
      <c r="AA241" s="22">
        <v>-1.7703199999999999E-2</v>
      </c>
      <c r="AB241" s="22">
        <v>231</v>
      </c>
      <c r="AC241" s="22">
        <v>0.66595499999999996</v>
      </c>
      <c r="AD241">
        <f t="shared" si="40"/>
        <v>17.703199999999999</v>
      </c>
      <c r="AE241">
        <f t="shared" si="41"/>
        <v>11.804653088799999</v>
      </c>
      <c r="AF241" s="9"/>
      <c r="AG241" s="22">
        <v>1.0632299999999999</v>
      </c>
      <c r="AH241" s="22">
        <v>301.81599999999997</v>
      </c>
      <c r="AI241" s="22">
        <v>-1.7462200000000001E-2</v>
      </c>
      <c r="AJ241" s="22">
        <v>231</v>
      </c>
      <c r="AK241" s="22">
        <v>1.0620099999999999</v>
      </c>
      <c r="AL241">
        <f t="shared" si="42"/>
        <v>17.462199999999999</v>
      </c>
      <c r="AM241">
        <f t="shared" si="43"/>
        <v>18.566334905999998</v>
      </c>
      <c r="AP241" s="9"/>
      <c r="AQ241" s="22">
        <v>0.66680899999999999</v>
      </c>
      <c r="AR241" s="22">
        <v>397.779</v>
      </c>
      <c r="AS241" s="22">
        <v>-1.7623900000000001E-2</v>
      </c>
      <c r="AT241" s="22">
        <v>231</v>
      </c>
      <c r="AU241" s="22">
        <v>0.66647299999999998</v>
      </c>
      <c r="AV241">
        <f t="shared" si="44"/>
        <v>17.623900000000003</v>
      </c>
      <c r="AW241">
        <f t="shared" si="45"/>
        <v>11.751775135100001</v>
      </c>
      <c r="AX241" s="9"/>
      <c r="AY241" s="22">
        <v>1.0632299999999999</v>
      </c>
      <c r="AZ241" s="22">
        <v>492.04700000000003</v>
      </c>
      <c r="BA241" s="22">
        <v>-1.74225E-2</v>
      </c>
      <c r="BB241" s="22">
        <v>231</v>
      </c>
      <c r="BC241" s="22">
        <v>1.0623199999999999</v>
      </c>
      <c r="BD241">
        <f t="shared" si="46"/>
        <v>17.422499999999999</v>
      </c>
      <c r="BE241">
        <f t="shared" si="47"/>
        <v>18.524124674999996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78.892099999999999</v>
      </c>
      <c r="I242" s="22">
        <v>5.7840000000000003E-2</v>
      </c>
      <c r="J242" s="22">
        <v>232</v>
      </c>
      <c r="K242" s="22">
        <v>8.2855200000000004E-2</v>
      </c>
      <c r="L242">
        <f t="shared" si="36"/>
        <v>-57.84</v>
      </c>
      <c r="M242">
        <f t="shared" si="37"/>
        <v>-38.277008160000001</v>
      </c>
      <c r="N242" s="9"/>
      <c r="O242" s="22">
        <v>1.0682700000000001</v>
      </c>
      <c r="P242" s="22">
        <v>151.11099999999999</v>
      </c>
      <c r="Q242" s="22">
        <v>-1.7541500000000002E-2</v>
      </c>
      <c r="R242" s="22">
        <v>232</v>
      </c>
      <c r="S242" s="22">
        <v>1.0678099999999999</v>
      </c>
      <c r="T242">
        <f t="shared" si="38"/>
        <v>17.541500000000003</v>
      </c>
      <c r="U242">
        <f t="shared" si="39"/>
        <v>18.739058205000003</v>
      </c>
      <c r="X242" s="9"/>
      <c r="Y242" s="22">
        <v>0.66177399999999997</v>
      </c>
      <c r="Z242" s="22">
        <v>209.898</v>
      </c>
      <c r="AA242" s="22">
        <v>-1.7694100000000001E-2</v>
      </c>
      <c r="AB242" s="22">
        <v>232</v>
      </c>
      <c r="AC242" s="22">
        <v>0.66122400000000003</v>
      </c>
      <c r="AD242">
        <f t="shared" si="40"/>
        <v>17.694100000000002</v>
      </c>
      <c r="AE242">
        <f t="shared" si="41"/>
        <v>11.709495333400001</v>
      </c>
      <c r="AF242" s="9"/>
      <c r="AG242" s="22">
        <v>1.0682700000000001</v>
      </c>
      <c r="AH242" s="22">
        <v>301.91699999999997</v>
      </c>
      <c r="AI242" s="22">
        <v>-1.7453E-2</v>
      </c>
      <c r="AJ242" s="22">
        <v>232</v>
      </c>
      <c r="AK242" s="22">
        <v>1.0678099999999999</v>
      </c>
      <c r="AL242">
        <f t="shared" si="42"/>
        <v>17.452999999999999</v>
      </c>
      <c r="AM242">
        <f t="shared" si="43"/>
        <v>18.64451631</v>
      </c>
      <c r="AP242" s="9"/>
      <c r="AQ242" s="22">
        <v>0.66177399999999997</v>
      </c>
      <c r="AR242" s="22">
        <v>397.87900000000002</v>
      </c>
      <c r="AS242" s="22">
        <v>-1.7627E-2</v>
      </c>
      <c r="AT242" s="22">
        <v>232</v>
      </c>
      <c r="AU242" s="22">
        <v>0.66110199999999997</v>
      </c>
      <c r="AV242">
        <f t="shared" si="44"/>
        <v>17.626999999999999</v>
      </c>
      <c r="AW242">
        <f t="shared" si="45"/>
        <v>11.665090297999999</v>
      </c>
      <c r="AX242" s="9"/>
      <c r="AY242" s="22">
        <v>1.0682700000000001</v>
      </c>
      <c r="AZ242" s="22">
        <v>492.14800000000002</v>
      </c>
      <c r="BA242" s="22">
        <v>-1.74255E-2</v>
      </c>
      <c r="BB242" s="22">
        <v>232</v>
      </c>
      <c r="BC242" s="22">
        <v>1.0674999999999999</v>
      </c>
      <c r="BD242">
        <f t="shared" si="46"/>
        <v>17.4255</v>
      </c>
      <c r="BE242">
        <f t="shared" si="47"/>
        <v>18.615138885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78.992900000000006</v>
      </c>
      <c r="I243" s="22">
        <v>5.7815600000000002E-2</v>
      </c>
      <c r="J243" s="22">
        <v>233</v>
      </c>
      <c r="K243" s="22">
        <v>8.2885700000000007E-2</v>
      </c>
      <c r="L243">
        <f t="shared" si="36"/>
        <v>-57.815600000000003</v>
      </c>
      <c r="M243">
        <f t="shared" si="37"/>
        <v>-37.969701512800007</v>
      </c>
      <c r="N243" s="9"/>
      <c r="O243" s="22">
        <v>1.0732999999999999</v>
      </c>
      <c r="P243" s="22">
        <v>151.21199999999999</v>
      </c>
      <c r="Q243" s="22">
        <v>-1.7541500000000002E-2</v>
      </c>
      <c r="R243" s="22">
        <v>233</v>
      </c>
      <c r="S243" s="22">
        <v>1.0714699999999999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0.65673800000000004</v>
      </c>
      <c r="Z243" s="22">
        <v>209.999</v>
      </c>
      <c r="AA243" s="22">
        <v>-1.76971E-2</v>
      </c>
      <c r="AB243" s="22">
        <v>233</v>
      </c>
      <c r="AC243" s="22">
        <v>0.65585300000000002</v>
      </c>
      <c r="AD243">
        <f t="shared" si="40"/>
        <v>17.697099999999999</v>
      </c>
      <c r="AE243">
        <f t="shared" si="41"/>
        <v>11.6223580598</v>
      </c>
      <c r="AF243" s="9"/>
      <c r="AG243" s="22">
        <v>1.0732999999999999</v>
      </c>
      <c r="AH243" s="22">
        <v>302.017</v>
      </c>
      <c r="AI243" s="22">
        <v>-1.7453E-2</v>
      </c>
      <c r="AJ243" s="22">
        <v>233</v>
      </c>
      <c r="AK243" s="22">
        <v>1.07178</v>
      </c>
      <c r="AL243">
        <f t="shared" si="42"/>
        <v>17.452999999999999</v>
      </c>
      <c r="AM243">
        <f t="shared" si="43"/>
        <v>18.732304899999999</v>
      </c>
      <c r="AP243" s="9"/>
      <c r="AQ243" s="22">
        <v>0.65673800000000004</v>
      </c>
      <c r="AR243" s="22">
        <v>397.98</v>
      </c>
      <c r="AS243" s="22">
        <v>-1.7627E-2</v>
      </c>
      <c r="AT243" s="22">
        <v>233</v>
      </c>
      <c r="AU243" s="22">
        <v>0.65600599999999998</v>
      </c>
      <c r="AV243">
        <f t="shared" si="44"/>
        <v>17.626999999999999</v>
      </c>
      <c r="AW243">
        <f t="shared" si="45"/>
        <v>11.576320726000001</v>
      </c>
      <c r="AX243" s="9"/>
      <c r="AY243" s="22">
        <v>1.0732999999999999</v>
      </c>
      <c r="AZ243" s="22">
        <v>492.24900000000002</v>
      </c>
      <c r="BA243" s="22">
        <v>-1.74225E-2</v>
      </c>
      <c r="BB243" s="22">
        <v>233</v>
      </c>
      <c r="BC243" s="22">
        <v>1.0726899999999999</v>
      </c>
      <c r="BD243">
        <f t="shared" si="46"/>
        <v>17.422499999999999</v>
      </c>
      <c r="BE243">
        <f t="shared" si="47"/>
        <v>18.69956925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79.093599999999995</v>
      </c>
      <c r="I244" s="22">
        <v>5.7769800000000003E-2</v>
      </c>
      <c r="J244" s="22">
        <v>234</v>
      </c>
      <c r="K244" s="22">
        <v>8.2885700000000007E-2</v>
      </c>
      <c r="L244">
        <f t="shared" si="36"/>
        <v>-57.769800000000004</v>
      </c>
      <c r="M244">
        <f t="shared" si="37"/>
        <v>-37.648751969400003</v>
      </c>
      <c r="N244" s="9"/>
      <c r="O244" s="22">
        <v>1.0783400000000001</v>
      </c>
      <c r="P244" s="22">
        <v>151.31299999999999</v>
      </c>
      <c r="Q244" s="22">
        <v>-1.75476E-2</v>
      </c>
      <c r="R244" s="22">
        <v>234</v>
      </c>
      <c r="S244" s="22">
        <v>1.07758</v>
      </c>
      <c r="T244">
        <f t="shared" si="38"/>
        <v>17.547599999999999</v>
      </c>
      <c r="U244">
        <f t="shared" si="39"/>
        <v>18.922278984000002</v>
      </c>
      <c r="X244" s="9"/>
      <c r="Y244" s="22">
        <v>0.65170300000000003</v>
      </c>
      <c r="Z244" s="22">
        <v>210.1</v>
      </c>
      <c r="AA244" s="22">
        <v>-1.7703199999999999E-2</v>
      </c>
      <c r="AB244" s="22">
        <v>234</v>
      </c>
      <c r="AC244" s="22">
        <v>0.65100100000000005</v>
      </c>
      <c r="AD244">
        <f t="shared" si="40"/>
        <v>17.703199999999999</v>
      </c>
      <c r="AE244">
        <f t="shared" si="41"/>
        <v>11.5372285496</v>
      </c>
      <c r="AF244" s="9"/>
      <c r="AG244" s="22">
        <v>1.0783400000000001</v>
      </c>
      <c r="AH244" s="22">
        <v>302.11799999999999</v>
      </c>
      <c r="AI244" s="22">
        <v>-1.7456099999999999E-2</v>
      </c>
      <c r="AJ244" s="22">
        <v>234</v>
      </c>
      <c r="AK244" s="22">
        <v>1.0778799999999999</v>
      </c>
      <c r="AL244">
        <f t="shared" si="42"/>
        <v>17.456099999999999</v>
      </c>
      <c r="AM244">
        <f t="shared" si="43"/>
        <v>18.823610874</v>
      </c>
      <c r="AP244" s="9"/>
      <c r="AQ244" s="22">
        <v>0.65170300000000003</v>
      </c>
      <c r="AR244" s="22">
        <v>398.08100000000002</v>
      </c>
      <c r="AS244" s="22">
        <v>-1.7623900000000001E-2</v>
      </c>
      <c r="AT244" s="22">
        <v>234</v>
      </c>
      <c r="AU244" s="22">
        <v>0.65121499999999999</v>
      </c>
      <c r="AV244">
        <f t="shared" si="44"/>
        <v>17.623900000000003</v>
      </c>
      <c r="AW244">
        <f t="shared" si="45"/>
        <v>11.485548501700002</v>
      </c>
      <c r="AX244" s="9"/>
      <c r="AY244" s="22">
        <v>1.0783400000000001</v>
      </c>
      <c r="AZ244" s="22">
        <v>492.34899999999999</v>
      </c>
      <c r="BA244" s="22">
        <v>-1.74133E-2</v>
      </c>
      <c r="BB244" s="22">
        <v>234</v>
      </c>
      <c r="BC244" s="22">
        <v>1.07666</v>
      </c>
      <c r="BD244">
        <f t="shared" si="46"/>
        <v>17.4133</v>
      </c>
      <c r="BE244">
        <f t="shared" si="47"/>
        <v>18.777457922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79.194299999999998</v>
      </c>
      <c r="I245" s="22">
        <v>5.7742300000000003E-2</v>
      </c>
      <c r="J245" s="22">
        <v>235</v>
      </c>
      <c r="K245" s="22">
        <v>8.2794199999999998E-2</v>
      </c>
      <c r="L245">
        <f t="shared" si="36"/>
        <v>-57.7423</v>
      </c>
      <c r="M245">
        <f t="shared" si="37"/>
        <v>-37.340039914099997</v>
      </c>
      <c r="N245" s="9"/>
      <c r="O245" s="22">
        <v>1.0833699999999999</v>
      </c>
      <c r="P245" s="22">
        <v>151.41300000000001</v>
      </c>
      <c r="Q245" s="22">
        <v>-1.7541500000000002E-2</v>
      </c>
      <c r="R245" s="22">
        <v>235</v>
      </c>
      <c r="S245" s="22">
        <v>1.08246</v>
      </c>
      <c r="T245">
        <f t="shared" si="38"/>
        <v>17.541500000000003</v>
      </c>
      <c r="U245">
        <f t="shared" si="39"/>
        <v>19.003934855000001</v>
      </c>
      <c r="X245" s="9"/>
      <c r="Y245" s="22">
        <v>0.64666699999999999</v>
      </c>
      <c r="Z245" s="22">
        <v>210.2</v>
      </c>
      <c r="AA245" s="22">
        <v>-1.77124E-2</v>
      </c>
      <c r="AB245" s="22">
        <v>235</v>
      </c>
      <c r="AC245" s="22">
        <v>0.64584399999999997</v>
      </c>
      <c r="AD245">
        <f t="shared" si="40"/>
        <v>17.712399999999999</v>
      </c>
      <c r="AE245">
        <f t="shared" si="41"/>
        <v>11.4540245708</v>
      </c>
      <c r="AF245" s="9"/>
      <c r="AG245" s="22">
        <v>1.0833699999999999</v>
      </c>
      <c r="AH245" s="22">
        <v>302.21899999999999</v>
      </c>
      <c r="AI245" s="22">
        <v>-1.7446900000000001E-2</v>
      </c>
      <c r="AJ245" s="22">
        <v>235</v>
      </c>
      <c r="AK245" s="22">
        <v>1.08246</v>
      </c>
      <c r="AL245">
        <f t="shared" si="42"/>
        <v>17.446900000000003</v>
      </c>
      <c r="AM245">
        <f t="shared" si="43"/>
        <v>18.901448053000003</v>
      </c>
      <c r="AP245" s="9"/>
      <c r="AQ245" s="22">
        <v>0.64666699999999999</v>
      </c>
      <c r="AR245" s="22">
        <v>398.18099999999998</v>
      </c>
      <c r="AS245" s="22">
        <v>-1.7633099999999999E-2</v>
      </c>
      <c r="AT245" s="22">
        <v>235</v>
      </c>
      <c r="AU245" s="22">
        <v>0.646088</v>
      </c>
      <c r="AV245">
        <f t="shared" si="44"/>
        <v>17.633099999999999</v>
      </c>
      <c r="AW245">
        <f t="shared" si="45"/>
        <v>11.402743877699999</v>
      </c>
      <c r="AX245" s="9"/>
      <c r="AY245" s="22">
        <v>1.0833699999999999</v>
      </c>
      <c r="AZ245" s="22">
        <v>492.45</v>
      </c>
      <c r="BA245" s="22">
        <v>-1.7407200000000001E-2</v>
      </c>
      <c r="BB245" s="22">
        <v>235</v>
      </c>
      <c r="BC245" s="22">
        <v>1.08246</v>
      </c>
      <c r="BD245">
        <f t="shared" si="46"/>
        <v>17.4072</v>
      </c>
      <c r="BE245">
        <f t="shared" si="47"/>
        <v>18.858438264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79.295000000000002</v>
      </c>
      <c r="I246" s="22">
        <v>5.77393E-2</v>
      </c>
      <c r="J246" s="22">
        <v>236</v>
      </c>
      <c r="K246" s="22">
        <v>8.2855200000000004E-2</v>
      </c>
      <c r="L246">
        <f t="shared" si="36"/>
        <v>-57.7393</v>
      </c>
      <c r="M246">
        <f t="shared" si="37"/>
        <v>-37.047382537600001</v>
      </c>
      <c r="N246" s="9"/>
      <c r="O246" s="22">
        <v>1.0884100000000001</v>
      </c>
      <c r="P246" s="22">
        <v>151.51400000000001</v>
      </c>
      <c r="Q246" s="22">
        <v>-1.75354E-2</v>
      </c>
      <c r="R246" s="22">
        <v>236</v>
      </c>
      <c r="S246" s="22">
        <v>1.08734</v>
      </c>
      <c r="T246">
        <f t="shared" si="38"/>
        <v>17.535399999999999</v>
      </c>
      <c r="U246">
        <f t="shared" si="39"/>
        <v>19.085704714000002</v>
      </c>
      <c r="X246" s="9"/>
      <c r="Y246" s="22">
        <v>0.64163199999999998</v>
      </c>
      <c r="Z246" s="22">
        <v>210.30099999999999</v>
      </c>
      <c r="AA246" s="22">
        <v>-1.7706300000000001E-2</v>
      </c>
      <c r="AB246" s="22">
        <v>236</v>
      </c>
      <c r="AC246" s="22">
        <v>0.64093</v>
      </c>
      <c r="AD246">
        <f t="shared" si="40"/>
        <v>17.706300000000002</v>
      </c>
      <c r="AE246">
        <f t="shared" si="41"/>
        <v>11.360928681600001</v>
      </c>
      <c r="AF246" s="9"/>
      <c r="AG246" s="22">
        <v>1.0884100000000001</v>
      </c>
      <c r="AH246" s="22">
        <v>302.32</v>
      </c>
      <c r="AI246" s="22">
        <v>-1.7443799999999999E-2</v>
      </c>
      <c r="AJ246" s="22">
        <v>236</v>
      </c>
      <c r="AK246" s="22">
        <v>1.08795</v>
      </c>
      <c r="AL246">
        <f t="shared" si="42"/>
        <v>17.4438</v>
      </c>
      <c r="AM246">
        <f t="shared" si="43"/>
        <v>18.986006358000001</v>
      </c>
      <c r="AP246" s="9"/>
      <c r="AQ246" s="22">
        <v>0.64163199999999998</v>
      </c>
      <c r="AR246" s="22">
        <v>398.28199999999998</v>
      </c>
      <c r="AS246" s="22">
        <v>-1.763E-2</v>
      </c>
      <c r="AT246" s="22">
        <v>236</v>
      </c>
      <c r="AU246" s="22">
        <v>0.64086900000000002</v>
      </c>
      <c r="AV246">
        <f t="shared" si="44"/>
        <v>17.63</v>
      </c>
      <c r="AW246">
        <f t="shared" si="45"/>
        <v>11.31197216</v>
      </c>
      <c r="AX246" s="9"/>
      <c r="AY246" s="22">
        <v>1.0884100000000001</v>
      </c>
      <c r="AZ246" s="22">
        <v>492.55099999999999</v>
      </c>
      <c r="BA246" s="22">
        <v>-1.7407200000000001E-2</v>
      </c>
      <c r="BB246" s="22">
        <v>236</v>
      </c>
      <c r="BC246" s="22">
        <v>1.08673</v>
      </c>
      <c r="BD246">
        <f t="shared" si="46"/>
        <v>17.4072</v>
      </c>
      <c r="BE246">
        <f t="shared" si="47"/>
        <v>18.946170552000002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79.395700000000005</v>
      </c>
      <c r="I247" s="22">
        <v>5.7730099999999999E-2</v>
      </c>
      <c r="J247" s="22">
        <v>237</v>
      </c>
      <c r="K247" s="22">
        <v>8.2824700000000001E-2</v>
      </c>
      <c r="L247">
        <f t="shared" si="36"/>
        <v>-57.7301</v>
      </c>
      <c r="M247">
        <f t="shared" si="37"/>
        <v>-36.750808469699997</v>
      </c>
      <c r="N247" s="9"/>
      <c r="O247" s="22">
        <v>1.09344</v>
      </c>
      <c r="P247" s="22">
        <v>151.61500000000001</v>
      </c>
      <c r="Q247" s="22">
        <v>-1.7541500000000002E-2</v>
      </c>
      <c r="R247" s="22">
        <v>237</v>
      </c>
      <c r="S247" s="22">
        <v>1.09222</v>
      </c>
      <c r="T247">
        <f t="shared" si="38"/>
        <v>17.541500000000003</v>
      </c>
      <c r="U247">
        <f t="shared" si="39"/>
        <v>19.180577760000002</v>
      </c>
      <c r="X247" s="9"/>
      <c r="Y247" s="22">
        <v>0.63659699999999997</v>
      </c>
      <c r="Z247" s="22">
        <v>210.40199999999999</v>
      </c>
      <c r="AA247" s="22">
        <v>-1.77094E-2</v>
      </c>
      <c r="AB247" s="22">
        <v>237</v>
      </c>
      <c r="AC247" s="22">
        <v>0.63626099999999997</v>
      </c>
      <c r="AD247">
        <f t="shared" si="40"/>
        <v>17.709399999999999</v>
      </c>
      <c r="AE247">
        <f t="shared" si="41"/>
        <v>11.273750911799999</v>
      </c>
      <c r="AF247" s="9"/>
      <c r="AG247" s="22">
        <v>1.09344</v>
      </c>
      <c r="AH247" s="22">
        <v>302.42</v>
      </c>
      <c r="AI247" s="22">
        <v>-1.7443799999999999E-2</v>
      </c>
      <c r="AJ247" s="22">
        <v>237</v>
      </c>
      <c r="AK247" s="22">
        <v>1.09314</v>
      </c>
      <c r="AL247">
        <f t="shared" si="42"/>
        <v>17.4438</v>
      </c>
      <c r="AM247">
        <f t="shared" si="43"/>
        <v>19.073748672000001</v>
      </c>
      <c r="AP247" s="9"/>
      <c r="AQ247" s="22">
        <v>0.63659699999999997</v>
      </c>
      <c r="AR247" s="22">
        <v>398.38299999999998</v>
      </c>
      <c r="AS247" s="22">
        <v>-1.7633099999999999E-2</v>
      </c>
      <c r="AT247" s="22">
        <v>237</v>
      </c>
      <c r="AU247" s="22">
        <v>0.63601700000000005</v>
      </c>
      <c r="AV247">
        <f t="shared" si="44"/>
        <v>17.633099999999999</v>
      </c>
      <c r="AW247">
        <f t="shared" si="45"/>
        <v>11.225178560699998</v>
      </c>
      <c r="AX247" s="9"/>
      <c r="AY247" s="22">
        <v>1.09344</v>
      </c>
      <c r="AZ247" s="22">
        <v>492.65100000000001</v>
      </c>
      <c r="BA247" s="22">
        <v>-1.74133E-2</v>
      </c>
      <c r="BB247" s="22">
        <v>237</v>
      </c>
      <c r="BC247" s="22">
        <v>1.09222</v>
      </c>
      <c r="BD247">
        <f t="shared" si="46"/>
        <v>17.4133</v>
      </c>
      <c r="BE247">
        <f t="shared" si="47"/>
        <v>19.040398751999998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79.496399999999994</v>
      </c>
      <c r="I248" s="22">
        <v>5.7714799999999997E-2</v>
      </c>
      <c r="J248" s="22">
        <v>238</v>
      </c>
      <c r="K248" s="22">
        <v>8.2824700000000001E-2</v>
      </c>
      <c r="L248">
        <f t="shared" si="36"/>
        <v>-57.714799999999997</v>
      </c>
      <c r="M248">
        <f t="shared" si="37"/>
        <v>-36.4504168028</v>
      </c>
      <c r="N248" s="9"/>
      <c r="O248" s="22">
        <v>1.0984799999999999</v>
      </c>
      <c r="P248" s="22">
        <v>151.71600000000001</v>
      </c>
      <c r="Q248" s="22">
        <v>-1.75354E-2</v>
      </c>
      <c r="R248" s="22">
        <v>238</v>
      </c>
      <c r="S248" s="22">
        <v>1.09741</v>
      </c>
      <c r="T248">
        <f t="shared" si="38"/>
        <v>17.535399999999999</v>
      </c>
      <c r="U248">
        <f t="shared" si="39"/>
        <v>19.262286191999998</v>
      </c>
      <c r="X248" s="9"/>
      <c r="Y248" s="22">
        <v>0.63156100000000004</v>
      </c>
      <c r="Z248" s="22">
        <v>210.50200000000001</v>
      </c>
      <c r="AA248" s="22">
        <v>-1.7706300000000001E-2</v>
      </c>
      <c r="AB248" s="22">
        <v>238</v>
      </c>
      <c r="AC248" s="22">
        <v>0.63116499999999998</v>
      </c>
      <c r="AD248">
        <f t="shared" si="40"/>
        <v>17.706300000000002</v>
      </c>
      <c r="AE248">
        <f t="shared" si="41"/>
        <v>11.182608534300002</v>
      </c>
      <c r="AF248" s="9"/>
      <c r="AG248" s="22">
        <v>1.0984799999999999</v>
      </c>
      <c r="AH248" s="22">
        <v>302.52100000000002</v>
      </c>
      <c r="AI248" s="22">
        <v>-1.7431599999999998E-2</v>
      </c>
      <c r="AJ248" s="22">
        <v>238</v>
      </c>
      <c r="AK248" s="22">
        <v>1.09741</v>
      </c>
      <c r="AL248">
        <f t="shared" si="42"/>
        <v>17.4316</v>
      </c>
      <c r="AM248">
        <f t="shared" si="43"/>
        <v>19.148263967999998</v>
      </c>
      <c r="AP248" s="9"/>
      <c r="AQ248" s="22">
        <v>0.63156100000000004</v>
      </c>
      <c r="AR248" s="22">
        <v>398.48399999999998</v>
      </c>
      <c r="AS248" s="22">
        <v>-1.7639200000000001E-2</v>
      </c>
      <c r="AT248" s="22">
        <v>238</v>
      </c>
      <c r="AU248" s="22">
        <v>0.63082899999999997</v>
      </c>
      <c r="AV248">
        <f t="shared" si="44"/>
        <v>17.639200000000002</v>
      </c>
      <c r="AW248">
        <f t="shared" si="45"/>
        <v>11.140230791200002</v>
      </c>
      <c r="AX248" s="9"/>
      <c r="AY248" s="22">
        <v>1.0984799999999999</v>
      </c>
      <c r="AZ248" s="22">
        <v>492.75200000000001</v>
      </c>
      <c r="BA248" s="22">
        <v>-1.7401099999999999E-2</v>
      </c>
      <c r="BB248" s="22">
        <v>238</v>
      </c>
      <c r="BC248" s="22">
        <v>1.09741</v>
      </c>
      <c r="BD248">
        <f t="shared" si="46"/>
        <v>17.4011</v>
      </c>
      <c r="BE248">
        <f t="shared" si="47"/>
        <v>19.114760327999999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79.597099999999998</v>
      </c>
      <c r="I249" s="22">
        <v>5.7699599999999997E-2</v>
      </c>
      <c r="J249" s="22">
        <v>239</v>
      </c>
      <c r="K249" s="22">
        <v>8.2855200000000004E-2</v>
      </c>
      <c r="L249">
        <f t="shared" si="36"/>
        <v>-57.699599999999997</v>
      </c>
      <c r="M249">
        <f t="shared" si="37"/>
        <v>-36.150299589600003</v>
      </c>
      <c r="N249" s="9"/>
      <c r="O249" s="22">
        <v>1.1035200000000001</v>
      </c>
      <c r="P249" s="22">
        <v>151.816</v>
      </c>
      <c r="Q249" s="22">
        <v>-1.7532300000000001E-2</v>
      </c>
      <c r="R249" s="22">
        <v>239</v>
      </c>
      <c r="S249" s="22">
        <v>1.10199</v>
      </c>
      <c r="T249">
        <f t="shared" si="38"/>
        <v>17.532299999999999</v>
      </c>
      <c r="U249">
        <f t="shared" si="39"/>
        <v>19.347243696</v>
      </c>
      <c r="X249" s="9"/>
      <c r="Y249" s="22">
        <v>0.62652600000000003</v>
      </c>
      <c r="Z249" s="22">
        <v>210.60300000000001</v>
      </c>
      <c r="AA249" s="22">
        <v>-1.7718500000000002E-2</v>
      </c>
      <c r="AB249" s="22">
        <v>239</v>
      </c>
      <c r="AC249" s="22">
        <v>0.62582400000000005</v>
      </c>
      <c r="AD249">
        <f t="shared" si="40"/>
        <v>17.718500000000002</v>
      </c>
      <c r="AE249">
        <f t="shared" si="41"/>
        <v>11.101100931000001</v>
      </c>
      <c r="AF249" s="9"/>
      <c r="AG249" s="22">
        <v>1.1035200000000001</v>
      </c>
      <c r="AH249" s="22">
        <v>302.62200000000001</v>
      </c>
      <c r="AI249" s="22">
        <v>-1.7428599999999999E-2</v>
      </c>
      <c r="AJ249" s="22">
        <v>239</v>
      </c>
      <c r="AK249" s="22">
        <v>1.1029100000000001</v>
      </c>
      <c r="AL249">
        <f t="shared" si="42"/>
        <v>17.428599999999999</v>
      </c>
      <c r="AM249">
        <f t="shared" si="43"/>
        <v>19.232808672000001</v>
      </c>
      <c r="AP249" s="9"/>
      <c r="AQ249" s="22">
        <v>0.62652600000000003</v>
      </c>
      <c r="AR249" s="22">
        <v>398.584</v>
      </c>
      <c r="AS249" s="22">
        <v>-1.76422E-2</v>
      </c>
      <c r="AT249" s="22">
        <v>239</v>
      </c>
      <c r="AU249" s="22">
        <v>0.62585400000000002</v>
      </c>
      <c r="AV249">
        <f t="shared" si="44"/>
        <v>17.642199999999999</v>
      </c>
      <c r="AW249">
        <f t="shared" si="45"/>
        <v>11.0532969972</v>
      </c>
      <c r="AX249" s="9"/>
      <c r="AY249" s="22">
        <v>1.1035200000000001</v>
      </c>
      <c r="AZ249" s="22">
        <v>492.85300000000001</v>
      </c>
      <c r="BA249" s="22">
        <v>-1.73981E-2</v>
      </c>
      <c r="BB249" s="22">
        <v>239</v>
      </c>
      <c r="BC249" s="22">
        <v>1.10229</v>
      </c>
      <c r="BD249">
        <f t="shared" si="46"/>
        <v>17.398099999999999</v>
      </c>
      <c r="BE249">
        <f t="shared" si="47"/>
        <v>19.199151312000001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79.697800000000001</v>
      </c>
      <c r="I250" s="22">
        <v>5.7684300000000001E-2</v>
      </c>
      <c r="J250" s="22">
        <v>240</v>
      </c>
      <c r="K250" s="22">
        <v>8.2794199999999998E-2</v>
      </c>
      <c r="L250">
        <f t="shared" si="36"/>
        <v>-57.6843</v>
      </c>
      <c r="M250">
        <f t="shared" si="37"/>
        <v>-35.850215607000003</v>
      </c>
      <c r="N250" s="9"/>
      <c r="O250" s="22">
        <v>1.1085499999999999</v>
      </c>
      <c r="P250" s="22">
        <v>151.917</v>
      </c>
      <c r="Q250" s="22">
        <v>-1.7538499999999999E-2</v>
      </c>
      <c r="R250" s="22">
        <v>240</v>
      </c>
      <c r="S250" s="22">
        <v>1.10809</v>
      </c>
      <c r="T250">
        <f t="shared" si="38"/>
        <v>17.538499999999999</v>
      </c>
      <c r="U250">
        <f t="shared" si="39"/>
        <v>19.442304174999997</v>
      </c>
      <c r="X250" s="9"/>
      <c r="Y250" s="22">
        <v>0.62148999999999999</v>
      </c>
      <c r="Z250" s="22">
        <v>210.70400000000001</v>
      </c>
      <c r="AA250" s="22">
        <v>-1.7718500000000002E-2</v>
      </c>
      <c r="AB250" s="22">
        <v>240</v>
      </c>
      <c r="AC250" s="22">
        <v>0.62100200000000005</v>
      </c>
      <c r="AD250">
        <f t="shared" si="40"/>
        <v>17.718500000000002</v>
      </c>
      <c r="AE250">
        <f t="shared" si="41"/>
        <v>11.011870565000001</v>
      </c>
      <c r="AF250" s="9"/>
      <c r="AG250" s="22">
        <v>1.1085499999999999</v>
      </c>
      <c r="AH250" s="22">
        <v>302.72199999999998</v>
      </c>
      <c r="AI250" s="22">
        <v>-1.74225E-2</v>
      </c>
      <c r="AJ250" s="22">
        <v>240</v>
      </c>
      <c r="AK250" s="22">
        <v>1.1071800000000001</v>
      </c>
      <c r="AL250">
        <f t="shared" si="42"/>
        <v>17.422499999999999</v>
      </c>
      <c r="AM250">
        <f t="shared" si="43"/>
        <v>19.313712374999998</v>
      </c>
      <c r="AP250" s="9"/>
      <c r="AQ250" s="22">
        <v>0.62148999999999999</v>
      </c>
      <c r="AR250" s="22">
        <v>398.685</v>
      </c>
      <c r="AS250" s="22">
        <v>-1.7645299999999999E-2</v>
      </c>
      <c r="AT250" s="22">
        <v>240</v>
      </c>
      <c r="AU250" s="22">
        <v>0.62103299999999995</v>
      </c>
      <c r="AV250">
        <f t="shared" si="44"/>
        <v>17.645299999999999</v>
      </c>
      <c r="AW250">
        <f t="shared" si="45"/>
        <v>10.966377497</v>
      </c>
      <c r="AX250" s="9"/>
      <c r="AY250" s="22">
        <v>1.1085499999999999</v>
      </c>
      <c r="AZ250" s="22">
        <v>492.95400000000001</v>
      </c>
      <c r="BA250" s="22">
        <v>-1.73981E-2</v>
      </c>
      <c r="BB250" s="22">
        <v>240</v>
      </c>
      <c r="BC250" s="22">
        <v>1.10809</v>
      </c>
      <c r="BD250">
        <f t="shared" si="46"/>
        <v>17.398099999999999</v>
      </c>
      <c r="BE250">
        <f t="shared" si="47"/>
        <v>19.286663754999999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79.798500000000004</v>
      </c>
      <c r="I251" s="22">
        <v>5.7672099999999997E-2</v>
      </c>
      <c r="J251" s="22">
        <v>241</v>
      </c>
      <c r="K251" s="22">
        <v>8.2885700000000007E-2</v>
      </c>
      <c r="L251">
        <f t="shared" si="36"/>
        <v>-57.6721</v>
      </c>
      <c r="M251">
        <f t="shared" si="37"/>
        <v>-35.552254405500001</v>
      </c>
      <c r="N251" s="9"/>
      <c r="O251" s="22">
        <v>1.1135900000000001</v>
      </c>
      <c r="P251" s="22">
        <v>152.018</v>
      </c>
      <c r="Q251" s="22">
        <v>-1.7526199999999999E-2</v>
      </c>
      <c r="R251" s="22">
        <v>241</v>
      </c>
      <c r="S251" s="22">
        <v>1.1123700000000001</v>
      </c>
      <c r="T251">
        <f t="shared" si="38"/>
        <v>17.526199999999999</v>
      </c>
      <c r="U251">
        <f t="shared" si="39"/>
        <v>19.517001058000002</v>
      </c>
      <c r="X251" s="9"/>
      <c r="Y251" s="22">
        <v>0.61645499999999998</v>
      </c>
      <c r="Z251" s="22">
        <v>210.80500000000001</v>
      </c>
      <c r="AA251" s="22">
        <v>-1.77094E-2</v>
      </c>
      <c r="AB251" s="22">
        <v>241</v>
      </c>
      <c r="AC251" s="22">
        <v>0.61566200000000004</v>
      </c>
      <c r="AD251">
        <f t="shared" si="40"/>
        <v>17.709399999999999</v>
      </c>
      <c r="AE251">
        <f t="shared" si="41"/>
        <v>10.917048176999998</v>
      </c>
      <c r="AF251" s="9"/>
      <c r="AG251" s="22">
        <v>1.1135900000000001</v>
      </c>
      <c r="AH251" s="22">
        <v>302.82299999999998</v>
      </c>
      <c r="AI251" s="22">
        <v>-1.74133E-2</v>
      </c>
      <c r="AJ251" s="22">
        <v>241</v>
      </c>
      <c r="AK251" s="22">
        <v>1.11267</v>
      </c>
      <c r="AL251">
        <f t="shared" si="42"/>
        <v>17.4133</v>
      </c>
      <c r="AM251">
        <f t="shared" si="43"/>
        <v>19.391276746999999</v>
      </c>
      <c r="AP251" s="9"/>
      <c r="AQ251" s="22">
        <v>0.61645499999999998</v>
      </c>
      <c r="AR251" s="22">
        <v>398.786</v>
      </c>
      <c r="AS251" s="22">
        <v>-1.7645299999999999E-2</v>
      </c>
      <c r="AT251" s="22">
        <v>241</v>
      </c>
      <c r="AU251" s="22">
        <v>0.61575299999999999</v>
      </c>
      <c r="AV251">
        <f t="shared" si="44"/>
        <v>17.645299999999999</v>
      </c>
      <c r="AW251">
        <f t="shared" si="45"/>
        <v>10.877533411499998</v>
      </c>
      <c r="AX251" s="9"/>
      <c r="AY251" s="22">
        <v>1.1135900000000001</v>
      </c>
      <c r="AZ251" s="22">
        <v>493.05399999999997</v>
      </c>
      <c r="BA251" s="22">
        <v>-1.7395000000000001E-2</v>
      </c>
      <c r="BB251" s="22">
        <v>241</v>
      </c>
      <c r="BC251" s="22">
        <v>1.1135900000000001</v>
      </c>
      <c r="BD251">
        <f t="shared" si="46"/>
        <v>17.395</v>
      </c>
      <c r="BE251">
        <f t="shared" si="47"/>
        <v>19.370898050000001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79.899199999999993</v>
      </c>
      <c r="I252" s="22">
        <v>5.7669100000000001E-2</v>
      </c>
      <c r="J252" s="22">
        <v>242</v>
      </c>
      <c r="K252" s="22">
        <v>8.2824700000000001E-2</v>
      </c>
      <c r="L252">
        <f t="shared" si="36"/>
        <v>-57.6691</v>
      </c>
      <c r="M252">
        <f t="shared" si="37"/>
        <v>-35.260041121999997</v>
      </c>
      <c r="N252" s="9"/>
      <c r="O252" s="22">
        <v>1.1186199999999999</v>
      </c>
      <c r="P252" s="22">
        <v>152.11799999999999</v>
      </c>
      <c r="Q252" s="22">
        <v>-1.7510999999999999E-2</v>
      </c>
      <c r="R252" s="22">
        <v>242</v>
      </c>
      <c r="S252" s="22">
        <v>1.1184700000000001</v>
      </c>
      <c r="T252">
        <f t="shared" si="38"/>
        <v>17.510999999999999</v>
      </c>
      <c r="U252">
        <f t="shared" si="39"/>
        <v>19.58815482</v>
      </c>
      <c r="X252" s="9"/>
      <c r="Y252" s="22">
        <v>0.61141999999999996</v>
      </c>
      <c r="Z252" s="22">
        <v>210.905</v>
      </c>
      <c r="AA252" s="22">
        <v>-1.7718500000000002E-2</v>
      </c>
      <c r="AB252" s="22">
        <v>242</v>
      </c>
      <c r="AC252" s="22">
        <v>0.61105299999999996</v>
      </c>
      <c r="AD252">
        <f t="shared" si="40"/>
        <v>17.718500000000002</v>
      </c>
      <c r="AE252">
        <f t="shared" si="41"/>
        <v>10.83344527</v>
      </c>
      <c r="AF252" s="9"/>
      <c r="AG252" s="22">
        <v>1.1186199999999999</v>
      </c>
      <c r="AH252" s="22">
        <v>302.92399999999998</v>
      </c>
      <c r="AI252" s="22">
        <v>-1.7416399999999999E-2</v>
      </c>
      <c r="AJ252" s="22">
        <v>242</v>
      </c>
      <c r="AK252" s="22">
        <v>1.11755</v>
      </c>
      <c r="AL252">
        <f t="shared" si="42"/>
        <v>17.416399999999999</v>
      </c>
      <c r="AM252">
        <f t="shared" si="43"/>
        <v>19.482333367999999</v>
      </c>
      <c r="AP252" s="9"/>
      <c r="AQ252" s="22">
        <v>0.61141999999999996</v>
      </c>
      <c r="AR252" s="22">
        <v>398.88600000000002</v>
      </c>
      <c r="AS252" s="22">
        <v>-1.7648299999999999E-2</v>
      </c>
      <c r="AT252" s="22">
        <v>242</v>
      </c>
      <c r="AU252" s="22">
        <v>0.61044299999999996</v>
      </c>
      <c r="AV252">
        <f t="shared" si="44"/>
        <v>17.648299999999999</v>
      </c>
      <c r="AW252">
        <f t="shared" si="45"/>
        <v>10.790523585999999</v>
      </c>
      <c r="AX252" s="9"/>
      <c r="AY252" s="22">
        <v>1.1186199999999999</v>
      </c>
      <c r="AZ252" s="22">
        <v>493.15499999999997</v>
      </c>
      <c r="BA252" s="22">
        <v>-1.73981E-2</v>
      </c>
      <c r="BB252" s="22">
        <v>242</v>
      </c>
      <c r="BC252" s="22">
        <v>1.1178600000000001</v>
      </c>
      <c r="BD252">
        <f t="shared" si="46"/>
        <v>17.398099999999999</v>
      </c>
      <c r="BE252">
        <f t="shared" si="47"/>
        <v>19.461862621999998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79.999899999999997</v>
      </c>
      <c r="I253" s="22">
        <v>5.7662999999999999E-2</v>
      </c>
      <c r="J253" s="22">
        <v>243</v>
      </c>
      <c r="K253" s="22">
        <v>8.2794199999999998E-2</v>
      </c>
      <c r="L253">
        <f t="shared" si="36"/>
        <v>-57.662999999999997</v>
      </c>
      <c r="M253">
        <f t="shared" si="37"/>
        <v>-34.965920592000003</v>
      </c>
      <c r="N253" s="9"/>
      <c r="O253" s="22">
        <v>1.1236600000000001</v>
      </c>
      <c r="P253" s="22">
        <v>152.21899999999999</v>
      </c>
      <c r="Q253" s="22">
        <v>-1.7517100000000001E-2</v>
      </c>
      <c r="R253" s="22">
        <v>243</v>
      </c>
      <c r="S253" s="22">
        <v>1.1230500000000001</v>
      </c>
      <c r="T253">
        <f t="shared" si="38"/>
        <v>17.517099999999999</v>
      </c>
      <c r="U253">
        <f t="shared" si="39"/>
        <v>19.683264586</v>
      </c>
      <c r="X253" s="9"/>
      <c r="Y253" s="22">
        <v>0.60638400000000003</v>
      </c>
      <c r="Z253" s="22">
        <v>211.006</v>
      </c>
      <c r="AA253" s="22">
        <v>-1.7727699999999999E-2</v>
      </c>
      <c r="AB253" s="22">
        <v>243</v>
      </c>
      <c r="AC253" s="22">
        <v>0.60583500000000001</v>
      </c>
      <c r="AD253">
        <f t="shared" si="40"/>
        <v>17.727699999999999</v>
      </c>
      <c r="AE253">
        <f t="shared" si="41"/>
        <v>10.7497936368</v>
      </c>
      <c r="AF253" s="9"/>
      <c r="AG253" s="22">
        <v>1.1236600000000001</v>
      </c>
      <c r="AH253" s="22">
        <v>303.02499999999998</v>
      </c>
      <c r="AI253" s="22">
        <v>-1.74225E-2</v>
      </c>
      <c r="AJ253" s="22">
        <v>243</v>
      </c>
      <c r="AK253" s="22">
        <v>1.1227400000000001</v>
      </c>
      <c r="AL253">
        <f t="shared" si="42"/>
        <v>17.422499999999999</v>
      </c>
      <c r="AM253">
        <f t="shared" si="43"/>
        <v>19.576966350000003</v>
      </c>
      <c r="AP253" s="9"/>
      <c r="AQ253" s="22">
        <v>0.60638400000000003</v>
      </c>
      <c r="AR253" s="22">
        <v>398.98700000000002</v>
      </c>
      <c r="AS253" s="22">
        <v>-1.7651400000000001E-2</v>
      </c>
      <c r="AT253" s="22">
        <v>243</v>
      </c>
      <c r="AU253" s="22">
        <v>0.60540799999999995</v>
      </c>
      <c r="AV253">
        <f t="shared" si="44"/>
        <v>17.651400000000002</v>
      </c>
      <c r="AW253">
        <f t="shared" si="45"/>
        <v>10.703526537600002</v>
      </c>
      <c r="AX253" s="9"/>
      <c r="AY253" s="22">
        <v>1.1236600000000001</v>
      </c>
      <c r="AZ253" s="22">
        <v>493.25599999999997</v>
      </c>
      <c r="BA253" s="22">
        <v>-1.7388899999999999E-2</v>
      </c>
      <c r="BB253" s="22">
        <v>243</v>
      </c>
      <c r="BC253" s="22">
        <v>1.1230500000000001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80.1006</v>
      </c>
      <c r="I254" s="22">
        <v>5.7666000000000002E-2</v>
      </c>
      <c r="J254" s="22">
        <v>244</v>
      </c>
      <c r="K254" s="22">
        <v>8.2763699999999996E-2</v>
      </c>
      <c r="L254">
        <f t="shared" si="36"/>
        <v>-57.666000000000004</v>
      </c>
      <c r="M254">
        <f t="shared" si="37"/>
        <v>-34.677391434</v>
      </c>
      <c r="N254" s="9"/>
      <c r="O254" s="22">
        <v>1.12869</v>
      </c>
      <c r="P254" s="22">
        <v>152.32</v>
      </c>
      <c r="Q254" s="22">
        <v>-1.7523199999999999E-2</v>
      </c>
      <c r="R254" s="22">
        <v>244</v>
      </c>
      <c r="S254" s="22">
        <v>1.1273200000000001</v>
      </c>
      <c r="T254">
        <f t="shared" si="38"/>
        <v>17.523199999999999</v>
      </c>
      <c r="U254">
        <f t="shared" si="39"/>
        <v>19.778260608</v>
      </c>
      <c r="X254" s="9"/>
      <c r="Y254" s="22">
        <v>0.60134900000000002</v>
      </c>
      <c r="Z254" s="22">
        <v>211.107</v>
      </c>
      <c r="AA254" s="22">
        <v>-1.7730699999999999E-2</v>
      </c>
      <c r="AB254" s="22">
        <v>244</v>
      </c>
      <c r="AC254" s="22">
        <v>0.60082999999999998</v>
      </c>
      <c r="AD254">
        <f t="shared" si="40"/>
        <v>17.730699999999999</v>
      </c>
      <c r="AE254">
        <f t="shared" si="41"/>
        <v>10.662338714299999</v>
      </c>
      <c r="AF254" s="9"/>
      <c r="AG254" s="22">
        <v>1.12869</v>
      </c>
      <c r="AH254" s="22">
        <v>303.125</v>
      </c>
      <c r="AI254" s="22">
        <v>-1.7407200000000001E-2</v>
      </c>
      <c r="AJ254" s="22">
        <v>244</v>
      </c>
      <c r="AK254" s="22">
        <v>1.1273200000000001</v>
      </c>
      <c r="AL254">
        <f t="shared" si="42"/>
        <v>17.4072</v>
      </c>
      <c r="AM254">
        <f t="shared" si="43"/>
        <v>19.647332567999999</v>
      </c>
      <c r="AP254" s="9"/>
      <c r="AQ254" s="22">
        <v>0.60134900000000002</v>
      </c>
      <c r="AR254" s="22">
        <v>399.08800000000002</v>
      </c>
      <c r="AS254" s="22">
        <v>-1.76575E-2</v>
      </c>
      <c r="AT254" s="22">
        <v>244</v>
      </c>
      <c r="AU254" s="22">
        <v>0.60070800000000002</v>
      </c>
      <c r="AV254">
        <f t="shared" si="44"/>
        <v>17.657499999999999</v>
      </c>
      <c r="AW254">
        <f t="shared" si="45"/>
        <v>10.6183199675</v>
      </c>
      <c r="AX254" s="9"/>
      <c r="AY254" s="22">
        <v>1.12869</v>
      </c>
      <c r="AZ254" s="22">
        <v>493.35599999999999</v>
      </c>
      <c r="BA254" s="22">
        <v>-1.7388899999999999E-2</v>
      </c>
      <c r="BB254" s="22">
        <v>244</v>
      </c>
      <c r="BC254" s="22">
        <v>1.1273200000000001</v>
      </c>
      <c r="BD254">
        <f t="shared" si="46"/>
        <v>17.3889</v>
      </c>
      <c r="BE254">
        <f t="shared" si="47"/>
        <v>19.626677540999999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80.201400000000007</v>
      </c>
      <c r="I255" s="22">
        <v>5.7675200000000003E-2</v>
      </c>
      <c r="J255" s="22">
        <v>245</v>
      </c>
      <c r="K255" s="22">
        <v>8.2763699999999996E-2</v>
      </c>
      <c r="L255">
        <f t="shared" si="36"/>
        <v>-57.675200000000004</v>
      </c>
      <c r="M255">
        <f t="shared" si="37"/>
        <v>-34.392471537600002</v>
      </c>
      <c r="N255" s="9"/>
      <c r="O255" s="22">
        <v>1.1337299999999999</v>
      </c>
      <c r="P255" s="22">
        <v>152.42099999999999</v>
      </c>
      <c r="Q255" s="22">
        <v>-1.7526199999999999E-2</v>
      </c>
      <c r="R255" s="22">
        <v>245</v>
      </c>
      <c r="S255" s="22">
        <v>1.1331199999999999</v>
      </c>
      <c r="T255">
        <f t="shared" si="38"/>
        <v>17.526199999999999</v>
      </c>
      <c r="U255">
        <f t="shared" si="39"/>
        <v>19.869978725999996</v>
      </c>
      <c r="X255" s="9"/>
      <c r="Y255" s="22">
        <v>0.59631299999999998</v>
      </c>
      <c r="Z255" s="22">
        <v>211.20699999999999</v>
      </c>
      <c r="AA255" s="22">
        <v>-1.7730699999999999E-2</v>
      </c>
      <c r="AB255" s="22">
        <v>245</v>
      </c>
      <c r="AC255" s="22">
        <v>0.59622200000000003</v>
      </c>
      <c r="AD255">
        <f t="shared" si="40"/>
        <v>17.730699999999999</v>
      </c>
      <c r="AE255">
        <f t="shared" si="41"/>
        <v>10.573046909099999</v>
      </c>
      <c r="AF255" s="9"/>
      <c r="AG255" s="22">
        <v>1.1337299999999999</v>
      </c>
      <c r="AH255" s="22">
        <v>303.226</v>
      </c>
      <c r="AI255" s="22">
        <v>-1.74103E-2</v>
      </c>
      <c r="AJ255" s="22">
        <v>245</v>
      </c>
      <c r="AK255" s="22">
        <v>1.1325099999999999</v>
      </c>
      <c r="AL255">
        <f t="shared" si="42"/>
        <v>17.410299999999999</v>
      </c>
      <c r="AM255">
        <f t="shared" si="43"/>
        <v>19.738579418999997</v>
      </c>
      <c r="AP255" s="9"/>
      <c r="AQ255" s="22">
        <v>0.59631299999999998</v>
      </c>
      <c r="AR255" s="22">
        <v>399.18900000000002</v>
      </c>
      <c r="AS255" s="22">
        <v>-1.7651400000000001E-2</v>
      </c>
      <c r="AT255" s="22">
        <v>245</v>
      </c>
      <c r="AU255" s="22">
        <v>0.595642</v>
      </c>
      <c r="AV255">
        <f t="shared" si="44"/>
        <v>17.651400000000002</v>
      </c>
      <c r="AW255">
        <f t="shared" si="45"/>
        <v>10.525759288200002</v>
      </c>
      <c r="AX255" s="9"/>
      <c r="AY255" s="22">
        <v>1.1337299999999999</v>
      </c>
      <c r="AZ255" s="22">
        <v>493.45699999999999</v>
      </c>
      <c r="BA255" s="22">
        <v>-1.7385899999999999E-2</v>
      </c>
      <c r="BB255" s="22">
        <v>245</v>
      </c>
      <c r="BC255" s="22">
        <v>1.1334200000000001</v>
      </c>
      <c r="BD255">
        <f t="shared" si="46"/>
        <v>17.385899999999999</v>
      </c>
      <c r="BE255">
        <f t="shared" si="47"/>
        <v>19.710916406999999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80.302099999999996</v>
      </c>
      <c r="I256" s="22">
        <v>5.7647700000000003E-2</v>
      </c>
      <c r="J256" s="22">
        <v>246</v>
      </c>
      <c r="K256" s="22">
        <v>8.2763699999999996E-2</v>
      </c>
      <c r="L256">
        <f t="shared" si="36"/>
        <v>-57.6477</v>
      </c>
      <c r="M256">
        <f t="shared" si="37"/>
        <v>-34.085816760599997</v>
      </c>
      <c r="N256" s="9"/>
      <c r="O256" s="22">
        <v>1.13876</v>
      </c>
      <c r="P256" s="22">
        <v>152.52099999999999</v>
      </c>
      <c r="Q256" s="22">
        <v>-1.7510999999999999E-2</v>
      </c>
      <c r="R256" s="22">
        <v>246</v>
      </c>
      <c r="S256" s="22">
        <v>1.1376999999999999</v>
      </c>
      <c r="T256">
        <f t="shared" si="38"/>
        <v>17.510999999999999</v>
      </c>
      <c r="U256">
        <f t="shared" si="39"/>
        <v>19.940826359999999</v>
      </c>
      <c r="X256" s="9"/>
      <c r="Y256" s="22">
        <v>0.59127799999999997</v>
      </c>
      <c r="Z256" s="22">
        <v>211.30799999999999</v>
      </c>
      <c r="AA256" s="22">
        <v>-1.7739899999999999E-2</v>
      </c>
      <c r="AB256" s="22">
        <v>246</v>
      </c>
      <c r="AC256" s="22">
        <v>0.59048500000000004</v>
      </c>
      <c r="AD256">
        <f t="shared" si="40"/>
        <v>17.739899999999999</v>
      </c>
      <c r="AE256">
        <f t="shared" si="41"/>
        <v>10.489212592199999</v>
      </c>
      <c r="AF256" s="9"/>
      <c r="AG256" s="22">
        <v>1.13876</v>
      </c>
      <c r="AH256" s="22">
        <v>303.327</v>
      </c>
      <c r="AI256" s="22">
        <v>-1.7404200000000002E-2</v>
      </c>
      <c r="AJ256" s="22">
        <v>246</v>
      </c>
      <c r="AK256" s="22">
        <v>1.1376999999999999</v>
      </c>
      <c r="AL256">
        <f t="shared" si="42"/>
        <v>17.404200000000003</v>
      </c>
      <c r="AM256">
        <f t="shared" si="43"/>
        <v>19.819206792000003</v>
      </c>
      <c r="AP256" s="9"/>
      <c r="AQ256" s="22">
        <v>0.59127799999999997</v>
      </c>
      <c r="AR256" s="22">
        <v>399.28899999999999</v>
      </c>
      <c r="AS256" s="22">
        <v>-1.7660499999999999E-2</v>
      </c>
      <c r="AT256" s="22">
        <v>246</v>
      </c>
      <c r="AU256" s="22">
        <v>0.59036299999999997</v>
      </c>
      <c r="AV256">
        <f t="shared" si="44"/>
        <v>17.660499999999999</v>
      </c>
      <c r="AW256">
        <f t="shared" si="45"/>
        <v>10.442265118999998</v>
      </c>
      <c r="AX256" s="9"/>
      <c r="AY256" s="22">
        <v>1.13876</v>
      </c>
      <c r="AZ256" s="22">
        <v>493.55799999999999</v>
      </c>
      <c r="BA256" s="22">
        <v>-1.7373699999999999E-2</v>
      </c>
      <c r="BB256" s="22">
        <v>246</v>
      </c>
      <c r="BC256" s="22">
        <v>1.1376999999999999</v>
      </c>
      <c r="BD256">
        <f t="shared" si="46"/>
        <v>17.373699999999999</v>
      </c>
      <c r="BE256">
        <f t="shared" si="47"/>
        <v>19.784474612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80.402799999999999</v>
      </c>
      <c r="I257" s="22">
        <v>5.7635499999999999E-2</v>
      </c>
      <c r="J257" s="22">
        <v>247</v>
      </c>
      <c r="K257" s="22">
        <v>8.2855200000000004E-2</v>
      </c>
      <c r="L257">
        <f t="shared" si="36"/>
        <v>-57.6355</v>
      </c>
      <c r="M257">
        <f t="shared" si="37"/>
        <v>-33.788408426499998</v>
      </c>
      <c r="N257" s="9"/>
      <c r="O257" s="22">
        <v>1.1437999999999999</v>
      </c>
      <c r="P257" s="22">
        <v>152.62200000000001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0.58624299999999996</v>
      </c>
      <c r="Z257" s="22">
        <v>211.40899999999999</v>
      </c>
      <c r="AA257" s="22">
        <v>-1.7742899999999999E-2</v>
      </c>
      <c r="AB257" s="22">
        <v>247</v>
      </c>
      <c r="AC257" s="22">
        <v>0.58554099999999998</v>
      </c>
      <c r="AD257">
        <f t="shared" si="40"/>
        <v>17.742899999999999</v>
      </c>
      <c r="AE257">
        <f t="shared" si="41"/>
        <v>10.401650924699998</v>
      </c>
      <c r="AF257" s="9"/>
      <c r="AG257" s="22">
        <v>1.1437999999999999</v>
      </c>
      <c r="AH257" s="22">
        <v>303.42700000000002</v>
      </c>
      <c r="AI257" s="22">
        <v>-1.73981E-2</v>
      </c>
      <c r="AJ257" s="22">
        <v>247</v>
      </c>
      <c r="AK257" s="22">
        <v>1.1440999999999999</v>
      </c>
      <c r="AL257">
        <f t="shared" si="42"/>
        <v>17.398099999999999</v>
      </c>
      <c r="AM257">
        <f t="shared" si="43"/>
        <v>19.899946779999997</v>
      </c>
      <c r="AP257" s="9"/>
      <c r="AQ257" s="22">
        <v>0.58624299999999996</v>
      </c>
      <c r="AR257" s="22">
        <v>399.39</v>
      </c>
      <c r="AS257" s="22">
        <v>-1.76575E-2</v>
      </c>
      <c r="AT257" s="22">
        <v>247</v>
      </c>
      <c r="AU257" s="22">
        <v>0.58590699999999996</v>
      </c>
      <c r="AV257">
        <f t="shared" si="44"/>
        <v>17.657499999999999</v>
      </c>
      <c r="AW257">
        <f t="shared" si="45"/>
        <v>10.351585772499998</v>
      </c>
      <c r="AX257" s="9"/>
      <c r="AY257" s="22">
        <v>1.1437999999999999</v>
      </c>
      <c r="AZ257" s="22">
        <v>493.65899999999999</v>
      </c>
      <c r="BA257" s="22">
        <v>-1.7376699999999998E-2</v>
      </c>
      <c r="BB257" s="22">
        <v>247</v>
      </c>
      <c r="BC257" s="22">
        <v>1.1428799999999999</v>
      </c>
      <c r="BD257">
        <f t="shared" si="46"/>
        <v>17.3767</v>
      </c>
      <c r="BE257">
        <f t="shared" si="47"/>
        <v>19.875469459999998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80.503500000000003</v>
      </c>
      <c r="I258" s="22">
        <v>5.76324E-2</v>
      </c>
      <c r="J258" s="22">
        <v>248</v>
      </c>
      <c r="K258" s="22">
        <v>8.2794199999999998E-2</v>
      </c>
      <c r="L258">
        <f t="shared" si="36"/>
        <v>-57.632399999999997</v>
      </c>
      <c r="M258">
        <f t="shared" si="37"/>
        <v>-33.496354306800001</v>
      </c>
      <c r="N258" s="9"/>
      <c r="O258" s="22">
        <v>1.14883</v>
      </c>
      <c r="P258" s="22">
        <v>152.72300000000001</v>
      </c>
      <c r="Q258" s="22">
        <v>-1.7501800000000001E-2</v>
      </c>
      <c r="R258" s="22">
        <v>248</v>
      </c>
      <c r="S258" s="22">
        <v>1.1474599999999999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0.58120700000000003</v>
      </c>
      <c r="Z258" s="22">
        <v>211.51</v>
      </c>
      <c r="AA258" s="22">
        <v>-1.7755099999999999E-2</v>
      </c>
      <c r="AB258" s="22">
        <v>248</v>
      </c>
      <c r="AC258" s="22">
        <v>0.58038299999999998</v>
      </c>
      <c r="AD258">
        <f t="shared" si="40"/>
        <v>17.755099999999999</v>
      </c>
      <c r="AE258">
        <f t="shared" si="41"/>
        <v>10.3193884057</v>
      </c>
      <c r="AF258" s="9"/>
      <c r="AG258" s="22">
        <v>1.14883</v>
      </c>
      <c r="AH258" s="22">
        <v>303.52800000000002</v>
      </c>
      <c r="AI258" s="22">
        <v>-1.7407200000000001E-2</v>
      </c>
      <c r="AJ258" s="22">
        <v>248</v>
      </c>
      <c r="AK258" s="22">
        <v>1.1480699999999999</v>
      </c>
      <c r="AL258">
        <f t="shared" si="42"/>
        <v>17.4072</v>
      </c>
      <c r="AM258">
        <f t="shared" si="43"/>
        <v>19.997913575999998</v>
      </c>
      <c r="AP258" s="9"/>
      <c r="AQ258" s="22">
        <v>0.58120700000000003</v>
      </c>
      <c r="AR258" s="22">
        <v>399.49099999999999</v>
      </c>
      <c r="AS258" s="22">
        <v>-1.7663600000000002E-2</v>
      </c>
      <c r="AT258" s="22">
        <v>248</v>
      </c>
      <c r="AU258" s="22">
        <v>0.58041399999999999</v>
      </c>
      <c r="AV258">
        <f t="shared" si="44"/>
        <v>17.663600000000002</v>
      </c>
      <c r="AW258">
        <f t="shared" si="45"/>
        <v>10.266207965200001</v>
      </c>
      <c r="AX258" s="9"/>
      <c r="AY258" s="22">
        <v>1.14883</v>
      </c>
      <c r="AZ258" s="22">
        <v>493.75900000000001</v>
      </c>
      <c r="BA258" s="22">
        <v>-1.73676E-2</v>
      </c>
      <c r="BB258" s="22">
        <v>248</v>
      </c>
      <c r="BC258" s="22">
        <v>1.14716</v>
      </c>
      <c r="BD258">
        <f t="shared" si="46"/>
        <v>17.367599999999999</v>
      </c>
      <c r="BE258">
        <f t="shared" si="47"/>
        <v>19.952419908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80.604200000000006</v>
      </c>
      <c r="I259" s="22">
        <v>5.7641600000000001E-2</v>
      </c>
      <c r="J259" s="22">
        <v>249</v>
      </c>
      <c r="K259" s="22">
        <v>8.2763699999999996E-2</v>
      </c>
      <c r="L259">
        <f t="shared" si="36"/>
        <v>-57.641600000000004</v>
      </c>
      <c r="M259">
        <f t="shared" si="37"/>
        <v>-33.211475955200001</v>
      </c>
      <c r="N259" s="9"/>
      <c r="O259" s="22">
        <v>1.15387</v>
      </c>
      <c r="P259" s="22">
        <v>152.82300000000001</v>
      </c>
      <c r="Q259" s="22">
        <v>-1.7498799999999998E-2</v>
      </c>
      <c r="R259" s="22">
        <v>249</v>
      </c>
      <c r="S259" s="22">
        <v>1.1529499999999999</v>
      </c>
      <c r="T259">
        <f t="shared" si="38"/>
        <v>17.498799999999999</v>
      </c>
      <c r="U259">
        <f t="shared" si="39"/>
        <v>20.191340355999998</v>
      </c>
      <c r="X259" s="9"/>
      <c r="Y259" s="22">
        <v>0.57617200000000002</v>
      </c>
      <c r="Z259" s="22">
        <v>211.61</v>
      </c>
      <c r="AA259" s="22">
        <v>-1.77521E-2</v>
      </c>
      <c r="AB259" s="22">
        <v>249</v>
      </c>
      <c r="AC259" s="22">
        <v>0.57528699999999999</v>
      </c>
      <c r="AD259">
        <f t="shared" si="40"/>
        <v>17.752099999999999</v>
      </c>
      <c r="AE259">
        <f t="shared" si="41"/>
        <v>10.228262961199999</v>
      </c>
      <c r="AF259" s="9"/>
      <c r="AG259" s="22">
        <v>1.15387</v>
      </c>
      <c r="AH259" s="22">
        <v>303.62900000000002</v>
      </c>
      <c r="AI259" s="22">
        <v>-1.7395000000000001E-2</v>
      </c>
      <c r="AJ259" s="22">
        <v>249</v>
      </c>
      <c r="AK259" s="22">
        <v>1.15326</v>
      </c>
      <c r="AL259">
        <f t="shared" si="42"/>
        <v>17.395</v>
      </c>
      <c r="AM259">
        <f t="shared" si="43"/>
        <v>20.07156865</v>
      </c>
      <c r="AP259" s="9"/>
      <c r="AQ259" s="22">
        <v>0.57617200000000002</v>
      </c>
      <c r="AR259" s="22">
        <v>399.59100000000001</v>
      </c>
      <c r="AS259" s="22">
        <v>-1.7666600000000001E-2</v>
      </c>
      <c r="AT259" s="22">
        <v>249</v>
      </c>
      <c r="AU259" s="22">
        <v>0.57547000000000004</v>
      </c>
      <c r="AV259">
        <f t="shared" si="44"/>
        <v>17.666600000000003</v>
      </c>
      <c r="AW259">
        <f t="shared" si="45"/>
        <v>10.179000255200002</v>
      </c>
      <c r="AX259" s="9"/>
      <c r="AY259" s="22">
        <v>1.15387</v>
      </c>
      <c r="AZ259" s="22">
        <v>493.86</v>
      </c>
      <c r="BA259" s="22">
        <v>-1.73676E-2</v>
      </c>
      <c r="BB259" s="22">
        <v>249</v>
      </c>
      <c r="BC259" s="22">
        <v>1.1529499999999999</v>
      </c>
      <c r="BD259">
        <f t="shared" si="46"/>
        <v>17.367599999999999</v>
      </c>
      <c r="BE259">
        <f t="shared" si="47"/>
        <v>20.039952611999997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80.704899999999995</v>
      </c>
      <c r="I260" s="22">
        <v>5.7611099999999998E-2</v>
      </c>
      <c r="J260" s="22">
        <v>250</v>
      </c>
      <c r="K260" s="22">
        <v>8.2794199999999998E-2</v>
      </c>
      <c r="L260">
        <f t="shared" si="36"/>
        <v>-57.6111</v>
      </c>
      <c r="M260">
        <f t="shared" si="37"/>
        <v>-32.903773209599997</v>
      </c>
      <c r="N260" s="9"/>
      <c r="O260" s="22">
        <v>1.1589100000000001</v>
      </c>
      <c r="P260" s="22">
        <v>152.92400000000001</v>
      </c>
      <c r="Q260" s="22">
        <v>-1.74927E-2</v>
      </c>
      <c r="R260" s="22">
        <v>250</v>
      </c>
      <c r="S260" s="22">
        <v>1.1569199999999999</v>
      </c>
      <c r="T260">
        <f t="shared" si="38"/>
        <v>17.492699999999999</v>
      </c>
      <c r="U260">
        <f t="shared" si="39"/>
        <v>20.272464957</v>
      </c>
      <c r="X260" s="9"/>
      <c r="Y260" s="22">
        <v>0.57113599999999998</v>
      </c>
      <c r="Z260" s="22">
        <v>211.71100000000001</v>
      </c>
      <c r="AA260" s="22">
        <v>-1.7758199999999998E-2</v>
      </c>
      <c r="AB260" s="22">
        <v>250</v>
      </c>
      <c r="AC260" s="22">
        <v>0.57089199999999996</v>
      </c>
      <c r="AD260">
        <f t="shared" si="40"/>
        <v>17.758199999999999</v>
      </c>
      <c r="AE260">
        <f t="shared" si="41"/>
        <v>10.142347315199999</v>
      </c>
      <c r="AF260" s="9"/>
      <c r="AG260" s="22">
        <v>1.1589100000000001</v>
      </c>
      <c r="AH260" s="22">
        <v>303.72899999999998</v>
      </c>
      <c r="AI260" s="22">
        <v>-1.7388899999999999E-2</v>
      </c>
      <c r="AJ260" s="22">
        <v>250</v>
      </c>
      <c r="AK260" s="22">
        <v>1.1575299999999999</v>
      </c>
      <c r="AL260">
        <f t="shared" si="42"/>
        <v>17.3889</v>
      </c>
      <c r="AM260">
        <f t="shared" si="43"/>
        <v>20.152170099000003</v>
      </c>
      <c r="AP260" s="9"/>
      <c r="AQ260" s="22">
        <v>0.57113599999999998</v>
      </c>
      <c r="AR260" s="22">
        <v>399.69200000000001</v>
      </c>
      <c r="AS260" s="22">
        <v>-1.7660499999999999E-2</v>
      </c>
      <c r="AT260" s="22">
        <v>250</v>
      </c>
      <c r="AU260" s="22">
        <v>0.56799299999999997</v>
      </c>
      <c r="AV260">
        <f t="shared" si="44"/>
        <v>17.660499999999999</v>
      </c>
      <c r="AW260">
        <f t="shared" si="45"/>
        <v>10.086547327999998</v>
      </c>
      <c r="AX260" s="9"/>
      <c r="AY260" s="22">
        <v>1.1589100000000001</v>
      </c>
      <c r="AZ260" s="22">
        <v>493.96100000000001</v>
      </c>
      <c r="BA260" s="22">
        <v>-1.73584E-2</v>
      </c>
      <c r="BB260" s="22">
        <v>250</v>
      </c>
      <c r="BC260" s="22">
        <v>1.15845</v>
      </c>
      <c r="BD260">
        <f t="shared" si="46"/>
        <v>17.3584</v>
      </c>
      <c r="BE260">
        <f t="shared" si="47"/>
        <v>20.116823344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80.805599999999998</v>
      </c>
      <c r="I261" s="22">
        <v>5.7598900000000001E-2</v>
      </c>
      <c r="J261" s="22">
        <v>251</v>
      </c>
      <c r="K261" s="22">
        <v>8.2763699999999996E-2</v>
      </c>
      <c r="L261">
        <f t="shared" si="36"/>
        <v>-57.5989</v>
      </c>
      <c r="M261">
        <f t="shared" si="37"/>
        <v>-32.606794888899998</v>
      </c>
      <c r="N261" s="9"/>
      <c r="O261" s="22">
        <v>1.16394</v>
      </c>
      <c r="P261" s="22">
        <v>153.02500000000001</v>
      </c>
      <c r="Q261" s="22">
        <v>-1.74927E-2</v>
      </c>
      <c r="R261" s="22">
        <v>251</v>
      </c>
      <c r="S261" s="22">
        <v>1.16364</v>
      </c>
      <c r="T261">
        <f t="shared" si="38"/>
        <v>17.492699999999999</v>
      </c>
      <c r="U261">
        <f t="shared" si="39"/>
        <v>20.360453237999998</v>
      </c>
      <c r="X261" s="9"/>
      <c r="Y261" s="22">
        <v>0.56610099999999997</v>
      </c>
      <c r="Z261" s="22">
        <v>211.81200000000001</v>
      </c>
      <c r="AA261" s="22">
        <v>-1.77521E-2</v>
      </c>
      <c r="AB261" s="22">
        <v>251</v>
      </c>
      <c r="AC261" s="22">
        <v>0.56549099999999997</v>
      </c>
      <c r="AD261">
        <f t="shared" si="40"/>
        <v>17.752099999999999</v>
      </c>
      <c r="AE261">
        <f t="shared" si="41"/>
        <v>10.049481562099999</v>
      </c>
      <c r="AF261" s="9"/>
      <c r="AG261" s="22">
        <v>1.16394</v>
      </c>
      <c r="AH261" s="22">
        <v>303.83</v>
      </c>
      <c r="AI261" s="22">
        <v>-1.73828E-2</v>
      </c>
      <c r="AJ261" s="22">
        <v>251</v>
      </c>
      <c r="AK261" s="22">
        <v>1.1624099999999999</v>
      </c>
      <c r="AL261">
        <f t="shared" si="42"/>
        <v>17.3828</v>
      </c>
      <c r="AM261">
        <f t="shared" si="43"/>
        <v>20.232536231999998</v>
      </c>
      <c r="AP261" s="9"/>
      <c r="AQ261" s="22">
        <v>0.56610099999999997</v>
      </c>
      <c r="AR261" s="22">
        <v>399.79300000000001</v>
      </c>
      <c r="AS261" s="22">
        <v>-1.7675799999999998E-2</v>
      </c>
      <c r="AT261" s="22">
        <v>251</v>
      </c>
      <c r="AU261" s="22">
        <v>0.56515499999999996</v>
      </c>
      <c r="AV261">
        <f t="shared" si="44"/>
        <v>17.675799999999999</v>
      </c>
      <c r="AW261">
        <f t="shared" si="45"/>
        <v>10.006288055799999</v>
      </c>
      <c r="AX261" s="9"/>
      <c r="AY261" s="22">
        <v>1.16394</v>
      </c>
      <c r="AZ261" s="22">
        <v>494.06099999999998</v>
      </c>
      <c r="BA261" s="22">
        <v>-1.73584E-2</v>
      </c>
      <c r="BB261" s="22">
        <v>251</v>
      </c>
      <c r="BC261" s="22">
        <v>1.16333</v>
      </c>
      <c r="BD261">
        <f t="shared" si="46"/>
        <v>17.3584</v>
      </c>
      <c r="BE261">
        <f t="shared" si="47"/>
        <v>20.204136095999999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80.906300000000002</v>
      </c>
      <c r="I262" s="22">
        <v>5.7598900000000001E-2</v>
      </c>
      <c r="J262" s="22">
        <v>252</v>
      </c>
      <c r="K262" s="22">
        <v>8.2763699999999996E-2</v>
      </c>
      <c r="L262">
        <f t="shared" si="36"/>
        <v>-57.5989</v>
      </c>
      <c r="M262">
        <f t="shared" si="37"/>
        <v>-32.316784427399995</v>
      </c>
      <c r="N262" s="9"/>
      <c r="O262" s="22">
        <v>1.1689799999999999</v>
      </c>
      <c r="P262" s="22">
        <v>153.125</v>
      </c>
      <c r="Q262" s="22">
        <v>-1.7483499999999999E-2</v>
      </c>
      <c r="R262" s="22">
        <v>252</v>
      </c>
      <c r="S262" s="22">
        <v>1.16882</v>
      </c>
      <c r="T262">
        <f t="shared" si="38"/>
        <v>17.483499999999999</v>
      </c>
      <c r="U262">
        <f t="shared" si="39"/>
        <v>20.437861829999999</v>
      </c>
      <c r="X262" s="9"/>
      <c r="Y262" s="22">
        <v>0.56106599999999995</v>
      </c>
      <c r="Z262" s="22">
        <v>211.91200000000001</v>
      </c>
      <c r="AA262" s="22">
        <v>-1.7755099999999999E-2</v>
      </c>
      <c r="AB262" s="22">
        <v>252</v>
      </c>
      <c r="AC262" s="22">
        <v>0.56066899999999997</v>
      </c>
      <c r="AD262">
        <f t="shared" si="40"/>
        <v>17.755099999999999</v>
      </c>
      <c r="AE262">
        <f t="shared" si="41"/>
        <v>9.9617829365999988</v>
      </c>
      <c r="AF262" s="9"/>
      <c r="AG262" s="22">
        <v>1.1689799999999999</v>
      </c>
      <c r="AH262" s="22">
        <v>303.93099999999998</v>
      </c>
      <c r="AI262" s="22">
        <v>-1.7388899999999999E-2</v>
      </c>
      <c r="AJ262" s="22">
        <v>252</v>
      </c>
      <c r="AK262" s="22">
        <v>1.16821</v>
      </c>
      <c r="AL262">
        <f t="shared" si="42"/>
        <v>17.3889</v>
      </c>
      <c r="AM262">
        <f t="shared" si="43"/>
        <v>20.327276321999999</v>
      </c>
      <c r="AP262" s="9"/>
      <c r="AQ262" s="22">
        <v>0.56106599999999995</v>
      </c>
      <c r="AR262" s="22">
        <v>399.89400000000001</v>
      </c>
      <c r="AS262" s="22">
        <v>-1.7678800000000001E-2</v>
      </c>
      <c r="AT262" s="22">
        <v>252</v>
      </c>
      <c r="AU262" s="22">
        <v>0.56045500000000004</v>
      </c>
      <c r="AV262">
        <f t="shared" si="44"/>
        <v>17.678800000000003</v>
      </c>
      <c r="AW262">
        <f t="shared" si="45"/>
        <v>9.9189736008000011</v>
      </c>
      <c r="AX262" s="9"/>
      <c r="AY262" s="22">
        <v>1.1689799999999999</v>
      </c>
      <c r="AZ262" s="22">
        <v>494.16199999999998</v>
      </c>
      <c r="BA262" s="22">
        <v>-1.7361499999999998E-2</v>
      </c>
      <c r="BB262" s="22">
        <v>252</v>
      </c>
      <c r="BC262" s="22">
        <v>1.16791</v>
      </c>
      <c r="BD262">
        <f t="shared" si="46"/>
        <v>17.361499999999999</v>
      </c>
      <c r="BE262">
        <f t="shared" si="47"/>
        <v>20.295246269999996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81.007000000000005</v>
      </c>
      <c r="I263" s="22">
        <v>5.7574500000000001E-2</v>
      </c>
      <c r="J263" s="22">
        <v>253</v>
      </c>
      <c r="K263" s="22">
        <v>8.2763699999999996E-2</v>
      </c>
      <c r="L263">
        <f t="shared" si="36"/>
        <v>-57.5745</v>
      </c>
      <c r="M263">
        <f t="shared" si="37"/>
        <v>-32.013149235</v>
      </c>
      <c r="N263" s="9"/>
      <c r="O263" s="22">
        <v>1.17401</v>
      </c>
      <c r="P263" s="22">
        <v>153.226</v>
      </c>
      <c r="Q263" s="22">
        <v>-1.7483499999999999E-2</v>
      </c>
      <c r="R263" s="22">
        <v>253</v>
      </c>
      <c r="S263" s="22">
        <v>1.17371</v>
      </c>
      <c r="T263">
        <f t="shared" si="38"/>
        <v>17.483499999999999</v>
      </c>
      <c r="U263">
        <f t="shared" si="39"/>
        <v>20.525803834999998</v>
      </c>
      <c r="X263" s="9"/>
      <c r="Y263" s="22">
        <v>0.55603000000000002</v>
      </c>
      <c r="Z263" s="22">
        <v>212.01300000000001</v>
      </c>
      <c r="AA263" s="22">
        <v>-1.7761200000000001E-2</v>
      </c>
      <c r="AB263" s="22">
        <v>253</v>
      </c>
      <c r="AC263" s="22">
        <v>0.55511500000000003</v>
      </c>
      <c r="AD263">
        <f t="shared" si="40"/>
        <v>17.761200000000002</v>
      </c>
      <c r="AE263">
        <f t="shared" si="41"/>
        <v>9.8757600360000009</v>
      </c>
      <c r="AF263" s="9"/>
      <c r="AG263" s="22">
        <v>1.17401</v>
      </c>
      <c r="AH263" s="22">
        <v>304.03199999999998</v>
      </c>
      <c r="AI263" s="22">
        <v>-1.73828E-2</v>
      </c>
      <c r="AJ263" s="22">
        <v>253</v>
      </c>
      <c r="AK263" s="22">
        <v>1.1731</v>
      </c>
      <c r="AL263">
        <f t="shared" si="42"/>
        <v>17.3828</v>
      </c>
      <c r="AM263">
        <f t="shared" si="43"/>
        <v>20.407581027999999</v>
      </c>
      <c r="AP263" s="9"/>
      <c r="AQ263" s="22">
        <v>0.55603000000000002</v>
      </c>
      <c r="AR263" s="22">
        <v>399.99400000000003</v>
      </c>
      <c r="AS263" s="22">
        <v>-1.7687999999999999E-2</v>
      </c>
      <c r="AT263" s="22">
        <v>253</v>
      </c>
      <c r="AU263" s="22">
        <v>0.55538900000000002</v>
      </c>
      <c r="AV263">
        <f t="shared" si="44"/>
        <v>17.687999999999999</v>
      </c>
      <c r="AW263">
        <f t="shared" si="45"/>
        <v>9.8350586399999997</v>
      </c>
      <c r="AX263" s="9"/>
      <c r="AY263" s="22">
        <v>1.17401</v>
      </c>
      <c r="AZ263" s="22">
        <v>494.26299999999998</v>
      </c>
      <c r="BA263" s="22">
        <v>-1.73584E-2</v>
      </c>
      <c r="BB263" s="22">
        <v>253</v>
      </c>
      <c r="BC263" s="22">
        <v>1.1731</v>
      </c>
      <c r="BD263">
        <f t="shared" si="46"/>
        <v>17.3584</v>
      </c>
      <c r="BE263">
        <f t="shared" si="47"/>
        <v>20.378935183999999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81.107699999999994</v>
      </c>
      <c r="I264" s="22">
        <v>5.7534799999999997E-2</v>
      </c>
      <c r="J264" s="22">
        <v>254</v>
      </c>
      <c r="K264" s="22">
        <v>8.2702600000000001E-2</v>
      </c>
      <c r="L264">
        <f t="shared" si="36"/>
        <v>-57.534799999999997</v>
      </c>
      <c r="M264">
        <f t="shared" si="37"/>
        <v>-31.701387126</v>
      </c>
      <c r="N264" s="9"/>
      <c r="O264" s="22">
        <v>1.1790499999999999</v>
      </c>
      <c r="P264" s="22">
        <v>153.327</v>
      </c>
      <c r="Q264" s="22">
        <v>-1.7477400000000001E-2</v>
      </c>
      <c r="R264" s="22">
        <v>254</v>
      </c>
      <c r="S264" s="22">
        <v>1.17706</v>
      </c>
      <c r="T264">
        <f t="shared" si="38"/>
        <v>17.477399999999999</v>
      </c>
      <c r="U264">
        <f t="shared" si="39"/>
        <v>20.606728469999997</v>
      </c>
      <c r="X264" s="9"/>
      <c r="Y264" s="22">
        <v>0.55099500000000001</v>
      </c>
      <c r="Z264" s="22">
        <v>212.114</v>
      </c>
      <c r="AA264" s="22">
        <v>-1.7758199999999998E-2</v>
      </c>
      <c r="AB264" s="22">
        <v>254</v>
      </c>
      <c r="AC264" s="22">
        <v>0.55044599999999999</v>
      </c>
      <c r="AD264">
        <f t="shared" si="40"/>
        <v>17.758199999999999</v>
      </c>
      <c r="AE264">
        <f t="shared" si="41"/>
        <v>9.7846794089999989</v>
      </c>
      <c r="AF264" s="9"/>
      <c r="AG264" s="22">
        <v>1.1790499999999999</v>
      </c>
      <c r="AH264" s="22">
        <v>304.13200000000001</v>
      </c>
      <c r="AI264" s="22">
        <v>-1.7376699999999998E-2</v>
      </c>
      <c r="AJ264" s="22">
        <v>254</v>
      </c>
      <c r="AK264" s="22">
        <v>1.17798</v>
      </c>
      <c r="AL264">
        <f t="shared" si="42"/>
        <v>17.3767</v>
      </c>
      <c r="AM264">
        <f t="shared" si="43"/>
        <v>20.487998134999998</v>
      </c>
      <c r="AP264" s="9"/>
      <c r="AQ264" s="22">
        <v>0.55099500000000001</v>
      </c>
      <c r="AR264" s="22">
        <v>400.09500000000003</v>
      </c>
      <c r="AS264" s="22">
        <v>-1.76849E-2</v>
      </c>
      <c r="AT264" s="22">
        <v>254</v>
      </c>
      <c r="AU264" s="22">
        <v>0.55007899999999998</v>
      </c>
      <c r="AV264">
        <f t="shared" si="44"/>
        <v>17.684899999999999</v>
      </c>
      <c r="AW264">
        <f t="shared" si="45"/>
        <v>9.744291475499999</v>
      </c>
      <c r="AX264" s="9"/>
      <c r="AY264" s="22">
        <v>1.1790499999999999</v>
      </c>
      <c r="AZ264" s="22">
        <v>494.36399999999998</v>
      </c>
      <c r="BA264" s="22">
        <v>-1.73584E-2</v>
      </c>
      <c r="BB264" s="22">
        <v>254</v>
      </c>
      <c r="BC264" s="22">
        <v>1.17828</v>
      </c>
      <c r="BD264">
        <f t="shared" si="46"/>
        <v>17.3584</v>
      </c>
      <c r="BE264">
        <f t="shared" si="47"/>
        <v>20.466421519999997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81.208399999999997</v>
      </c>
      <c r="I265" s="22">
        <v>5.7488999999999998E-2</v>
      </c>
      <c r="J265" s="22">
        <v>255</v>
      </c>
      <c r="K265" s="22">
        <v>8.2733200000000007E-2</v>
      </c>
      <c r="L265">
        <f t="shared" si="36"/>
        <v>-57.488999999999997</v>
      </c>
      <c r="M265">
        <f t="shared" si="37"/>
        <v>-31.386636950999996</v>
      </c>
      <c r="N265" s="9"/>
      <c r="O265" s="22">
        <v>1.18408</v>
      </c>
      <c r="P265" s="22">
        <v>153.428</v>
      </c>
      <c r="Q265" s="22">
        <v>-1.7471299999999999E-2</v>
      </c>
      <c r="R265" s="22">
        <v>255</v>
      </c>
      <c r="S265" s="22">
        <v>1.18286</v>
      </c>
      <c r="T265">
        <f t="shared" si="38"/>
        <v>17.471299999999999</v>
      </c>
      <c r="U265">
        <f t="shared" si="39"/>
        <v>20.687416903999999</v>
      </c>
      <c r="X265" s="9"/>
      <c r="Y265" s="22">
        <v>0.54595899999999997</v>
      </c>
      <c r="Z265" s="22">
        <v>212.214</v>
      </c>
      <c r="AA265" s="22">
        <v>-1.77673E-2</v>
      </c>
      <c r="AB265" s="22">
        <v>255</v>
      </c>
      <c r="AC265" s="22">
        <v>0.54550200000000004</v>
      </c>
      <c r="AD265">
        <f t="shared" si="40"/>
        <v>17.767299999999999</v>
      </c>
      <c r="AE265">
        <f t="shared" si="41"/>
        <v>9.7002173406999983</v>
      </c>
      <c r="AF265" s="9"/>
      <c r="AG265" s="22">
        <v>1.18408</v>
      </c>
      <c r="AH265" s="22">
        <v>304.233</v>
      </c>
      <c r="AI265" s="22">
        <v>-1.7373699999999999E-2</v>
      </c>
      <c r="AJ265" s="22">
        <v>255</v>
      </c>
      <c r="AK265" s="22">
        <v>1.18286</v>
      </c>
      <c r="AL265">
        <f t="shared" si="42"/>
        <v>17.373699999999999</v>
      </c>
      <c r="AM265">
        <f t="shared" si="43"/>
        <v>20.571850695999998</v>
      </c>
      <c r="AP265" s="9"/>
      <c r="AQ265" s="22">
        <v>0.54595899999999997</v>
      </c>
      <c r="AR265" s="22">
        <v>400.19600000000003</v>
      </c>
      <c r="AS265" s="22">
        <v>-1.7690999999999998E-2</v>
      </c>
      <c r="AT265" s="22">
        <v>255</v>
      </c>
      <c r="AU265" s="22">
        <v>0.54510499999999995</v>
      </c>
      <c r="AV265">
        <f t="shared" si="44"/>
        <v>17.690999999999999</v>
      </c>
      <c r="AW265">
        <f t="shared" si="45"/>
        <v>9.6585606689999981</v>
      </c>
      <c r="AX265" s="9"/>
      <c r="AY265" s="22">
        <v>1.18408</v>
      </c>
      <c r="AZ265" s="22">
        <v>494.464</v>
      </c>
      <c r="BA265" s="22">
        <v>-1.7355300000000001E-2</v>
      </c>
      <c r="BB265" s="22">
        <v>255</v>
      </c>
      <c r="BC265" s="22">
        <v>1.18347</v>
      </c>
      <c r="BD265">
        <f t="shared" si="46"/>
        <v>17.3553</v>
      </c>
      <c r="BE265">
        <f t="shared" si="47"/>
        <v>20.550063624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81.309100000000001</v>
      </c>
      <c r="I266" s="22">
        <v>5.7528700000000002E-2</v>
      </c>
      <c r="J266" s="22">
        <v>256</v>
      </c>
      <c r="K266" s="22">
        <v>8.2794199999999998E-2</v>
      </c>
      <c r="L266">
        <f t="shared" si="36"/>
        <v>-57.528700000000001</v>
      </c>
      <c r="M266">
        <f t="shared" si="37"/>
        <v>-31.1186545188</v>
      </c>
      <c r="N266" s="9"/>
      <c r="O266" s="22">
        <v>1.18912</v>
      </c>
      <c r="P266" s="22">
        <v>153.52799999999999</v>
      </c>
      <c r="Q266" s="22">
        <v>-1.7474400000000001E-2</v>
      </c>
      <c r="R266" s="22">
        <v>256</v>
      </c>
      <c r="S266" s="22">
        <v>1.1868300000000001</v>
      </c>
      <c r="T266">
        <f t="shared" si="38"/>
        <v>17.474400000000003</v>
      </c>
      <c r="U266">
        <f t="shared" si="39"/>
        <v>20.779158528000004</v>
      </c>
      <c r="X266" s="9"/>
      <c r="Y266" s="22">
        <v>0.54092399999999996</v>
      </c>
      <c r="Z266" s="22">
        <v>212.315</v>
      </c>
      <c r="AA266" s="22">
        <v>-1.7770399999999999E-2</v>
      </c>
      <c r="AB266" s="22">
        <v>256</v>
      </c>
      <c r="AC266" s="22">
        <v>0.54007000000000005</v>
      </c>
      <c r="AD266">
        <f t="shared" si="40"/>
        <v>17.770399999999999</v>
      </c>
      <c r="AE266">
        <f t="shared" si="41"/>
        <v>9.6124358495999989</v>
      </c>
      <c r="AF266" s="9"/>
      <c r="AG266" s="22">
        <v>1.18912</v>
      </c>
      <c r="AH266" s="22">
        <v>304.334</v>
      </c>
      <c r="AI266" s="22">
        <v>-1.73706E-2</v>
      </c>
      <c r="AJ266" s="22">
        <v>256</v>
      </c>
      <c r="AK266" s="22">
        <v>1.1880500000000001</v>
      </c>
      <c r="AL266">
        <f t="shared" si="42"/>
        <v>17.3706</v>
      </c>
      <c r="AM266">
        <f t="shared" si="43"/>
        <v>20.655727872</v>
      </c>
      <c r="AP266" s="9"/>
      <c r="AQ266" s="22">
        <v>0.54092399999999996</v>
      </c>
      <c r="AR266" s="22">
        <v>400.29599999999999</v>
      </c>
      <c r="AS266" s="22">
        <v>-1.7687999999999999E-2</v>
      </c>
      <c r="AT266" s="22">
        <v>256</v>
      </c>
      <c r="AU266" s="22">
        <v>0.54022199999999998</v>
      </c>
      <c r="AV266">
        <f t="shared" si="44"/>
        <v>17.687999999999999</v>
      </c>
      <c r="AW266">
        <f t="shared" si="45"/>
        <v>9.5678637119999994</v>
      </c>
      <c r="AX266" s="9"/>
      <c r="AY266" s="22">
        <v>1.18912</v>
      </c>
      <c r="AZ266" s="22">
        <v>494.565</v>
      </c>
      <c r="BA266" s="22">
        <v>-1.7346199999999999E-2</v>
      </c>
      <c r="BB266" s="22">
        <v>256</v>
      </c>
      <c r="BC266" s="22">
        <v>1.18835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81.409800000000004</v>
      </c>
      <c r="I267" s="22">
        <v>5.7486000000000002E-2</v>
      </c>
      <c r="J267" s="22">
        <v>257</v>
      </c>
      <c r="K267" s="22">
        <v>8.2763699999999996E-2</v>
      </c>
      <c r="L267">
        <f t="shared" si="36"/>
        <v>-57.486000000000004</v>
      </c>
      <c r="M267">
        <f t="shared" si="37"/>
        <v>-30.806115053999999</v>
      </c>
      <c r="N267" s="9"/>
      <c r="O267" s="22">
        <v>1.19415</v>
      </c>
      <c r="P267" s="22">
        <v>153.62899999999999</v>
      </c>
      <c r="Q267" s="22">
        <v>-1.7474400000000001E-2</v>
      </c>
      <c r="R267" s="22">
        <v>257</v>
      </c>
      <c r="S267" s="22">
        <v>1.1944600000000001</v>
      </c>
      <c r="T267">
        <f t="shared" si="38"/>
        <v>17.474400000000003</v>
      </c>
      <c r="U267">
        <f t="shared" si="39"/>
        <v>20.867054760000006</v>
      </c>
      <c r="X267" s="9"/>
      <c r="Y267" s="22">
        <v>0.53588899999999995</v>
      </c>
      <c r="Z267" s="22">
        <v>212.416</v>
      </c>
      <c r="AA267" s="22">
        <v>-1.77795E-2</v>
      </c>
      <c r="AB267" s="22">
        <v>257</v>
      </c>
      <c r="AC267" s="22">
        <v>0.53518699999999997</v>
      </c>
      <c r="AD267">
        <f t="shared" si="40"/>
        <v>17.779499999999999</v>
      </c>
      <c r="AE267">
        <f t="shared" si="41"/>
        <v>9.5278384754999976</v>
      </c>
      <c r="AF267" s="9"/>
      <c r="AG267" s="22">
        <v>1.19415</v>
      </c>
      <c r="AH267" s="22">
        <v>304.43400000000003</v>
      </c>
      <c r="AI267" s="22">
        <v>-1.73706E-2</v>
      </c>
      <c r="AJ267" s="22">
        <v>257</v>
      </c>
      <c r="AK267" s="22">
        <v>1.1932400000000001</v>
      </c>
      <c r="AL267">
        <f t="shared" si="42"/>
        <v>17.3706</v>
      </c>
      <c r="AM267">
        <f t="shared" si="43"/>
        <v>20.74310199</v>
      </c>
      <c r="AP267" s="9"/>
      <c r="AQ267" s="22">
        <v>0.53588899999999995</v>
      </c>
      <c r="AR267" s="22">
        <v>400.39699999999999</v>
      </c>
      <c r="AS267" s="22">
        <v>-1.7687999999999999E-2</v>
      </c>
      <c r="AT267" s="22">
        <v>257</v>
      </c>
      <c r="AU267" s="22">
        <v>0.53515599999999997</v>
      </c>
      <c r="AV267">
        <f t="shared" si="44"/>
        <v>17.687999999999999</v>
      </c>
      <c r="AW267">
        <f t="shared" si="45"/>
        <v>9.4788046319999992</v>
      </c>
      <c r="AX267" s="9"/>
      <c r="AY267" s="22">
        <v>1.19415</v>
      </c>
      <c r="AZ267" s="22">
        <v>494.666</v>
      </c>
      <c r="BA267" s="22">
        <v>-1.7346199999999999E-2</v>
      </c>
      <c r="BB267" s="22">
        <v>257</v>
      </c>
      <c r="BC267" s="22">
        <v>1.1932400000000001</v>
      </c>
      <c r="BD267">
        <f t="shared" si="46"/>
        <v>17.3462</v>
      </c>
      <c r="BE267">
        <f t="shared" si="47"/>
        <v>20.713964730000001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81.510599999999997</v>
      </c>
      <c r="I268" s="22">
        <v>5.74707E-2</v>
      </c>
      <c r="J268" s="22">
        <v>258</v>
      </c>
      <c r="K268" s="22">
        <v>8.2794199999999998E-2</v>
      </c>
      <c r="L268">
        <f t="shared" ref="L268:L331" si="48">-I268/$F$2*1000</f>
        <v>-57.470700000000001</v>
      </c>
      <c r="M268">
        <f t="shared" ref="M268:M331" si="49">L268*G268</f>
        <v>-30.508493507100003</v>
      </c>
      <c r="N268" s="9"/>
      <c r="O268" s="22">
        <v>1.19919</v>
      </c>
      <c r="P268" s="22">
        <v>153.72999999999999</v>
      </c>
      <c r="Q268" s="22">
        <v>-1.7471299999999999E-2</v>
      </c>
      <c r="R268" s="22">
        <v>258</v>
      </c>
      <c r="S268" s="22">
        <v>1.19781</v>
      </c>
      <c r="T268">
        <f t="shared" ref="T268:T331" si="50">-Q268/$F$2*1000</f>
        <v>17.471299999999999</v>
      </c>
      <c r="U268">
        <f t="shared" ref="U268:U331" si="51">T268*O268</f>
        <v>20.951408247</v>
      </c>
      <c r="X268" s="9"/>
      <c r="Y268" s="22">
        <v>0.53085300000000002</v>
      </c>
      <c r="Z268" s="22">
        <v>212.517</v>
      </c>
      <c r="AA268" s="22">
        <v>-1.7776500000000001E-2</v>
      </c>
      <c r="AB268" s="22">
        <v>258</v>
      </c>
      <c r="AC268" s="22">
        <v>0.53021200000000002</v>
      </c>
      <c r="AD268">
        <f t="shared" ref="AD268:AD331" si="52">-AA268/$F$2*1000</f>
        <v>17.776500000000002</v>
      </c>
      <c r="AE268">
        <f t="shared" ref="AE268:AE331" si="53">AD268*Y268</f>
        <v>9.4367083545000021</v>
      </c>
      <c r="AF268" s="9"/>
      <c r="AG268" s="22">
        <v>1.19919</v>
      </c>
      <c r="AH268" s="22">
        <v>304.53500000000003</v>
      </c>
      <c r="AI268" s="22">
        <v>-1.73584E-2</v>
      </c>
      <c r="AJ268" s="22">
        <v>258</v>
      </c>
      <c r="AK268" s="22">
        <v>1.1981200000000001</v>
      </c>
      <c r="AL268">
        <f t="shared" ref="AL268:AL331" si="54">-AI268/$F$2*1000</f>
        <v>17.3584</v>
      </c>
      <c r="AM268">
        <f t="shared" ref="AM268:AM331" si="55">AL268*AG268</f>
        <v>20.816019695999998</v>
      </c>
      <c r="AP268" s="9"/>
      <c r="AQ268" s="22">
        <v>0.53085300000000002</v>
      </c>
      <c r="AR268" s="22">
        <v>400.49799999999999</v>
      </c>
      <c r="AS268" s="22">
        <v>-1.76971E-2</v>
      </c>
      <c r="AT268" s="22">
        <v>258</v>
      </c>
      <c r="AU268" s="22">
        <v>0.53012099999999995</v>
      </c>
      <c r="AV268">
        <f t="shared" ref="AV268:AV331" si="56">-AS268/$F$2*1000</f>
        <v>17.697099999999999</v>
      </c>
      <c r="AW268">
        <f t="shared" ref="AW268:AW331" si="57">AV268*AQ268</f>
        <v>9.3945586263000003</v>
      </c>
      <c r="AX268" s="9"/>
      <c r="AY268" s="22">
        <v>1.19919</v>
      </c>
      <c r="AZ268" s="22">
        <v>494.76600000000002</v>
      </c>
      <c r="BA268" s="22">
        <v>-1.7340100000000001E-2</v>
      </c>
      <c r="BB268" s="22">
        <v>258</v>
      </c>
      <c r="BC268" s="22">
        <v>1.1981200000000001</v>
      </c>
      <c r="BD268">
        <f t="shared" ref="BD268:BD331" si="58">-BA268/$F$2*1000</f>
        <v>17.3401</v>
      </c>
      <c r="BE268">
        <f t="shared" ref="BE268:BE331" si="59">BD268*AY268</f>
        <v>20.794074518999999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81.6113</v>
      </c>
      <c r="I269" s="22">
        <v>5.7455399999999997E-2</v>
      </c>
      <c r="J269" s="22">
        <v>259</v>
      </c>
      <c r="K269" s="22">
        <v>8.2763699999999996E-2</v>
      </c>
      <c r="L269">
        <f t="shared" si="48"/>
        <v>-57.455399999999997</v>
      </c>
      <c r="M269">
        <f t="shared" si="49"/>
        <v>-30.211083517199999</v>
      </c>
      <c r="N269" s="9"/>
      <c r="O269" s="22">
        <v>1.2042200000000001</v>
      </c>
      <c r="P269" s="22">
        <v>153.83000000000001</v>
      </c>
      <c r="Q269" s="22">
        <v>-1.7459100000000002E-2</v>
      </c>
      <c r="R269" s="22">
        <v>259</v>
      </c>
      <c r="S269" s="22">
        <v>1.2030000000000001</v>
      </c>
      <c r="T269">
        <f t="shared" si="50"/>
        <v>17.459100000000003</v>
      </c>
      <c r="U269">
        <f t="shared" si="51"/>
        <v>21.024597402000005</v>
      </c>
      <c r="X269" s="9"/>
      <c r="Y269" s="22">
        <v>0.52581800000000001</v>
      </c>
      <c r="Z269" s="22">
        <v>212.61699999999999</v>
      </c>
      <c r="AA269" s="22">
        <v>-1.77795E-2</v>
      </c>
      <c r="AB269" s="22">
        <v>259</v>
      </c>
      <c r="AC269" s="22">
        <v>0.52511600000000003</v>
      </c>
      <c r="AD269">
        <f t="shared" si="52"/>
        <v>17.779499999999999</v>
      </c>
      <c r="AE269">
        <f t="shared" si="53"/>
        <v>9.3487811309999991</v>
      </c>
      <c r="AF269" s="9"/>
      <c r="AG269" s="22">
        <v>1.2042200000000001</v>
      </c>
      <c r="AH269" s="22">
        <v>304.63600000000002</v>
      </c>
      <c r="AI269" s="22">
        <v>-1.7361499999999998E-2</v>
      </c>
      <c r="AJ269" s="22">
        <v>259</v>
      </c>
      <c r="AK269" s="22">
        <v>1.2030000000000001</v>
      </c>
      <c r="AL269">
        <f t="shared" si="54"/>
        <v>17.361499999999999</v>
      </c>
      <c r="AM269">
        <f t="shared" si="55"/>
        <v>20.907065530000001</v>
      </c>
      <c r="AP269" s="9"/>
      <c r="AQ269" s="22">
        <v>0.52581800000000001</v>
      </c>
      <c r="AR269" s="22">
        <v>400.59800000000001</v>
      </c>
      <c r="AS269" s="22">
        <v>-1.7690999999999998E-2</v>
      </c>
      <c r="AT269" s="22">
        <v>259</v>
      </c>
      <c r="AU269" s="22">
        <v>0.52523799999999998</v>
      </c>
      <c r="AV269">
        <f t="shared" si="56"/>
        <v>17.690999999999999</v>
      </c>
      <c r="AW269">
        <f t="shared" si="57"/>
        <v>9.3022462380000004</v>
      </c>
      <c r="AX269" s="9"/>
      <c r="AY269" s="22">
        <v>1.2042200000000001</v>
      </c>
      <c r="AZ269" s="22">
        <v>494.86700000000002</v>
      </c>
      <c r="BA269" s="22">
        <v>-1.7337000000000002E-2</v>
      </c>
      <c r="BB269" s="22">
        <v>259</v>
      </c>
      <c r="BC269" s="22">
        <v>1.2030000000000001</v>
      </c>
      <c r="BD269">
        <f t="shared" si="58"/>
        <v>17.337000000000003</v>
      </c>
      <c r="BE269">
        <f t="shared" si="59"/>
        <v>20.877562140000006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81.712000000000003</v>
      </c>
      <c r="I270" s="22">
        <v>5.7449300000000002E-2</v>
      </c>
      <c r="J270" s="22">
        <v>260</v>
      </c>
      <c r="K270" s="22">
        <v>8.2763699999999996E-2</v>
      </c>
      <c r="L270">
        <f t="shared" si="48"/>
        <v>-57.449300000000001</v>
      </c>
      <c r="M270">
        <f t="shared" si="49"/>
        <v>-29.918561352599998</v>
      </c>
      <c r="N270" s="9"/>
      <c r="O270" s="22">
        <v>1.20926</v>
      </c>
      <c r="P270" s="22">
        <v>153.93100000000001</v>
      </c>
      <c r="Q270" s="22">
        <v>-1.7462200000000001E-2</v>
      </c>
      <c r="R270" s="22">
        <v>260</v>
      </c>
      <c r="S270" s="22">
        <v>1.2094100000000001</v>
      </c>
      <c r="T270">
        <f t="shared" si="50"/>
        <v>17.462199999999999</v>
      </c>
      <c r="U270">
        <f t="shared" si="51"/>
        <v>21.116339971999999</v>
      </c>
      <c r="X270" s="9"/>
      <c r="Y270" s="22">
        <v>0.52078199999999997</v>
      </c>
      <c r="Z270" s="22">
        <v>212.71799999999999</v>
      </c>
      <c r="AA270" s="22">
        <v>-1.7776500000000001E-2</v>
      </c>
      <c r="AB270" s="22">
        <v>260</v>
      </c>
      <c r="AC270" s="22">
        <v>0.52029400000000003</v>
      </c>
      <c r="AD270">
        <f t="shared" si="52"/>
        <v>17.776500000000002</v>
      </c>
      <c r="AE270">
        <f t="shared" si="53"/>
        <v>9.2576812230000005</v>
      </c>
      <c r="AF270" s="9"/>
      <c r="AG270" s="22">
        <v>1.20926</v>
      </c>
      <c r="AH270" s="22">
        <v>304.73700000000002</v>
      </c>
      <c r="AI270" s="22">
        <v>-1.7352300000000001E-2</v>
      </c>
      <c r="AJ270" s="22">
        <v>260</v>
      </c>
      <c r="AK270" s="22">
        <v>1.2078899999999999</v>
      </c>
      <c r="AL270">
        <f t="shared" si="54"/>
        <v>17.3523</v>
      </c>
      <c r="AM270">
        <f t="shared" si="55"/>
        <v>20.983442298</v>
      </c>
      <c r="AP270" s="9"/>
      <c r="AQ270" s="22">
        <v>0.52078199999999997</v>
      </c>
      <c r="AR270" s="22">
        <v>400.69900000000001</v>
      </c>
      <c r="AS270" s="22">
        <v>-1.77094E-2</v>
      </c>
      <c r="AT270" s="22">
        <v>260</v>
      </c>
      <c r="AU270" s="22">
        <v>0.51989700000000005</v>
      </c>
      <c r="AV270">
        <f t="shared" si="56"/>
        <v>17.709399999999999</v>
      </c>
      <c r="AW270">
        <f t="shared" si="57"/>
        <v>9.2227367507999993</v>
      </c>
      <c r="AX270" s="9"/>
      <c r="AY270" s="22">
        <v>1.20926</v>
      </c>
      <c r="AZ270" s="22">
        <v>494.96800000000002</v>
      </c>
      <c r="BA270" s="22">
        <v>-1.7333999999999999E-2</v>
      </c>
      <c r="BB270" s="22">
        <v>260</v>
      </c>
      <c r="BC270" s="22">
        <v>1.2088000000000001</v>
      </c>
      <c r="BD270">
        <f t="shared" si="58"/>
        <v>17.334</v>
      </c>
      <c r="BE270">
        <f t="shared" si="59"/>
        <v>20.961312839999998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81.812700000000007</v>
      </c>
      <c r="I271" s="22">
        <v>5.74799E-2</v>
      </c>
      <c r="J271" s="22">
        <v>261</v>
      </c>
      <c r="K271" s="22">
        <v>8.2733200000000007E-2</v>
      </c>
      <c r="L271">
        <f t="shared" si="48"/>
        <v>-57.479900000000001</v>
      </c>
      <c r="M271">
        <f t="shared" si="49"/>
        <v>-29.645085985299996</v>
      </c>
      <c r="N271" s="9"/>
      <c r="O271" s="22">
        <v>1.2142900000000001</v>
      </c>
      <c r="P271" s="22">
        <v>154.03200000000001</v>
      </c>
      <c r="Q271" s="22">
        <v>-1.7456099999999999E-2</v>
      </c>
      <c r="R271" s="22">
        <v>261</v>
      </c>
      <c r="S271" s="22">
        <v>1.2139899999999999</v>
      </c>
      <c r="T271">
        <f t="shared" si="50"/>
        <v>17.456099999999999</v>
      </c>
      <c r="U271">
        <f t="shared" si="51"/>
        <v>21.196767669</v>
      </c>
      <c r="X271" s="9"/>
      <c r="Y271" s="22">
        <v>0.51574699999999996</v>
      </c>
      <c r="Z271" s="22">
        <v>212.81899999999999</v>
      </c>
      <c r="AA271" s="22">
        <v>-1.7773400000000002E-2</v>
      </c>
      <c r="AB271" s="22">
        <v>261</v>
      </c>
      <c r="AC271" s="22">
        <v>0.51522800000000002</v>
      </c>
      <c r="AD271">
        <f t="shared" si="52"/>
        <v>17.773400000000002</v>
      </c>
      <c r="AE271">
        <f t="shared" si="53"/>
        <v>9.1665777298000002</v>
      </c>
      <c r="AF271" s="9"/>
      <c r="AG271" s="22">
        <v>1.2142900000000001</v>
      </c>
      <c r="AH271" s="22">
        <v>304.83699999999999</v>
      </c>
      <c r="AI271" s="22">
        <v>-1.7349199999999999E-2</v>
      </c>
      <c r="AJ271" s="22">
        <v>261</v>
      </c>
      <c r="AK271" s="22">
        <v>1.2136800000000001</v>
      </c>
      <c r="AL271">
        <f t="shared" si="54"/>
        <v>17.3492</v>
      </c>
      <c r="AM271">
        <f t="shared" si="55"/>
        <v>21.066960068</v>
      </c>
      <c r="AP271" s="9"/>
      <c r="AQ271" s="22">
        <v>0.51574699999999996</v>
      </c>
      <c r="AR271" s="22">
        <v>400.8</v>
      </c>
      <c r="AS271" s="22">
        <v>-1.77124E-2</v>
      </c>
      <c r="AT271" s="22">
        <v>261</v>
      </c>
      <c r="AU271" s="22">
        <v>0.51522800000000002</v>
      </c>
      <c r="AV271">
        <f t="shared" si="56"/>
        <v>17.712399999999999</v>
      </c>
      <c r="AW271">
        <f t="shared" si="57"/>
        <v>9.1351171627999985</v>
      </c>
      <c r="AX271" s="9"/>
      <c r="AY271" s="22">
        <v>1.2142900000000001</v>
      </c>
      <c r="AZ271" s="22">
        <v>495.06799999999998</v>
      </c>
      <c r="BA271" s="22">
        <v>-1.73279E-2</v>
      </c>
      <c r="BB271" s="22">
        <v>261</v>
      </c>
      <c r="BC271" s="22">
        <v>1.2127699999999999</v>
      </c>
      <c r="BD271">
        <f t="shared" si="58"/>
        <v>17.3279</v>
      </c>
      <c r="BE271">
        <f t="shared" si="59"/>
        <v>21.041095691000002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81.913399999999996</v>
      </c>
      <c r="I272" s="22">
        <v>5.7455399999999997E-2</v>
      </c>
      <c r="J272" s="22">
        <v>262</v>
      </c>
      <c r="K272" s="22">
        <v>8.2763699999999996E-2</v>
      </c>
      <c r="L272">
        <f t="shared" si="48"/>
        <v>-57.455399999999997</v>
      </c>
      <c r="M272">
        <f t="shared" si="49"/>
        <v>-29.343162244800002</v>
      </c>
      <c r="N272" s="9"/>
      <c r="O272" s="22">
        <v>1.21933</v>
      </c>
      <c r="P272" s="22">
        <v>154.13300000000001</v>
      </c>
      <c r="Q272" s="22">
        <v>-1.7456099999999999E-2</v>
      </c>
      <c r="R272" s="22">
        <v>262</v>
      </c>
      <c r="S272" s="22">
        <v>1.2185699999999999</v>
      </c>
      <c r="T272">
        <f t="shared" si="50"/>
        <v>17.456099999999999</v>
      </c>
      <c r="U272">
        <f t="shared" si="51"/>
        <v>21.284746413000001</v>
      </c>
      <c r="X272" s="9"/>
      <c r="Y272" s="22">
        <v>0.51071200000000005</v>
      </c>
      <c r="Z272" s="22">
        <v>212.91900000000001</v>
      </c>
      <c r="AA272" s="22">
        <v>-1.7782599999999999E-2</v>
      </c>
      <c r="AB272" s="22">
        <v>262</v>
      </c>
      <c r="AC272" s="22">
        <v>0.510162</v>
      </c>
      <c r="AD272">
        <f t="shared" si="52"/>
        <v>17.782599999999999</v>
      </c>
      <c r="AE272">
        <f t="shared" si="53"/>
        <v>9.0817872112</v>
      </c>
      <c r="AF272" s="9"/>
      <c r="AG272" s="22">
        <v>1.21933</v>
      </c>
      <c r="AH272" s="22">
        <v>304.93799999999999</v>
      </c>
      <c r="AI272" s="22">
        <v>-1.7340100000000001E-2</v>
      </c>
      <c r="AJ272" s="22">
        <v>262</v>
      </c>
      <c r="AK272" s="22">
        <v>1.2182599999999999</v>
      </c>
      <c r="AL272">
        <f t="shared" si="54"/>
        <v>17.3401</v>
      </c>
      <c r="AM272">
        <f t="shared" si="55"/>
        <v>21.143304133000001</v>
      </c>
      <c r="AP272" s="9"/>
      <c r="AQ272" s="22">
        <v>0.51071200000000005</v>
      </c>
      <c r="AR272" s="22">
        <v>400.90100000000001</v>
      </c>
      <c r="AS272" s="22">
        <v>-1.7703199999999999E-2</v>
      </c>
      <c r="AT272" s="22">
        <v>262</v>
      </c>
      <c r="AU272" s="22">
        <v>0.51007100000000005</v>
      </c>
      <c r="AV272">
        <f t="shared" si="56"/>
        <v>17.703199999999999</v>
      </c>
      <c r="AW272">
        <f t="shared" si="57"/>
        <v>9.0412366784000007</v>
      </c>
      <c r="AX272" s="9"/>
      <c r="AY272" s="22">
        <v>1.21933</v>
      </c>
      <c r="AZ272" s="22">
        <v>495.16899999999998</v>
      </c>
      <c r="BA272" s="22">
        <v>-1.7321799999999998E-2</v>
      </c>
      <c r="BB272" s="22">
        <v>262</v>
      </c>
      <c r="BC272" s="22">
        <v>1.2182599999999999</v>
      </c>
      <c r="BD272">
        <f t="shared" si="58"/>
        <v>17.3218</v>
      </c>
      <c r="BE272">
        <f t="shared" si="59"/>
        <v>21.120990394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82.014099999999999</v>
      </c>
      <c r="I273" s="22">
        <v>5.7431000000000003E-2</v>
      </c>
      <c r="J273" s="22">
        <v>263</v>
      </c>
      <c r="K273" s="22">
        <v>8.2733200000000007E-2</v>
      </c>
      <c r="L273">
        <f t="shared" si="48"/>
        <v>-57.431000000000004</v>
      </c>
      <c r="M273">
        <f t="shared" si="49"/>
        <v>-29.041478356000002</v>
      </c>
      <c r="N273" s="9"/>
      <c r="O273" s="22">
        <v>1.22437</v>
      </c>
      <c r="P273" s="22">
        <v>154.233</v>
      </c>
      <c r="Q273" s="22">
        <v>-1.7443799999999999E-2</v>
      </c>
      <c r="R273" s="22">
        <v>263</v>
      </c>
      <c r="S273" s="22">
        <v>1.2234499999999999</v>
      </c>
      <c r="T273">
        <f t="shared" si="50"/>
        <v>17.4438</v>
      </c>
      <c r="U273">
        <f t="shared" si="51"/>
        <v>21.357665405999999</v>
      </c>
      <c r="X273" s="9"/>
      <c r="Y273" s="22">
        <v>0.50567600000000001</v>
      </c>
      <c r="Z273" s="22">
        <v>213.02</v>
      </c>
      <c r="AA273" s="22">
        <v>-1.7785599999999999E-2</v>
      </c>
      <c r="AB273" s="22">
        <v>263</v>
      </c>
      <c r="AC273" s="22">
        <v>0.50512699999999999</v>
      </c>
      <c r="AD273">
        <f t="shared" si="52"/>
        <v>17.785599999999999</v>
      </c>
      <c r="AE273">
        <f t="shared" si="53"/>
        <v>8.9937510655999997</v>
      </c>
      <c r="AF273" s="9"/>
      <c r="AG273" s="22">
        <v>1.22437</v>
      </c>
      <c r="AH273" s="22">
        <v>305.03899999999999</v>
      </c>
      <c r="AI273" s="22">
        <v>-1.73431E-2</v>
      </c>
      <c r="AJ273" s="22">
        <v>263</v>
      </c>
      <c r="AK273" s="22">
        <v>1.22437</v>
      </c>
      <c r="AL273">
        <f t="shared" si="54"/>
        <v>17.3431</v>
      </c>
      <c r="AM273">
        <f t="shared" si="55"/>
        <v>21.234371347</v>
      </c>
      <c r="AP273" s="9"/>
      <c r="AQ273" s="22">
        <v>0.50567600000000001</v>
      </c>
      <c r="AR273" s="22">
        <v>401.00099999999998</v>
      </c>
      <c r="AS273" s="22">
        <v>-1.7706300000000001E-2</v>
      </c>
      <c r="AT273" s="22">
        <v>263</v>
      </c>
      <c r="AU273" s="22">
        <v>0.50506600000000001</v>
      </c>
      <c r="AV273">
        <f t="shared" si="56"/>
        <v>17.706300000000002</v>
      </c>
      <c r="AW273">
        <f t="shared" si="57"/>
        <v>8.9536509588000008</v>
      </c>
      <c r="AX273" s="9"/>
      <c r="AY273" s="22">
        <v>1.22437</v>
      </c>
      <c r="AZ273" s="22">
        <v>495.27</v>
      </c>
      <c r="BA273" s="22">
        <v>-1.7321799999999998E-2</v>
      </c>
      <c r="BB273" s="22">
        <v>263</v>
      </c>
      <c r="BC273" s="22">
        <v>1.2237499999999999</v>
      </c>
      <c r="BD273">
        <f t="shared" si="58"/>
        <v>17.3218</v>
      </c>
      <c r="BE273">
        <f t="shared" si="59"/>
        <v>21.208292265999997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82.114800000000002</v>
      </c>
      <c r="I274" s="22">
        <v>5.7412699999999997E-2</v>
      </c>
      <c r="J274" s="22">
        <v>264</v>
      </c>
      <c r="K274" s="22">
        <v>8.2733200000000007E-2</v>
      </c>
      <c r="L274">
        <f t="shared" si="48"/>
        <v>-57.412699999999994</v>
      </c>
      <c r="M274">
        <f t="shared" si="49"/>
        <v>-28.743151540699998</v>
      </c>
      <c r="N274" s="9"/>
      <c r="O274" s="22">
        <v>1.2294</v>
      </c>
      <c r="P274" s="22">
        <v>154.334</v>
      </c>
      <c r="Q274" s="22">
        <v>-1.7440799999999999E-2</v>
      </c>
      <c r="R274" s="22">
        <v>264</v>
      </c>
      <c r="S274" s="22">
        <v>1.22803</v>
      </c>
      <c r="T274">
        <f t="shared" si="50"/>
        <v>17.440799999999999</v>
      </c>
      <c r="U274">
        <f t="shared" si="51"/>
        <v>21.441719519999999</v>
      </c>
      <c r="X274" s="9"/>
      <c r="Y274" s="22">
        <v>0.500641</v>
      </c>
      <c r="Z274" s="22">
        <v>213.12100000000001</v>
      </c>
      <c r="AA274" s="22">
        <v>-1.7804E-2</v>
      </c>
      <c r="AB274" s="22">
        <v>264</v>
      </c>
      <c r="AC274" s="22">
        <v>0.50009199999999998</v>
      </c>
      <c r="AD274">
        <f t="shared" si="52"/>
        <v>17.804000000000002</v>
      </c>
      <c r="AE274">
        <f t="shared" si="53"/>
        <v>8.9134123640000009</v>
      </c>
      <c r="AF274" s="9"/>
      <c r="AG274" s="22">
        <v>1.2294</v>
      </c>
      <c r="AH274" s="22">
        <v>305.13900000000001</v>
      </c>
      <c r="AI274" s="22">
        <v>-1.7340100000000001E-2</v>
      </c>
      <c r="AJ274" s="22">
        <v>264</v>
      </c>
      <c r="AK274" s="22">
        <v>1.22803</v>
      </c>
      <c r="AL274">
        <f t="shared" si="54"/>
        <v>17.3401</v>
      </c>
      <c r="AM274">
        <f t="shared" si="55"/>
        <v>21.317918940000002</v>
      </c>
      <c r="AP274" s="9"/>
      <c r="AQ274" s="22">
        <v>0.500641</v>
      </c>
      <c r="AR274" s="22">
        <v>401.10199999999998</v>
      </c>
      <c r="AS274" s="22">
        <v>-1.7718500000000002E-2</v>
      </c>
      <c r="AT274" s="22">
        <v>264</v>
      </c>
      <c r="AU274" s="22">
        <v>0.49990800000000002</v>
      </c>
      <c r="AV274">
        <f t="shared" si="56"/>
        <v>17.718500000000002</v>
      </c>
      <c r="AW274">
        <f t="shared" si="57"/>
        <v>8.8706075585000015</v>
      </c>
      <c r="AX274" s="9"/>
      <c r="AY274" s="22">
        <v>1.2294</v>
      </c>
      <c r="AZ274" s="22">
        <v>495.37099999999998</v>
      </c>
      <c r="BA274" s="22">
        <v>-1.7318699999999999E-2</v>
      </c>
      <c r="BB274" s="22">
        <v>264</v>
      </c>
      <c r="BC274" s="22">
        <v>1.22864</v>
      </c>
      <c r="BD274">
        <f t="shared" si="58"/>
        <v>17.3187</v>
      </c>
      <c r="BE274">
        <f t="shared" si="59"/>
        <v>21.291609780000002</v>
      </c>
    </row>
    <row r="275" spans="6:101">
      <c r="F275" s="9"/>
      <c r="G275" s="22">
        <v>0.49560500000000002</v>
      </c>
      <c r="H275" s="22">
        <v>82.215500000000006</v>
      </c>
      <c r="I275" s="22">
        <v>5.7391400000000002E-2</v>
      </c>
      <c r="J275" s="22">
        <v>265</v>
      </c>
      <c r="K275" s="22">
        <v>8.2702600000000001E-2</v>
      </c>
      <c r="L275">
        <f t="shared" si="48"/>
        <v>-57.391400000000004</v>
      </c>
      <c r="M275">
        <f t="shared" si="49"/>
        <v>-28.443464797000004</v>
      </c>
      <c r="N275" s="9"/>
      <c r="O275" s="22">
        <v>1.23444</v>
      </c>
      <c r="P275" s="22">
        <v>154.435</v>
      </c>
      <c r="Q275" s="22">
        <v>-1.7440799999999999E-2</v>
      </c>
      <c r="R275" s="22">
        <v>265</v>
      </c>
      <c r="S275" s="22">
        <v>1.2341299999999999</v>
      </c>
      <c r="T275">
        <f t="shared" si="50"/>
        <v>17.440799999999999</v>
      </c>
      <c r="U275">
        <f t="shared" si="51"/>
        <v>21.529621152000001</v>
      </c>
      <c r="X275" s="9"/>
      <c r="Y275" s="22">
        <v>0.49560500000000002</v>
      </c>
      <c r="Z275" s="22">
        <v>213.22200000000001</v>
      </c>
      <c r="AA275" s="22">
        <v>-1.7785599999999999E-2</v>
      </c>
      <c r="AB275" s="22">
        <v>265</v>
      </c>
      <c r="AC275" s="22">
        <v>0.49465900000000002</v>
      </c>
      <c r="AD275">
        <f t="shared" si="52"/>
        <v>17.785599999999999</v>
      </c>
      <c r="AE275">
        <f t="shared" si="53"/>
        <v>8.8146322880000003</v>
      </c>
      <c r="AF275" s="9"/>
      <c r="AG275" s="22">
        <v>1.23444</v>
      </c>
      <c r="AH275" s="22">
        <v>305.24</v>
      </c>
      <c r="AI275" s="22">
        <v>-1.73309E-2</v>
      </c>
      <c r="AJ275" s="22">
        <v>265</v>
      </c>
      <c r="AK275" s="22">
        <v>1.23322</v>
      </c>
      <c r="AL275">
        <f t="shared" si="54"/>
        <v>17.3309</v>
      </c>
      <c r="AM275">
        <f t="shared" si="55"/>
        <v>21.393956195999998</v>
      </c>
      <c r="AP275" s="9"/>
      <c r="AQ275" s="22">
        <v>0.49560500000000002</v>
      </c>
      <c r="AR275" s="22">
        <v>401.20299999999997</v>
      </c>
      <c r="AS275" s="22">
        <v>-1.7715499999999999E-2</v>
      </c>
      <c r="AT275" s="22">
        <v>265</v>
      </c>
      <c r="AU275" s="22">
        <v>0.49490400000000001</v>
      </c>
      <c r="AV275">
        <f t="shared" si="56"/>
        <v>17.715499999999999</v>
      </c>
      <c r="AW275">
        <f t="shared" si="57"/>
        <v>8.7798903774999992</v>
      </c>
      <c r="AX275" s="9"/>
      <c r="AY275" s="22">
        <v>1.23444</v>
      </c>
      <c r="AZ275" s="22">
        <v>495.471</v>
      </c>
      <c r="BA275" s="22">
        <v>-1.7318699999999999E-2</v>
      </c>
      <c r="BB275" s="22">
        <v>265</v>
      </c>
      <c r="BC275" s="22">
        <v>1.23383</v>
      </c>
      <c r="BD275">
        <f t="shared" si="58"/>
        <v>17.3187</v>
      </c>
      <c r="BE275">
        <f t="shared" si="59"/>
        <v>21.378896028</v>
      </c>
    </row>
    <row r="276" spans="6:101">
      <c r="F276" s="9"/>
      <c r="G276" s="22">
        <v>0.49057000000000001</v>
      </c>
      <c r="H276" s="22">
        <v>82.316199999999995</v>
      </c>
      <c r="I276" s="22">
        <v>5.73853E-2</v>
      </c>
      <c r="J276" s="22">
        <v>266</v>
      </c>
      <c r="K276" s="22">
        <v>8.2794199999999998E-2</v>
      </c>
      <c r="L276">
        <f t="shared" si="48"/>
        <v>-57.385300000000001</v>
      </c>
      <c r="M276">
        <f t="shared" si="49"/>
        <v>-28.151506620999999</v>
      </c>
      <c r="N276" s="9"/>
      <c r="O276" s="22">
        <v>1.2394700000000001</v>
      </c>
      <c r="P276" s="22">
        <v>154.535</v>
      </c>
      <c r="Q276" s="22">
        <v>-1.7431599999999998E-2</v>
      </c>
      <c r="R276" s="22">
        <v>266</v>
      </c>
      <c r="S276" s="22">
        <v>1.2383999999999999</v>
      </c>
      <c r="T276">
        <f t="shared" si="50"/>
        <v>17.4316</v>
      </c>
      <c r="U276">
        <f t="shared" si="51"/>
        <v>21.605945252000001</v>
      </c>
      <c r="X276" s="9"/>
      <c r="Y276" s="22">
        <v>0.49057000000000001</v>
      </c>
      <c r="Z276" s="22">
        <v>213.322</v>
      </c>
      <c r="AA276" s="22">
        <v>-1.7797899999999998E-2</v>
      </c>
      <c r="AB276" s="22">
        <v>266</v>
      </c>
      <c r="AC276" s="22">
        <v>0.489838</v>
      </c>
      <c r="AD276">
        <f t="shared" si="52"/>
        <v>17.797899999999998</v>
      </c>
      <c r="AE276">
        <f t="shared" si="53"/>
        <v>8.7311158029999998</v>
      </c>
      <c r="AF276" s="9"/>
      <c r="AG276" s="22">
        <v>1.2394700000000001</v>
      </c>
      <c r="AH276" s="22">
        <v>305.34100000000001</v>
      </c>
      <c r="AI276" s="22">
        <v>-1.7333999999999999E-2</v>
      </c>
      <c r="AJ276" s="22">
        <v>266</v>
      </c>
      <c r="AK276" s="22">
        <v>1.23871</v>
      </c>
      <c r="AL276">
        <f t="shared" si="54"/>
        <v>17.334</v>
      </c>
      <c r="AM276">
        <f t="shared" si="55"/>
        <v>21.484972980000002</v>
      </c>
      <c r="AP276" s="9"/>
      <c r="AQ276" s="22">
        <v>0.49057000000000001</v>
      </c>
      <c r="AR276" s="22">
        <v>401.303</v>
      </c>
      <c r="AS276" s="22">
        <v>-1.7721600000000001E-2</v>
      </c>
      <c r="AT276" s="22">
        <v>266</v>
      </c>
      <c r="AU276" s="22">
        <v>0.48974600000000001</v>
      </c>
      <c r="AV276">
        <f t="shared" si="56"/>
        <v>17.721600000000002</v>
      </c>
      <c r="AW276">
        <f t="shared" si="57"/>
        <v>8.6936853120000013</v>
      </c>
      <c r="AX276" s="9"/>
      <c r="AY276" s="22">
        <v>1.2394700000000001</v>
      </c>
      <c r="AZ276" s="22">
        <v>495.572</v>
      </c>
      <c r="BA276" s="22">
        <v>-1.73157E-2</v>
      </c>
      <c r="BB276" s="22">
        <v>266</v>
      </c>
      <c r="BC276" s="22">
        <v>1.2390099999999999</v>
      </c>
      <c r="BD276">
        <f t="shared" si="58"/>
        <v>17.3157</v>
      </c>
      <c r="BE276">
        <f t="shared" si="59"/>
        <v>21.462290679000002</v>
      </c>
    </row>
    <row r="277" spans="6:101">
      <c r="F277" s="9"/>
      <c r="G277" s="22">
        <v>0.48553499999999999</v>
      </c>
      <c r="H277" s="22">
        <v>82.416899999999998</v>
      </c>
      <c r="I277" s="22">
        <v>5.73853E-2</v>
      </c>
      <c r="J277" s="22">
        <v>267</v>
      </c>
      <c r="K277" s="22">
        <v>8.2794199999999998E-2</v>
      </c>
      <c r="L277">
        <f t="shared" si="48"/>
        <v>-57.385300000000001</v>
      </c>
      <c r="M277">
        <f t="shared" si="49"/>
        <v>-27.8625716355</v>
      </c>
      <c r="N277" s="9"/>
      <c r="O277" s="22">
        <v>1.24451</v>
      </c>
      <c r="P277" s="22">
        <v>154.636</v>
      </c>
      <c r="Q277" s="22">
        <v>-1.7431599999999998E-2</v>
      </c>
      <c r="R277" s="22">
        <v>267</v>
      </c>
      <c r="S277" s="22">
        <v>1.24359</v>
      </c>
      <c r="T277">
        <f t="shared" si="50"/>
        <v>17.4316</v>
      </c>
      <c r="U277">
        <f t="shared" si="51"/>
        <v>21.693800516</v>
      </c>
      <c r="X277" s="9"/>
      <c r="Y277" s="22">
        <v>0.48553499999999999</v>
      </c>
      <c r="Z277" s="22">
        <v>213.423</v>
      </c>
      <c r="AA277" s="22">
        <v>-1.7800900000000001E-2</v>
      </c>
      <c r="AB277" s="22">
        <v>267</v>
      </c>
      <c r="AC277" s="22">
        <v>0.48504599999999998</v>
      </c>
      <c r="AD277">
        <f t="shared" si="52"/>
        <v>17.800900000000002</v>
      </c>
      <c r="AE277">
        <f t="shared" si="53"/>
        <v>8.6429599815000007</v>
      </c>
      <c r="AF277" s="9"/>
      <c r="AG277" s="22">
        <v>1.24451</v>
      </c>
      <c r="AH277" s="22">
        <v>305.44200000000001</v>
      </c>
      <c r="AI277" s="22">
        <v>-1.73309E-2</v>
      </c>
      <c r="AJ277" s="22">
        <v>267</v>
      </c>
      <c r="AK277" s="22">
        <v>1.24329</v>
      </c>
      <c r="AL277">
        <f t="shared" si="54"/>
        <v>17.3309</v>
      </c>
      <c r="AM277">
        <f t="shared" si="55"/>
        <v>21.568478359</v>
      </c>
      <c r="AP277" s="9"/>
      <c r="AQ277" s="22">
        <v>0.48553499999999999</v>
      </c>
      <c r="AR277" s="22">
        <v>401.404</v>
      </c>
      <c r="AS277" s="22">
        <v>-1.77246E-2</v>
      </c>
      <c r="AT277" s="22">
        <v>267</v>
      </c>
      <c r="AU277" s="22">
        <v>0.484985</v>
      </c>
      <c r="AV277">
        <f t="shared" si="56"/>
        <v>17.724599999999999</v>
      </c>
      <c r="AW277">
        <f t="shared" si="57"/>
        <v>8.6059136609999989</v>
      </c>
      <c r="AX277" s="9"/>
      <c r="AY277" s="22">
        <v>1.24451</v>
      </c>
      <c r="AZ277" s="22">
        <v>495.673</v>
      </c>
      <c r="BA277" s="22">
        <v>-1.7312600000000001E-2</v>
      </c>
      <c r="BB277" s="22">
        <v>267</v>
      </c>
      <c r="BC277" s="22">
        <v>1.2442</v>
      </c>
      <c r="BD277">
        <f t="shared" si="58"/>
        <v>17.3126</v>
      </c>
      <c r="BE277">
        <f t="shared" si="59"/>
        <v>21.545703826</v>
      </c>
    </row>
    <row r="278" spans="6:101">
      <c r="F278" s="9"/>
      <c r="G278" s="22">
        <v>0.48049900000000001</v>
      </c>
      <c r="H278" s="22">
        <v>82.517600000000002</v>
      </c>
      <c r="I278" s="22">
        <v>5.73578E-2</v>
      </c>
      <c r="J278" s="22">
        <v>268</v>
      </c>
      <c r="K278" s="22">
        <v>8.2763699999999996E-2</v>
      </c>
      <c r="L278">
        <f t="shared" si="48"/>
        <v>-57.357799999999997</v>
      </c>
      <c r="M278">
        <f t="shared" si="49"/>
        <v>-27.5603655422</v>
      </c>
      <c r="N278" s="9"/>
      <c r="O278" s="22">
        <v>1.2495400000000001</v>
      </c>
      <c r="P278" s="22">
        <v>154.73699999999999</v>
      </c>
      <c r="Q278" s="22">
        <v>-1.7428599999999999E-2</v>
      </c>
      <c r="R278" s="22">
        <v>268</v>
      </c>
      <c r="S278" s="22">
        <v>1.24817</v>
      </c>
      <c r="T278">
        <f t="shared" si="50"/>
        <v>17.428599999999999</v>
      </c>
      <c r="U278">
        <f t="shared" si="51"/>
        <v>21.777732844000003</v>
      </c>
      <c r="X278" s="9"/>
      <c r="Y278" s="22">
        <v>0.48049900000000001</v>
      </c>
      <c r="Z278" s="22">
        <v>213.524</v>
      </c>
      <c r="AA278" s="22">
        <v>-1.7800900000000001E-2</v>
      </c>
      <c r="AB278" s="22">
        <v>268</v>
      </c>
      <c r="AC278" s="22">
        <v>0.480072</v>
      </c>
      <c r="AD278">
        <f t="shared" si="52"/>
        <v>17.800900000000002</v>
      </c>
      <c r="AE278">
        <f t="shared" si="53"/>
        <v>8.5533146491000007</v>
      </c>
      <c r="AF278" s="9"/>
      <c r="AG278" s="22">
        <v>1.2495400000000001</v>
      </c>
      <c r="AH278" s="22">
        <v>305.54199999999997</v>
      </c>
      <c r="AI278" s="22">
        <v>-1.73309E-2</v>
      </c>
      <c r="AJ278" s="22">
        <v>268</v>
      </c>
      <c r="AK278" s="22">
        <v>1.24908</v>
      </c>
      <c r="AL278">
        <f t="shared" si="54"/>
        <v>17.3309</v>
      </c>
      <c r="AM278">
        <f t="shared" si="55"/>
        <v>21.655652786000001</v>
      </c>
      <c r="AP278" s="9"/>
      <c r="AQ278" s="22">
        <v>0.48049900000000001</v>
      </c>
      <c r="AR278" s="22">
        <v>401.505</v>
      </c>
      <c r="AS278" s="22">
        <v>-1.77246E-2</v>
      </c>
      <c r="AT278" s="22">
        <v>268</v>
      </c>
      <c r="AU278" s="22">
        <v>0.48013299999999998</v>
      </c>
      <c r="AV278">
        <f t="shared" si="56"/>
        <v>17.724599999999999</v>
      </c>
      <c r="AW278">
        <f t="shared" si="57"/>
        <v>8.5166525754000002</v>
      </c>
      <c r="AX278" s="9"/>
      <c r="AY278" s="22">
        <v>1.2495400000000001</v>
      </c>
      <c r="AZ278" s="22">
        <v>495.77300000000002</v>
      </c>
      <c r="BA278" s="22">
        <v>-1.7306499999999999E-2</v>
      </c>
      <c r="BB278" s="22">
        <v>268</v>
      </c>
      <c r="BC278" s="22">
        <v>1.24908</v>
      </c>
      <c r="BD278">
        <f t="shared" si="58"/>
        <v>17.3065</v>
      </c>
      <c r="BE278">
        <f t="shared" si="59"/>
        <v>21.625164010000002</v>
      </c>
    </row>
    <row r="279" spans="6:101">
      <c r="F279" s="9"/>
      <c r="G279" s="22">
        <v>0.475464</v>
      </c>
      <c r="H279" s="22">
        <v>82.618300000000005</v>
      </c>
      <c r="I279" s="22">
        <v>5.73486E-2</v>
      </c>
      <c r="J279" s="22">
        <v>269</v>
      </c>
      <c r="K279" s="22">
        <v>8.2763699999999996E-2</v>
      </c>
      <c r="L279">
        <f t="shared" si="48"/>
        <v>-57.348599999999998</v>
      </c>
      <c r="M279">
        <f t="shared" si="49"/>
        <v>-27.267194750399998</v>
      </c>
      <c r="N279" s="9"/>
      <c r="O279" s="22">
        <v>1.25458</v>
      </c>
      <c r="P279" s="22">
        <v>154.83799999999999</v>
      </c>
      <c r="Q279" s="22">
        <v>-1.7434700000000001E-2</v>
      </c>
      <c r="R279" s="22">
        <v>269</v>
      </c>
      <c r="S279" s="22">
        <v>1.25336</v>
      </c>
      <c r="T279">
        <f t="shared" si="50"/>
        <v>17.434699999999999</v>
      </c>
      <c r="U279">
        <f t="shared" si="51"/>
        <v>21.873225926</v>
      </c>
      <c r="X279" s="9"/>
      <c r="Y279" s="22">
        <v>0.475464</v>
      </c>
      <c r="Z279" s="22">
        <v>213.624</v>
      </c>
      <c r="AA279" s="22">
        <v>-1.7797899999999998E-2</v>
      </c>
      <c r="AB279" s="22">
        <v>269</v>
      </c>
      <c r="AC279" s="22">
        <v>0.47503699999999999</v>
      </c>
      <c r="AD279">
        <f t="shared" si="52"/>
        <v>17.797899999999998</v>
      </c>
      <c r="AE279">
        <f t="shared" si="53"/>
        <v>8.4622607255999984</v>
      </c>
      <c r="AF279" s="9"/>
      <c r="AG279" s="22">
        <v>1.25458</v>
      </c>
      <c r="AH279" s="22">
        <v>305.64299999999997</v>
      </c>
      <c r="AI279" s="22">
        <v>-1.7321799999999998E-2</v>
      </c>
      <c r="AJ279" s="22">
        <v>269</v>
      </c>
      <c r="AK279" s="22">
        <v>1.25427</v>
      </c>
      <c r="AL279">
        <f t="shared" si="54"/>
        <v>17.3218</v>
      </c>
      <c r="AM279">
        <f t="shared" si="55"/>
        <v>21.731583843999999</v>
      </c>
      <c r="AP279" s="9"/>
      <c r="AQ279" s="22">
        <v>0.475464</v>
      </c>
      <c r="AR279" s="22">
        <v>401.60599999999999</v>
      </c>
      <c r="AS279" s="22">
        <v>-1.7730699999999999E-2</v>
      </c>
      <c r="AT279" s="22">
        <v>269</v>
      </c>
      <c r="AU279" s="22">
        <v>0.474609</v>
      </c>
      <c r="AV279">
        <f t="shared" si="56"/>
        <v>17.730699999999999</v>
      </c>
      <c r="AW279">
        <f t="shared" si="57"/>
        <v>8.4303095448000001</v>
      </c>
      <c r="AX279" s="9"/>
      <c r="AY279" s="22">
        <v>1.25458</v>
      </c>
      <c r="AZ279" s="22">
        <v>495.87400000000002</v>
      </c>
      <c r="BA279" s="22">
        <v>-1.73004E-2</v>
      </c>
      <c r="BB279" s="22">
        <v>269</v>
      </c>
      <c r="BC279" s="22">
        <v>1.25366</v>
      </c>
      <c r="BD279">
        <f t="shared" si="58"/>
        <v>17.3004</v>
      </c>
      <c r="BE279">
        <f t="shared" si="59"/>
        <v>21.704735832000001</v>
      </c>
    </row>
    <row r="280" spans="6:101">
      <c r="F280" s="9"/>
      <c r="G280" s="22">
        <v>0.47042800000000001</v>
      </c>
      <c r="H280" s="22">
        <v>82.719099999999997</v>
      </c>
      <c r="I280" s="22">
        <v>5.7339500000000002E-2</v>
      </c>
      <c r="J280" s="22">
        <v>270</v>
      </c>
      <c r="K280" s="22">
        <v>8.2794199999999998E-2</v>
      </c>
      <c r="L280">
        <f t="shared" si="48"/>
        <v>-57.339500000000001</v>
      </c>
      <c r="M280">
        <f t="shared" si="49"/>
        <v>-26.974106305999999</v>
      </c>
      <c r="N280" s="9"/>
      <c r="O280" s="22">
        <v>1.2596099999999999</v>
      </c>
      <c r="P280" s="22">
        <v>154.93799999999999</v>
      </c>
      <c r="Q280" s="22">
        <v>-1.74255E-2</v>
      </c>
      <c r="R280" s="22">
        <v>270</v>
      </c>
      <c r="S280" s="22">
        <v>1.25854</v>
      </c>
      <c r="T280">
        <f t="shared" si="50"/>
        <v>17.4255</v>
      </c>
      <c r="U280">
        <f t="shared" si="51"/>
        <v>21.949334054999998</v>
      </c>
      <c r="X280" s="9"/>
      <c r="Y280" s="22">
        <v>0.47042800000000001</v>
      </c>
      <c r="Z280" s="22">
        <v>213.72499999999999</v>
      </c>
      <c r="AA280" s="22">
        <v>-1.7807E-2</v>
      </c>
      <c r="AB280" s="22">
        <v>270</v>
      </c>
      <c r="AC280" s="22">
        <v>0.46997100000000003</v>
      </c>
      <c r="AD280">
        <f t="shared" si="52"/>
        <v>17.806999999999999</v>
      </c>
      <c r="AE280">
        <f t="shared" si="53"/>
        <v>8.3769113959999988</v>
      </c>
      <c r="AF280" s="9"/>
      <c r="AG280" s="22">
        <v>1.2596099999999999</v>
      </c>
      <c r="AH280" s="22">
        <v>305.74400000000003</v>
      </c>
      <c r="AI280" s="22">
        <v>-1.73279E-2</v>
      </c>
      <c r="AJ280" s="22">
        <v>270</v>
      </c>
      <c r="AK280" s="22">
        <v>1.2591600000000001</v>
      </c>
      <c r="AL280">
        <f t="shared" si="54"/>
        <v>17.3279</v>
      </c>
      <c r="AM280">
        <f t="shared" si="55"/>
        <v>21.826396118999998</v>
      </c>
      <c r="AP280" s="9"/>
      <c r="AQ280" s="22">
        <v>0.47042800000000001</v>
      </c>
      <c r="AR280" s="22">
        <v>401.70600000000002</v>
      </c>
      <c r="AS280" s="22">
        <v>-1.77368E-2</v>
      </c>
      <c r="AT280" s="22">
        <v>270</v>
      </c>
      <c r="AU280" s="22">
        <v>0.46997100000000003</v>
      </c>
      <c r="AV280">
        <f t="shared" si="56"/>
        <v>17.736799999999999</v>
      </c>
      <c r="AW280">
        <f t="shared" si="57"/>
        <v>8.3438873503999993</v>
      </c>
      <c r="AX280" s="9"/>
      <c r="AY280" s="22">
        <v>1.2596099999999999</v>
      </c>
      <c r="AZ280" s="22">
        <v>495.97500000000002</v>
      </c>
      <c r="BA280" s="22">
        <v>-1.73004E-2</v>
      </c>
      <c r="BB280" s="22">
        <v>270</v>
      </c>
      <c r="BC280" s="22">
        <v>1.25885</v>
      </c>
      <c r="BD280">
        <f t="shared" si="58"/>
        <v>17.3004</v>
      </c>
      <c r="BE280">
        <f t="shared" si="59"/>
        <v>21.791756843999998</v>
      </c>
    </row>
    <row r="281" spans="6:101">
      <c r="F281" s="9"/>
      <c r="G281" s="22">
        <v>0.465393</v>
      </c>
      <c r="H281" s="22">
        <v>82.819800000000001</v>
      </c>
      <c r="I281" s="22">
        <v>5.7312000000000002E-2</v>
      </c>
      <c r="J281" s="22">
        <v>271</v>
      </c>
      <c r="K281" s="22">
        <v>8.2763699999999996E-2</v>
      </c>
      <c r="L281">
        <f t="shared" si="48"/>
        <v>-57.312000000000005</v>
      </c>
      <c r="M281">
        <f t="shared" si="49"/>
        <v>-26.672603616000004</v>
      </c>
      <c r="N281" s="9"/>
      <c r="O281" s="22">
        <v>1.2646500000000001</v>
      </c>
      <c r="P281" s="22">
        <v>155.03899999999999</v>
      </c>
      <c r="Q281" s="22">
        <v>-1.74255E-2</v>
      </c>
      <c r="R281" s="22">
        <v>271</v>
      </c>
      <c r="S281" s="22">
        <v>1.26373</v>
      </c>
      <c r="T281">
        <f t="shared" si="50"/>
        <v>17.4255</v>
      </c>
      <c r="U281">
        <f t="shared" si="51"/>
        <v>22.037158574999999</v>
      </c>
      <c r="X281" s="9"/>
      <c r="Y281" s="22">
        <v>0.465393</v>
      </c>
      <c r="Z281" s="22">
        <v>213.82599999999999</v>
      </c>
      <c r="AA281" s="22">
        <v>-1.7813099999999998E-2</v>
      </c>
      <c r="AB281" s="22">
        <v>271</v>
      </c>
      <c r="AC281" s="22">
        <v>0.46481299999999998</v>
      </c>
      <c r="AD281">
        <f t="shared" si="52"/>
        <v>17.813099999999999</v>
      </c>
      <c r="AE281">
        <f t="shared" si="53"/>
        <v>8.2900920483</v>
      </c>
      <c r="AF281" s="9"/>
      <c r="AG281" s="22">
        <v>1.2646500000000001</v>
      </c>
      <c r="AH281" s="22">
        <v>305.84399999999999</v>
      </c>
      <c r="AI281" s="22">
        <v>-1.7321799999999998E-2</v>
      </c>
      <c r="AJ281" s="22">
        <v>271</v>
      </c>
      <c r="AK281" s="22">
        <v>1.26373</v>
      </c>
      <c r="AL281">
        <f t="shared" si="54"/>
        <v>17.3218</v>
      </c>
      <c r="AM281">
        <f t="shared" si="55"/>
        <v>21.906014370000001</v>
      </c>
      <c r="AP281" s="9"/>
      <c r="AQ281" s="22">
        <v>0.465393</v>
      </c>
      <c r="AR281" s="22">
        <v>401.80700000000002</v>
      </c>
      <c r="AS281" s="22">
        <v>-1.7739899999999999E-2</v>
      </c>
      <c r="AT281" s="22">
        <v>271</v>
      </c>
      <c r="AU281" s="22">
        <v>0.46487400000000001</v>
      </c>
      <c r="AV281">
        <f t="shared" si="56"/>
        <v>17.739899999999999</v>
      </c>
      <c r="AW281">
        <f t="shared" si="57"/>
        <v>8.2560252806999994</v>
      </c>
      <c r="AX281" s="9"/>
      <c r="AY281" s="22">
        <v>1.2646500000000001</v>
      </c>
      <c r="AZ281" s="22">
        <v>496.07600000000002</v>
      </c>
      <c r="BA281" s="22">
        <v>-1.7297400000000001E-2</v>
      </c>
      <c r="BB281" s="22">
        <v>271</v>
      </c>
      <c r="BC281" s="22">
        <v>1.26373</v>
      </c>
      <c r="BD281">
        <f t="shared" si="58"/>
        <v>17.2974</v>
      </c>
      <c r="BE281">
        <f t="shared" si="59"/>
        <v>21.875156910000001</v>
      </c>
    </row>
    <row r="282" spans="6:101">
      <c r="F282" s="9"/>
      <c r="G282" s="22">
        <v>0.46035799999999999</v>
      </c>
      <c r="H282" s="22">
        <v>82.920500000000004</v>
      </c>
      <c r="I282" s="22">
        <v>5.7275399999999997E-2</v>
      </c>
      <c r="J282" s="22">
        <v>272</v>
      </c>
      <c r="K282" s="22">
        <v>8.2763699999999996E-2</v>
      </c>
      <c r="L282">
        <f t="shared" si="48"/>
        <v>-57.275399999999998</v>
      </c>
      <c r="M282">
        <f t="shared" si="49"/>
        <v>-26.367188593199998</v>
      </c>
      <c r="N282" s="9"/>
      <c r="O282" s="22">
        <v>1.2696799999999999</v>
      </c>
      <c r="P282" s="22">
        <v>155.13999999999999</v>
      </c>
      <c r="Q282" s="22">
        <v>-1.7419400000000002E-2</v>
      </c>
      <c r="R282" s="22">
        <v>272</v>
      </c>
      <c r="S282" s="22">
        <v>1.26892</v>
      </c>
      <c r="T282">
        <f t="shared" si="50"/>
        <v>17.419400000000003</v>
      </c>
      <c r="U282">
        <f t="shared" si="51"/>
        <v>22.117063792000003</v>
      </c>
      <c r="X282" s="9"/>
      <c r="Y282" s="22">
        <v>0.46035799999999999</v>
      </c>
      <c r="Z282" s="22">
        <v>213.92699999999999</v>
      </c>
      <c r="AA282" s="22">
        <v>-1.7822299999999999E-2</v>
      </c>
      <c r="AB282" s="22">
        <v>272</v>
      </c>
      <c r="AC282" s="22">
        <v>0.46005200000000002</v>
      </c>
      <c r="AD282">
        <f t="shared" si="52"/>
        <v>17.822299999999998</v>
      </c>
      <c r="AE282">
        <f t="shared" si="53"/>
        <v>8.204638383399999</v>
      </c>
      <c r="AF282" s="9"/>
      <c r="AG282" s="22">
        <v>1.2696799999999999</v>
      </c>
      <c r="AH282" s="22">
        <v>305.94499999999999</v>
      </c>
      <c r="AI282" s="22">
        <v>-1.73157E-2</v>
      </c>
      <c r="AJ282" s="22">
        <v>272</v>
      </c>
      <c r="AK282" s="22">
        <v>1.26892</v>
      </c>
      <c r="AL282">
        <f t="shared" si="54"/>
        <v>17.3157</v>
      </c>
      <c r="AM282">
        <f t="shared" si="55"/>
        <v>21.985397975999998</v>
      </c>
      <c r="AP282" s="9"/>
      <c r="AQ282" s="22">
        <v>0.46035799999999999</v>
      </c>
      <c r="AR282" s="22">
        <v>401.90800000000002</v>
      </c>
      <c r="AS282" s="22">
        <v>-1.7746000000000001E-2</v>
      </c>
      <c r="AT282" s="22">
        <v>272</v>
      </c>
      <c r="AU282" s="22">
        <v>0.45968599999999998</v>
      </c>
      <c r="AV282">
        <f t="shared" si="56"/>
        <v>17.746000000000002</v>
      </c>
      <c r="AW282">
        <f t="shared" si="57"/>
        <v>8.1695130680000005</v>
      </c>
      <c r="AX282" s="9"/>
      <c r="AY282" s="22">
        <v>1.2696799999999999</v>
      </c>
      <c r="AZ282" s="22">
        <v>496.17599999999999</v>
      </c>
      <c r="BA282" s="22">
        <v>-1.73004E-2</v>
      </c>
      <c r="BB282" s="22">
        <v>272</v>
      </c>
      <c r="BC282" s="22">
        <v>1.26831</v>
      </c>
      <c r="BD282">
        <f t="shared" si="58"/>
        <v>17.3004</v>
      </c>
      <c r="BE282">
        <f t="shared" si="59"/>
        <v>21.965971871999997</v>
      </c>
    </row>
    <row r="283" spans="6:101">
      <c r="F283" s="9"/>
      <c r="G283" s="22">
        <v>0.455322</v>
      </c>
      <c r="H283" s="22">
        <v>83.021199999999993</v>
      </c>
      <c r="I283" s="22">
        <v>5.7247899999999997E-2</v>
      </c>
      <c r="J283" s="22">
        <v>273</v>
      </c>
      <c r="K283" s="22">
        <v>8.2702600000000001E-2</v>
      </c>
      <c r="L283">
        <f t="shared" si="48"/>
        <v>-57.247899999999994</v>
      </c>
      <c r="M283">
        <f t="shared" si="49"/>
        <v>-26.066228323799997</v>
      </c>
      <c r="N283" s="9"/>
      <c r="O283" s="22">
        <v>1.2747200000000001</v>
      </c>
      <c r="P283" s="22">
        <v>155.24</v>
      </c>
      <c r="Q283" s="22">
        <v>-1.7404200000000002E-2</v>
      </c>
      <c r="R283" s="22">
        <v>273</v>
      </c>
      <c r="S283" s="22">
        <v>1.2741100000000001</v>
      </c>
      <c r="T283">
        <f t="shared" si="50"/>
        <v>17.404200000000003</v>
      </c>
      <c r="U283">
        <f t="shared" si="51"/>
        <v>22.185481824000004</v>
      </c>
      <c r="X283" s="9"/>
      <c r="Y283" s="22">
        <v>0.455322</v>
      </c>
      <c r="Z283" s="22">
        <v>214.02699999999999</v>
      </c>
      <c r="AA283" s="22">
        <v>-1.78192E-2</v>
      </c>
      <c r="AB283" s="22">
        <v>273</v>
      </c>
      <c r="AC283" s="22">
        <v>0.45474199999999998</v>
      </c>
      <c r="AD283">
        <f t="shared" si="52"/>
        <v>17.819199999999999</v>
      </c>
      <c r="AE283">
        <f t="shared" si="53"/>
        <v>8.1134737823999998</v>
      </c>
      <c r="AF283" s="9"/>
      <c r="AG283" s="22">
        <v>1.2747200000000001</v>
      </c>
      <c r="AH283" s="22">
        <v>306.04599999999999</v>
      </c>
      <c r="AI283" s="22">
        <v>-1.7321799999999998E-2</v>
      </c>
      <c r="AJ283" s="22">
        <v>273</v>
      </c>
      <c r="AK283" s="22">
        <v>1.2738</v>
      </c>
      <c r="AL283">
        <f t="shared" si="54"/>
        <v>17.3218</v>
      </c>
      <c r="AM283">
        <f t="shared" si="55"/>
        <v>22.080444895999999</v>
      </c>
      <c r="AP283" s="9"/>
      <c r="AQ283" s="22">
        <v>0.455322</v>
      </c>
      <c r="AR283" s="22">
        <v>402.00799999999998</v>
      </c>
      <c r="AS283" s="22">
        <v>-1.7733800000000001E-2</v>
      </c>
      <c r="AT283" s="22">
        <v>273</v>
      </c>
      <c r="AU283" s="22">
        <v>0.45477299999999998</v>
      </c>
      <c r="AV283">
        <f t="shared" si="56"/>
        <v>17.733800000000002</v>
      </c>
      <c r="AW283">
        <f t="shared" si="57"/>
        <v>8.0745892836000017</v>
      </c>
      <c r="AX283" s="9"/>
      <c r="AY283" s="22">
        <v>1.2747200000000001</v>
      </c>
      <c r="AZ283" s="22">
        <v>496.27699999999999</v>
      </c>
      <c r="BA283" s="22">
        <v>-1.7297400000000001E-2</v>
      </c>
      <c r="BB283" s="22">
        <v>273</v>
      </c>
      <c r="BC283" s="22">
        <v>1.2738</v>
      </c>
      <c r="BD283">
        <f t="shared" si="58"/>
        <v>17.2974</v>
      </c>
      <c r="BE283">
        <f t="shared" si="59"/>
        <v>22.049341728000002</v>
      </c>
    </row>
    <row r="284" spans="6:101">
      <c r="F284" s="9"/>
      <c r="G284" s="22">
        <v>0.45028699999999999</v>
      </c>
      <c r="H284" s="22">
        <v>83.121899999999997</v>
      </c>
      <c r="I284" s="22">
        <v>5.72357E-2</v>
      </c>
      <c r="J284" s="22">
        <v>274</v>
      </c>
      <c r="K284" s="22">
        <v>8.2702600000000001E-2</v>
      </c>
      <c r="L284">
        <f t="shared" si="48"/>
        <v>-57.235700000000001</v>
      </c>
      <c r="M284">
        <f t="shared" si="49"/>
        <v>-25.772491645900001</v>
      </c>
      <c r="N284" s="9"/>
      <c r="O284" s="22">
        <v>1.2797499999999999</v>
      </c>
      <c r="P284" s="22">
        <v>155.34100000000001</v>
      </c>
      <c r="Q284" s="22">
        <v>-1.73981E-2</v>
      </c>
      <c r="R284" s="22">
        <v>274</v>
      </c>
      <c r="S284" s="22">
        <v>1.2786900000000001</v>
      </c>
      <c r="T284">
        <f t="shared" si="50"/>
        <v>17.398099999999999</v>
      </c>
      <c r="U284">
        <f t="shared" si="51"/>
        <v>22.265218474999998</v>
      </c>
      <c r="X284" s="9"/>
      <c r="Y284" s="22">
        <v>0.45028699999999999</v>
      </c>
      <c r="Z284" s="22">
        <v>214.12799999999999</v>
      </c>
      <c r="AA284" s="22">
        <v>-1.7828400000000001E-2</v>
      </c>
      <c r="AB284" s="22">
        <v>274</v>
      </c>
      <c r="AC284" s="22">
        <v>0.44989000000000001</v>
      </c>
      <c r="AD284">
        <f t="shared" si="52"/>
        <v>17.828400000000002</v>
      </c>
      <c r="AE284">
        <f t="shared" si="53"/>
        <v>8.0278967508000001</v>
      </c>
      <c r="AF284" s="9"/>
      <c r="AG284" s="22">
        <v>1.2797499999999999</v>
      </c>
      <c r="AH284" s="22">
        <v>306.14600000000002</v>
      </c>
      <c r="AI284" s="22">
        <v>-1.73157E-2</v>
      </c>
      <c r="AJ284" s="22">
        <v>274</v>
      </c>
      <c r="AK284" s="22">
        <v>1.2793000000000001</v>
      </c>
      <c r="AL284">
        <f t="shared" si="54"/>
        <v>17.3157</v>
      </c>
      <c r="AM284">
        <f t="shared" si="55"/>
        <v>22.159767074999998</v>
      </c>
      <c r="AP284" s="9"/>
      <c r="AQ284" s="22">
        <v>0.45028699999999999</v>
      </c>
      <c r="AR284" s="22">
        <v>402.10899999999998</v>
      </c>
      <c r="AS284" s="22">
        <v>-1.7742899999999999E-2</v>
      </c>
      <c r="AT284" s="22">
        <v>274</v>
      </c>
      <c r="AU284" s="22">
        <v>0.449799</v>
      </c>
      <c r="AV284">
        <f t="shared" si="56"/>
        <v>17.742899999999999</v>
      </c>
      <c r="AW284">
        <f t="shared" si="57"/>
        <v>7.9893972122999992</v>
      </c>
      <c r="AX284" s="9"/>
      <c r="AY284" s="22">
        <v>1.2797499999999999</v>
      </c>
      <c r="AZ284" s="22">
        <v>496.37799999999999</v>
      </c>
      <c r="BA284" s="22">
        <v>-1.7279099999999999E-2</v>
      </c>
      <c r="BB284" s="22">
        <v>274</v>
      </c>
      <c r="BC284" s="22">
        <v>1.2786900000000001</v>
      </c>
      <c r="BD284">
        <f t="shared" si="58"/>
        <v>17.2791</v>
      </c>
      <c r="BE284">
        <f t="shared" si="59"/>
        <v>22.112928224999997</v>
      </c>
    </row>
    <row r="285" spans="6:101">
      <c r="F285" s="9"/>
      <c r="G285" s="22">
        <v>0.44525100000000001</v>
      </c>
      <c r="H285" s="22">
        <v>83.2226</v>
      </c>
      <c r="I285" s="22">
        <v>5.7238799999999999E-2</v>
      </c>
      <c r="J285" s="22">
        <v>275</v>
      </c>
      <c r="K285" s="22">
        <v>8.2641599999999996E-2</v>
      </c>
      <c r="L285">
        <f t="shared" si="48"/>
        <v>-57.238799999999998</v>
      </c>
      <c r="M285">
        <f t="shared" si="49"/>
        <v>-25.485632938799998</v>
      </c>
      <c r="N285" s="9"/>
      <c r="O285" s="22">
        <v>1.2847900000000001</v>
      </c>
      <c r="P285" s="22">
        <v>155.44200000000001</v>
      </c>
      <c r="Q285" s="22">
        <v>-1.73981E-2</v>
      </c>
      <c r="R285" s="22">
        <v>275</v>
      </c>
      <c r="S285" s="22">
        <v>1.2841800000000001</v>
      </c>
      <c r="T285">
        <f t="shared" si="50"/>
        <v>17.398099999999999</v>
      </c>
      <c r="U285">
        <f t="shared" si="51"/>
        <v>22.352904899000002</v>
      </c>
      <c r="X285" s="9"/>
      <c r="Y285" s="22">
        <v>0.44525100000000001</v>
      </c>
      <c r="Z285" s="22">
        <v>214.22900000000001</v>
      </c>
      <c r="AA285" s="22">
        <v>-1.7837499999999999E-2</v>
      </c>
      <c r="AB285" s="22">
        <v>275</v>
      </c>
      <c r="AC285" s="22">
        <v>0.44433600000000001</v>
      </c>
      <c r="AD285">
        <f t="shared" si="52"/>
        <v>17.837499999999999</v>
      </c>
      <c r="AE285">
        <f t="shared" si="53"/>
        <v>7.9421647124999994</v>
      </c>
      <c r="AF285" s="9"/>
      <c r="AG285" s="22">
        <v>1.2847900000000001</v>
      </c>
      <c r="AH285" s="22">
        <v>306.24700000000001</v>
      </c>
      <c r="AI285" s="22">
        <v>-1.7303499999999999E-2</v>
      </c>
      <c r="AJ285" s="22">
        <v>275</v>
      </c>
      <c r="AK285" s="22">
        <v>1.2838700000000001</v>
      </c>
      <c r="AL285">
        <f t="shared" si="54"/>
        <v>17.3035</v>
      </c>
      <c r="AM285">
        <f t="shared" si="55"/>
        <v>22.231363765000001</v>
      </c>
      <c r="AP285" s="9"/>
      <c r="AQ285" s="22">
        <v>0.44525100000000001</v>
      </c>
      <c r="AR285" s="22">
        <v>402.21</v>
      </c>
      <c r="AS285" s="22">
        <v>-1.7749000000000001E-2</v>
      </c>
      <c r="AT285" s="22">
        <v>275</v>
      </c>
      <c r="AU285" s="22">
        <v>0.44476300000000002</v>
      </c>
      <c r="AV285">
        <f t="shared" si="56"/>
        <v>17.749000000000002</v>
      </c>
      <c r="AW285">
        <f t="shared" si="57"/>
        <v>7.9027599990000015</v>
      </c>
      <c r="AX285" s="9"/>
      <c r="AY285" s="22">
        <v>1.2847900000000001</v>
      </c>
      <c r="AZ285" s="22">
        <v>496.47800000000001</v>
      </c>
      <c r="BA285" s="22">
        <v>-1.7285200000000001E-2</v>
      </c>
      <c r="BB285" s="22">
        <v>275</v>
      </c>
      <c r="BC285" s="22">
        <v>1.2841800000000001</v>
      </c>
      <c r="BD285">
        <f t="shared" si="58"/>
        <v>17.2852</v>
      </c>
      <c r="BE285">
        <f t="shared" si="59"/>
        <v>22.207852108000001</v>
      </c>
    </row>
    <row r="286" spans="6:101">
      <c r="F286" s="9"/>
      <c r="G286" s="22">
        <v>0.440216</v>
      </c>
      <c r="H286" s="22">
        <v>83.323300000000003</v>
      </c>
      <c r="I286" s="22">
        <v>5.7205199999999998E-2</v>
      </c>
      <c r="J286" s="22">
        <v>276</v>
      </c>
      <c r="K286" s="22">
        <v>8.2672099999999998E-2</v>
      </c>
      <c r="L286">
        <f t="shared" si="48"/>
        <v>-57.205199999999998</v>
      </c>
      <c r="M286">
        <f t="shared" si="49"/>
        <v>-25.182644323199998</v>
      </c>
      <c r="N286" s="9"/>
      <c r="O286" s="22">
        <v>1.28983</v>
      </c>
      <c r="P286" s="22">
        <v>155.542</v>
      </c>
      <c r="Q286" s="22">
        <v>-1.7395000000000001E-2</v>
      </c>
      <c r="R286" s="22">
        <v>276</v>
      </c>
      <c r="S286" s="22">
        <v>1.2893699999999999</v>
      </c>
      <c r="T286">
        <f t="shared" si="50"/>
        <v>17.395</v>
      </c>
      <c r="U286">
        <f t="shared" si="51"/>
        <v>22.43659285</v>
      </c>
      <c r="X286" s="9"/>
      <c r="Y286" s="22">
        <v>0.440216</v>
      </c>
      <c r="Z286" s="22">
        <v>214.32900000000001</v>
      </c>
      <c r="AA286" s="22">
        <v>-1.7837499999999999E-2</v>
      </c>
      <c r="AB286" s="22">
        <v>276</v>
      </c>
      <c r="AC286" s="22">
        <v>0.43994100000000003</v>
      </c>
      <c r="AD286">
        <f t="shared" si="52"/>
        <v>17.837499999999999</v>
      </c>
      <c r="AE286">
        <f t="shared" si="53"/>
        <v>7.8523528999999996</v>
      </c>
      <c r="AF286" s="9"/>
      <c r="AG286" s="22">
        <v>1.28983</v>
      </c>
      <c r="AH286" s="22">
        <v>306.34800000000001</v>
      </c>
      <c r="AI286" s="22">
        <v>-1.73157E-2</v>
      </c>
      <c r="AJ286" s="22">
        <v>276</v>
      </c>
      <c r="AK286" s="22">
        <v>1.2890600000000001</v>
      </c>
      <c r="AL286">
        <f t="shared" si="54"/>
        <v>17.3157</v>
      </c>
      <c r="AM286">
        <f t="shared" si="55"/>
        <v>22.334309331</v>
      </c>
      <c r="AP286" s="9"/>
      <c r="AQ286" s="22">
        <v>0.440216</v>
      </c>
      <c r="AR286" s="22">
        <v>402.31</v>
      </c>
      <c r="AS286" s="22">
        <v>-1.7755099999999999E-2</v>
      </c>
      <c r="AT286" s="22">
        <v>276</v>
      </c>
      <c r="AU286" s="22">
        <v>0.43948399999999999</v>
      </c>
      <c r="AV286">
        <f t="shared" si="56"/>
        <v>17.755099999999999</v>
      </c>
      <c r="AW286">
        <f t="shared" si="57"/>
        <v>7.8160791015999997</v>
      </c>
      <c r="AX286" s="9"/>
      <c r="AY286" s="22">
        <v>1.28983</v>
      </c>
      <c r="AZ286" s="22">
        <v>496.57900000000001</v>
      </c>
      <c r="BA286" s="22">
        <v>-1.7272900000000001E-2</v>
      </c>
      <c r="BB286" s="22">
        <v>276</v>
      </c>
      <c r="BC286" s="22">
        <v>1.2893699999999999</v>
      </c>
      <c r="BD286">
        <f t="shared" si="58"/>
        <v>17.2729</v>
      </c>
      <c r="BE286">
        <f t="shared" si="59"/>
        <v>22.279104607000001</v>
      </c>
    </row>
    <row r="287" spans="6:101">
      <c r="F287" s="9"/>
      <c r="G287" s="22">
        <v>0.43518099999999998</v>
      </c>
      <c r="H287" s="22">
        <v>83.424000000000007</v>
      </c>
      <c r="I287" s="22">
        <v>5.7193000000000001E-2</v>
      </c>
      <c r="J287" s="22">
        <v>277</v>
      </c>
      <c r="K287" s="22">
        <v>8.2672099999999998E-2</v>
      </c>
      <c r="L287">
        <f t="shared" si="48"/>
        <v>-57.192999999999998</v>
      </c>
      <c r="M287">
        <f t="shared" si="49"/>
        <v>-24.889306932999997</v>
      </c>
      <c r="N287" s="9"/>
      <c r="O287" s="22">
        <v>1.2948599999999999</v>
      </c>
      <c r="P287" s="22">
        <v>155.643</v>
      </c>
      <c r="Q287" s="22">
        <v>-1.7388899999999999E-2</v>
      </c>
      <c r="R287" s="22">
        <v>277</v>
      </c>
      <c r="S287" s="22">
        <v>1.2945599999999999</v>
      </c>
      <c r="T287">
        <f t="shared" si="50"/>
        <v>17.3889</v>
      </c>
      <c r="U287">
        <f t="shared" si="51"/>
        <v>22.516191053999997</v>
      </c>
      <c r="X287" s="9"/>
      <c r="Y287" s="22">
        <v>0.43518099999999998</v>
      </c>
      <c r="Z287" s="22">
        <v>214.43</v>
      </c>
      <c r="AA287" s="22">
        <v>-1.78467E-2</v>
      </c>
      <c r="AB287" s="22">
        <v>277</v>
      </c>
      <c r="AC287" s="22">
        <v>0.433838</v>
      </c>
      <c r="AD287">
        <f t="shared" si="52"/>
        <v>17.846699999999998</v>
      </c>
      <c r="AE287">
        <f t="shared" si="53"/>
        <v>7.7665447526999989</v>
      </c>
      <c r="AF287" s="9"/>
      <c r="AG287" s="22">
        <v>1.2948599999999999</v>
      </c>
      <c r="AH287" s="22">
        <v>306.44900000000001</v>
      </c>
      <c r="AI287" s="22">
        <v>-1.7303499999999999E-2</v>
      </c>
      <c r="AJ287" s="22">
        <v>277</v>
      </c>
      <c r="AK287" s="22">
        <v>1.2939499999999999</v>
      </c>
      <c r="AL287">
        <f t="shared" si="54"/>
        <v>17.3035</v>
      </c>
      <c r="AM287">
        <f t="shared" si="55"/>
        <v>22.405610009999997</v>
      </c>
      <c r="AP287" s="9"/>
      <c r="AQ287" s="22">
        <v>0.43518099999999998</v>
      </c>
      <c r="AR287" s="22">
        <v>402.411</v>
      </c>
      <c r="AS287" s="22">
        <v>-1.77643E-2</v>
      </c>
      <c r="AT287" s="22">
        <v>277</v>
      </c>
      <c r="AU287" s="22">
        <v>0.43457000000000001</v>
      </c>
      <c r="AV287">
        <f t="shared" si="56"/>
        <v>17.764299999999999</v>
      </c>
      <c r="AW287">
        <f t="shared" si="57"/>
        <v>7.7306858382999994</v>
      </c>
      <c r="AX287" s="9"/>
      <c r="AY287" s="22">
        <v>1.2948599999999999</v>
      </c>
      <c r="AZ287" s="22">
        <v>496.68</v>
      </c>
      <c r="BA287" s="22">
        <v>-1.7279099999999999E-2</v>
      </c>
      <c r="BB287" s="22">
        <v>277</v>
      </c>
      <c r="BC287" s="22">
        <v>1.2942499999999999</v>
      </c>
      <c r="BD287">
        <f t="shared" si="58"/>
        <v>17.2791</v>
      </c>
      <c r="BE287">
        <f t="shared" si="59"/>
        <v>22.374015425999996</v>
      </c>
    </row>
    <row r="288" spans="6:101">
      <c r="F288" s="9"/>
      <c r="G288" s="22">
        <v>0.430145</v>
      </c>
      <c r="H288" s="22">
        <v>83.524699999999996</v>
      </c>
      <c r="I288" s="22">
        <v>5.7180799999999997E-2</v>
      </c>
      <c r="J288" s="22">
        <v>278</v>
      </c>
      <c r="K288" s="22">
        <v>8.2702600000000001E-2</v>
      </c>
      <c r="L288">
        <f t="shared" si="48"/>
        <v>-57.180799999999998</v>
      </c>
      <c r="M288">
        <f t="shared" si="49"/>
        <v>-24.596035216000001</v>
      </c>
      <c r="N288" s="9"/>
      <c r="O288" s="22">
        <v>1.2999000000000001</v>
      </c>
      <c r="P288" s="22">
        <v>155.744</v>
      </c>
      <c r="Q288" s="22">
        <v>-1.7388899999999999E-2</v>
      </c>
      <c r="R288" s="22">
        <v>278</v>
      </c>
      <c r="S288" s="22">
        <v>1.2994399999999999</v>
      </c>
      <c r="T288">
        <f t="shared" si="50"/>
        <v>17.3889</v>
      </c>
      <c r="U288">
        <f t="shared" si="51"/>
        <v>22.603831110000002</v>
      </c>
      <c r="X288" s="9"/>
      <c r="Y288" s="22">
        <v>0.430145</v>
      </c>
      <c r="Z288" s="22">
        <v>214.53100000000001</v>
      </c>
      <c r="AA288" s="22">
        <v>-1.7840600000000002E-2</v>
      </c>
      <c r="AB288" s="22">
        <v>278</v>
      </c>
      <c r="AC288" s="22">
        <v>0.429504</v>
      </c>
      <c r="AD288">
        <f t="shared" si="52"/>
        <v>17.840600000000002</v>
      </c>
      <c r="AE288">
        <f t="shared" si="53"/>
        <v>7.6740448870000009</v>
      </c>
      <c r="AF288" s="9"/>
      <c r="AG288" s="22">
        <v>1.2999000000000001</v>
      </c>
      <c r="AH288" s="22">
        <v>306.54899999999998</v>
      </c>
      <c r="AI288" s="22">
        <v>-1.73004E-2</v>
      </c>
      <c r="AJ288" s="22">
        <v>278</v>
      </c>
      <c r="AK288" s="22">
        <v>1.2988299999999999</v>
      </c>
      <c r="AL288">
        <f t="shared" si="54"/>
        <v>17.3004</v>
      </c>
      <c r="AM288">
        <f t="shared" si="55"/>
        <v>22.488789960000002</v>
      </c>
      <c r="AP288" s="9"/>
      <c r="AQ288" s="22">
        <v>0.430145</v>
      </c>
      <c r="AR288" s="22">
        <v>402.512</v>
      </c>
      <c r="AS288" s="22">
        <v>-1.7755099999999999E-2</v>
      </c>
      <c r="AT288" s="22">
        <v>278</v>
      </c>
      <c r="AU288" s="22">
        <v>0.42990099999999998</v>
      </c>
      <c r="AV288">
        <f t="shared" si="56"/>
        <v>17.755099999999999</v>
      </c>
      <c r="AW288">
        <f t="shared" si="57"/>
        <v>7.6372674894999992</v>
      </c>
      <c r="AX288" s="9"/>
      <c r="AY288" s="22">
        <v>1.2999000000000001</v>
      </c>
      <c r="AZ288" s="22">
        <v>496.78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0.42510999999999999</v>
      </c>
      <c r="H289" s="22">
        <v>83.625399999999999</v>
      </c>
      <c r="I289" s="22">
        <v>5.7159399999999999E-2</v>
      </c>
      <c r="J289" s="22">
        <v>279</v>
      </c>
      <c r="K289" s="22">
        <v>8.2763699999999996E-2</v>
      </c>
      <c r="L289">
        <f t="shared" si="48"/>
        <v>-57.159399999999998</v>
      </c>
      <c r="M289">
        <f t="shared" si="49"/>
        <v>-24.299032533999998</v>
      </c>
      <c r="N289" s="9"/>
      <c r="O289" s="22">
        <v>1.3049299999999999</v>
      </c>
      <c r="P289" s="22">
        <v>155.845</v>
      </c>
      <c r="Q289" s="22">
        <v>-1.7379800000000001E-2</v>
      </c>
      <c r="R289" s="22">
        <v>279</v>
      </c>
      <c r="S289" s="22">
        <v>1.30402</v>
      </c>
      <c r="T289">
        <f t="shared" si="50"/>
        <v>17.379799999999999</v>
      </c>
      <c r="U289">
        <f t="shared" si="51"/>
        <v>22.679422413999998</v>
      </c>
      <c r="X289" s="9"/>
      <c r="Y289" s="22">
        <v>0.42510999999999999</v>
      </c>
      <c r="Z289" s="22">
        <v>214.631</v>
      </c>
      <c r="AA289" s="22">
        <v>-1.78497E-2</v>
      </c>
      <c r="AB289" s="22">
        <v>279</v>
      </c>
      <c r="AC289" s="22">
        <v>0.42413299999999998</v>
      </c>
      <c r="AD289">
        <f t="shared" si="52"/>
        <v>17.849699999999999</v>
      </c>
      <c r="AE289">
        <f t="shared" si="53"/>
        <v>7.5880859669999996</v>
      </c>
      <c r="AF289" s="9"/>
      <c r="AG289" s="22">
        <v>1.3049299999999999</v>
      </c>
      <c r="AH289" s="22">
        <v>306.64999999999998</v>
      </c>
      <c r="AI289" s="22">
        <v>-1.72882E-2</v>
      </c>
      <c r="AJ289" s="22">
        <v>279</v>
      </c>
      <c r="AK289" s="22">
        <v>1.3043199999999999</v>
      </c>
      <c r="AL289">
        <f t="shared" si="54"/>
        <v>17.2882</v>
      </c>
      <c r="AM289">
        <f t="shared" si="55"/>
        <v>22.559890826</v>
      </c>
      <c r="AP289" s="9"/>
      <c r="AQ289" s="22">
        <v>0.42510999999999999</v>
      </c>
      <c r="AR289" s="22">
        <v>402.613</v>
      </c>
      <c r="AS289" s="22">
        <v>-1.7770399999999999E-2</v>
      </c>
      <c r="AT289" s="22">
        <v>279</v>
      </c>
      <c r="AU289" s="22">
        <v>0.42431600000000003</v>
      </c>
      <c r="AV289">
        <f t="shared" si="56"/>
        <v>17.770399999999999</v>
      </c>
      <c r="AW289">
        <f t="shared" si="57"/>
        <v>7.5543747439999995</v>
      </c>
      <c r="AX289" s="9"/>
      <c r="AY289" s="22">
        <v>1.3049299999999999</v>
      </c>
      <c r="AZ289" s="22">
        <v>496.88099999999997</v>
      </c>
      <c r="BA289" s="22">
        <v>-1.7263799999999999E-2</v>
      </c>
      <c r="BB289" s="22">
        <v>279</v>
      </c>
      <c r="BC289" s="22">
        <v>1.30402</v>
      </c>
      <c r="BD289">
        <f t="shared" si="58"/>
        <v>17.2638</v>
      </c>
      <c r="BE289">
        <f t="shared" si="59"/>
        <v>22.528050533999998</v>
      </c>
    </row>
    <row r="290" spans="6:57">
      <c r="F290" s="9"/>
      <c r="G290" s="22">
        <v>0.420074</v>
      </c>
      <c r="H290" s="22">
        <v>83.726100000000002</v>
      </c>
      <c r="I290" s="22">
        <v>5.7156400000000003E-2</v>
      </c>
      <c r="J290" s="22">
        <v>280</v>
      </c>
      <c r="K290" s="22">
        <v>8.2763699999999996E-2</v>
      </c>
      <c r="L290">
        <f t="shared" si="48"/>
        <v>-57.156400000000005</v>
      </c>
      <c r="M290">
        <f t="shared" si="49"/>
        <v>-24.009917573600003</v>
      </c>
      <c r="N290" s="9"/>
      <c r="O290" s="22">
        <v>1.3099700000000001</v>
      </c>
      <c r="P290" s="22">
        <v>155.94499999999999</v>
      </c>
      <c r="Q290" s="22">
        <v>-1.7373699999999999E-2</v>
      </c>
      <c r="R290" s="22">
        <v>280</v>
      </c>
      <c r="S290" s="22">
        <v>1.3091999999999999</v>
      </c>
      <c r="T290">
        <f t="shared" si="50"/>
        <v>17.373699999999999</v>
      </c>
      <c r="U290">
        <f t="shared" si="51"/>
        <v>22.759025788999999</v>
      </c>
      <c r="X290" s="9"/>
      <c r="Y290" s="22">
        <v>0.420074</v>
      </c>
      <c r="Z290" s="22">
        <v>214.732</v>
      </c>
      <c r="AA290" s="22">
        <v>-1.7852799999999999E-2</v>
      </c>
      <c r="AB290" s="22">
        <v>280</v>
      </c>
      <c r="AC290" s="22">
        <v>0.41940300000000003</v>
      </c>
      <c r="AD290">
        <f t="shared" si="52"/>
        <v>17.852799999999998</v>
      </c>
      <c r="AE290">
        <f t="shared" si="53"/>
        <v>7.499497107199999</v>
      </c>
      <c r="AF290" s="9"/>
      <c r="AG290" s="22">
        <v>1.3099700000000001</v>
      </c>
      <c r="AH290" s="22">
        <v>306.75099999999998</v>
      </c>
      <c r="AI290" s="22">
        <v>-1.7294299999999999E-2</v>
      </c>
      <c r="AJ290" s="22">
        <v>280</v>
      </c>
      <c r="AK290" s="22">
        <v>1.3091999999999999</v>
      </c>
      <c r="AL290">
        <f t="shared" si="54"/>
        <v>17.2943</v>
      </c>
      <c r="AM290">
        <f t="shared" si="55"/>
        <v>22.655014171000001</v>
      </c>
      <c r="AP290" s="9"/>
      <c r="AQ290" s="22">
        <v>0.420074</v>
      </c>
      <c r="AR290" s="22">
        <v>402.71300000000002</v>
      </c>
      <c r="AS290" s="22">
        <v>-1.77643E-2</v>
      </c>
      <c r="AT290" s="22">
        <v>280</v>
      </c>
      <c r="AU290" s="22">
        <v>0.41928100000000001</v>
      </c>
      <c r="AV290">
        <f t="shared" si="56"/>
        <v>17.764299999999999</v>
      </c>
      <c r="AW290">
        <f t="shared" si="57"/>
        <v>7.4623205581999992</v>
      </c>
      <c r="AX290" s="9"/>
      <c r="AY290" s="22">
        <v>1.3099700000000001</v>
      </c>
      <c r="AZ290" s="22">
        <v>496.98200000000003</v>
      </c>
      <c r="BA290" s="22">
        <v>-1.72607E-2</v>
      </c>
      <c r="BB290" s="22">
        <v>280</v>
      </c>
      <c r="BC290" s="22">
        <v>1.3091999999999999</v>
      </c>
      <c r="BD290">
        <f t="shared" si="58"/>
        <v>17.2607</v>
      </c>
      <c r="BE290">
        <f t="shared" si="59"/>
        <v>22.610999179</v>
      </c>
    </row>
    <row r="291" spans="6:57">
      <c r="F291" s="9"/>
      <c r="G291" s="22">
        <v>0.41503899999999999</v>
      </c>
      <c r="H291" s="22">
        <v>83.826800000000006</v>
      </c>
      <c r="I291" s="22">
        <v>5.7153299999999997E-2</v>
      </c>
      <c r="J291" s="22">
        <v>281</v>
      </c>
      <c r="K291" s="22">
        <v>8.2672099999999998E-2</v>
      </c>
      <c r="L291">
        <f t="shared" si="48"/>
        <v>-57.153299999999994</v>
      </c>
      <c r="M291">
        <f t="shared" si="49"/>
        <v>-23.720848478699999</v>
      </c>
      <c r="N291" s="9"/>
      <c r="O291" s="22">
        <v>1.3149999999999999</v>
      </c>
      <c r="P291" s="22">
        <v>156.04599999999999</v>
      </c>
      <c r="Q291" s="22">
        <v>-1.7376699999999998E-2</v>
      </c>
      <c r="R291" s="22">
        <v>281</v>
      </c>
      <c r="S291" s="22">
        <v>1.31134</v>
      </c>
      <c r="T291">
        <f t="shared" si="50"/>
        <v>17.3767</v>
      </c>
      <c r="U291">
        <f t="shared" si="51"/>
        <v>22.850360499999997</v>
      </c>
      <c r="X291" s="9"/>
      <c r="Y291" s="22">
        <v>0.41503899999999999</v>
      </c>
      <c r="Z291" s="22">
        <v>214.833</v>
      </c>
      <c r="AA291" s="22">
        <v>-1.78467E-2</v>
      </c>
      <c r="AB291" s="22">
        <v>281</v>
      </c>
      <c r="AC291" s="22">
        <v>0.41467300000000001</v>
      </c>
      <c r="AD291">
        <f t="shared" si="52"/>
        <v>17.846699999999998</v>
      </c>
      <c r="AE291">
        <f t="shared" si="53"/>
        <v>7.4070765212999996</v>
      </c>
      <c r="AF291" s="9"/>
      <c r="AG291" s="22">
        <v>1.3149999999999999</v>
      </c>
      <c r="AH291" s="22">
        <v>306.851</v>
      </c>
      <c r="AI291" s="22">
        <v>-1.7291299999999999E-2</v>
      </c>
      <c r="AJ291" s="22">
        <v>281</v>
      </c>
      <c r="AK291" s="22">
        <v>1.31409</v>
      </c>
      <c r="AL291">
        <f t="shared" si="54"/>
        <v>17.2913</v>
      </c>
      <c r="AM291">
        <f t="shared" si="55"/>
        <v>22.738059499999999</v>
      </c>
      <c r="AP291" s="9"/>
      <c r="AQ291" s="22">
        <v>0.41503899999999999</v>
      </c>
      <c r="AR291" s="22">
        <v>402.81400000000002</v>
      </c>
      <c r="AS291" s="22">
        <v>-1.7761200000000001E-2</v>
      </c>
      <c r="AT291" s="22">
        <v>281</v>
      </c>
      <c r="AU291" s="22">
        <v>0.41479500000000002</v>
      </c>
      <c r="AV291">
        <f t="shared" si="56"/>
        <v>17.761200000000002</v>
      </c>
      <c r="AW291">
        <f t="shared" si="57"/>
        <v>7.3715906868000012</v>
      </c>
      <c r="AX291" s="9"/>
      <c r="AY291" s="22">
        <v>1.3149999999999999</v>
      </c>
      <c r="AZ291" s="22">
        <v>497.08300000000003</v>
      </c>
      <c r="BA291" s="22">
        <v>-1.72607E-2</v>
      </c>
      <c r="BB291" s="22">
        <v>281</v>
      </c>
      <c r="BC291" s="22">
        <v>1.3143899999999999</v>
      </c>
      <c r="BD291">
        <f t="shared" si="58"/>
        <v>17.2607</v>
      </c>
      <c r="BE291">
        <f t="shared" si="59"/>
        <v>22.697820499999999</v>
      </c>
    </row>
    <row r="292" spans="6:57">
      <c r="F292" s="9"/>
      <c r="G292" s="22">
        <v>0.41000399999999998</v>
      </c>
      <c r="H292" s="22">
        <v>83.927499999999995</v>
      </c>
      <c r="I292" s="22">
        <v>5.7132000000000002E-2</v>
      </c>
      <c r="J292" s="22">
        <v>282</v>
      </c>
      <c r="K292" s="22">
        <v>8.2733200000000007E-2</v>
      </c>
      <c r="L292">
        <f t="shared" si="48"/>
        <v>-57.132000000000005</v>
      </c>
      <c r="M292">
        <f t="shared" si="49"/>
        <v>-23.424348527999999</v>
      </c>
      <c r="N292" s="9"/>
      <c r="O292" s="22">
        <v>1.3200400000000001</v>
      </c>
      <c r="P292" s="22">
        <v>156.14699999999999</v>
      </c>
      <c r="Q292" s="22">
        <v>-1.7376699999999998E-2</v>
      </c>
      <c r="R292" s="22">
        <v>282</v>
      </c>
      <c r="S292" s="22">
        <v>1.31958</v>
      </c>
      <c r="T292">
        <f t="shared" si="50"/>
        <v>17.3767</v>
      </c>
      <c r="U292">
        <f t="shared" si="51"/>
        <v>22.937939068000002</v>
      </c>
      <c r="X292" s="9"/>
      <c r="Y292" s="22">
        <v>0.41000399999999998</v>
      </c>
      <c r="Z292" s="22">
        <v>214.934</v>
      </c>
      <c r="AA292" s="22">
        <v>-1.7852799999999999E-2</v>
      </c>
      <c r="AB292" s="22">
        <v>282</v>
      </c>
      <c r="AC292" s="22">
        <v>0.409576</v>
      </c>
      <c r="AD292">
        <f t="shared" si="52"/>
        <v>17.852799999999998</v>
      </c>
      <c r="AE292">
        <f t="shared" si="53"/>
        <v>7.3197194111999986</v>
      </c>
      <c r="AF292" s="9"/>
      <c r="AG292" s="22">
        <v>1.3200400000000001</v>
      </c>
      <c r="AH292" s="22">
        <v>306.952</v>
      </c>
      <c r="AI292" s="22">
        <v>-1.7282100000000002E-2</v>
      </c>
      <c r="AJ292" s="22">
        <v>282</v>
      </c>
      <c r="AK292" s="22">
        <v>1.31958</v>
      </c>
      <c r="AL292">
        <f t="shared" si="54"/>
        <v>17.282100000000003</v>
      </c>
      <c r="AM292">
        <f t="shared" si="55"/>
        <v>22.813063284000005</v>
      </c>
      <c r="AP292" s="9"/>
      <c r="AQ292" s="22">
        <v>0.41000399999999998</v>
      </c>
      <c r="AR292" s="22">
        <v>402.91500000000002</v>
      </c>
      <c r="AS292" s="22">
        <v>-1.7761200000000001E-2</v>
      </c>
      <c r="AT292" s="22">
        <v>282</v>
      </c>
      <c r="AU292" s="22">
        <v>0.409576</v>
      </c>
      <c r="AV292">
        <f t="shared" si="56"/>
        <v>17.761200000000002</v>
      </c>
      <c r="AW292">
        <f t="shared" si="57"/>
        <v>7.2821630448000008</v>
      </c>
      <c r="AX292" s="9"/>
      <c r="AY292" s="22">
        <v>1.3200400000000001</v>
      </c>
      <c r="AZ292" s="22">
        <v>497.18299999999999</v>
      </c>
      <c r="BA292" s="22">
        <v>-1.7251599999999999E-2</v>
      </c>
      <c r="BB292" s="22">
        <v>282</v>
      </c>
      <c r="BC292" s="22">
        <v>1.3192699999999999</v>
      </c>
      <c r="BD292">
        <f t="shared" si="58"/>
        <v>17.2516</v>
      </c>
      <c r="BE292">
        <f t="shared" si="59"/>
        <v>22.772802064</v>
      </c>
    </row>
    <row r="293" spans="6:57">
      <c r="F293" s="9"/>
      <c r="G293" s="22">
        <v>0.40496799999999999</v>
      </c>
      <c r="H293" s="22">
        <v>84.028300000000002</v>
      </c>
      <c r="I293" s="22">
        <v>5.7153299999999997E-2</v>
      </c>
      <c r="J293" s="22">
        <v>283</v>
      </c>
      <c r="K293" s="22">
        <v>8.2733200000000007E-2</v>
      </c>
      <c r="L293">
        <f t="shared" si="48"/>
        <v>-57.153299999999994</v>
      </c>
      <c r="M293">
        <f t="shared" si="49"/>
        <v>-23.145257594399997</v>
      </c>
      <c r="N293" s="9"/>
      <c r="O293" s="22">
        <v>1.32507</v>
      </c>
      <c r="P293" s="22">
        <v>156.24700000000001</v>
      </c>
      <c r="Q293" s="22">
        <v>-1.73706E-2</v>
      </c>
      <c r="R293" s="22">
        <v>283</v>
      </c>
      <c r="S293" s="22">
        <v>1.32385</v>
      </c>
      <c r="T293">
        <f t="shared" si="50"/>
        <v>17.3706</v>
      </c>
      <c r="U293">
        <f t="shared" si="51"/>
        <v>23.017260942</v>
      </c>
      <c r="X293" s="9"/>
      <c r="Y293" s="22">
        <v>0.40496799999999999</v>
      </c>
      <c r="Z293" s="22">
        <v>215.03399999999999</v>
      </c>
      <c r="AA293" s="22">
        <v>-1.78589E-2</v>
      </c>
      <c r="AB293" s="22">
        <v>283</v>
      </c>
      <c r="AC293" s="22">
        <v>0.40411399999999997</v>
      </c>
      <c r="AD293">
        <f t="shared" si="52"/>
        <v>17.858900000000002</v>
      </c>
      <c r="AE293">
        <f t="shared" si="53"/>
        <v>7.2322830152000011</v>
      </c>
      <c r="AF293" s="9"/>
      <c r="AG293" s="22">
        <v>1.32507</v>
      </c>
      <c r="AH293" s="22">
        <v>307.053</v>
      </c>
      <c r="AI293" s="22">
        <v>-1.72882E-2</v>
      </c>
      <c r="AJ293" s="22">
        <v>283</v>
      </c>
      <c r="AK293" s="22">
        <v>1.32385</v>
      </c>
      <c r="AL293">
        <f t="shared" si="54"/>
        <v>17.2882</v>
      </c>
      <c r="AM293">
        <f t="shared" si="55"/>
        <v>22.908075174</v>
      </c>
      <c r="AP293" s="9"/>
      <c r="AQ293" s="22">
        <v>0.40496799999999999</v>
      </c>
      <c r="AR293" s="22">
        <v>403.01499999999999</v>
      </c>
      <c r="AS293" s="22">
        <v>-1.77673E-2</v>
      </c>
      <c r="AT293" s="22">
        <v>283</v>
      </c>
      <c r="AU293" s="22">
        <v>0.40475499999999998</v>
      </c>
      <c r="AV293">
        <f t="shared" si="56"/>
        <v>17.767299999999999</v>
      </c>
      <c r="AW293">
        <f t="shared" si="57"/>
        <v>7.195187946399999</v>
      </c>
      <c r="AX293" s="9"/>
      <c r="AY293" s="22">
        <v>1.32507</v>
      </c>
      <c r="AZ293" s="22">
        <v>497.28399999999999</v>
      </c>
      <c r="BA293" s="22">
        <v>-1.7257700000000001E-2</v>
      </c>
      <c r="BB293" s="22">
        <v>283</v>
      </c>
      <c r="BC293" s="22">
        <v>1.32446</v>
      </c>
      <c r="BD293">
        <f t="shared" si="58"/>
        <v>17.2577</v>
      </c>
      <c r="BE293">
        <f t="shared" si="59"/>
        <v>22.867660538999999</v>
      </c>
    </row>
    <row r="294" spans="6:57">
      <c r="F294" s="9"/>
      <c r="G294" s="22">
        <v>0.39993299999999998</v>
      </c>
      <c r="H294" s="22">
        <v>84.129000000000005</v>
      </c>
      <c r="I294" s="22">
        <v>5.7119799999999998E-2</v>
      </c>
      <c r="J294" s="22">
        <v>284</v>
      </c>
      <c r="K294" s="22">
        <v>8.2733200000000007E-2</v>
      </c>
      <c r="L294">
        <f t="shared" si="48"/>
        <v>-57.119799999999998</v>
      </c>
      <c r="M294">
        <f t="shared" si="49"/>
        <v>-22.844092973399999</v>
      </c>
      <c r="N294" s="9"/>
      <c r="O294" s="22">
        <v>1.3301099999999999</v>
      </c>
      <c r="P294" s="22">
        <v>156.34800000000001</v>
      </c>
      <c r="Q294" s="22">
        <v>-1.7361499999999998E-2</v>
      </c>
      <c r="R294" s="22">
        <v>284</v>
      </c>
      <c r="S294" s="22">
        <v>1.32874</v>
      </c>
      <c r="T294">
        <f t="shared" si="50"/>
        <v>17.361499999999999</v>
      </c>
      <c r="U294">
        <f t="shared" si="51"/>
        <v>23.092704764999997</v>
      </c>
      <c r="X294" s="9"/>
      <c r="Y294" s="22">
        <v>0.39993299999999998</v>
      </c>
      <c r="Z294" s="22">
        <v>215.13499999999999</v>
      </c>
      <c r="AA294" s="22">
        <v>-1.7855800000000002E-2</v>
      </c>
      <c r="AB294" s="22">
        <v>284</v>
      </c>
      <c r="AC294" s="22">
        <v>0.39926099999999998</v>
      </c>
      <c r="AD294">
        <f t="shared" si="52"/>
        <v>17.855800000000002</v>
      </c>
      <c r="AE294">
        <f t="shared" si="53"/>
        <v>7.1411236614000009</v>
      </c>
      <c r="AF294" s="9"/>
      <c r="AG294" s="22">
        <v>1.3301099999999999</v>
      </c>
      <c r="AH294" s="22">
        <v>307.154</v>
      </c>
      <c r="AI294" s="22">
        <v>-1.7272900000000001E-2</v>
      </c>
      <c r="AJ294" s="22">
        <v>284</v>
      </c>
      <c r="AK294" s="22">
        <v>1.32904</v>
      </c>
      <c r="AL294">
        <f t="shared" si="54"/>
        <v>17.2729</v>
      </c>
      <c r="AM294">
        <f t="shared" si="55"/>
        <v>22.974857018999998</v>
      </c>
      <c r="AP294" s="9"/>
      <c r="AQ294" s="22">
        <v>0.39993299999999998</v>
      </c>
      <c r="AR294" s="22">
        <v>403.11599999999999</v>
      </c>
      <c r="AS294" s="22">
        <v>-1.7776500000000001E-2</v>
      </c>
      <c r="AT294" s="22">
        <v>284</v>
      </c>
      <c r="AU294" s="22">
        <v>0.39929199999999998</v>
      </c>
      <c r="AV294">
        <f t="shared" si="56"/>
        <v>17.776500000000002</v>
      </c>
      <c r="AW294">
        <f t="shared" si="57"/>
        <v>7.1094089745000009</v>
      </c>
      <c r="AX294" s="9"/>
      <c r="AY294" s="22">
        <v>1.3301099999999999</v>
      </c>
      <c r="AZ294" s="22">
        <v>497.38499999999999</v>
      </c>
      <c r="BA294" s="22">
        <v>-1.72485E-2</v>
      </c>
      <c r="BB294" s="22">
        <v>284</v>
      </c>
      <c r="BC294" s="22">
        <v>1.32935</v>
      </c>
      <c r="BD294">
        <f t="shared" si="58"/>
        <v>17.2485</v>
      </c>
      <c r="BE294">
        <f t="shared" si="59"/>
        <v>22.942402334999997</v>
      </c>
    </row>
    <row r="295" spans="6:57">
      <c r="F295" s="9"/>
      <c r="G295" s="22">
        <v>0.394897</v>
      </c>
      <c r="H295" s="22">
        <v>84.229699999999994</v>
      </c>
      <c r="I295" s="22">
        <v>5.7101399999999997E-2</v>
      </c>
      <c r="J295" s="22">
        <v>285</v>
      </c>
      <c r="K295" s="22">
        <v>8.2794199999999998E-2</v>
      </c>
      <c r="L295">
        <f t="shared" si="48"/>
        <v>-57.101399999999998</v>
      </c>
      <c r="M295">
        <f t="shared" si="49"/>
        <v>-22.549171555799997</v>
      </c>
      <c r="N295" s="9"/>
      <c r="O295" s="22">
        <v>1.33514</v>
      </c>
      <c r="P295" s="22">
        <v>156.44900000000001</v>
      </c>
      <c r="Q295" s="22">
        <v>-1.73706E-2</v>
      </c>
      <c r="R295" s="22">
        <v>285</v>
      </c>
      <c r="S295" s="22">
        <v>1.33392</v>
      </c>
      <c r="T295">
        <f t="shared" si="50"/>
        <v>17.3706</v>
      </c>
      <c r="U295">
        <f t="shared" si="51"/>
        <v>23.192182884000001</v>
      </c>
      <c r="X295" s="9"/>
      <c r="Y295" s="22">
        <v>0.394897</v>
      </c>
      <c r="Z295" s="22">
        <v>215.23599999999999</v>
      </c>
      <c r="AA295" s="22">
        <v>-1.78589E-2</v>
      </c>
      <c r="AB295" s="22">
        <v>285</v>
      </c>
      <c r="AC295" s="22">
        <v>0.394287</v>
      </c>
      <c r="AD295">
        <f t="shared" si="52"/>
        <v>17.858900000000002</v>
      </c>
      <c r="AE295">
        <f t="shared" si="53"/>
        <v>7.0524260333000006</v>
      </c>
      <c r="AF295" s="9"/>
      <c r="AG295" s="22">
        <v>1.33514</v>
      </c>
      <c r="AH295" s="22">
        <v>307.25400000000002</v>
      </c>
      <c r="AI295" s="22">
        <v>-1.7272900000000001E-2</v>
      </c>
      <c r="AJ295" s="22">
        <v>285</v>
      </c>
      <c r="AK295" s="22">
        <v>1.33514</v>
      </c>
      <c r="AL295">
        <f t="shared" si="54"/>
        <v>17.2729</v>
      </c>
      <c r="AM295">
        <f t="shared" si="55"/>
        <v>23.061739706000001</v>
      </c>
      <c r="AP295" s="9"/>
      <c r="AQ295" s="22">
        <v>0.394897</v>
      </c>
      <c r="AR295" s="22">
        <v>403.21699999999998</v>
      </c>
      <c r="AS295" s="22">
        <v>-1.7773400000000002E-2</v>
      </c>
      <c r="AT295" s="22">
        <v>285</v>
      </c>
      <c r="AU295" s="22">
        <v>0.39425700000000002</v>
      </c>
      <c r="AV295">
        <f t="shared" si="56"/>
        <v>17.773400000000002</v>
      </c>
      <c r="AW295">
        <f t="shared" si="57"/>
        <v>7.0186623398000005</v>
      </c>
      <c r="AX295" s="9"/>
      <c r="AY295" s="22">
        <v>1.33514</v>
      </c>
      <c r="AZ295" s="22">
        <v>497.48500000000001</v>
      </c>
      <c r="BA295" s="22">
        <v>-1.7242400000000001E-2</v>
      </c>
      <c r="BB295" s="22">
        <v>285</v>
      </c>
      <c r="BC295" s="22">
        <v>1.33453</v>
      </c>
      <c r="BD295">
        <f t="shared" si="58"/>
        <v>17.2424</v>
      </c>
      <c r="BE295">
        <f t="shared" si="59"/>
        <v>23.021017936</v>
      </c>
    </row>
    <row r="296" spans="6:57">
      <c r="F296" s="9"/>
      <c r="G296" s="22">
        <v>0.38986199999999999</v>
      </c>
      <c r="H296" s="22">
        <v>84.330399999999997</v>
      </c>
      <c r="I296" s="22">
        <v>5.7095300000000002E-2</v>
      </c>
      <c r="J296" s="22">
        <v>286</v>
      </c>
      <c r="K296" s="22">
        <v>8.2733200000000007E-2</v>
      </c>
      <c r="L296">
        <f t="shared" si="48"/>
        <v>-57.095300000000002</v>
      </c>
      <c r="M296">
        <f t="shared" si="49"/>
        <v>-22.2592878486</v>
      </c>
      <c r="N296" s="9"/>
      <c r="O296" s="22">
        <v>1.3401799999999999</v>
      </c>
      <c r="P296" s="22">
        <v>156.55000000000001</v>
      </c>
      <c r="Q296" s="22">
        <v>-1.7352300000000001E-2</v>
      </c>
      <c r="R296" s="22">
        <v>286</v>
      </c>
      <c r="S296" s="22">
        <v>1.34216</v>
      </c>
      <c r="T296">
        <f t="shared" si="50"/>
        <v>17.3523</v>
      </c>
      <c r="U296">
        <f t="shared" si="51"/>
        <v>23.255205413999999</v>
      </c>
      <c r="X296" s="9"/>
      <c r="Y296" s="22">
        <v>0.38986199999999999</v>
      </c>
      <c r="Z296" s="22">
        <v>215.33600000000001</v>
      </c>
      <c r="AA296" s="22">
        <v>-1.7871100000000001E-2</v>
      </c>
      <c r="AB296" s="22">
        <v>286</v>
      </c>
      <c r="AC296" s="22">
        <v>0.38909899999999997</v>
      </c>
      <c r="AD296">
        <f t="shared" si="52"/>
        <v>17.871100000000002</v>
      </c>
      <c r="AE296">
        <f t="shared" si="53"/>
        <v>6.9672627882000002</v>
      </c>
      <c r="AF296" s="9"/>
      <c r="AG296" s="22">
        <v>1.3401799999999999</v>
      </c>
      <c r="AH296" s="22">
        <v>307.35500000000002</v>
      </c>
      <c r="AI296" s="22">
        <v>-1.7266799999999999E-2</v>
      </c>
      <c r="AJ296" s="22">
        <v>286</v>
      </c>
      <c r="AK296" s="22">
        <v>1.3394200000000001</v>
      </c>
      <c r="AL296">
        <f t="shared" si="54"/>
        <v>17.2668</v>
      </c>
      <c r="AM296">
        <f t="shared" si="55"/>
        <v>23.140620024</v>
      </c>
      <c r="AP296" s="9"/>
      <c r="AQ296" s="22">
        <v>0.38986199999999999</v>
      </c>
      <c r="AR296" s="22">
        <v>403.31799999999998</v>
      </c>
      <c r="AS296" s="22">
        <v>-1.7785599999999999E-2</v>
      </c>
      <c r="AT296" s="22">
        <v>286</v>
      </c>
      <c r="AU296" s="22">
        <v>0.38946500000000001</v>
      </c>
      <c r="AV296">
        <f t="shared" si="56"/>
        <v>17.785599999999999</v>
      </c>
      <c r="AW296">
        <f t="shared" si="57"/>
        <v>6.9339295871999989</v>
      </c>
      <c r="AX296" s="9"/>
      <c r="AY296" s="22">
        <v>1.3401799999999999</v>
      </c>
      <c r="AZ296" s="22">
        <v>497.58600000000001</v>
      </c>
      <c r="BA296" s="22">
        <v>-1.72485E-2</v>
      </c>
      <c r="BB296" s="22">
        <v>286</v>
      </c>
      <c r="BC296" s="22">
        <v>1.3394200000000001</v>
      </c>
      <c r="BD296">
        <f t="shared" si="58"/>
        <v>17.2485</v>
      </c>
      <c r="BE296">
        <f t="shared" si="59"/>
        <v>23.11609473</v>
      </c>
    </row>
    <row r="297" spans="6:57">
      <c r="F297" s="9"/>
      <c r="G297" s="22">
        <v>0.38482699999999997</v>
      </c>
      <c r="H297" s="22">
        <v>84.431100000000001</v>
      </c>
      <c r="I297" s="22">
        <v>5.70313E-2</v>
      </c>
      <c r="J297" s="22">
        <v>287</v>
      </c>
      <c r="K297" s="22">
        <v>8.2794199999999998E-2</v>
      </c>
      <c r="L297">
        <f t="shared" si="48"/>
        <v>-57.031300000000002</v>
      </c>
      <c r="M297">
        <f t="shared" si="49"/>
        <v>-21.947184085099998</v>
      </c>
      <c r="N297" s="9"/>
      <c r="O297" s="22">
        <v>1.34521</v>
      </c>
      <c r="P297" s="22">
        <v>156.65</v>
      </c>
      <c r="Q297" s="22">
        <v>-1.7349199999999999E-2</v>
      </c>
      <c r="R297" s="22">
        <v>287</v>
      </c>
      <c r="S297" s="22">
        <v>1.3436900000000001</v>
      </c>
      <c r="T297">
        <f t="shared" si="50"/>
        <v>17.3492</v>
      </c>
      <c r="U297">
        <f t="shared" si="51"/>
        <v>23.338317331999999</v>
      </c>
      <c r="X297" s="9"/>
      <c r="Y297" s="22">
        <v>0.38482699999999997</v>
      </c>
      <c r="Z297" s="22">
        <v>215.43700000000001</v>
      </c>
      <c r="AA297" s="22">
        <v>-1.7855800000000002E-2</v>
      </c>
      <c r="AB297" s="22">
        <v>287</v>
      </c>
      <c r="AC297" s="22">
        <v>0.38458300000000001</v>
      </c>
      <c r="AD297">
        <f t="shared" si="52"/>
        <v>17.855800000000002</v>
      </c>
      <c r="AE297">
        <f t="shared" si="53"/>
        <v>6.8713939466000005</v>
      </c>
      <c r="AF297" s="9"/>
      <c r="AG297" s="22">
        <v>1.34521</v>
      </c>
      <c r="AH297" s="22">
        <v>307.45600000000002</v>
      </c>
      <c r="AI297" s="22">
        <v>-1.7263799999999999E-2</v>
      </c>
      <c r="AJ297" s="22">
        <v>287</v>
      </c>
      <c r="AK297" s="22">
        <v>1.3443000000000001</v>
      </c>
      <c r="AL297">
        <f t="shared" si="54"/>
        <v>17.2638</v>
      </c>
      <c r="AM297">
        <f t="shared" si="55"/>
        <v>23.223436398</v>
      </c>
      <c r="AP297" s="9"/>
      <c r="AQ297" s="22">
        <v>0.38482699999999997</v>
      </c>
      <c r="AR297" s="22">
        <v>403.41800000000001</v>
      </c>
      <c r="AS297" s="22">
        <v>-1.7785599999999999E-2</v>
      </c>
      <c r="AT297" s="22">
        <v>287</v>
      </c>
      <c r="AU297" s="22">
        <v>0.38418600000000003</v>
      </c>
      <c r="AV297">
        <f t="shared" si="56"/>
        <v>17.785599999999999</v>
      </c>
      <c r="AW297">
        <f t="shared" si="57"/>
        <v>6.8443790911999987</v>
      </c>
      <c r="AX297" s="9"/>
      <c r="AY297" s="22">
        <v>1.34521</v>
      </c>
      <c r="AZ297" s="22">
        <v>497.68700000000001</v>
      </c>
      <c r="BA297" s="22">
        <v>-1.72363E-2</v>
      </c>
      <c r="BB297" s="22">
        <v>287</v>
      </c>
      <c r="BC297" s="22">
        <v>1.34491</v>
      </c>
      <c r="BD297">
        <f t="shared" si="58"/>
        <v>17.2363</v>
      </c>
      <c r="BE297">
        <f t="shared" si="59"/>
        <v>23.186443123</v>
      </c>
    </row>
    <row r="298" spans="6:57">
      <c r="F298" s="9"/>
      <c r="G298" s="22">
        <v>0.37979099999999999</v>
      </c>
      <c r="H298" s="22">
        <v>84.531800000000004</v>
      </c>
      <c r="I298" s="22">
        <v>5.7019E-2</v>
      </c>
      <c r="J298" s="22">
        <v>288</v>
      </c>
      <c r="K298" s="22">
        <v>8.2763699999999996E-2</v>
      </c>
      <c r="L298">
        <f t="shared" si="48"/>
        <v>-57.018999999999998</v>
      </c>
      <c r="M298">
        <f t="shared" si="49"/>
        <v>-21.655303028999999</v>
      </c>
      <c r="N298" s="9"/>
      <c r="O298" s="22">
        <v>1.35025</v>
      </c>
      <c r="P298" s="22">
        <v>156.751</v>
      </c>
      <c r="Q298" s="22">
        <v>-1.73431E-2</v>
      </c>
      <c r="R298" s="22">
        <v>288</v>
      </c>
      <c r="S298" s="22">
        <v>1.3494900000000001</v>
      </c>
      <c r="T298">
        <f t="shared" si="50"/>
        <v>17.3431</v>
      </c>
      <c r="U298">
        <f t="shared" si="51"/>
        <v>23.417520775</v>
      </c>
      <c r="X298" s="9"/>
      <c r="Y298" s="22">
        <v>0.37979099999999999</v>
      </c>
      <c r="Z298" s="22">
        <v>215.53800000000001</v>
      </c>
      <c r="AA298" s="22">
        <v>-1.7867999999999998E-2</v>
      </c>
      <c r="AB298" s="22">
        <v>288</v>
      </c>
      <c r="AC298" s="22">
        <v>0.37924200000000002</v>
      </c>
      <c r="AD298">
        <f t="shared" si="52"/>
        <v>17.867999999999999</v>
      </c>
      <c r="AE298">
        <f t="shared" si="53"/>
        <v>6.786105587999999</v>
      </c>
      <c r="AF298" s="9"/>
      <c r="AG298" s="22">
        <v>1.35025</v>
      </c>
      <c r="AH298" s="22">
        <v>307.55599999999998</v>
      </c>
      <c r="AI298" s="22">
        <v>-1.7257700000000001E-2</v>
      </c>
      <c r="AJ298" s="22">
        <v>288</v>
      </c>
      <c r="AK298" s="22">
        <v>1.3494900000000001</v>
      </c>
      <c r="AL298">
        <f t="shared" si="54"/>
        <v>17.2577</v>
      </c>
      <c r="AM298">
        <f t="shared" si="55"/>
        <v>23.302209424999997</v>
      </c>
      <c r="AP298" s="9"/>
      <c r="AQ298" s="22">
        <v>0.37979099999999999</v>
      </c>
      <c r="AR298" s="22">
        <v>403.51900000000001</v>
      </c>
      <c r="AS298" s="22">
        <v>-1.7785599999999999E-2</v>
      </c>
      <c r="AT298" s="22">
        <v>288</v>
      </c>
      <c r="AU298" s="22">
        <v>0.37912000000000001</v>
      </c>
      <c r="AV298">
        <f t="shared" si="56"/>
        <v>17.785599999999999</v>
      </c>
      <c r="AW298">
        <f t="shared" si="57"/>
        <v>6.7548108095999995</v>
      </c>
      <c r="AX298" s="9"/>
      <c r="AY298" s="22">
        <v>1.35025</v>
      </c>
      <c r="AZ298" s="22">
        <v>497.78800000000001</v>
      </c>
      <c r="BA298" s="22">
        <v>-1.72363E-2</v>
      </c>
      <c r="BB298" s="22">
        <v>288</v>
      </c>
      <c r="BC298" s="22">
        <v>1.34918</v>
      </c>
      <c r="BD298">
        <f t="shared" si="58"/>
        <v>17.2363</v>
      </c>
      <c r="BE298">
        <f t="shared" si="59"/>
        <v>23.273314074999998</v>
      </c>
    </row>
    <row r="299" spans="6:57">
      <c r="F299" s="9"/>
      <c r="G299" s="22">
        <v>0.37475599999999998</v>
      </c>
      <c r="H299" s="22">
        <v>84.632499999999993</v>
      </c>
      <c r="I299" s="22">
        <v>5.6997699999999998E-2</v>
      </c>
      <c r="J299" s="22">
        <v>289</v>
      </c>
      <c r="K299" s="22">
        <v>8.2794199999999998E-2</v>
      </c>
      <c r="L299">
        <f t="shared" si="48"/>
        <v>-56.997700000000002</v>
      </c>
      <c r="M299">
        <f t="shared" si="49"/>
        <v>-21.360230061199999</v>
      </c>
      <c r="N299" s="9"/>
      <c r="O299" s="22">
        <v>1.3552900000000001</v>
      </c>
      <c r="P299" s="22">
        <v>156.852</v>
      </c>
      <c r="Q299" s="22">
        <v>-1.7340100000000001E-2</v>
      </c>
      <c r="R299" s="22">
        <v>289</v>
      </c>
      <c r="S299" s="22">
        <v>1.3543700000000001</v>
      </c>
      <c r="T299">
        <f t="shared" si="50"/>
        <v>17.3401</v>
      </c>
      <c r="U299">
        <f t="shared" si="51"/>
        <v>23.500864129</v>
      </c>
      <c r="X299" s="9"/>
      <c r="Y299" s="22">
        <v>0.37475599999999998</v>
      </c>
      <c r="Z299" s="22">
        <v>215.63900000000001</v>
      </c>
      <c r="AA299" s="22">
        <v>-1.7852799999999999E-2</v>
      </c>
      <c r="AB299" s="22">
        <v>289</v>
      </c>
      <c r="AC299" s="22">
        <v>0.37396200000000002</v>
      </c>
      <c r="AD299">
        <f t="shared" si="52"/>
        <v>17.852799999999998</v>
      </c>
      <c r="AE299">
        <f t="shared" si="53"/>
        <v>6.6904439167999987</v>
      </c>
      <c r="AF299" s="9"/>
      <c r="AG299" s="22">
        <v>1.3552900000000001</v>
      </c>
      <c r="AH299" s="22">
        <v>307.65699999999998</v>
      </c>
      <c r="AI299" s="22">
        <v>-1.7257700000000001E-2</v>
      </c>
      <c r="AJ299" s="22">
        <v>289</v>
      </c>
      <c r="AK299" s="22">
        <v>1.3546800000000001</v>
      </c>
      <c r="AL299">
        <f t="shared" si="54"/>
        <v>17.2577</v>
      </c>
      <c r="AM299">
        <f t="shared" si="55"/>
        <v>23.389188233000002</v>
      </c>
      <c r="AP299" s="9"/>
      <c r="AQ299" s="22">
        <v>0.37475599999999998</v>
      </c>
      <c r="AR299" s="22">
        <v>403.62</v>
      </c>
      <c r="AS299" s="22">
        <v>-1.77948E-2</v>
      </c>
      <c r="AT299" s="22">
        <v>289</v>
      </c>
      <c r="AU299" s="22">
        <v>0.37347399999999997</v>
      </c>
      <c r="AV299">
        <f t="shared" si="56"/>
        <v>17.794799999999999</v>
      </c>
      <c r="AW299">
        <f t="shared" si="57"/>
        <v>6.6687080687999991</v>
      </c>
      <c r="AX299" s="9"/>
      <c r="AY299" s="22">
        <v>1.3552900000000001</v>
      </c>
      <c r="AZ299" s="22">
        <v>497.88799999999998</v>
      </c>
      <c r="BA299" s="22">
        <v>-1.7239399999999998E-2</v>
      </c>
      <c r="BB299" s="22">
        <v>289</v>
      </c>
      <c r="BC299" s="22">
        <v>1.35406</v>
      </c>
      <c r="BD299">
        <f t="shared" si="58"/>
        <v>17.2394</v>
      </c>
      <c r="BE299">
        <f t="shared" si="59"/>
        <v>23.364386426000003</v>
      </c>
    </row>
    <row r="300" spans="6:57">
      <c r="F300" s="9"/>
      <c r="G300" s="22">
        <v>0.36971999999999999</v>
      </c>
      <c r="H300" s="22">
        <v>84.733199999999997</v>
      </c>
      <c r="I300" s="22">
        <v>5.6964099999999997E-2</v>
      </c>
      <c r="J300" s="22">
        <v>290</v>
      </c>
      <c r="K300" s="22">
        <v>8.2763699999999996E-2</v>
      </c>
      <c r="L300">
        <f t="shared" si="48"/>
        <v>-56.964099999999995</v>
      </c>
      <c r="M300">
        <f t="shared" si="49"/>
        <v>-21.060767051999999</v>
      </c>
      <c r="N300" s="9"/>
      <c r="O300" s="22">
        <v>1.36032</v>
      </c>
      <c r="P300" s="22">
        <v>156.952</v>
      </c>
      <c r="Q300" s="22">
        <v>-1.7324800000000001E-2</v>
      </c>
      <c r="R300" s="22">
        <v>290</v>
      </c>
      <c r="S300" s="22">
        <v>1.3595600000000001</v>
      </c>
      <c r="T300">
        <f t="shared" si="50"/>
        <v>17.3248</v>
      </c>
      <c r="U300">
        <f t="shared" si="51"/>
        <v>23.567271936000001</v>
      </c>
      <c r="X300" s="9"/>
      <c r="Y300" s="22">
        <v>0.36971999999999999</v>
      </c>
      <c r="Z300" s="22">
        <v>215.739</v>
      </c>
      <c r="AA300" s="22">
        <v>-1.78467E-2</v>
      </c>
      <c r="AB300" s="22">
        <v>290</v>
      </c>
      <c r="AC300" s="22">
        <v>0.36901899999999999</v>
      </c>
      <c r="AD300">
        <f t="shared" si="52"/>
        <v>17.846699999999998</v>
      </c>
      <c r="AE300">
        <f t="shared" si="53"/>
        <v>6.5982819239999992</v>
      </c>
      <c r="AF300" s="9"/>
      <c r="AG300" s="22">
        <v>1.36032</v>
      </c>
      <c r="AH300" s="22">
        <v>307.75799999999998</v>
      </c>
      <c r="AI300" s="22">
        <v>-1.7254599999999998E-2</v>
      </c>
      <c r="AJ300" s="22">
        <v>290</v>
      </c>
      <c r="AK300" s="22">
        <v>1.3595600000000001</v>
      </c>
      <c r="AL300">
        <f t="shared" si="54"/>
        <v>17.2546</v>
      </c>
      <c r="AM300">
        <f t="shared" si="55"/>
        <v>23.471777471999999</v>
      </c>
      <c r="AP300" s="9"/>
      <c r="AQ300" s="22">
        <v>0.36971999999999999</v>
      </c>
      <c r="AR300" s="22">
        <v>403.72</v>
      </c>
      <c r="AS300" s="22">
        <v>-1.7791700000000001E-2</v>
      </c>
      <c r="AT300" s="22">
        <v>290</v>
      </c>
      <c r="AU300" s="22">
        <v>0.36898799999999998</v>
      </c>
      <c r="AV300">
        <f t="shared" si="56"/>
        <v>17.791700000000002</v>
      </c>
      <c r="AW300">
        <f t="shared" si="57"/>
        <v>6.577947324000001</v>
      </c>
      <c r="AX300" s="9"/>
      <c r="AY300" s="22">
        <v>1.36032</v>
      </c>
      <c r="AZ300" s="22">
        <v>497.98899999999998</v>
      </c>
      <c r="BA300" s="22">
        <v>-1.7224099999999999E-2</v>
      </c>
      <c r="BB300" s="22">
        <v>290</v>
      </c>
      <c r="BC300" s="22">
        <v>1.3598600000000001</v>
      </c>
      <c r="BD300">
        <f t="shared" si="58"/>
        <v>17.2241</v>
      </c>
      <c r="BE300">
        <f t="shared" si="59"/>
        <v>23.430287711999998</v>
      </c>
    </row>
    <row r="301" spans="6:57">
      <c r="F301" s="9"/>
      <c r="G301" s="22">
        <v>0.36468499999999998</v>
      </c>
      <c r="H301" s="22">
        <v>84.8339</v>
      </c>
      <c r="I301" s="22">
        <v>5.69519E-2</v>
      </c>
      <c r="J301" s="22">
        <v>291</v>
      </c>
      <c r="K301" s="22">
        <v>8.2794199999999998E-2</v>
      </c>
      <c r="L301">
        <f t="shared" si="48"/>
        <v>-56.951900000000002</v>
      </c>
      <c r="M301">
        <f t="shared" si="49"/>
        <v>-20.769503651499999</v>
      </c>
      <c r="N301" s="9"/>
      <c r="O301" s="22">
        <v>1.3653599999999999</v>
      </c>
      <c r="P301" s="22">
        <v>157.053</v>
      </c>
      <c r="Q301" s="22">
        <v>-1.7312600000000001E-2</v>
      </c>
      <c r="R301" s="22">
        <v>291</v>
      </c>
      <c r="S301" s="22">
        <v>1.3647499999999999</v>
      </c>
      <c r="T301">
        <f t="shared" si="50"/>
        <v>17.3126</v>
      </c>
      <c r="U301">
        <f t="shared" si="51"/>
        <v>23.637931535999996</v>
      </c>
      <c r="X301" s="9"/>
      <c r="Y301" s="22">
        <v>0.36468499999999998</v>
      </c>
      <c r="Z301" s="22">
        <v>215.84</v>
      </c>
      <c r="AA301" s="22">
        <v>-1.7867999999999998E-2</v>
      </c>
      <c r="AB301" s="22">
        <v>291</v>
      </c>
      <c r="AC301" s="22">
        <v>0.364288</v>
      </c>
      <c r="AD301">
        <f t="shared" si="52"/>
        <v>17.867999999999999</v>
      </c>
      <c r="AE301">
        <f t="shared" si="53"/>
        <v>6.5161915799999992</v>
      </c>
      <c r="AF301" s="9"/>
      <c r="AG301" s="22">
        <v>1.3653599999999999</v>
      </c>
      <c r="AH301" s="22">
        <v>307.85899999999998</v>
      </c>
      <c r="AI301" s="22">
        <v>-1.7251599999999999E-2</v>
      </c>
      <c r="AJ301" s="22">
        <v>291</v>
      </c>
      <c r="AK301" s="22">
        <v>1.3644400000000001</v>
      </c>
      <c r="AL301">
        <f t="shared" si="54"/>
        <v>17.2516</v>
      </c>
      <c r="AM301">
        <f t="shared" si="55"/>
        <v>23.554644575999998</v>
      </c>
      <c r="AP301" s="9"/>
      <c r="AQ301" s="22">
        <v>0.36468499999999998</v>
      </c>
      <c r="AR301" s="22">
        <v>403.82100000000003</v>
      </c>
      <c r="AS301" s="22">
        <v>-1.7797899999999998E-2</v>
      </c>
      <c r="AT301" s="22">
        <v>291</v>
      </c>
      <c r="AU301" s="22">
        <v>0.36404399999999998</v>
      </c>
      <c r="AV301">
        <f t="shared" si="56"/>
        <v>17.797899999999998</v>
      </c>
      <c r="AW301">
        <f t="shared" si="57"/>
        <v>6.4906271614999991</v>
      </c>
      <c r="AX301" s="9"/>
      <c r="AY301" s="22">
        <v>1.3653599999999999</v>
      </c>
      <c r="AZ301" s="22">
        <v>498.09</v>
      </c>
      <c r="BA301" s="22">
        <v>-1.72211E-2</v>
      </c>
      <c r="BB301" s="22">
        <v>291</v>
      </c>
      <c r="BC301" s="22">
        <v>1.3644400000000001</v>
      </c>
      <c r="BD301">
        <f t="shared" si="58"/>
        <v>17.2211</v>
      </c>
      <c r="BE301">
        <f t="shared" si="59"/>
        <v>23.513001095999996</v>
      </c>
    </row>
    <row r="302" spans="6:57">
      <c r="F302" s="9"/>
      <c r="G302" s="22">
        <v>0.35965000000000003</v>
      </c>
      <c r="H302" s="22">
        <v>84.934600000000003</v>
      </c>
      <c r="I302" s="22">
        <v>5.6942699999999999E-2</v>
      </c>
      <c r="J302" s="22">
        <v>292</v>
      </c>
      <c r="K302" s="22">
        <v>8.2702600000000001E-2</v>
      </c>
      <c r="L302">
        <f t="shared" si="48"/>
        <v>-56.942700000000002</v>
      </c>
      <c r="M302">
        <f t="shared" si="49"/>
        <v>-20.479442055000003</v>
      </c>
      <c r="N302" s="9"/>
      <c r="O302" s="22">
        <v>1.37039</v>
      </c>
      <c r="P302" s="22">
        <v>157.154</v>
      </c>
      <c r="Q302" s="22">
        <v>-1.7306499999999999E-2</v>
      </c>
      <c r="R302" s="22">
        <v>292</v>
      </c>
      <c r="S302" s="22">
        <v>1.3696299999999999</v>
      </c>
      <c r="T302">
        <f t="shared" si="50"/>
        <v>17.3065</v>
      </c>
      <c r="U302">
        <f t="shared" si="51"/>
        <v>23.716654535</v>
      </c>
      <c r="X302" s="9"/>
      <c r="Y302" s="22">
        <v>0.35965000000000003</v>
      </c>
      <c r="Z302" s="22">
        <v>215.941</v>
      </c>
      <c r="AA302" s="22">
        <v>-1.7864999999999999E-2</v>
      </c>
      <c r="AB302" s="22">
        <v>292</v>
      </c>
      <c r="AC302" s="22">
        <v>0.358765</v>
      </c>
      <c r="AD302">
        <f t="shared" si="52"/>
        <v>17.864999999999998</v>
      </c>
      <c r="AE302">
        <f t="shared" si="53"/>
        <v>6.4251472500000002</v>
      </c>
      <c r="AF302" s="9"/>
      <c r="AG302" s="22">
        <v>1.37039</v>
      </c>
      <c r="AH302" s="22">
        <v>307.959</v>
      </c>
      <c r="AI302" s="22">
        <v>-1.72363E-2</v>
      </c>
      <c r="AJ302" s="22">
        <v>292</v>
      </c>
      <c r="AK302" s="22">
        <v>1.3696299999999999</v>
      </c>
      <c r="AL302">
        <f t="shared" si="54"/>
        <v>17.2363</v>
      </c>
      <c r="AM302">
        <f t="shared" si="55"/>
        <v>23.620453157</v>
      </c>
      <c r="AP302" s="9"/>
      <c r="AQ302" s="22">
        <v>0.35965000000000003</v>
      </c>
      <c r="AR302" s="22">
        <v>403.92200000000003</v>
      </c>
      <c r="AS302" s="22">
        <v>-1.7797899999999998E-2</v>
      </c>
      <c r="AT302" s="22">
        <v>292</v>
      </c>
      <c r="AU302" s="22">
        <v>0.358734</v>
      </c>
      <c r="AV302">
        <f t="shared" si="56"/>
        <v>17.797899999999998</v>
      </c>
      <c r="AW302">
        <f t="shared" si="57"/>
        <v>6.4010147349999995</v>
      </c>
      <c r="AX302" s="9"/>
      <c r="AY302" s="22">
        <v>1.37039</v>
      </c>
      <c r="AZ302" s="22">
        <v>498.19</v>
      </c>
      <c r="BA302" s="22">
        <v>-1.7211899999999999E-2</v>
      </c>
      <c r="BB302" s="22">
        <v>292</v>
      </c>
      <c r="BC302" s="22">
        <v>1.3696299999999999</v>
      </c>
      <c r="BD302">
        <f t="shared" si="58"/>
        <v>17.2119</v>
      </c>
      <c r="BE302">
        <f t="shared" si="59"/>
        <v>23.587015641000001</v>
      </c>
    </row>
    <row r="303" spans="6:57">
      <c r="F303" s="9"/>
      <c r="G303" s="22">
        <v>0.35461399999999998</v>
      </c>
      <c r="H303" s="22">
        <v>85.035300000000007</v>
      </c>
      <c r="I303" s="22">
        <v>5.69092E-2</v>
      </c>
      <c r="J303" s="22">
        <v>293</v>
      </c>
      <c r="K303" s="22">
        <v>8.2733200000000007E-2</v>
      </c>
      <c r="L303">
        <f t="shared" si="48"/>
        <v>-56.909199999999998</v>
      </c>
      <c r="M303">
        <f t="shared" si="49"/>
        <v>-20.180799048799997</v>
      </c>
      <c r="N303" s="9"/>
      <c r="O303" s="22">
        <v>1.3754299999999999</v>
      </c>
      <c r="P303" s="22">
        <v>157.25399999999999</v>
      </c>
      <c r="Q303" s="22">
        <v>-1.7303499999999999E-2</v>
      </c>
      <c r="R303" s="22">
        <v>293</v>
      </c>
      <c r="S303" s="22">
        <v>1.3751199999999999</v>
      </c>
      <c r="T303">
        <f t="shared" si="50"/>
        <v>17.3035</v>
      </c>
      <c r="U303">
        <f t="shared" si="51"/>
        <v>23.799753004999999</v>
      </c>
      <c r="X303" s="9"/>
      <c r="Y303" s="22">
        <v>0.35461399999999998</v>
      </c>
      <c r="Z303" s="22">
        <v>216.041</v>
      </c>
      <c r="AA303" s="22">
        <v>-1.7867999999999998E-2</v>
      </c>
      <c r="AB303" s="22">
        <v>293</v>
      </c>
      <c r="AC303" s="22">
        <v>0.35427900000000001</v>
      </c>
      <c r="AD303">
        <f t="shared" si="52"/>
        <v>17.867999999999999</v>
      </c>
      <c r="AE303">
        <f t="shared" si="53"/>
        <v>6.3362429519999992</v>
      </c>
      <c r="AF303" s="9"/>
      <c r="AG303" s="22">
        <v>1.3754299999999999</v>
      </c>
      <c r="AH303" s="22">
        <v>308.06</v>
      </c>
      <c r="AI303" s="22">
        <v>-1.7239399999999998E-2</v>
      </c>
      <c r="AJ303" s="22">
        <v>293</v>
      </c>
      <c r="AK303" s="22">
        <v>1.3748199999999999</v>
      </c>
      <c r="AL303">
        <f t="shared" si="54"/>
        <v>17.2394</v>
      </c>
      <c r="AM303">
        <f t="shared" si="55"/>
        <v>23.711587941999998</v>
      </c>
      <c r="AP303" s="9"/>
      <c r="AQ303" s="22">
        <v>0.35461399999999998</v>
      </c>
      <c r="AR303" s="22">
        <v>404.02300000000002</v>
      </c>
      <c r="AS303" s="22">
        <v>-1.77948E-2</v>
      </c>
      <c r="AT303" s="22">
        <v>293</v>
      </c>
      <c r="AU303" s="22">
        <v>0.353912</v>
      </c>
      <c r="AV303">
        <f t="shared" si="56"/>
        <v>17.794799999999999</v>
      </c>
      <c r="AW303">
        <f t="shared" si="57"/>
        <v>6.3102852071999989</v>
      </c>
      <c r="AX303" s="9"/>
      <c r="AY303" s="22">
        <v>1.3754299999999999</v>
      </c>
      <c r="AZ303" s="22">
        <v>498.291</v>
      </c>
      <c r="BA303" s="22">
        <v>-1.7208899999999999E-2</v>
      </c>
      <c r="BB303" s="22">
        <v>293</v>
      </c>
      <c r="BC303" s="22">
        <v>1.3738999999999999</v>
      </c>
      <c r="BD303">
        <f t="shared" si="58"/>
        <v>17.2089</v>
      </c>
      <c r="BE303">
        <f t="shared" si="59"/>
        <v>23.669637327</v>
      </c>
    </row>
    <row r="304" spans="6:57">
      <c r="F304" s="9"/>
      <c r="G304" s="22">
        <v>0.34957899999999997</v>
      </c>
      <c r="H304" s="22">
        <v>85.135999999999996</v>
      </c>
      <c r="I304" s="22">
        <v>5.6918299999999998E-2</v>
      </c>
      <c r="J304" s="22">
        <v>294</v>
      </c>
      <c r="K304" s="22">
        <v>8.2702600000000001E-2</v>
      </c>
      <c r="L304">
        <f t="shared" si="48"/>
        <v>-56.918299999999995</v>
      </c>
      <c r="M304">
        <f t="shared" si="49"/>
        <v>-19.897442395699997</v>
      </c>
      <c r="N304" s="9"/>
      <c r="O304" s="22">
        <v>1.38046</v>
      </c>
      <c r="P304" s="22">
        <v>157.35499999999999</v>
      </c>
      <c r="Q304" s="22">
        <v>-1.7285200000000001E-2</v>
      </c>
      <c r="R304" s="22">
        <v>294</v>
      </c>
      <c r="S304" s="22">
        <v>1.3796999999999999</v>
      </c>
      <c r="T304">
        <f t="shared" si="50"/>
        <v>17.2852</v>
      </c>
      <c r="U304">
        <f t="shared" si="51"/>
        <v>23.861527192</v>
      </c>
      <c r="X304" s="9"/>
      <c r="Y304" s="22">
        <v>0.34957899999999997</v>
      </c>
      <c r="Z304" s="22">
        <v>216.142</v>
      </c>
      <c r="AA304" s="22">
        <v>-1.78741E-2</v>
      </c>
      <c r="AB304" s="22">
        <v>294</v>
      </c>
      <c r="AC304" s="22">
        <v>0.34890700000000002</v>
      </c>
      <c r="AD304">
        <f t="shared" si="52"/>
        <v>17.874100000000002</v>
      </c>
      <c r="AE304">
        <f t="shared" si="53"/>
        <v>6.2484100039000001</v>
      </c>
      <c r="AF304" s="9"/>
      <c r="AG304" s="22">
        <v>1.38046</v>
      </c>
      <c r="AH304" s="22">
        <v>308.161</v>
      </c>
      <c r="AI304" s="22">
        <v>-1.7224099999999999E-2</v>
      </c>
      <c r="AJ304" s="22">
        <v>294</v>
      </c>
      <c r="AK304" s="22">
        <v>1.38</v>
      </c>
      <c r="AL304">
        <f t="shared" si="54"/>
        <v>17.2241</v>
      </c>
      <c r="AM304">
        <f t="shared" si="55"/>
        <v>23.777181085999999</v>
      </c>
      <c r="AP304" s="9"/>
      <c r="AQ304" s="22">
        <v>0.34957899999999997</v>
      </c>
      <c r="AR304" s="22">
        <v>404.12299999999999</v>
      </c>
      <c r="AS304" s="22">
        <v>-1.7800900000000001E-2</v>
      </c>
      <c r="AT304" s="22">
        <v>294</v>
      </c>
      <c r="AU304" s="22">
        <v>0.34912100000000001</v>
      </c>
      <c r="AV304">
        <f t="shared" si="56"/>
        <v>17.800900000000002</v>
      </c>
      <c r="AW304">
        <f t="shared" si="57"/>
        <v>6.2228208211</v>
      </c>
      <c r="AX304" s="9"/>
      <c r="AY304" s="22">
        <v>1.38046</v>
      </c>
      <c r="AZ304" s="22">
        <v>498.392</v>
      </c>
      <c r="BA304" s="22">
        <v>-1.7211899999999999E-2</v>
      </c>
      <c r="BB304" s="22">
        <v>294</v>
      </c>
      <c r="BC304" s="22">
        <v>1.3796999999999999</v>
      </c>
      <c r="BD304">
        <f t="shared" si="58"/>
        <v>17.2119</v>
      </c>
      <c r="BE304">
        <f t="shared" si="59"/>
        <v>23.760339474000002</v>
      </c>
    </row>
    <row r="305" spans="6:57">
      <c r="F305" s="9"/>
      <c r="G305" s="22">
        <v>0.34454299999999999</v>
      </c>
      <c r="H305" s="22">
        <v>85.236800000000002</v>
      </c>
      <c r="I305" s="22">
        <v>5.6954999999999999E-2</v>
      </c>
      <c r="J305" s="22">
        <v>295</v>
      </c>
      <c r="K305" s="22">
        <v>8.2641599999999996E-2</v>
      </c>
      <c r="L305">
        <f t="shared" si="48"/>
        <v>-56.954999999999998</v>
      </c>
      <c r="M305">
        <f t="shared" si="49"/>
        <v>-19.623446564999998</v>
      </c>
      <c r="N305" s="9"/>
      <c r="O305" s="22">
        <v>1.3855</v>
      </c>
      <c r="P305" s="22">
        <v>157.45599999999999</v>
      </c>
      <c r="Q305" s="22">
        <v>-1.7276E-2</v>
      </c>
      <c r="R305" s="22">
        <v>295</v>
      </c>
      <c r="S305" s="22">
        <v>1.3851899999999999</v>
      </c>
      <c r="T305">
        <f t="shared" si="50"/>
        <v>17.276</v>
      </c>
      <c r="U305">
        <f t="shared" si="51"/>
        <v>23.935897999999998</v>
      </c>
      <c r="X305" s="9"/>
      <c r="Y305" s="22">
        <v>0.34454299999999999</v>
      </c>
      <c r="Z305" s="22">
        <v>216.24299999999999</v>
      </c>
      <c r="AA305" s="22">
        <v>-1.7867999999999998E-2</v>
      </c>
      <c r="AB305" s="22">
        <v>295</v>
      </c>
      <c r="AC305" s="22">
        <v>0.34414699999999998</v>
      </c>
      <c r="AD305">
        <f t="shared" si="52"/>
        <v>17.867999999999999</v>
      </c>
      <c r="AE305">
        <f t="shared" si="53"/>
        <v>6.1562943239999992</v>
      </c>
      <c r="AF305" s="9"/>
      <c r="AG305" s="22">
        <v>1.3855</v>
      </c>
      <c r="AH305" s="22">
        <v>308.26100000000002</v>
      </c>
      <c r="AI305" s="22">
        <v>-1.7224099999999999E-2</v>
      </c>
      <c r="AJ305" s="22">
        <v>295</v>
      </c>
      <c r="AK305" s="22">
        <v>1.38489</v>
      </c>
      <c r="AL305">
        <f t="shared" si="54"/>
        <v>17.2241</v>
      </c>
      <c r="AM305">
        <f t="shared" si="55"/>
        <v>23.86399055</v>
      </c>
      <c r="AP305" s="9"/>
      <c r="AQ305" s="22">
        <v>0.34454299999999999</v>
      </c>
      <c r="AR305" s="22">
        <v>404.22399999999999</v>
      </c>
      <c r="AS305" s="22">
        <v>-1.7807E-2</v>
      </c>
      <c r="AT305" s="22">
        <v>295</v>
      </c>
      <c r="AU305" s="22">
        <v>0.34393299999999999</v>
      </c>
      <c r="AV305">
        <f t="shared" si="56"/>
        <v>17.806999999999999</v>
      </c>
      <c r="AW305">
        <f t="shared" si="57"/>
        <v>6.1352772009999992</v>
      </c>
      <c r="AX305" s="9"/>
      <c r="AY305" s="22">
        <v>1.3855</v>
      </c>
      <c r="AZ305" s="22">
        <v>498.49299999999999</v>
      </c>
      <c r="BA305" s="22">
        <v>-1.7202800000000001E-2</v>
      </c>
      <c r="BB305" s="22">
        <v>295</v>
      </c>
      <c r="BC305" s="22">
        <v>1.38489</v>
      </c>
      <c r="BD305">
        <f t="shared" si="58"/>
        <v>17.2028</v>
      </c>
      <c r="BE305">
        <f t="shared" si="59"/>
        <v>23.834479399999999</v>
      </c>
    </row>
    <row r="306" spans="6:57">
      <c r="F306" s="9"/>
      <c r="G306" s="22">
        <v>0.33950799999999998</v>
      </c>
      <c r="H306" s="22">
        <v>85.337500000000006</v>
      </c>
      <c r="I306" s="22">
        <v>5.6958000000000002E-2</v>
      </c>
      <c r="J306" s="22">
        <v>296</v>
      </c>
      <c r="K306" s="22">
        <v>8.2702600000000001E-2</v>
      </c>
      <c r="L306">
        <f t="shared" si="48"/>
        <v>-56.957999999999998</v>
      </c>
      <c r="M306">
        <f t="shared" si="49"/>
        <v>-19.337696663999999</v>
      </c>
      <c r="N306" s="9"/>
      <c r="O306" s="22">
        <v>1.39053</v>
      </c>
      <c r="P306" s="22">
        <v>157.55699999999999</v>
      </c>
      <c r="Q306" s="22">
        <v>-1.7257700000000001E-2</v>
      </c>
      <c r="R306" s="22">
        <v>296</v>
      </c>
      <c r="S306" s="22">
        <v>1.3897699999999999</v>
      </c>
      <c r="T306">
        <f t="shared" si="50"/>
        <v>17.2577</v>
      </c>
      <c r="U306">
        <f t="shared" si="51"/>
        <v>23.997349581000002</v>
      </c>
      <c r="X306" s="9"/>
      <c r="Y306" s="22">
        <v>0.33950799999999998</v>
      </c>
      <c r="Z306" s="22">
        <v>216.34399999999999</v>
      </c>
      <c r="AA306" s="22">
        <v>-1.78741E-2</v>
      </c>
      <c r="AB306" s="22">
        <v>296</v>
      </c>
      <c r="AC306" s="22">
        <v>0.33908100000000002</v>
      </c>
      <c r="AD306">
        <f t="shared" si="52"/>
        <v>17.874100000000002</v>
      </c>
      <c r="AE306">
        <f t="shared" si="53"/>
        <v>6.0683999428000002</v>
      </c>
      <c r="AF306" s="9"/>
      <c r="AG306" s="22">
        <v>1.39053</v>
      </c>
      <c r="AH306" s="22">
        <v>308.36200000000002</v>
      </c>
      <c r="AI306" s="22">
        <v>-1.7215000000000001E-2</v>
      </c>
      <c r="AJ306" s="22">
        <v>296</v>
      </c>
      <c r="AK306" s="22">
        <v>1.3897699999999999</v>
      </c>
      <c r="AL306">
        <f t="shared" si="54"/>
        <v>17.215</v>
      </c>
      <c r="AM306">
        <f t="shared" si="55"/>
        <v>23.93797395</v>
      </c>
      <c r="AP306" s="9"/>
      <c r="AQ306" s="22">
        <v>0.33950799999999998</v>
      </c>
      <c r="AR306" s="22">
        <v>404.32499999999999</v>
      </c>
      <c r="AS306" s="22">
        <v>-1.78192E-2</v>
      </c>
      <c r="AT306" s="22">
        <v>296</v>
      </c>
      <c r="AU306" s="22">
        <v>0.33895900000000001</v>
      </c>
      <c r="AV306">
        <f t="shared" si="56"/>
        <v>17.819199999999999</v>
      </c>
      <c r="AW306">
        <f t="shared" si="57"/>
        <v>6.049760953599999</v>
      </c>
      <c r="AX306" s="9"/>
      <c r="AY306" s="22">
        <v>1.39053</v>
      </c>
      <c r="AZ306" s="22">
        <v>498.59300000000002</v>
      </c>
      <c r="BA306" s="22">
        <v>-1.71936E-2</v>
      </c>
      <c r="BB306" s="22">
        <v>296</v>
      </c>
      <c r="BC306" s="22">
        <v>1.38947</v>
      </c>
      <c r="BD306">
        <f t="shared" si="58"/>
        <v>17.1936</v>
      </c>
      <c r="BE306">
        <f t="shared" si="59"/>
        <v>23.908216608</v>
      </c>
    </row>
    <row r="307" spans="6:57">
      <c r="F307" s="9"/>
      <c r="G307" s="22">
        <v>0.33447300000000002</v>
      </c>
      <c r="H307" s="22">
        <v>85.438199999999995</v>
      </c>
      <c r="I307" s="22">
        <v>5.6921399999999997E-2</v>
      </c>
      <c r="J307" s="22">
        <v>297</v>
      </c>
      <c r="K307" s="22">
        <v>8.2672099999999998E-2</v>
      </c>
      <c r="L307">
        <f t="shared" si="48"/>
        <v>-56.921399999999998</v>
      </c>
      <c r="M307">
        <f t="shared" si="49"/>
        <v>-19.0386714222</v>
      </c>
      <c r="N307" s="9"/>
      <c r="O307" s="22">
        <v>1.39557</v>
      </c>
      <c r="P307" s="22">
        <v>157.65700000000001</v>
      </c>
      <c r="Q307" s="22">
        <v>-1.7269900000000001E-2</v>
      </c>
      <c r="R307" s="22">
        <v>297</v>
      </c>
      <c r="S307" s="22">
        <v>1.39557</v>
      </c>
      <c r="T307">
        <f t="shared" si="50"/>
        <v>17.2699</v>
      </c>
      <c r="U307">
        <f t="shared" si="51"/>
        <v>24.101354343000001</v>
      </c>
      <c r="X307" s="9"/>
      <c r="Y307" s="22">
        <v>0.33447300000000002</v>
      </c>
      <c r="Z307" s="22">
        <v>216.44399999999999</v>
      </c>
      <c r="AA307" s="22">
        <v>-1.7877199999999999E-2</v>
      </c>
      <c r="AB307" s="22">
        <v>297</v>
      </c>
      <c r="AC307" s="22">
        <v>0.33416699999999999</v>
      </c>
      <c r="AD307">
        <f t="shared" si="52"/>
        <v>17.877199999999998</v>
      </c>
      <c r="AE307">
        <f t="shared" si="53"/>
        <v>5.9794407156</v>
      </c>
      <c r="AF307" s="9"/>
      <c r="AG307" s="22">
        <v>1.39557</v>
      </c>
      <c r="AH307" s="22">
        <v>308.46300000000002</v>
      </c>
      <c r="AI307" s="22">
        <v>-1.7208899999999999E-2</v>
      </c>
      <c r="AJ307" s="22">
        <v>297</v>
      </c>
      <c r="AK307" s="22">
        <v>1.39435</v>
      </c>
      <c r="AL307">
        <f t="shared" si="54"/>
        <v>17.2089</v>
      </c>
      <c r="AM307">
        <f t="shared" si="55"/>
        <v>24.016224572999999</v>
      </c>
      <c r="AP307" s="9"/>
      <c r="AQ307" s="22">
        <v>0.33447300000000002</v>
      </c>
      <c r="AR307" s="22">
        <v>404.42500000000001</v>
      </c>
      <c r="AS307" s="22">
        <v>-1.7810099999999999E-2</v>
      </c>
      <c r="AT307" s="22">
        <v>297</v>
      </c>
      <c r="AU307" s="22">
        <v>0.33380100000000001</v>
      </c>
      <c r="AV307">
        <f t="shared" si="56"/>
        <v>17.810099999999998</v>
      </c>
      <c r="AW307">
        <f t="shared" si="57"/>
        <v>5.9569975773000001</v>
      </c>
      <c r="AX307" s="9"/>
      <c r="AY307" s="22">
        <v>1.39557</v>
      </c>
      <c r="AZ307" s="22">
        <v>498.69400000000002</v>
      </c>
      <c r="BA307" s="22">
        <v>-1.7178300000000001E-2</v>
      </c>
      <c r="BB307" s="22">
        <v>297</v>
      </c>
      <c r="BC307" s="22">
        <v>1.3952599999999999</v>
      </c>
      <c r="BD307">
        <f t="shared" si="58"/>
        <v>17.1783</v>
      </c>
      <c r="BE307">
        <f t="shared" si="59"/>
        <v>23.973520131000001</v>
      </c>
    </row>
    <row r="308" spans="6:57">
      <c r="F308" s="9"/>
      <c r="G308" s="22">
        <v>0.32943699999999998</v>
      </c>
      <c r="H308" s="22">
        <v>85.538899999999998</v>
      </c>
      <c r="I308" s="22">
        <v>5.6936599999999997E-2</v>
      </c>
      <c r="J308" s="22">
        <v>298</v>
      </c>
      <c r="K308" s="22">
        <v>8.2641599999999996E-2</v>
      </c>
      <c r="L308">
        <f t="shared" si="48"/>
        <v>-56.936599999999999</v>
      </c>
      <c r="M308">
        <f t="shared" si="49"/>
        <v>-18.7570226942</v>
      </c>
      <c r="N308" s="9"/>
      <c r="O308" s="22">
        <v>1.4006000000000001</v>
      </c>
      <c r="P308" s="22">
        <v>157.75800000000001</v>
      </c>
      <c r="Q308" s="22">
        <v>-1.7266799999999999E-2</v>
      </c>
      <c r="R308" s="22">
        <v>298</v>
      </c>
      <c r="S308" s="22">
        <v>1.39984</v>
      </c>
      <c r="T308">
        <f t="shared" si="50"/>
        <v>17.2668</v>
      </c>
      <c r="U308">
        <f t="shared" si="51"/>
        <v>24.183880080000002</v>
      </c>
      <c r="X308" s="9"/>
      <c r="Y308" s="22">
        <v>0.32943699999999998</v>
      </c>
      <c r="Z308" s="22">
        <v>216.54499999999999</v>
      </c>
      <c r="AA308" s="22">
        <v>-1.7880199999999999E-2</v>
      </c>
      <c r="AB308" s="22">
        <v>298</v>
      </c>
      <c r="AC308" s="22">
        <v>0.32864399999999999</v>
      </c>
      <c r="AD308">
        <f t="shared" si="52"/>
        <v>17.880199999999999</v>
      </c>
      <c r="AE308">
        <f t="shared" si="53"/>
        <v>5.8903994473999992</v>
      </c>
      <c r="AF308" s="9"/>
      <c r="AG308" s="22">
        <v>1.4006000000000001</v>
      </c>
      <c r="AH308" s="22">
        <v>308.56299999999999</v>
      </c>
      <c r="AI308" s="22">
        <v>-1.72058E-2</v>
      </c>
      <c r="AJ308" s="22">
        <v>298</v>
      </c>
      <c r="AK308" s="22">
        <v>1.39954</v>
      </c>
      <c r="AL308">
        <f t="shared" si="54"/>
        <v>17.2058</v>
      </c>
      <c r="AM308">
        <f t="shared" si="55"/>
        <v>24.09844348</v>
      </c>
      <c r="AP308" s="9"/>
      <c r="AQ308" s="22">
        <v>0.32943699999999998</v>
      </c>
      <c r="AR308" s="22">
        <v>404.52600000000001</v>
      </c>
      <c r="AS308" s="22">
        <v>-1.7813099999999998E-2</v>
      </c>
      <c r="AT308" s="22">
        <v>298</v>
      </c>
      <c r="AU308" s="22">
        <v>0.32885700000000001</v>
      </c>
      <c r="AV308">
        <f t="shared" si="56"/>
        <v>17.813099999999999</v>
      </c>
      <c r="AW308">
        <f t="shared" si="57"/>
        <v>5.8682942246999996</v>
      </c>
      <c r="AX308" s="9"/>
      <c r="AY308" s="22">
        <v>1.4006000000000001</v>
      </c>
      <c r="AZ308" s="22">
        <v>498.79500000000002</v>
      </c>
      <c r="BA308" s="22">
        <v>-1.7178300000000001E-2</v>
      </c>
      <c r="BB308" s="22">
        <v>298</v>
      </c>
      <c r="BC308" s="22">
        <v>1.39954</v>
      </c>
      <c r="BD308">
        <f t="shared" si="58"/>
        <v>17.1783</v>
      </c>
      <c r="BE308">
        <f t="shared" si="59"/>
        <v>24.05992698</v>
      </c>
    </row>
    <row r="309" spans="6:57">
      <c r="F309" s="9"/>
      <c r="G309" s="22">
        <v>0.32440200000000002</v>
      </c>
      <c r="H309" s="22">
        <v>85.639600000000002</v>
      </c>
      <c r="I309" s="22">
        <v>5.6933600000000001E-2</v>
      </c>
      <c r="J309" s="22">
        <v>299</v>
      </c>
      <c r="K309" s="22">
        <v>8.2641599999999996E-2</v>
      </c>
      <c r="L309">
        <f t="shared" si="48"/>
        <v>-56.933599999999998</v>
      </c>
      <c r="M309">
        <f t="shared" si="49"/>
        <v>-18.469373707200003</v>
      </c>
      <c r="N309" s="9"/>
      <c r="O309" s="22">
        <v>1.40564</v>
      </c>
      <c r="P309" s="22">
        <v>157.85900000000001</v>
      </c>
      <c r="Q309" s="22">
        <v>-1.72455E-2</v>
      </c>
      <c r="R309" s="22">
        <v>299</v>
      </c>
      <c r="S309" s="22">
        <v>1.40533</v>
      </c>
      <c r="T309">
        <f t="shared" si="50"/>
        <v>17.2455</v>
      </c>
      <c r="U309">
        <f t="shared" si="51"/>
        <v>24.24096462</v>
      </c>
      <c r="X309" s="9"/>
      <c r="Y309" s="22">
        <v>0.32440200000000002</v>
      </c>
      <c r="Z309" s="22">
        <v>216.64599999999999</v>
      </c>
      <c r="AA309" s="22">
        <v>-1.78894E-2</v>
      </c>
      <c r="AB309" s="22">
        <v>299</v>
      </c>
      <c r="AC309" s="22">
        <v>0.32388299999999998</v>
      </c>
      <c r="AD309">
        <f t="shared" si="52"/>
        <v>17.889399999999998</v>
      </c>
      <c r="AE309">
        <f t="shared" si="53"/>
        <v>5.8033571388</v>
      </c>
      <c r="AF309" s="9"/>
      <c r="AG309" s="22">
        <v>1.40564</v>
      </c>
      <c r="AH309" s="22">
        <v>308.66399999999999</v>
      </c>
      <c r="AI309" s="22">
        <v>-1.7196699999999999E-2</v>
      </c>
      <c r="AJ309" s="22">
        <v>299</v>
      </c>
      <c r="AK309" s="22">
        <v>1.40503</v>
      </c>
      <c r="AL309">
        <f t="shared" si="54"/>
        <v>17.1967</v>
      </c>
      <c r="AM309">
        <f t="shared" si="55"/>
        <v>24.172369388</v>
      </c>
      <c r="AP309" s="9"/>
      <c r="AQ309" s="22">
        <v>0.32440200000000002</v>
      </c>
      <c r="AR309" s="22">
        <v>404.62700000000001</v>
      </c>
      <c r="AS309" s="22">
        <v>-1.7813099999999998E-2</v>
      </c>
      <c r="AT309" s="22">
        <v>299</v>
      </c>
      <c r="AU309" s="22">
        <v>0.32388299999999998</v>
      </c>
      <c r="AV309">
        <f t="shared" si="56"/>
        <v>17.813099999999999</v>
      </c>
      <c r="AW309">
        <f t="shared" si="57"/>
        <v>5.7786052661999996</v>
      </c>
      <c r="AX309" s="9"/>
      <c r="AY309" s="22">
        <v>1.40564</v>
      </c>
      <c r="AZ309" s="22">
        <v>498.89499999999998</v>
      </c>
      <c r="BA309" s="22">
        <v>-1.7181399999999999E-2</v>
      </c>
      <c r="BB309" s="22">
        <v>299</v>
      </c>
      <c r="BC309" s="22">
        <v>1.40442</v>
      </c>
      <c r="BD309">
        <f t="shared" si="58"/>
        <v>17.1814</v>
      </c>
      <c r="BE309">
        <f t="shared" si="59"/>
        <v>24.150863095999998</v>
      </c>
    </row>
    <row r="310" spans="6:57">
      <c r="F310" s="9"/>
      <c r="G310" s="22">
        <v>0.31936599999999998</v>
      </c>
      <c r="H310" s="22">
        <v>85.740300000000005</v>
      </c>
      <c r="I310" s="22">
        <v>5.6903099999999998E-2</v>
      </c>
      <c r="J310" s="22">
        <v>300</v>
      </c>
      <c r="K310" s="22">
        <v>8.2611100000000007E-2</v>
      </c>
      <c r="L310">
        <f t="shared" si="48"/>
        <v>-56.903099999999995</v>
      </c>
      <c r="M310">
        <f t="shared" si="49"/>
        <v>-18.172915434599997</v>
      </c>
      <c r="N310" s="9"/>
      <c r="O310" s="22">
        <v>1.4106799999999999</v>
      </c>
      <c r="P310" s="22">
        <v>157.959</v>
      </c>
      <c r="Q310" s="22">
        <v>-1.7230200000000001E-2</v>
      </c>
      <c r="R310" s="22">
        <v>300</v>
      </c>
      <c r="S310" s="22">
        <v>1.40991</v>
      </c>
      <c r="T310">
        <f t="shared" si="50"/>
        <v>17.2302</v>
      </c>
      <c r="U310">
        <f t="shared" si="51"/>
        <v>24.306298536</v>
      </c>
      <c r="X310" s="9"/>
      <c r="Y310" s="22">
        <v>0.31936599999999998</v>
      </c>
      <c r="Z310" s="22">
        <v>216.74600000000001</v>
      </c>
      <c r="AA310" s="22">
        <v>-1.7892499999999999E-2</v>
      </c>
      <c r="AB310" s="22">
        <v>300</v>
      </c>
      <c r="AC310" s="22">
        <v>0.31903100000000001</v>
      </c>
      <c r="AD310">
        <f t="shared" si="52"/>
        <v>17.892499999999998</v>
      </c>
      <c r="AE310">
        <f t="shared" si="53"/>
        <v>5.7142561549999993</v>
      </c>
      <c r="AF310" s="9"/>
      <c r="AG310" s="22">
        <v>1.4106799999999999</v>
      </c>
      <c r="AH310" s="22">
        <v>308.76499999999999</v>
      </c>
      <c r="AI310" s="22">
        <v>-1.7184399999999999E-2</v>
      </c>
      <c r="AJ310" s="22">
        <v>300</v>
      </c>
      <c r="AK310" s="22">
        <v>1.41052</v>
      </c>
      <c r="AL310">
        <f t="shared" si="54"/>
        <v>17.1844</v>
      </c>
      <c r="AM310">
        <f t="shared" si="55"/>
        <v>24.241689391999998</v>
      </c>
      <c r="AP310" s="9"/>
      <c r="AQ310" s="22">
        <v>0.31936599999999998</v>
      </c>
      <c r="AR310" s="22">
        <v>404.72699999999998</v>
      </c>
      <c r="AS310" s="22">
        <v>-1.78192E-2</v>
      </c>
      <c r="AT310" s="22">
        <v>300</v>
      </c>
      <c r="AU310" s="22">
        <v>0.31884800000000002</v>
      </c>
      <c r="AV310">
        <f t="shared" si="56"/>
        <v>17.819199999999999</v>
      </c>
      <c r="AW310">
        <f t="shared" si="57"/>
        <v>5.6908466271999991</v>
      </c>
      <c r="AX310" s="9"/>
      <c r="AY310" s="22">
        <v>1.4106799999999999</v>
      </c>
      <c r="AZ310" s="22">
        <v>498.99599999999998</v>
      </c>
      <c r="BA310" s="22">
        <v>-1.71661E-2</v>
      </c>
      <c r="BB310" s="22">
        <v>300</v>
      </c>
      <c r="BC310" s="22">
        <v>1.41052</v>
      </c>
      <c r="BD310">
        <f t="shared" si="58"/>
        <v>17.1661</v>
      </c>
      <c r="BE310">
        <f t="shared" si="59"/>
        <v>24.215873947999999</v>
      </c>
    </row>
    <row r="311" spans="6:57">
      <c r="F311" s="9"/>
      <c r="G311" s="22">
        <v>0.31433100000000003</v>
      </c>
      <c r="H311" s="22">
        <v>85.840999999999994</v>
      </c>
      <c r="I311" s="22">
        <v>5.6897000000000003E-2</v>
      </c>
      <c r="J311" s="22">
        <v>301</v>
      </c>
      <c r="K311" s="22">
        <v>8.2611100000000007E-2</v>
      </c>
      <c r="L311">
        <f t="shared" si="48"/>
        <v>-56.897000000000006</v>
      </c>
      <c r="M311">
        <f t="shared" si="49"/>
        <v>-17.884490907000004</v>
      </c>
      <c r="N311" s="9"/>
      <c r="O311" s="22">
        <v>1.41571</v>
      </c>
      <c r="P311" s="22">
        <v>158.06</v>
      </c>
      <c r="Q311" s="22">
        <v>-1.72211E-2</v>
      </c>
      <c r="R311" s="22">
        <v>301</v>
      </c>
      <c r="S311" s="22">
        <v>1.4151</v>
      </c>
      <c r="T311">
        <f t="shared" si="50"/>
        <v>17.2211</v>
      </c>
      <c r="U311">
        <f t="shared" si="51"/>
        <v>24.380083481</v>
      </c>
      <c r="X311" s="9"/>
      <c r="Y311" s="22">
        <v>0.31433100000000003</v>
      </c>
      <c r="Z311" s="22">
        <v>216.84700000000001</v>
      </c>
      <c r="AA311" s="22">
        <v>-1.7904699999999999E-2</v>
      </c>
      <c r="AB311" s="22">
        <v>301</v>
      </c>
      <c r="AC311" s="22">
        <v>0.31399500000000002</v>
      </c>
      <c r="AD311">
        <f t="shared" si="52"/>
        <v>17.904699999999998</v>
      </c>
      <c r="AE311">
        <f t="shared" si="53"/>
        <v>5.6280022557000002</v>
      </c>
      <c r="AF311" s="9"/>
      <c r="AG311" s="22">
        <v>1.41571</v>
      </c>
      <c r="AH311" s="22">
        <v>308.86599999999999</v>
      </c>
      <c r="AI311" s="22">
        <v>-1.7178300000000001E-2</v>
      </c>
      <c r="AJ311" s="22">
        <v>301</v>
      </c>
      <c r="AK311" s="22">
        <v>1.41479</v>
      </c>
      <c r="AL311">
        <f t="shared" si="54"/>
        <v>17.1783</v>
      </c>
      <c r="AM311">
        <f t="shared" si="55"/>
        <v>24.319491093</v>
      </c>
      <c r="AP311" s="9"/>
      <c r="AQ311" s="22">
        <v>0.31433100000000003</v>
      </c>
      <c r="AR311" s="22">
        <v>404.82799999999997</v>
      </c>
      <c r="AS311" s="22">
        <v>-1.78192E-2</v>
      </c>
      <c r="AT311" s="22">
        <v>301</v>
      </c>
      <c r="AU311" s="22">
        <v>0.31378200000000001</v>
      </c>
      <c r="AV311">
        <f t="shared" si="56"/>
        <v>17.819199999999999</v>
      </c>
      <c r="AW311">
        <f t="shared" si="57"/>
        <v>5.6011269551999998</v>
      </c>
      <c r="AX311" s="9"/>
      <c r="AY311" s="22">
        <v>1.41571</v>
      </c>
      <c r="AZ311" s="22">
        <v>499.09699999999998</v>
      </c>
      <c r="BA311" s="22">
        <v>-1.71539E-2</v>
      </c>
      <c r="BB311" s="22">
        <v>301</v>
      </c>
      <c r="BC311" s="22">
        <v>1.4151</v>
      </c>
      <c r="BD311">
        <f t="shared" si="58"/>
        <v>17.1539</v>
      </c>
      <c r="BE311">
        <f t="shared" si="59"/>
        <v>24.284947769000002</v>
      </c>
    </row>
    <row r="312" spans="6:57">
      <c r="F312" s="9"/>
      <c r="G312" s="22">
        <v>0.30929600000000002</v>
      </c>
      <c r="H312" s="22">
        <v>85.941699999999997</v>
      </c>
      <c r="I312" s="22">
        <v>5.6890900000000001E-2</v>
      </c>
      <c r="J312" s="22">
        <v>302</v>
      </c>
      <c r="K312" s="22">
        <v>8.2580600000000004E-2</v>
      </c>
      <c r="L312">
        <f t="shared" si="48"/>
        <v>-56.890900000000002</v>
      </c>
      <c r="M312">
        <f t="shared" si="49"/>
        <v>-17.596127806400002</v>
      </c>
      <c r="N312" s="9"/>
      <c r="O312" s="22">
        <v>1.42075</v>
      </c>
      <c r="P312" s="22">
        <v>158.161</v>
      </c>
      <c r="Q312" s="22">
        <v>-1.7218000000000001E-2</v>
      </c>
      <c r="R312" s="22">
        <v>302</v>
      </c>
      <c r="S312" s="22">
        <v>1.41937</v>
      </c>
      <c r="T312">
        <f t="shared" si="50"/>
        <v>17.218</v>
      </c>
      <c r="U312">
        <f t="shared" si="51"/>
        <v>24.462473499999998</v>
      </c>
      <c r="X312" s="9"/>
      <c r="Y312" s="22">
        <v>0.30929600000000002</v>
      </c>
      <c r="Z312" s="22">
        <v>216.94800000000001</v>
      </c>
      <c r="AA312" s="22">
        <v>-1.7907699999999999E-2</v>
      </c>
      <c r="AB312" s="22">
        <v>302</v>
      </c>
      <c r="AC312" s="22">
        <v>0.30871599999999999</v>
      </c>
      <c r="AD312">
        <f t="shared" si="52"/>
        <v>17.907699999999998</v>
      </c>
      <c r="AE312">
        <f t="shared" si="53"/>
        <v>5.5387799792000001</v>
      </c>
      <c r="AF312" s="9"/>
      <c r="AG312" s="22">
        <v>1.42075</v>
      </c>
      <c r="AH312" s="22">
        <v>308.96600000000001</v>
      </c>
      <c r="AI312" s="22">
        <v>-1.7178300000000001E-2</v>
      </c>
      <c r="AJ312" s="22">
        <v>302</v>
      </c>
      <c r="AK312" s="22">
        <v>1.42059</v>
      </c>
      <c r="AL312">
        <f t="shared" si="54"/>
        <v>17.1783</v>
      </c>
      <c r="AM312">
        <f t="shared" si="55"/>
        <v>24.406069724999998</v>
      </c>
      <c r="AP312" s="9"/>
      <c r="AQ312" s="22">
        <v>0.30929600000000002</v>
      </c>
      <c r="AR312" s="22">
        <v>404.92899999999997</v>
      </c>
      <c r="AS312" s="22">
        <v>-1.7828400000000001E-2</v>
      </c>
      <c r="AT312" s="22">
        <v>302</v>
      </c>
      <c r="AU312" s="22">
        <v>0.30868499999999999</v>
      </c>
      <c r="AV312">
        <f t="shared" si="56"/>
        <v>17.828400000000002</v>
      </c>
      <c r="AW312">
        <f t="shared" si="57"/>
        <v>5.5142528064000009</v>
      </c>
      <c r="AX312" s="9"/>
      <c r="AY312" s="22">
        <v>1.42075</v>
      </c>
      <c r="AZ312" s="22">
        <v>499.197</v>
      </c>
      <c r="BA312" s="22">
        <v>-1.7144800000000002E-2</v>
      </c>
      <c r="BB312" s="22">
        <v>302</v>
      </c>
      <c r="BC312" s="22">
        <v>1.41998</v>
      </c>
      <c r="BD312">
        <f t="shared" si="58"/>
        <v>17.1448</v>
      </c>
      <c r="BE312">
        <f t="shared" si="59"/>
        <v>24.358474600000001</v>
      </c>
    </row>
    <row r="313" spans="6:57">
      <c r="F313" s="9"/>
      <c r="G313" s="22">
        <v>0.30425999999999997</v>
      </c>
      <c r="H313" s="22">
        <v>86.042400000000001</v>
      </c>
      <c r="I313" s="22">
        <v>5.6869500000000003E-2</v>
      </c>
      <c r="J313" s="22">
        <v>303</v>
      </c>
      <c r="K313" s="22">
        <v>8.2611100000000007E-2</v>
      </c>
      <c r="L313">
        <f t="shared" si="48"/>
        <v>-56.869500000000002</v>
      </c>
      <c r="M313">
        <f t="shared" si="49"/>
        <v>-17.303114069999999</v>
      </c>
      <c r="N313" s="9"/>
      <c r="O313" s="22">
        <v>1.42578</v>
      </c>
      <c r="P313" s="22">
        <v>158.262</v>
      </c>
      <c r="Q313" s="22">
        <v>-1.7208899999999999E-2</v>
      </c>
      <c r="R313" s="22">
        <v>303</v>
      </c>
      <c r="S313" s="22">
        <v>1.42517</v>
      </c>
      <c r="T313">
        <f t="shared" si="50"/>
        <v>17.2089</v>
      </c>
      <c r="U313">
        <f t="shared" si="51"/>
        <v>24.536105442</v>
      </c>
      <c r="X313" s="9"/>
      <c r="Y313" s="22">
        <v>0.30425999999999997</v>
      </c>
      <c r="Z313" s="22">
        <v>217.048</v>
      </c>
      <c r="AA313" s="22">
        <v>-1.7907699999999999E-2</v>
      </c>
      <c r="AB313" s="22">
        <v>303</v>
      </c>
      <c r="AC313" s="22">
        <v>0.30374099999999998</v>
      </c>
      <c r="AD313">
        <f t="shared" si="52"/>
        <v>17.907699999999998</v>
      </c>
      <c r="AE313">
        <f t="shared" si="53"/>
        <v>5.4485968019999991</v>
      </c>
      <c r="AF313" s="9"/>
      <c r="AG313" s="22">
        <v>1.42578</v>
      </c>
      <c r="AH313" s="22">
        <v>309.06700000000001</v>
      </c>
      <c r="AI313" s="22">
        <v>-1.7163100000000001E-2</v>
      </c>
      <c r="AJ313" s="22">
        <v>303</v>
      </c>
      <c r="AK313" s="22">
        <v>1.42517</v>
      </c>
      <c r="AL313">
        <f t="shared" si="54"/>
        <v>17.1631</v>
      </c>
      <c r="AM313">
        <f t="shared" si="55"/>
        <v>24.470804718</v>
      </c>
      <c r="AP313" s="9"/>
      <c r="AQ313" s="22">
        <v>0.30425999999999997</v>
      </c>
      <c r="AR313" s="22">
        <v>405.03</v>
      </c>
      <c r="AS313" s="22">
        <v>-1.7831400000000001E-2</v>
      </c>
      <c r="AT313" s="22">
        <v>303</v>
      </c>
      <c r="AU313" s="22">
        <v>0.30380200000000002</v>
      </c>
      <c r="AV313">
        <f t="shared" si="56"/>
        <v>17.831400000000002</v>
      </c>
      <c r="AW313">
        <f t="shared" si="57"/>
        <v>5.4253817639999999</v>
      </c>
      <c r="AX313" s="9"/>
      <c r="AY313" s="22">
        <v>1.42578</v>
      </c>
      <c r="AZ313" s="22">
        <v>499.298</v>
      </c>
      <c r="BA313" s="22">
        <v>-1.71387E-2</v>
      </c>
      <c r="BB313" s="22">
        <v>303</v>
      </c>
      <c r="BC313" s="22">
        <v>1.4254800000000001</v>
      </c>
      <c r="BD313">
        <f t="shared" si="58"/>
        <v>17.1387</v>
      </c>
      <c r="BE313">
        <f t="shared" si="59"/>
        <v>24.436015686000001</v>
      </c>
    </row>
    <row r="314" spans="6:57">
      <c r="F314" s="9"/>
      <c r="G314" s="22">
        <v>0.29922500000000002</v>
      </c>
      <c r="H314" s="22">
        <v>86.143100000000004</v>
      </c>
      <c r="I314" s="22">
        <v>5.68573E-2</v>
      </c>
      <c r="J314" s="22">
        <v>304</v>
      </c>
      <c r="K314" s="22">
        <v>8.2611100000000007E-2</v>
      </c>
      <c r="L314">
        <f t="shared" si="48"/>
        <v>-56.857300000000002</v>
      </c>
      <c r="M314">
        <f t="shared" si="49"/>
        <v>-17.013125592500003</v>
      </c>
      <c r="N314" s="9"/>
      <c r="O314" s="22">
        <v>1.43082</v>
      </c>
      <c r="P314" s="22">
        <v>158.36199999999999</v>
      </c>
      <c r="Q314" s="22">
        <v>-1.71906E-2</v>
      </c>
      <c r="R314" s="22">
        <v>304</v>
      </c>
      <c r="S314" s="22">
        <v>1.4297500000000001</v>
      </c>
      <c r="T314">
        <f t="shared" si="50"/>
        <v>17.1906</v>
      </c>
      <c r="U314">
        <f t="shared" si="51"/>
        <v>24.596654292</v>
      </c>
      <c r="X314" s="9"/>
      <c r="Y314" s="22">
        <v>0.29922500000000002</v>
      </c>
      <c r="Z314" s="22">
        <v>217.149</v>
      </c>
      <c r="AA314" s="22">
        <v>-1.7916899999999999E-2</v>
      </c>
      <c r="AB314" s="22">
        <v>304</v>
      </c>
      <c r="AC314" s="22">
        <v>0.29852299999999998</v>
      </c>
      <c r="AD314">
        <f t="shared" si="52"/>
        <v>17.916899999999998</v>
      </c>
      <c r="AE314">
        <f t="shared" si="53"/>
        <v>5.3611844025000002</v>
      </c>
      <c r="AF314" s="9"/>
      <c r="AG314" s="22">
        <v>1.43082</v>
      </c>
      <c r="AH314" s="22">
        <v>309.16800000000001</v>
      </c>
      <c r="AI314" s="22">
        <v>-1.7147800000000001E-2</v>
      </c>
      <c r="AJ314" s="22">
        <v>304</v>
      </c>
      <c r="AK314" s="22">
        <v>1.43005</v>
      </c>
      <c r="AL314">
        <f t="shared" si="54"/>
        <v>17.1478</v>
      </c>
      <c r="AM314">
        <f t="shared" si="55"/>
        <v>24.535415195999999</v>
      </c>
      <c r="AP314" s="9"/>
      <c r="AQ314" s="22">
        <v>0.29922500000000002</v>
      </c>
      <c r="AR314" s="22">
        <v>405.13</v>
      </c>
      <c r="AS314" s="22">
        <v>-1.7843600000000001E-2</v>
      </c>
      <c r="AT314" s="22">
        <v>304</v>
      </c>
      <c r="AU314" s="22">
        <v>0.29852299999999998</v>
      </c>
      <c r="AV314">
        <f t="shared" si="56"/>
        <v>17.843600000000002</v>
      </c>
      <c r="AW314">
        <f t="shared" si="57"/>
        <v>5.3392512100000014</v>
      </c>
      <c r="AX314" s="9"/>
      <c r="AY314" s="22">
        <v>1.43082</v>
      </c>
      <c r="AZ314" s="22">
        <v>499.399</v>
      </c>
      <c r="BA314" s="22">
        <v>-1.71387E-2</v>
      </c>
      <c r="BB314" s="22">
        <v>304</v>
      </c>
      <c r="BC314" s="22">
        <v>1.4303600000000001</v>
      </c>
      <c r="BD314">
        <f t="shared" si="58"/>
        <v>17.1387</v>
      </c>
      <c r="BE314">
        <f t="shared" si="59"/>
        <v>24.522394733999999</v>
      </c>
    </row>
    <row r="315" spans="6:57">
      <c r="F315" s="9"/>
      <c r="G315" s="22">
        <v>0.29418899999999998</v>
      </c>
      <c r="H315" s="22">
        <v>86.243799999999993</v>
      </c>
      <c r="I315" s="22">
        <v>5.6851199999999998E-2</v>
      </c>
      <c r="J315" s="22">
        <v>305</v>
      </c>
      <c r="K315" s="22">
        <v>8.2611100000000007E-2</v>
      </c>
      <c r="L315">
        <f t="shared" si="48"/>
        <v>-56.851199999999999</v>
      </c>
      <c r="M315">
        <f t="shared" si="49"/>
        <v>-16.724997676799997</v>
      </c>
      <c r="N315" s="9"/>
      <c r="O315" s="22">
        <v>1.4358500000000001</v>
      </c>
      <c r="P315" s="22">
        <v>158.46299999999999</v>
      </c>
      <c r="Q315" s="22">
        <v>-1.71661E-2</v>
      </c>
      <c r="R315" s="22">
        <v>305</v>
      </c>
      <c r="S315" s="22">
        <v>1.4352400000000001</v>
      </c>
      <c r="T315">
        <f t="shared" si="50"/>
        <v>17.1661</v>
      </c>
      <c r="U315">
        <f t="shared" si="51"/>
        <v>24.647944685000002</v>
      </c>
      <c r="X315" s="9"/>
      <c r="Y315" s="22">
        <v>0.29418899999999998</v>
      </c>
      <c r="Z315" s="22">
        <v>217.25</v>
      </c>
      <c r="AA315" s="22">
        <v>-1.7904699999999999E-2</v>
      </c>
      <c r="AB315" s="22">
        <v>305</v>
      </c>
      <c r="AC315" s="22">
        <v>0.29376200000000002</v>
      </c>
      <c r="AD315">
        <f t="shared" si="52"/>
        <v>17.904699999999998</v>
      </c>
      <c r="AE315">
        <f t="shared" si="53"/>
        <v>5.2673657882999994</v>
      </c>
      <c r="AF315" s="9"/>
      <c r="AG315" s="22">
        <v>1.4358500000000001</v>
      </c>
      <c r="AH315" s="22">
        <v>309.26799999999997</v>
      </c>
      <c r="AI315" s="22">
        <v>-1.7135600000000001E-2</v>
      </c>
      <c r="AJ315" s="22">
        <v>305</v>
      </c>
      <c r="AK315" s="22">
        <v>1.4352400000000001</v>
      </c>
      <c r="AL315">
        <f t="shared" si="54"/>
        <v>17.1356</v>
      </c>
      <c r="AM315">
        <f t="shared" si="55"/>
        <v>24.604151260000002</v>
      </c>
      <c r="AP315" s="9"/>
      <c r="AQ315" s="22">
        <v>0.29418899999999998</v>
      </c>
      <c r="AR315" s="22">
        <v>405.23099999999999</v>
      </c>
      <c r="AS315" s="22">
        <v>-1.7840600000000002E-2</v>
      </c>
      <c r="AT315" s="22">
        <v>305</v>
      </c>
      <c r="AU315" s="22">
        <v>0.29367100000000002</v>
      </c>
      <c r="AV315">
        <f t="shared" si="56"/>
        <v>17.840600000000002</v>
      </c>
      <c r="AW315">
        <f t="shared" si="57"/>
        <v>5.2485082734000006</v>
      </c>
      <c r="AX315" s="9"/>
      <c r="AY315" s="22">
        <v>1.4358500000000001</v>
      </c>
      <c r="AZ315" s="22">
        <v>499.5</v>
      </c>
      <c r="BA315" s="22">
        <v>-1.71234E-2</v>
      </c>
      <c r="BB315" s="22">
        <v>305</v>
      </c>
      <c r="BC315" s="22">
        <v>1.4355500000000001</v>
      </c>
      <c r="BD315">
        <f t="shared" si="58"/>
        <v>17.1234</v>
      </c>
      <c r="BE315">
        <f t="shared" si="59"/>
        <v>24.586633890000002</v>
      </c>
    </row>
    <row r="316" spans="6:57">
      <c r="F316" s="9"/>
      <c r="G316" s="22">
        <v>0.28915400000000002</v>
      </c>
      <c r="H316" s="22">
        <v>86.344499999999996</v>
      </c>
      <c r="I316" s="22">
        <v>5.6820700000000002E-2</v>
      </c>
      <c r="J316" s="22">
        <v>306</v>
      </c>
      <c r="K316" s="22">
        <v>8.2641599999999996E-2</v>
      </c>
      <c r="L316">
        <f t="shared" si="48"/>
        <v>-56.820700000000002</v>
      </c>
      <c r="M316">
        <f t="shared" si="49"/>
        <v>-16.429932687800001</v>
      </c>
      <c r="N316" s="9"/>
      <c r="O316" s="22">
        <v>1.44089</v>
      </c>
      <c r="P316" s="22">
        <v>158.56399999999999</v>
      </c>
      <c r="Q316" s="22">
        <v>-1.71539E-2</v>
      </c>
      <c r="R316" s="22">
        <v>306</v>
      </c>
      <c r="S316" s="22">
        <v>1.4401200000000001</v>
      </c>
      <c r="T316">
        <f t="shared" si="50"/>
        <v>17.1539</v>
      </c>
      <c r="U316">
        <f t="shared" si="51"/>
        <v>24.716882971</v>
      </c>
      <c r="X316" s="9"/>
      <c r="Y316" s="22">
        <v>0.28915400000000002</v>
      </c>
      <c r="Z316" s="22">
        <v>217.351</v>
      </c>
      <c r="AA316" s="22">
        <v>-1.7910800000000001E-2</v>
      </c>
      <c r="AB316" s="22">
        <v>306</v>
      </c>
      <c r="AC316" s="22">
        <v>0.28909299999999999</v>
      </c>
      <c r="AD316">
        <f t="shared" si="52"/>
        <v>17.910800000000002</v>
      </c>
      <c r="AE316">
        <f t="shared" si="53"/>
        <v>5.178979463200001</v>
      </c>
      <c r="AF316" s="9"/>
      <c r="AG316" s="22">
        <v>1.44089</v>
      </c>
      <c r="AH316" s="22">
        <v>309.36900000000003</v>
      </c>
      <c r="AI316" s="22">
        <v>-1.7120400000000001E-2</v>
      </c>
      <c r="AJ316" s="22">
        <v>306</v>
      </c>
      <c r="AK316" s="22">
        <v>1.4401200000000001</v>
      </c>
      <c r="AL316">
        <f t="shared" si="54"/>
        <v>17.1204</v>
      </c>
      <c r="AM316">
        <f t="shared" si="55"/>
        <v>24.668613155999999</v>
      </c>
      <c r="AP316" s="9"/>
      <c r="AQ316" s="22">
        <v>0.28915400000000002</v>
      </c>
      <c r="AR316" s="22">
        <v>405.33199999999999</v>
      </c>
      <c r="AS316" s="22">
        <v>-1.7843600000000001E-2</v>
      </c>
      <c r="AT316" s="22">
        <v>306</v>
      </c>
      <c r="AU316" s="22">
        <v>0.28845199999999999</v>
      </c>
      <c r="AV316">
        <f t="shared" si="56"/>
        <v>17.843600000000002</v>
      </c>
      <c r="AW316">
        <f t="shared" si="57"/>
        <v>5.1595483144000012</v>
      </c>
      <c r="AX316" s="9"/>
      <c r="AY316" s="22">
        <v>1.44089</v>
      </c>
      <c r="AZ316" s="22">
        <v>499.6</v>
      </c>
      <c r="BA316" s="22">
        <v>-1.71112E-2</v>
      </c>
      <c r="BB316" s="22">
        <v>306</v>
      </c>
      <c r="BC316" s="22">
        <v>1.4407300000000001</v>
      </c>
      <c r="BD316">
        <f t="shared" si="58"/>
        <v>17.1112</v>
      </c>
      <c r="BE316">
        <f t="shared" si="59"/>
        <v>24.655356968</v>
      </c>
    </row>
    <row r="317" spans="6:57">
      <c r="F317" s="9"/>
      <c r="G317" s="22">
        <v>0.28411900000000001</v>
      </c>
      <c r="H317" s="22">
        <v>86.4452</v>
      </c>
      <c r="I317" s="22">
        <v>5.6811500000000001E-2</v>
      </c>
      <c r="J317" s="22">
        <v>307</v>
      </c>
      <c r="K317" s="22">
        <v>8.2611100000000007E-2</v>
      </c>
      <c r="L317">
        <f t="shared" si="48"/>
        <v>-56.811500000000002</v>
      </c>
      <c r="M317">
        <f t="shared" si="49"/>
        <v>-16.141226568500002</v>
      </c>
      <c r="N317" s="9"/>
      <c r="O317" s="22">
        <v>1.4459200000000001</v>
      </c>
      <c r="P317" s="22">
        <v>158.66399999999999</v>
      </c>
      <c r="Q317" s="22">
        <v>-1.7147800000000001E-2</v>
      </c>
      <c r="R317" s="22">
        <v>307</v>
      </c>
      <c r="S317" s="22">
        <v>1.4456199999999999</v>
      </c>
      <c r="T317">
        <f t="shared" si="50"/>
        <v>17.1478</v>
      </c>
      <c r="U317">
        <f t="shared" si="51"/>
        <v>24.794346976000003</v>
      </c>
      <c r="X317" s="9"/>
      <c r="Y317" s="22">
        <v>0.28411900000000001</v>
      </c>
      <c r="Z317" s="22">
        <v>217.45099999999999</v>
      </c>
      <c r="AA317" s="22">
        <v>-1.7923000000000001E-2</v>
      </c>
      <c r="AB317" s="22">
        <v>307</v>
      </c>
      <c r="AC317" s="22">
        <v>0.28350799999999998</v>
      </c>
      <c r="AD317">
        <f t="shared" si="52"/>
        <v>17.923000000000002</v>
      </c>
      <c r="AE317">
        <f t="shared" si="53"/>
        <v>5.092264837000001</v>
      </c>
      <c r="AF317" s="9"/>
      <c r="AG317" s="22">
        <v>1.4459200000000001</v>
      </c>
      <c r="AH317" s="22">
        <v>309.47000000000003</v>
      </c>
      <c r="AI317" s="22">
        <v>-1.71112E-2</v>
      </c>
      <c r="AJ317" s="22">
        <v>307</v>
      </c>
      <c r="AK317" s="22">
        <v>1.4453100000000001</v>
      </c>
      <c r="AL317">
        <f t="shared" si="54"/>
        <v>17.1112</v>
      </c>
      <c r="AM317">
        <f t="shared" si="55"/>
        <v>24.741426304000001</v>
      </c>
      <c r="AP317" s="9"/>
      <c r="AQ317" s="22">
        <v>0.28411900000000001</v>
      </c>
      <c r="AR317" s="22">
        <v>405.43200000000002</v>
      </c>
      <c r="AS317" s="22">
        <v>-1.7840600000000002E-2</v>
      </c>
      <c r="AT317" s="22">
        <v>307</v>
      </c>
      <c r="AU317" s="22">
        <v>0.28381299999999998</v>
      </c>
      <c r="AV317">
        <f t="shared" si="56"/>
        <v>17.840600000000002</v>
      </c>
      <c r="AW317">
        <f t="shared" si="57"/>
        <v>5.0688534314000009</v>
      </c>
      <c r="AX317" s="9"/>
      <c r="AY317" s="22">
        <v>1.4459200000000001</v>
      </c>
      <c r="AZ317" s="22">
        <v>499.70100000000002</v>
      </c>
      <c r="BA317" s="22">
        <v>-1.7095900000000001E-2</v>
      </c>
      <c r="BB317" s="22">
        <v>307</v>
      </c>
      <c r="BC317" s="22">
        <v>1.4450099999999999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0.27908300000000003</v>
      </c>
      <c r="H318" s="22">
        <v>86.546000000000006</v>
      </c>
      <c r="I318" s="22">
        <v>5.6774900000000003E-2</v>
      </c>
      <c r="J318" s="22">
        <v>308</v>
      </c>
      <c r="K318" s="22">
        <v>8.2641599999999996E-2</v>
      </c>
      <c r="L318">
        <f t="shared" si="48"/>
        <v>-56.774900000000002</v>
      </c>
      <c r="M318">
        <f t="shared" si="49"/>
        <v>-15.844909416700002</v>
      </c>
      <c r="N318" s="9"/>
      <c r="O318" s="22">
        <v>1.45096</v>
      </c>
      <c r="P318" s="22">
        <v>158.76499999999999</v>
      </c>
      <c r="Q318" s="22">
        <v>-1.7120400000000001E-2</v>
      </c>
      <c r="R318" s="22">
        <v>308</v>
      </c>
      <c r="S318" s="22">
        <v>1.4501999999999999</v>
      </c>
      <c r="T318">
        <f t="shared" si="50"/>
        <v>17.1204</v>
      </c>
      <c r="U318">
        <f t="shared" si="51"/>
        <v>24.841015584000001</v>
      </c>
      <c r="X318" s="9"/>
      <c r="Y318" s="22">
        <v>0.27908300000000003</v>
      </c>
      <c r="Z318" s="22">
        <v>217.55199999999999</v>
      </c>
      <c r="AA318" s="22">
        <v>-1.79291E-2</v>
      </c>
      <c r="AB318" s="22">
        <v>308</v>
      </c>
      <c r="AC318" s="22">
        <v>0.27871699999999999</v>
      </c>
      <c r="AD318">
        <f t="shared" si="52"/>
        <v>17.929099999999998</v>
      </c>
      <c r="AE318">
        <f t="shared" si="53"/>
        <v>5.0037070152999998</v>
      </c>
      <c r="AF318" s="9"/>
      <c r="AG318" s="22">
        <v>1.45096</v>
      </c>
      <c r="AH318" s="22">
        <v>309.57100000000003</v>
      </c>
      <c r="AI318" s="22">
        <v>-1.7102099999999999E-2</v>
      </c>
      <c r="AJ318" s="22">
        <v>308</v>
      </c>
      <c r="AK318" s="22">
        <v>1.4504999999999999</v>
      </c>
      <c r="AL318">
        <f t="shared" si="54"/>
        <v>17.1021</v>
      </c>
      <c r="AM318">
        <f t="shared" si="55"/>
        <v>24.814463016000001</v>
      </c>
      <c r="AP318" s="9"/>
      <c r="AQ318" s="22">
        <v>0.27908300000000003</v>
      </c>
      <c r="AR318" s="22">
        <v>405.53300000000002</v>
      </c>
      <c r="AS318" s="22">
        <v>-1.7840600000000002E-2</v>
      </c>
      <c r="AT318" s="22">
        <v>308</v>
      </c>
      <c r="AU318" s="22">
        <v>0.278534</v>
      </c>
      <c r="AV318">
        <f t="shared" si="56"/>
        <v>17.840600000000002</v>
      </c>
      <c r="AW318">
        <f t="shared" si="57"/>
        <v>4.979008169800001</v>
      </c>
      <c r="AX318" s="9"/>
      <c r="AY318" s="22">
        <v>1.45096</v>
      </c>
      <c r="AZ318" s="22">
        <v>499.80200000000002</v>
      </c>
      <c r="BA318" s="22">
        <v>-1.7099E-2</v>
      </c>
      <c r="BB318" s="22">
        <v>308</v>
      </c>
      <c r="BC318" s="22">
        <v>1.4508099999999999</v>
      </c>
      <c r="BD318">
        <f t="shared" si="58"/>
        <v>17.099</v>
      </c>
      <c r="BE318">
        <f t="shared" si="59"/>
        <v>24.809965040000002</v>
      </c>
    </row>
    <row r="319" spans="6:57">
      <c r="F319" s="9"/>
      <c r="G319" s="22">
        <v>0.27404800000000001</v>
      </c>
      <c r="H319" s="22">
        <v>86.646699999999996</v>
      </c>
      <c r="I319" s="22">
        <v>5.6753499999999998E-2</v>
      </c>
      <c r="J319" s="22">
        <v>309</v>
      </c>
      <c r="K319" s="22">
        <v>8.2489000000000007E-2</v>
      </c>
      <c r="L319">
        <f t="shared" si="48"/>
        <v>-56.753499999999995</v>
      </c>
      <c r="M319">
        <f t="shared" si="49"/>
        <v>-15.553183168</v>
      </c>
      <c r="N319" s="9"/>
      <c r="O319" s="22">
        <v>1.4559899999999999</v>
      </c>
      <c r="P319" s="22">
        <v>158.86600000000001</v>
      </c>
      <c r="Q319" s="22">
        <v>-1.7102099999999999E-2</v>
      </c>
      <c r="R319" s="22">
        <v>309</v>
      </c>
      <c r="S319" s="22">
        <v>1.4553799999999999</v>
      </c>
      <c r="T319">
        <f t="shared" si="50"/>
        <v>17.1021</v>
      </c>
      <c r="U319">
        <f t="shared" si="51"/>
        <v>24.900486578999999</v>
      </c>
      <c r="X319" s="9"/>
      <c r="Y319" s="22">
        <v>0.27404800000000001</v>
      </c>
      <c r="Z319" s="22">
        <v>217.65299999999999</v>
      </c>
      <c r="AA319" s="22">
        <v>-1.7926000000000001E-2</v>
      </c>
      <c r="AB319" s="22">
        <v>309</v>
      </c>
      <c r="AC319" s="22">
        <v>0.27340700000000001</v>
      </c>
      <c r="AD319">
        <f t="shared" si="52"/>
        <v>17.926000000000002</v>
      </c>
      <c r="AE319">
        <f t="shared" si="53"/>
        <v>4.9125844480000005</v>
      </c>
      <c r="AF319" s="9"/>
      <c r="AG319" s="22">
        <v>1.4559899999999999</v>
      </c>
      <c r="AH319" s="22">
        <v>309.67099999999999</v>
      </c>
      <c r="AI319" s="22">
        <v>-1.7080700000000001E-2</v>
      </c>
      <c r="AJ319" s="22">
        <v>309</v>
      </c>
      <c r="AK319" s="22">
        <v>1.4556899999999999</v>
      </c>
      <c r="AL319">
        <f t="shared" si="54"/>
        <v>17.0807</v>
      </c>
      <c r="AM319">
        <f t="shared" si="55"/>
        <v>24.869328393</v>
      </c>
      <c r="AP319" s="9"/>
      <c r="AQ319" s="22">
        <v>0.27404800000000001</v>
      </c>
      <c r="AR319" s="22">
        <v>405.63400000000001</v>
      </c>
      <c r="AS319" s="22">
        <v>-1.7843600000000001E-2</v>
      </c>
      <c r="AT319" s="22">
        <v>309</v>
      </c>
      <c r="AU319" s="22">
        <v>0.27340700000000001</v>
      </c>
      <c r="AV319">
        <f t="shared" si="56"/>
        <v>17.843600000000002</v>
      </c>
      <c r="AW319">
        <f t="shared" si="57"/>
        <v>4.890002892800001</v>
      </c>
      <c r="AX319" s="9"/>
      <c r="AY319" s="22">
        <v>1.4559899999999999</v>
      </c>
      <c r="AZ319" s="22">
        <v>499.90199999999999</v>
      </c>
      <c r="BA319" s="22">
        <v>-1.7074599999999999E-2</v>
      </c>
      <c r="BB319" s="22">
        <v>309</v>
      </c>
      <c r="BC319" s="22">
        <v>1.4556899999999999</v>
      </c>
      <c r="BD319">
        <f t="shared" si="58"/>
        <v>17.0746</v>
      </c>
      <c r="BE319">
        <f t="shared" si="59"/>
        <v>24.860446853999999</v>
      </c>
    </row>
    <row r="320" spans="6:57">
      <c r="F320" s="9"/>
      <c r="G320" s="22">
        <v>0.26901199999999997</v>
      </c>
      <c r="H320" s="22">
        <v>86.747399999999999</v>
      </c>
      <c r="I320" s="22">
        <v>5.68573E-2</v>
      </c>
      <c r="J320" s="22">
        <v>310</v>
      </c>
      <c r="K320" s="22">
        <v>8.2519499999999996E-2</v>
      </c>
      <c r="L320">
        <f t="shared" si="48"/>
        <v>-56.857300000000002</v>
      </c>
      <c r="M320">
        <f t="shared" si="49"/>
        <v>-15.295295987599999</v>
      </c>
      <c r="N320" s="9"/>
      <c r="O320" s="22">
        <v>1.4610300000000001</v>
      </c>
      <c r="P320" s="22">
        <v>158.96700000000001</v>
      </c>
      <c r="Q320" s="22">
        <v>-1.70715E-2</v>
      </c>
      <c r="R320" s="22">
        <v>310</v>
      </c>
      <c r="S320" s="22">
        <v>1.45966</v>
      </c>
      <c r="T320">
        <f t="shared" si="50"/>
        <v>17.0715</v>
      </c>
      <c r="U320">
        <f t="shared" si="51"/>
        <v>24.941973645000001</v>
      </c>
      <c r="X320" s="9"/>
      <c r="Y320" s="22">
        <v>0.26901199999999997</v>
      </c>
      <c r="Z320" s="22">
        <v>217.75299999999999</v>
      </c>
      <c r="AA320" s="22">
        <v>-1.79291E-2</v>
      </c>
      <c r="AB320" s="22">
        <v>310</v>
      </c>
      <c r="AC320" s="22">
        <v>0.26858500000000002</v>
      </c>
      <c r="AD320">
        <f t="shared" si="52"/>
        <v>17.929099999999998</v>
      </c>
      <c r="AE320">
        <f t="shared" si="53"/>
        <v>4.8231430491999987</v>
      </c>
      <c r="AF320" s="9"/>
      <c r="AG320" s="22">
        <v>1.4610300000000001</v>
      </c>
      <c r="AH320" s="22">
        <v>309.77199999999999</v>
      </c>
      <c r="AI320" s="22">
        <v>-1.7059299999999999E-2</v>
      </c>
      <c r="AJ320" s="22">
        <v>310</v>
      </c>
      <c r="AK320" s="22">
        <v>1.4605699999999999</v>
      </c>
      <c r="AL320">
        <f t="shared" si="54"/>
        <v>17.0593</v>
      </c>
      <c r="AM320">
        <f t="shared" si="55"/>
        <v>24.924149079000003</v>
      </c>
      <c r="AP320" s="9"/>
      <c r="AQ320" s="22">
        <v>0.26901199999999997</v>
      </c>
      <c r="AR320" s="22">
        <v>405.73500000000001</v>
      </c>
      <c r="AS320" s="22">
        <v>-1.7843600000000001E-2</v>
      </c>
      <c r="AT320" s="22">
        <v>310</v>
      </c>
      <c r="AU320" s="22">
        <v>0.26846300000000001</v>
      </c>
      <c r="AV320">
        <f t="shared" si="56"/>
        <v>17.843600000000002</v>
      </c>
      <c r="AW320">
        <f t="shared" si="57"/>
        <v>4.8001425231999999</v>
      </c>
      <c r="AX320" s="9"/>
      <c r="AY320" s="22">
        <v>1.4610300000000001</v>
      </c>
      <c r="AZ320" s="22">
        <v>500.00299999999999</v>
      </c>
      <c r="BA320" s="22">
        <v>-1.7053200000000001E-2</v>
      </c>
      <c r="BB320" s="22">
        <v>310</v>
      </c>
      <c r="BC320" s="22">
        <v>1.46027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0.26397700000000002</v>
      </c>
      <c r="H321" s="22">
        <v>86.848100000000002</v>
      </c>
      <c r="I321" s="22">
        <v>5.6765700000000002E-2</v>
      </c>
      <c r="J321" s="22">
        <v>311</v>
      </c>
      <c r="K321" s="22">
        <v>8.2489000000000007E-2</v>
      </c>
      <c r="L321">
        <f t="shared" si="48"/>
        <v>-56.765700000000002</v>
      </c>
      <c r="M321">
        <f t="shared" si="49"/>
        <v>-14.984839188900002</v>
      </c>
      <c r="N321" s="9"/>
      <c r="O321" s="22">
        <v>1.4660599999999999</v>
      </c>
      <c r="P321" s="22">
        <v>159.06700000000001</v>
      </c>
      <c r="Q321" s="22">
        <v>-1.70441E-2</v>
      </c>
      <c r="R321" s="22">
        <v>311</v>
      </c>
      <c r="S321" s="22">
        <v>1.4642299999999999</v>
      </c>
      <c r="T321">
        <f t="shared" si="50"/>
        <v>17.0441</v>
      </c>
      <c r="U321">
        <f t="shared" si="51"/>
        <v>24.987673246</v>
      </c>
      <c r="X321" s="9"/>
      <c r="Y321" s="22">
        <v>0.26397700000000002</v>
      </c>
      <c r="Z321" s="22">
        <v>217.85400000000001</v>
      </c>
      <c r="AA321" s="22">
        <v>-1.7916899999999999E-2</v>
      </c>
      <c r="AB321" s="22">
        <v>311</v>
      </c>
      <c r="AC321" s="22">
        <v>0.26345800000000003</v>
      </c>
      <c r="AD321">
        <f t="shared" si="52"/>
        <v>17.916899999999998</v>
      </c>
      <c r="AE321">
        <f t="shared" si="53"/>
        <v>4.7296495112999999</v>
      </c>
      <c r="AF321" s="9"/>
      <c r="AG321" s="22">
        <v>1.4660599999999999</v>
      </c>
      <c r="AH321" s="22">
        <v>309.87299999999999</v>
      </c>
      <c r="AI321" s="22">
        <v>-1.7034899999999999E-2</v>
      </c>
      <c r="AJ321" s="22">
        <v>311</v>
      </c>
      <c r="AK321" s="22">
        <v>1.46576</v>
      </c>
      <c r="AL321">
        <f t="shared" si="54"/>
        <v>17.0349</v>
      </c>
      <c r="AM321">
        <f t="shared" si="55"/>
        <v>24.974185494</v>
      </c>
      <c r="AP321" s="9"/>
      <c r="AQ321" s="22">
        <v>0.26397700000000002</v>
      </c>
      <c r="AR321" s="22">
        <v>405.83499999999998</v>
      </c>
      <c r="AS321" s="22">
        <v>-1.78467E-2</v>
      </c>
      <c r="AT321" s="22">
        <v>311</v>
      </c>
      <c r="AU321" s="22">
        <v>0.26348899999999997</v>
      </c>
      <c r="AV321">
        <f t="shared" si="56"/>
        <v>17.846699999999998</v>
      </c>
      <c r="AW321">
        <f t="shared" si="57"/>
        <v>4.7111183259000002</v>
      </c>
      <c r="AX321" s="9"/>
      <c r="AY321" s="22">
        <v>1.4660599999999999</v>
      </c>
      <c r="AZ321" s="22">
        <v>500.10399999999998</v>
      </c>
      <c r="BA321" s="22">
        <v>-1.7041000000000001E-2</v>
      </c>
      <c r="BB321" s="22">
        <v>311</v>
      </c>
      <c r="BC321" s="22">
        <v>1.4654499999999999</v>
      </c>
      <c r="BD321">
        <f t="shared" si="58"/>
        <v>17.041</v>
      </c>
      <c r="BE321">
        <f t="shared" si="59"/>
        <v>24.98312846</v>
      </c>
    </row>
    <row r="322" spans="6:57">
      <c r="F322" s="9"/>
      <c r="G322" s="22">
        <v>0.25894200000000001</v>
      </c>
      <c r="H322" s="22">
        <v>86.948800000000006</v>
      </c>
      <c r="I322" s="22">
        <v>5.6732200000000003E-2</v>
      </c>
      <c r="J322" s="22">
        <v>312</v>
      </c>
      <c r="K322" s="22">
        <v>8.2428000000000001E-2</v>
      </c>
      <c r="L322">
        <f t="shared" si="48"/>
        <v>-56.732200000000006</v>
      </c>
      <c r="M322">
        <f t="shared" si="49"/>
        <v>-14.690349332400002</v>
      </c>
      <c r="N322" s="9"/>
      <c r="O322" s="22">
        <v>1.4711000000000001</v>
      </c>
      <c r="P322" s="22">
        <v>159.16800000000001</v>
      </c>
      <c r="Q322" s="22">
        <v>-1.7031899999999999E-2</v>
      </c>
      <c r="R322" s="22">
        <v>312</v>
      </c>
      <c r="S322" s="22">
        <v>1.4700299999999999</v>
      </c>
      <c r="T322">
        <f t="shared" si="50"/>
        <v>17.0319</v>
      </c>
      <c r="U322">
        <f t="shared" si="51"/>
        <v>25.055628090000003</v>
      </c>
      <c r="X322" s="9"/>
      <c r="Y322" s="22">
        <v>0.25894200000000001</v>
      </c>
      <c r="Z322" s="22">
        <v>217.95500000000001</v>
      </c>
      <c r="AA322" s="22">
        <v>-1.7907699999999999E-2</v>
      </c>
      <c r="AB322" s="22">
        <v>312</v>
      </c>
      <c r="AC322" s="22">
        <v>0.258575</v>
      </c>
      <c r="AD322">
        <f t="shared" si="52"/>
        <v>17.907699999999998</v>
      </c>
      <c r="AE322">
        <f t="shared" si="53"/>
        <v>4.6370556534</v>
      </c>
      <c r="AF322" s="9"/>
      <c r="AG322" s="22">
        <v>1.4711000000000001</v>
      </c>
      <c r="AH322" s="22">
        <v>309.97300000000001</v>
      </c>
      <c r="AI322" s="22">
        <v>-1.7022700000000002E-2</v>
      </c>
      <c r="AJ322" s="22">
        <v>312</v>
      </c>
      <c r="AK322" s="22">
        <v>1.47034</v>
      </c>
      <c r="AL322">
        <f t="shared" si="54"/>
        <v>17.0227</v>
      </c>
      <c r="AM322">
        <f t="shared" si="55"/>
        <v>25.042093970000003</v>
      </c>
      <c r="AP322" s="9"/>
      <c r="AQ322" s="22">
        <v>0.25894200000000001</v>
      </c>
      <c r="AR322" s="22">
        <v>405.93599999999998</v>
      </c>
      <c r="AS322" s="22">
        <v>-1.78589E-2</v>
      </c>
      <c r="AT322" s="22">
        <v>312</v>
      </c>
      <c r="AU322" s="22">
        <v>0.25827</v>
      </c>
      <c r="AV322">
        <f t="shared" si="56"/>
        <v>17.858900000000002</v>
      </c>
      <c r="AW322">
        <f t="shared" si="57"/>
        <v>4.6244192838000009</v>
      </c>
      <c r="AX322" s="9"/>
      <c r="AY322" s="22">
        <v>1.4711000000000001</v>
      </c>
      <c r="AZ322" s="22">
        <v>500.20499999999998</v>
      </c>
      <c r="BA322" s="22">
        <v>-1.70288E-2</v>
      </c>
      <c r="BB322" s="22">
        <v>312</v>
      </c>
      <c r="BC322" s="22">
        <v>1.47095</v>
      </c>
      <c r="BD322">
        <f t="shared" si="58"/>
        <v>17.0288</v>
      </c>
      <c r="BE322">
        <f t="shared" si="59"/>
        <v>25.051067680000003</v>
      </c>
    </row>
    <row r="323" spans="6:57">
      <c r="F323" s="9"/>
      <c r="G323" s="22">
        <v>0.25390600000000002</v>
      </c>
      <c r="H323" s="22">
        <v>87.049499999999995</v>
      </c>
      <c r="I323" s="22">
        <v>5.6689499999999997E-2</v>
      </c>
      <c r="J323" s="22">
        <v>313</v>
      </c>
      <c r="K323" s="22">
        <v>8.2458500000000004E-2</v>
      </c>
      <c r="L323">
        <f t="shared" si="48"/>
        <v>-56.689499999999995</v>
      </c>
      <c r="M323">
        <f t="shared" si="49"/>
        <v>-14.393804187000001</v>
      </c>
      <c r="N323" s="9"/>
      <c r="O323" s="22">
        <v>1.47614</v>
      </c>
      <c r="P323" s="22">
        <v>159.26900000000001</v>
      </c>
      <c r="Q323" s="22">
        <v>-1.70013E-2</v>
      </c>
      <c r="R323" s="22">
        <v>313</v>
      </c>
      <c r="S323" s="22">
        <v>1.4755199999999999</v>
      </c>
      <c r="T323">
        <f t="shared" si="50"/>
        <v>17.001300000000001</v>
      </c>
      <c r="U323">
        <f t="shared" si="51"/>
        <v>25.096298982</v>
      </c>
      <c r="X323" s="9"/>
      <c r="Y323" s="22">
        <v>0.25390600000000002</v>
      </c>
      <c r="Z323" s="22">
        <v>218.05600000000001</v>
      </c>
      <c r="AA323" s="22">
        <v>-1.7919899999999999E-2</v>
      </c>
      <c r="AB323" s="22">
        <v>313</v>
      </c>
      <c r="AC323" s="22">
        <v>0.25320399999999998</v>
      </c>
      <c r="AD323">
        <f t="shared" si="52"/>
        <v>17.919899999999998</v>
      </c>
      <c r="AE323">
        <f t="shared" si="53"/>
        <v>4.5499701294000001</v>
      </c>
      <c r="AF323" s="9"/>
      <c r="AG323" s="22">
        <v>1.47614</v>
      </c>
      <c r="AH323" s="22">
        <v>310.07400000000001</v>
      </c>
      <c r="AI323" s="22">
        <v>-1.7004399999999999E-2</v>
      </c>
      <c r="AJ323" s="22">
        <v>313</v>
      </c>
      <c r="AK323" s="22">
        <v>1.47522</v>
      </c>
      <c r="AL323">
        <f t="shared" si="54"/>
        <v>17.0044</v>
      </c>
      <c r="AM323">
        <f t="shared" si="55"/>
        <v>25.100875016</v>
      </c>
      <c r="AP323" s="9"/>
      <c r="AQ323" s="22">
        <v>0.25390600000000002</v>
      </c>
      <c r="AR323" s="22">
        <v>406.03699999999998</v>
      </c>
      <c r="AS323" s="22">
        <v>-1.78589E-2</v>
      </c>
      <c r="AT323" s="22">
        <v>313</v>
      </c>
      <c r="AU323" s="22">
        <v>0.25329600000000002</v>
      </c>
      <c r="AV323">
        <f t="shared" si="56"/>
        <v>17.858900000000002</v>
      </c>
      <c r="AW323">
        <f t="shared" si="57"/>
        <v>4.5344818634000008</v>
      </c>
      <c r="AX323" s="9"/>
      <c r="AY323" s="22">
        <v>1.47614</v>
      </c>
      <c r="AZ323" s="22">
        <v>500.30500000000001</v>
      </c>
      <c r="BA323" s="22">
        <v>-1.7019699999999999E-2</v>
      </c>
      <c r="BB323" s="22">
        <v>313</v>
      </c>
      <c r="BC323" s="22">
        <v>1.47522</v>
      </c>
      <c r="BD323">
        <f t="shared" si="58"/>
        <v>17.0197</v>
      </c>
      <c r="BE323">
        <f t="shared" si="59"/>
        <v>25.123459958000002</v>
      </c>
    </row>
    <row r="324" spans="6:57">
      <c r="F324" s="9"/>
      <c r="G324" s="22">
        <v>0.24887100000000001</v>
      </c>
      <c r="H324" s="22">
        <v>87.150199999999998</v>
      </c>
      <c r="I324" s="22">
        <v>7.4084499999999998E-2</v>
      </c>
      <c r="J324" s="22">
        <v>314</v>
      </c>
      <c r="K324" s="22">
        <v>8.3282499999999995E-2</v>
      </c>
      <c r="L324">
        <f t="shared" si="48"/>
        <v>-74.084499999999991</v>
      </c>
      <c r="M324">
        <f t="shared" si="49"/>
        <v>-18.437483599499998</v>
      </c>
      <c r="N324" s="9"/>
      <c r="O324" s="22">
        <v>1.4811700000000001</v>
      </c>
      <c r="P324" s="22">
        <v>159.369</v>
      </c>
      <c r="Q324" s="22">
        <v>-1.6970800000000001E-2</v>
      </c>
      <c r="R324" s="22">
        <v>314</v>
      </c>
      <c r="S324" s="22">
        <v>1.48071</v>
      </c>
      <c r="T324">
        <f t="shared" si="50"/>
        <v>16.970800000000001</v>
      </c>
      <c r="U324">
        <f t="shared" si="51"/>
        <v>25.136639836000004</v>
      </c>
      <c r="X324" s="9"/>
      <c r="Y324" s="22">
        <v>0.24887100000000001</v>
      </c>
      <c r="Z324" s="22">
        <v>218.15600000000001</v>
      </c>
      <c r="AA324" s="22">
        <v>-1.7919899999999999E-2</v>
      </c>
      <c r="AB324" s="22">
        <v>314</v>
      </c>
      <c r="AC324" s="22">
        <v>0.24823000000000001</v>
      </c>
      <c r="AD324">
        <f t="shared" si="52"/>
        <v>17.919899999999998</v>
      </c>
      <c r="AE324">
        <f t="shared" si="53"/>
        <v>4.4597434328999999</v>
      </c>
      <c r="AF324" s="9"/>
      <c r="AG324" s="22">
        <v>1.4811700000000001</v>
      </c>
      <c r="AH324" s="22">
        <v>310.17500000000001</v>
      </c>
      <c r="AI324" s="22">
        <v>-1.69891E-2</v>
      </c>
      <c r="AJ324" s="22">
        <v>314</v>
      </c>
      <c r="AK324" s="22">
        <v>1.4801</v>
      </c>
      <c r="AL324">
        <f t="shared" si="54"/>
        <v>16.989100000000001</v>
      </c>
      <c r="AM324">
        <f t="shared" si="55"/>
        <v>25.163745247000001</v>
      </c>
      <c r="AP324" s="9"/>
      <c r="AQ324" s="22">
        <v>0.24887100000000001</v>
      </c>
      <c r="AR324" s="22">
        <v>406.137</v>
      </c>
      <c r="AS324" s="22">
        <v>-1.78619E-2</v>
      </c>
      <c r="AT324" s="22">
        <v>314</v>
      </c>
      <c r="AU324" s="22">
        <v>0.24841299999999999</v>
      </c>
      <c r="AV324">
        <f t="shared" si="56"/>
        <v>17.861899999999999</v>
      </c>
      <c r="AW324">
        <f t="shared" si="57"/>
        <v>4.4453089149</v>
      </c>
      <c r="AX324" s="9"/>
      <c r="AY324" s="22">
        <v>1.4811700000000001</v>
      </c>
      <c r="AZ324" s="22">
        <v>500.40600000000001</v>
      </c>
      <c r="BA324" s="22">
        <v>-1.69739E-2</v>
      </c>
      <c r="BB324" s="22">
        <v>314</v>
      </c>
      <c r="BC324" s="22">
        <v>1.48041</v>
      </c>
      <c r="BD324">
        <f t="shared" si="58"/>
        <v>16.9739</v>
      </c>
      <c r="BE324">
        <f t="shared" si="59"/>
        <v>25.141231463000004</v>
      </c>
    </row>
    <row r="325" spans="6:57">
      <c r="F325" s="9"/>
      <c r="G325" s="22">
        <v>0.243835</v>
      </c>
      <c r="H325" s="22">
        <v>87.250900000000001</v>
      </c>
      <c r="I325" s="22">
        <v>7.4343900000000004E-2</v>
      </c>
      <c r="J325" s="22">
        <v>315</v>
      </c>
      <c r="K325" s="22">
        <v>8.3435099999999998E-2</v>
      </c>
      <c r="L325">
        <f t="shared" si="48"/>
        <v>-74.343900000000005</v>
      </c>
      <c r="M325">
        <f t="shared" si="49"/>
        <v>-18.127644856500002</v>
      </c>
      <c r="N325" s="9"/>
      <c r="O325" s="22">
        <v>1.48621</v>
      </c>
      <c r="P325" s="22">
        <v>159.47</v>
      </c>
      <c r="Q325" s="22">
        <v>-1.6918900000000001E-2</v>
      </c>
      <c r="R325" s="22">
        <v>315</v>
      </c>
      <c r="S325" s="22">
        <v>1.48529</v>
      </c>
      <c r="T325">
        <f t="shared" si="50"/>
        <v>16.918900000000001</v>
      </c>
      <c r="U325">
        <f t="shared" si="51"/>
        <v>25.145038369000002</v>
      </c>
      <c r="X325" s="9"/>
      <c r="Y325" s="22">
        <v>0.243835</v>
      </c>
      <c r="Z325" s="22">
        <v>218.25700000000001</v>
      </c>
      <c r="AA325" s="22">
        <v>-1.7926000000000001E-2</v>
      </c>
      <c r="AB325" s="22">
        <v>315</v>
      </c>
      <c r="AC325" s="22">
        <v>0.24334700000000001</v>
      </c>
      <c r="AD325">
        <f t="shared" si="52"/>
        <v>17.926000000000002</v>
      </c>
      <c r="AE325">
        <f t="shared" si="53"/>
        <v>4.3709862100000008</v>
      </c>
      <c r="AF325" s="9"/>
      <c r="AG325" s="22">
        <v>1.48621</v>
      </c>
      <c r="AH325" s="22">
        <v>310.27600000000001</v>
      </c>
      <c r="AI325" s="22">
        <v>-1.6964699999999999E-2</v>
      </c>
      <c r="AJ325" s="22">
        <v>315</v>
      </c>
      <c r="AK325" s="22">
        <v>1.4859</v>
      </c>
      <c r="AL325">
        <f t="shared" si="54"/>
        <v>16.964700000000001</v>
      </c>
      <c r="AM325">
        <f t="shared" si="55"/>
        <v>25.213106787000001</v>
      </c>
      <c r="AP325" s="9"/>
      <c r="AQ325" s="22">
        <v>0.243835</v>
      </c>
      <c r="AR325" s="22">
        <v>406.238</v>
      </c>
      <c r="AS325" s="22">
        <v>-1.78589E-2</v>
      </c>
      <c r="AT325" s="22">
        <v>315</v>
      </c>
      <c r="AU325" s="22">
        <v>0.24316399999999999</v>
      </c>
      <c r="AV325">
        <f t="shared" si="56"/>
        <v>17.858900000000002</v>
      </c>
      <c r="AW325">
        <f t="shared" si="57"/>
        <v>4.3546248815000004</v>
      </c>
      <c r="AX325" s="9"/>
      <c r="AY325" s="22">
        <v>1.48621</v>
      </c>
      <c r="AZ325" s="22">
        <v>500.50700000000001</v>
      </c>
      <c r="BA325" s="22">
        <v>-1.6949499999999999E-2</v>
      </c>
      <c r="BB325" s="22">
        <v>315</v>
      </c>
      <c r="BC325" s="22">
        <v>1.4859</v>
      </c>
      <c r="BD325">
        <f t="shared" si="58"/>
        <v>16.9495</v>
      </c>
      <c r="BE325">
        <f t="shared" si="59"/>
        <v>25.190516395</v>
      </c>
    </row>
    <row r="326" spans="6:57">
      <c r="F326" s="9"/>
      <c r="G326" s="22">
        <v>0.23880000000000001</v>
      </c>
      <c r="H326" s="22">
        <v>87.351600000000005</v>
      </c>
      <c r="I326" s="22">
        <v>7.4231000000000005E-2</v>
      </c>
      <c r="J326" s="22">
        <v>316</v>
      </c>
      <c r="K326" s="22">
        <v>8.3190899999999998E-2</v>
      </c>
      <c r="L326">
        <f t="shared" si="48"/>
        <v>-74.231000000000009</v>
      </c>
      <c r="M326">
        <f t="shared" si="49"/>
        <v>-17.726362800000004</v>
      </c>
      <c r="N326" s="9"/>
      <c r="O326" s="22">
        <v>1.4912399999999999</v>
      </c>
      <c r="P326" s="22">
        <v>159.571</v>
      </c>
      <c r="Q326" s="22">
        <v>-1.68945E-2</v>
      </c>
      <c r="R326" s="22">
        <v>316</v>
      </c>
      <c r="S326" s="22">
        <v>1.49017</v>
      </c>
      <c r="T326">
        <f t="shared" si="50"/>
        <v>16.894500000000001</v>
      </c>
      <c r="U326">
        <f t="shared" si="51"/>
        <v>25.193754179999999</v>
      </c>
      <c r="X326" s="9"/>
      <c r="Y326" s="22">
        <v>0.23880000000000001</v>
      </c>
      <c r="Z326" s="22">
        <v>218.358</v>
      </c>
      <c r="AA326" s="22">
        <v>-1.79291E-2</v>
      </c>
      <c r="AB326" s="22">
        <v>316</v>
      </c>
      <c r="AC326" s="22">
        <v>0.238373</v>
      </c>
      <c r="AD326">
        <f t="shared" si="52"/>
        <v>17.929099999999998</v>
      </c>
      <c r="AE326">
        <f t="shared" si="53"/>
        <v>4.2814690799999999</v>
      </c>
      <c r="AF326" s="9"/>
      <c r="AG326" s="22">
        <v>1.4912399999999999</v>
      </c>
      <c r="AH326" s="22">
        <v>310.37599999999998</v>
      </c>
      <c r="AI326" s="22">
        <v>-1.6928100000000001E-2</v>
      </c>
      <c r="AJ326" s="22">
        <v>316</v>
      </c>
      <c r="AK326" s="22">
        <v>1.49048</v>
      </c>
      <c r="AL326">
        <f t="shared" si="54"/>
        <v>16.928100000000001</v>
      </c>
      <c r="AM326">
        <f t="shared" si="55"/>
        <v>25.243859843999999</v>
      </c>
      <c r="AP326" s="9"/>
      <c r="AQ326" s="22">
        <v>0.23880000000000001</v>
      </c>
      <c r="AR326" s="22">
        <v>406.339</v>
      </c>
      <c r="AS326" s="22">
        <v>-1.7864999999999999E-2</v>
      </c>
      <c r="AT326" s="22">
        <v>316</v>
      </c>
      <c r="AU326" s="22">
        <v>0.238403</v>
      </c>
      <c r="AV326">
        <f t="shared" si="56"/>
        <v>17.864999999999998</v>
      </c>
      <c r="AW326">
        <f t="shared" si="57"/>
        <v>4.2661619999999996</v>
      </c>
      <c r="AX326" s="9"/>
      <c r="AY326" s="22">
        <v>1.4912399999999999</v>
      </c>
      <c r="AZ326" s="22">
        <v>500.60700000000003</v>
      </c>
      <c r="BA326" s="22">
        <v>-1.6922E-2</v>
      </c>
      <c r="BB326" s="22">
        <v>316</v>
      </c>
      <c r="BC326" s="22">
        <v>1.49078</v>
      </c>
      <c r="BD326">
        <f t="shared" si="58"/>
        <v>16.922000000000001</v>
      </c>
      <c r="BE326">
        <f t="shared" si="59"/>
        <v>25.234763279999999</v>
      </c>
    </row>
    <row r="327" spans="6:57">
      <c r="F327" s="9"/>
      <c r="G327" s="22">
        <v>0.233765</v>
      </c>
      <c r="H327" s="22">
        <v>87.452299999999994</v>
      </c>
      <c r="I327" s="22">
        <v>7.5100700000000006E-2</v>
      </c>
      <c r="J327" s="22">
        <v>317</v>
      </c>
      <c r="K327" s="22">
        <v>8.3160399999999995E-2</v>
      </c>
      <c r="L327">
        <f t="shared" si="48"/>
        <v>-75.100700000000003</v>
      </c>
      <c r="M327">
        <f t="shared" si="49"/>
        <v>-17.555915135500001</v>
      </c>
      <c r="N327" s="9"/>
      <c r="O327" s="22">
        <v>1.4962800000000001</v>
      </c>
      <c r="P327" s="22">
        <v>159.67099999999999</v>
      </c>
      <c r="Q327" s="22">
        <v>-1.68518E-2</v>
      </c>
      <c r="R327" s="22">
        <v>317</v>
      </c>
      <c r="S327" s="22">
        <v>1.49597</v>
      </c>
      <c r="T327">
        <f t="shared" si="50"/>
        <v>16.851800000000001</v>
      </c>
      <c r="U327">
        <f t="shared" si="51"/>
        <v>25.215011304000001</v>
      </c>
      <c r="X327" s="9"/>
      <c r="Y327" s="22">
        <v>0.233765</v>
      </c>
      <c r="Z327" s="22">
        <v>218.458</v>
      </c>
      <c r="AA327" s="22">
        <v>-1.79291E-2</v>
      </c>
      <c r="AB327" s="22">
        <v>317</v>
      </c>
      <c r="AC327" s="22">
        <v>0.233124</v>
      </c>
      <c r="AD327">
        <f t="shared" si="52"/>
        <v>17.929099999999998</v>
      </c>
      <c r="AE327">
        <f t="shared" si="53"/>
        <v>4.1911960614999995</v>
      </c>
      <c r="AF327" s="9"/>
      <c r="AG327" s="22">
        <v>1.4962800000000001</v>
      </c>
      <c r="AH327" s="22">
        <v>310.47699999999998</v>
      </c>
      <c r="AI327" s="22">
        <v>-1.68915E-2</v>
      </c>
      <c r="AJ327" s="22">
        <v>317</v>
      </c>
      <c r="AK327" s="22">
        <v>1.4956700000000001</v>
      </c>
      <c r="AL327">
        <f t="shared" si="54"/>
        <v>16.891500000000001</v>
      </c>
      <c r="AM327">
        <f t="shared" si="55"/>
        <v>25.274413620000001</v>
      </c>
      <c r="AP327" s="9"/>
      <c r="AQ327" s="22">
        <v>0.233765</v>
      </c>
      <c r="AR327" s="22">
        <v>406.44</v>
      </c>
      <c r="AS327" s="22">
        <v>-1.78589E-2</v>
      </c>
      <c r="AT327" s="22">
        <v>317</v>
      </c>
      <c r="AU327" s="22">
        <v>0.233124</v>
      </c>
      <c r="AV327">
        <f t="shared" si="56"/>
        <v>17.858900000000002</v>
      </c>
      <c r="AW327">
        <f t="shared" si="57"/>
        <v>4.1747857585000006</v>
      </c>
      <c r="AX327" s="9"/>
      <c r="AY327" s="22">
        <v>1.4962800000000001</v>
      </c>
      <c r="AZ327" s="22">
        <v>500.70800000000003</v>
      </c>
      <c r="BA327" s="22">
        <v>-1.6888400000000001E-2</v>
      </c>
      <c r="BB327" s="22">
        <v>317</v>
      </c>
      <c r="BC327" s="22">
        <v>1.49536</v>
      </c>
      <c r="BD327">
        <f t="shared" si="58"/>
        <v>16.888400000000001</v>
      </c>
      <c r="BE327">
        <f t="shared" si="59"/>
        <v>25.269775152000001</v>
      </c>
    </row>
    <row r="328" spans="6:57">
      <c r="F328" s="9"/>
      <c r="G328" s="22">
        <v>0.22872899999999999</v>
      </c>
      <c r="H328" s="22">
        <v>87.552999999999997</v>
      </c>
      <c r="I328" s="22">
        <v>7.4923699999999996E-2</v>
      </c>
      <c r="J328" s="22">
        <v>318</v>
      </c>
      <c r="K328" s="22">
        <v>8.3160399999999995E-2</v>
      </c>
      <c r="L328">
        <f t="shared" si="48"/>
        <v>-74.923699999999997</v>
      </c>
      <c r="M328">
        <f t="shared" si="49"/>
        <v>-17.137222977299999</v>
      </c>
      <c r="N328" s="9"/>
      <c r="O328" s="22">
        <v>1.5013099999999999</v>
      </c>
      <c r="P328" s="22">
        <v>159.77199999999999</v>
      </c>
      <c r="Q328" s="22">
        <v>-1.68121E-2</v>
      </c>
      <c r="R328" s="22">
        <v>318</v>
      </c>
      <c r="S328" s="22">
        <v>1.5005500000000001</v>
      </c>
      <c r="T328">
        <f t="shared" si="50"/>
        <v>16.812100000000001</v>
      </c>
      <c r="U328">
        <f t="shared" si="51"/>
        <v>25.240173851000002</v>
      </c>
      <c r="X328" s="9"/>
      <c r="Y328" s="22">
        <v>0.22872899999999999</v>
      </c>
      <c r="Z328" s="22">
        <v>218.559</v>
      </c>
      <c r="AA328" s="22">
        <v>-1.7932099999999999E-2</v>
      </c>
      <c r="AB328" s="22">
        <v>318</v>
      </c>
      <c r="AC328" s="22">
        <v>0.227936</v>
      </c>
      <c r="AD328">
        <f t="shared" si="52"/>
        <v>17.932099999999998</v>
      </c>
      <c r="AE328">
        <f t="shared" si="53"/>
        <v>4.1015913008999991</v>
      </c>
      <c r="AF328" s="9"/>
      <c r="AG328" s="22">
        <v>1.5013099999999999</v>
      </c>
      <c r="AH328" s="22">
        <v>310.57799999999997</v>
      </c>
      <c r="AI328" s="22">
        <v>-1.6854899999999999E-2</v>
      </c>
      <c r="AJ328" s="22">
        <v>318</v>
      </c>
      <c r="AK328" s="22">
        <v>1.5005500000000001</v>
      </c>
      <c r="AL328">
        <f t="shared" si="54"/>
        <v>16.854900000000001</v>
      </c>
      <c r="AM328">
        <f t="shared" si="55"/>
        <v>25.304429919</v>
      </c>
      <c r="AP328" s="9"/>
      <c r="AQ328" s="22">
        <v>0.22872899999999999</v>
      </c>
      <c r="AR328" s="22">
        <v>406.54</v>
      </c>
      <c r="AS328" s="22">
        <v>-1.7871100000000001E-2</v>
      </c>
      <c r="AT328" s="22">
        <v>318</v>
      </c>
      <c r="AU328" s="22">
        <v>0.22842399999999999</v>
      </c>
      <c r="AV328">
        <f t="shared" si="56"/>
        <v>17.871100000000002</v>
      </c>
      <c r="AW328">
        <f t="shared" si="57"/>
        <v>4.0876388319000005</v>
      </c>
      <c r="AX328" s="9"/>
      <c r="AY328" s="22">
        <v>1.5013099999999999</v>
      </c>
      <c r="AZ328" s="22">
        <v>500.80900000000003</v>
      </c>
      <c r="BA328" s="22">
        <v>-1.6854899999999999E-2</v>
      </c>
      <c r="BB328" s="22">
        <v>318</v>
      </c>
      <c r="BC328" s="22">
        <v>1.5005500000000001</v>
      </c>
      <c r="BD328">
        <f t="shared" si="58"/>
        <v>16.854900000000001</v>
      </c>
      <c r="BE328">
        <f t="shared" si="59"/>
        <v>25.304429919</v>
      </c>
    </row>
    <row r="329" spans="6:57">
      <c r="F329" s="9"/>
      <c r="G329" s="22">
        <v>0.223694</v>
      </c>
      <c r="H329" s="22">
        <v>87.653700000000001</v>
      </c>
      <c r="I329" s="22">
        <v>7.5091599999999994E-2</v>
      </c>
      <c r="J329" s="22">
        <v>319</v>
      </c>
      <c r="K329" s="22">
        <v>8.3099400000000004E-2</v>
      </c>
      <c r="L329">
        <f t="shared" si="48"/>
        <v>-75.0916</v>
      </c>
      <c r="M329">
        <f t="shared" si="49"/>
        <v>-16.7975403704</v>
      </c>
      <c r="N329" s="9"/>
      <c r="O329" s="22">
        <v>1.5063500000000001</v>
      </c>
      <c r="P329" s="22">
        <v>159.87299999999999</v>
      </c>
      <c r="Q329" s="22">
        <v>-1.6760299999999999E-2</v>
      </c>
      <c r="R329" s="22">
        <v>319</v>
      </c>
      <c r="S329" s="22">
        <v>1.50543</v>
      </c>
      <c r="T329">
        <f t="shared" si="50"/>
        <v>16.760299999999997</v>
      </c>
      <c r="U329">
        <f t="shared" si="51"/>
        <v>25.246877904999998</v>
      </c>
      <c r="X329" s="9"/>
      <c r="Y329" s="22">
        <v>0.223694</v>
      </c>
      <c r="Z329" s="22">
        <v>218.66</v>
      </c>
      <c r="AA329" s="22">
        <v>-1.7938200000000001E-2</v>
      </c>
      <c r="AB329" s="22">
        <v>319</v>
      </c>
      <c r="AC329" s="22">
        <v>0.223328</v>
      </c>
      <c r="AD329">
        <f t="shared" si="52"/>
        <v>17.938200000000002</v>
      </c>
      <c r="AE329">
        <f t="shared" si="53"/>
        <v>4.0126677108000006</v>
      </c>
      <c r="AF329" s="9"/>
      <c r="AG329" s="22">
        <v>1.5063500000000001</v>
      </c>
      <c r="AH329" s="22">
        <v>310.678</v>
      </c>
      <c r="AI329" s="22">
        <v>-1.68243E-2</v>
      </c>
      <c r="AJ329" s="22">
        <v>319</v>
      </c>
      <c r="AK329" s="22">
        <v>1.5057400000000001</v>
      </c>
      <c r="AL329">
        <f t="shared" si="54"/>
        <v>16.824300000000001</v>
      </c>
      <c r="AM329">
        <f t="shared" si="55"/>
        <v>25.343284305000001</v>
      </c>
      <c r="AP329" s="9"/>
      <c r="AQ329" s="22">
        <v>0.223694</v>
      </c>
      <c r="AR329" s="22">
        <v>406.64100000000002</v>
      </c>
      <c r="AS329" s="22">
        <v>-1.7877199999999999E-2</v>
      </c>
      <c r="AT329" s="22">
        <v>319</v>
      </c>
      <c r="AU329" s="22">
        <v>0.22289999999999999</v>
      </c>
      <c r="AV329">
        <f t="shared" si="56"/>
        <v>17.877199999999998</v>
      </c>
      <c r="AW329">
        <f t="shared" si="57"/>
        <v>3.9990223767999997</v>
      </c>
      <c r="AX329" s="9"/>
      <c r="AY329" s="22">
        <v>1.5063500000000001</v>
      </c>
      <c r="AZ329" s="22">
        <v>500.91</v>
      </c>
      <c r="BA329" s="22">
        <v>-1.68243E-2</v>
      </c>
      <c r="BB329" s="22">
        <v>319</v>
      </c>
      <c r="BC329" s="22">
        <v>1.50543</v>
      </c>
      <c r="BD329">
        <f t="shared" si="58"/>
        <v>16.824300000000001</v>
      </c>
      <c r="BE329">
        <f t="shared" si="59"/>
        <v>25.343284305000001</v>
      </c>
    </row>
    <row r="330" spans="6:57">
      <c r="F330" s="9"/>
      <c r="G330" s="22">
        <v>0.21865799999999999</v>
      </c>
      <c r="H330" s="22">
        <v>87.754499999999993</v>
      </c>
      <c r="I330" s="22">
        <v>7.5091599999999994E-2</v>
      </c>
      <c r="J330" s="22">
        <v>320</v>
      </c>
      <c r="K330" s="22">
        <v>8.3007800000000007E-2</v>
      </c>
      <c r="L330">
        <f t="shared" si="48"/>
        <v>-75.0916</v>
      </c>
      <c r="M330">
        <f t="shared" si="49"/>
        <v>-16.419379072799998</v>
      </c>
      <c r="N330" s="9"/>
      <c r="O330" s="22">
        <v>1.5113799999999999</v>
      </c>
      <c r="P330" s="22">
        <v>159.97399999999999</v>
      </c>
      <c r="Q330" s="22">
        <v>-1.6720599999999999E-2</v>
      </c>
      <c r="R330" s="22">
        <v>320</v>
      </c>
      <c r="S330" s="22">
        <v>1.5109300000000001</v>
      </c>
      <c r="T330">
        <f t="shared" si="50"/>
        <v>16.720599999999997</v>
      </c>
      <c r="U330">
        <f t="shared" si="51"/>
        <v>25.271180427999994</v>
      </c>
      <c r="X330" s="9"/>
      <c r="Y330" s="22">
        <v>0.21865799999999999</v>
      </c>
      <c r="Z330" s="22">
        <v>218.761</v>
      </c>
      <c r="AA330" s="22">
        <v>-1.79413E-2</v>
      </c>
      <c r="AB330" s="22">
        <v>320</v>
      </c>
      <c r="AC330" s="22">
        <v>0.21820100000000001</v>
      </c>
      <c r="AD330">
        <f t="shared" si="52"/>
        <v>17.941300000000002</v>
      </c>
      <c r="AE330">
        <f t="shared" si="53"/>
        <v>3.9230087754</v>
      </c>
      <c r="AF330" s="9"/>
      <c r="AG330" s="22">
        <v>1.5113799999999999</v>
      </c>
      <c r="AH330" s="22">
        <v>310.779</v>
      </c>
      <c r="AI330" s="22">
        <v>-1.6787699999999999E-2</v>
      </c>
      <c r="AJ330" s="22">
        <v>320</v>
      </c>
      <c r="AK330" s="22">
        <v>1.5109300000000001</v>
      </c>
      <c r="AL330">
        <f t="shared" si="54"/>
        <v>16.787699999999997</v>
      </c>
      <c r="AM330">
        <f t="shared" si="55"/>
        <v>25.372594025999994</v>
      </c>
      <c r="AP330" s="9"/>
      <c r="AQ330" s="22">
        <v>0.21865799999999999</v>
      </c>
      <c r="AR330" s="22">
        <v>406.74200000000002</v>
      </c>
      <c r="AS330" s="22">
        <v>-1.7883300000000001E-2</v>
      </c>
      <c r="AT330" s="22">
        <v>320</v>
      </c>
      <c r="AU330" s="22">
        <v>0.21814</v>
      </c>
      <c r="AV330">
        <f t="shared" si="56"/>
        <v>17.883300000000002</v>
      </c>
      <c r="AW330">
        <f t="shared" si="57"/>
        <v>3.9103266114000004</v>
      </c>
      <c r="AX330" s="9"/>
      <c r="AY330" s="22">
        <v>1.5113799999999999</v>
      </c>
      <c r="AZ330" s="22">
        <v>501.01</v>
      </c>
      <c r="BA330" s="22">
        <v>-1.67999E-2</v>
      </c>
      <c r="BB330" s="22">
        <v>320</v>
      </c>
      <c r="BC330" s="22">
        <v>1.5109300000000001</v>
      </c>
      <c r="BD330">
        <f t="shared" si="58"/>
        <v>16.799900000000001</v>
      </c>
      <c r="BE330">
        <f t="shared" si="59"/>
        <v>25.391032861999999</v>
      </c>
    </row>
    <row r="331" spans="6:57">
      <c r="F331" s="9"/>
      <c r="G331" s="22">
        <v>0.21362300000000001</v>
      </c>
      <c r="H331" s="22">
        <v>87.855199999999996</v>
      </c>
      <c r="I331" s="22">
        <v>7.49084E-2</v>
      </c>
      <c r="J331" s="22">
        <v>321</v>
      </c>
      <c r="K331" s="22">
        <v>8.2916299999999998E-2</v>
      </c>
      <c r="L331">
        <f t="shared" si="48"/>
        <v>-74.9084</v>
      </c>
      <c r="M331">
        <f t="shared" si="49"/>
        <v>-16.002157133200001</v>
      </c>
      <c r="N331" s="9"/>
      <c r="O331" s="22">
        <v>1.5164200000000001</v>
      </c>
      <c r="P331" s="22">
        <v>160.07400000000001</v>
      </c>
      <c r="Q331" s="22">
        <v>-1.66748E-2</v>
      </c>
      <c r="R331" s="22">
        <v>321</v>
      </c>
      <c r="S331" s="22">
        <v>1.5152000000000001</v>
      </c>
      <c r="T331">
        <f t="shared" si="50"/>
        <v>16.674800000000001</v>
      </c>
      <c r="U331">
        <f t="shared" si="51"/>
        <v>25.286000216000005</v>
      </c>
      <c r="X331" s="9"/>
      <c r="Y331" s="22">
        <v>0.21362300000000001</v>
      </c>
      <c r="Z331" s="22">
        <v>218.86099999999999</v>
      </c>
      <c r="AA331" s="22">
        <v>-1.7947399999999999E-2</v>
      </c>
      <c r="AB331" s="22">
        <v>321</v>
      </c>
      <c r="AC331" s="22">
        <v>0.213196</v>
      </c>
      <c r="AD331">
        <f t="shared" si="52"/>
        <v>17.947399999999998</v>
      </c>
      <c r="AE331">
        <f t="shared" si="53"/>
        <v>3.8339774301999996</v>
      </c>
      <c r="AF331" s="9"/>
      <c r="AG331" s="22">
        <v>1.5164200000000001</v>
      </c>
      <c r="AH331" s="22">
        <v>310.88</v>
      </c>
      <c r="AI331" s="22">
        <v>-1.6738900000000001E-2</v>
      </c>
      <c r="AJ331" s="22">
        <v>321</v>
      </c>
      <c r="AK331" s="22">
        <v>1.5155000000000001</v>
      </c>
      <c r="AL331">
        <f t="shared" si="54"/>
        <v>16.738900000000001</v>
      </c>
      <c r="AM331">
        <f t="shared" si="55"/>
        <v>25.383202738000005</v>
      </c>
      <c r="AP331" s="9"/>
      <c r="AQ331" s="22">
        <v>0.21362300000000001</v>
      </c>
      <c r="AR331" s="22">
        <v>406.84199999999998</v>
      </c>
      <c r="AS331" s="22">
        <v>-1.78894E-2</v>
      </c>
      <c r="AT331" s="22">
        <v>321</v>
      </c>
      <c r="AU331" s="22">
        <v>0.21313499999999999</v>
      </c>
      <c r="AV331">
        <f t="shared" si="56"/>
        <v>17.889399999999998</v>
      </c>
      <c r="AW331">
        <f t="shared" si="57"/>
        <v>3.8215872961999997</v>
      </c>
      <c r="AX331" s="9"/>
      <c r="AY331" s="22">
        <v>1.5164200000000001</v>
      </c>
      <c r="AZ331" s="22">
        <v>501.11099999999999</v>
      </c>
      <c r="BA331" s="22">
        <v>-1.6747999999999999E-2</v>
      </c>
      <c r="BB331" s="22">
        <v>321</v>
      </c>
      <c r="BC331" s="22">
        <v>1.5158100000000001</v>
      </c>
      <c r="BD331">
        <f t="shared" si="58"/>
        <v>16.747999999999998</v>
      </c>
      <c r="BE331">
        <f t="shared" si="59"/>
        <v>25.39700216</v>
      </c>
    </row>
    <row r="332" spans="6:57">
      <c r="F332" s="9"/>
      <c r="G332" s="22">
        <v>0.208588</v>
      </c>
      <c r="H332" s="22">
        <v>87.9559</v>
      </c>
      <c r="I332" s="22">
        <v>7.4676500000000007E-2</v>
      </c>
      <c r="J332" s="22">
        <v>322</v>
      </c>
      <c r="K332" s="22">
        <v>8.2916299999999998E-2</v>
      </c>
      <c r="L332">
        <f t="shared" ref="L332:L394" si="60">-I332/$F$2*1000</f>
        <v>-74.676500000000004</v>
      </c>
      <c r="M332">
        <f t="shared" ref="M332:M394" si="61">L332*G332</f>
        <v>-15.576621782</v>
      </c>
      <c r="N332" s="9"/>
      <c r="O332" s="22">
        <v>1.52145</v>
      </c>
      <c r="P332" s="22">
        <v>160.17500000000001</v>
      </c>
      <c r="Q332" s="22">
        <v>-1.6616800000000001E-2</v>
      </c>
      <c r="R332" s="22">
        <v>322</v>
      </c>
      <c r="S332" s="22">
        <v>1.5203899999999999</v>
      </c>
      <c r="T332">
        <f t="shared" ref="T332:T394" si="62">-Q332/$F$2*1000</f>
        <v>16.616800000000001</v>
      </c>
      <c r="U332">
        <f t="shared" ref="U332:U394" si="63">T332*O332</f>
        <v>25.281630360000001</v>
      </c>
      <c r="X332" s="9"/>
      <c r="Y332" s="22">
        <v>0.208588</v>
      </c>
      <c r="Z332" s="22">
        <v>218.96199999999999</v>
      </c>
      <c r="AA332" s="22">
        <v>-1.79443E-2</v>
      </c>
      <c r="AB332" s="22">
        <v>322</v>
      </c>
      <c r="AC332" s="22">
        <v>0.20819099999999999</v>
      </c>
      <c r="AD332">
        <f t="shared" ref="AD332:AD394" si="64">-AA332/$F$2*1000</f>
        <v>17.944299999999998</v>
      </c>
      <c r="AE332">
        <f t="shared" ref="AE332:AE394" si="65">AD332*Y332</f>
        <v>3.7429656483999998</v>
      </c>
      <c r="AF332" s="9"/>
      <c r="AG332" s="22">
        <v>1.52145</v>
      </c>
      <c r="AH332" s="22">
        <v>310.98</v>
      </c>
      <c r="AI332" s="22">
        <v>-1.6708400000000002E-2</v>
      </c>
      <c r="AJ332" s="22">
        <v>322</v>
      </c>
      <c r="AK332" s="22">
        <v>1.5200800000000001</v>
      </c>
      <c r="AL332">
        <f t="shared" ref="AL332:AL394" si="66">-AI332/$F$2*1000</f>
        <v>16.708400000000001</v>
      </c>
      <c r="AM332">
        <f t="shared" ref="AM332:AM394" si="67">AL332*AG332</f>
        <v>25.420995180000002</v>
      </c>
      <c r="AP332" s="9"/>
      <c r="AQ332" s="22">
        <v>0.208588</v>
      </c>
      <c r="AR332" s="22">
        <v>406.94299999999998</v>
      </c>
      <c r="AS332" s="22">
        <v>-1.7883300000000001E-2</v>
      </c>
      <c r="AT332" s="22">
        <v>322</v>
      </c>
      <c r="AU332" s="22">
        <v>0.20822099999999999</v>
      </c>
      <c r="AV332">
        <f t="shared" ref="AV332:AV394" si="68">-AS332/$F$2*1000</f>
        <v>17.883300000000002</v>
      </c>
      <c r="AW332">
        <f t="shared" ref="AW332:AW394" si="69">AV332*AQ332</f>
        <v>3.7302417804000005</v>
      </c>
      <c r="AX332" s="9"/>
      <c r="AY332" s="22">
        <v>1.52145</v>
      </c>
      <c r="AZ332" s="22">
        <v>501.21199999999999</v>
      </c>
      <c r="BA332" s="22">
        <v>-1.6711400000000001E-2</v>
      </c>
      <c r="BB332" s="22">
        <v>322</v>
      </c>
      <c r="BC332" s="22">
        <v>1.5209999999999999</v>
      </c>
      <c r="BD332">
        <f t="shared" ref="BD332:BD394" si="70">-BA332/$F$2*1000</f>
        <v>16.711400000000001</v>
      </c>
      <c r="BE332">
        <f t="shared" ref="BE332:BE394" si="71">BD332*AY332</f>
        <v>25.425559530000001</v>
      </c>
    </row>
    <row r="333" spans="6:57">
      <c r="F333" s="9"/>
      <c r="G333" s="22">
        <v>0.20355200000000001</v>
      </c>
      <c r="H333" s="22">
        <v>88.056600000000003</v>
      </c>
      <c r="I333" s="22">
        <v>7.4810799999999997E-2</v>
      </c>
      <c r="J333" s="22">
        <v>323</v>
      </c>
      <c r="K333" s="22">
        <v>8.3252000000000007E-2</v>
      </c>
      <c r="L333">
        <f t="shared" si="60"/>
        <v>-74.8108</v>
      </c>
      <c r="M333">
        <f t="shared" si="61"/>
        <v>-15.2278879616</v>
      </c>
      <c r="N333" s="9"/>
      <c r="O333" s="22">
        <v>1.5264899999999999</v>
      </c>
      <c r="P333" s="22">
        <v>160.27600000000001</v>
      </c>
      <c r="Q333" s="22">
        <v>-1.6561900000000001E-2</v>
      </c>
      <c r="R333" s="22">
        <v>323</v>
      </c>
      <c r="S333" s="22">
        <v>1.5258799999999999</v>
      </c>
      <c r="T333">
        <f t="shared" si="62"/>
        <v>16.561900000000001</v>
      </c>
      <c r="U333">
        <f t="shared" si="63"/>
        <v>25.281574730999999</v>
      </c>
      <c r="X333" s="9"/>
      <c r="Y333" s="22">
        <v>0.20355200000000001</v>
      </c>
      <c r="Z333" s="22">
        <v>219.06299999999999</v>
      </c>
      <c r="AA333" s="22">
        <v>-1.79443E-2</v>
      </c>
      <c r="AB333" s="22">
        <v>323</v>
      </c>
      <c r="AC333" s="22">
        <v>0.203125</v>
      </c>
      <c r="AD333">
        <f t="shared" si="64"/>
        <v>17.944299999999998</v>
      </c>
      <c r="AE333">
        <f t="shared" si="65"/>
        <v>3.6525981536000001</v>
      </c>
      <c r="AF333" s="9"/>
      <c r="AG333" s="22">
        <v>1.5264899999999999</v>
      </c>
      <c r="AH333" s="22">
        <v>311.08100000000002</v>
      </c>
      <c r="AI333" s="22">
        <v>-1.6653399999999999E-2</v>
      </c>
      <c r="AJ333" s="22">
        <v>323</v>
      </c>
      <c r="AK333" s="22">
        <v>1.5258799999999999</v>
      </c>
      <c r="AL333">
        <f t="shared" si="66"/>
        <v>16.653399999999998</v>
      </c>
      <c r="AM333">
        <f t="shared" si="67"/>
        <v>25.421248565999996</v>
      </c>
      <c r="AP333" s="9"/>
      <c r="AQ333" s="22">
        <v>0.20355200000000001</v>
      </c>
      <c r="AR333" s="22">
        <v>407.04399999999998</v>
      </c>
      <c r="AS333" s="22">
        <v>-1.7892499999999999E-2</v>
      </c>
      <c r="AT333" s="22">
        <v>323</v>
      </c>
      <c r="AU333" s="22">
        <v>0.203125</v>
      </c>
      <c r="AV333">
        <f t="shared" si="68"/>
        <v>17.892499999999998</v>
      </c>
      <c r="AW333">
        <f t="shared" si="69"/>
        <v>3.6420541599999998</v>
      </c>
      <c r="AX333" s="9"/>
      <c r="AY333" s="22">
        <v>1.5264899999999999</v>
      </c>
      <c r="AZ333" s="22">
        <v>501.31200000000001</v>
      </c>
      <c r="BA333" s="22">
        <v>-1.6668700000000002E-2</v>
      </c>
      <c r="BB333" s="22">
        <v>323</v>
      </c>
      <c r="BC333" s="22">
        <v>1.5261800000000001</v>
      </c>
      <c r="BD333">
        <f t="shared" si="70"/>
        <v>16.668700000000001</v>
      </c>
      <c r="BE333">
        <f t="shared" si="71"/>
        <v>25.444603863000001</v>
      </c>
    </row>
    <row r="334" spans="6:57">
      <c r="F334" s="9"/>
      <c r="G334" s="22">
        <v>0.198517</v>
      </c>
      <c r="H334" s="22">
        <v>88.157300000000006</v>
      </c>
      <c r="I334" s="22">
        <v>7.4108900000000005E-2</v>
      </c>
      <c r="J334" s="22">
        <v>324</v>
      </c>
      <c r="K334" s="22">
        <v>8.3770800000000006E-2</v>
      </c>
      <c r="L334">
        <f t="shared" si="60"/>
        <v>-74.108900000000006</v>
      </c>
      <c r="M334">
        <f t="shared" si="61"/>
        <v>-14.711876501300001</v>
      </c>
      <c r="N334" s="9"/>
      <c r="O334" s="22">
        <v>1.53152</v>
      </c>
      <c r="P334" s="22">
        <v>160.376</v>
      </c>
      <c r="Q334" s="22">
        <v>-1.64948E-2</v>
      </c>
      <c r="R334" s="22">
        <v>324</v>
      </c>
      <c r="S334" s="22">
        <v>1.5307599999999999</v>
      </c>
      <c r="T334">
        <f t="shared" si="62"/>
        <v>16.494800000000001</v>
      </c>
      <c r="U334">
        <f t="shared" si="63"/>
        <v>25.262116096000003</v>
      </c>
      <c r="X334" s="9"/>
      <c r="Y334" s="22">
        <v>0.198517</v>
      </c>
      <c r="Z334" s="22">
        <v>219.16300000000001</v>
      </c>
      <c r="AA334" s="22">
        <v>-1.7947399999999999E-2</v>
      </c>
      <c r="AB334" s="22">
        <v>324</v>
      </c>
      <c r="AC334" s="22">
        <v>0.19805900000000001</v>
      </c>
      <c r="AD334">
        <f t="shared" si="64"/>
        <v>17.947399999999998</v>
      </c>
      <c r="AE334">
        <f t="shared" si="65"/>
        <v>3.5628640057999998</v>
      </c>
      <c r="AF334" s="9"/>
      <c r="AG334" s="22">
        <v>1.53152</v>
      </c>
      <c r="AH334" s="22">
        <v>311.18200000000002</v>
      </c>
      <c r="AI334" s="22">
        <v>-1.6595499999999999E-2</v>
      </c>
      <c r="AJ334" s="22">
        <v>324</v>
      </c>
      <c r="AK334" s="22">
        <v>1.5310699999999999</v>
      </c>
      <c r="AL334">
        <f t="shared" si="66"/>
        <v>16.595499999999998</v>
      </c>
      <c r="AM334">
        <f t="shared" si="67"/>
        <v>25.416340159999997</v>
      </c>
      <c r="AP334" s="9"/>
      <c r="AQ334" s="22">
        <v>0.198517</v>
      </c>
      <c r="AR334" s="22">
        <v>407.14400000000001</v>
      </c>
      <c r="AS334" s="22">
        <v>-1.78894E-2</v>
      </c>
      <c r="AT334" s="22">
        <v>324</v>
      </c>
      <c r="AU334" s="22">
        <v>0.19781499999999999</v>
      </c>
      <c r="AV334">
        <f t="shared" si="68"/>
        <v>17.889399999999998</v>
      </c>
      <c r="AW334">
        <f t="shared" si="69"/>
        <v>3.5513500197999996</v>
      </c>
      <c r="AX334" s="9"/>
      <c r="AY334" s="22">
        <v>1.53152</v>
      </c>
      <c r="AZ334" s="22">
        <v>501.41300000000001</v>
      </c>
      <c r="BA334" s="22">
        <v>-1.66199E-2</v>
      </c>
      <c r="BB334" s="22">
        <v>324</v>
      </c>
      <c r="BC334" s="22">
        <v>1.5307599999999999</v>
      </c>
      <c r="BD334">
        <f t="shared" si="70"/>
        <v>16.619900000000001</v>
      </c>
      <c r="BE334">
        <f t="shared" si="71"/>
        <v>25.453709248000003</v>
      </c>
    </row>
    <row r="335" spans="6:57">
      <c r="F335" s="9"/>
      <c r="G335" s="22">
        <v>0.19348099999999999</v>
      </c>
      <c r="H335" s="22">
        <v>88.257999999999996</v>
      </c>
      <c r="I335" s="22">
        <v>7.4386599999999997E-2</v>
      </c>
      <c r="J335" s="22">
        <v>325</v>
      </c>
      <c r="K335" s="22">
        <v>8.3618200000000004E-2</v>
      </c>
      <c r="L335">
        <f t="shared" si="60"/>
        <v>-74.386600000000001</v>
      </c>
      <c r="M335">
        <f t="shared" si="61"/>
        <v>-14.392393754599999</v>
      </c>
      <c r="N335" s="9"/>
      <c r="O335" s="22">
        <v>1.5365599999999999</v>
      </c>
      <c r="P335" s="22">
        <v>160.477</v>
      </c>
      <c r="Q335" s="22">
        <v>-1.6430699999999999E-2</v>
      </c>
      <c r="R335" s="22">
        <v>325</v>
      </c>
      <c r="S335" s="22">
        <v>1.5356399999999999</v>
      </c>
      <c r="T335">
        <f t="shared" si="62"/>
        <v>16.430699999999998</v>
      </c>
      <c r="U335">
        <f t="shared" si="63"/>
        <v>25.246756391999995</v>
      </c>
      <c r="X335" s="9"/>
      <c r="Y335" s="22">
        <v>0.19348099999999999</v>
      </c>
      <c r="Z335" s="22">
        <v>219.26400000000001</v>
      </c>
      <c r="AA335" s="22">
        <v>-1.7953500000000001E-2</v>
      </c>
      <c r="AB335" s="22">
        <v>325</v>
      </c>
      <c r="AC335" s="22">
        <v>0.19314600000000001</v>
      </c>
      <c r="AD335">
        <f t="shared" si="64"/>
        <v>17.953500000000002</v>
      </c>
      <c r="AE335">
        <f t="shared" si="65"/>
        <v>3.4736611335000003</v>
      </c>
      <c r="AF335" s="9"/>
      <c r="AG335" s="22">
        <v>1.5365599999999999</v>
      </c>
      <c r="AH335" s="22">
        <v>311.28300000000002</v>
      </c>
      <c r="AI335" s="22">
        <v>-1.6543599999999999E-2</v>
      </c>
      <c r="AJ335" s="22">
        <v>325</v>
      </c>
      <c r="AK335" s="22">
        <v>1.5356399999999999</v>
      </c>
      <c r="AL335">
        <f t="shared" si="66"/>
        <v>16.543599999999998</v>
      </c>
      <c r="AM335">
        <f t="shared" si="67"/>
        <v>25.420234015999995</v>
      </c>
      <c r="AP335" s="9"/>
      <c r="AQ335" s="22">
        <v>0.19348099999999999</v>
      </c>
      <c r="AR335" s="22">
        <v>407.245</v>
      </c>
      <c r="AS335" s="22">
        <v>-1.78894E-2</v>
      </c>
      <c r="AT335" s="22">
        <v>325</v>
      </c>
      <c r="AU335" s="22">
        <v>0.19284100000000001</v>
      </c>
      <c r="AV335">
        <f t="shared" si="68"/>
        <v>17.889399999999998</v>
      </c>
      <c r="AW335">
        <f t="shared" si="69"/>
        <v>3.4612590013999993</v>
      </c>
      <c r="AX335" s="9"/>
      <c r="AY335" s="22">
        <v>1.5365599999999999</v>
      </c>
      <c r="AZ335" s="22">
        <v>501.51400000000001</v>
      </c>
      <c r="BA335" s="22">
        <v>-1.6574100000000001E-2</v>
      </c>
      <c r="BB335" s="22">
        <v>325</v>
      </c>
      <c r="BC335" s="22">
        <v>1.5362499999999999</v>
      </c>
      <c r="BD335">
        <f t="shared" si="70"/>
        <v>16.574100000000001</v>
      </c>
      <c r="BE335">
        <f t="shared" si="71"/>
        <v>25.467099096000002</v>
      </c>
    </row>
    <row r="336" spans="6:57">
      <c r="F336" s="9"/>
      <c r="G336" s="22">
        <v>0.188446</v>
      </c>
      <c r="H336" s="22">
        <v>88.358699999999999</v>
      </c>
      <c r="I336" s="22">
        <v>7.3825100000000005E-2</v>
      </c>
      <c r="J336" s="22">
        <v>326</v>
      </c>
      <c r="K336" s="22">
        <v>8.3404500000000006E-2</v>
      </c>
      <c r="L336">
        <f t="shared" si="60"/>
        <v>-73.825100000000006</v>
      </c>
      <c r="M336">
        <f t="shared" si="61"/>
        <v>-13.912044794600002</v>
      </c>
      <c r="N336" s="9"/>
      <c r="O336" s="22">
        <v>1.5416000000000001</v>
      </c>
      <c r="P336" s="22">
        <v>160.578</v>
      </c>
      <c r="Q336" s="22">
        <v>-1.6351299999999999E-2</v>
      </c>
      <c r="R336" s="22">
        <v>326</v>
      </c>
      <c r="S336" s="22">
        <v>1.5408299999999999</v>
      </c>
      <c r="T336">
        <f t="shared" si="62"/>
        <v>16.351299999999998</v>
      </c>
      <c r="U336">
        <f t="shared" si="63"/>
        <v>25.207164079999998</v>
      </c>
      <c r="X336" s="9"/>
      <c r="Y336" s="22">
        <v>0.188446</v>
      </c>
      <c r="Z336" s="22">
        <v>219.36500000000001</v>
      </c>
      <c r="AA336" s="22">
        <v>-1.7959599999999999E-2</v>
      </c>
      <c r="AB336" s="22">
        <v>326</v>
      </c>
      <c r="AC336" s="22">
        <v>0.18731700000000001</v>
      </c>
      <c r="AD336">
        <f t="shared" si="64"/>
        <v>17.959599999999998</v>
      </c>
      <c r="AE336">
        <f t="shared" si="65"/>
        <v>3.3844147815999999</v>
      </c>
      <c r="AF336" s="9"/>
      <c r="AG336" s="22">
        <v>1.5416000000000001</v>
      </c>
      <c r="AH336" s="22">
        <v>311.38299999999998</v>
      </c>
      <c r="AI336" s="22">
        <v>-1.64856E-2</v>
      </c>
      <c r="AJ336" s="22">
        <v>326</v>
      </c>
      <c r="AK336" s="22">
        <v>1.54114</v>
      </c>
      <c r="AL336">
        <f t="shared" si="66"/>
        <v>16.485599999999998</v>
      </c>
      <c r="AM336">
        <f t="shared" si="67"/>
        <v>25.414200959999999</v>
      </c>
      <c r="AP336" s="9"/>
      <c r="AQ336" s="22">
        <v>0.188446</v>
      </c>
      <c r="AR336" s="22">
        <v>407.346</v>
      </c>
      <c r="AS336" s="22">
        <v>-1.7895500000000002E-2</v>
      </c>
      <c r="AT336" s="22">
        <v>326</v>
      </c>
      <c r="AU336" s="22">
        <v>0.18768299999999999</v>
      </c>
      <c r="AV336">
        <f t="shared" si="68"/>
        <v>17.895500000000002</v>
      </c>
      <c r="AW336">
        <f t="shared" si="69"/>
        <v>3.3723353930000006</v>
      </c>
      <c r="AX336" s="9"/>
      <c r="AY336" s="22">
        <v>1.5416000000000001</v>
      </c>
      <c r="AZ336" s="22">
        <v>501.61399999999998</v>
      </c>
      <c r="BA336" s="22">
        <v>-1.6513099999999999E-2</v>
      </c>
      <c r="BB336" s="22">
        <v>326</v>
      </c>
      <c r="BC336" s="22">
        <v>1.5408299999999999</v>
      </c>
      <c r="BD336">
        <f t="shared" si="70"/>
        <v>16.513099999999998</v>
      </c>
      <c r="BE336">
        <f t="shared" si="71"/>
        <v>25.456594959999997</v>
      </c>
    </row>
    <row r="337" spans="6:57">
      <c r="F337" s="9"/>
      <c r="G337" s="22">
        <v>0.18341099999999999</v>
      </c>
      <c r="H337" s="22">
        <v>88.459400000000002</v>
      </c>
      <c r="I337" s="22">
        <v>7.3791499999999996E-2</v>
      </c>
      <c r="J337" s="22">
        <v>327</v>
      </c>
      <c r="K337" s="22">
        <v>8.3526600000000006E-2</v>
      </c>
      <c r="L337">
        <f t="shared" si="60"/>
        <v>-73.791499999999999</v>
      </c>
      <c r="M337">
        <f t="shared" si="61"/>
        <v>-13.534172806499999</v>
      </c>
      <c r="N337" s="9"/>
      <c r="O337" s="22">
        <v>1.5466299999999999</v>
      </c>
      <c r="P337" s="22">
        <v>160.679</v>
      </c>
      <c r="Q337" s="22">
        <v>-1.62811E-2</v>
      </c>
      <c r="R337" s="22">
        <v>327</v>
      </c>
      <c r="S337" s="22">
        <v>1.5460199999999999</v>
      </c>
      <c r="T337">
        <f t="shared" si="62"/>
        <v>16.281099999999999</v>
      </c>
      <c r="U337">
        <f t="shared" si="63"/>
        <v>25.180837692999997</v>
      </c>
      <c r="X337" s="9"/>
      <c r="Y337" s="22">
        <v>0.18341099999999999</v>
      </c>
      <c r="Z337" s="22">
        <v>219.465</v>
      </c>
      <c r="AA337" s="22">
        <v>-1.7959599999999999E-2</v>
      </c>
      <c r="AB337" s="22">
        <v>327</v>
      </c>
      <c r="AC337" s="22">
        <v>0.182953</v>
      </c>
      <c r="AD337">
        <f t="shared" si="64"/>
        <v>17.959599999999998</v>
      </c>
      <c r="AE337">
        <f t="shared" si="65"/>
        <v>3.2939881955999994</v>
      </c>
      <c r="AF337" s="9"/>
      <c r="AG337" s="22">
        <v>1.5466299999999999</v>
      </c>
      <c r="AH337" s="22">
        <v>311.48399999999998</v>
      </c>
      <c r="AI337" s="22">
        <v>-1.6427600000000001E-2</v>
      </c>
      <c r="AJ337" s="22">
        <v>327</v>
      </c>
      <c r="AK337" s="22">
        <v>1.54541</v>
      </c>
      <c r="AL337">
        <f t="shared" si="66"/>
        <v>16.427600000000002</v>
      </c>
      <c r="AM337">
        <f t="shared" si="67"/>
        <v>25.407418988000003</v>
      </c>
      <c r="AP337" s="9"/>
      <c r="AQ337" s="22">
        <v>0.18341099999999999</v>
      </c>
      <c r="AR337" s="22">
        <v>407.447</v>
      </c>
      <c r="AS337" s="22">
        <v>-1.7898600000000001E-2</v>
      </c>
      <c r="AT337" s="22">
        <v>327</v>
      </c>
      <c r="AU337" s="22">
        <v>0.182861</v>
      </c>
      <c r="AV337">
        <f t="shared" si="68"/>
        <v>17.898600000000002</v>
      </c>
      <c r="AW337">
        <f t="shared" si="69"/>
        <v>3.2828001246</v>
      </c>
      <c r="AX337" s="9"/>
      <c r="AY337" s="22">
        <v>1.5466299999999999</v>
      </c>
      <c r="AZ337" s="22">
        <v>501.71499999999997</v>
      </c>
      <c r="BA337" s="22">
        <v>-1.6452000000000001E-2</v>
      </c>
      <c r="BB337" s="22">
        <v>327</v>
      </c>
      <c r="BC337" s="22">
        <v>1.5460199999999999</v>
      </c>
      <c r="BD337">
        <f t="shared" si="70"/>
        <v>16.452000000000002</v>
      </c>
      <c r="BE337">
        <f t="shared" si="71"/>
        <v>25.445156760000003</v>
      </c>
    </row>
    <row r="338" spans="6:57">
      <c r="F338" s="9"/>
      <c r="G338" s="22">
        <v>0.17837500000000001</v>
      </c>
      <c r="H338" s="22">
        <v>88.560100000000006</v>
      </c>
      <c r="I338" s="22">
        <v>7.3648099999999994E-2</v>
      </c>
      <c r="J338" s="22">
        <v>328</v>
      </c>
      <c r="K338" s="22">
        <v>8.3526600000000006E-2</v>
      </c>
      <c r="L338">
        <f t="shared" si="60"/>
        <v>-73.648099999999999</v>
      </c>
      <c r="M338">
        <f t="shared" si="61"/>
        <v>-13.1369798375</v>
      </c>
      <c r="N338" s="9"/>
      <c r="O338" s="22">
        <v>1.5516700000000001</v>
      </c>
      <c r="P338" s="22">
        <v>160.779</v>
      </c>
      <c r="Q338" s="22">
        <v>-1.6213999999999999E-2</v>
      </c>
      <c r="R338" s="22">
        <v>328</v>
      </c>
      <c r="S338" s="22">
        <v>1.55121</v>
      </c>
      <c r="T338">
        <f t="shared" si="62"/>
        <v>16.213999999999999</v>
      </c>
      <c r="U338">
        <f t="shared" si="63"/>
        <v>25.15877738</v>
      </c>
      <c r="X338" s="9"/>
      <c r="Y338" s="22">
        <v>0.17837500000000001</v>
      </c>
      <c r="Z338" s="22">
        <v>219.566</v>
      </c>
      <c r="AA338" s="22">
        <v>-1.7962599999999999E-2</v>
      </c>
      <c r="AB338" s="22">
        <v>328</v>
      </c>
      <c r="AC338" s="22">
        <v>0.177948</v>
      </c>
      <c r="AD338">
        <f t="shared" si="64"/>
        <v>17.962599999999998</v>
      </c>
      <c r="AE338">
        <f t="shared" si="65"/>
        <v>3.2040787749999997</v>
      </c>
      <c r="AF338" s="9"/>
      <c r="AG338" s="22">
        <v>1.5516700000000001</v>
      </c>
      <c r="AH338" s="22">
        <v>311.58499999999998</v>
      </c>
      <c r="AI338" s="22">
        <v>-1.63635E-2</v>
      </c>
      <c r="AJ338" s="22">
        <v>328</v>
      </c>
      <c r="AK338" s="22">
        <v>1.5515099999999999</v>
      </c>
      <c r="AL338">
        <f t="shared" si="66"/>
        <v>16.363499999999998</v>
      </c>
      <c r="AM338">
        <f t="shared" si="67"/>
        <v>25.390752044999999</v>
      </c>
      <c r="AP338" s="9"/>
      <c r="AQ338" s="22">
        <v>0.17837500000000001</v>
      </c>
      <c r="AR338" s="22">
        <v>407.54700000000003</v>
      </c>
      <c r="AS338" s="22">
        <v>-1.79016E-2</v>
      </c>
      <c r="AT338" s="22">
        <v>328</v>
      </c>
      <c r="AU338" s="22">
        <v>0.17779500000000001</v>
      </c>
      <c r="AV338">
        <f t="shared" si="68"/>
        <v>17.901599999999998</v>
      </c>
      <c r="AW338">
        <f t="shared" si="69"/>
        <v>3.1931978999999999</v>
      </c>
      <c r="AX338" s="9"/>
      <c r="AY338" s="22">
        <v>1.5516700000000001</v>
      </c>
      <c r="AZ338" s="22">
        <v>501.81599999999997</v>
      </c>
      <c r="BA338" s="22">
        <v>-1.6390999999999999E-2</v>
      </c>
      <c r="BB338" s="22">
        <v>328</v>
      </c>
      <c r="BC338" s="22">
        <v>1.5506</v>
      </c>
      <c r="BD338">
        <f t="shared" si="70"/>
        <v>16.390999999999998</v>
      </c>
      <c r="BE338">
        <f t="shared" si="71"/>
        <v>25.433422969999999</v>
      </c>
    </row>
    <row r="339" spans="6:57">
      <c r="F339" s="9"/>
      <c r="G339" s="22">
        <v>0.17333999999999999</v>
      </c>
      <c r="H339" s="22">
        <v>88.660799999999995</v>
      </c>
      <c r="I339" s="22">
        <v>7.3440599999999995E-2</v>
      </c>
      <c r="J339" s="22">
        <v>329</v>
      </c>
      <c r="K339" s="22">
        <v>8.3526600000000006E-2</v>
      </c>
      <c r="L339">
        <f t="shared" si="60"/>
        <v>-73.440599999999989</v>
      </c>
      <c r="M339">
        <f t="shared" si="61"/>
        <v>-12.730193603999998</v>
      </c>
      <c r="N339" s="9"/>
      <c r="O339" s="22">
        <v>1.5567</v>
      </c>
      <c r="P339" s="22">
        <v>160.88</v>
      </c>
      <c r="Q339" s="22">
        <v>-1.6122399999999999E-2</v>
      </c>
      <c r="R339" s="22">
        <v>329</v>
      </c>
      <c r="S339" s="22">
        <v>1.55609</v>
      </c>
      <c r="T339">
        <f t="shared" si="62"/>
        <v>16.122399999999999</v>
      </c>
      <c r="U339">
        <f t="shared" si="63"/>
        <v>25.097740079999998</v>
      </c>
      <c r="X339" s="9"/>
      <c r="Y339" s="22">
        <v>0.17333999999999999</v>
      </c>
      <c r="Z339" s="22">
        <v>219.667</v>
      </c>
      <c r="AA339" s="22">
        <v>-1.79688E-2</v>
      </c>
      <c r="AB339" s="22">
        <v>329</v>
      </c>
      <c r="AC339" s="22">
        <v>0.17276</v>
      </c>
      <c r="AD339">
        <f t="shared" si="64"/>
        <v>17.968800000000002</v>
      </c>
      <c r="AE339">
        <f t="shared" si="65"/>
        <v>3.114711792</v>
      </c>
      <c r="AF339" s="9"/>
      <c r="AG339" s="22">
        <v>1.5567</v>
      </c>
      <c r="AH339" s="22">
        <v>311.685</v>
      </c>
      <c r="AI339" s="22">
        <v>-1.62933E-2</v>
      </c>
      <c r="AJ339" s="22">
        <v>329</v>
      </c>
      <c r="AK339" s="22">
        <v>1.55548</v>
      </c>
      <c r="AL339">
        <f t="shared" si="66"/>
        <v>16.293299999999999</v>
      </c>
      <c r="AM339">
        <f t="shared" si="67"/>
        <v>25.363780109999997</v>
      </c>
      <c r="AP339" s="9"/>
      <c r="AQ339" s="22">
        <v>0.17333999999999999</v>
      </c>
      <c r="AR339" s="22">
        <v>407.64800000000002</v>
      </c>
      <c r="AS339" s="22">
        <v>-1.79016E-2</v>
      </c>
      <c r="AT339" s="22">
        <v>329</v>
      </c>
      <c r="AU339" s="22">
        <v>0.17303499999999999</v>
      </c>
      <c r="AV339">
        <f t="shared" si="68"/>
        <v>17.901599999999998</v>
      </c>
      <c r="AW339">
        <f t="shared" si="69"/>
        <v>3.1030633439999997</v>
      </c>
      <c r="AX339" s="9"/>
      <c r="AY339" s="22">
        <v>1.5567</v>
      </c>
      <c r="AZ339" s="22">
        <v>501.91699999999997</v>
      </c>
      <c r="BA339" s="22">
        <v>-1.6339099999999999E-2</v>
      </c>
      <c r="BB339" s="22">
        <v>329</v>
      </c>
      <c r="BC339" s="22">
        <v>1.55609</v>
      </c>
      <c r="BD339">
        <f t="shared" si="70"/>
        <v>16.339099999999998</v>
      </c>
      <c r="BE339">
        <f t="shared" si="71"/>
        <v>25.435076969999997</v>
      </c>
    </row>
    <row r="340" spans="6:57">
      <c r="F340" s="9"/>
      <c r="G340" s="22">
        <v>0.16830400000000001</v>
      </c>
      <c r="H340" s="22">
        <v>88.761499999999998</v>
      </c>
      <c r="I340" s="22">
        <v>7.3367299999999996E-2</v>
      </c>
      <c r="J340" s="22">
        <v>330</v>
      </c>
      <c r="K340" s="22">
        <v>8.3526600000000006E-2</v>
      </c>
      <c r="L340">
        <f t="shared" si="60"/>
        <v>-73.3673</v>
      </c>
      <c r="M340">
        <f t="shared" si="61"/>
        <v>-12.3480100592</v>
      </c>
      <c r="N340" s="9"/>
      <c r="O340" s="22">
        <v>1.5617399999999999</v>
      </c>
      <c r="P340" s="22">
        <v>160.98099999999999</v>
      </c>
      <c r="Q340" s="22">
        <v>-1.6030900000000001E-2</v>
      </c>
      <c r="R340" s="22">
        <v>330</v>
      </c>
      <c r="S340" s="22">
        <v>1.56128</v>
      </c>
      <c r="T340">
        <f t="shared" si="62"/>
        <v>16.030899999999999</v>
      </c>
      <c r="U340">
        <f t="shared" si="63"/>
        <v>25.036097765999997</v>
      </c>
      <c r="X340" s="9"/>
      <c r="Y340" s="22">
        <v>0.16830400000000001</v>
      </c>
      <c r="Z340" s="22">
        <v>219.768</v>
      </c>
      <c r="AA340" s="22">
        <v>-1.7965700000000001E-2</v>
      </c>
      <c r="AB340" s="22">
        <v>330</v>
      </c>
      <c r="AC340" s="22">
        <v>0.16775499999999999</v>
      </c>
      <c r="AD340">
        <f t="shared" si="64"/>
        <v>17.965700000000002</v>
      </c>
      <c r="AE340">
        <f t="shared" si="65"/>
        <v>3.0236991728000007</v>
      </c>
      <c r="AF340" s="9"/>
      <c r="AG340" s="22">
        <v>1.5617399999999999</v>
      </c>
      <c r="AH340" s="22">
        <v>311.786</v>
      </c>
      <c r="AI340" s="22">
        <v>-1.62384E-2</v>
      </c>
      <c r="AJ340" s="22">
        <v>330</v>
      </c>
      <c r="AK340" s="22">
        <v>1.56189</v>
      </c>
      <c r="AL340">
        <f t="shared" si="66"/>
        <v>16.238399999999999</v>
      </c>
      <c r="AM340">
        <f t="shared" si="67"/>
        <v>25.360158815999995</v>
      </c>
      <c r="AP340" s="9"/>
      <c r="AQ340" s="22">
        <v>0.16830400000000001</v>
      </c>
      <c r="AR340" s="22">
        <v>407.74900000000002</v>
      </c>
      <c r="AS340" s="22">
        <v>-1.7898600000000001E-2</v>
      </c>
      <c r="AT340" s="22">
        <v>330</v>
      </c>
      <c r="AU340" s="22">
        <v>0.167603</v>
      </c>
      <c r="AV340">
        <f t="shared" si="68"/>
        <v>17.898600000000002</v>
      </c>
      <c r="AW340">
        <f t="shared" si="69"/>
        <v>3.0124059744000005</v>
      </c>
      <c r="AX340" s="9"/>
      <c r="AY340" s="22">
        <v>1.5617399999999999</v>
      </c>
      <c r="AZ340" s="22">
        <v>502.017</v>
      </c>
      <c r="BA340" s="22">
        <v>-1.6268899999999999E-2</v>
      </c>
      <c r="BB340" s="22">
        <v>330</v>
      </c>
      <c r="BC340" s="22">
        <v>1.56067</v>
      </c>
      <c r="BD340">
        <f t="shared" si="70"/>
        <v>16.268899999999999</v>
      </c>
      <c r="BE340">
        <f t="shared" si="71"/>
        <v>25.407791885999995</v>
      </c>
    </row>
    <row r="341" spans="6:57">
      <c r="F341" s="9"/>
      <c r="G341" s="22">
        <v>0.163269</v>
      </c>
      <c r="H341" s="22">
        <v>88.862200000000001</v>
      </c>
      <c r="I341" s="22">
        <v>5.5508399999999999E-2</v>
      </c>
      <c r="J341" s="22">
        <v>331</v>
      </c>
      <c r="K341" s="22">
        <v>8.2214400000000007E-2</v>
      </c>
      <c r="L341">
        <f t="shared" si="60"/>
        <v>-55.508400000000002</v>
      </c>
      <c r="M341">
        <f t="shared" si="61"/>
        <v>-9.0628009596000005</v>
      </c>
      <c r="N341" s="9"/>
      <c r="O341" s="22">
        <v>1.56677</v>
      </c>
      <c r="P341" s="22">
        <v>161.08099999999999</v>
      </c>
      <c r="Q341" s="22">
        <v>-1.5954599999999999E-2</v>
      </c>
      <c r="R341" s="22">
        <v>331</v>
      </c>
      <c r="S341" s="22">
        <v>1.56616</v>
      </c>
      <c r="T341">
        <f t="shared" si="62"/>
        <v>15.954599999999999</v>
      </c>
      <c r="U341">
        <f t="shared" si="63"/>
        <v>24.997188641999998</v>
      </c>
      <c r="X341" s="9"/>
      <c r="Y341" s="22">
        <v>0.163269</v>
      </c>
      <c r="Z341" s="22">
        <v>219.86799999999999</v>
      </c>
      <c r="AA341" s="22">
        <v>-1.7974899999999999E-2</v>
      </c>
      <c r="AB341" s="22">
        <v>331</v>
      </c>
      <c r="AC341" s="22">
        <v>0.16284199999999999</v>
      </c>
      <c r="AD341">
        <f t="shared" si="64"/>
        <v>17.974899999999998</v>
      </c>
      <c r="AE341">
        <f t="shared" si="65"/>
        <v>2.9347439480999995</v>
      </c>
      <c r="AF341" s="9"/>
      <c r="AG341" s="22">
        <v>1.56677</v>
      </c>
      <c r="AH341" s="22">
        <v>311.887</v>
      </c>
      <c r="AI341" s="22">
        <v>-1.6149899999999998E-2</v>
      </c>
      <c r="AJ341" s="22">
        <v>331</v>
      </c>
      <c r="AK341" s="22">
        <v>1.56616</v>
      </c>
      <c r="AL341">
        <f t="shared" si="66"/>
        <v>16.149899999999999</v>
      </c>
      <c r="AM341">
        <f t="shared" si="67"/>
        <v>25.303178823</v>
      </c>
      <c r="AP341" s="9"/>
      <c r="AQ341" s="22">
        <v>0.163269</v>
      </c>
      <c r="AR341" s="22">
        <v>407.84899999999999</v>
      </c>
      <c r="AS341" s="22">
        <v>-1.7898600000000001E-2</v>
      </c>
      <c r="AT341" s="22">
        <v>331</v>
      </c>
      <c r="AU341" s="22">
        <v>0.16259799999999999</v>
      </c>
      <c r="AV341">
        <f t="shared" si="68"/>
        <v>17.898600000000002</v>
      </c>
      <c r="AW341">
        <f t="shared" si="69"/>
        <v>2.9222865234000004</v>
      </c>
      <c r="AX341" s="9"/>
      <c r="AY341" s="22">
        <v>1.56677</v>
      </c>
      <c r="AZ341" s="22">
        <v>502.11799999999999</v>
      </c>
      <c r="BA341" s="22">
        <v>-1.6213999999999999E-2</v>
      </c>
      <c r="BB341" s="22">
        <v>331</v>
      </c>
      <c r="BC341" s="22">
        <v>1.56555</v>
      </c>
      <c r="BD341">
        <f t="shared" si="70"/>
        <v>16.213999999999999</v>
      </c>
      <c r="BE341">
        <f t="shared" si="71"/>
        <v>25.403608779999999</v>
      </c>
    </row>
    <row r="342" spans="6:57">
      <c r="F342" s="9"/>
      <c r="G342" s="22">
        <v>0.15823400000000001</v>
      </c>
      <c r="H342" s="22">
        <v>88.962900000000005</v>
      </c>
      <c r="I342" s="22">
        <v>5.5468799999999999E-2</v>
      </c>
      <c r="J342" s="22">
        <v>332</v>
      </c>
      <c r="K342" s="22">
        <v>8.2183800000000001E-2</v>
      </c>
      <c r="L342">
        <f t="shared" si="60"/>
        <v>-55.468800000000002</v>
      </c>
      <c r="M342">
        <f t="shared" si="61"/>
        <v>-8.7770500992000002</v>
      </c>
      <c r="N342" s="9"/>
      <c r="O342" s="22">
        <v>1.5718099999999999</v>
      </c>
      <c r="P342" s="22">
        <v>161.18199999999999</v>
      </c>
      <c r="Q342" s="22">
        <v>-1.5866100000000001E-2</v>
      </c>
      <c r="R342" s="22">
        <v>332</v>
      </c>
      <c r="S342" s="22">
        <v>1.57135</v>
      </c>
      <c r="T342">
        <f t="shared" si="62"/>
        <v>15.866100000000001</v>
      </c>
      <c r="U342">
        <f t="shared" si="63"/>
        <v>24.938494641000002</v>
      </c>
      <c r="X342" s="9"/>
      <c r="Y342" s="22">
        <v>0.15823400000000001</v>
      </c>
      <c r="Z342" s="22">
        <v>219.96899999999999</v>
      </c>
      <c r="AA342" s="22">
        <v>-1.79688E-2</v>
      </c>
      <c r="AB342" s="22">
        <v>332</v>
      </c>
      <c r="AC342" s="22">
        <v>0.15801999999999999</v>
      </c>
      <c r="AD342">
        <f t="shared" si="64"/>
        <v>17.968800000000002</v>
      </c>
      <c r="AE342">
        <f t="shared" si="65"/>
        <v>2.8432750992000004</v>
      </c>
      <c r="AF342" s="9"/>
      <c r="AG342" s="22">
        <v>1.5718099999999999</v>
      </c>
      <c r="AH342" s="22">
        <v>311.988</v>
      </c>
      <c r="AI342" s="22">
        <v>-1.60736E-2</v>
      </c>
      <c r="AJ342" s="22">
        <v>332</v>
      </c>
      <c r="AK342" s="22">
        <v>1.57074</v>
      </c>
      <c r="AL342">
        <f t="shared" si="66"/>
        <v>16.073599999999999</v>
      </c>
      <c r="AM342">
        <f t="shared" si="67"/>
        <v>25.264645215999998</v>
      </c>
      <c r="AP342" s="9"/>
      <c r="AQ342" s="22">
        <v>0.15823400000000001</v>
      </c>
      <c r="AR342" s="22">
        <v>407.95</v>
      </c>
      <c r="AS342" s="22">
        <v>-1.7904699999999999E-2</v>
      </c>
      <c r="AT342" s="22">
        <v>332</v>
      </c>
      <c r="AU342" s="22">
        <v>0.15817300000000001</v>
      </c>
      <c r="AV342">
        <f t="shared" si="68"/>
        <v>17.904699999999998</v>
      </c>
      <c r="AW342">
        <f t="shared" si="69"/>
        <v>2.8331322997999999</v>
      </c>
      <c r="AX342" s="9"/>
      <c r="AY342" s="22">
        <v>1.5718099999999999</v>
      </c>
      <c r="AZ342" s="22">
        <v>502.21899999999999</v>
      </c>
      <c r="BA342" s="22">
        <v>-1.61285E-2</v>
      </c>
      <c r="BB342" s="22">
        <v>332</v>
      </c>
      <c r="BC342" s="22">
        <v>1.57104</v>
      </c>
      <c r="BD342">
        <f t="shared" si="70"/>
        <v>16.128499999999999</v>
      </c>
      <c r="BE342">
        <f t="shared" si="71"/>
        <v>25.350937584999997</v>
      </c>
    </row>
    <row r="343" spans="6:57">
      <c r="F343" s="9"/>
      <c r="G343" s="22">
        <v>0.153198</v>
      </c>
      <c r="H343" s="22">
        <v>89.063699999999997</v>
      </c>
      <c r="I343" s="22">
        <v>5.5544999999999997E-2</v>
      </c>
      <c r="J343" s="22">
        <v>333</v>
      </c>
      <c r="K343" s="22">
        <v>8.2214400000000007E-2</v>
      </c>
      <c r="L343">
        <f t="shared" si="60"/>
        <v>-55.544999999999995</v>
      </c>
      <c r="M343">
        <f t="shared" si="61"/>
        <v>-8.5093829099999994</v>
      </c>
      <c r="N343" s="9"/>
      <c r="O343" s="22">
        <v>1.57684</v>
      </c>
      <c r="P343" s="22">
        <v>161.28299999999999</v>
      </c>
      <c r="Q343" s="22">
        <v>-1.57623E-2</v>
      </c>
      <c r="R343" s="22">
        <v>333</v>
      </c>
      <c r="S343" s="22">
        <v>1.57623</v>
      </c>
      <c r="T343">
        <f t="shared" si="62"/>
        <v>15.7623</v>
      </c>
      <c r="U343">
        <f t="shared" si="63"/>
        <v>24.854625131999999</v>
      </c>
      <c r="X343" s="9"/>
      <c r="Y343" s="22">
        <v>0.153198</v>
      </c>
      <c r="Z343" s="22">
        <v>220.07</v>
      </c>
      <c r="AA343" s="22">
        <v>-1.7977900000000002E-2</v>
      </c>
      <c r="AB343" s="22">
        <v>333</v>
      </c>
      <c r="AC343" s="22">
        <v>0.15267900000000001</v>
      </c>
      <c r="AD343">
        <f t="shared" si="64"/>
        <v>17.977900000000002</v>
      </c>
      <c r="AE343">
        <f t="shared" si="65"/>
        <v>2.7541783242000002</v>
      </c>
      <c r="AF343" s="9"/>
      <c r="AG343" s="22">
        <v>1.57684</v>
      </c>
      <c r="AH343" s="22">
        <v>312.08800000000002</v>
      </c>
      <c r="AI343" s="22">
        <v>-1.5979E-2</v>
      </c>
      <c r="AJ343" s="22">
        <v>333</v>
      </c>
      <c r="AK343" s="22">
        <v>1.57623</v>
      </c>
      <c r="AL343">
        <f t="shared" si="66"/>
        <v>15.979000000000001</v>
      </c>
      <c r="AM343">
        <f t="shared" si="67"/>
        <v>25.19632636</v>
      </c>
      <c r="AP343" s="9"/>
      <c r="AQ343" s="22">
        <v>0.153198</v>
      </c>
      <c r="AR343" s="22">
        <v>408.05099999999999</v>
      </c>
      <c r="AS343" s="22">
        <v>-1.7913800000000001E-2</v>
      </c>
      <c r="AT343" s="22">
        <v>333</v>
      </c>
      <c r="AU343" s="22">
        <v>0.15280199999999999</v>
      </c>
      <c r="AV343">
        <f t="shared" si="68"/>
        <v>17.913800000000002</v>
      </c>
      <c r="AW343">
        <f t="shared" si="69"/>
        <v>2.7443583324000005</v>
      </c>
      <c r="AX343" s="9"/>
      <c r="AY343" s="22">
        <v>1.57684</v>
      </c>
      <c r="AZ343" s="22">
        <v>502.31900000000002</v>
      </c>
      <c r="BA343" s="22">
        <v>-1.6039999999999999E-2</v>
      </c>
      <c r="BB343" s="22">
        <v>333</v>
      </c>
      <c r="BC343" s="22">
        <v>1.57623</v>
      </c>
      <c r="BD343">
        <f t="shared" si="70"/>
        <v>16.04</v>
      </c>
      <c r="BE343">
        <f t="shared" si="71"/>
        <v>25.292513599999999</v>
      </c>
    </row>
    <row r="344" spans="6:57">
      <c r="F344" s="9"/>
      <c r="G344" s="22">
        <v>0.14816299999999999</v>
      </c>
      <c r="H344" s="22">
        <v>89.164400000000001</v>
      </c>
      <c r="I344" s="22">
        <v>5.5566400000000002E-2</v>
      </c>
      <c r="J344" s="22">
        <v>334</v>
      </c>
      <c r="K344" s="22">
        <v>8.2183800000000001E-2</v>
      </c>
      <c r="L344">
        <f t="shared" si="60"/>
        <v>-55.566400000000002</v>
      </c>
      <c r="M344">
        <f t="shared" si="61"/>
        <v>-8.2328845231999992</v>
      </c>
      <c r="N344" s="9"/>
      <c r="O344" s="22">
        <v>1.58188</v>
      </c>
      <c r="P344" s="22">
        <v>161.38399999999999</v>
      </c>
      <c r="Q344" s="22">
        <v>-1.56372E-2</v>
      </c>
      <c r="R344" s="22">
        <v>334</v>
      </c>
      <c r="S344" s="22">
        <v>1.5811200000000001</v>
      </c>
      <c r="T344">
        <f t="shared" si="62"/>
        <v>15.6372</v>
      </c>
      <c r="U344">
        <f t="shared" si="63"/>
        <v>24.736173936</v>
      </c>
      <c r="X344" s="9"/>
      <c r="Y344" s="22">
        <v>0.14816299999999999</v>
      </c>
      <c r="Z344" s="22">
        <v>220.17</v>
      </c>
      <c r="AA344" s="22">
        <v>-1.7981E-2</v>
      </c>
      <c r="AB344" s="22">
        <v>334</v>
      </c>
      <c r="AC344" s="22">
        <v>0.147675</v>
      </c>
      <c r="AD344">
        <f t="shared" si="64"/>
        <v>17.981000000000002</v>
      </c>
      <c r="AE344">
        <f t="shared" si="65"/>
        <v>2.6641189029999999</v>
      </c>
      <c r="AF344" s="9"/>
      <c r="AG344" s="22">
        <v>1.58188</v>
      </c>
      <c r="AH344" s="22">
        <v>312.18900000000002</v>
      </c>
      <c r="AI344" s="22">
        <v>-1.5869100000000001E-2</v>
      </c>
      <c r="AJ344" s="22">
        <v>334</v>
      </c>
      <c r="AK344" s="22">
        <v>1.5811200000000001</v>
      </c>
      <c r="AL344">
        <f t="shared" si="66"/>
        <v>15.869100000000001</v>
      </c>
      <c r="AM344">
        <f t="shared" si="67"/>
        <v>25.103011908000003</v>
      </c>
      <c r="AP344" s="9"/>
      <c r="AQ344" s="22">
        <v>0.14816299999999999</v>
      </c>
      <c r="AR344" s="22">
        <v>408.15199999999999</v>
      </c>
      <c r="AS344" s="22">
        <v>-1.7916899999999999E-2</v>
      </c>
      <c r="AT344" s="22">
        <v>334</v>
      </c>
      <c r="AU344" s="22">
        <v>0.14779700000000001</v>
      </c>
      <c r="AV344">
        <f t="shared" si="68"/>
        <v>17.916899999999998</v>
      </c>
      <c r="AW344">
        <f t="shared" si="69"/>
        <v>2.6546216546999997</v>
      </c>
      <c r="AX344" s="9"/>
      <c r="AY344" s="22">
        <v>1.58188</v>
      </c>
      <c r="AZ344" s="22">
        <v>502.42</v>
      </c>
      <c r="BA344" s="22">
        <v>-1.59271E-2</v>
      </c>
      <c r="BB344" s="22">
        <v>334</v>
      </c>
      <c r="BC344" s="22">
        <v>1.5811200000000001</v>
      </c>
      <c r="BD344">
        <f t="shared" si="70"/>
        <v>15.927099999999999</v>
      </c>
      <c r="BE344">
        <f t="shared" si="71"/>
        <v>25.194760947999999</v>
      </c>
    </row>
    <row r="345" spans="6:57">
      <c r="F345" s="9"/>
      <c r="G345" s="22">
        <v>0.143127</v>
      </c>
      <c r="H345" s="22">
        <v>89.265100000000004</v>
      </c>
      <c r="I345" s="22">
        <v>5.5593900000000002E-2</v>
      </c>
      <c r="J345" s="22">
        <v>335</v>
      </c>
      <c r="K345" s="22">
        <v>8.2244899999999996E-2</v>
      </c>
      <c r="L345">
        <f t="shared" si="60"/>
        <v>-55.593900000000005</v>
      </c>
      <c r="M345">
        <f t="shared" si="61"/>
        <v>-7.9569881253000005</v>
      </c>
      <c r="N345" s="9"/>
      <c r="O345" s="22">
        <v>1.58691</v>
      </c>
      <c r="P345" s="22">
        <v>161.48400000000001</v>
      </c>
      <c r="Q345" s="22">
        <v>-1.55151E-2</v>
      </c>
      <c r="R345" s="22">
        <v>335</v>
      </c>
      <c r="S345" s="22">
        <v>1.5866100000000001</v>
      </c>
      <c r="T345">
        <f t="shared" si="62"/>
        <v>15.5151</v>
      </c>
      <c r="U345">
        <f t="shared" si="63"/>
        <v>24.621067341</v>
      </c>
      <c r="X345" s="9"/>
      <c r="Y345" s="22">
        <v>0.143127</v>
      </c>
      <c r="Z345" s="22">
        <v>220.27099999999999</v>
      </c>
      <c r="AA345" s="22">
        <v>-1.79962E-2</v>
      </c>
      <c r="AB345" s="22">
        <v>335</v>
      </c>
      <c r="AC345" s="22">
        <v>0.14254800000000001</v>
      </c>
      <c r="AD345">
        <f t="shared" si="64"/>
        <v>17.996200000000002</v>
      </c>
      <c r="AE345">
        <f t="shared" si="65"/>
        <v>2.5757421174000004</v>
      </c>
      <c r="AF345" s="9"/>
      <c r="AG345" s="22">
        <v>1.58691</v>
      </c>
      <c r="AH345" s="22">
        <v>312.29000000000002</v>
      </c>
      <c r="AI345" s="22">
        <v>-1.5771500000000001E-2</v>
      </c>
      <c r="AJ345" s="22">
        <v>335</v>
      </c>
      <c r="AK345" s="22">
        <v>1.5863</v>
      </c>
      <c r="AL345">
        <f t="shared" si="66"/>
        <v>15.771500000000001</v>
      </c>
      <c r="AM345">
        <f t="shared" si="67"/>
        <v>25.027951065000003</v>
      </c>
      <c r="AP345" s="9"/>
      <c r="AQ345" s="22">
        <v>0.143127</v>
      </c>
      <c r="AR345" s="22">
        <v>408.25200000000001</v>
      </c>
      <c r="AS345" s="22">
        <v>-1.7916899999999999E-2</v>
      </c>
      <c r="AT345" s="22">
        <v>335</v>
      </c>
      <c r="AU345" s="22">
        <v>0.142761</v>
      </c>
      <c r="AV345">
        <f t="shared" si="68"/>
        <v>17.916899999999998</v>
      </c>
      <c r="AW345">
        <f t="shared" si="69"/>
        <v>2.5643921462999999</v>
      </c>
      <c r="AX345" s="9"/>
      <c r="AY345" s="22">
        <v>1.58691</v>
      </c>
      <c r="AZ345" s="22">
        <v>502.52100000000002</v>
      </c>
      <c r="BA345" s="22">
        <v>-1.58447E-2</v>
      </c>
      <c r="BB345" s="22">
        <v>335</v>
      </c>
      <c r="BC345" s="22">
        <v>1.5860000000000001</v>
      </c>
      <c r="BD345">
        <f t="shared" si="70"/>
        <v>15.8447</v>
      </c>
      <c r="BE345">
        <f t="shared" si="71"/>
        <v>25.144112877000001</v>
      </c>
    </row>
    <row r="346" spans="6:57">
      <c r="F346" s="9"/>
      <c r="G346" s="22">
        <v>0.13809199999999999</v>
      </c>
      <c r="H346" s="22">
        <v>89.365799999999993</v>
      </c>
      <c r="I346" s="22">
        <v>5.5581699999999998E-2</v>
      </c>
      <c r="J346" s="22">
        <v>336</v>
      </c>
      <c r="K346" s="22">
        <v>8.2244899999999996E-2</v>
      </c>
      <c r="L346">
        <f t="shared" si="60"/>
        <v>-55.581699999999998</v>
      </c>
      <c r="M346">
        <f t="shared" si="61"/>
        <v>-7.6753881163999989</v>
      </c>
      <c r="N346" s="9"/>
      <c r="O346" s="22">
        <v>1.59195</v>
      </c>
      <c r="P346" s="22">
        <v>161.58500000000001</v>
      </c>
      <c r="Q346" s="22">
        <v>-1.54114E-2</v>
      </c>
      <c r="R346" s="22">
        <v>336</v>
      </c>
      <c r="S346" s="22">
        <v>1.5908800000000001</v>
      </c>
      <c r="T346">
        <f t="shared" si="62"/>
        <v>15.4114</v>
      </c>
      <c r="U346">
        <f t="shared" si="63"/>
        <v>24.534178230000002</v>
      </c>
      <c r="X346" s="9"/>
      <c r="Y346" s="22">
        <v>0.13809199999999999</v>
      </c>
      <c r="Z346" s="22">
        <v>220.37200000000001</v>
      </c>
      <c r="AA346" s="22">
        <v>-1.79962E-2</v>
      </c>
      <c r="AB346" s="22">
        <v>336</v>
      </c>
      <c r="AC346" s="22">
        <v>0.137512</v>
      </c>
      <c r="AD346">
        <f t="shared" si="64"/>
        <v>17.996200000000002</v>
      </c>
      <c r="AE346">
        <f t="shared" si="65"/>
        <v>2.4851312504000003</v>
      </c>
      <c r="AF346" s="9"/>
      <c r="AG346" s="22">
        <v>1.59195</v>
      </c>
      <c r="AH346" s="22">
        <v>312.39</v>
      </c>
      <c r="AI346" s="22">
        <v>-1.5689100000000001E-2</v>
      </c>
      <c r="AJ346" s="22">
        <v>336</v>
      </c>
      <c r="AK346" s="22">
        <v>1.5908800000000001</v>
      </c>
      <c r="AL346">
        <f t="shared" si="66"/>
        <v>15.689100000000002</v>
      </c>
      <c r="AM346">
        <f t="shared" si="67"/>
        <v>24.976262745000003</v>
      </c>
      <c r="AP346" s="9"/>
      <c r="AQ346" s="22">
        <v>0.13809199999999999</v>
      </c>
      <c r="AR346" s="22">
        <v>408.35300000000001</v>
      </c>
      <c r="AS346" s="22">
        <v>-1.7919899999999999E-2</v>
      </c>
      <c r="AT346" s="22">
        <v>336</v>
      </c>
      <c r="AU346" s="22">
        <v>0.13732900000000001</v>
      </c>
      <c r="AV346">
        <f t="shared" si="68"/>
        <v>17.919899999999998</v>
      </c>
      <c r="AW346">
        <f t="shared" si="69"/>
        <v>2.4745948307999996</v>
      </c>
      <c r="AX346" s="9"/>
      <c r="AY346" s="22">
        <v>1.59195</v>
      </c>
      <c r="AZ346" s="22">
        <v>502.62200000000001</v>
      </c>
      <c r="BA346" s="22">
        <v>-1.57593E-2</v>
      </c>
      <c r="BB346" s="22">
        <v>336</v>
      </c>
      <c r="BC346" s="22">
        <v>1.5908800000000001</v>
      </c>
      <c r="BD346">
        <f t="shared" si="70"/>
        <v>15.7593</v>
      </c>
      <c r="BE346">
        <f t="shared" si="71"/>
        <v>25.088017635</v>
      </c>
    </row>
    <row r="347" spans="6:57">
      <c r="F347" s="9"/>
      <c r="G347" s="22">
        <v>0.13305700000000001</v>
      </c>
      <c r="H347" s="22">
        <v>89.466499999999996</v>
      </c>
      <c r="I347" s="22">
        <v>5.5593900000000002E-2</v>
      </c>
      <c r="J347" s="22">
        <v>337</v>
      </c>
      <c r="K347" s="22">
        <v>8.2244899999999996E-2</v>
      </c>
      <c r="L347">
        <f t="shared" si="60"/>
        <v>-55.593900000000005</v>
      </c>
      <c r="M347">
        <f t="shared" si="61"/>
        <v>-7.3971575523000013</v>
      </c>
      <c r="N347" s="9"/>
      <c r="O347" s="22">
        <v>1.5969800000000001</v>
      </c>
      <c r="P347" s="22">
        <v>161.68600000000001</v>
      </c>
      <c r="Q347" s="22">
        <v>-1.5273999999999999E-2</v>
      </c>
      <c r="R347" s="22">
        <v>337</v>
      </c>
      <c r="S347" s="22">
        <v>1.5960700000000001</v>
      </c>
      <c r="T347">
        <f t="shared" si="62"/>
        <v>15.273999999999999</v>
      </c>
      <c r="U347">
        <f t="shared" si="63"/>
        <v>24.392272519999999</v>
      </c>
      <c r="X347" s="9"/>
      <c r="Y347" s="22">
        <v>0.13305700000000001</v>
      </c>
      <c r="Z347" s="22">
        <v>220.47300000000001</v>
      </c>
      <c r="AA347" s="22">
        <v>-1.7999299999999999E-2</v>
      </c>
      <c r="AB347" s="22">
        <v>337</v>
      </c>
      <c r="AC347" s="22">
        <v>0.13269</v>
      </c>
      <c r="AD347">
        <f t="shared" si="64"/>
        <v>17.999299999999998</v>
      </c>
      <c r="AE347">
        <f t="shared" si="65"/>
        <v>2.3949328600999999</v>
      </c>
      <c r="AF347" s="9"/>
      <c r="AG347" s="22">
        <v>1.5969800000000001</v>
      </c>
      <c r="AH347" s="22">
        <v>312.49099999999999</v>
      </c>
      <c r="AI347" s="22">
        <v>-1.55762E-2</v>
      </c>
      <c r="AJ347" s="22">
        <v>337</v>
      </c>
      <c r="AK347" s="22">
        <v>1.5957600000000001</v>
      </c>
      <c r="AL347">
        <f t="shared" si="66"/>
        <v>15.5762</v>
      </c>
      <c r="AM347">
        <f t="shared" si="67"/>
        <v>24.874879876000001</v>
      </c>
      <c r="AP347" s="9"/>
      <c r="AQ347" s="22">
        <v>0.13305700000000001</v>
      </c>
      <c r="AR347" s="22">
        <v>408.45400000000001</v>
      </c>
      <c r="AS347" s="22">
        <v>-1.7913800000000001E-2</v>
      </c>
      <c r="AT347" s="22">
        <v>337</v>
      </c>
      <c r="AU347" s="22">
        <v>0.13308700000000001</v>
      </c>
      <c r="AV347">
        <f t="shared" si="68"/>
        <v>17.913800000000002</v>
      </c>
      <c r="AW347">
        <f t="shared" si="69"/>
        <v>2.3835564866000003</v>
      </c>
      <c r="AX347" s="9"/>
      <c r="AY347" s="22">
        <v>1.5969800000000001</v>
      </c>
      <c r="AZ347" s="22">
        <v>502.72199999999998</v>
      </c>
      <c r="BA347" s="22">
        <v>-1.56647E-2</v>
      </c>
      <c r="BB347" s="22">
        <v>337</v>
      </c>
      <c r="BC347" s="22">
        <v>1.5960700000000001</v>
      </c>
      <c r="BD347">
        <f t="shared" si="70"/>
        <v>15.6647</v>
      </c>
      <c r="BE347">
        <f t="shared" si="71"/>
        <v>25.016212606</v>
      </c>
    </row>
    <row r="348" spans="6:57">
      <c r="F348" s="9"/>
      <c r="G348" s="22">
        <v>0.128021</v>
      </c>
      <c r="H348" s="22">
        <v>89.5672</v>
      </c>
      <c r="I348" s="22">
        <v>5.5630499999999999E-2</v>
      </c>
      <c r="J348" s="22">
        <v>338</v>
      </c>
      <c r="K348" s="22">
        <v>8.2275399999999999E-2</v>
      </c>
      <c r="L348">
        <f t="shared" si="60"/>
        <v>-55.630499999999998</v>
      </c>
      <c r="M348">
        <f t="shared" si="61"/>
        <v>-7.1218722404999992</v>
      </c>
      <c r="N348" s="9"/>
      <c r="O348" s="22">
        <v>1.60202</v>
      </c>
      <c r="P348" s="22">
        <v>161.786</v>
      </c>
      <c r="Q348" s="22">
        <v>-1.51459E-2</v>
      </c>
      <c r="R348" s="22">
        <v>338</v>
      </c>
      <c r="S348" s="22">
        <v>1.6012599999999999</v>
      </c>
      <c r="T348">
        <f t="shared" si="62"/>
        <v>15.145900000000001</v>
      </c>
      <c r="U348">
        <f t="shared" si="63"/>
        <v>24.264034718000001</v>
      </c>
      <c r="X348" s="9"/>
      <c r="Y348" s="22">
        <v>0.128021</v>
      </c>
      <c r="Z348" s="22">
        <v>220.57300000000001</v>
      </c>
      <c r="AA348" s="22">
        <v>-1.80115E-2</v>
      </c>
      <c r="AB348" s="22">
        <v>338</v>
      </c>
      <c r="AC348" s="22">
        <v>0.12765499999999999</v>
      </c>
      <c r="AD348">
        <f t="shared" si="64"/>
        <v>18.011499999999998</v>
      </c>
      <c r="AE348">
        <f t="shared" si="65"/>
        <v>2.3058502414999995</v>
      </c>
      <c r="AF348" s="9"/>
      <c r="AG348" s="22">
        <v>1.60202</v>
      </c>
      <c r="AH348" s="22">
        <v>312.59199999999998</v>
      </c>
      <c r="AI348" s="22">
        <v>-1.5448E-2</v>
      </c>
      <c r="AJ348" s="22">
        <v>338</v>
      </c>
      <c r="AK348" s="22">
        <v>1.6015600000000001</v>
      </c>
      <c r="AL348">
        <f t="shared" si="66"/>
        <v>15.448</v>
      </c>
      <c r="AM348">
        <f t="shared" si="67"/>
        <v>24.748004959999999</v>
      </c>
      <c r="AP348" s="9"/>
      <c r="AQ348" s="22">
        <v>0.128021</v>
      </c>
      <c r="AR348" s="22">
        <v>408.55399999999997</v>
      </c>
      <c r="AS348" s="22">
        <v>-1.7932099999999999E-2</v>
      </c>
      <c r="AT348" s="22">
        <v>338</v>
      </c>
      <c r="AU348" s="22">
        <v>0.127502</v>
      </c>
      <c r="AV348">
        <f t="shared" si="68"/>
        <v>17.932099999999998</v>
      </c>
      <c r="AW348">
        <f t="shared" si="69"/>
        <v>2.2956853740999996</v>
      </c>
      <c r="AX348" s="9"/>
      <c r="AY348" s="22">
        <v>1.60202</v>
      </c>
      <c r="AZ348" s="22">
        <v>502.82299999999998</v>
      </c>
      <c r="BA348" s="22">
        <v>-1.55579E-2</v>
      </c>
      <c r="BB348" s="22">
        <v>338</v>
      </c>
      <c r="BC348" s="22">
        <v>1.6012599999999999</v>
      </c>
      <c r="BD348">
        <f t="shared" si="70"/>
        <v>15.5579</v>
      </c>
      <c r="BE348">
        <f t="shared" si="71"/>
        <v>24.924066958000001</v>
      </c>
    </row>
    <row r="349" spans="6:57">
      <c r="F349" s="9"/>
      <c r="G349" s="22">
        <v>0.122986</v>
      </c>
      <c r="H349" s="22">
        <v>89.667900000000003</v>
      </c>
      <c r="I349" s="22">
        <v>5.5621299999999999E-2</v>
      </c>
      <c r="J349" s="22">
        <v>339</v>
      </c>
      <c r="K349" s="22">
        <v>8.2183800000000001E-2</v>
      </c>
      <c r="L349">
        <f t="shared" si="60"/>
        <v>-55.621299999999998</v>
      </c>
      <c r="M349">
        <f t="shared" si="61"/>
        <v>-6.8406412017999996</v>
      </c>
      <c r="N349" s="9"/>
      <c r="O349" s="22">
        <v>1.6070599999999999</v>
      </c>
      <c r="P349" s="22">
        <v>161.887</v>
      </c>
      <c r="Q349" s="22">
        <v>-1.5008499999999999E-2</v>
      </c>
      <c r="R349" s="22">
        <v>339</v>
      </c>
      <c r="S349" s="22">
        <v>1.6064499999999999</v>
      </c>
      <c r="T349">
        <f t="shared" si="62"/>
        <v>15.0085</v>
      </c>
      <c r="U349">
        <f t="shared" si="63"/>
        <v>24.119560009999997</v>
      </c>
      <c r="X349" s="9"/>
      <c r="Y349" s="22">
        <v>0.122986</v>
      </c>
      <c r="Z349" s="22">
        <v>220.67400000000001</v>
      </c>
      <c r="AA349" s="22">
        <v>-1.8014499999999999E-2</v>
      </c>
      <c r="AB349" s="22">
        <v>339</v>
      </c>
      <c r="AC349" s="22">
        <v>0.122498</v>
      </c>
      <c r="AD349">
        <f t="shared" si="64"/>
        <v>18.014499999999998</v>
      </c>
      <c r="AE349">
        <f t="shared" si="65"/>
        <v>2.2155312969999996</v>
      </c>
      <c r="AF349" s="9"/>
      <c r="AG349" s="22">
        <v>1.6070599999999999</v>
      </c>
      <c r="AH349" s="22">
        <v>312.69299999999998</v>
      </c>
      <c r="AI349" s="22">
        <v>-1.53381E-2</v>
      </c>
      <c r="AJ349" s="22">
        <v>339</v>
      </c>
      <c r="AK349" s="22">
        <v>1.6061399999999999</v>
      </c>
      <c r="AL349">
        <f t="shared" si="66"/>
        <v>15.338100000000001</v>
      </c>
      <c r="AM349">
        <f t="shared" si="67"/>
        <v>24.649246986000001</v>
      </c>
      <c r="AP349" s="9"/>
      <c r="AQ349" s="22">
        <v>0.122986</v>
      </c>
      <c r="AR349" s="22">
        <v>408.65499999999997</v>
      </c>
      <c r="AS349" s="22">
        <v>-1.7932099999999999E-2</v>
      </c>
      <c r="AT349" s="22">
        <v>339</v>
      </c>
      <c r="AU349" s="22">
        <v>0.12262000000000001</v>
      </c>
      <c r="AV349">
        <f t="shared" si="68"/>
        <v>17.932099999999998</v>
      </c>
      <c r="AW349">
        <f t="shared" si="69"/>
        <v>2.2053972505999999</v>
      </c>
      <c r="AX349" s="9"/>
      <c r="AY349" s="22">
        <v>1.6070599999999999</v>
      </c>
      <c r="AZ349" s="22">
        <v>502.92399999999998</v>
      </c>
      <c r="BA349" s="22">
        <v>-1.54419E-2</v>
      </c>
      <c r="BB349" s="22">
        <v>339</v>
      </c>
      <c r="BC349" s="22">
        <v>1.6058300000000001</v>
      </c>
      <c r="BD349">
        <f t="shared" si="70"/>
        <v>15.4419</v>
      </c>
      <c r="BE349">
        <f t="shared" si="71"/>
        <v>24.816059813999999</v>
      </c>
    </row>
    <row r="350" spans="6:57">
      <c r="F350" s="9"/>
      <c r="G350" s="22">
        <v>0.11795</v>
      </c>
      <c r="H350" s="22">
        <v>89.768600000000006</v>
      </c>
      <c r="I350" s="22">
        <v>5.5621299999999999E-2</v>
      </c>
      <c r="J350" s="22">
        <v>340</v>
      </c>
      <c r="K350" s="22">
        <v>8.2183800000000001E-2</v>
      </c>
      <c r="L350">
        <f t="shared" si="60"/>
        <v>-55.621299999999998</v>
      </c>
      <c r="M350">
        <f t="shared" si="61"/>
        <v>-6.5605323349999995</v>
      </c>
      <c r="N350" s="9"/>
      <c r="O350" s="22">
        <v>1.61209</v>
      </c>
      <c r="P350" s="22">
        <v>161.988</v>
      </c>
      <c r="Q350" s="22">
        <v>-1.4855999999999999E-2</v>
      </c>
      <c r="R350" s="22">
        <v>340</v>
      </c>
      <c r="S350" s="22">
        <v>1.6107199999999999</v>
      </c>
      <c r="T350">
        <f t="shared" si="62"/>
        <v>14.856</v>
      </c>
      <c r="U350">
        <f t="shared" si="63"/>
        <v>23.94920904</v>
      </c>
      <c r="X350" s="9"/>
      <c r="Y350" s="22">
        <v>0.11795</v>
      </c>
      <c r="Z350" s="22">
        <v>220.77500000000001</v>
      </c>
      <c r="AA350" s="22">
        <v>-1.80115E-2</v>
      </c>
      <c r="AB350" s="22">
        <v>340</v>
      </c>
      <c r="AC350" s="22">
        <v>0.11731</v>
      </c>
      <c r="AD350">
        <f t="shared" si="64"/>
        <v>18.011499999999998</v>
      </c>
      <c r="AE350">
        <f t="shared" si="65"/>
        <v>2.1244564249999995</v>
      </c>
      <c r="AF350" s="9"/>
      <c r="AG350" s="22">
        <v>1.61209</v>
      </c>
      <c r="AH350" s="22">
        <v>312.79300000000001</v>
      </c>
      <c r="AI350" s="22">
        <v>-1.52344E-2</v>
      </c>
      <c r="AJ350" s="22">
        <v>340</v>
      </c>
      <c r="AK350" s="22">
        <v>1.6113299999999999</v>
      </c>
      <c r="AL350">
        <f t="shared" si="66"/>
        <v>15.234400000000001</v>
      </c>
      <c r="AM350">
        <f t="shared" si="67"/>
        <v>24.559223896000002</v>
      </c>
      <c r="AP350" s="9"/>
      <c r="AQ350" s="22">
        <v>0.11795</v>
      </c>
      <c r="AR350" s="22">
        <v>408.75599999999997</v>
      </c>
      <c r="AS350" s="22">
        <v>-1.7935199999999998E-2</v>
      </c>
      <c r="AT350" s="22">
        <v>340</v>
      </c>
      <c r="AU350" s="22">
        <v>0.11727899999999999</v>
      </c>
      <c r="AV350">
        <f t="shared" si="68"/>
        <v>17.935199999999998</v>
      </c>
      <c r="AW350">
        <f t="shared" si="69"/>
        <v>2.1154568399999998</v>
      </c>
      <c r="AX350" s="9"/>
      <c r="AY350" s="22">
        <v>1.61209</v>
      </c>
      <c r="AZ350" s="22">
        <v>503.024</v>
      </c>
      <c r="BA350" s="22">
        <v>-1.53229E-2</v>
      </c>
      <c r="BB350" s="22">
        <v>340</v>
      </c>
      <c r="BC350" s="22">
        <v>1.6113299999999999</v>
      </c>
      <c r="BD350">
        <f t="shared" si="70"/>
        <v>15.322900000000001</v>
      </c>
      <c r="BE350">
        <f t="shared" si="71"/>
        <v>24.701893861000002</v>
      </c>
    </row>
    <row r="351" spans="6:57">
      <c r="F351" s="9"/>
      <c r="G351" s="22">
        <v>0.112915</v>
      </c>
      <c r="H351" s="22">
        <v>89.869299999999996</v>
      </c>
      <c r="I351" s="22">
        <v>5.5609100000000002E-2</v>
      </c>
      <c r="J351" s="22">
        <v>341</v>
      </c>
      <c r="K351" s="22">
        <v>8.2244899999999996E-2</v>
      </c>
      <c r="L351">
        <f t="shared" si="60"/>
        <v>-55.609100000000005</v>
      </c>
      <c r="M351">
        <f t="shared" si="61"/>
        <v>-6.2791015265000008</v>
      </c>
      <c r="N351" s="9"/>
      <c r="O351" s="22">
        <v>1.61713</v>
      </c>
      <c r="P351" s="22">
        <v>162.08799999999999</v>
      </c>
      <c r="Q351" s="22">
        <v>-1.47095E-2</v>
      </c>
      <c r="R351" s="22">
        <v>341</v>
      </c>
      <c r="S351" s="22">
        <v>1.61652</v>
      </c>
      <c r="T351">
        <f t="shared" si="62"/>
        <v>14.7095</v>
      </c>
      <c r="U351">
        <f t="shared" si="63"/>
        <v>23.787173735</v>
      </c>
      <c r="X351" s="9"/>
      <c r="Y351" s="22">
        <v>0.112915</v>
      </c>
      <c r="Z351" s="22">
        <v>220.875</v>
      </c>
      <c r="AA351" s="22">
        <v>-1.8017600000000002E-2</v>
      </c>
      <c r="AB351" s="22">
        <v>341</v>
      </c>
      <c r="AC351" s="22">
        <v>0.112488</v>
      </c>
      <c r="AD351">
        <f t="shared" si="64"/>
        <v>18.017600000000002</v>
      </c>
      <c r="AE351">
        <f t="shared" si="65"/>
        <v>2.034457304</v>
      </c>
      <c r="AF351" s="9"/>
      <c r="AG351" s="22">
        <v>1.61713</v>
      </c>
      <c r="AH351" s="22">
        <v>312.89400000000001</v>
      </c>
      <c r="AI351" s="22">
        <v>-1.5081799999999999E-2</v>
      </c>
      <c r="AJ351" s="22">
        <v>341</v>
      </c>
      <c r="AK351" s="22">
        <v>1.61652</v>
      </c>
      <c r="AL351">
        <f t="shared" si="66"/>
        <v>15.081799999999999</v>
      </c>
      <c r="AM351">
        <f t="shared" si="67"/>
        <v>24.389231233999997</v>
      </c>
      <c r="AP351" s="9"/>
      <c r="AQ351" s="22">
        <v>0.112915</v>
      </c>
      <c r="AR351" s="22">
        <v>408.85700000000003</v>
      </c>
      <c r="AS351" s="22">
        <v>-1.7932099999999999E-2</v>
      </c>
      <c r="AT351" s="22">
        <v>341</v>
      </c>
      <c r="AU351" s="22">
        <v>0.112274</v>
      </c>
      <c r="AV351">
        <f t="shared" si="68"/>
        <v>17.932099999999998</v>
      </c>
      <c r="AW351">
        <f t="shared" si="69"/>
        <v>2.0248030715000001</v>
      </c>
      <c r="AX351" s="9"/>
      <c r="AY351" s="22">
        <v>1.61713</v>
      </c>
      <c r="AZ351" s="22">
        <v>503.125</v>
      </c>
      <c r="BA351" s="22">
        <v>-1.5185499999999999E-2</v>
      </c>
      <c r="BB351" s="22">
        <v>341</v>
      </c>
      <c r="BC351" s="22">
        <v>1.61591</v>
      </c>
      <c r="BD351">
        <f t="shared" si="70"/>
        <v>15.185499999999999</v>
      </c>
      <c r="BE351">
        <f t="shared" si="71"/>
        <v>24.556927614999999</v>
      </c>
    </row>
    <row r="352" spans="6:57">
      <c r="F352" s="9"/>
      <c r="G352" s="22">
        <v>0.10788</v>
      </c>
      <c r="H352" s="22">
        <v>89.97</v>
      </c>
      <c r="I352" s="22">
        <v>5.5609100000000002E-2</v>
      </c>
      <c r="J352" s="22">
        <v>342</v>
      </c>
      <c r="K352" s="22">
        <v>8.2305900000000001E-2</v>
      </c>
      <c r="L352">
        <f t="shared" si="60"/>
        <v>-55.609100000000005</v>
      </c>
      <c r="M352">
        <f t="shared" si="61"/>
        <v>-5.9991097080000007</v>
      </c>
      <c r="N352" s="9"/>
      <c r="O352" s="22">
        <v>1.62216</v>
      </c>
      <c r="P352" s="22">
        <v>162.18899999999999</v>
      </c>
      <c r="Q352" s="22">
        <v>-1.45355E-2</v>
      </c>
      <c r="R352" s="22">
        <v>342</v>
      </c>
      <c r="S352" s="22">
        <v>1.62201</v>
      </c>
      <c r="T352">
        <f t="shared" si="62"/>
        <v>14.535499999999999</v>
      </c>
      <c r="U352">
        <f t="shared" si="63"/>
        <v>23.578906679999999</v>
      </c>
      <c r="X352" s="9"/>
      <c r="Y352" s="22">
        <v>0.10788</v>
      </c>
      <c r="Z352" s="22">
        <v>220.976</v>
      </c>
      <c r="AA352" s="22">
        <v>-1.8020600000000001E-2</v>
      </c>
      <c r="AB352" s="22">
        <v>342</v>
      </c>
      <c r="AC352" s="22">
        <v>0.10732999999999999</v>
      </c>
      <c r="AD352">
        <f t="shared" si="64"/>
        <v>18.020600000000002</v>
      </c>
      <c r="AE352">
        <f t="shared" si="65"/>
        <v>1.9440623280000002</v>
      </c>
      <c r="AF352" s="9"/>
      <c r="AG352" s="22">
        <v>1.62216</v>
      </c>
      <c r="AH352" s="22">
        <v>312.995</v>
      </c>
      <c r="AI352" s="22">
        <v>-1.49231E-2</v>
      </c>
      <c r="AJ352" s="22">
        <v>342</v>
      </c>
      <c r="AK352" s="22">
        <v>1.6216999999999999</v>
      </c>
      <c r="AL352">
        <f t="shared" si="66"/>
        <v>14.9231</v>
      </c>
      <c r="AM352">
        <f t="shared" si="67"/>
        <v>24.207655896000002</v>
      </c>
      <c r="AP352" s="9"/>
      <c r="AQ352" s="22">
        <v>0.10788</v>
      </c>
      <c r="AR352" s="22">
        <v>408.95699999999999</v>
      </c>
      <c r="AS352" s="22">
        <v>-1.7926000000000001E-2</v>
      </c>
      <c r="AT352" s="22">
        <v>342</v>
      </c>
      <c r="AU352" s="22">
        <v>0.107086</v>
      </c>
      <c r="AV352">
        <f t="shared" si="68"/>
        <v>17.926000000000002</v>
      </c>
      <c r="AW352">
        <f t="shared" si="69"/>
        <v>1.9338568800000002</v>
      </c>
      <c r="AX352" s="9"/>
      <c r="AY352" s="22">
        <v>1.62216</v>
      </c>
      <c r="AZ352" s="22">
        <v>503.226</v>
      </c>
      <c r="BA352" s="22">
        <v>-1.50665E-2</v>
      </c>
      <c r="BB352" s="22">
        <v>342</v>
      </c>
      <c r="BC352" s="22">
        <v>1.6214</v>
      </c>
      <c r="BD352">
        <f t="shared" si="70"/>
        <v>15.0665</v>
      </c>
      <c r="BE352">
        <f t="shared" si="71"/>
        <v>24.440273640000001</v>
      </c>
    </row>
    <row r="353" spans="6:57">
      <c r="F353" s="9"/>
      <c r="G353" s="22">
        <v>0.102844</v>
      </c>
      <c r="H353" s="22">
        <v>90.070700000000002</v>
      </c>
      <c r="I353" s="22">
        <v>5.5584700000000001E-2</v>
      </c>
      <c r="J353" s="22">
        <v>343</v>
      </c>
      <c r="K353" s="22">
        <v>8.2275399999999999E-2</v>
      </c>
      <c r="L353">
        <f t="shared" si="60"/>
        <v>-55.584699999999998</v>
      </c>
      <c r="M353">
        <f t="shared" si="61"/>
        <v>-5.7165528867999997</v>
      </c>
      <c r="N353" s="9"/>
      <c r="O353" s="22">
        <v>1.6272</v>
      </c>
      <c r="P353" s="22">
        <v>162.29</v>
      </c>
      <c r="Q353" s="22">
        <v>-1.4346299999999999E-2</v>
      </c>
      <c r="R353" s="22">
        <v>343</v>
      </c>
      <c r="S353" s="22">
        <v>1.62659</v>
      </c>
      <c r="T353">
        <f t="shared" si="62"/>
        <v>14.346299999999999</v>
      </c>
      <c r="U353">
        <f t="shared" si="63"/>
        <v>23.344299359999997</v>
      </c>
      <c r="X353" s="9"/>
      <c r="Y353" s="22">
        <v>0.102844</v>
      </c>
      <c r="Z353" s="22">
        <v>221.077</v>
      </c>
      <c r="AA353" s="22">
        <v>-1.80267E-2</v>
      </c>
      <c r="AB353" s="22">
        <v>343</v>
      </c>
      <c r="AC353" s="22">
        <v>0.102386</v>
      </c>
      <c r="AD353">
        <f t="shared" si="64"/>
        <v>18.026699999999998</v>
      </c>
      <c r="AE353">
        <f t="shared" si="65"/>
        <v>1.8539379347999998</v>
      </c>
      <c r="AF353" s="9"/>
      <c r="AG353" s="22">
        <v>1.6272</v>
      </c>
      <c r="AH353" s="22">
        <v>313.09500000000003</v>
      </c>
      <c r="AI353" s="22">
        <v>-1.47858E-2</v>
      </c>
      <c r="AJ353" s="22">
        <v>343</v>
      </c>
      <c r="AK353" s="22">
        <v>1.6262799999999999</v>
      </c>
      <c r="AL353">
        <f t="shared" si="66"/>
        <v>14.7858</v>
      </c>
      <c r="AM353">
        <f t="shared" si="67"/>
        <v>24.05945376</v>
      </c>
      <c r="AP353" s="9"/>
      <c r="AQ353" s="22">
        <v>0.102844</v>
      </c>
      <c r="AR353" s="22">
        <v>409.05799999999999</v>
      </c>
      <c r="AS353" s="22">
        <v>-1.7932099999999999E-2</v>
      </c>
      <c r="AT353" s="22">
        <v>343</v>
      </c>
      <c r="AU353" s="22">
        <v>0.10208100000000001</v>
      </c>
      <c r="AV353">
        <f t="shared" si="68"/>
        <v>17.932099999999998</v>
      </c>
      <c r="AW353">
        <f t="shared" si="69"/>
        <v>1.8442088924</v>
      </c>
      <c r="AX353" s="9"/>
      <c r="AY353" s="22">
        <v>1.6272</v>
      </c>
      <c r="AZ353" s="22">
        <v>503.327</v>
      </c>
      <c r="BA353" s="22">
        <v>-1.4926099999999999E-2</v>
      </c>
      <c r="BB353" s="22">
        <v>343</v>
      </c>
      <c r="BC353" s="22">
        <v>1.6262799999999999</v>
      </c>
      <c r="BD353">
        <f t="shared" si="70"/>
        <v>14.9261</v>
      </c>
      <c r="BE353">
        <f t="shared" si="71"/>
        <v>24.28774992</v>
      </c>
    </row>
    <row r="354" spans="6:57">
      <c r="F354" s="9"/>
      <c r="G354" s="22">
        <v>9.7808800000000001E-2</v>
      </c>
      <c r="H354" s="22">
        <v>90.171400000000006</v>
      </c>
      <c r="I354" s="22">
        <v>5.55603E-2</v>
      </c>
      <c r="J354" s="22">
        <v>344</v>
      </c>
      <c r="K354" s="22">
        <v>8.2275399999999999E-2</v>
      </c>
      <c r="L354">
        <f t="shared" si="60"/>
        <v>-55.560299999999998</v>
      </c>
      <c r="M354">
        <f t="shared" si="61"/>
        <v>-5.4342862706399995</v>
      </c>
      <c r="N354" s="9"/>
      <c r="O354" s="22">
        <v>1.6322300000000001</v>
      </c>
      <c r="P354" s="22">
        <v>162.39099999999999</v>
      </c>
      <c r="Q354" s="22">
        <v>-1.41815E-2</v>
      </c>
      <c r="R354" s="22">
        <v>344</v>
      </c>
      <c r="S354" s="22">
        <v>1.63147</v>
      </c>
      <c r="T354">
        <f t="shared" si="62"/>
        <v>14.1815</v>
      </c>
      <c r="U354">
        <f t="shared" si="63"/>
        <v>23.147469745000002</v>
      </c>
      <c r="X354" s="9"/>
      <c r="Y354" s="22">
        <v>9.7808800000000001E-2</v>
      </c>
      <c r="Z354" s="22">
        <v>221.178</v>
      </c>
      <c r="AA354" s="22">
        <v>-1.80237E-2</v>
      </c>
      <c r="AB354" s="22">
        <v>344</v>
      </c>
      <c r="AC354" s="22">
        <v>9.7015400000000002E-2</v>
      </c>
      <c r="AD354">
        <f t="shared" si="64"/>
        <v>18.023700000000002</v>
      </c>
      <c r="AE354">
        <f t="shared" si="65"/>
        <v>1.7628764685600002</v>
      </c>
      <c r="AF354" s="9"/>
      <c r="AG354" s="22">
        <v>1.6322300000000001</v>
      </c>
      <c r="AH354" s="22">
        <v>313.19600000000003</v>
      </c>
      <c r="AI354" s="22">
        <v>-1.46362E-2</v>
      </c>
      <c r="AJ354" s="22">
        <v>344</v>
      </c>
      <c r="AK354" s="22">
        <v>1.6311599999999999</v>
      </c>
      <c r="AL354">
        <f t="shared" si="66"/>
        <v>14.636200000000001</v>
      </c>
      <c r="AM354">
        <f t="shared" si="67"/>
        <v>23.889644726</v>
      </c>
      <c r="AP354" s="9"/>
      <c r="AQ354" s="22">
        <v>9.7808800000000001E-2</v>
      </c>
      <c r="AR354" s="22">
        <v>409.15899999999999</v>
      </c>
      <c r="AS354" s="22">
        <v>-1.7935199999999998E-2</v>
      </c>
      <c r="AT354" s="22">
        <v>344</v>
      </c>
      <c r="AU354" s="22">
        <v>9.7686800000000004E-2</v>
      </c>
      <c r="AV354">
        <f t="shared" si="68"/>
        <v>17.935199999999998</v>
      </c>
      <c r="AW354">
        <f t="shared" si="69"/>
        <v>1.7542203897599999</v>
      </c>
      <c r="AX354" s="9"/>
      <c r="AY354" s="22">
        <v>1.6322300000000001</v>
      </c>
      <c r="AZ354" s="22">
        <v>503.42700000000002</v>
      </c>
      <c r="BA354" s="22">
        <v>-1.47797E-2</v>
      </c>
      <c r="BB354" s="22">
        <v>344</v>
      </c>
      <c r="BC354" s="22">
        <v>1.6311599999999999</v>
      </c>
      <c r="BD354">
        <f t="shared" si="70"/>
        <v>14.7797</v>
      </c>
      <c r="BE354">
        <f t="shared" si="71"/>
        <v>24.123869731000003</v>
      </c>
    </row>
    <row r="355" spans="6:57">
      <c r="F355" s="9"/>
      <c r="G355" s="22">
        <v>9.2773400000000006E-2</v>
      </c>
      <c r="H355" s="22">
        <v>90.272199999999998</v>
      </c>
      <c r="I355" s="22">
        <v>5.5554199999999998E-2</v>
      </c>
      <c r="J355" s="22">
        <v>345</v>
      </c>
      <c r="K355" s="22">
        <v>8.2244899999999996E-2</v>
      </c>
      <c r="L355">
        <f t="shared" si="60"/>
        <v>-55.554199999999994</v>
      </c>
      <c r="M355">
        <f t="shared" si="61"/>
        <v>-5.15395201828</v>
      </c>
      <c r="N355" s="9"/>
      <c r="O355" s="22">
        <v>1.63727</v>
      </c>
      <c r="P355" s="22">
        <v>162.49100000000001</v>
      </c>
      <c r="Q355" s="22">
        <v>-1.3998399999999999E-2</v>
      </c>
      <c r="R355" s="22">
        <v>345</v>
      </c>
      <c r="S355" s="22">
        <v>1.63635</v>
      </c>
      <c r="T355">
        <f t="shared" si="62"/>
        <v>13.9984</v>
      </c>
      <c r="U355">
        <f t="shared" si="63"/>
        <v>22.919160368</v>
      </c>
      <c r="X355" s="9"/>
      <c r="Y355" s="22">
        <v>9.2773400000000006E-2</v>
      </c>
      <c r="Z355" s="22">
        <v>221.27799999999999</v>
      </c>
      <c r="AA355" s="22">
        <v>-1.80267E-2</v>
      </c>
      <c r="AB355" s="22">
        <v>345</v>
      </c>
      <c r="AC355" s="22">
        <v>9.2559799999999998E-2</v>
      </c>
      <c r="AD355">
        <f t="shared" si="64"/>
        <v>18.026699999999998</v>
      </c>
      <c r="AE355">
        <f t="shared" si="65"/>
        <v>1.6723982497799998</v>
      </c>
      <c r="AF355" s="9"/>
      <c r="AG355" s="22">
        <v>1.63727</v>
      </c>
      <c r="AH355" s="22">
        <v>313.29700000000003</v>
      </c>
      <c r="AI355" s="22">
        <v>-1.4477500000000001E-2</v>
      </c>
      <c r="AJ355" s="22">
        <v>345</v>
      </c>
      <c r="AK355" s="22">
        <v>1.63635</v>
      </c>
      <c r="AL355">
        <f t="shared" si="66"/>
        <v>14.477500000000001</v>
      </c>
      <c r="AM355">
        <f t="shared" si="67"/>
        <v>23.703576425000001</v>
      </c>
      <c r="AP355" s="9"/>
      <c r="AQ355" s="22">
        <v>9.2773400000000006E-2</v>
      </c>
      <c r="AR355" s="22">
        <v>409.25900000000001</v>
      </c>
      <c r="AS355" s="22">
        <v>-1.7950399999999998E-2</v>
      </c>
      <c r="AT355" s="22">
        <v>345</v>
      </c>
      <c r="AU355" s="22">
        <v>9.2254600000000006E-2</v>
      </c>
      <c r="AV355">
        <f t="shared" si="68"/>
        <v>17.950399999999998</v>
      </c>
      <c r="AW355">
        <f t="shared" si="69"/>
        <v>1.66531963936</v>
      </c>
      <c r="AX355" s="9"/>
      <c r="AY355" s="22">
        <v>1.63727</v>
      </c>
      <c r="AZ355" s="22">
        <v>503.52800000000002</v>
      </c>
      <c r="BA355" s="22">
        <v>-1.4624E-2</v>
      </c>
      <c r="BB355" s="22">
        <v>345</v>
      </c>
      <c r="BC355" s="22">
        <v>1.63605</v>
      </c>
      <c r="BD355">
        <f t="shared" si="70"/>
        <v>14.624000000000001</v>
      </c>
      <c r="BE355">
        <f t="shared" si="71"/>
        <v>23.943436480000003</v>
      </c>
    </row>
    <row r="356" spans="6:57">
      <c r="F356" s="9"/>
      <c r="G356" s="22">
        <v>8.7737999999999997E-2</v>
      </c>
      <c r="H356" s="22">
        <v>90.372900000000001</v>
      </c>
      <c r="I356" s="22">
        <v>5.5523700000000002E-2</v>
      </c>
      <c r="J356" s="22">
        <v>346</v>
      </c>
      <c r="K356" s="22">
        <v>8.2214400000000007E-2</v>
      </c>
      <c r="L356">
        <f t="shared" si="60"/>
        <v>-55.523700000000005</v>
      </c>
      <c r="M356">
        <f t="shared" si="61"/>
        <v>-4.8715383906000005</v>
      </c>
      <c r="N356" s="9"/>
      <c r="O356" s="22">
        <v>1.6423000000000001</v>
      </c>
      <c r="P356" s="22">
        <v>162.59200000000001</v>
      </c>
      <c r="Q356" s="22">
        <v>-1.37939E-2</v>
      </c>
      <c r="R356" s="22">
        <v>346</v>
      </c>
      <c r="S356" s="22">
        <v>1.64215</v>
      </c>
      <c r="T356">
        <f t="shared" si="62"/>
        <v>13.793899999999999</v>
      </c>
      <c r="U356">
        <f t="shared" si="63"/>
        <v>22.653721969999999</v>
      </c>
      <c r="X356" s="9"/>
      <c r="Y356" s="22">
        <v>8.7737999999999997E-2</v>
      </c>
      <c r="Z356" s="22">
        <v>221.37899999999999</v>
      </c>
      <c r="AA356" s="22">
        <v>-1.8029799999999999E-2</v>
      </c>
      <c r="AB356" s="22">
        <v>346</v>
      </c>
      <c r="AC356" s="22">
        <v>8.7036100000000005E-2</v>
      </c>
      <c r="AD356">
        <f t="shared" si="64"/>
        <v>18.029799999999998</v>
      </c>
      <c r="AE356">
        <f t="shared" si="65"/>
        <v>1.5818985923999997</v>
      </c>
      <c r="AF356" s="9"/>
      <c r="AG356" s="22">
        <v>1.6423000000000001</v>
      </c>
      <c r="AH356" s="22">
        <v>313.39699999999999</v>
      </c>
      <c r="AI356" s="22">
        <v>-1.4306599999999999E-2</v>
      </c>
      <c r="AJ356" s="22">
        <v>346</v>
      </c>
      <c r="AK356" s="22">
        <v>1.64124</v>
      </c>
      <c r="AL356">
        <f t="shared" si="66"/>
        <v>14.3066</v>
      </c>
      <c r="AM356">
        <f t="shared" si="67"/>
        <v>23.495729180000001</v>
      </c>
      <c r="AP356" s="9"/>
      <c r="AQ356" s="22">
        <v>8.7737999999999997E-2</v>
      </c>
      <c r="AR356" s="22">
        <v>409.36</v>
      </c>
      <c r="AS356" s="22">
        <v>-1.7953500000000001E-2</v>
      </c>
      <c r="AT356" s="22">
        <v>346</v>
      </c>
      <c r="AU356" s="22">
        <v>8.7432899999999994E-2</v>
      </c>
      <c r="AV356">
        <f t="shared" si="68"/>
        <v>17.953500000000002</v>
      </c>
      <c r="AW356">
        <f t="shared" si="69"/>
        <v>1.5752041830000001</v>
      </c>
      <c r="AX356" s="9"/>
      <c r="AY356" s="22">
        <v>1.6423000000000001</v>
      </c>
      <c r="AZ356" s="22">
        <v>503.62900000000002</v>
      </c>
      <c r="BA356" s="22">
        <v>-1.44501E-2</v>
      </c>
      <c r="BB356" s="22">
        <v>346</v>
      </c>
      <c r="BC356" s="22">
        <v>1.64154</v>
      </c>
      <c r="BD356">
        <f t="shared" si="70"/>
        <v>14.450100000000001</v>
      </c>
      <c r="BE356">
        <f t="shared" si="71"/>
        <v>23.731399230000001</v>
      </c>
    </row>
    <row r="357" spans="6:57">
      <c r="F357" s="9"/>
      <c r="G357" s="22">
        <v>8.2702600000000001E-2</v>
      </c>
      <c r="H357" s="22">
        <v>90.473600000000005</v>
      </c>
      <c r="I357" s="22">
        <v>5.5444300000000002E-2</v>
      </c>
      <c r="J357" s="22">
        <v>347</v>
      </c>
      <c r="K357" s="22">
        <v>8.2183800000000001E-2</v>
      </c>
      <c r="L357">
        <f t="shared" si="60"/>
        <v>-55.444299999999998</v>
      </c>
      <c r="M357">
        <f t="shared" si="61"/>
        <v>-4.5853877651800001</v>
      </c>
      <c r="N357" s="9"/>
      <c r="O357" s="22">
        <v>1.64734</v>
      </c>
      <c r="P357" s="22">
        <v>162.69300000000001</v>
      </c>
      <c r="Q357" s="22">
        <v>-1.35925E-2</v>
      </c>
      <c r="R357" s="22">
        <v>347</v>
      </c>
      <c r="S357" s="22">
        <v>1.64703</v>
      </c>
      <c r="T357">
        <f t="shared" si="62"/>
        <v>13.592500000000001</v>
      </c>
      <c r="U357">
        <f t="shared" si="63"/>
        <v>22.391468950000004</v>
      </c>
      <c r="X357" s="9"/>
      <c r="Y357" s="22">
        <v>8.2702600000000001E-2</v>
      </c>
      <c r="Z357" s="22">
        <v>221.48</v>
      </c>
      <c r="AA357" s="22">
        <v>-1.80267E-2</v>
      </c>
      <c r="AB357" s="22">
        <v>347</v>
      </c>
      <c r="AC357" s="22">
        <v>8.1573499999999993E-2</v>
      </c>
      <c r="AD357">
        <f t="shared" si="64"/>
        <v>18.026699999999998</v>
      </c>
      <c r="AE357">
        <f t="shared" si="65"/>
        <v>1.4908549594199998</v>
      </c>
      <c r="AF357" s="9"/>
      <c r="AG357" s="22">
        <v>1.64734</v>
      </c>
      <c r="AH357" s="22">
        <v>313.49799999999999</v>
      </c>
      <c r="AI357" s="22">
        <v>-1.41113E-2</v>
      </c>
      <c r="AJ357" s="22">
        <v>347</v>
      </c>
      <c r="AK357" s="22">
        <v>1.64612</v>
      </c>
      <c r="AL357">
        <f t="shared" si="66"/>
        <v>14.1113</v>
      </c>
      <c r="AM357">
        <f t="shared" si="67"/>
        <v>23.246108941999999</v>
      </c>
      <c r="AP357" s="9"/>
      <c r="AQ357" s="22">
        <v>8.2702600000000001E-2</v>
      </c>
      <c r="AR357" s="22">
        <v>409.46100000000001</v>
      </c>
      <c r="AS357" s="22">
        <v>-1.7950399999999998E-2</v>
      </c>
      <c r="AT357" s="22">
        <v>347</v>
      </c>
      <c r="AU357" s="22">
        <v>8.2183800000000001E-2</v>
      </c>
      <c r="AV357">
        <f t="shared" si="68"/>
        <v>17.950399999999998</v>
      </c>
      <c r="AW357">
        <f t="shared" si="69"/>
        <v>1.4845447510399998</v>
      </c>
      <c r="AX357" s="9"/>
      <c r="AY357" s="22">
        <v>1.64734</v>
      </c>
      <c r="AZ357" s="22">
        <v>503.72899999999998</v>
      </c>
      <c r="BA357" s="22">
        <v>-1.42761E-2</v>
      </c>
      <c r="BB357" s="22">
        <v>347</v>
      </c>
      <c r="BC357" s="22">
        <v>1.64642</v>
      </c>
      <c r="BD357">
        <f t="shared" si="70"/>
        <v>14.2761</v>
      </c>
      <c r="BE357">
        <f t="shared" si="71"/>
        <v>23.517590574</v>
      </c>
    </row>
    <row r="358" spans="6:57">
      <c r="F358" s="9"/>
      <c r="G358" s="22">
        <v>7.7667200000000006E-2</v>
      </c>
      <c r="H358" s="22">
        <v>90.574299999999994</v>
      </c>
      <c r="I358" s="22">
        <v>4.1659500000000002E-2</v>
      </c>
      <c r="J358" s="22">
        <v>348</v>
      </c>
      <c r="K358" s="22">
        <v>7.8277600000000003E-2</v>
      </c>
      <c r="L358">
        <f t="shared" si="60"/>
        <v>-41.659500000000001</v>
      </c>
      <c r="M358">
        <f t="shared" si="61"/>
        <v>-3.2355767184000004</v>
      </c>
      <c r="N358" s="9"/>
      <c r="O358" s="22">
        <v>1.6523699999999999</v>
      </c>
      <c r="P358" s="22">
        <v>162.79300000000001</v>
      </c>
      <c r="Q358" s="22">
        <v>-1.33636E-2</v>
      </c>
      <c r="R358" s="22">
        <v>348</v>
      </c>
      <c r="S358" s="22">
        <v>1.6519200000000001</v>
      </c>
      <c r="T358">
        <f t="shared" si="62"/>
        <v>13.3636</v>
      </c>
      <c r="U358">
        <f t="shared" si="63"/>
        <v>22.081611731999999</v>
      </c>
      <c r="X358" s="9"/>
      <c r="Y358" s="22">
        <v>7.7667200000000006E-2</v>
      </c>
      <c r="Z358" s="22">
        <v>221.58</v>
      </c>
      <c r="AA358" s="22">
        <v>-1.80267E-2</v>
      </c>
      <c r="AB358" s="22">
        <v>348</v>
      </c>
      <c r="AC358" s="22">
        <v>7.7178999999999998E-2</v>
      </c>
      <c r="AD358">
        <f t="shared" si="64"/>
        <v>18.026699999999998</v>
      </c>
      <c r="AE358">
        <f t="shared" si="65"/>
        <v>1.40008331424</v>
      </c>
      <c r="AF358" s="9"/>
      <c r="AG358" s="22">
        <v>1.6523699999999999</v>
      </c>
      <c r="AH358" s="22">
        <v>313.59899999999999</v>
      </c>
      <c r="AI358" s="22">
        <v>-1.3931300000000001E-2</v>
      </c>
      <c r="AJ358" s="22">
        <v>348</v>
      </c>
      <c r="AK358" s="22">
        <v>1.6525300000000001</v>
      </c>
      <c r="AL358">
        <f t="shared" si="66"/>
        <v>13.9313</v>
      </c>
      <c r="AM358">
        <f t="shared" si="67"/>
        <v>23.019662180999998</v>
      </c>
      <c r="AP358" s="9"/>
      <c r="AQ358" s="22">
        <v>7.7667200000000006E-2</v>
      </c>
      <c r="AR358" s="22">
        <v>409.56099999999998</v>
      </c>
      <c r="AS358" s="22">
        <v>-1.79565E-2</v>
      </c>
      <c r="AT358" s="22">
        <v>348</v>
      </c>
      <c r="AU358" s="22">
        <v>7.7392600000000006E-2</v>
      </c>
      <c r="AV358">
        <f t="shared" si="68"/>
        <v>17.956500000000002</v>
      </c>
      <c r="AW358">
        <f t="shared" si="69"/>
        <v>1.3946310768000003</v>
      </c>
      <c r="AX358" s="9"/>
      <c r="AY358" s="22">
        <v>1.6523699999999999</v>
      </c>
      <c r="AZ358" s="22">
        <v>503.83</v>
      </c>
      <c r="BA358" s="22">
        <v>-1.40961E-2</v>
      </c>
      <c r="BB358" s="22">
        <v>348</v>
      </c>
      <c r="BC358" s="22">
        <v>1.6513100000000001</v>
      </c>
      <c r="BD358">
        <f t="shared" si="70"/>
        <v>14.0961</v>
      </c>
      <c r="BE358">
        <f t="shared" si="71"/>
        <v>23.291972757</v>
      </c>
    </row>
    <row r="359" spans="6:57">
      <c r="F359" s="9"/>
      <c r="G359" s="22">
        <v>7.2631799999999996E-2</v>
      </c>
      <c r="H359" s="22">
        <v>90.674999999999997</v>
      </c>
      <c r="I359" s="22">
        <v>-1.01563E-2</v>
      </c>
      <c r="J359" s="22">
        <v>349</v>
      </c>
      <c r="K359" s="22">
        <v>7.2387699999999999E-2</v>
      </c>
      <c r="L359">
        <f t="shared" si="60"/>
        <v>10.1563</v>
      </c>
      <c r="M359">
        <f t="shared" si="61"/>
        <v>0.73767035033999995</v>
      </c>
      <c r="N359" s="9"/>
      <c r="O359" s="22">
        <v>1.65741</v>
      </c>
      <c r="P359" s="22">
        <v>162.89400000000001</v>
      </c>
      <c r="Q359" s="22">
        <v>-1.3159199999999999E-2</v>
      </c>
      <c r="R359" s="22">
        <v>349</v>
      </c>
      <c r="S359" s="22">
        <v>1.6568000000000001</v>
      </c>
      <c r="T359">
        <f t="shared" si="62"/>
        <v>13.1592</v>
      </c>
      <c r="U359">
        <f t="shared" si="63"/>
        <v>21.810189672</v>
      </c>
      <c r="X359" s="9"/>
      <c r="Y359" s="22">
        <v>7.2631799999999996E-2</v>
      </c>
      <c r="Z359" s="22">
        <v>221.68100000000001</v>
      </c>
      <c r="AA359" s="22">
        <v>-1.8035900000000001E-2</v>
      </c>
      <c r="AB359" s="22">
        <v>349</v>
      </c>
      <c r="AC359" s="22">
        <v>7.2235099999999997E-2</v>
      </c>
      <c r="AD359">
        <f t="shared" si="64"/>
        <v>18.035900000000002</v>
      </c>
      <c r="AE359">
        <f t="shared" si="65"/>
        <v>1.3099798816200001</v>
      </c>
      <c r="AF359" s="9"/>
      <c r="AG359" s="22">
        <v>1.65741</v>
      </c>
      <c r="AH359" s="22">
        <v>313.7</v>
      </c>
      <c r="AI359" s="22">
        <v>-1.3726800000000001E-2</v>
      </c>
      <c r="AJ359" s="22">
        <v>349</v>
      </c>
      <c r="AK359" s="22">
        <v>1.65649</v>
      </c>
      <c r="AL359">
        <f t="shared" si="66"/>
        <v>13.726800000000001</v>
      </c>
      <c r="AM359">
        <f t="shared" si="67"/>
        <v>22.750935588000001</v>
      </c>
      <c r="AP359" s="9"/>
      <c r="AQ359" s="22">
        <v>7.2631799999999996E-2</v>
      </c>
      <c r="AR359" s="22">
        <v>409.66199999999998</v>
      </c>
      <c r="AS359" s="22">
        <v>-1.7965700000000001E-2</v>
      </c>
      <c r="AT359" s="22">
        <v>349</v>
      </c>
      <c r="AU359" s="22">
        <v>7.2082499999999994E-2</v>
      </c>
      <c r="AV359">
        <f t="shared" si="68"/>
        <v>17.965700000000002</v>
      </c>
      <c r="AW359">
        <f t="shared" si="69"/>
        <v>1.30488112926</v>
      </c>
      <c r="AX359" s="9"/>
      <c r="AY359" s="22">
        <v>1.65741</v>
      </c>
      <c r="AZ359" s="22">
        <v>503.93099999999998</v>
      </c>
      <c r="BA359" s="22">
        <v>-1.3894699999999999E-2</v>
      </c>
      <c r="BB359" s="22">
        <v>349</v>
      </c>
      <c r="BC359" s="22">
        <v>1.6571</v>
      </c>
      <c r="BD359">
        <f t="shared" si="70"/>
        <v>13.8947</v>
      </c>
      <c r="BE359">
        <f t="shared" si="71"/>
        <v>23.029214726999999</v>
      </c>
    </row>
    <row r="360" spans="6:57">
      <c r="F360" s="9"/>
      <c r="G360" s="22">
        <v>6.7596400000000001E-2</v>
      </c>
      <c r="H360" s="22">
        <v>90.775700000000001</v>
      </c>
      <c r="I360" s="22">
        <v>-1.03973E-2</v>
      </c>
      <c r="J360" s="22">
        <v>350</v>
      </c>
      <c r="K360" s="22">
        <v>6.7382800000000007E-2</v>
      </c>
      <c r="L360">
        <f t="shared" si="60"/>
        <v>10.3973</v>
      </c>
      <c r="M360">
        <f t="shared" si="61"/>
        <v>0.70282004972000001</v>
      </c>
      <c r="N360" s="9"/>
      <c r="O360" s="22">
        <v>1.66245</v>
      </c>
      <c r="P360" s="22">
        <v>162.995</v>
      </c>
      <c r="Q360" s="22">
        <v>-1.2893699999999999E-2</v>
      </c>
      <c r="R360" s="22">
        <v>350</v>
      </c>
      <c r="S360" s="22">
        <v>1.66168</v>
      </c>
      <c r="T360">
        <f t="shared" si="62"/>
        <v>12.893699999999999</v>
      </c>
      <c r="U360">
        <f t="shared" si="63"/>
        <v>21.435131564999999</v>
      </c>
      <c r="X360" s="9"/>
      <c r="Y360" s="22">
        <v>6.7596400000000001E-2</v>
      </c>
      <c r="Z360" s="22">
        <v>221.78200000000001</v>
      </c>
      <c r="AA360" s="22">
        <v>-1.8035900000000001E-2</v>
      </c>
      <c r="AB360" s="22">
        <v>350</v>
      </c>
      <c r="AC360" s="22">
        <v>6.7321800000000001E-2</v>
      </c>
      <c r="AD360">
        <f t="shared" si="64"/>
        <v>18.035900000000002</v>
      </c>
      <c r="AE360">
        <f t="shared" si="65"/>
        <v>1.21916191076</v>
      </c>
      <c r="AF360" s="9"/>
      <c r="AG360" s="22">
        <v>1.66245</v>
      </c>
      <c r="AH360" s="22">
        <v>313.8</v>
      </c>
      <c r="AI360" s="22">
        <v>-1.3516200000000001E-2</v>
      </c>
      <c r="AJ360" s="22">
        <v>350</v>
      </c>
      <c r="AK360" s="22">
        <v>1.66107</v>
      </c>
      <c r="AL360">
        <f t="shared" si="66"/>
        <v>13.516200000000001</v>
      </c>
      <c r="AM360">
        <f t="shared" si="67"/>
        <v>22.470006690000002</v>
      </c>
      <c r="AP360" s="9"/>
      <c r="AQ360" s="22">
        <v>6.7596400000000001E-2</v>
      </c>
      <c r="AR360" s="22">
        <v>409.76299999999998</v>
      </c>
      <c r="AS360" s="22">
        <v>-1.7947399999999999E-2</v>
      </c>
      <c r="AT360" s="22">
        <v>350</v>
      </c>
      <c r="AU360" s="22">
        <v>6.6986100000000007E-2</v>
      </c>
      <c r="AV360">
        <f t="shared" si="68"/>
        <v>17.947399999999998</v>
      </c>
      <c r="AW360">
        <f t="shared" si="69"/>
        <v>1.2131796293599999</v>
      </c>
      <c r="AX360" s="9"/>
      <c r="AY360" s="22">
        <v>1.66245</v>
      </c>
      <c r="AZ360" s="22">
        <v>504.03100000000001</v>
      </c>
      <c r="BA360" s="22">
        <v>-1.37024E-2</v>
      </c>
      <c r="BB360" s="22">
        <v>350</v>
      </c>
      <c r="BC360" s="22">
        <v>1.66168</v>
      </c>
      <c r="BD360">
        <f t="shared" si="70"/>
        <v>13.702400000000001</v>
      </c>
      <c r="BE360">
        <f t="shared" si="71"/>
        <v>22.779554880000003</v>
      </c>
    </row>
    <row r="361" spans="6:57">
      <c r="F361" s="9"/>
      <c r="G361" s="22">
        <v>6.2561000000000005E-2</v>
      </c>
      <c r="H361" s="22">
        <v>90.876400000000004</v>
      </c>
      <c r="I361" s="22">
        <v>-1.8350200000000001E-2</v>
      </c>
      <c r="J361" s="22">
        <v>351</v>
      </c>
      <c r="K361" s="22">
        <v>6.2255900000000003E-2</v>
      </c>
      <c r="L361">
        <f t="shared" si="60"/>
        <v>18.350200000000001</v>
      </c>
      <c r="M361">
        <f t="shared" si="61"/>
        <v>1.1480068622000001</v>
      </c>
      <c r="N361" s="9"/>
      <c r="O361" s="22">
        <v>1.6674800000000001</v>
      </c>
      <c r="P361" s="22">
        <v>163.096</v>
      </c>
      <c r="Q361" s="22">
        <v>-1.2643400000000001E-2</v>
      </c>
      <c r="R361" s="22">
        <v>351</v>
      </c>
      <c r="S361" s="22">
        <v>1.6668700000000001</v>
      </c>
      <c r="T361">
        <f t="shared" si="62"/>
        <v>12.643400000000002</v>
      </c>
      <c r="U361">
        <f t="shared" si="63"/>
        <v>21.082616632000004</v>
      </c>
      <c r="X361" s="9"/>
      <c r="Y361" s="22">
        <v>6.2561000000000005E-2</v>
      </c>
      <c r="Z361" s="22">
        <v>221.88200000000001</v>
      </c>
      <c r="AA361" s="22">
        <v>-1.80389E-2</v>
      </c>
      <c r="AB361" s="22">
        <v>351</v>
      </c>
      <c r="AC361" s="22">
        <v>6.18591E-2</v>
      </c>
      <c r="AD361">
        <f t="shared" si="64"/>
        <v>18.038900000000002</v>
      </c>
      <c r="AE361">
        <f t="shared" si="65"/>
        <v>1.1285316229000002</v>
      </c>
      <c r="AF361" s="9"/>
      <c r="AG361" s="22">
        <v>1.6674800000000001</v>
      </c>
      <c r="AH361" s="22">
        <v>313.90100000000001</v>
      </c>
      <c r="AI361" s="22">
        <v>-1.33148E-2</v>
      </c>
      <c r="AJ361" s="22">
        <v>351</v>
      </c>
      <c r="AK361" s="22">
        <v>1.6674800000000001</v>
      </c>
      <c r="AL361">
        <f t="shared" si="66"/>
        <v>13.3148</v>
      </c>
      <c r="AM361">
        <f t="shared" si="67"/>
        <v>22.202162704000003</v>
      </c>
      <c r="AP361" s="9"/>
      <c r="AQ361" s="22">
        <v>6.2561000000000005E-2</v>
      </c>
      <c r="AR361" s="22">
        <v>409.86399999999998</v>
      </c>
      <c r="AS361" s="22">
        <v>-1.7962599999999999E-2</v>
      </c>
      <c r="AT361" s="22">
        <v>351</v>
      </c>
      <c r="AU361" s="22">
        <v>6.2194800000000001E-2</v>
      </c>
      <c r="AV361">
        <f t="shared" si="68"/>
        <v>17.962599999999998</v>
      </c>
      <c r="AW361">
        <f t="shared" si="69"/>
        <v>1.1237582185999999</v>
      </c>
      <c r="AX361" s="9"/>
      <c r="AY361" s="22">
        <v>1.6674800000000001</v>
      </c>
      <c r="AZ361" s="22">
        <v>504.13200000000001</v>
      </c>
      <c r="BA361" s="22">
        <v>-1.3501000000000001E-2</v>
      </c>
      <c r="BB361" s="22">
        <v>351</v>
      </c>
      <c r="BC361" s="22">
        <v>1.6671800000000001</v>
      </c>
      <c r="BD361">
        <f t="shared" si="70"/>
        <v>13.501000000000001</v>
      </c>
      <c r="BE361">
        <f t="shared" si="71"/>
        <v>22.512647480000002</v>
      </c>
    </row>
    <row r="362" spans="6:57">
      <c r="F362" s="9"/>
      <c r="G362" s="22">
        <v>5.7525600000000003E-2</v>
      </c>
      <c r="H362" s="22">
        <v>90.977099999999993</v>
      </c>
      <c r="I362" s="22">
        <v>-1.8395999999999999E-2</v>
      </c>
      <c r="J362" s="22">
        <v>352</v>
      </c>
      <c r="K362" s="22">
        <v>5.7159399999999999E-2</v>
      </c>
      <c r="L362">
        <f t="shared" si="60"/>
        <v>18.396000000000001</v>
      </c>
      <c r="M362">
        <f t="shared" si="61"/>
        <v>1.0582409376000002</v>
      </c>
      <c r="N362" s="9"/>
      <c r="O362" s="22">
        <v>1.67252</v>
      </c>
      <c r="P362" s="22">
        <v>163.196</v>
      </c>
      <c r="Q362" s="22">
        <v>-1.2371800000000001E-2</v>
      </c>
      <c r="R362" s="22">
        <v>352</v>
      </c>
      <c r="S362" s="22">
        <v>1.6717500000000001</v>
      </c>
      <c r="T362">
        <f t="shared" si="62"/>
        <v>12.3718</v>
      </c>
      <c r="U362">
        <f t="shared" si="63"/>
        <v>20.692082936000002</v>
      </c>
      <c r="X362" s="9"/>
      <c r="Y362" s="22">
        <v>5.7525600000000003E-2</v>
      </c>
      <c r="Z362" s="22">
        <v>221.983</v>
      </c>
      <c r="AA362" s="22">
        <v>-1.8048100000000001E-2</v>
      </c>
      <c r="AB362" s="22">
        <v>352</v>
      </c>
      <c r="AC362" s="22">
        <v>5.7037400000000002E-2</v>
      </c>
      <c r="AD362">
        <f t="shared" si="64"/>
        <v>18.048100000000002</v>
      </c>
      <c r="AE362">
        <f t="shared" si="65"/>
        <v>1.03822778136</v>
      </c>
      <c r="AF362" s="9"/>
      <c r="AG362" s="22">
        <v>1.67252</v>
      </c>
      <c r="AH362" s="22">
        <v>314.00200000000001</v>
      </c>
      <c r="AI362" s="22">
        <v>-1.30768E-2</v>
      </c>
      <c r="AJ362" s="22">
        <v>352</v>
      </c>
      <c r="AK362" s="22">
        <v>1.6717500000000001</v>
      </c>
      <c r="AL362">
        <f t="shared" si="66"/>
        <v>13.076799999999999</v>
      </c>
      <c r="AM362">
        <f t="shared" si="67"/>
        <v>21.871209535999999</v>
      </c>
      <c r="AP362" s="9"/>
      <c r="AQ362" s="22">
        <v>5.7525600000000003E-2</v>
      </c>
      <c r="AR362" s="22">
        <v>409.964</v>
      </c>
      <c r="AS362" s="22">
        <v>-1.7962599999999999E-2</v>
      </c>
      <c r="AT362" s="22">
        <v>352</v>
      </c>
      <c r="AU362" s="22">
        <v>5.6793200000000002E-2</v>
      </c>
      <c r="AV362">
        <f t="shared" si="68"/>
        <v>17.962599999999998</v>
      </c>
      <c r="AW362">
        <f t="shared" si="69"/>
        <v>1.03330934256</v>
      </c>
      <c r="AX362" s="9"/>
      <c r="AY362" s="22">
        <v>1.67252</v>
      </c>
      <c r="AZ362" s="22">
        <v>504.233</v>
      </c>
      <c r="BA362" s="22">
        <v>-1.3269E-2</v>
      </c>
      <c r="BB362" s="22">
        <v>352</v>
      </c>
      <c r="BC362" s="22">
        <v>1.6714500000000001</v>
      </c>
      <c r="BD362">
        <f t="shared" si="70"/>
        <v>13.269</v>
      </c>
      <c r="BE362">
        <f t="shared" si="71"/>
        <v>22.192667880000002</v>
      </c>
    </row>
    <row r="363" spans="6:57">
      <c r="F363" s="9"/>
      <c r="G363" s="22">
        <v>5.2490200000000001E-2</v>
      </c>
      <c r="H363" s="22">
        <v>91.077799999999996</v>
      </c>
      <c r="I363" s="22">
        <v>-1.8395999999999999E-2</v>
      </c>
      <c r="J363" s="22">
        <v>353</v>
      </c>
      <c r="K363" s="22">
        <v>5.2246099999999997E-2</v>
      </c>
      <c r="L363">
        <f t="shared" si="60"/>
        <v>18.396000000000001</v>
      </c>
      <c r="M363">
        <f t="shared" si="61"/>
        <v>0.96560971920000005</v>
      </c>
      <c r="N363" s="9"/>
      <c r="O363" s="22">
        <v>1.6775500000000001</v>
      </c>
      <c r="P363" s="22">
        <v>163.297</v>
      </c>
      <c r="Q363" s="22">
        <v>-1.20941E-2</v>
      </c>
      <c r="R363" s="22">
        <v>353</v>
      </c>
      <c r="S363" s="22">
        <v>1.6766399999999999</v>
      </c>
      <c r="T363">
        <f t="shared" si="62"/>
        <v>12.094099999999999</v>
      </c>
      <c r="U363">
        <f t="shared" si="63"/>
        <v>20.288457455</v>
      </c>
      <c r="X363" s="9"/>
      <c r="Y363" s="22">
        <v>5.2490200000000001E-2</v>
      </c>
      <c r="Z363" s="22">
        <v>222.084</v>
      </c>
      <c r="AA363" s="22">
        <v>-1.8041999999999999E-2</v>
      </c>
      <c r="AB363" s="22">
        <v>353</v>
      </c>
      <c r="AC363" s="22">
        <v>5.1666299999999998E-2</v>
      </c>
      <c r="AD363">
        <f t="shared" si="64"/>
        <v>18.041999999999998</v>
      </c>
      <c r="AE363">
        <f t="shared" si="65"/>
        <v>0.94702818839999992</v>
      </c>
      <c r="AF363" s="9"/>
      <c r="AG363" s="22">
        <v>1.6775500000000001</v>
      </c>
      <c r="AH363" s="22">
        <v>314.10199999999998</v>
      </c>
      <c r="AI363" s="22">
        <v>-1.28174E-2</v>
      </c>
      <c r="AJ363" s="22">
        <v>353</v>
      </c>
      <c r="AK363" s="22">
        <v>1.6766399999999999</v>
      </c>
      <c r="AL363">
        <f t="shared" si="66"/>
        <v>12.817399999999999</v>
      </c>
      <c r="AM363">
        <f t="shared" si="67"/>
        <v>21.501829369999999</v>
      </c>
      <c r="AP363" s="9"/>
      <c r="AQ363" s="22">
        <v>5.2490200000000001E-2</v>
      </c>
      <c r="AR363" s="22">
        <v>410.065</v>
      </c>
      <c r="AS363" s="22">
        <v>-1.79688E-2</v>
      </c>
      <c r="AT363" s="22">
        <v>353</v>
      </c>
      <c r="AU363" s="22">
        <v>5.17578E-2</v>
      </c>
      <c r="AV363">
        <f t="shared" si="68"/>
        <v>17.968800000000002</v>
      </c>
      <c r="AW363">
        <f t="shared" si="69"/>
        <v>0.94318590576000005</v>
      </c>
      <c r="AX363" s="9"/>
      <c r="AY363" s="22">
        <v>1.6775500000000001</v>
      </c>
      <c r="AZ363" s="22">
        <v>504.334</v>
      </c>
      <c r="BA363" s="22">
        <v>-1.30402E-2</v>
      </c>
      <c r="BB363" s="22">
        <v>353</v>
      </c>
      <c r="BC363" s="22">
        <v>1.6766399999999999</v>
      </c>
      <c r="BD363">
        <f t="shared" si="70"/>
        <v>13.0402</v>
      </c>
      <c r="BE363">
        <f t="shared" si="71"/>
        <v>21.875587510000003</v>
      </c>
    </row>
    <row r="364" spans="6:57">
      <c r="F364" s="9"/>
      <c r="G364" s="22">
        <v>4.7454799999999998E-2</v>
      </c>
      <c r="H364" s="22">
        <v>91.1785</v>
      </c>
      <c r="I364" s="22">
        <v>-1.8362400000000001E-2</v>
      </c>
      <c r="J364" s="22">
        <v>354</v>
      </c>
      <c r="K364" s="22">
        <v>4.7643999999999999E-2</v>
      </c>
      <c r="L364">
        <f t="shared" si="60"/>
        <v>18.362400000000001</v>
      </c>
      <c r="M364">
        <f t="shared" si="61"/>
        <v>0.87138401952</v>
      </c>
      <c r="N364" s="9"/>
      <c r="O364" s="22">
        <v>1.68259</v>
      </c>
      <c r="P364" s="22">
        <v>163.398</v>
      </c>
      <c r="Q364" s="22">
        <v>-1.1798100000000001E-2</v>
      </c>
      <c r="R364" s="22">
        <v>354</v>
      </c>
      <c r="S364" s="22">
        <v>1.6815199999999999</v>
      </c>
      <c r="T364">
        <f t="shared" si="62"/>
        <v>11.7981</v>
      </c>
      <c r="U364">
        <f t="shared" si="63"/>
        <v>19.851365079000001</v>
      </c>
      <c r="X364" s="9"/>
      <c r="Y364" s="22">
        <v>4.7454799999999998E-2</v>
      </c>
      <c r="Z364" s="22">
        <v>222.185</v>
      </c>
      <c r="AA364" s="22">
        <v>-1.8057299999999998E-2</v>
      </c>
      <c r="AB364" s="22">
        <v>354</v>
      </c>
      <c r="AC364" s="22">
        <v>4.78149E-2</v>
      </c>
      <c r="AD364">
        <f t="shared" si="64"/>
        <v>18.057299999999998</v>
      </c>
      <c r="AE364">
        <f t="shared" si="65"/>
        <v>0.85690556003999985</v>
      </c>
      <c r="AF364" s="9"/>
      <c r="AG364" s="22">
        <v>1.68259</v>
      </c>
      <c r="AH364" s="22">
        <v>314.20299999999997</v>
      </c>
      <c r="AI364" s="22">
        <v>-1.25732E-2</v>
      </c>
      <c r="AJ364" s="22">
        <v>354</v>
      </c>
      <c r="AK364" s="22">
        <v>1.6821299999999999</v>
      </c>
      <c r="AL364">
        <f t="shared" si="66"/>
        <v>12.5732</v>
      </c>
      <c r="AM364">
        <f t="shared" si="67"/>
        <v>21.155540588000001</v>
      </c>
      <c r="AP364" s="9"/>
      <c r="AQ364" s="22">
        <v>4.7454799999999998E-2</v>
      </c>
      <c r="AR364" s="22">
        <v>410.166</v>
      </c>
      <c r="AS364" s="22">
        <v>-1.79718E-2</v>
      </c>
      <c r="AT364" s="22">
        <v>354</v>
      </c>
      <c r="AU364" s="22">
        <v>4.7317499999999998E-2</v>
      </c>
      <c r="AV364">
        <f t="shared" si="68"/>
        <v>17.971799999999998</v>
      </c>
      <c r="AW364">
        <f t="shared" si="69"/>
        <v>0.85284817463999985</v>
      </c>
      <c r="AX364" s="9"/>
      <c r="AY364" s="22">
        <v>1.68259</v>
      </c>
      <c r="AZ364" s="22">
        <v>504.43400000000003</v>
      </c>
      <c r="BA364" s="22">
        <v>-1.2796E-2</v>
      </c>
      <c r="BB364" s="22">
        <v>354</v>
      </c>
      <c r="BC364" s="22">
        <v>1.6821299999999999</v>
      </c>
      <c r="BD364">
        <f t="shared" si="70"/>
        <v>12.795999999999999</v>
      </c>
      <c r="BE364">
        <f t="shared" si="71"/>
        <v>21.53042164</v>
      </c>
    </row>
    <row r="365" spans="6:57">
      <c r="F365" s="9"/>
      <c r="G365" s="22">
        <v>4.2419400000000003E-2</v>
      </c>
      <c r="H365" s="22">
        <v>91.279200000000003</v>
      </c>
      <c r="I365" s="22">
        <v>-1.8338E-2</v>
      </c>
      <c r="J365" s="22">
        <v>355</v>
      </c>
      <c r="K365" s="22">
        <v>4.26331E-2</v>
      </c>
      <c r="L365">
        <f t="shared" si="60"/>
        <v>18.338000000000001</v>
      </c>
      <c r="M365">
        <f t="shared" si="61"/>
        <v>0.77788695720000012</v>
      </c>
      <c r="N365" s="9"/>
      <c r="O365" s="22">
        <v>1.6876199999999999</v>
      </c>
      <c r="P365" s="22">
        <v>163.49799999999999</v>
      </c>
      <c r="Q365" s="22">
        <v>-1.15143E-2</v>
      </c>
      <c r="R365" s="22">
        <v>355</v>
      </c>
      <c r="S365" s="22">
        <v>1.6867099999999999</v>
      </c>
      <c r="T365">
        <f t="shared" si="62"/>
        <v>11.5143</v>
      </c>
      <c r="U365">
        <f t="shared" si="63"/>
        <v>19.431762966000001</v>
      </c>
      <c r="X365" s="9"/>
      <c r="Y365" s="22">
        <v>4.2419400000000003E-2</v>
      </c>
      <c r="Z365" s="22">
        <v>222.285</v>
      </c>
      <c r="AA365" s="22">
        <v>-1.8054199999999999E-2</v>
      </c>
      <c r="AB365" s="22">
        <v>355</v>
      </c>
      <c r="AC365" s="22">
        <v>4.2224100000000001E-2</v>
      </c>
      <c r="AD365">
        <f t="shared" si="64"/>
        <v>18.054199999999998</v>
      </c>
      <c r="AE365">
        <f t="shared" si="65"/>
        <v>0.76584833147999998</v>
      </c>
      <c r="AF365" s="9"/>
      <c r="AG365" s="22">
        <v>1.6876199999999999</v>
      </c>
      <c r="AH365" s="22">
        <v>314.30399999999997</v>
      </c>
      <c r="AI365" s="22">
        <v>-1.22833E-2</v>
      </c>
      <c r="AJ365" s="22">
        <v>355</v>
      </c>
      <c r="AK365" s="22">
        <v>1.6870099999999999</v>
      </c>
      <c r="AL365">
        <f t="shared" si="66"/>
        <v>12.283300000000001</v>
      </c>
      <c r="AM365">
        <f t="shared" si="67"/>
        <v>20.729542746</v>
      </c>
      <c r="AP365" s="9"/>
      <c r="AQ365" s="22">
        <v>4.2419400000000003E-2</v>
      </c>
      <c r="AR365" s="22">
        <v>410.26600000000002</v>
      </c>
      <c r="AS365" s="22">
        <v>-1.7974899999999999E-2</v>
      </c>
      <c r="AT365" s="22">
        <v>355</v>
      </c>
      <c r="AU365" s="22">
        <v>4.2089799999999997E-2</v>
      </c>
      <c r="AV365">
        <f t="shared" si="68"/>
        <v>17.974899999999998</v>
      </c>
      <c r="AW365">
        <f t="shared" si="69"/>
        <v>0.76248447306</v>
      </c>
      <c r="AX365" s="9"/>
      <c r="AY365" s="22">
        <v>1.6876199999999999</v>
      </c>
      <c r="AZ365" s="22">
        <v>504.53500000000003</v>
      </c>
      <c r="BA365" s="22">
        <v>-1.2539700000000001E-2</v>
      </c>
      <c r="BB365" s="22">
        <v>355</v>
      </c>
      <c r="BC365" s="22">
        <v>1.6870099999999999</v>
      </c>
      <c r="BD365">
        <f t="shared" si="70"/>
        <v>12.539700000000002</v>
      </c>
      <c r="BE365">
        <f t="shared" si="71"/>
        <v>21.162248514000002</v>
      </c>
    </row>
    <row r="366" spans="6:57">
      <c r="F366" s="9"/>
      <c r="G366" s="22">
        <v>3.7384000000000001E-2</v>
      </c>
      <c r="H366" s="22">
        <v>91.379900000000006</v>
      </c>
      <c r="I366" s="22">
        <v>-1.8338E-2</v>
      </c>
      <c r="J366" s="22">
        <v>356</v>
      </c>
      <c r="K366" s="22">
        <v>3.7606800000000003E-2</v>
      </c>
      <c r="L366">
        <f t="shared" si="60"/>
        <v>18.338000000000001</v>
      </c>
      <c r="M366">
        <f t="shared" si="61"/>
        <v>0.68554779200000004</v>
      </c>
      <c r="N366" s="9"/>
      <c r="O366" s="22">
        <v>1.6926600000000001</v>
      </c>
      <c r="P366" s="22">
        <v>163.59899999999999</v>
      </c>
      <c r="Q366" s="22">
        <v>-1.1151100000000001E-2</v>
      </c>
      <c r="R366" s="22">
        <v>356</v>
      </c>
      <c r="S366" s="22">
        <v>1.6915899999999999</v>
      </c>
      <c r="T366">
        <f t="shared" si="62"/>
        <v>11.151100000000001</v>
      </c>
      <c r="U366">
        <f t="shared" si="63"/>
        <v>18.875020926000001</v>
      </c>
      <c r="X366" s="9"/>
      <c r="Y366" s="22">
        <v>3.7384000000000001E-2</v>
      </c>
      <c r="Z366" s="22">
        <v>222.386</v>
      </c>
      <c r="AA366" s="22">
        <v>-1.8054199999999999E-2</v>
      </c>
      <c r="AB366" s="22">
        <v>356</v>
      </c>
      <c r="AC366" s="22">
        <v>3.7689199999999999E-2</v>
      </c>
      <c r="AD366">
        <f t="shared" si="64"/>
        <v>18.054199999999998</v>
      </c>
      <c r="AE366">
        <f t="shared" si="65"/>
        <v>0.67493821279999988</v>
      </c>
      <c r="AF366" s="9"/>
      <c r="AG366" s="22">
        <v>1.6926600000000001</v>
      </c>
      <c r="AH366" s="22">
        <v>314.40499999999997</v>
      </c>
      <c r="AI366" s="22">
        <v>-1.20026E-2</v>
      </c>
      <c r="AJ366" s="22">
        <v>356</v>
      </c>
      <c r="AK366" s="22">
        <v>1.6918899999999999</v>
      </c>
      <c r="AL366">
        <f t="shared" si="66"/>
        <v>12.002600000000001</v>
      </c>
      <c r="AM366">
        <f t="shared" si="67"/>
        <v>20.316320916000002</v>
      </c>
      <c r="AP366" s="9"/>
      <c r="AQ366" s="22">
        <v>3.7384000000000001E-2</v>
      </c>
      <c r="AR366" s="22">
        <v>410.36700000000002</v>
      </c>
      <c r="AS366" s="22">
        <v>-1.7977900000000002E-2</v>
      </c>
      <c r="AT366" s="22">
        <v>356</v>
      </c>
      <c r="AU366" s="22">
        <v>3.7252800000000003E-2</v>
      </c>
      <c r="AV366">
        <f t="shared" si="68"/>
        <v>17.977900000000002</v>
      </c>
      <c r="AW366">
        <f t="shared" si="69"/>
        <v>0.67208581360000008</v>
      </c>
      <c r="AX366" s="9"/>
      <c r="AY366" s="22">
        <v>1.6926600000000001</v>
      </c>
      <c r="AZ366" s="22">
        <v>504.63600000000002</v>
      </c>
      <c r="BA366" s="22">
        <v>-1.2265E-2</v>
      </c>
      <c r="BB366" s="22">
        <v>356</v>
      </c>
      <c r="BC366" s="22">
        <v>1.6924999999999999</v>
      </c>
      <c r="BD366">
        <f t="shared" si="70"/>
        <v>12.265000000000001</v>
      </c>
      <c r="BE366">
        <f t="shared" si="71"/>
        <v>20.760474900000002</v>
      </c>
    </row>
    <row r="367" spans="6:57">
      <c r="F367" s="9"/>
      <c r="G367" s="22">
        <v>3.2348599999999998E-2</v>
      </c>
      <c r="H367" s="22">
        <v>91.480599999999995</v>
      </c>
      <c r="I367" s="22">
        <v>-1.82831E-2</v>
      </c>
      <c r="J367" s="22">
        <v>357</v>
      </c>
      <c r="K367" s="22">
        <v>3.2534800000000003E-2</v>
      </c>
      <c r="L367">
        <f t="shared" si="60"/>
        <v>18.283100000000001</v>
      </c>
      <c r="M367">
        <f t="shared" si="61"/>
        <v>0.59143268865999998</v>
      </c>
      <c r="N367" s="9"/>
      <c r="O367" s="22">
        <v>1.6976899999999999</v>
      </c>
      <c r="P367" s="22">
        <v>163.69999999999999</v>
      </c>
      <c r="Q367" s="22">
        <v>-1.08307E-2</v>
      </c>
      <c r="R367" s="22">
        <v>357</v>
      </c>
      <c r="S367" s="22">
        <v>1.6970799999999999</v>
      </c>
      <c r="T367">
        <f t="shared" si="62"/>
        <v>10.8307</v>
      </c>
      <c r="U367">
        <f t="shared" si="63"/>
        <v>18.387171082999998</v>
      </c>
      <c r="X367" s="9"/>
      <c r="Y367" s="22">
        <v>3.2348599999999998E-2</v>
      </c>
      <c r="Z367" s="22">
        <v>222.48699999999999</v>
      </c>
      <c r="AA367" s="22">
        <v>-1.8044999999999999E-2</v>
      </c>
      <c r="AB367" s="22">
        <v>357</v>
      </c>
      <c r="AC367" s="22">
        <v>3.2440200000000002E-2</v>
      </c>
      <c r="AD367">
        <f t="shared" si="64"/>
        <v>18.044999999999998</v>
      </c>
      <c r="AE367">
        <f t="shared" si="65"/>
        <v>0.58373048699999985</v>
      </c>
      <c r="AF367" s="9"/>
      <c r="AG367" s="22">
        <v>1.6976899999999999</v>
      </c>
      <c r="AH367" s="22">
        <v>314.505</v>
      </c>
      <c r="AI367" s="22">
        <v>-1.1715700000000001E-2</v>
      </c>
      <c r="AJ367" s="22">
        <v>357</v>
      </c>
      <c r="AK367" s="22">
        <v>1.6964699999999999</v>
      </c>
      <c r="AL367">
        <f t="shared" si="66"/>
        <v>11.7157</v>
      </c>
      <c r="AM367">
        <f t="shared" si="67"/>
        <v>19.889626733</v>
      </c>
      <c r="AP367" s="9"/>
      <c r="AQ367" s="22">
        <v>3.2348599999999998E-2</v>
      </c>
      <c r="AR367" s="22">
        <v>410.46800000000002</v>
      </c>
      <c r="AS367" s="22">
        <v>-1.7977900000000002E-2</v>
      </c>
      <c r="AT367" s="22">
        <v>357</v>
      </c>
      <c r="AU367" s="22">
        <v>3.2324199999999997E-2</v>
      </c>
      <c r="AV367">
        <f t="shared" si="68"/>
        <v>17.977900000000002</v>
      </c>
      <c r="AW367">
        <f t="shared" si="69"/>
        <v>0.58155989594000002</v>
      </c>
      <c r="AX367" s="9"/>
      <c r="AY367" s="22">
        <v>1.6976899999999999</v>
      </c>
      <c r="AZ367" s="22">
        <v>504.73599999999999</v>
      </c>
      <c r="BA367" s="22">
        <v>-1.19843E-2</v>
      </c>
      <c r="BB367" s="22">
        <v>357</v>
      </c>
      <c r="BC367" s="22">
        <v>1.6970799999999999</v>
      </c>
      <c r="BD367">
        <f t="shared" si="70"/>
        <v>11.984299999999999</v>
      </c>
      <c r="BE367">
        <f t="shared" si="71"/>
        <v>20.345626266999997</v>
      </c>
    </row>
    <row r="368" spans="6:57">
      <c r="F368" s="9"/>
      <c r="G368" s="22">
        <v>2.7313199999999999E-2</v>
      </c>
      <c r="H368" s="22">
        <v>91.581400000000002</v>
      </c>
      <c r="I368" s="22">
        <v>-1.8289199999999999E-2</v>
      </c>
      <c r="J368" s="22">
        <v>358</v>
      </c>
      <c r="K368" s="22">
        <v>2.74872E-2</v>
      </c>
      <c r="L368">
        <f t="shared" si="60"/>
        <v>18.289199999999997</v>
      </c>
      <c r="M368">
        <f t="shared" si="61"/>
        <v>0.49953657743999991</v>
      </c>
      <c r="N368" s="9"/>
      <c r="O368" s="22">
        <v>1.7027300000000001</v>
      </c>
      <c r="P368" s="22">
        <v>163.80099999999999</v>
      </c>
      <c r="Q368" s="22">
        <v>-1.04584E-2</v>
      </c>
      <c r="R368" s="22">
        <v>358</v>
      </c>
      <c r="S368" s="22">
        <v>1.70166</v>
      </c>
      <c r="T368">
        <f t="shared" si="62"/>
        <v>10.458399999999999</v>
      </c>
      <c r="U368">
        <f t="shared" si="63"/>
        <v>17.807831432</v>
      </c>
      <c r="X368" s="9"/>
      <c r="Y368" s="22">
        <v>2.7313199999999999E-2</v>
      </c>
      <c r="Z368" s="22">
        <v>222.58699999999999</v>
      </c>
      <c r="AA368" s="22">
        <v>-1.8057299999999998E-2</v>
      </c>
      <c r="AB368" s="22">
        <v>358</v>
      </c>
      <c r="AC368" s="22">
        <v>2.7474999999999999E-2</v>
      </c>
      <c r="AD368">
        <f t="shared" si="64"/>
        <v>18.057299999999998</v>
      </c>
      <c r="AE368">
        <f t="shared" si="65"/>
        <v>0.49320264635999994</v>
      </c>
      <c r="AF368" s="9"/>
      <c r="AG368" s="22">
        <v>1.7027300000000001</v>
      </c>
      <c r="AH368" s="22">
        <v>314.60599999999999</v>
      </c>
      <c r="AI368" s="22">
        <v>-1.1395300000000001E-2</v>
      </c>
      <c r="AJ368" s="22">
        <v>358</v>
      </c>
      <c r="AK368" s="22">
        <v>1.70197</v>
      </c>
      <c r="AL368">
        <f t="shared" si="66"/>
        <v>11.395300000000001</v>
      </c>
      <c r="AM368">
        <f t="shared" si="67"/>
        <v>19.403119169000004</v>
      </c>
      <c r="AP368" s="9"/>
      <c r="AQ368" s="22">
        <v>2.7313199999999999E-2</v>
      </c>
      <c r="AR368" s="22">
        <v>410.56900000000002</v>
      </c>
      <c r="AS368" s="22">
        <v>-1.7984E-2</v>
      </c>
      <c r="AT368" s="22">
        <v>358</v>
      </c>
      <c r="AU368" s="22">
        <v>2.7017200000000002E-2</v>
      </c>
      <c r="AV368">
        <f t="shared" si="68"/>
        <v>17.984000000000002</v>
      </c>
      <c r="AW368">
        <f t="shared" si="69"/>
        <v>0.49120058880000006</v>
      </c>
      <c r="AX368" s="9"/>
      <c r="AY368" s="22">
        <v>1.7027300000000001</v>
      </c>
      <c r="AZ368" s="22">
        <v>504.83699999999999</v>
      </c>
      <c r="BA368" s="22">
        <v>-1.16699E-2</v>
      </c>
      <c r="BB368" s="22">
        <v>358</v>
      </c>
      <c r="BC368" s="22">
        <v>1.7022699999999999</v>
      </c>
      <c r="BD368">
        <f t="shared" si="70"/>
        <v>11.6699</v>
      </c>
      <c r="BE368">
        <f t="shared" si="71"/>
        <v>19.870688827000002</v>
      </c>
    </row>
    <row r="369" spans="6:57">
      <c r="F369" s="9"/>
      <c r="G369" s="22">
        <v>2.22778E-2</v>
      </c>
      <c r="H369" s="22">
        <v>91.682100000000005</v>
      </c>
      <c r="I369" s="22">
        <v>-1.9024699999999999E-2</v>
      </c>
      <c r="J369" s="22">
        <v>359</v>
      </c>
      <c r="K369" s="22">
        <v>2.2433499999999999E-2</v>
      </c>
      <c r="L369">
        <f t="shared" si="60"/>
        <v>19.024699999999999</v>
      </c>
      <c r="M369">
        <f t="shared" si="61"/>
        <v>0.42382846165999999</v>
      </c>
      <c r="N369" s="9"/>
      <c r="O369" s="22">
        <v>1.7077599999999999</v>
      </c>
      <c r="P369" s="22">
        <v>163.90100000000001</v>
      </c>
      <c r="Q369" s="22">
        <v>-1.008E-2</v>
      </c>
      <c r="R369" s="22">
        <v>359</v>
      </c>
      <c r="S369" s="22">
        <v>1.70746</v>
      </c>
      <c r="T369">
        <f t="shared" si="62"/>
        <v>10.08</v>
      </c>
      <c r="U369">
        <f t="shared" si="63"/>
        <v>17.2142208</v>
      </c>
      <c r="X369" s="9"/>
      <c r="Y369" s="22">
        <v>2.22778E-2</v>
      </c>
      <c r="Z369" s="22">
        <v>222.68799999999999</v>
      </c>
      <c r="AA369" s="22">
        <v>-1.80511E-2</v>
      </c>
      <c r="AB369" s="22">
        <v>359</v>
      </c>
      <c r="AC369" s="22">
        <v>2.2485399999999999E-2</v>
      </c>
      <c r="AD369">
        <f t="shared" si="64"/>
        <v>18.051100000000002</v>
      </c>
      <c r="AE369">
        <f t="shared" si="65"/>
        <v>0.40213879558000004</v>
      </c>
      <c r="AF369" s="9"/>
      <c r="AG369" s="22">
        <v>1.7077599999999999</v>
      </c>
      <c r="AH369" s="22">
        <v>314.70699999999999</v>
      </c>
      <c r="AI369" s="22">
        <v>-1.1065699999999999E-2</v>
      </c>
      <c r="AJ369" s="22">
        <v>359</v>
      </c>
      <c r="AK369" s="22">
        <v>1.70685</v>
      </c>
      <c r="AL369">
        <f t="shared" si="66"/>
        <v>11.0657</v>
      </c>
      <c r="AM369">
        <f t="shared" si="67"/>
        <v>18.897559831999999</v>
      </c>
      <c r="AP369" s="9"/>
      <c r="AQ369" s="22">
        <v>2.22778E-2</v>
      </c>
      <c r="AR369" s="22">
        <v>410.66899999999998</v>
      </c>
      <c r="AS369" s="22">
        <v>-1.7990099999999998E-2</v>
      </c>
      <c r="AT369" s="22">
        <v>359</v>
      </c>
      <c r="AU369" s="22">
        <v>2.22504E-2</v>
      </c>
      <c r="AV369">
        <f t="shared" si="68"/>
        <v>17.990099999999998</v>
      </c>
      <c r="AW369">
        <f t="shared" si="69"/>
        <v>0.40077984977999997</v>
      </c>
      <c r="AX369" s="9"/>
      <c r="AY369" s="22">
        <v>1.7077599999999999</v>
      </c>
      <c r="AZ369" s="22">
        <v>504.93799999999999</v>
      </c>
      <c r="BA369" s="22">
        <v>-1.13495E-2</v>
      </c>
      <c r="BB369" s="22">
        <v>359</v>
      </c>
      <c r="BC369" s="22">
        <v>1.70685</v>
      </c>
      <c r="BD369">
        <f t="shared" si="70"/>
        <v>11.349500000000001</v>
      </c>
      <c r="BE369">
        <f t="shared" si="71"/>
        <v>19.382222120000002</v>
      </c>
    </row>
    <row r="370" spans="6:57">
      <c r="F370" s="9"/>
      <c r="G370" s="22">
        <v>1.7242400000000001E-2</v>
      </c>
      <c r="H370" s="22">
        <v>91.782799999999995</v>
      </c>
      <c r="I370" s="22">
        <v>-1.9015500000000001E-2</v>
      </c>
      <c r="J370" s="22">
        <v>360</v>
      </c>
      <c r="K370" s="22">
        <v>1.7346199999999999E-2</v>
      </c>
      <c r="L370">
        <f t="shared" si="60"/>
        <v>19.015499999999999</v>
      </c>
      <c r="M370">
        <f t="shared" si="61"/>
        <v>0.32787285720000003</v>
      </c>
      <c r="N370" s="9"/>
      <c r="O370" s="22">
        <v>1.7128000000000001</v>
      </c>
      <c r="P370" s="22">
        <v>164.00200000000001</v>
      </c>
      <c r="Q370" s="22">
        <v>-9.6710200000000007E-3</v>
      </c>
      <c r="R370" s="22">
        <v>360</v>
      </c>
      <c r="S370" s="22">
        <v>1.71234</v>
      </c>
      <c r="T370">
        <f t="shared" si="62"/>
        <v>9.6710200000000004</v>
      </c>
      <c r="U370">
        <f t="shared" si="63"/>
        <v>16.564523056000002</v>
      </c>
      <c r="X370" s="9"/>
      <c r="Y370" s="22">
        <v>1.7242400000000001E-2</v>
      </c>
      <c r="Z370" s="22">
        <v>222.78899999999999</v>
      </c>
      <c r="AA370" s="22">
        <v>-1.8069499999999999E-2</v>
      </c>
      <c r="AB370" s="22">
        <v>360</v>
      </c>
      <c r="AC370" s="22">
        <v>1.6955600000000001E-2</v>
      </c>
      <c r="AD370">
        <f t="shared" si="64"/>
        <v>18.069499999999998</v>
      </c>
      <c r="AE370">
        <f t="shared" si="65"/>
        <v>0.31156154679999998</v>
      </c>
      <c r="AF370" s="9"/>
      <c r="AG370" s="22">
        <v>1.7128000000000001</v>
      </c>
      <c r="AH370" s="22">
        <v>314.80700000000002</v>
      </c>
      <c r="AI370" s="22">
        <v>-1.07239E-2</v>
      </c>
      <c r="AJ370" s="22">
        <v>360</v>
      </c>
      <c r="AK370" s="22">
        <v>1.71204</v>
      </c>
      <c r="AL370">
        <f t="shared" si="66"/>
        <v>10.7239</v>
      </c>
      <c r="AM370">
        <f t="shared" si="67"/>
        <v>18.367895920000002</v>
      </c>
      <c r="AP370" s="9"/>
      <c r="AQ370" s="22">
        <v>1.7242400000000001E-2</v>
      </c>
      <c r="AR370" s="22">
        <v>410.77</v>
      </c>
      <c r="AS370" s="22">
        <v>-1.7984E-2</v>
      </c>
      <c r="AT370" s="22">
        <v>360</v>
      </c>
      <c r="AU370" s="22">
        <v>1.6903700000000001E-2</v>
      </c>
      <c r="AV370">
        <f t="shared" si="68"/>
        <v>17.984000000000002</v>
      </c>
      <c r="AW370">
        <f t="shared" si="69"/>
        <v>0.31008732160000008</v>
      </c>
      <c r="AX370" s="9"/>
      <c r="AY370" s="22">
        <v>1.7128000000000001</v>
      </c>
      <c r="AZ370" s="22">
        <v>505.03899999999999</v>
      </c>
      <c r="BA370" s="22">
        <v>-1.10229E-2</v>
      </c>
      <c r="BB370" s="22">
        <v>360</v>
      </c>
      <c r="BC370" s="22">
        <v>1.71173</v>
      </c>
      <c r="BD370">
        <f t="shared" si="70"/>
        <v>11.0229</v>
      </c>
      <c r="BE370">
        <f t="shared" si="71"/>
        <v>18.880023120000001</v>
      </c>
    </row>
    <row r="371" spans="6:57">
      <c r="F371" s="9"/>
      <c r="G371" s="22">
        <v>1.2207000000000001E-2</v>
      </c>
      <c r="H371" s="22">
        <v>91.883499999999998</v>
      </c>
      <c r="I371" s="22">
        <v>-1.9003300000000001E-2</v>
      </c>
      <c r="J371" s="22">
        <v>361</v>
      </c>
      <c r="K371" s="22">
        <v>1.24084E-2</v>
      </c>
      <c r="L371">
        <f t="shared" si="60"/>
        <v>19.003299999999999</v>
      </c>
      <c r="M371">
        <f t="shared" si="61"/>
        <v>0.23197328310000001</v>
      </c>
      <c r="N371" s="9"/>
      <c r="O371" s="22">
        <v>1.71783</v>
      </c>
      <c r="P371" s="22">
        <v>164.10300000000001</v>
      </c>
      <c r="Q371" s="22">
        <v>-9.2224100000000003E-3</v>
      </c>
      <c r="R371" s="22">
        <v>361</v>
      </c>
      <c r="S371" s="22">
        <v>1.71692</v>
      </c>
      <c r="T371">
        <f t="shared" si="62"/>
        <v>9.22241</v>
      </c>
      <c r="U371">
        <f t="shared" si="63"/>
        <v>15.8425325703</v>
      </c>
      <c r="X371" s="9"/>
      <c r="Y371" s="22">
        <v>1.2207000000000001E-2</v>
      </c>
      <c r="Z371" s="22">
        <v>222.89</v>
      </c>
      <c r="AA371" s="22">
        <v>-1.8072499999999998E-2</v>
      </c>
      <c r="AB371" s="22">
        <v>361</v>
      </c>
      <c r="AC371" s="22">
        <v>1.20911E-2</v>
      </c>
      <c r="AD371">
        <f t="shared" si="64"/>
        <v>18.072499999999998</v>
      </c>
      <c r="AE371">
        <f t="shared" si="65"/>
        <v>0.22061100749999998</v>
      </c>
      <c r="AF371" s="9"/>
      <c r="AG371" s="22">
        <v>1.71783</v>
      </c>
      <c r="AH371" s="22">
        <v>314.90800000000002</v>
      </c>
      <c r="AI371" s="22">
        <v>-1.03394E-2</v>
      </c>
      <c r="AJ371" s="22">
        <v>361</v>
      </c>
      <c r="AK371" s="22">
        <v>1.71692</v>
      </c>
      <c r="AL371">
        <f t="shared" si="66"/>
        <v>10.339399999999999</v>
      </c>
      <c r="AM371">
        <f t="shared" si="67"/>
        <v>17.761331501999997</v>
      </c>
      <c r="AP371" s="9"/>
      <c r="AQ371" s="22">
        <v>1.2207000000000001E-2</v>
      </c>
      <c r="AR371" s="22">
        <v>410.87099999999998</v>
      </c>
      <c r="AS371" s="22">
        <v>-1.7987099999999999E-2</v>
      </c>
      <c r="AT371" s="22">
        <v>361</v>
      </c>
      <c r="AU371" s="22">
        <v>1.24054E-2</v>
      </c>
      <c r="AV371">
        <f t="shared" si="68"/>
        <v>17.987099999999998</v>
      </c>
      <c r="AW371">
        <f t="shared" si="69"/>
        <v>0.21956852969999999</v>
      </c>
      <c r="AX371" s="9"/>
      <c r="AY371" s="22">
        <v>1.71783</v>
      </c>
      <c r="AZ371" s="22">
        <v>505.13900000000001</v>
      </c>
      <c r="BA371" s="22">
        <v>-1.06903E-2</v>
      </c>
      <c r="BB371" s="22">
        <v>361</v>
      </c>
      <c r="BC371" s="22">
        <v>1.71722</v>
      </c>
      <c r="BD371">
        <f t="shared" si="70"/>
        <v>10.690300000000001</v>
      </c>
      <c r="BE371">
        <f t="shared" si="71"/>
        <v>18.364118049000002</v>
      </c>
    </row>
    <row r="372" spans="6:57">
      <c r="F372" s="9"/>
      <c r="G372" s="22">
        <v>7.17163E-3</v>
      </c>
      <c r="H372" s="22">
        <v>91.984200000000001</v>
      </c>
      <c r="I372" s="22">
        <v>-1.89941E-2</v>
      </c>
      <c r="J372" s="22">
        <v>362</v>
      </c>
      <c r="K372" s="22">
        <v>7.4310299999999999E-3</v>
      </c>
      <c r="L372">
        <f t="shared" si="60"/>
        <v>18.9941</v>
      </c>
      <c r="M372">
        <f t="shared" si="61"/>
        <v>0.13621865738299999</v>
      </c>
      <c r="N372" s="9"/>
      <c r="O372" s="22">
        <v>1.7228699999999999</v>
      </c>
      <c r="P372" s="22">
        <v>164.203</v>
      </c>
      <c r="Q372" s="22">
        <v>-8.7768599999999992E-3</v>
      </c>
      <c r="R372" s="22">
        <v>362</v>
      </c>
      <c r="S372" s="22">
        <v>1.7218</v>
      </c>
      <c r="T372">
        <f t="shared" si="62"/>
        <v>8.7768599999999992</v>
      </c>
      <c r="U372">
        <f t="shared" si="63"/>
        <v>15.121388788199997</v>
      </c>
      <c r="X372" s="9"/>
      <c r="Y372" s="22">
        <v>7.17163E-3</v>
      </c>
      <c r="Z372" s="22">
        <v>222.99</v>
      </c>
      <c r="AA372" s="22">
        <v>-1.80634E-2</v>
      </c>
      <c r="AB372" s="22">
        <v>362</v>
      </c>
      <c r="AC372" s="22">
        <v>7.05261E-3</v>
      </c>
      <c r="AD372">
        <f t="shared" si="64"/>
        <v>18.063400000000001</v>
      </c>
      <c r="AE372">
        <f t="shared" si="65"/>
        <v>0.12954402134200002</v>
      </c>
      <c r="AF372" s="9"/>
      <c r="AG372" s="22">
        <v>1.7228699999999999</v>
      </c>
      <c r="AH372" s="22">
        <v>315.00900000000001</v>
      </c>
      <c r="AI372" s="22">
        <v>-9.9426299999999992E-3</v>
      </c>
      <c r="AJ372" s="22">
        <v>362</v>
      </c>
      <c r="AK372" s="22">
        <v>1.7218</v>
      </c>
      <c r="AL372">
        <f t="shared" si="66"/>
        <v>9.9426299999999994</v>
      </c>
      <c r="AM372">
        <f t="shared" si="67"/>
        <v>17.129858948099997</v>
      </c>
      <c r="AP372" s="9"/>
      <c r="AQ372" s="22">
        <v>7.17163E-3</v>
      </c>
      <c r="AR372" s="22">
        <v>410.971</v>
      </c>
      <c r="AS372" s="22">
        <v>-1.7990099999999998E-2</v>
      </c>
      <c r="AT372" s="22">
        <v>362</v>
      </c>
      <c r="AU372" s="22">
        <v>7.0678700000000004E-3</v>
      </c>
      <c r="AV372">
        <f t="shared" si="68"/>
        <v>17.990099999999998</v>
      </c>
      <c r="AW372">
        <f t="shared" si="69"/>
        <v>0.12901834086299999</v>
      </c>
      <c r="AX372" s="9"/>
      <c r="AY372" s="22">
        <v>1.7228699999999999</v>
      </c>
      <c r="AZ372" s="22">
        <v>505.24</v>
      </c>
      <c r="BA372" s="22">
        <v>-1.0321E-2</v>
      </c>
      <c r="BB372" s="22">
        <v>362</v>
      </c>
      <c r="BC372" s="22">
        <v>1.7218</v>
      </c>
      <c r="BD372">
        <f t="shared" si="70"/>
        <v>10.321</v>
      </c>
      <c r="BE372">
        <f t="shared" si="71"/>
        <v>17.781741269999998</v>
      </c>
    </row>
    <row r="373" spans="6:57">
      <c r="F373" s="9"/>
      <c r="G373" s="22">
        <v>2.1362299999999998E-3</v>
      </c>
      <c r="H373" s="22">
        <v>92.084900000000005</v>
      </c>
      <c r="I373" s="22">
        <v>-1.89789E-2</v>
      </c>
      <c r="J373" s="22">
        <v>363</v>
      </c>
      <c r="K373" s="22">
        <v>1.9744900000000002E-3</v>
      </c>
      <c r="L373">
        <f t="shared" si="60"/>
        <v>18.978899999999999</v>
      </c>
      <c r="M373">
        <f t="shared" si="61"/>
        <v>4.0543295546999994E-2</v>
      </c>
      <c r="N373" s="9"/>
      <c r="O373" s="22">
        <v>1.7279100000000001</v>
      </c>
      <c r="P373" s="22">
        <v>164.304</v>
      </c>
      <c r="Q373" s="22">
        <v>-8.2733200000000007E-3</v>
      </c>
      <c r="R373" s="22">
        <v>363</v>
      </c>
      <c r="S373" s="22">
        <v>1.7276</v>
      </c>
      <c r="T373">
        <f t="shared" si="62"/>
        <v>8.27332</v>
      </c>
      <c r="U373">
        <f t="shared" si="63"/>
        <v>14.2955523612</v>
      </c>
      <c r="X373" s="9"/>
      <c r="Y373" s="22">
        <v>2.1362299999999998E-3</v>
      </c>
      <c r="Z373" s="22">
        <v>223.09100000000001</v>
      </c>
      <c r="AA373" s="22">
        <v>-1.8072499999999998E-2</v>
      </c>
      <c r="AB373" s="22">
        <v>363</v>
      </c>
      <c r="AC373" s="22">
        <v>2.01111E-3</v>
      </c>
      <c r="AD373">
        <f t="shared" si="64"/>
        <v>18.072499999999998</v>
      </c>
      <c r="AE373">
        <f t="shared" si="65"/>
        <v>3.8607016674999994E-2</v>
      </c>
      <c r="AF373" s="9"/>
      <c r="AG373" s="22">
        <v>1.7279100000000001</v>
      </c>
      <c r="AH373" s="22">
        <v>315.11</v>
      </c>
      <c r="AI373" s="22">
        <v>-9.5275900000000007E-3</v>
      </c>
      <c r="AJ373" s="22">
        <v>363</v>
      </c>
      <c r="AK373" s="22">
        <v>1.72699</v>
      </c>
      <c r="AL373">
        <f t="shared" si="66"/>
        <v>9.52759</v>
      </c>
      <c r="AM373">
        <f t="shared" si="67"/>
        <v>16.4628180369</v>
      </c>
      <c r="AP373" s="9"/>
      <c r="AQ373" s="22">
        <v>2.1362299999999998E-3</v>
      </c>
      <c r="AR373" s="22">
        <v>411.072</v>
      </c>
      <c r="AS373" s="22">
        <v>-1.7999299999999999E-2</v>
      </c>
      <c r="AT373" s="22">
        <v>363</v>
      </c>
      <c r="AU373" s="22">
        <v>2.0019500000000002E-3</v>
      </c>
      <c r="AV373">
        <f t="shared" si="68"/>
        <v>17.999299999999998</v>
      </c>
      <c r="AW373">
        <f t="shared" si="69"/>
        <v>3.8450644638999991E-2</v>
      </c>
      <c r="AX373" s="9"/>
      <c r="AY373" s="22">
        <v>1.7279100000000001</v>
      </c>
      <c r="AZ373" s="22">
        <v>505.34100000000001</v>
      </c>
      <c r="BA373" s="22">
        <v>-9.9243200000000004E-3</v>
      </c>
      <c r="BB373" s="22">
        <v>363</v>
      </c>
      <c r="BC373" s="22">
        <v>1.72699</v>
      </c>
      <c r="BD373">
        <f t="shared" si="70"/>
        <v>9.9243199999999998</v>
      </c>
      <c r="BE373">
        <f t="shared" si="71"/>
        <v>17.148331771199999</v>
      </c>
    </row>
    <row r="374" spans="6:57">
      <c r="F374" s="9"/>
      <c r="G374" s="22">
        <v>-2.89917E-3</v>
      </c>
      <c r="H374" s="22">
        <v>92.185599999999994</v>
      </c>
      <c r="I374" s="22">
        <v>-1.8972800000000001E-2</v>
      </c>
      <c r="J374" s="22">
        <v>364</v>
      </c>
      <c r="K374" s="22">
        <v>-3.9581299999999998E-3</v>
      </c>
      <c r="L374">
        <f t="shared" si="60"/>
        <v>18.972800000000003</v>
      </c>
      <c r="M374">
        <f t="shared" si="61"/>
        <v>-5.5005372576000008E-2</v>
      </c>
      <c r="N374" s="9"/>
      <c r="O374" s="22">
        <v>1.7329399999999999</v>
      </c>
      <c r="P374" s="22">
        <v>164.405</v>
      </c>
      <c r="Q374" s="22">
        <v>-7.7362100000000003E-3</v>
      </c>
      <c r="R374" s="22">
        <v>364</v>
      </c>
      <c r="S374" s="22">
        <v>1.73187</v>
      </c>
      <c r="T374">
        <f t="shared" si="62"/>
        <v>7.7362100000000007</v>
      </c>
      <c r="U374">
        <f t="shared" si="63"/>
        <v>13.406387757400001</v>
      </c>
      <c r="X374" s="9"/>
      <c r="Y374" s="22">
        <v>-2.89917E-3</v>
      </c>
      <c r="Z374" s="22">
        <v>223.19200000000001</v>
      </c>
      <c r="AA374" s="22">
        <v>-1.8084699999999999E-2</v>
      </c>
      <c r="AB374" s="22">
        <v>364</v>
      </c>
      <c r="AC374" s="22">
        <v>-2.9846199999999999E-3</v>
      </c>
      <c r="AD374">
        <f t="shared" si="64"/>
        <v>18.084699999999998</v>
      </c>
      <c r="AE374">
        <f t="shared" si="65"/>
        <v>-5.2430619698999995E-2</v>
      </c>
      <c r="AF374" s="9"/>
      <c r="AG374" s="22">
        <v>1.7329399999999999</v>
      </c>
      <c r="AH374" s="22">
        <v>315.20999999999998</v>
      </c>
      <c r="AI374" s="22">
        <v>-9.0972899999999992E-3</v>
      </c>
      <c r="AJ374" s="22">
        <v>364</v>
      </c>
      <c r="AK374" s="22">
        <v>1.73248</v>
      </c>
      <c r="AL374">
        <f t="shared" si="66"/>
        <v>9.0972899999999992</v>
      </c>
      <c r="AM374">
        <f t="shared" si="67"/>
        <v>15.765057732599997</v>
      </c>
      <c r="AP374" s="9"/>
      <c r="AQ374" s="22">
        <v>-2.89917E-3</v>
      </c>
      <c r="AR374" s="22">
        <v>411.173</v>
      </c>
      <c r="AS374" s="22">
        <v>-1.8002299999999999E-2</v>
      </c>
      <c r="AT374" s="22">
        <v>364</v>
      </c>
      <c r="AU374" s="22">
        <v>-3.03345E-3</v>
      </c>
      <c r="AV374">
        <f t="shared" si="68"/>
        <v>18.002299999999998</v>
      </c>
      <c r="AW374">
        <f t="shared" si="69"/>
        <v>-5.2191728090999992E-2</v>
      </c>
      <c r="AX374" s="9"/>
      <c r="AY374" s="22">
        <v>1.7329399999999999</v>
      </c>
      <c r="AZ374" s="22">
        <v>505.44099999999997</v>
      </c>
      <c r="BA374" s="22">
        <v>-9.4818100000000002E-3</v>
      </c>
      <c r="BB374" s="22">
        <v>364</v>
      </c>
      <c r="BC374" s="22">
        <v>1.73248</v>
      </c>
      <c r="BD374">
        <f t="shared" si="70"/>
        <v>9.4818099999999994</v>
      </c>
      <c r="BE374">
        <f t="shared" si="71"/>
        <v>16.431407821399997</v>
      </c>
    </row>
    <row r="375" spans="6:57">
      <c r="F375" s="9"/>
      <c r="G375" s="22">
        <v>-7.9345700000000002E-3</v>
      </c>
      <c r="H375" s="22">
        <v>92.286299999999997</v>
      </c>
      <c r="I375" s="22">
        <v>-1.8963600000000001E-2</v>
      </c>
      <c r="J375" s="22">
        <v>365</v>
      </c>
      <c r="K375" s="22">
        <v>-7.9071000000000002E-3</v>
      </c>
      <c r="L375">
        <f t="shared" si="60"/>
        <v>18.9636</v>
      </c>
      <c r="M375">
        <f t="shared" si="61"/>
        <v>-0.15046801165199999</v>
      </c>
      <c r="N375" s="9"/>
      <c r="O375" s="22">
        <v>1.7379800000000001</v>
      </c>
      <c r="P375" s="22">
        <v>164.505</v>
      </c>
      <c r="Q375" s="22">
        <v>-7.1502700000000002E-3</v>
      </c>
      <c r="R375" s="22">
        <v>365</v>
      </c>
      <c r="S375" s="22">
        <v>1.73706</v>
      </c>
      <c r="T375">
        <f t="shared" si="62"/>
        <v>7.1502699999999999</v>
      </c>
      <c r="U375">
        <f t="shared" si="63"/>
        <v>12.427026254600001</v>
      </c>
      <c r="X375" s="9"/>
      <c r="Y375" s="22">
        <v>-7.9345700000000002E-3</v>
      </c>
      <c r="Z375" s="22">
        <v>223.292</v>
      </c>
      <c r="AA375" s="22">
        <v>-1.8084699999999999E-2</v>
      </c>
      <c r="AB375" s="22">
        <v>365</v>
      </c>
      <c r="AC375" s="22">
        <v>-7.8674299999999999E-3</v>
      </c>
      <c r="AD375">
        <f t="shared" si="64"/>
        <v>18.084699999999998</v>
      </c>
      <c r="AE375">
        <f t="shared" si="65"/>
        <v>-0.14349431807899998</v>
      </c>
      <c r="AF375" s="9"/>
      <c r="AG375" s="22">
        <v>1.7379800000000001</v>
      </c>
      <c r="AH375" s="22">
        <v>315.31099999999998</v>
      </c>
      <c r="AI375" s="22">
        <v>-8.6120599999999995E-3</v>
      </c>
      <c r="AJ375" s="22">
        <v>365</v>
      </c>
      <c r="AK375" s="22">
        <v>1.73706</v>
      </c>
      <c r="AL375">
        <f t="shared" si="66"/>
        <v>8.6120599999999996</v>
      </c>
      <c r="AM375">
        <f t="shared" si="67"/>
        <v>14.967588038800001</v>
      </c>
      <c r="AP375" s="9"/>
      <c r="AQ375" s="22">
        <v>-7.9345700000000002E-3</v>
      </c>
      <c r="AR375" s="22">
        <v>411.274</v>
      </c>
      <c r="AS375" s="22">
        <v>-1.8002299999999999E-2</v>
      </c>
      <c r="AT375" s="22">
        <v>365</v>
      </c>
      <c r="AU375" s="22">
        <v>-7.9772899999999997E-3</v>
      </c>
      <c r="AV375">
        <f t="shared" si="68"/>
        <v>18.002299999999998</v>
      </c>
      <c r="AW375">
        <f t="shared" si="69"/>
        <v>-0.142840509511</v>
      </c>
      <c r="AX375" s="9"/>
      <c r="AY375" s="22">
        <v>1.7379800000000001</v>
      </c>
      <c r="AZ375" s="22">
        <v>505.54199999999997</v>
      </c>
      <c r="BA375" s="22">
        <v>-9.0576200000000006E-3</v>
      </c>
      <c r="BB375" s="22">
        <v>365</v>
      </c>
      <c r="BC375" s="22">
        <v>1.73767</v>
      </c>
      <c r="BD375">
        <f t="shared" si="70"/>
        <v>9.05762</v>
      </c>
      <c r="BE375">
        <f t="shared" si="71"/>
        <v>15.741962407600001</v>
      </c>
    </row>
    <row r="376" spans="6:57">
      <c r="F376" s="9"/>
      <c r="G376" s="22">
        <v>-1.2970000000000001E-2</v>
      </c>
      <c r="H376" s="22">
        <v>92.387</v>
      </c>
      <c r="I376" s="22">
        <v>-1.8954499999999999E-2</v>
      </c>
      <c r="J376" s="22">
        <v>366</v>
      </c>
      <c r="K376" s="22">
        <v>-1.30341E-2</v>
      </c>
      <c r="L376">
        <f t="shared" si="60"/>
        <v>18.954499999999999</v>
      </c>
      <c r="M376">
        <f t="shared" si="61"/>
        <v>-0.24583986500000002</v>
      </c>
      <c r="N376" s="9"/>
      <c r="O376" s="22">
        <v>1.7430099999999999</v>
      </c>
      <c r="P376" s="22">
        <v>164.60599999999999</v>
      </c>
      <c r="Q376" s="22">
        <v>-6.5216099999999997E-3</v>
      </c>
      <c r="R376" s="22">
        <v>366</v>
      </c>
      <c r="S376" s="22">
        <v>1.74255</v>
      </c>
      <c r="T376">
        <f t="shared" si="62"/>
        <v>6.5216099999999999</v>
      </c>
      <c r="U376">
        <f t="shared" si="63"/>
        <v>11.3672314461</v>
      </c>
      <c r="X376" s="9"/>
      <c r="Y376" s="22">
        <v>-1.2970000000000001E-2</v>
      </c>
      <c r="Z376" s="22">
        <v>223.393</v>
      </c>
      <c r="AA376" s="22">
        <v>-1.8087800000000001E-2</v>
      </c>
      <c r="AB376" s="22">
        <v>366</v>
      </c>
      <c r="AC376" s="22">
        <v>-1.2914999999999999E-2</v>
      </c>
      <c r="AD376">
        <f t="shared" si="64"/>
        <v>18.087800000000001</v>
      </c>
      <c r="AE376">
        <f t="shared" si="65"/>
        <v>-0.23459876600000004</v>
      </c>
      <c r="AF376" s="9"/>
      <c r="AG376" s="22">
        <v>1.7430099999999999</v>
      </c>
      <c r="AH376" s="22">
        <v>315.41199999999998</v>
      </c>
      <c r="AI376" s="22">
        <v>-8.1207299999999996E-3</v>
      </c>
      <c r="AJ376" s="22">
        <v>366</v>
      </c>
      <c r="AK376" s="22">
        <v>1.7416400000000001</v>
      </c>
      <c r="AL376">
        <f t="shared" si="66"/>
        <v>8.12073</v>
      </c>
      <c r="AM376">
        <f t="shared" si="67"/>
        <v>14.154513597299999</v>
      </c>
      <c r="AP376" s="9"/>
      <c r="AQ376" s="22">
        <v>-1.2970000000000001E-2</v>
      </c>
      <c r="AR376" s="22">
        <v>411.37400000000002</v>
      </c>
      <c r="AS376" s="22">
        <v>-1.8005400000000001E-2</v>
      </c>
      <c r="AT376" s="22">
        <v>366</v>
      </c>
      <c r="AU376" s="22">
        <v>-1.2991300000000001E-2</v>
      </c>
      <c r="AV376">
        <f t="shared" si="68"/>
        <v>18.005400000000002</v>
      </c>
      <c r="AW376">
        <f t="shared" si="69"/>
        <v>-0.23353003800000002</v>
      </c>
      <c r="AX376" s="9"/>
      <c r="AY376" s="22">
        <v>1.7430099999999999</v>
      </c>
      <c r="AZ376" s="22">
        <v>505.64299999999997</v>
      </c>
      <c r="BA376" s="22">
        <v>-8.5754400000000001E-3</v>
      </c>
      <c r="BB376" s="22">
        <v>366</v>
      </c>
      <c r="BC376" s="22">
        <v>1.74194</v>
      </c>
      <c r="BD376">
        <f t="shared" si="70"/>
        <v>8.5754400000000004</v>
      </c>
      <c r="BE376">
        <f t="shared" si="71"/>
        <v>14.947077674400001</v>
      </c>
    </row>
    <row r="377" spans="6:57">
      <c r="F377" s="9"/>
      <c r="G377" s="22">
        <v>-1.8005400000000001E-2</v>
      </c>
      <c r="H377" s="22">
        <v>92.487700000000004</v>
      </c>
      <c r="I377" s="22">
        <v>-1.8945300000000002E-2</v>
      </c>
      <c r="J377" s="22">
        <v>367</v>
      </c>
      <c r="K377" s="22">
        <v>-1.7807E-2</v>
      </c>
      <c r="L377">
        <f t="shared" si="60"/>
        <v>18.945300000000003</v>
      </c>
      <c r="M377">
        <f t="shared" si="61"/>
        <v>-0.34111770462000007</v>
      </c>
      <c r="N377" s="9"/>
      <c r="O377" s="22">
        <v>1.7480500000000001</v>
      </c>
      <c r="P377" s="22">
        <v>164.70699999999999</v>
      </c>
      <c r="Q377" s="22">
        <v>-5.77087E-3</v>
      </c>
      <c r="R377" s="22">
        <v>367</v>
      </c>
      <c r="S377" s="22">
        <v>1.7474400000000001</v>
      </c>
      <c r="T377">
        <f t="shared" si="62"/>
        <v>5.7708700000000004</v>
      </c>
      <c r="U377">
        <f t="shared" si="63"/>
        <v>10.087769303500002</v>
      </c>
      <c r="X377" s="9"/>
      <c r="Y377" s="22">
        <v>-1.8005400000000001E-2</v>
      </c>
      <c r="Z377" s="22">
        <v>223.494</v>
      </c>
      <c r="AA377" s="22">
        <v>-1.8081699999999999E-2</v>
      </c>
      <c r="AB377" s="22">
        <v>367</v>
      </c>
      <c r="AC377" s="22">
        <v>-1.7694100000000001E-2</v>
      </c>
      <c r="AD377">
        <f t="shared" si="64"/>
        <v>18.081699999999998</v>
      </c>
      <c r="AE377">
        <f t="shared" si="65"/>
        <v>-0.32556824118</v>
      </c>
      <c r="AF377" s="9"/>
      <c r="AG377" s="22">
        <v>1.7480500000000001</v>
      </c>
      <c r="AH377" s="22">
        <v>315.512</v>
      </c>
      <c r="AI377" s="22">
        <v>-7.5744599999999999E-3</v>
      </c>
      <c r="AJ377" s="22">
        <v>367</v>
      </c>
      <c r="AK377" s="22">
        <v>1.7477400000000001</v>
      </c>
      <c r="AL377">
        <f t="shared" si="66"/>
        <v>7.5744600000000002</v>
      </c>
      <c r="AM377">
        <f t="shared" si="67"/>
        <v>13.240534803000001</v>
      </c>
      <c r="AP377" s="9"/>
      <c r="AQ377" s="22">
        <v>-1.8005400000000001E-2</v>
      </c>
      <c r="AR377" s="22">
        <v>411.47500000000002</v>
      </c>
      <c r="AS377" s="22">
        <v>-1.8005400000000001E-2</v>
      </c>
      <c r="AT377" s="22">
        <v>367</v>
      </c>
      <c r="AU377" s="22">
        <v>-1.8307500000000001E-2</v>
      </c>
      <c r="AV377">
        <f t="shared" si="68"/>
        <v>18.005400000000002</v>
      </c>
      <c r="AW377">
        <f t="shared" si="69"/>
        <v>-0.32419442916000007</v>
      </c>
      <c r="AX377" s="9"/>
      <c r="AY377" s="22">
        <v>1.7480500000000001</v>
      </c>
      <c r="AZ377" s="22">
        <v>505.74400000000003</v>
      </c>
      <c r="BA377" s="22">
        <v>-8.0474899999999992E-3</v>
      </c>
      <c r="BB377" s="22">
        <v>367</v>
      </c>
      <c r="BC377" s="22">
        <v>1.7474400000000001</v>
      </c>
      <c r="BD377">
        <f t="shared" si="70"/>
        <v>8.0474899999999998</v>
      </c>
      <c r="BE377">
        <f t="shared" si="71"/>
        <v>14.067414894500001</v>
      </c>
    </row>
    <row r="378" spans="6:57">
      <c r="F378" s="9"/>
      <c r="G378" s="22">
        <v>-2.30408E-2</v>
      </c>
      <c r="H378" s="22">
        <v>92.588399999999993</v>
      </c>
      <c r="I378" s="22">
        <v>-1.89392E-2</v>
      </c>
      <c r="J378" s="22">
        <v>368</v>
      </c>
      <c r="K378" s="22">
        <v>-2.3059099999999999E-2</v>
      </c>
      <c r="L378">
        <f t="shared" si="60"/>
        <v>18.9392</v>
      </c>
      <c r="M378">
        <f t="shared" si="61"/>
        <v>-0.43637431935999998</v>
      </c>
      <c r="N378" s="9"/>
      <c r="O378" s="22">
        <v>1.75308</v>
      </c>
      <c r="P378" s="22">
        <v>164.80799999999999</v>
      </c>
      <c r="Q378" s="22">
        <v>-4.9270599999999996E-3</v>
      </c>
      <c r="R378" s="22">
        <v>368</v>
      </c>
      <c r="S378" s="22">
        <v>1.7517100000000001</v>
      </c>
      <c r="T378">
        <f t="shared" si="62"/>
        <v>4.92706</v>
      </c>
      <c r="U378">
        <f t="shared" si="63"/>
        <v>8.6375303448</v>
      </c>
      <c r="X378" s="9"/>
      <c r="Y378" s="22">
        <v>-2.30408E-2</v>
      </c>
      <c r="Z378" s="22">
        <v>223.59399999999999</v>
      </c>
      <c r="AA378" s="22">
        <v>-1.8087800000000001E-2</v>
      </c>
      <c r="AB378" s="22">
        <v>368</v>
      </c>
      <c r="AC378" s="22">
        <v>-2.3364300000000001E-2</v>
      </c>
      <c r="AD378">
        <f t="shared" si="64"/>
        <v>18.087800000000001</v>
      </c>
      <c r="AE378">
        <f t="shared" si="65"/>
        <v>-0.41675738224000003</v>
      </c>
      <c r="AF378" s="9"/>
      <c r="AG378" s="22">
        <v>1.75308</v>
      </c>
      <c r="AH378" s="22">
        <v>315.613</v>
      </c>
      <c r="AI378" s="22">
        <v>-6.9763200000000003E-3</v>
      </c>
      <c r="AJ378" s="22">
        <v>368</v>
      </c>
      <c r="AK378" s="22">
        <v>1.7523200000000001</v>
      </c>
      <c r="AL378">
        <f t="shared" si="66"/>
        <v>6.9763200000000003</v>
      </c>
      <c r="AM378">
        <f t="shared" si="67"/>
        <v>12.230047065600001</v>
      </c>
      <c r="AP378" s="9"/>
      <c r="AQ378" s="22">
        <v>-2.30408E-2</v>
      </c>
      <c r="AR378" s="22">
        <v>411.57600000000002</v>
      </c>
      <c r="AS378" s="22">
        <v>-1.8005400000000001E-2</v>
      </c>
      <c r="AT378" s="22">
        <v>368</v>
      </c>
      <c r="AU378" s="22">
        <v>-2.3193399999999999E-2</v>
      </c>
      <c r="AV378">
        <f t="shared" si="68"/>
        <v>18.005400000000002</v>
      </c>
      <c r="AW378">
        <f t="shared" si="69"/>
        <v>-0.41485882032000004</v>
      </c>
      <c r="AX378" s="9"/>
      <c r="AY378" s="22">
        <v>1.75308</v>
      </c>
      <c r="AZ378" s="22">
        <v>505.84399999999999</v>
      </c>
      <c r="BA378" s="22">
        <v>-7.4707000000000003E-3</v>
      </c>
      <c r="BB378" s="22">
        <v>368</v>
      </c>
      <c r="BC378" s="22">
        <v>1.7526200000000001</v>
      </c>
      <c r="BD378">
        <f t="shared" si="70"/>
        <v>7.4706999999999999</v>
      </c>
      <c r="BE378">
        <f t="shared" si="71"/>
        <v>13.096734756</v>
      </c>
    </row>
    <row r="379" spans="6:57">
      <c r="F379" s="9"/>
      <c r="G379" s="22">
        <v>-2.8076199999999999E-2</v>
      </c>
      <c r="H379" s="22">
        <v>92.689099999999996</v>
      </c>
      <c r="I379" s="22">
        <v>-1.8933100000000001E-2</v>
      </c>
      <c r="J379" s="22">
        <v>369</v>
      </c>
      <c r="K379" s="22">
        <v>-2.8189100000000002E-2</v>
      </c>
      <c r="L379">
        <f t="shared" si="60"/>
        <v>18.9331</v>
      </c>
      <c r="M379">
        <f t="shared" si="61"/>
        <v>-0.53156950221999999</v>
      </c>
      <c r="N379" s="9"/>
      <c r="O379" s="22">
        <v>1.7581199999999999</v>
      </c>
      <c r="P379" s="22">
        <v>164.90799999999999</v>
      </c>
      <c r="Q379" s="22">
        <v>-4.0298499999999998E-3</v>
      </c>
      <c r="R379" s="22">
        <v>369</v>
      </c>
      <c r="S379" s="22">
        <v>1.7578100000000001</v>
      </c>
      <c r="T379">
        <f t="shared" si="62"/>
        <v>4.0298499999999997</v>
      </c>
      <c r="U379">
        <f t="shared" si="63"/>
        <v>7.0849598819999988</v>
      </c>
      <c r="X379" s="9"/>
      <c r="Y379" s="22">
        <v>-2.8076199999999999E-2</v>
      </c>
      <c r="Z379" s="22">
        <v>223.69499999999999</v>
      </c>
      <c r="AA379" s="22">
        <v>-1.8090800000000001E-2</v>
      </c>
      <c r="AB379" s="22">
        <v>369</v>
      </c>
      <c r="AC379" s="22">
        <v>-2.81555E-2</v>
      </c>
      <c r="AD379">
        <f t="shared" si="64"/>
        <v>18.090800000000002</v>
      </c>
      <c r="AE379">
        <f t="shared" si="65"/>
        <v>-0.50792091896000002</v>
      </c>
      <c r="AF379" s="9"/>
      <c r="AG379" s="22">
        <v>1.7581199999999999</v>
      </c>
      <c r="AH379" s="22">
        <v>315.714</v>
      </c>
      <c r="AI379" s="22">
        <v>-6.2927199999999999E-3</v>
      </c>
      <c r="AJ379" s="22">
        <v>369</v>
      </c>
      <c r="AK379" s="22">
        <v>1.7575099999999999</v>
      </c>
      <c r="AL379">
        <f t="shared" si="66"/>
        <v>6.2927200000000001</v>
      </c>
      <c r="AM379">
        <f t="shared" si="67"/>
        <v>11.063356886399999</v>
      </c>
      <c r="AP379" s="9"/>
      <c r="AQ379" s="22">
        <v>-2.8076199999999999E-2</v>
      </c>
      <c r="AR379" s="22">
        <v>411.67599999999999</v>
      </c>
      <c r="AS379" s="22">
        <v>-1.8008400000000001E-2</v>
      </c>
      <c r="AT379" s="22">
        <v>369</v>
      </c>
      <c r="AU379" s="22">
        <v>-2.8573600000000001E-2</v>
      </c>
      <c r="AV379">
        <f t="shared" si="68"/>
        <v>18.008400000000002</v>
      </c>
      <c r="AW379">
        <f t="shared" si="69"/>
        <v>-0.50560744008000003</v>
      </c>
      <c r="AX379" s="9"/>
      <c r="AY379" s="22">
        <v>1.7581199999999999</v>
      </c>
      <c r="AZ379" s="22">
        <v>505.94499999999999</v>
      </c>
      <c r="BA379" s="22">
        <v>-6.8634000000000004E-3</v>
      </c>
      <c r="BB379" s="22">
        <v>369</v>
      </c>
      <c r="BC379" s="22">
        <v>1.7572000000000001</v>
      </c>
      <c r="BD379">
        <f t="shared" si="70"/>
        <v>6.8634000000000004</v>
      </c>
      <c r="BE379">
        <f t="shared" si="71"/>
        <v>12.066680807999999</v>
      </c>
    </row>
    <row r="380" spans="6:57">
      <c r="F380" s="9"/>
      <c r="G380" s="22">
        <v>-3.3111599999999998E-2</v>
      </c>
      <c r="H380" s="22">
        <v>92.789900000000003</v>
      </c>
      <c r="I380" s="22">
        <v>-1.8926999999999999E-2</v>
      </c>
      <c r="J380" s="22">
        <v>370</v>
      </c>
      <c r="K380" s="22">
        <v>-3.2998699999999999E-2</v>
      </c>
      <c r="L380">
        <f t="shared" si="60"/>
        <v>18.927</v>
      </c>
      <c r="M380">
        <f t="shared" si="61"/>
        <v>-0.62670325319999998</v>
      </c>
      <c r="N380" s="9"/>
      <c r="O380" s="22">
        <v>1.76315</v>
      </c>
      <c r="P380" s="22">
        <v>165.00899999999999</v>
      </c>
      <c r="Q380" s="22">
        <v>-3.0731199999999999E-3</v>
      </c>
      <c r="R380" s="22">
        <v>370</v>
      </c>
      <c r="S380" s="22">
        <v>1.7623899999999999</v>
      </c>
      <c r="T380">
        <f t="shared" si="62"/>
        <v>3.0731199999999999</v>
      </c>
      <c r="U380">
        <f t="shared" si="63"/>
        <v>5.4183715279999998</v>
      </c>
      <c r="X380" s="9"/>
      <c r="Y380" s="22">
        <v>-3.3111599999999998E-2</v>
      </c>
      <c r="Z380" s="22">
        <v>223.79599999999999</v>
      </c>
      <c r="AA380" s="22">
        <v>-1.8087800000000001E-2</v>
      </c>
      <c r="AB380" s="22">
        <v>370</v>
      </c>
      <c r="AC380" s="22">
        <v>-3.3154299999999998E-2</v>
      </c>
      <c r="AD380">
        <f t="shared" si="64"/>
        <v>18.087800000000001</v>
      </c>
      <c r="AE380">
        <f t="shared" si="65"/>
        <v>-0.59891599847999999</v>
      </c>
      <c r="AF380" s="9"/>
      <c r="AG380" s="22">
        <v>1.76315</v>
      </c>
      <c r="AH380" s="22">
        <v>315.81400000000002</v>
      </c>
      <c r="AI380" s="22">
        <v>-5.5175800000000002E-3</v>
      </c>
      <c r="AJ380" s="22">
        <v>370</v>
      </c>
      <c r="AK380" s="22">
        <v>1.7620800000000001</v>
      </c>
      <c r="AL380">
        <f t="shared" si="66"/>
        <v>5.5175800000000006</v>
      </c>
      <c r="AM380">
        <f t="shared" si="67"/>
        <v>9.7283211770000015</v>
      </c>
      <c r="AP380" s="9"/>
      <c r="AQ380" s="22">
        <v>-3.3111599999999998E-2</v>
      </c>
      <c r="AR380" s="22">
        <v>411.77699999999999</v>
      </c>
      <c r="AS380" s="22">
        <v>-1.8008400000000001E-2</v>
      </c>
      <c r="AT380" s="22">
        <v>370</v>
      </c>
      <c r="AU380" s="22">
        <v>-3.3053600000000002E-2</v>
      </c>
      <c r="AV380">
        <f t="shared" si="68"/>
        <v>18.008400000000002</v>
      </c>
      <c r="AW380">
        <f t="shared" si="69"/>
        <v>-0.59628693744000005</v>
      </c>
      <c r="AX380" s="9"/>
      <c r="AY380" s="22">
        <v>1.76315</v>
      </c>
      <c r="AZ380" s="22">
        <v>506.04599999999999</v>
      </c>
      <c r="BA380" s="22">
        <v>-6.1706499999999997E-3</v>
      </c>
      <c r="BB380" s="22">
        <v>370</v>
      </c>
      <c r="BC380" s="22">
        <v>1.7633099999999999</v>
      </c>
      <c r="BD380">
        <f t="shared" si="70"/>
        <v>6.1706500000000002</v>
      </c>
      <c r="BE380">
        <f t="shared" si="71"/>
        <v>10.8797815475</v>
      </c>
    </row>
    <row r="381" spans="6:57">
      <c r="F381" s="9"/>
      <c r="G381" s="22">
        <v>-3.8147E-2</v>
      </c>
      <c r="H381" s="22">
        <v>92.890600000000006</v>
      </c>
      <c r="I381" s="22">
        <v>-1.8917799999999999E-2</v>
      </c>
      <c r="J381" s="22">
        <v>371</v>
      </c>
      <c r="K381" s="22">
        <v>-3.8308700000000001E-2</v>
      </c>
      <c r="L381">
        <f t="shared" si="60"/>
        <v>18.9178</v>
      </c>
      <c r="M381">
        <f t="shared" si="61"/>
        <v>-0.72165731659999999</v>
      </c>
      <c r="N381" s="9"/>
      <c r="O381" s="22">
        <v>1.7681899999999999</v>
      </c>
      <c r="P381" s="22">
        <v>165.11</v>
      </c>
      <c r="Q381" s="22">
        <v>-2.0156900000000001E-3</v>
      </c>
      <c r="R381" s="22">
        <v>371</v>
      </c>
      <c r="S381" s="22">
        <v>1.7675799999999999</v>
      </c>
      <c r="T381">
        <f t="shared" si="62"/>
        <v>2.0156900000000002</v>
      </c>
      <c r="U381">
        <f t="shared" si="63"/>
        <v>3.5641229011000002</v>
      </c>
      <c r="X381" s="9"/>
      <c r="Y381" s="22">
        <v>-3.8147E-2</v>
      </c>
      <c r="Z381" s="22">
        <v>223.89699999999999</v>
      </c>
      <c r="AA381" s="22">
        <v>-1.8087800000000001E-2</v>
      </c>
      <c r="AB381" s="22">
        <v>371</v>
      </c>
      <c r="AC381" s="22">
        <v>-3.8192700000000003E-2</v>
      </c>
      <c r="AD381">
        <f t="shared" si="64"/>
        <v>18.087800000000001</v>
      </c>
      <c r="AE381">
        <f t="shared" si="65"/>
        <v>-0.68999530660000008</v>
      </c>
      <c r="AF381" s="9"/>
      <c r="AG381" s="22">
        <v>1.7681899999999999</v>
      </c>
      <c r="AH381" s="22">
        <v>315.91500000000002</v>
      </c>
      <c r="AI381" s="22">
        <v>-4.65607E-3</v>
      </c>
      <c r="AJ381" s="22">
        <v>371</v>
      </c>
      <c r="AK381" s="22">
        <v>1.7675799999999999</v>
      </c>
      <c r="AL381">
        <f t="shared" si="66"/>
        <v>4.6560699999999997</v>
      </c>
      <c r="AM381">
        <f t="shared" si="67"/>
        <v>8.2328164132999984</v>
      </c>
      <c r="AP381" s="9"/>
      <c r="AQ381" s="22">
        <v>-3.8147E-2</v>
      </c>
      <c r="AR381" s="22">
        <v>411.87799999999999</v>
      </c>
      <c r="AS381" s="22">
        <v>-1.8020600000000001E-2</v>
      </c>
      <c r="AT381" s="22">
        <v>371</v>
      </c>
      <c r="AU381" s="22">
        <v>-3.8458300000000001E-2</v>
      </c>
      <c r="AV381">
        <f t="shared" si="68"/>
        <v>18.020600000000002</v>
      </c>
      <c r="AW381">
        <f t="shared" si="69"/>
        <v>-0.68743182820000004</v>
      </c>
      <c r="AX381" s="9"/>
      <c r="AY381" s="22">
        <v>1.7681899999999999</v>
      </c>
      <c r="AZ381" s="22">
        <v>506.14600000000002</v>
      </c>
      <c r="BA381" s="22">
        <v>-5.3802499999999996E-3</v>
      </c>
      <c r="BB381" s="22">
        <v>371</v>
      </c>
      <c r="BC381" s="22">
        <v>1.7669699999999999</v>
      </c>
      <c r="BD381">
        <f t="shared" si="70"/>
        <v>5.3802499999999993</v>
      </c>
      <c r="BE381">
        <f t="shared" si="71"/>
        <v>9.5133042474999989</v>
      </c>
    </row>
    <row r="382" spans="6:57">
      <c r="F382" s="9"/>
      <c r="G382" s="22">
        <v>-4.3182400000000003E-2</v>
      </c>
      <c r="H382" s="22">
        <v>92.991299999999995</v>
      </c>
      <c r="I382" s="22">
        <v>-1.89117E-2</v>
      </c>
      <c r="J382" s="22">
        <v>372</v>
      </c>
      <c r="K382" s="22">
        <v>-4.3203699999999998E-2</v>
      </c>
      <c r="L382">
        <f t="shared" si="60"/>
        <v>18.9117</v>
      </c>
      <c r="M382">
        <f t="shared" si="61"/>
        <v>-0.81665259408000002</v>
      </c>
      <c r="N382" s="9"/>
      <c r="O382" s="22">
        <v>1.77322</v>
      </c>
      <c r="P382" s="22">
        <v>165.21</v>
      </c>
      <c r="Q382" s="22">
        <v>-8.2977300000000001E-4</v>
      </c>
      <c r="R382" s="22">
        <v>372</v>
      </c>
      <c r="S382" s="22">
        <v>1.7730699999999999</v>
      </c>
      <c r="T382">
        <f t="shared" si="62"/>
        <v>0.82977299999999998</v>
      </c>
      <c r="U382">
        <f t="shared" si="63"/>
        <v>1.4713700790599999</v>
      </c>
      <c r="X382" s="9"/>
      <c r="Y382" s="22">
        <v>-4.3182400000000003E-2</v>
      </c>
      <c r="Z382" s="22">
        <v>223.99700000000001</v>
      </c>
      <c r="AA382" s="22">
        <v>-1.8090800000000001E-2</v>
      </c>
      <c r="AB382" s="22">
        <v>372</v>
      </c>
      <c r="AC382" s="22">
        <v>-4.3170199999999999E-2</v>
      </c>
      <c r="AD382">
        <f t="shared" si="64"/>
        <v>18.090800000000002</v>
      </c>
      <c r="AE382">
        <f t="shared" si="65"/>
        <v>-0.78120416192000008</v>
      </c>
      <c r="AF382" s="9"/>
      <c r="AG382" s="22">
        <v>1.77322</v>
      </c>
      <c r="AH382" s="22">
        <v>316.01600000000002</v>
      </c>
      <c r="AI382" s="22">
        <v>-3.7008700000000002E-3</v>
      </c>
      <c r="AJ382" s="22">
        <v>372</v>
      </c>
      <c r="AK382" s="22">
        <v>1.7724599999999999</v>
      </c>
      <c r="AL382">
        <f t="shared" si="66"/>
        <v>3.7008700000000001</v>
      </c>
      <c r="AM382">
        <f t="shared" si="67"/>
        <v>6.5624567014000004</v>
      </c>
      <c r="AP382" s="9"/>
      <c r="AQ382" s="22">
        <v>-4.3182400000000003E-2</v>
      </c>
      <c r="AR382" s="22">
        <v>411.97800000000001</v>
      </c>
      <c r="AS382" s="22">
        <v>-1.8017600000000002E-2</v>
      </c>
      <c r="AT382" s="22">
        <v>372</v>
      </c>
      <c r="AU382" s="22">
        <v>-4.3228099999999998E-2</v>
      </c>
      <c r="AV382">
        <f t="shared" si="68"/>
        <v>18.017600000000002</v>
      </c>
      <c r="AW382">
        <f t="shared" si="69"/>
        <v>-0.77804321024000012</v>
      </c>
      <c r="AX382" s="9"/>
      <c r="AY382" s="22">
        <v>1.77322</v>
      </c>
      <c r="AZ382" s="22">
        <v>506.24700000000001</v>
      </c>
      <c r="BA382" s="22">
        <v>-4.4863899999999998E-3</v>
      </c>
      <c r="BB382" s="22">
        <v>372</v>
      </c>
      <c r="BC382" s="22">
        <v>1.7724599999999999</v>
      </c>
      <c r="BD382">
        <f t="shared" si="70"/>
        <v>4.4863900000000001</v>
      </c>
      <c r="BE382">
        <f t="shared" si="71"/>
        <v>7.9553564758000004</v>
      </c>
    </row>
    <row r="383" spans="6:57">
      <c r="F383" s="9"/>
      <c r="G383" s="22">
        <v>-4.8217799999999998E-2</v>
      </c>
      <c r="H383" s="22">
        <v>93.091999999999999</v>
      </c>
      <c r="I383" s="22">
        <v>-1.8902599999999999E-2</v>
      </c>
      <c r="J383" s="22">
        <v>373</v>
      </c>
      <c r="K383" s="22">
        <v>-4.8260499999999998E-2</v>
      </c>
      <c r="L383">
        <f t="shared" si="60"/>
        <v>18.9026</v>
      </c>
      <c r="M383">
        <f t="shared" si="61"/>
        <v>-0.91144178627999994</v>
      </c>
      <c r="N383" s="9"/>
      <c r="O383" s="22">
        <v>1.77826</v>
      </c>
      <c r="P383" s="22">
        <v>165.31100000000001</v>
      </c>
      <c r="Q383" s="22">
        <v>5.08118E-4</v>
      </c>
      <c r="R383" s="22">
        <v>373</v>
      </c>
      <c r="S383" s="22">
        <v>1.7773399999999999</v>
      </c>
      <c r="T383">
        <f t="shared" si="62"/>
        <v>-0.50811799999999996</v>
      </c>
      <c r="U383">
        <f t="shared" si="63"/>
        <v>-0.90356591467999992</v>
      </c>
      <c r="X383" s="9"/>
      <c r="Y383" s="22">
        <v>-4.8217799999999998E-2</v>
      </c>
      <c r="Z383" s="22">
        <v>224.09800000000001</v>
      </c>
      <c r="AA383" s="22">
        <v>-1.8100000000000002E-2</v>
      </c>
      <c r="AB383" s="22">
        <v>373</v>
      </c>
      <c r="AC383" s="22">
        <v>-4.8037700000000003E-2</v>
      </c>
      <c r="AD383">
        <f t="shared" si="64"/>
        <v>18.100000000000001</v>
      </c>
      <c r="AE383">
        <f t="shared" si="65"/>
        <v>-0.87274218000000003</v>
      </c>
      <c r="AF383" s="9"/>
      <c r="AG383" s="22">
        <v>1.77826</v>
      </c>
      <c r="AH383" s="22">
        <v>316.11700000000002</v>
      </c>
      <c r="AI383" s="22">
        <v>-2.6950099999999999E-3</v>
      </c>
      <c r="AJ383" s="22">
        <v>373</v>
      </c>
      <c r="AK383" s="22">
        <v>1.77826</v>
      </c>
      <c r="AL383">
        <f t="shared" si="66"/>
        <v>2.6950099999999999</v>
      </c>
      <c r="AM383">
        <f t="shared" si="67"/>
        <v>4.7924284826000001</v>
      </c>
      <c r="AP383" s="9"/>
      <c r="AQ383" s="22">
        <v>-4.8217799999999998E-2</v>
      </c>
      <c r="AR383" s="22">
        <v>412.07900000000001</v>
      </c>
      <c r="AS383" s="22">
        <v>-1.8020600000000001E-2</v>
      </c>
      <c r="AT383" s="22">
        <v>373</v>
      </c>
      <c r="AU383" s="22">
        <v>-4.8580900000000003E-2</v>
      </c>
      <c r="AV383">
        <f t="shared" si="68"/>
        <v>18.020600000000002</v>
      </c>
      <c r="AW383">
        <f t="shared" si="69"/>
        <v>-0.86891368668000002</v>
      </c>
      <c r="AX383" s="9"/>
      <c r="AY383" s="22">
        <v>1.77826</v>
      </c>
      <c r="AZ383" s="22">
        <v>506.34800000000001</v>
      </c>
      <c r="BA383" s="22">
        <v>-3.4555100000000002E-3</v>
      </c>
      <c r="BB383" s="22">
        <v>373</v>
      </c>
      <c r="BC383" s="22">
        <v>1.7773399999999999</v>
      </c>
      <c r="BD383">
        <f t="shared" si="70"/>
        <v>3.4555100000000003</v>
      </c>
      <c r="BE383">
        <f t="shared" si="71"/>
        <v>6.1447952126000001</v>
      </c>
    </row>
    <row r="384" spans="6:57">
      <c r="F384" s="9"/>
      <c r="G384" s="22">
        <v>-5.3253200000000001E-2</v>
      </c>
      <c r="H384" s="22">
        <v>93.192700000000002</v>
      </c>
      <c r="I384" s="22">
        <v>-1.88995E-2</v>
      </c>
      <c r="J384" s="22">
        <v>374</v>
      </c>
      <c r="K384" s="22">
        <v>-5.3619399999999998E-2</v>
      </c>
      <c r="L384">
        <f t="shared" si="60"/>
        <v>18.8995</v>
      </c>
      <c r="M384">
        <f t="shared" si="61"/>
        <v>-1.0064588534000001</v>
      </c>
      <c r="N384" s="9"/>
      <c r="O384" s="22">
        <v>1.78329</v>
      </c>
      <c r="P384" s="22">
        <v>165.41200000000001</v>
      </c>
      <c r="Q384" s="22">
        <v>2.1667499999999998E-3</v>
      </c>
      <c r="R384" s="22">
        <v>374</v>
      </c>
      <c r="S384" s="22">
        <v>1.7825299999999999</v>
      </c>
      <c r="T384">
        <f t="shared" si="62"/>
        <v>-2.16675</v>
      </c>
      <c r="U384">
        <f t="shared" si="63"/>
        <v>-3.8639436075</v>
      </c>
      <c r="X384" s="9"/>
      <c r="Y384" s="22">
        <v>-5.3253200000000001E-2</v>
      </c>
      <c r="Z384" s="22">
        <v>224.19900000000001</v>
      </c>
      <c r="AA384" s="22">
        <v>-1.81061E-2</v>
      </c>
      <c r="AB384" s="22">
        <v>374</v>
      </c>
      <c r="AC384" s="22">
        <v>-5.3863500000000002E-2</v>
      </c>
      <c r="AD384">
        <f t="shared" si="64"/>
        <v>18.106100000000001</v>
      </c>
      <c r="AE384">
        <f t="shared" si="65"/>
        <v>-0.96420776452000012</v>
      </c>
      <c r="AF384" s="9"/>
      <c r="AG384" s="22">
        <v>1.78329</v>
      </c>
      <c r="AH384" s="22">
        <v>316.21699999999998</v>
      </c>
      <c r="AI384" s="22">
        <v>-1.5567000000000001E-3</v>
      </c>
      <c r="AJ384" s="22">
        <v>374</v>
      </c>
      <c r="AK384" s="22">
        <v>1.78223</v>
      </c>
      <c r="AL384">
        <f t="shared" si="66"/>
        <v>1.5567</v>
      </c>
      <c r="AM384">
        <f t="shared" si="67"/>
        <v>2.7760475430000002</v>
      </c>
      <c r="AP384" s="9"/>
      <c r="AQ384" s="22">
        <v>-5.3253200000000001E-2</v>
      </c>
      <c r="AR384" s="22">
        <v>412.18</v>
      </c>
      <c r="AS384" s="22">
        <v>-1.8017600000000002E-2</v>
      </c>
      <c r="AT384" s="22">
        <v>374</v>
      </c>
      <c r="AU384" s="22">
        <v>-5.3710899999999999E-2</v>
      </c>
      <c r="AV384">
        <f t="shared" si="68"/>
        <v>18.017600000000002</v>
      </c>
      <c r="AW384">
        <f t="shared" si="69"/>
        <v>-0.95949485632000009</v>
      </c>
      <c r="AX384" s="9"/>
      <c r="AY384" s="22">
        <v>1.78329</v>
      </c>
      <c r="AZ384" s="22">
        <v>506.44799999999998</v>
      </c>
      <c r="BA384" s="22">
        <v>-2.3709099999999999E-3</v>
      </c>
      <c r="BB384" s="22">
        <v>374</v>
      </c>
      <c r="BC384" s="22">
        <v>1.78223</v>
      </c>
      <c r="BD384">
        <f t="shared" si="70"/>
        <v>2.3709099999999999</v>
      </c>
      <c r="BE384">
        <f t="shared" si="71"/>
        <v>4.2280200938999997</v>
      </c>
    </row>
    <row r="385" spans="6:57">
      <c r="F385" s="9"/>
      <c r="G385" s="22">
        <v>-5.8288600000000003E-2</v>
      </c>
      <c r="H385" s="22">
        <v>93.293400000000005</v>
      </c>
      <c r="I385" s="22">
        <v>-1.88965E-2</v>
      </c>
      <c r="J385" s="22">
        <v>375</v>
      </c>
      <c r="K385" s="22">
        <v>-5.8807400000000003E-2</v>
      </c>
      <c r="L385">
        <f t="shared" si="60"/>
        <v>18.8965</v>
      </c>
      <c r="M385">
        <f t="shared" si="61"/>
        <v>-1.1014505299000001</v>
      </c>
      <c r="N385" s="9"/>
      <c r="O385" s="22">
        <v>1.78833</v>
      </c>
      <c r="P385" s="22">
        <v>165.51300000000001</v>
      </c>
      <c r="Q385" s="22">
        <v>4.06311E-3</v>
      </c>
      <c r="R385" s="22">
        <v>375</v>
      </c>
      <c r="S385" s="22">
        <v>1.7880199999999999</v>
      </c>
      <c r="T385">
        <f t="shared" si="62"/>
        <v>-4.06311</v>
      </c>
      <c r="U385">
        <f t="shared" si="63"/>
        <v>-7.2661815062999997</v>
      </c>
      <c r="X385" s="9"/>
      <c r="Y385" s="22">
        <v>-5.8288600000000003E-2</v>
      </c>
      <c r="Z385" s="22">
        <v>224.29900000000001</v>
      </c>
      <c r="AA385" s="22">
        <v>-1.81061E-2</v>
      </c>
      <c r="AB385" s="22">
        <v>375</v>
      </c>
      <c r="AC385" s="22">
        <v>-5.8563200000000003E-2</v>
      </c>
      <c r="AD385">
        <f t="shared" si="64"/>
        <v>18.106100000000001</v>
      </c>
      <c r="AE385">
        <f t="shared" si="65"/>
        <v>-1.0553792204600001</v>
      </c>
      <c r="AF385" s="9"/>
      <c r="AG385" s="22">
        <v>1.78833</v>
      </c>
      <c r="AH385" s="22">
        <v>316.31799999999998</v>
      </c>
      <c r="AI385" s="22">
        <v>-2.8375200000000002E-4</v>
      </c>
      <c r="AJ385" s="22">
        <v>375</v>
      </c>
      <c r="AK385" s="22">
        <v>1.7874099999999999</v>
      </c>
      <c r="AL385">
        <f t="shared" si="66"/>
        <v>0.283752</v>
      </c>
      <c r="AM385">
        <f t="shared" si="67"/>
        <v>0.50744221416000002</v>
      </c>
      <c r="AP385" s="9"/>
      <c r="AQ385" s="22">
        <v>-5.8288600000000003E-2</v>
      </c>
      <c r="AR385" s="22">
        <v>412.28100000000001</v>
      </c>
      <c r="AS385" s="22">
        <v>-1.8029799999999999E-2</v>
      </c>
      <c r="AT385" s="22">
        <v>375</v>
      </c>
      <c r="AU385" s="22">
        <v>-5.8624299999999997E-2</v>
      </c>
      <c r="AV385">
        <f t="shared" si="68"/>
        <v>18.029799999999998</v>
      </c>
      <c r="AW385">
        <f t="shared" si="69"/>
        <v>-1.0509318002799999</v>
      </c>
      <c r="AX385" s="9"/>
      <c r="AY385" s="22">
        <v>1.78833</v>
      </c>
      <c r="AZ385" s="22">
        <v>506.54899999999998</v>
      </c>
      <c r="BA385" s="22">
        <v>-1.12671E-3</v>
      </c>
      <c r="BB385" s="22">
        <v>375</v>
      </c>
      <c r="BC385" s="22">
        <v>1.78772</v>
      </c>
      <c r="BD385">
        <f t="shared" si="70"/>
        <v>1.1267099999999999</v>
      </c>
      <c r="BE385">
        <f t="shared" si="71"/>
        <v>2.0149292942999999</v>
      </c>
    </row>
    <row r="386" spans="6:57">
      <c r="F386" s="9"/>
      <c r="G386" s="22">
        <v>-6.3324000000000005E-2</v>
      </c>
      <c r="H386" s="22">
        <v>93.394099999999995</v>
      </c>
      <c r="I386" s="22">
        <v>-1.8887299999999999E-2</v>
      </c>
      <c r="J386" s="22">
        <v>376</v>
      </c>
      <c r="K386" s="22">
        <v>-6.3873299999999994E-2</v>
      </c>
      <c r="L386">
        <f t="shared" si="60"/>
        <v>18.8873</v>
      </c>
      <c r="M386">
        <f t="shared" si="61"/>
        <v>-1.1960193852000001</v>
      </c>
      <c r="N386" s="9"/>
      <c r="O386" s="22">
        <v>1.7933699999999999</v>
      </c>
      <c r="P386" s="22">
        <v>165.613</v>
      </c>
      <c r="Q386" s="22">
        <v>6.1370799999999996E-3</v>
      </c>
      <c r="R386" s="22">
        <v>376</v>
      </c>
      <c r="S386" s="22">
        <v>1.7923</v>
      </c>
      <c r="T386">
        <f t="shared" si="62"/>
        <v>-6.1370799999999992</v>
      </c>
      <c r="U386">
        <f t="shared" si="63"/>
        <v>-11.006055159599997</v>
      </c>
      <c r="X386" s="9"/>
      <c r="Y386" s="22">
        <v>-6.3324000000000005E-2</v>
      </c>
      <c r="Z386" s="22">
        <v>224.4</v>
      </c>
      <c r="AA386" s="22">
        <v>-1.81061E-2</v>
      </c>
      <c r="AB386" s="22">
        <v>376</v>
      </c>
      <c r="AC386" s="22">
        <v>-6.3995399999999994E-2</v>
      </c>
      <c r="AD386">
        <f t="shared" si="64"/>
        <v>18.106100000000001</v>
      </c>
      <c r="AE386">
        <f t="shared" si="65"/>
        <v>-1.1465506764000002</v>
      </c>
      <c r="AF386" s="9"/>
      <c r="AG386" s="22">
        <v>1.7933699999999999</v>
      </c>
      <c r="AH386" s="22">
        <v>316.41899999999998</v>
      </c>
      <c r="AI386" s="22">
        <v>1.27838E-3</v>
      </c>
      <c r="AJ386" s="22">
        <v>376</v>
      </c>
      <c r="AK386" s="22">
        <v>1.7923</v>
      </c>
      <c r="AL386">
        <f t="shared" si="66"/>
        <v>-1.2783800000000001</v>
      </c>
      <c r="AM386">
        <f t="shared" si="67"/>
        <v>-2.2926083406000002</v>
      </c>
      <c r="AP386" s="9"/>
      <c r="AQ386" s="22">
        <v>-6.3324000000000005E-2</v>
      </c>
      <c r="AR386" s="22">
        <v>412.38099999999997</v>
      </c>
      <c r="AS386" s="22">
        <v>-1.80267E-2</v>
      </c>
      <c r="AT386" s="22">
        <v>376</v>
      </c>
      <c r="AU386" s="22">
        <v>-6.36597E-2</v>
      </c>
      <c r="AV386">
        <f t="shared" si="68"/>
        <v>18.026699999999998</v>
      </c>
      <c r="AW386">
        <f t="shared" si="69"/>
        <v>-1.1415227507999999</v>
      </c>
      <c r="AX386" s="9"/>
      <c r="AY386" s="22">
        <v>1.7933699999999999</v>
      </c>
      <c r="AZ386" s="22">
        <v>506.65</v>
      </c>
      <c r="BA386" s="22">
        <v>3.55774E-4</v>
      </c>
      <c r="BB386" s="22">
        <v>376</v>
      </c>
      <c r="BC386" s="22">
        <v>1.79291</v>
      </c>
      <c r="BD386">
        <f t="shared" si="70"/>
        <v>-0.35577399999999998</v>
      </c>
      <c r="BE386">
        <f t="shared" si="71"/>
        <v>-0.63803441837999997</v>
      </c>
    </row>
    <row r="387" spans="6:57">
      <c r="F387" s="9"/>
      <c r="G387" s="22">
        <v>-6.8359400000000001E-2</v>
      </c>
      <c r="H387" s="22">
        <v>93.494799999999998</v>
      </c>
      <c r="I387" s="22">
        <v>-1.88843E-2</v>
      </c>
      <c r="J387" s="22">
        <v>377</v>
      </c>
      <c r="K387" s="22">
        <v>-6.8634000000000001E-2</v>
      </c>
      <c r="L387">
        <f t="shared" si="60"/>
        <v>18.8843</v>
      </c>
      <c r="M387">
        <f t="shared" si="61"/>
        <v>-1.29091941742</v>
      </c>
      <c r="N387" s="9"/>
      <c r="O387" s="22">
        <v>1.7984</v>
      </c>
      <c r="P387" s="22">
        <v>165.714</v>
      </c>
      <c r="Q387" s="22">
        <v>8.0871599999999995E-3</v>
      </c>
      <c r="R387" s="22">
        <v>377</v>
      </c>
      <c r="S387" s="22">
        <v>1.79718</v>
      </c>
      <c r="T387">
        <f t="shared" si="62"/>
        <v>-8.087159999999999</v>
      </c>
      <c r="U387">
        <f t="shared" si="63"/>
        <v>-14.543948543999997</v>
      </c>
      <c r="X387" s="9"/>
      <c r="Y387" s="22">
        <v>-6.8359400000000001E-2</v>
      </c>
      <c r="Z387" s="22">
        <v>224.501</v>
      </c>
      <c r="AA387" s="22">
        <v>-1.8103000000000001E-2</v>
      </c>
      <c r="AB387" s="22">
        <v>377</v>
      </c>
      <c r="AC387" s="22">
        <v>-6.8572999999999995E-2</v>
      </c>
      <c r="AD387">
        <f t="shared" si="64"/>
        <v>18.103000000000002</v>
      </c>
      <c r="AE387">
        <f t="shared" si="65"/>
        <v>-1.2375102182000002</v>
      </c>
      <c r="AF387" s="9"/>
      <c r="AG387" s="22">
        <v>1.7984</v>
      </c>
      <c r="AH387" s="22">
        <v>316.51900000000001</v>
      </c>
      <c r="AI387" s="22">
        <v>3.1826799999999998E-3</v>
      </c>
      <c r="AJ387" s="22">
        <v>377</v>
      </c>
      <c r="AK387" s="22">
        <v>1.79779</v>
      </c>
      <c r="AL387">
        <f t="shared" si="66"/>
        <v>-3.18268</v>
      </c>
      <c r="AM387">
        <f t="shared" si="67"/>
        <v>-5.7237317120000002</v>
      </c>
      <c r="AP387" s="9"/>
      <c r="AQ387" s="22">
        <v>-6.8359400000000001E-2</v>
      </c>
      <c r="AR387" s="22">
        <v>412.48200000000003</v>
      </c>
      <c r="AS387" s="22">
        <v>-1.8032800000000002E-2</v>
      </c>
      <c r="AT387" s="22">
        <v>377</v>
      </c>
      <c r="AU387" s="22">
        <v>-6.92749E-2</v>
      </c>
      <c r="AV387">
        <f t="shared" si="68"/>
        <v>18.032800000000002</v>
      </c>
      <c r="AW387">
        <f t="shared" si="69"/>
        <v>-1.23271138832</v>
      </c>
      <c r="AX387" s="9"/>
      <c r="AY387" s="22">
        <v>1.7984</v>
      </c>
      <c r="AZ387" s="22">
        <v>506.75099999999998</v>
      </c>
      <c r="BA387" s="22">
        <v>2.2686799999999999E-3</v>
      </c>
      <c r="BB387" s="22">
        <v>377</v>
      </c>
      <c r="BC387" s="22">
        <v>1.79749</v>
      </c>
      <c r="BD387">
        <f t="shared" si="70"/>
        <v>-2.2686799999999998</v>
      </c>
      <c r="BE387">
        <f t="shared" si="71"/>
        <v>-4.0799941119999996</v>
      </c>
    </row>
    <row r="388" spans="6:57">
      <c r="F388" s="9"/>
      <c r="G388" s="22">
        <v>-7.3394799999999996E-2</v>
      </c>
      <c r="H388" s="22">
        <v>93.595500000000001</v>
      </c>
      <c r="I388" s="22">
        <v>-1.8881200000000001E-2</v>
      </c>
      <c r="J388" s="22">
        <v>378</v>
      </c>
      <c r="K388" s="22">
        <v>-7.4249300000000004E-2</v>
      </c>
      <c r="L388">
        <f t="shared" si="60"/>
        <v>18.8812</v>
      </c>
      <c r="M388">
        <f t="shared" si="61"/>
        <v>-1.3857818977599998</v>
      </c>
      <c r="N388" s="9"/>
      <c r="O388" s="22">
        <v>1.8034399999999999</v>
      </c>
      <c r="P388" s="22">
        <v>165.815</v>
      </c>
      <c r="Q388" s="22">
        <v>1.01257E-2</v>
      </c>
      <c r="R388" s="22">
        <v>378</v>
      </c>
      <c r="S388" s="22">
        <v>1.80267</v>
      </c>
      <c r="T388">
        <f t="shared" si="62"/>
        <v>-10.1257</v>
      </c>
      <c r="U388">
        <f t="shared" si="63"/>
        <v>-18.261092408</v>
      </c>
      <c r="X388" s="9"/>
      <c r="Y388" s="22">
        <v>-7.3394799999999996E-2</v>
      </c>
      <c r="Z388" s="22">
        <v>224.602</v>
      </c>
      <c r="AA388" s="22">
        <v>-1.81091E-2</v>
      </c>
      <c r="AB388" s="22">
        <v>378</v>
      </c>
      <c r="AC388" s="22">
        <v>-7.3669399999999996E-2</v>
      </c>
      <c r="AD388">
        <f t="shared" si="64"/>
        <v>18.109099999999998</v>
      </c>
      <c r="AE388">
        <f t="shared" si="65"/>
        <v>-1.3291137726799997</v>
      </c>
      <c r="AF388" s="9"/>
      <c r="AG388" s="22">
        <v>1.8034399999999999</v>
      </c>
      <c r="AH388" s="22">
        <v>316.62</v>
      </c>
      <c r="AI388" s="22">
        <v>5.4534900000000001E-3</v>
      </c>
      <c r="AJ388" s="22">
        <v>378</v>
      </c>
      <c r="AK388" s="22">
        <v>1.80328</v>
      </c>
      <c r="AL388">
        <f t="shared" si="66"/>
        <v>-5.4534900000000004</v>
      </c>
      <c r="AM388">
        <f t="shared" si="67"/>
        <v>-9.8350420056000001</v>
      </c>
      <c r="AP388" s="9"/>
      <c r="AQ388" s="22">
        <v>-7.3394799999999996E-2</v>
      </c>
      <c r="AR388" s="22">
        <v>412.58300000000003</v>
      </c>
      <c r="AS388" s="22">
        <v>-1.8032800000000002E-2</v>
      </c>
      <c r="AT388" s="22">
        <v>378</v>
      </c>
      <c r="AU388" s="22">
        <v>-7.3669399999999996E-2</v>
      </c>
      <c r="AV388">
        <f t="shared" si="68"/>
        <v>18.032800000000002</v>
      </c>
      <c r="AW388">
        <f t="shared" si="69"/>
        <v>-1.32351374944</v>
      </c>
      <c r="AX388" s="9"/>
      <c r="AY388" s="22">
        <v>1.8034399999999999</v>
      </c>
      <c r="AZ388" s="22">
        <v>506.851</v>
      </c>
      <c r="BA388" s="22">
        <v>4.5297200000000001E-3</v>
      </c>
      <c r="BB388" s="22">
        <v>378</v>
      </c>
      <c r="BC388" s="22">
        <v>1.80237</v>
      </c>
      <c r="BD388">
        <f t="shared" si="70"/>
        <v>-4.5297200000000002</v>
      </c>
      <c r="BE388">
        <f t="shared" si="71"/>
        <v>-8.1690782368000008</v>
      </c>
    </row>
    <row r="389" spans="6:57">
      <c r="F389" s="9"/>
      <c r="G389" s="22">
        <v>-7.8430200000000005E-2</v>
      </c>
      <c r="H389" s="22">
        <v>93.696200000000005</v>
      </c>
      <c r="I389" s="22">
        <v>-1.8869E-2</v>
      </c>
      <c r="J389" s="22">
        <v>379</v>
      </c>
      <c r="K389" s="22">
        <v>-7.7911400000000006E-2</v>
      </c>
      <c r="L389">
        <f t="shared" si="60"/>
        <v>18.869</v>
      </c>
      <c r="M389">
        <f t="shared" si="61"/>
        <v>-1.4798994438000002</v>
      </c>
      <c r="N389" s="9"/>
      <c r="O389" s="22">
        <v>1.80847</v>
      </c>
      <c r="P389" s="22">
        <v>165.91499999999999</v>
      </c>
      <c r="Q389" s="22">
        <v>1.22437E-2</v>
      </c>
      <c r="R389" s="22">
        <v>379</v>
      </c>
      <c r="S389" s="22">
        <v>1.8075600000000001</v>
      </c>
      <c r="T389">
        <f t="shared" si="62"/>
        <v>-12.2437</v>
      </c>
      <c r="U389">
        <f t="shared" si="63"/>
        <v>-22.142364139000001</v>
      </c>
      <c r="X389" s="9"/>
      <c r="Y389" s="22">
        <v>-7.8430200000000005E-2</v>
      </c>
      <c r="Z389" s="22">
        <v>224.702</v>
      </c>
      <c r="AA389" s="22">
        <v>-1.8115200000000001E-2</v>
      </c>
      <c r="AB389" s="22">
        <v>379</v>
      </c>
      <c r="AC389" s="22">
        <v>-7.8979499999999994E-2</v>
      </c>
      <c r="AD389">
        <f t="shared" si="64"/>
        <v>18.115200000000002</v>
      </c>
      <c r="AE389">
        <f t="shared" si="65"/>
        <v>-1.4207787590400003</v>
      </c>
      <c r="AF389" s="9"/>
      <c r="AG389" s="22">
        <v>1.80847</v>
      </c>
      <c r="AH389" s="22">
        <v>316.721</v>
      </c>
      <c r="AI389" s="22">
        <v>7.7850300000000001E-3</v>
      </c>
      <c r="AJ389" s="22">
        <v>379</v>
      </c>
      <c r="AK389" s="22">
        <v>1.80786</v>
      </c>
      <c r="AL389">
        <f t="shared" si="66"/>
        <v>-7.7850299999999999</v>
      </c>
      <c r="AM389">
        <f t="shared" si="67"/>
        <v>-14.0789932041</v>
      </c>
      <c r="AP389" s="9"/>
      <c r="AQ389" s="22">
        <v>-7.8430200000000005E-2</v>
      </c>
      <c r="AR389" s="22">
        <v>412.68299999999999</v>
      </c>
      <c r="AS389" s="22">
        <v>-1.8041999999999999E-2</v>
      </c>
      <c r="AT389" s="22">
        <v>379</v>
      </c>
      <c r="AU389" s="22">
        <v>-7.8704800000000005E-2</v>
      </c>
      <c r="AV389">
        <f t="shared" si="68"/>
        <v>18.041999999999998</v>
      </c>
      <c r="AW389">
        <f t="shared" si="69"/>
        <v>-1.4150376683999999</v>
      </c>
      <c r="AX389" s="9"/>
      <c r="AY389" s="22">
        <v>1.80847</v>
      </c>
      <c r="AZ389" s="22">
        <v>506.952</v>
      </c>
      <c r="BA389" s="22">
        <v>7.1746800000000001E-3</v>
      </c>
      <c r="BB389" s="22">
        <v>379</v>
      </c>
      <c r="BC389" s="22">
        <v>1.8075600000000001</v>
      </c>
      <c r="BD389">
        <f t="shared" si="70"/>
        <v>-7.1746800000000004</v>
      </c>
      <c r="BE389">
        <f t="shared" si="71"/>
        <v>-12.975193539600001</v>
      </c>
    </row>
    <row r="390" spans="6:57">
      <c r="F390" s="9"/>
      <c r="G390" s="22">
        <v>-8.3465600000000001E-2</v>
      </c>
      <c r="H390" s="22">
        <v>93.796899999999994</v>
      </c>
      <c r="I390" s="22">
        <v>-1.8869E-2</v>
      </c>
      <c r="J390" s="22">
        <v>380</v>
      </c>
      <c r="K390" s="22">
        <v>-8.3618200000000004E-2</v>
      </c>
      <c r="L390">
        <f t="shared" si="60"/>
        <v>18.869</v>
      </c>
      <c r="M390">
        <f t="shared" si="61"/>
        <v>-1.5749124064</v>
      </c>
      <c r="N390" s="9"/>
      <c r="O390" s="22">
        <v>1.81351</v>
      </c>
      <c r="P390" s="22">
        <v>166.01599999999999</v>
      </c>
      <c r="Q390" s="22">
        <v>1.46088E-2</v>
      </c>
      <c r="R390" s="22">
        <v>380</v>
      </c>
      <c r="S390" s="22">
        <v>1.8130500000000001</v>
      </c>
      <c r="T390">
        <f t="shared" si="62"/>
        <v>-14.6088</v>
      </c>
      <c r="U390">
        <f t="shared" si="63"/>
        <v>-26.493204888000001</v>
      </c>
      <c r="X390" s="9"/>
      <c r="Y390" s="22">
        <v>-8.3465600000000001E-2</v>
      </c>
      <c r="Z390" s="22">
        <v>224.803</v>
      </c>
      <c r="AA390" s="22">
        <v>-1.8112199999999998E-2</v>
      </c>
      <c r="AB390" s="22">
        <v>380</v>
      </c>
      <c r="AC390" s="22">
        <v>-8.3740200000000001E-2</v>
      </c>
      <c r="AD390">
        <f t="shared" si="64"/>
        <v>18.112199999999998</v>
      </c>
      <c r="AE390">
        <f t="shared" si="65"/>
        <v>-1.5117456403199998</v>
      </c>
      <c r="AF390" s="9"/>
      <c r="AG390" s="22">
        <v>1.81351</v>
      </c>
      <c r="AH390" s="22">
        <v>316.822</v>
      </c>
      <c r="AI390" s="22">
        <v>1.02264E-2</v>
      </c>
      <c r="AJ390" s="22">
        <v>380</v>
      </c>
      <c r="AK390" s="22">
        <v>1.8130500000000001</v>
      </c>
      <c r="AL390">
        <f t="shared" si="66"/>
        <v>-10.2264</v>
      </c>
      <c r="AM390">
        <f t="shared" si="67"/>
        <v>-18.545678664</v>
      </c>
      <c r="AP390" s="9"/>
      <c r="AQ390" s="22">
        <v>-8.3465600000000001E-2</v>
      </c>
      <c r="AR390" s="22">
        <v>412.78399999999999</v>
      </c>
      <c r="AS390" s="22">
        <v>-1.8044999999999999E-2</v>
      </c>
      <c r="AT390" s="22">
        <v>380</v>
      </c>
      <c r="AU390" s="22">
        <v>-8.3862300000000001E-2</v>
      </c>
      <c r="AV390">
        <f t="shared" si="68"/>
        <v>18.044999999999998</v>
      </c>
      <c r="AW390">
        <f t="shared" si="69"/>
        <v>-1.506136752</v>
      </c>
      <c r="AX390" s="9"/>
      <c r="AY390" s="22">
        <v>1.81351</v>
      </c>
      <c r="AZ390" s="22">
        <v>507.053</v>
      </c>
      <c r="BA390" s="22">
        <v>9.7534200000000005E-3</v>
      </c>
      <c r="BB390" s="22">
        <v>380</v>
      </c>
      <c r="BC390" s="22">
        <v>1.81213</v>
      </c>
      <c r="BD390">
        <f t="shared" si="70"/>
        <v>-9.7534200000000002</v>
      </c>
      <c r="BE390">
        <f t="shared" si="71"/>
        <v>-17.6879247042</v>
      </c>
    </row>
    <row r="391" spans="6:57">
      <c r="F391" s="9"/>
      <c r="G391" s="22">
        <v>-8.8500999999999996E-2</v>
      </c>
      <c r="H391" s="22">
        <v>93.897599999999997</v>
      </c>
      <c r="I391" s="22">
        <v>-1.8866000000000001E-2</v>
      </c>
      <c r="J391" s="22">
        <v>381</v>
      </c>
      <c r="K391" s="22">
        <v>-8.8928199999999999E-2</v>
      </c>
      <c r="L391">
        <f t="shared" si="60"/>
        <v>18.866</v>
      </c>
      <c r="M391">
        <f t="shared" si="61"/>
        <v>-1.6696598659999999</v>
      </c>
      <c r="N391" s="9"/>
      <c r="O391" s="22">
        <v>1.81854</v>
      </c>
      <c r="P391" s="22">
        <v>166.11699999999999</v>
      </c>
      <c r="Q391" s="22">
        <v>1.6741900000000001E-2</v>
      </c>
      <c r="R391" s="22">
        <v>381</v>
      </c>
      <c r="S391" s="22">
        <v>1.81793</v>
      </c>
      <c r="T391">
        <f t="shared" si="62"/>
        <v>-16.741900000000001</v>
      </c>
      <c r="U391">
        <f t="shared" si="63"/>
        <v>-30.445814826000003</v>
      </c>
      <c r="X391" s="9"/>
      <c r="Y391" s="22">
        <v>-8.8500999999999996E-2</v>
      </c>
      <c r="Z391" s="22">
        <v>224.904</v>
      </c>
      <c r="AA391" s="22">
        <v>-1.81091E-2</v>
      </c>
      <c r="AB391" s="22">
        <v>381</v>
      </c>
      <c r="AC391" s="22">
        <v>-8.8897699999999996E-2</v>
      </c>
      <c r="AD391">
        <f t="shared" si="64"/>
        <v>18.109099999999998</v>
      </c>
      <c r="AE391">
        <f t="shared" si="65"/>
        <v>-1.6026734590999998</v>
      </c>
      <c r="AF391" s="9"/>
      <c r="AG391" s="22">
        <v>1.81854</v>
      </c>
      <c r="AH391" s="22">
        <v>316.92200000000003</v>
      </c>
      <c r="AI391" s="22">
        <v>1.27075E-2</v>
      </c>
      <c r="AJ391" s="22">
        <v>381</v>
      </c>
      <c r="AK391" s="22">
        <v>1.8182400000000001</v>
      </c>
      <c r="AL391">
        <f t="shared" si="66"/>
        <v>-12.7075</v>
      </c>
      <c r="AM391">
        <f t="shared" si="67"/>
        <v>-23.109097049999999</v>
      </c>
      <c r="AP391" s="9"/>
      <c r="AQ391" s="22">
        <v>-8.8500999999999996E-2</v>
      </c>
      <c r="AR391" s="22">
        <v>412.88499999999999</v>
      </c>
      <c r="AS391" s="22">
        <v>-1.8041999999999999E-2</v>
      </c>
      <c r="AT391" s="22">
        <v>381</v>
      </c>
      <c r="AU391" s="22">
        <v>-8.9233400000000004E-2</v>
      </c>
      <c r="AV391">
        <f t="shared" si="68"/>
        <v>18.041999999999998</v>
      </c>
      <c r="AW391">
        <f t="shared" si="69"/>
        <v>-1.5967350419999997</v>
      </c>
      <c r="AX391" s="9"/>
      <c r="AY391" s="22">
        <v>1.81854</v>
      </c>
      <c r="AZ391" s="22">
        <v>507.15300000000002</v>
      </c>
      <c r="BA391" s="22">
        <v>1.2335199999999999E-2</v>
      </c>
      <c r="BB391" s="22">
        <v>381</v>
      </c>
      <c r="BC391" s="22">
        <v>1.81793</v>
      </c>
      <c r="BD391">
        <f t="shared" si="70"/>
        <v>-12.335199999999999</v>
      </c>
      <c r="BE391">
        <f t="shared" si="71"/>
        <v>-22.432054607999998</v>
      </c>
    </row>
    <row r="392" spans="6:57">
      <c r="F392" s="9"/>
      <c r="G392" s="22">
        <v>-9.3536400000000006E-2</v>
      </c>
      <c r="H392" s="22">
        <v>93.9983</v>
      </c>
      <c r="I392" s="22">
        <v>-1.8862899999999998E-2</v>
      </c>
      <c r="J392" s="22">
        <v>382</v>
      </c>
      <c r="K392" s="22">
        <v>-9.38721E-2</v>
      </c>
      <c r="L392">
        <f t="shared" si="60"/>
        <v>18.8629</v>
      </c>
      <c r="M392">
        <f t="shared" si="61"/>
        <v>-1.76436775956</v>
      </c>
      <c r="N392" s="9"/>
      <c r="O392" s="22">
        <v>1.82358</v>
      </c>
      <c r="P392" s="22">
        <v>166.21799999999999</v>
      </c>
      <c r="Q392" s="22">
        <v>1.9735699999999998E-2</v>
      </c>
      <c r="R392" s="22">
        <v>382</v>
      </c>
      <c r="S392" s="22">
        <v>1.82281</v>
      </c>
      <c r="T392">
        <f t="shared" si="62"/>
        <v>-19.735699999999998</v>
      </c>
      <c r="U392">
        <f t="shared" si="63"/>
        <v>-35.989627805999994</v>
      </c>
      <c r="X392" s="9"/>
      <c r="Y392" s="22">
        <v>-9.3536400000000006E-2</v>
      </c>
      <c r="Z392" s="22">
        <v>225.00399999999999</v>
      </c>
      <c r="AA392" s="22">
        <v>-1.8112199999999998E-2</v>
      </c>
      <c r="AB392" s="22">
        <v>382</v>
      </c>
      <c r="AC392" s="22">
        <v>-9.3811000000000005E-2</v>
      </c>
      <c r="AD392">
        <f t="shared" si="64"/>
        <v>18.112199999999998</v>
      </c>
      <c r="AE392">
        <f t="shared" si="65"/>
        <v>-1.6941499840799998</v>
      </c>
      <c r="AF392" s="9"/>
      <c r="AG392" s="22">
        <v>1.82358</v>
      </c>
      <c r="AH392" s="22">
        <v>317.02300000000002</v>
      </c>
      <c r="AI392" s="22">
        <v>1.5094E-2</v>
      </c>
      <c r="AJ392" s="22">
        <v>382</v>
      </c>
      <c r="AK392" s="22">
        <v>1.82281</v>
      </c>
      <c r="AL392">
        <f t="shared" si="66"/>
        <v>-15.093999999999999</v>
      </c>
      <c r="AM392">
        <f t="shared" si="67"/>
        <v>-27.525116519999997</v>
      </c>
      <c r="AP392" s="9"/>
      <c r="AQ392" s="22">
        <v>-9.3536400000000006E-2</v>
      </c>
      <c r="AR392" s="22">
        <v>412.98599999999999</v>
      </c>
      <c r="AS392" s="22">
        <v>-1.8044999999999999E-2</v>
      </c>
      <c r="AT392" s="22">
        <v>382</v>
      </c>
      <c r="AU392" s="22">
        <v>-9.4085699999999994E-2</v>
      </c>
      <c r="AV392">
        <f t="shared" si="68"/>
        <v>18.044999999999998</v>
      </c>
      <c r="AW392">
        <f t="shared" si="69"/>
        <v>-1.687864338</v>
      </c>
      <c r="AX392" s="9"/>
      <c r="AY392" s="22">
        <v>1.82358</v>
      </c>
      <c r="AZ392" s="22">
        <v>507.25400000000002</v>
      </c>
      <c r="BA392" s="22">
        <v>1.5682999999999999E-2</v>
      </c>
      <c r="BB392" s="22">
        <v>382</v>
      </c>
      <c r="BC392" s="22">
        <v>1.8225100000000001</v>
      </c>
      <c r="BD392">
        <f t="shared" si="70"/>
        <v>-15.683</v>
      </c>
      <c r="BE392">
        <f t="shared" si="71"/>
        <v>-28.599205139999999</v>
      </c>
    </row>
    <row r="393" spans="6:57">
      <c r="F393" s="9"/>
      <c r="G393" s="22">
        <v>-9.8571800000000001E-2</v>
      </c>
      <c r="H393" s="22">
        <v>94.099100000000007</v>
      </c>
      <c r="I393" s="22">
        <v>-1.88538E-2</v>
      </c>
      <c r="J393" s="22">
        <v>383</v>
      </c>
      <c r="K393" s="22">
        <v>-9.8815899999999998E-2</v>
      </c>
      <c r="L393">
        <f t="shared" si="60"/>
        <v>18.8538</v>
      </c>
      <c r="M393">
        <f t="shared" si="61"/>
        <v>-1.8584530028399999</v>
      </c>
      <c r="N393" s="9"/>
      <c r="O393" s="22">
        <v>1.8286100000000001</v>
      </c>
      <c r="P393" s="22">
        <v>166.31800000000001</v>
      </c>
      <c r="Q393" s="22">
        <v>2.2439600000000001E-2</v>
      </c>
      <c r="R393" s="22">
        <v>383</v>
      </c>
      <c r="S393" s="22">
        <v>1.8277000000000001</v>
      </c>
      <c r="T393">
        <f t="shared" si="62"/>
        <v>-22.439600000000002</v>
      </c>
      <c r="U393">
        <f t="shared" si="63"/>
        <v>-41.033276956000009</v>
      </c>
      <c r="X393" s="9"/>
      <c r="Y393" s="22">
        <v>-9.8571800000000001E-2</v>
      </c>
      <c r="Z393" s="22">
        <v>225.10499999999999</v>
      </c>
      <c r="AA393" s="22">
        <v>-1.8127399999999998E-2</v>
      </c>
      <c r="AB393" s="22">
        <v>383</v>
      </c>
      <c r="AC393" s="22">
        <v>-9.8754900000000007E-2</v>
      </c>
      <c r="AD393">
        <f t="shared" si="64"/>
        <v>18.127399999999998</v>
      </c>
      <c r="AE393">
        <f t="shared" si="65"/>
        <v>-1.7868504473199998</v>
      </c>
      <c r="AF393" s="9"/>
      <c r="AG393" s="22">
        <v>1.8286100000000001</v>
      </c>
      <c r="AH393" s="22">
        <v>317.12400000000002</v>
      </c>
      <c r="AI393" s="22">
        <v>1.6958600000000001E-2</v>
      </c>
      <c r="AJ393" s="22">
        <v>383</v>
      </c>
      <c r="AK393" s="22">
        <v>1.8286100000000001</v>
      </c>
      <c r="AL393">
        <f t="shared" si="66"/>
        <v>-16.958600000000001</v>
      </c>
      <c r="AM393">
        <f t="shared" si="67"/>
        <v>-31.010665546000002</v>
      </c>
      <c r="AP393" s="9"/>
      <c r="AQ393" s="22">
        <v>-9.8571800000000001E-2</v>
      </c>
      <c r="AR393" s="22">
        <v>413.08600000000001</v>
      </c>
      <c r="AS393" s="22">
        <v>-1.8048100000000001E-2</v>
      </c>
      <c r="AT393" s="22">
        <v>383</v>
      </c>
      <c r="AU393" s="22">
        <v>-9.9029500000000006E-2</v>
      </c>
      <c r="AV393">
        <f t="shared" si="68"/>
        <v>18.048100000000002</v>
      </c>
      <c r="AW393">
        <f t="shared" si="69"/>
        <v>-1.7790337035800001</v>
      </c>
      <c r="AX393" s="9"/>
      <c r="AY393" s="22">
        <v>1.8286100000000001</v>
      </c>
      <c r="AZ393" s="22">
        <v>507.35500000000002</v>
      </c>
      <c r="BA393" s="22">
        <v>1.8575999999999999E-2</v>
      </c>
      <c r="BB393" s="22">
        <v>383</v>
      </c>
      <c r="BC393" s="22">
        <v>1.8277000000000001</v>
      </c>
      <c r="BD393">
        <f t="shared" si="70"/>
        <v>-18.576000000000001</v>
      </c>
      <c r="BE393">
        <f t="shared" si="71"/>
        <v>-33.968259360000005</v>
      </c>
    </row>
    <row r="394" spans="6:57">
      <c r="F394" s="9"/>
      <c r="G394" s="22">
        <v>-0.103607</v>
      </c>
      <c r="H394" s="22">
        <v>94.199799999999996</v>
      </c>
      <c r="I394" s="22">
        <v>-1.8850700000000001E-2</v>
      </c>
      <c r="J394" s="22">
        <v>384</v>
      </c>
      <c r="K394" s="22">
        <v>-0.104309</v>
      </c>
      <c r="L394">
        <f t="shared" si="60"/>
        <v>18.8507</v>
      </c>
      <c r="M394">
        <f t="shared" si="61"/>
        <v>-1.9530644749000001</v>
      </c>
      <c r="N394" s="9"/>
      <c r="O394" s="22">
        <v>1.83365</v>
      </c>
      <c r="P394" s="22">
        <v>166.41900000000001</v>
      </c>
      <c r="Q394" s="22">
        <v>2.56622E-2</v>
      </c>
      <c r="R394" s="22">
        <v>384</v>
      </c>
      <c r="S394" s="22">
        <v>1.8328899999999999</v>
      </c>
      <c r="T394">
        <f t="shared" si="62"/>
        <v>-25.662199999999999</v>
      </c>
      <c r="U394">
        <f t="shared" si="63"/>
        <v>-47.055493030000001</v>
      </c>
      <c r="X394" s="9"/>
      <c r="Y394" s="22">
        <v>-0.103607</v>
      </c>
      <c r="Z394" s="22">
        <v>225.20599999999999</v>
      </c>
      <c r="AA394" s="22">
        <v>-1.8130500000000001E-2</v>
      </c>
      <c r="AB394" s="22">
        <v>384</v>
      </c>
      <c r="AC394" s="22">
        <v>-0.10409499999999999</v>
      </c>
      <c r="AD394">
        <f t="shared" si="64"/>
        <v>18.130500000000001</v>
      </c>
      <c r="AE394">
        <f t="shared" si="65"/>
        <v>-1.8784467135000003</v>
      </c>
      <c r="AF394" s="9"/>
      <c r="AG394" s="22">
        <v>1.83365</v>
      </c>
      <c r="AH394" s="22">
        <v>317.22399999999999</v>
      </c>
      <c r="AI394" s="22">
        <v>2.0196499999999999E-2</v>
      </c>
      <c r="AJ394" s="22">
        <v>384</v>
      </c>
      <c r="AK394" s="22">
        <v>1.8331900000000001</v>
      </c>
      <c r="AL394">
        <f t="shared" si="66"/>
        <v>-20.1965</v>
      </c>
      <c r="AM394">
        <f t="shared" si="67"/>
        <v>-37.033312225000003</v>
      </c>
      <c r="AP394" s="9"/>
      <c r="AQ394" s="22">
        <v>-0.103607</v>
      </c>
      <c r="AR394" s="22">
        <v>413.18700000000001</v>
      </c>
      <c r="AS394" s="22">
        <v>-1.8044999999999999E-2</v>
      </c>
      <c r="AT394" s="22">
        <v>384</v>
      </c>
      <c r="AU394" s="22">
        <v>-0.10345500000000001</v>
      </c>
      <c r="AV394">
        <f t="shared" si="68"/>
        <v>18.044999999999998</v>
      </c>
      <c r="AW394">
        <f t="shared" si="69"/>
        <v>-1.8695883149999999</v>
      </c>
      <c r="AX394" s="9"/>
      <c r="AY394" s="22">
        <v>1.83365</v>
      </c>
      <c r="AZ394" s="22">
        <v>507.45600000000002</v>
      </c>
      <c r="BA394" s="22">
        <v>2.1347000000000001E-2</v>
      </c>
      <c r="BB394" s="22">
        <v>384</v>
      </c>
      <c r="BC394" s="22">
        <v>1.8328899999999999</v>
      </c>
      <c r="BD394">
        <f t="shared" si="70"/>
        <v>-21.347000000000001</v>
      </c>
      <c r="BE394">
        <f t="shared" si="71"/>
        <v>-39.142926550000006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1.7309729009723147</v>
      </c>
      <c r="C3">
        <f ca="1">INDEX(INDIRECT(A3&amp;"!B11"):INDIRECT(A3&amp;"!B21"),MATCH(E3,INDIRECT(A3&amp;"!D11"):INDIRECT(A3&amp;"!D21"),0))</f>
        <v>17.223211116009292</v>
      </c>
      <c r="D3">
        <f ca="1">INDEX(INDIRECT(A3&amp;"!C11"):INDIRECT(A3&amp;"!C21"),MATCH(E3,INDIRECT(A3&amp;"!D11"):INDIRECT(A3&amp;"!D21"),0))</f>
        <v>0.7662745993606479</v>
      </c>
      <c r="E3">
        <f t="shared" ref="E3" ca="1" si="0">MAX(INDIRECT(A3&amp; "!D11"),INDIRECT(A3 &amp; "!D13"),INDIRECT(A3 &amp; "!D15"),INDIRECT(A3 &amp; "!D17"),INDIRECT(A3 &amp; "!D19"),INDIRECT(A3 &amp; "!D21"))</f>
        <v>22.844876976000002</v>
      </c>
      <c r="G3">
        <f ca="1">INDEX(INDIRECT(A3&amp;"!A12"):INDIRECT(A3&amp;"!A22"),MATCH(J3,INDIRECT(A3&amp;"!D12"):INDIRECT(A3&amp;"!D22"),0))</f>
        <v>1.7123701491348906</v>
      </c>
      <c r="H3">
        <f ca="1">INDEX(INDIRECT(A3&amp;"!B12"):INDIRECT(A3&amp;"!B22"),MATCH(J3,INDIRECT(A3&amp;"!D12"):INDIRECT(A3&amp;"!D22"),0))</f>
        <v>17.168838146786065</v>
      </c>
      <c r="I3">
        <f ca="1">INDEX(INDIRECT(A3&amp;"!C12"):INDIRECT(A3&amp;"!C22"),MATCH(J3,INDIRECT(A3&amp;"!D12"):INDIRECT(A3&amp;"!D22"),0))</f>
        <v>0.78184141137287588</v>
      </c>
      <c r="J3">
        <f t="shared" ref="J3" ca="1" si="1">MAX(INDIRECT(A3&amp; "!D12"),INDIRECT(A3 &amp; "!D14"),INDIRECT(A3 &amp; "!D16"),INDIRECT(A3 &amp; "!D18"),INDIRECT(A3 &amp; "!D20"),,INDIRECT(A3 &amp; "!D22"))</f>
        <v>22.985673032000001</v>
      </c>
      <c r="L3">
        <f ca="1">INDEX(INDIRECT(A3&amp;"!E11"):INDIRECT(A3&amp;"!E21"),MATCH(E3,INDIRECT(A3&amp;"!D11"):INDIRECT(A3&amp;"!D21"),0))</f>
        <v>0.61253832247586115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1.7983038830671267</v>
      </c>
      <c r="C4">
        <f ca="1">INDEX(INDIRECT(A4&amp;"!B11"):INDIRECT(A4&amp;"!B21"),MATCH(E4,INDIRECT(A4&amp;"!D11"):INDIRECT(A4&amp;"!D21"),0))</f>
        <v>17.999901834408231</v>
      </c>
      <c r="D4">
        <f ca="1">INDEX(INDIRECT(A4&amp;"!C11"):INDIRECT(A4&amp;"!C21"),MATCH(E4,INDIRECT(A4&amp;"!D11"):INDIRECT(A4&amp;"!D21"),0))</f>
        <v>0.78603146550543546</v>
      </c>
      <c r="E4">
        <f t="shared" ref="E4" ca="1" si="2">MAX(INDIRECT(A4&amp; "!D11"),INDIRECT(A4 &amp; "!D13"),INDIRECT(A4 &amp; "!D15"),INDIRECT(A4 &amp; "!D17"),INDIRECT(A4 &amp; "!D19"),INDIRECT(A4 &amp; "!D21"))</f>
        <v>25.443283100000009</v>
      </c>
      <c r="G4">
        <f ca="1">INDEX(INDIRECT(A4&amp;"!A12"):INDIRECT(A4&amp;"!A22"),MATCH(J4,INDIRECT(A4&amp;"!D12"):INDIRECT(A4&amp;"!D22"),0))</f>
        <v>1.7916644775795219</v>
      </c>
      <c r="H4">
        <f ca="1">INDEX(INDIRECT(A4&amp;"!B12"):INDIRECT(A4&amp;"!B22"),MATCH(J4,INDIRECT(A4&amp;"!D12"):INDIRECT(A4&amp;"!D22"),0))</f>
        <v>17.868419636629891</v>
      </c>
      <c r="I4">
        <f ca="1">INDEX(INDIRECT(A4&amp;"!C12"):INDIRECT(A4&amp;"!C22"),MATCH(J4,INDIRECT(A4&amp;"!D12"):INDIRECT(A4&amp;"!D22"),0))</f>
        <v>0.79549352995344291</v>
      </c>
      <c r="J4">
        <f t="shared" ref="J4" ca="1" si="3">MAX(INDIRECT(A4&amp; "!D12"),INDIRECT(A4 &amp; "!D14"),INDIRECT(A4 &amp; "!D16"),INDIRECT(A4 &amp; "!D18"),INDIRECT(A4 &amp; "!D20"),,INDIRECT(A4 &amp; "!D22"))</f>
        <v>25.467099096000002</v>
      </c>
      <c r="L4">
        <f ca="1">INDEX(INDIRECT(A4&amp;"!E11"):INDIRECT(A4&amp;"!E21"),MATCH(E4,INDIRECT(A4&amp;"!D11"):INDIRECT(A4&amp;"!D21"),0))</f>
        <v>9.3516720966987918E-2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20230208T210000</vt:lpstr>
      <vt:lpstr>20230209T210000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2023-02-10T00:50:04Z</dcterms:modified>
</cp:coreProperties>
</file>