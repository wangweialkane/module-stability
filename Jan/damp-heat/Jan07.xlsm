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Jan\damp-heat\"/>
    </mc:Choice>
  </mc:AlternateContent>
  <xr:revisionPtr revIDLastSave="0" documentId="13_ncr:1_{CB802A9D-57AC-40F3-8E9F-BFDA406DAE4B}" xr6:coauthVersionLast="47" xr6:coauthVersionMax="47" xr10:uidLastSave="{00000000-0000-0000-0000-000000000000}"/>
  <bookViews>
    <workbookView xWindow="6540" yWindow="2148" windowWidth="23040" windowHeight="12204" tabRatio="760" activeTab="1" xr2:uid="{00000000-000D-0000-FFFF-FFFF00000000}"/>
  </bookViews>
  <sheets>
    <sheet name="NEW" sheetId="64" r:id="rId1"/>
    <sheet name="20230205T210000" sheetId="65" r:id="rId2"/>
    <sheet name="20230206t210000" sheetId="66" r:id="rId3"/>
    <sheet name="Sheet2" sheetId="63" r:id="rId4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/>
  <c r="BD13" i="66"/>
  <c r="BE13" i="66"/>
  <c r="BD14" i="66"/>
  <c r="BE14" i="66"/>
  <c r="BD15" i="66"/>
  <c r="BE15" i="66"/>
  <c r="BD16" i="66"/>
  <c r="BE16" i="66" s="1"/>
  <c r="BD17" i="66"/>
  <c r="BE17" i="66" s="1"/>
  <c r="BD18" i="66"/>
  <c r="BE18" i="66"/>
  <c r="BD19" i="66"/>
  <c r="BE19" i="66"/>
  <c r="BD20" i="66"/>
  <c r="BE20" i="66"/>
  <c r="BD21" i="66"/>
  <c r="BE21" i="66"/>
  <c r="BD22" i="66"/>
  <c r="BE22" i="66"/>
  <c r="BD23" i="66"/>
  <c r="BE23" i="66"/>
  <c r="BD24" i="66"/>
  <c r="BE24" i="66"/>
  <c r="BD25" i="66"/>
  <c r="BE25" i="66"/>
  <c r="BD26" i="66"/>
  <c r="BE26" i="66"/>
  <c r="BD27" i="66"/>
  <c r="BE27" i="66"/>
  <c r="BD28" i="66"/>
  <c r="BE28" i="66"/>
  <c r="BD29" i="66"/>
  <c r="BE29" i="66"/>
  <c r="BD30" i="66"/>
  <c r="BE30" i="66"/>
  <c r="BD31" i="66"/>
  <c r="BE31" i="66"/>
  <c r="BD32" i="66"/>
  <c r="BE32" i="66"/>
  <c r="BD33" i="66"/>
  <c r="BE33" i="66"/>
  <c r="BD34" i="66"/>
  <c r="BE34" i="66"/>
  <c r="BD35" i="66"/>
  <c r="BE35" i="66"/>
  <c r="BD36" i="66"/>
  <c r="BE36" i="66"/>
  <c r="BD37" i="66"/>
  <c r="BE37" i="66"/>
  <c r="BD38" i="66"/>
  <c r="BE38" i="66"/>
  <c r="BD39" i="66"/>
  <c r="BE39" i="66"/>
  <c r="BD40" i="66"/>
  <c r="BE40" i="66"/>
  <c r="BD41" i="66"/>
  <c r="BE41" i="66"/>
  <c r="BD42" i="66"/>
  <c r="BE42" i="66"/>
  <c r="BD43" i="66"/>
  <c r="BE43" i="66"/>
  <c r="BD44" i="66"/>
  <c r="BE44" i="66"/>
  <c r="BD45" i="66"/>
  <c r="BE45" i="66"/>
  <c r="BD46" i="66"/>
  <c r="BE46" i="66"/>
  <c r="BD47" i="66"/>
  <c r="BE47" i="66"/>
  <c r="BD48" i="66"/>
  <c r="BE48" i="66"/>
  <c r="BD49" i="66"/>
  <c r="BE49" i="66"/>
  <c r="BD50" i="66"/>
  <c r="BE50" i="66"/>
  <c r="BD51" i="66"/>
  <c r="BE51" i="66"/>
  <c r="BD52" i="66"/>
  <c r="BE52" i="66"/>
  <c r="BD53" i="66"/>
  <c r="BE53" i="66"/>
  <c r="BD54" i="66"/>
  <c r="BE54" i="66"/>
  <c r="BD55" i="66"/>
  <c r="BE55" i="66"/>
  <c r="BD56" i="66"/>
  <c r="BE56" i="66"/>
  <c r="BD57" i="66"/>
  <c r="BE57" i="66"/>
  <c r="BD58" i="66"/>
  <c r="BE58" i="66"/>
  <c r="BD59" i="66"/>
  <c r="BE59" i="66"/>
  <c r="BD60" i="66"/>
  <c r="BE60" i="66"/>
  <c r="BD61" i="66"/>
  <c r="BE61" i="66"/>
  <c r="BD62" i="66"/>
  <c r="BE62" i="66"/>
  <c r="BD63" i="66"/>
  <c r="BE63" i="66"/>
  <c r="BD64" i="66"/>
  <c r="BE64" i="66"/>
  <c r="BD65" i="66"/>
  <c r="BE65" i="66"/>
  <c r="BD66" i="66"/>
  <c r="BE66" i="66"/>
  <c r="BD67" i="66"/>
  <c r="BE67" i="66"/>
  <c r="BD68" i="66"/>
  <c r="BE68" i="66"/>
  <c r="BD69" i="66"/>
  <c r="BE69" i="66"/>
  <c r="BD70" i="66"/>
  <c r="BE70" i="66"/>
  <c r="BD71" i="66"/>
  <c r="BE71" i="66"/>
  <c r="BD72" i="66"/>
  <c r="BE72" i="66"/>
  <c r="BD73" i="66"/>
  <c r="BE73" i="66"/>
  <c r="BD74" i="66"/>
  <c r="BE74" i="66"/>
  <c r="BD75" i="66"/>
  <c r="BE75" i="66"/>
  <c r="BD76" i="66"/>
  <c r="BE76" i="66"/>
  <c r="BD77" i="66"/>
  <c r="BE77" i="66"/>
  <c r="BD78" i="66"/>
  <c r="BE78" i="66"/>
  <c r="BD79" i="66"/>
  <c r="BE79" i="66"/>
  <c r="BD80" i="66"/>
  <c r="BE80" i="66"/>
  <c r="BD81" i="66"/>
  <c r="BE81" i="66"/>
  <c r="BD82" i="66"/>
  <c r="BE82" i="66"/>
  <c r="BD83" i="66"/>
  <c r="BE83" i="66"/>
  <c r="BD84" i="66"/>
  <c r="BE84" i="66"/>
  <c r="BD85" i="66"/>
  <c r="BE85" i="66"/>
  <c r="BD86" i="66"/>
  <c r="BE86" i="66"/>
  <c r="BD87" i="66"/>
  <c r="BE87" i="66"/>
  <c r="BD88" i="66"/>
  <c r="BE88" i="66"/>
  <c r="BD89" i="66"/>
  <c r="BE89" i="66"/>
  <c r="BD90" i="66"/>
  <c r="BE90" i="66"/>
  <c r="BD91" i="66"/>
  <c r="BE91" i="66"/>
  <c r="BD92" i="66"/>
  <c r="BE92" i="66"/>
  <c r="BD93" i="66"/>
  <c r="BE93" i="66"/>
  <c r="BD94" i="66"/>
  <c r="BE94" i="66"/>
  <c r="BD95" i="66"/>
  <c r="BE95" i="66"/>
  <c r="BD96" i="66"/>
  <c r="BE96" i="66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 s="1"/>
  <c r="AV218" i="66"/>
  <c r="AW218" i="66" s="1"/>
  <c r="AV219" i="66"/>
  <c r="AW219" i="66" s="1"/>
  <c r="AV220" i="66"/>
  <c r="AW220" i="66"/>
  <c r="AV221" i="66"/>
  <c r="AW221" i="66" s="1"/>
  <c r="AV222" i="66"/>
  <c r="AW222" i="66" s="1"/>
  <c r="AV223" i="66"/>
  <c r="AW223" i="66" s="1"/>
  <c r="AV224" i="66"/>
  <c r="AW224" i="66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L12" i="66"/>
  <c r="AM12" i="66"/>
  <c r="AL13" i="66"/>
  <c r="AM13" i="66"/>
  <c r="AL14" i="66"/>
  <c r="AM14" i="66"/>
  <c r="AL15" i="66"/>
  <c r="AM15" i="66" s="1"/>
  <c r="AL16" i="66"/>
  <c r="AM16" i="66"/>
  <c r="AL17" i="66"/>
  <c r="AM17" i="66"/>
  <c r="AL18" i="66"/>
  <c r="AM18" i="66"/>
  <c r="AL19" i="66"/>
  <c r="AM19" i="66"/>
  <c r="AL20" i="66"/>
  <c r="AM20" i="66"/>
  <c r="AL21" i="66"/>
  <c r="AM21" i="66" s="1"/>
  <c r="AL22" i="66"/>
  <c r="AM22" i="66"/>
  <c r="AL23" i="66"/>
  <c r="AM23" i="66"/>
  <c r="AL24" i="66"/>
  <c r="AM24" i="66"/>
  <c r="AL25" i="66"/>
  <c r="AM25" i="66"/>
  <c r="AL26" i="66"/>
  <c r="AM26" i="66"/>
  <c r="AL27" i="66"/>
  <c r="AM27" i="66" s="1"/>
  <c r="AL28" i="66"/>
  <c r="AM28" i="66"/>
  <c r="AL29" i="66"/>
  <c r="AM29" i="66"/>
  <c r="AL30" i="66"/>
  <c r="AM30" i="66"/>
  <c r="AL31" i="66"/>
  <c r="AM31" i="66"/>
  <c r="AL32" i="66"/>
  <c r="AM32" i="66"/>
  <c r="AL33" i="66"/>
  <c r="AM33" i="66" s="1"/>
  <c r="AL34" i="66"/>
  <c r="AM34" i="66"/>
  <c r="AL35" i="66"/>
  <c r="AM35" i="66"/>
  <c r="AL36" i="66"/>
  <c r="AM36" i="66"/>
  <c r="AL37" i="66"/>
  <c r="AM37" i="66"/>
  <c r="AL38" i="66"/>
  <c r="AM38" i="66"/>
  <c r="AL39" i="66"/>
  <c r="AM39" i="66" s="1"/>
  <c r="AL40" i="66"/>
  <c r="AM40" i="66"/>
  <c r="AL41" i="66"/>
  <c r="AM41" i="66"/>
  <c r="AL42" i="66"/>
  <c r="AM42" i="66"/>
  <c r="AL43" i="66"/>
  <c r="AM43" i="66"/>
  <c r="AL44" i="66"/>
  <c r="AM44" i="66"/>
  <c r="AL45" i="66"/>
  <c r="AM45" i="66" s="1"/>
  <c r="AL46" i="66"/>
  <c r="AM46" i="66"/>
  <c r="AL47" i="66"/>
  <c r="AM47" i="66"/>
  <c r="AL48" i="66"/>
  <c r="AM48" i="66"/>
  <c r="AL49" i="66"/>
  <c r="AM49" i="66"/>
  <c r="AL50" i="66"/>
  <c r="AM50" i="66"/>
  <c r="AL51" i="66"/>
  <c r="AM51" i="66" s="1"/>
  <c r="AL52" i="66"/>
  <c r="AM52" i="66"/>
  <c r="AL53" i="66"/>
  <c r="AM53" i="66"/>
  <c r="AL54" i="66"/>
  <c r="AM54" i="66"/>
  <c r="AL55" i="66"/>
  <c r="AM55" i="66"/>
  <c r="AL56" i="66"/>
  <c r="AM56" i="66"/>
  <c r="AL57" i="66"/>
  <c r="AM57" i="66" s="1"/>
  <c r="AL58" i="66"/>
  <c r="AM58" i="66"/>
  <c r="AL59" i="66"/>
  <c r="AM59" i="66"/>
  <c r="AL60" i="66"/>
  <c r="AM60" i="66"/>
  <c r="AL61" i="66"/>
  <c r="AM61" i="66"/>
  <c r="AL62" i="66"/>
  <c r="AM62" i="66"/>
  <c r="AL63" i="66"/>
  <c r="AM63" i="66" s="1"/>
  <c r="AL64" i="66"/>
  <c r="AM64" i="66"/>
  <c r="AL65" i="66"/>
  <c r="AM65" i="66"/>
  <c r="AL66" i="66"/>
  <c r="AM66" i="66"/>
  <c r="AL67" i="66"/>
  <c r="AM67" i="66"/>
  <c r="AL68" i="66"/>
  <c r="AM68" i="66"/>
  <c r="AL69" i="66"/>
  <c r="AM69" i="66" s="1"/>
  <c r="AL70" i="66"/>
  <c r="AM70" i="66"/>
  <c r="AL71" i="66"/>
  <c r="AM71" i="66"/>
  <c r="AL72" i="66"/>
  <c r="AM72" i="66"/>
  <c r="AL73" i="66"/>
  <c r="AM73" i="66"/>
  <c r="AL74" i="66"/>
  <c r="AM74" i="66"/>
  <c r="AL75" i="66"/>
  <c r="AM75" i="66" s="1"/>
  <c r="AL76" i="66"/>
  <c r="AM76" i="66"/>
  <c r="AL77" i="66"/>
  <c r="AM77" i="66"/>
  <c r="AL78" i="66"/>
  <c r="AM78" i="66"/>
  <c r="AL79" i="66"/>
  <c r="AM79" i="66"/>
  <c r="AL80" i="66"/>
  <c r="AM80" i="66"/>
  <c r="AL81" i="66"/>
  <c r="AM81" i="66" s="1"/>
  <c r="AL82" i="66"/>
  <c r="AM82" i="66"/>
  <c r="AL83" i="66"/>
  <c r="AM83" i="66"/>
  <c r="AL84" i="66"/>
  <c r="AM84" i="66"/>
  <c r="AL85" i="66"/>
  <c r="AM85" i="66"/>
  <c r="AL86" i="66"/>
  <c r="AM86" i="66"/>
  <c r="AL87" i="66"/>
  <c r="AM87" i="66" s="1"/>
  <c r="AL88" i="66"/>
  <c r="AM88" i="66"/>
  <c r="AL89" i="66"/>
  <c r="AM89" i="66"/>
  <c r="AL90" i="66"/>
  <c r="AM90" i="66"/>
  <c r="AL91" i="66"/>
  <c r="AM91" i="66"/>
  <c r="AL92" i="66"/>
  <c r="AM92" i="66"/>
  <c r="AL93" i="66"/>
  <c r="AM93" i="66" s="1"/>
  <c r="AL94" i="66"/>
  <c r="AM94" i="66"/>
  <c r="AL95" i="66"/>
  <c r="AM95" i="66"/>
  <c r="AL96" i="66"/>
  <c r="AM96" i="66"/>
  <c r="AL97" i="66"/>
  <c r="AM97" i="66"/>
  <c r="AL98" i="66"/>
  <c r="AM98" i="66"/>
  <c r="AL99" i="66"/>
  <c r="AM99" i="66" s="1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 s="1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 s="1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 s="1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 s="1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 s="1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 s="1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 s="1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 s="1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 s="1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 s="1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 s="1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 s="1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 s="1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 s="1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 s="1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 s="1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 s="1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 s="1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 s="1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 s="1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 s="1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 s="1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 s="1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 s="1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 s="1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 s="1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 s="1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 s="1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 s="1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 s="1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 s="1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 s="1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 s="1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 s="1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 s="1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 s="1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 s="1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 s="1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 s="1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 s="1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 s="1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 s="1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 s="1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 s="1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 s="1"/>
  <c r="AL376" i="66"/>
  <c r="AM376" i="66"/>
  <c r="AL377" i="66"/>
  <c r="AM377" i="66"/>
  <c r="AL378" i="66"/>
  <c r="AM37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 s="1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 s="1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 s="1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 s="1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 s="1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 s="1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 s="1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 s="1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 s="1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 s="1"/>
  <c r="AD238" i="66"/>
  <c r="AE238" i="66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/>
  <c r="T187" i="66"/>
  <c r="U187" i="66"/>
  <c r="T188" i="66"/>
  <c r="U188" i="66" s="1"/>
  <c r="T189" i="66"/>
  <c r="U189" i="66" s="1"/>
  <c r="T190" i="66"/>
  <c r="U190" i="66" s="1"/>
  <c r="T191" i="66"/>
  <c r="U191" i="66" s="1"/>
  <c r="T192" i="66"/>
  <c r="U192" i="66"/>
  <c r="T193" i="66"/>
  <c r="U193" i="66"/>
  <c r="T194" i="66"/>
  <c r="U194" i="66" s="1"/>
  <c r="T195" i="66"/>
  <c r="U195" i="66" s="1"/>
  <c r="T196" i="66"/>
  <c r="U196" i="66" s="1"/>
  <c r="T197" i="66"/>
  <c r="U197" i="66" s="1"/>
  <c r="T198" i="66"/>
  <c r="U198" i="66"/>
  <c r="T199" i="66"/>
  <c r="U199" i="66"/>
  <c r="T200" i="66"/>
  <c r="U200" i="66" s="1"/>
  <c r="T201" i="66"/>
  <c r="U201" i="66" s="1"/>
  <c r="T202" i="66"/>
  <c r="U202" i="66" s="1"/>
  <c r="T203" i="66"/>
  <c r="U203" i="66" s="1"/>
  <c r="T204" i="66"/>
  <c r="U204" i="66"/>
  <c r="T205" i="66"/>
  <c r="U205" i="66"/>
  <c r="T206" i="66"/>
  <c r="U206" i="66" s="1"/>
  <c r="T207" i="66"/>
  <c r="U207" i="66" s="1"/>
  <c r="T208" i="66"/>
  <c r="U208" i="66" s="1"/>
  <c r="T209" i="66"/>
  <c r="U209" i="66" s="1"/>
  <c r="T210" i="66"/>
  <c r="U210" i="66"/>
  <c r="T211" i="66"/>
  <c r="U211" i="66"/>
  <c r="T212" i="66"/>
  <c r="U212" i="66" s="1"/>
  <c r="T213" i="66"/>
  <c r="U213" i="66" s="1"/>
  <c r="T214" i="66"/>
  <c r="U214" i="66" s="1"/>
  <c r="T215" i="66"/>
  <c r="U215" i="66" s="1"/>
  <c r="T216" i="66"/>
  <c r="U216" i="66"/>
  <c r="T217" i="66"/>
  <c r="U217" i="66"/>
  <c r="T218" i="66"/>
  <c r="U218" i="66" s="1"/>
  <c r="T219" i="66"/>
  <c r="U219" i="66" s="1"/>
  <c r="T220" i="66"/>
  <c r="U220" i="66" s="1"/>
  <c r="T221" i="66"/>
  <c r="U221" i="66" s="1"/>
  <c r="T222" i="66"/>
  <c r="U222" i="66"/>
  <c r="T223" i="66"/>
  <c r="U223" i="66"/>
  <c r="T224" i="66"/>
  <c r="U224" i="66" s="1"/>
  <c r="T225" i="66"/>
  <c r="U225" i="66" s="1"/>
  <c r="T226" i="66"/>
  <c r="U226" i="66" s="1"/>
  <c r="T227" i="66"/>
  <c r="U227" i="66" s="1"/>
  <c r="T228" i="66"/>
  <c r="U228" i="66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/>
  <c r="T235" i="66"/>
  <c r="U235" i="66"/>
  <c r="T236" i="66"/>
  <c r="U236" i="66" s="1"/>
  <c r="T237" i="66"/>
  <c r="U237" i="66" s="1"/>
  <c r="T238" i="66"/>
  <c r="U238" i="66" s="1"/>
  <c r="T239" i="66"/>
  <c r="U239" i="66"/>
  <c r="T240" i="66"/>
  <c r="U240" i="66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 s="1"/>
  <c r="L185" i="66"/>
  <c r="M185" i="66"/>
  <c r="L186" i="66"/>
  <c r="M186" i="66"/>
  <c r="L187" i="66"/>
  <c r="M187" i="66"/>
  <c r="L188" i="66"/>
  <c r="M188" i="66"/>
  <c r="L189" i="66"/>
  <c r="M189" i="66"/>
  <c r="L190" i="66"/>
  <c r="M190" i="66" s="1"/>
  <c r="L191" i="66"/>
  <c r="M191" i="66"/>
  <c r="L192" i="66"/>
  <c r="M192" i="66"/>
  <c r="L193" i="66"/>
  <c r="M193" i="66"/>
  <c r="L194" i="66"/>
  <c r="M194" i="66"/>
  <c r="L195" i="66"/>
  <c r="M195" i="66"/>
  <c r="L196" i="66"/>
  <c r="M196" i="66" s="1"/>
  <c r="L197" i="66"/>
  <c r="M197" i="66"/>
  <c r="L198" i="66"/>
  <c r="M198" i="66"/>
  <c r="L199" i="66"/>
  <c r="M199" i="66"/>
  <c r="L200" i="66"/>
  <c r="M200" i="66"/>
  <c r="L201" i="66"/>
  <c r="M201" i="66"/>
  <c r="L202" i="66"/>
  <c r="M202" i="66" s="1"/>
  <c r="L203" i="66"/>
  <c r="M203" i="66"/>
  <c r="L204" i="66"/>
  <c r="M204" i="66"/>
  <c r="L205" i="66"/>
  <c r="M205" i="66"/>
  <c r="L206" i="66"/>
  <c r="M206" i="66"/>
  <c r="L207" i="66"/>
  <c r="M207" i="66"/>
  <c r="L208" i="66"/>
  <c r="M208" i="66" s="1"/>
  <c r="L209" i="66"/>
  <c r="M209" i="66"/>
  <c r="L210" i="66"/>
  <c r="M210" i="66"/>
  <c r="L211" i="66"/>
  <c r="M211" i="66"/>
  <c r="L212" i="66"/>
  <c r="M212" i="66"/>
  <c r="L213" i="66"/>
  <c r="M213" i="66"/>
  <c r="L214" i="66"/>
  <c r="M214" i="66" s="1"/>
  <c r="L215" i="66"/>
  <c r="M215" i="66"/>
  <c r="L216" i="66"/>
  <c r="M216" i="66"/>
  <c r="L217" i="66"/>
  <c r="M217" i="66"/>
  <c r="L218" i="66"/>
  <c r="M218" i="66"/>
  <c r="L219" i="66"/>
  <c r="M219" i="66"/>
  <c r="L220" i="66"/>
  <c r="M220" i="66" s="1"/>
  <c r="L221" i="66"/>
  <c r="M221" i="66"/>
  <c r="L222" i="66"/>
  <c r="M222" i="66" s="1"/>
  <c r="L223" i="66"/>
  <c r="M223" i="66" s="1"/>
  <c r="L224" i="66"/>
  <c r="M224" i="66" s="1"/>
  <c r="L225" i="66"/>
  <c r="M225" i="66" s="1"/>
  <c r="L226" i="66"/>
  <c r="M226" i="66"/>
  <c r="L227" i="66"/>
  <c r="M227" i="66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A4" i="63" a="1"/>
  <c r="A4" i="63" l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M7" i="66"/>
  <c r="L7" i="66"/>
  <c r="K7" i="66" s="1"/>
  <c r="FG6" i="66"/>
  <c r="FF6" i="66" s="1"/>
  <c r="EY6" i="66"/>
  <c r="EX6" i="66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Y2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AM5" i="66"/>
  <c r="AE5" i="66"/>
  <c r="U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O4" i="66"/>
  <c r="DM4" i="66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V3" i="66"/>
  <c r="EQ3" i="66"/>
  <c r="EM3" i="66"/>
  <c r="EI3" i="66"/>
  <c r="EE3" i="66"/>
  <c r="DY3" i="66"/>
  <c r="DU3" i="66"/>
  <c r="DQ3" i="66"/>
  <c r="DM3" i="66"/>
  <c r="DG3" i="66"/>
  <c r="DC3" i="66"/>
  <c r="CY3" i="66"/>
  <c r="CU3" i="66"/>
  <c r="CO3" i="66"/>
  <c r="CK3" i="66"/>
  <c r="CG3" i="66"/>
  <c r="CC3" i="66"/>
  <c r="CE3" i="66" s="1"/>
  <c r="BW3" i="66"/>
  <c r="BS3" i="66"/>
  <c r="BO3" i="66"/>
  <c r="BK3" i="66"/>
  <c r="BE3" i="66"/>
  <c r="BA3" i="66"/>
  <c r="AW3" i="66"/>
  <c r="AS3" i="66"/>
  <c r="AI3" i="66"/>
  <c r="AE3" i="66"/>
  <c r="AA3" i="66"/>
  <c r="U3" i="66"/>
  <c r="Q3" i="66"/>
  <c r="M3" i="66"/>
  <c r="I3" i="66"/>
  <c r="DO3" i="66" l="1"/>
  <c r="DM6" i="66" s="1"/>
  <c r="CC6" i="66"/>
  <c r="A19" i="66" s="1"/>
  <c r="EG3" i="66"/>
  <c r="EE6" i="66" s="1"/>
  <c r="CU6" i="66"/>
  <c r="A21" i="66" s="1"/>
  <c r="CW3" i="66"/>
  <c r="BM3" i="66"/>
  <c r="BK6" i="66" s="1"/>
  <c r="A17" i="66" s="1"/>
  <c r="EX3" i="66"/>
  <c r="EV6" i="66" s="1"/>
  <c r="BE5" i="66"/>
  <c r="AU3" i="66"/>
  <c r="AS6" i="66" s="1"/>
  <c r="A15" i="66" s="1"/>
  <c r="AM3" i="66"/>
  <c r="AC3" i="66"/>
  <c r="AA6" i="66" s="1"/>
  <c r="A13" i="66" s="1"/>
  <c r="O2" i="66"/>
  <c r="K3" i="66"/>
  <c r="I6" i="66" s="1"/>
  <c r="A11" i="66" s="1"/>
  <c r="G2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FG4" i="66" s="1"/>
  <c r="FG2" i="66" s="1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EH9" i="66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 s="1"/>
  <c r="BD185" i="65"/>
  <c r="BE185" i="65"/>
  <c r="BD186" i="65"/>
  <c r="BE186" i="65"/>
  <c r="BD187" i="65"/>
  <c r="BE187" i="65" s="1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 s="1"/>
  <c r="BD194" i="65"/>
  <c r="BE194" i="65"/>
  <c r="BD195" i="65"/>
  <c r="BE195" i="65" s="1"/>
  <c r="BD196" i="65"/>
  <c r="BE196" i="65"/>
  <c r="BD197" i="65"/>
  <c r="BE197" i="65"/>
  <c r="BD198" i="65"/>
  <c r="BE198" i="65"/>
  <c r="BD199" i="65"/>
  <c r="BE199" i="65" s="1"/>
  <c r="BD200" i="65"/>
  <c r="BE200" i="65"/>
  <c r="BD201" i="65"/>
  <c r="BE201" i="65" s="1"/>
  <c r="BD202" i="65"/>
  <c r="BE202" i="65"/>
  <c r="BD203" i="65"/>
  <c r="BE203" i="65"/>
  <c r="BD204" i="65"/>
  <c r="BE204" i="65"/>
  <c r="BD205" i="65"/>
  <c r="BE205" i="65" s="1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 s="1"/>
  <c r="BD212" i="65"/>
  <c r="BE212" i="65"/>
  <c r="BD213" i="65"/>
  <c r="BE213" i="65" s="1"/>
  <c r="BD214" i="65"/>
  <c r="BE214" i="65"/>
  <c r="BD215" i="65"/>
  <c r="BE215" i="65"/>
  <c r="BD216" i="65"/>
  <c r="BE216" i="65"/>
  <c r="BD217" i="65"/>
  <c r="BE217" i="65" s="1"/>
  <c r="BD218" i="65"/>
  <c r="BE218" i="65"/>
  <c r="BD219" i="65"/>
  <c r="BE219" i="65" s="1"/>
  <c r="BD220" i="65"/>
  <c r="BE220" i="65"/>
  <c r="BD221" i="65"/>
  <c r="BE221" i="65"/>
  <c r="BD222" i="65"/>
  <c r="BE222" i="65"/>
  <c r="BD223" i="65"/>
  <c r="BE223" i="65" s="1"/>
  <c r="BD224" i="65"/>
  <c r="BE224" i="65"/>
  <c r="BD225" i="65"/>
  <c r="BE225" i="65" s="1"/>
  <c r="BD226" i="65"/>
  <c r="BE226" i="65"/>
  <c r="BD227" i="65"/>
  <c r="BE227" i="65"/>
  <c r="BD228" i="65"/>
  <c r="BE228" i="65"/>
  <c r="BD229" i="65"/>
  <c r="BE229" i="65" s="1"/>
  <c r="BD230" i="65"/>
  <c r="BE230" i="65"/>
  <c r="BD231" i="65"/>
  <c r="BE231" i="65" s="1"/>
  <c r="BD232" i="65"/>
  <c r="BE232" i="65"/>
  <c r="BD233" i="65"/>
  <c r="BE233" i="65"/>
  <c r="BD234" i="65"/>
  <c r="BE234" i="65"/>
  <c r="BD235" i="65"/>
  <c r="BE235" i="65" s="1"/>
  <c r="BD236" i="65"/>
  <c r="BE236" i="65"/>
  <c r="BD237" i="65"/>
  <c r="BE237" i="65" s="1"/>
  <c r="BD238" i="65"/>
  <c r="BE238" i="65"/>
  <c r="BD239" i="65"/>
  <c r="BE239" i="65"/>
  <c r="BD240" i="65"/>
  <c r="BE240" i="65" s="1"/>
  <c r="BD241" i="65"/>
  <c r="BE241" i="65"/>
  <c r="BD242" i="65"/>
  <c r="BE242" i="65" s="1"/>
  <c r="BD243" i="65"/>
  <c r="BE243" i="65" s="1"/>
  <c r="BD244" i="65"/>
  <c r="BE244" i="65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/>
  <c r="AV99" i="65"/>
  <c r="AW99" i="65" s="1"/>
  <c r="AV100" i="65"/>
  <c r="AW100" i="65" s="1"/>
  <c r="AV101" i="65"/>
  <c r="AW101" i="65"/>
  <c r="AV102" i="65"/>
  <c r="AW102" i="65" s="1"/>
  <c r="AV103" i="65"/>
  <c r="AW103" i="65" s="1"/>
  <c r="AV104" i="65"/>
  <c r="AW104" i="65"/>
  <c r="AV105" i="65"/>
  <c r="AW105" i="65" s="1"/>
  <c r="AV106" i="65"/>
  <c r="AW106" i="65" s="1"/>
  <c r="AV107" i="65"/>
  <c r="AW107" i="65"/>
  <c r="AV108" i="65"/>
  <c r="AW108" i="65" s="1"/>
  <c r="AV109" i="65"/>
  <c r="AW109" i="65" s="1"/>
  <c r="AV110" i="65"/>
  <c r="AW110" i="65"/>
  <c r="AV111" i="65"/>
  <c r="AW111" i="65" s="1"/>
  <c r="AV112" i="65"/>
  <c r="AW112" i="65" s="1"/>
  <c r="AV113" i="65"/>
  <c r="AW113" i="65"/>
  <c r="AV114" i="65"/>
  <c r="AW114" i="65" s="1"/>
  <c r="AV115" i="65"/>
  <c r="AW115" i="65" s="1"/>
  <c r="AV116" i="65"/>
  <c r="AW116" i="65"/>
  <c r="AV117" i="65"/>
  <c r="AW117" i="65" s="1"/>
  <c r="AV118" i="65"/>
  <c r="AW118" i="65" s="1"/>
  <c r="AV119" i="65"/>
  <c r="AW119" i="65"/>
  <c r="AV120" i="65"/>
  <c r="AW120" i="65" s="1"/>
  <c r="AV121" i="65"/>
  <c r="AW121" i="65"/>
  <c r="AV122" i="65"/>
  <c r="AW122" i="65"/>
  <c r="AV123" i="65"/>
  <c r="AW123" i="65" s="1"/>
  <c r="AV124" i="65"/>
  <c r="AW124" i="65"/>
  <c r="AV125" i="65"/>
  <c r="AW125" i="65" s="1"/>
  <c r="AV126" i="65"/>
  <c r="AW126" i="65"/>
  <c r="AV127" i="65"/>
  <c r="AW127" i="65"/>
  <c r="AV128" i="65"/>
  <c r="AW128" i="65"/>
  <c r="AV129" i="65"/>
  <c r="AW129" i="65" s="1"/>
  <c r="AV130" i="65"/>
  <c r="AW130" i="65"/>
  <c r="AV131" i="65"/>
  <c r="AW131" i="65" s="1"/>
  <c r="AV132" i="65"/>
  <c r="AW132" i="65"/>
  <c r="AV133" i="65"/>
  <c r="AW133" i="65" s="1"/>
  <c r="AV134" i="65"/>
  <c r="AW134" i="65" s="1"/>
  <c r="AV135" i="65"/>
  <c r="AW135" i="65" s="1"/>
  <c r="AV136" i="65"/>
  <c r="AW136" i="65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/>
  <c r="AV222" i="65"/>
  <c r="AW222" i="65"/>
  <c r="AV223" i="65"/>
  <c r="AW223" i="65" s="1"/>
  <c r="AV224" i="65"/>
  <c r="AW224" i="65"/>
  <c r="AV225" i="65"/>
  <c r="AW225" i="65" s="1"/>
  <c r="AV226" i="65"/>
  <c r="AW226" i="65"/>
  <c r="AV227" i="65"/>
  <c r="AW227" i="65" s="1"/>
  <c r="AV228" i="65"/>
  <c r="AW228" i="65"/>
  <c r="AV229" i="65"/>
  <c r="AW229" i="65" s="1"/>
  <c r="AV230" i="65"/>
  <c r="AW230" i="65" s="1"/>
  <c r="AV231" i="65"/>
  <c r="AW231" i="65" s="1"/>
  <c r="AV232" i="65"/>
  <c r="AW232" i="65"/>
  <c r="AV233" i="65"/>
  <c r="AW233" i="65" s="1"/>
  <c r="AV234" i="65"/>
  <c r="AW234" i="65"/>
  <c r="AV235" i="65"/>
  <c r="AW235" i="65" s="1"/>
  <c r="AV236" i="65"/>
  <c r="AW236" i="65" s="1"/>
  <c r="AV237" i="65"/>
  <c r="AW237" i="65" s="1"/>
  <c r="AV238" i="65"/>
  <c r="AW238" i="65"/>
  <c r="AV239" i="65"/>
  <c r="AW239" i="65" s="1"/>
  <c r="AV240" i="65"/>
  <c r="AW240" i="65"/>
  <c r="AV241" i="65"/>
  <c r="AW241" i="65" s="1"/>
  <c r="AV242" i="65"/>
  <c r="AW242" i="65" s="1"/>
  <c r="AV243" i="65"/>
  <c r="AW243" i="65" s="1"/>
  <c r="AV244" i="65"/>
  <c r="AW244" i="65"/>
  <c r="AV245" i="65"/>
  <c r="AW245" i="65" s="1"/>
  <c r="AV246" i="65"/>
  <c r="AW246" i="65"/>
  <c r="AV247" i="65"/>
  <c r="AW247" i="65" s="1"/>
  <c r="AV248" i="65"/>
  <c r="AW248" i="65" s="1"/>
  <c r="AV249" i="65"/>
  <c r="AW249" i="65" s="1"/>
  <c r="AV250" i="65"/>
  <c r="AW250" i="65"/>
  <c r="AV251" i="65"/>
  <c r="AW251" i="65" s="1"/>
  <c r="AV252" i="65"/>
  <c r="AW252" i="65"/>
  <c r="AV253" i="65"/>
  <c r="AW253" i="65" s="1"/>
  <c r="AV254" i="65"/>
  <c r="AW254" i="65" s="1"/>
  <c r="AV255" i="65"/>
  <c r="AW255" i="65" s="1"/>
  <c r="AV256" i="65"/>
  <c r="AW256" i="65"/>
  <c r="AV257" i="65"/>
  <c r="AW257" i="65" s="1"/>
  <c r="AV258" i="65"/>
  <c r="AW258" i="65" s="1"/>
  <c r="AV259" i="65"/>
  <c r="AW259" i="65" s="1"/>
  <c r="AV260" i="65"/>
  <c r="AW260" i="65" s="1"/>
  <c r="AV261" i="65"/>
  <c r="AW261" i="65"/>
  <c r="AV262" i="65"/>
  <c r="AW262" i="65"/>
  <c r="AV263" i="65"/>
  <c r="AW263" i="65" s="1"/>
  <c r="AV264" i="65"/>
  <c r="AW264" i="65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 s="1"/>
  <c r="AL184" i="65"/>
  <c r="AM184" i="65"/>
  <c r="AL185" i="65"/>
  <c r="AM185" i="65" s="1"/>
  <c r="AL186" i="65"/>
  <c r="AM186" i="65" s="1"/>
  <c r="AL187" i="65"/>
  <c r="AM187" i="65" s="1"/>
  <c r="AL188" i="65"/>
  <c r="AM188" i="65"/>
  <c r="AL189" i="65"/>
  <c r="AM189" i="65" s="1"/>
  <c r="AL190" i="65"/>
  <c r="AM190" i="65"/>
  <c r="AL191" i="65"/>
  <c r="AM191" i="65" s="1"/>
  <c r="AL192" i="65"/>
  <c r="AM192" i="65" s="1"/>
  <c r="AL193" i="65"/>
  <c r="AM193" i="65" s="1"/>
  <c r="AL194" i="65"/>
  <c r="AM194" i="65"/>
  <c r="AL195" i="65"/>
  <c r="AM195" i="65" s="1"/>
  <c r="AL196" i="65"/>
  <c r="AM196" i="65"/>
  <c r="AL197" i="65"/>
  <c r="AM197" i="65" s="1"/>
  <c r="AL198" i="65"/>
  <c r="AM198" i="65" s="1"/>
  <c r="AL199" i="65"/>
  <c r="AM199" i="65" s="1"/>
  <c r="AL200" i="65"/>
  <c r="AM200" i="65"/>
  <c r="AL201" i="65"/>
  <c r="AM201" i="65" s="1"/>
  <c r="AL202" i="65"/>
  <c r="AM202" i="65"/>
  <c r="AL203" i="65"/>
  <c r="AM203" i="65" s="1"/>
  <c r="AL204" i="65"/>
  <c r="AM204" i="65" s="1"/>
  <c r="AL205" i="65"/>
  <c r="AM205" i="65" s="1"/>
  <c r="AL206" i="65"/>
  <c r="AM206" i="65"/>
  <c r="AL207" i="65"/>
  <c r="AM207" i="65" s="1"/>
  <c r="AL208" i="65"/>
  <c r="AM208" i="65"/>
  <c r="AL209" i="65"/>
  <c r="AM209" i="65" s="1"/>
  <c r="AL210" i="65"/>
  <c r="AM210" i="65" s="1"/>
  <c r="AL211" i="65"/>
  <c r="AM211" i="65" s="1"/>
  <c r="AL212" i="65"/>
  <c r="AM212" i="65"/>
  <c r="AL213" i="65"/>
  <c r="AM213" i="65" s="1"/>
  <c r="AL214" i="65"/>
  <c r="AM214" i="65"/>
  <c r="AL215" i="65"/>
  <c r="AM215" i="65" s="1"/>
  <c r="AL216" i="65"/>
  <c r="AM216" i="65" s="1"/>
  <c r="AL217" i="65"/>
  <c r="AM217" i="65" s="1"/>
  <c r="AL218" i="65"/>
  <c r="AM218" i="65"/>
  <c r="AL219" i="65"/>
  <c r="AM219" i="65" s="1"/>
  <c r="AL220" i="65"/>
  <c r="AM220" i="65"/>
  <c r="AL221" i="65"/>
  <c r="AM221" i="65" s="1"/>
  <c r="AL222" i="65"/>
  <c r="AM222" i="65" s="1"/>
  <c r="AL223" i="65"/>
  <c r="AM223" i="65" s="1"/>
  <c r="AL224" i="65"/>
  <c r="AM224" i="65"/>
  <c r="AL225" i="65"/>
  <c r="AM225" i="65" s="1"/>
  <c r="AL226" i="65"/>
  <c r="AM226" i="65"/>
  <c r="AL227" i="65"/>
  <c r="AM227" i="65" s="1"/>
  <c r="AL228" i="65"/>
  <c r="AM228" i="65" s="1"/>
  <c r="AL229" i="65"/>
  <c r="AM229" i="65" s="1"/>
  <c r="AL230" i="65"/>
  <c r="AM230" i="65"/>
  <c r="AL231" i="65"/>
  <c r="AM231" i="65" s="1"/>
  <c r="AL232" i="65"/>
  <c r="AM232" i="65"/>
  <c r="AL233" i="65"/>
  <c r="AM233" i="65" s="1"/>
  <c r="AL234" i="65"/>
  <c r="AM234" i="65" s="1"/>
  <c r="AL235" i="65"/>
  <c r="AM235" i="65" s="1"/>
  <c r="AL236" i="65"/>
  <c r="AM236" i="65"/>
  <c r="AL237" i="65"/>
  <c r="AM237" i="65" s="1"/>
  <c r="AL238" i="65"/>
  <c r="AM238" i="65"/>
  <c r="AL239" i="65"/>
  <c r="AM239" i="65" s="1"/>
  <c r="AL240" i="65"/>
  <c r="AM240" i="65" s="1"/>
  <c r="AL241" i="65"/>
  <c r="AM241" i="65" s="1"/>
  <c r="AL242" i="65"/>
  <c r="AM242" i="65"/>
  <c r="AL243" i="65"/>
  <c r="AM243" i="65" s="1"/>
  <c r="AL244" i="65"/>
  <c r="AM244" i="65"/>
  <c r="AL245" i="65"/>
  <c r="AM245" i="65" s="1"/>
  <c r="AL246" i="65"/>
  <c r="AM246" i="65" s="1"/>
  <c r="AL247" i="65"/>
  <c r="AM247" i="65" s="1"/>
  <c r="AL248" i="65"/>
  <c r="AM248" i="65"/>
  <c r="AL249" i="65"/>
  <c r="AM249" i="65" s="1"/>
  <c r="AL250" i="65"/>
  <c r="AM250" i="65"/>
  <c r="AL251" i="65"/>
  <c r="AM251" i="65" s="1"/>
  <c r="AL252" i="65"/>
  <c r="AM252" i="65" s="1"/>
  <c r="AL253" i="65"/>
  <c r="AM253" i="65" s="1"/>
  <c r="AL254" i="65"/>
  <c r="AM254" i="65"/>
  <c r="AL255" i="65"/>
  <c r="AM255" i="65" s="1"/>
  <c r="AL256" i="65"/>
  <c r="AM256" i="65"/>
  <c r="AL257" i="65"/>
  <c r="AM257" i="65" s="1"/>
  <c r="AL258" i="65"/>
  <c r="AM258" i="65" s="1"/>
  <c r="AL259" i="65"/>
  <c r="AM259" i="65" s="1"/>
  <c r="AL260" i="65"/>
  <c r="AM260" i="65"/>
  <c r="AL261" i="65"/>
  <c r="AM261" i="65" s="1"/>
  <c r="AL262" i="65"/>
  <c r="AM262" i="65"/>
  <c r="AL263" i="65"/>
  <c r="AM263" i="65" s="1"/>
  <c r="AL264" i="65"/>
  <c r="AM264" i="65" s="1"/>
  <c r="AL265" i="65"/>
  <c r="AM265" i="65" s="1"/>
  <c r="AL266" i="65"/>
  <c r="AM266" i="65"/>
  <c r="AL267" i="65"/>
  <c r="AM267" i="65" s="1"/>
  <c r="AL268" i="65"/>
  <c r="AM268" i="65"/>
  <c r="AL269" i="65"/>
  <c r="AM269" i="65" s="1"/>
  <c r="AL270" i="65"/>
  <c r="AM270" i="65" s="1"/>
  <c r="AL271" i="65"/>
  <c r="AM271" i="65" s="1"/>
  <c r="AL272" i="65"/>
  <c r="AM272" i="65"/>
  <c r="AL273" i="65"/>
  <c r="AM273" i="65" s="1"/>
  <c r="AL274" i="65"/>
  <c r="AM274" i="65"/>
  <c r="AL275" i="65"/>
  <c r="AM275" i="65" s="1"/>
  <c r="AL276" i="65"/>
  <c r="AM276" i="65" s="1"/>
  <c r="AL277" i="65"/>
  <c r="AM277" i="65" s="1"/>
  <c r="AL278" i="65"/>
  <c r="AM278" i="65"/>
  <c r="AL279" i="65"/>
  <c r="AM279" i="65" s="1"/>
  <c r="AL280" i="65"/>
  <c r="AM280" i="65"/>
  <c r="AL281" i="65"/>
  <c r="AM281" i="65" s="1"/>
  <c r="AL282" i="65"/>
  <c r="AM282" i="65"/>
  <c r="AL283" i="65"/>
  <c r="AM283" i="65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/>
  <c r="AD14" i="65"/>
  <c r="AE14" i="65" s="1"/>
  <c r="AD15" i="65"/>
  <c r="AE15" i="65"/>
  <c r="AD16" i="65"/>
  <c r="AE16" i="65" s="1"/>
  <c r="AD17" i="65"/>
  <c r="AE17" i="65" s="1"/>
  <c r="AD18" i="65"/>
  <c r="AE18" i="65" s="1"/>
  <c r="AD19" i="65"/>
  <c r="AE19" i="65"/>
  <c r="AD20" i="65"/>
  <c r="AE20" i="65" s="1"/>
  <c r="AD21" i="65"/>
  <c r="AE21" i="65"/>
  <c r="AD22" i="65"/>
  <c r="AE22" i="65" s="1"/>
  <c r="AD23" i="65"/>
  <c r="AE23" i="65" s="1"/>
  <c r="AD24" i="65"/>
  <c r="AE24" i="65" s="1"/>
  <c r="AD25" i="65"/>
  <c r="AE25" i="65"/>
  <c r="AD26" i="65"/>
  <c r="AE26" i="65" s="1"/>
  <c r="AD27" i="65"/>
  <c r="AE27" i="65"/>
  <c r="AD28" i="65"/>
  <c r="AE28" i="65" s="1"/>
  <c r="AD29" i="65"/>
  <c r="AE29" i="65" s="1"/>
  <c r="AD30" i="65"/>
  <c r="AE30" i="65" s="1"/>
  <c r="AD31" i="65"/>
  <c r="AE31" i="65"/>
  <c r="AD32" i="65"/>
  <c r="AE32" i="65" s="1"/>
  <c r="AD33" i="65"/>
  <c r="AE33" i="65"/>
  <c r="AD34" i="65"/>
  <c r="AE34" i="65" s="1"/>
  <c r="AD35" i="65"/>
  <c r="AE35" i="65" s="1"/>
  <c r="AD36" i="65"/>
  <c r="AE36" i="65" s="1"/>
  <c r="AD37" i="65"/>
  <c r="AE37" i="65"/>
  <c r="AD38" i="65"/>
  <c r="AE38" i="65" s="1"/>
  <c r="AD39" i="65"/>
  <c r="AE39" i="65"/>
  <c r="AD40" i="65"/>
  <c r="AE40" i="65" s="1"/>
  <c r="AD41" i="65"/>
  <c r="AE41" i="65" s="1"/>
  <c r="AD42" i="65"/>
  <c r="AE42" i="65" s="1"/>
  <c r="AD43" i="65"/>
  <c r="AE43" i="65"/>
  <c r="AD44" i="65"/>
  <c r="AE44" i="65" s="1"/>
  <c r="AD45" i="65"/>
  <c r="AE45" i="65"/>
  <c r="AD46" i="65"/>
  <c r="AE46" i="65" s="1"/>
  <c r="AD47" i="65"/>
  <c r="AE47" i="65" s="1"/>
  <c r="AD48" i="65"/>
  <c r="AE48" i="65" s="1"/>
  <c r="AD49" i="65"/>
  <c r="AE49" i="65"/>
  <c r="AD50" i="65"/>
  <c r="AE50" i="65" s="1"/>
  <c r="AD51" i="65"/>
  <c r="AE51" i="65"/>
  <c r="AD52" i="65"/>
  <c r="AE52" i="65" s="1"/>
  <c r="AD53" i="65"/>
  <c r="AE53" i="65" s="1"/>
  <c r="AD54" i="65"/>
  <c r="AE54" i="65" s="1"/>
  <c r="AD55" i="65"/>
  <c r="AE55" i="65"/>
  <c r="AD56" i="65"/>
  <c r="AE56" i="65" s="1"/>
  <c r="AD57" i="65"/>
  <c r="AE57" i="65"/>
  <c r="AD58" i="65"/>
  <c r="AE58" i="65" s="1"/>
  <c r="AD59" i="65"/>
  <c r="AE59" i="65" s="1"/>
  <c r="AD60" i="65"/>
  <c r="AE60" i="65" s="1"/>
  <c r="AD61" i="65"/>
  <c r="AE61" i="65"/>
  <c r="AD62" i="65"/>
  <c r="AE62" i="65" s="1"/>
  <c r="AD63" i="65"/>
  <c r="AE63" i="65"/>
  <c r="AD64" i="65"/>
  <c r="AE64" i="65" s="1"/>
  <c r="AD65" i="65"/>
  <c r="AE65" i="65" s="1"/>
  <c r="AD66" i="65"/>
  <c r="AE66" i="65" s="1"/>
  <c r="AD67" i="65"/>
  <c r="AE67" i="65"/>
  <c r="AD68" i="65"/>
  <c r="AE68" i="65" s="1"/>
  <c r="AD69" i="65"/>
  <c r="AE69" i="65"/>
  <c r="AD70" i="65"/>
  <c r="AE70" i="65" s="1"/>
  <c r="AD71" i="65"/>
  <c r="AE71" i="65" s="1"/>
  <c r="AD72" i="65"/>
  <c r="AE72" i="65" s="1"/>
  <c r="AD73" i="65"/>
  <c r="AE73" i="65"/>
  <c r="AD74" i="65"/>
  <c r="AE74" i="65" s="1"/>
  <c r="AD75" i="65"/>
  <c r="AE75" i="65"/>
  <c r="AD76" i="65"/>
  <c r="AE76" i="65" s="1"/>
  <c r="AD77" i="65"/>
  <c r="AE77" i="65" s="1"/>
  <c r="AD78" i="65"/>
  <c r="AE78" i="65" s="1"/>
  <c r="AD79" i="65"/>
  <c r="AE79" i="65"/>
  <c r="AD80" i="65"/>
  <c r="AE80" i="65" s="1"/>
  <c r="AD81" i="65"/>
  <c r="AE81" i="65"/>
  <c r="AD82" i="65"/>
  <c r="AE82" i="65" s="1"/>
  <c r="AD83" i="65"/>
  <c r="AE83" i="65" s="1"/>
  <c r="AD84" i="65"/>
  <c r="AE84" i="65" s="1"/>
  <c r="AD85" i="65"/>
  <c r="AE85" i="65"/>
  <c r="AD86" i="65"/>
  <c r="AE86" i="65" s="1"/>
  <c r="AD87" i="65"/>
  <c r="AE87" i="65"/>
  <c r="AD88" i="65"/>
  <c r="AE88" i="65" s="1"/>
  <c r="AD89" i="65"/>
  <c r="AE89" i="65" s="1"/>
  <c r="AD90" i="65"/>
  <c r="AE90" i="65" s="1"/>
  <c r="AD91" i="65"/>
  <c r="AE91" i="65"/>
  <c r="AD92" i="65"/>
  <c r="AE92" i="65" s="1"/>
  <c r="AD93" i="65"/>
  <c r="AE93" i="65"/>
  <c r="AD94" i="65"/>
  <c r="AE94" i="65" s="1"/>
  <c r="AD95" i="65"/>
  <c r="AE95" i="65" s="1"/>
  <c r="AD96" i="65"/>
  <c r="AE96" i="65" s="1"/>
  <c r="AD97" i="65"/>
  <c r="AE97" i="65"/>
  <c r="AD98" i="65"/>
  <c r="AE98" i="65" s="1"/>
  <c r="AD99" i="65"/>
  <c r="AE99" i="65"/>
  <c r="AD100" i="65"/>
  <c r="AE100" i="65" s="1"/>
  <c r="AD101" i="65"/>
  <c r="AE101" i="65" s="1"/>
  <c r="AD102" i="65"/>
  <c r="AE102" i="65" s="1"/>
  <c r="AD103" i="65"/>
  <c r="AE103" i="65"/>
  <c r="AD104" i="65"/>
  <c r="AE104" i="65" s="1"/>
  <c r="AD105" i="65"/>
  <c r="AE105" i="65"/>
  <c r="AD106" i="65"/>
  <c r="AE106" i="65" s="1"/>
  <c r="AD107" i="65"/>
  <c r="AE107" i="65" s="1"/>
  <c r="AD108" i="65"/>
  <c r="AE108" i="65" s="1"/>
  <c r="AD109" i="65"/>
  <c r="AE109" i="65"/>
  <c r="AD110" i="65"/>
  <c r="AE110" i="65" s="1"/>
  <c r="AD111" i="65"/>
  <c r="AE111" i="65"/>
  <c r="AD112" i="65"/>
  <c r="AE112" i="65" s="1"/>
  <c r="AD113" i="65"/>
  <c r="AE113" i="65" s="1"/>
  <c r="AD114" i="65"/>
  <c r="AE114" i="65" s="1"/>
  <c r="AD115" i="65"/>
  <c r="AE115" i="65"/>
  <c r="AD116" i="65"/>
  <c r="AE116" i="65" s="1"/>
  <c r="AD117" i="65"/>
  <c r="AE117" i="65"/>
  <c r="AD118" i="65"/>
  <c r="AE118" i="65" s="1"/>
  <c r="AD119" i="65"/>
  <c r="AE119" i="65" s="1"/>
  <c r="AD120" i="65"/>
  <c r="AE120" i="65" s="1"/>
  <c r="AD121" i="65"/>
  <c r="AE121" i="65"/>
  <c r="AD122" i="65"/>
  <c r="AE122" i="65" s="1"/>
  <c r="AD123" i="65"/>
  <c r="AE123" i="65"/>
  <c r="AD124" i="65"/>
  <c r="AE124" i="65" s="1"/>
  <c r="AD125" i="65"/>
  <c r="AE125" i="65" s="1"/>
  <c r="AD126" i="65"/>
  <c r="AE126" i="65" s="1"/>
  <c r="AD127" i="65"/>
  <c r="AE127" i="65"/>
  <c r="AD128" i="65"/>
  <c r="AE128" i="65" s="1"/>
  <c r="AD129" i="65"/>
  <c r="AE129" i="65"/>
  <c r="AD130" i="65"/>
  <c r="AE130" i="65" s="1"/>
  <c r="AD131" i="65"/>
  <c r="AE131" i="65" s="1"/>
  <c r="AD132" i="65"/>
  <c r="AE132" i="65" s="1"/>
  <c r="AD133" i="65"/>
  <c r="AE133" i="65"/>
  <c r="AD134" i="65"/>
  <c r="AE134" i="65" s="1"/>
  <c r="AD135" i="65"/>
  <c r="AE135" i="65"/>
  <c r="AD136" i="65"/>
  <c r="AE136" i="65" s="1"/>
  <c r="AD137" i="65"/>
  <c r="AE137" i="65" s="1"/>
  <c r="AD138" i="65"/>
  <c r="AE138" i="65" s="1"/>
  <c r="AD139" i="65"/>
  <c r="AE139" i="65"/>
  <c r="AD140" i="65"/>
  <c r="AE140" i="65" s="1"/>
  <c r="AD141" i="65"/>
  <c r="AE141" i="65"/>
  <c r="AD142" i="65"/>
  <c r="AE142" i="65" s="1"/>
  <c r="AD143" i="65"/>
  <c r="AE143" i="65" s="1"/>
  <c r="AD144" i="65"/>
  <c r="AE144" i="65" s="1"/>
  <c r="AD145" i="65"/>
  <c r="AE145" i="65"/>
  <c r="AD146" i="65"/>
  <c r="AE146" i="65" s="1"/>
  <c r="AD147" i="65"/>
  <c r="AE147" i="65"/>
  <c r="AD148" i="65"/>
  <c r="AE148" i="65" s="1"/>
  <c r="AD149" i="65"/>
  <c r="AE149" i="65" s="1"/>
  <c r="AD150" i="65"/>
  <c r="AE150" i="65" s="1"/>
  <c r="AD151" i="65"/>
  <c r="AE151" i="65"/>
  <c r="AD152" i="65"/>
  <c r="AE152" i="65" s="1"/>
  <c r="AD153" i="65"/>
  <c r="AE153" i="65"/>
  <c r="AD154" i="65"/>
  <c r="AE154" i="65" s="1"/>
  <c r="AD155" i="65"/>
  <c r="AE155" i="65" s="1"/>
  <c r="AD156" i="65"/>
  <c r="AE156" i="65" s="1"/>
  <c r="AD157" i="65"/>
  <c r="AE157" i="65"/>
  <c r="AD158" i="65"/>
  <c r="AE158" i="65" s="1"/>
  <c r="AD159" i="65"/>
  <c r="AE159" i="65"/>
  <c r="AD160" i="65"/>
  <c r="AE160" i="65" s="1"/>
  <c r="AD161" i="65"/>
  <c r="AE161" i="65" s="1"/>
  <c r="AD162" i="65"/>
  <c r="AE162" i="65" s="1"/>
  <c r="AD163" i="65"/>
  <c r="AE163" i="65"/>
  <c r="AD164" i="65"/>
  <c r="AE164" i="65" s="1"/>
  <c r="AD165" i="65"/>
  <c r="AE165" i="65"/>
  <c r="AD166" i="65"/>
  <c r="AE166" i="65" s="1"/>
  <c r="AD167" i="65"/>
  <c r="AE167" i="65" s="1"/>
  <c r="AD168" i="65"/>
  <c r="AE168" i="65" s="1"/>
  <c r="AD169" i="65"/>
  <c r="AE169" i="65"/>
  <c r="AD170" i="65"/>
  <c r="AE170" i="65" s="1"/>
  <c r="AD171" i="65"/>
  <c r="AE171" i="65"/>
  <c r="AD172" i="65"/>
  <c r="AE172" i="65" s="1"/>
  <c r="AD173" i="65"/>
  <c r="AE173" i="65" s="1"/>
  <c r="AD174" i="65"/>
  <c r="AE174" i="65" s="1"/>
  <c r="AD175" i="65"/>
  <c r="AE175" i="65"/>
  <c r="AD176" i="65"/>
  <c r="AE176" i="65" s="1"/>
  <c r="AD177" i="65"/>
  <c r="AE177" i="65"/>
  <c r="AD178" i="65"/>
  <c r="AE178" i="65" s="1"/>
  <c r="AD179" i="65"/>
  <c r="AE179" i="65" s="1"/>
  <c r="AD180" i="65"/>
  <c r="AE180" i="65" s="1"/>
  <c r="AD181" i="65"/>
  <c r="AE181" i="65"/>
  <c r="AD182" i="65"/>
  <c r="AE182" i="65" s="1"/>
  <c r="AD183" i="65"/>
  <c r="AE183" i="65"/>
  <c r="AD184" i="65"/>
  <c r="AE184" i="65" s="1"/>
  <c r="AD185" i="65"/>
  <c r="AE185" i="65" s="1"/>
  <c r="AD186" i="65"/>
  <c r="AE186" i="65" s="1"/>
  <c r="AD187" i="65"/>
  <c r="AE187" i="65"/>
  <c r="AD188" i="65"/>
  <c r="AE188" i="65" s="1"/>
  <c r="AD189" i="65"/>
  <c r="AE189" i="65"/>
  <c r="AD190" i="65"/>
  <c r="AE190" i="65" s="1"/>
  <c r="AD191" i="65"/>
  <c r="AE191" i="65" s="1"/>
  <c r="AD192" i="65"/>
  <c r="AE192" i="65" s="1"/>
  <c r="AD193" i="65"/>
  <c r="AE193" i="65"/>
  <c r="AD194" i="65"/>
  <c r="AE194" i="65" s="1"/>
  <c r="AD195" i="65"/>
  <c r="AE195" i="65"/>
  <c r="AD196" i="65"/>
  <c r="AE196" i="65" s="1"/>
  <c r="AD197" i="65"/>
  <c r="AE197" i="65" s="1"/>
  <c r="AD198" i="65"/>
  <c r="AE198" i="65" s="1"/>
  <c r="AD199" i="65"/>
  <c r="AE199" i="65"/>
  <c r="AD200" i="65"/>
  <c r="AE200" i="65" s="1"/>
  <c r="AD201" i="65"/>
  <c r="AE201" i="65"/>
  <c r="AD202" i="65"/>
  <c r="AE202" i="65" s="1"/>
  <c r="AD203" i="65"/>
  <c r="AE203" i="65" s="1"/>
  <c r="AD204" i="65"/>
  <c r="AE204" i="65" s="1"/>
  <c r="AD205" i="65"/>
  <c r="AE205" i="65"/>
  <c r="AD206" i="65"/>
  <c r="AE206" i="65" s="1"/>
  <c r="AD207" i="65"/>
  <c r="AE207" i="65"/>
  <c r="AD208" i="65"/>
  <c r="AE208" i="65" s="1"/>
  <c r="AD209" i="65"/>
  <c r="AE209" i="65" s="1"/>
  <c r="AD210" i="65"/>
  <c r="AE210" i="65" s="1"/>
  <c r="AD211" i="65"/>
  <c r="AE211" i="65"/>
  <c r="AD212" i="65"/>
  <c r="AE212" i="65" s="1"/>
  <c r="AD213" i="65"/>
  <c r="AE213" i="65"/>
  <c r="AD214" i="65"/>
  <c r="AE214" i="65" s="1"/>
  <c r="AD215" i="65"/>
  <c r="AE215" i="65" s="1"/>
  <c r="AD216" i="65"/>
  <c r="AE216" i="65" s="1"/>
  <c r="AD217" i="65"/>
  <c r="AE217" i="65"/>
  <c r="AD218" i="65"/>
  <c r="AE218" i="65" s="1"/>
  <c r="AD219" i="65"/>
  <c r="AE219" i="65"/>
  <c r="AD220" i="65"/>
  <c r="AE220" i="65" s="1"/>
  <c r="AD221" i="65"/>
  <c r="AE221" i="65" s="1"/>
  <c r="AD222" i="65"/>
  <c r="AE222" i="65" s="1"/>
  <c r="AD223" i="65"/>
  <c r="AE223" i="65"/>
  <c r="AD224" i="65"/>
  <c r="AE224" i="65" s="1"/>
  <c r="AD225" i="65"/>
  <c r="AE225" i="65"/>
  <c r="AD226" i="65"/>
  <c r="AE226" i="65" s="1"/>
  <c r="AD227" i="65"/>
  <c r="AE227" i="65"/>
  <c r="AD228" i="65"/>
  <c r="AE228" i="65"/>
  <c r="AD229" i="65"/>
  <c r="AE229" i="65"/>
  <c r="AD230" i="65"/>
  <c r="AE230" i="65" s="1"/>
  <c r="AD231" i="65"/>
  <c r="AE231" i="65"/>
  <c r="AD232" i="65"/>
  <c r="AE232" i="65" s="1"/>
  <c r="AD233" i="65"/>
  <c r="AE233" i="65"/>
  <c r="AD234" i="65"/>
  <c r="AE234" i="65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/>
  <c r="T185" i="65"/>
  <c r="U185" i="65" s="1"/>
  <c r="T186" i="65"/>
  <c r="U186" i="65" s="1"/>
  <c r="T187" i="65"/>
  <c r="U187" i="65"/>
  <c r="T188" i="65"/>
  <c r="U188" i="65" s="1"/>
  <c r="T189" i="65"/>
  <c r="U189" i="65" s="1"/>
  <c r="T190" i="65"/>
  <c r="U190" i="65"/>
  <c r="T191" i="65"/>
  <c r="U191" i="65" s="1"/>
  <c r="T192" i="65"/>
  <c r="U192" i="65" s="1"/>
  <c r="T193" i="65"/>
  <c r="U193" i="65"/>
  <c r="T194" i="65"/>
  <c r="U194" i="65" s="1"/>
  <c r="T195" i="65"/>
  <c r="U195" i="65" s="1"/>
  <c r="T196" i="65"/>
  <c r="U196" i="65"/>
  <c r="T197" i="65"/>
  <c r="U197" i="65" s="1"/>
  <c r="T198" i="65"/>
  <c r="U198" i="65" s="1"/>
  <c r="T199" i="65"/>
  <c r="U199" i="65"/>
  <c r="T200" i="65"/>
  <c r="U200" i="65" s="1"/>
  <c r="T201" i="65"/>
  <c r="U201" i="65" s="1"/>
  <c r="T202" i="65"/>
  <c r="U202" i="65"/>
  <c r="T203" i="65"/>
  <c r="U203" i="65" s="1"/>
  <c r="T204" i="65"/>
  <c r="U204" i="65" s="1"/>
  <c r="T205" i="65"/>
  <c r="U205" i="65"/>
  <c r="T206" i="65"/>
  <c r="U206" i="65" s="1"/>
  <c r="T207" i="65"/>
  <c r="U207" i="65" s="1"/>
  <c r="T208" i="65"/>
  <c r="U208" i="65"/>
  <c r="T209" i="65"/>
  <c r="U209" i="65" s="1"/>
  <c r="T210" i="65"/>
  <c r="U210" i="65" s="1"/>
  <c r="T211" i="65"/>
  <c r="U211" i="65"/>
  <c r="T212" i="65"/>
  <c r="U212" i="65" s="1"/>
  <c r="T213" i="65"/>
  <c r="U213" i="65" s="1"/>
  <c r="T214" i="65"/>
  <c r="U214" i="65"/>
  <c r="T215" i="65"/>
  <c r="U215" i="65" s="1"/>
  <c r="T216" i="65"/>
  <c r="U216" i="65" s="1"/>
  <c r="T217" i="65"/>
  <c r="U217" i="65"/>
  <c r="T218" i="65"/>
  <c r="U218" i="65" s="1"/>
  <c r="T219" i="65"/>
  <c r="U219" i="65" s="1"/>
  <c r="T220" i="65"/>
  <c r="U220" i="65"/>
  <c r="T221" i="65"/>
  <c r="U221" i="65" s="1"/>
  <c r="T222" i="65"/>
  <c r="U222" i="65" s="1"/>
  <c r="T223" i="65"/>
  <c r="U223" i="65"/>
  <c r="T224" i="65"/>
  <c r="U224" i="65" s="1"/>
  <c r="T225" i="65"/>
  <c r="U225" i="65" s="1"/>
  <c r="T226" i="65"/>
  <c r="U226" i="65"/>
  <c r="T227" i="65"/>
  <c r="U227" i="65" s="1"/>
  <c r="T228" i="65"/>
  <c r="U228" i="65" s="1"/>
  <c r="T229" i="65"/>
  <c r="U229" i="65"/>
  <c r="T230" i="65"/>
  <c r="U230" i="65" s="1"/>
  <c r="T231" i="65"/>
  <c r="U231" i="65" s="1"/>
  <c r="T232" i="65"/>
  <c r="U232" i="65" s="1"/>
  <c r="T233" i="65"/>
  <c r="U233" i="65"/>
  <c r="T234" i="65"/>
  <c r="U234" i="65"/>
  <c r="T235" i="65"/>
  <c r="U235" i="65"/>
  <c r="T236" i="65"/>
  <c r="U236" i="65" s="1"/>
  <c r="T237" i="65"/>
  <c r="U237" i="65"/>
  <c r="T238" i="65"/>
  <c r="U238" i="65" s="1"/>
  <c r="T239" i="65"/>
  <c r="U239" i="65"/>
  <c r="T240" i="65"/>
  <c r="U240" i="65"/>
  <c r="T241" i="65"/>
  <c r="U241" i="65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 s="1"/>
  <c r="L184" i="65"/>
  <c r="M184" i="65"/>
  <c r="L185" i="65"/>
  <c r="M185" i="65" s="1"/>
  <c r="L186" i="65"/>
  <c r="M186" i="65"/>
  <c r="L187" i="65"/>
  <c r="M187" i="65" s="1"/>
  <c r="L188" i="65"/>
  <c r="M188" i="65"/>
  <c r="L189" i="65"/>
  <c r="M189" i="65" s="1"/>
  <c r="L190" i="65"/>
  <c r="M190" i="65"/>
  <c r="L191" i="65"/>
  <c r="M191" i="65" s="1"/>
  <c r="L192" i="65"/>
  <c r="M192" i="65"/>
  <c r="L193" i="65"/>
  <c r="M193" i="65" s="1"/>
  <c r="L194" i="65"/>
  <c r="M194" i="65"/>
  <c r="L195" i="65"/>
  <c r="M195" i="65" s="1"/>
  <c r="L196" i="65"/>
  <c r="M196" i="65"/>
  <c r="L197" i="65"/>
  <c r="M197" i="65" s="1"/>
  <c r="L198" i="65"/>
  <c r="M198" i="65"/>
  <c r="L199" i="65"/>
  <c r="M199" i="65" s="1"/>
  <c r="L200" i="65"/>
  <c r="M200" i="65"/>
  <c r="L201" i="65"/>
  <c r="M201" i="65" s="1"/>
  <c r="L202" i="65"/>
  <c r="M202" i="65"/>
  <c r="L203" i="65"/>
  <c r="M203" i="65" s="1"/>
  <c r="L204" i="65"/>
  <c r="M204" i="65"/>
  <c r="L205" i="65"/>
  <c r="M205" i="65" s="1"/>
  <c r="L206" i="65"/>
  <c r="M206" i="65"/>
  <c r="L207" i="65"/>
  <c r="M207" i="65" s="1"/>
  <c r="L208" i="65"/>
  <c r="M208" i="65"/>
  <c r="L209" i="65"/>
  <c r="M209" i="65" s="1"/>
  <c r="L210" i="65"/>
  <c r="M210" i="65"/>
  <c r="L211" i="65"/>
  <c r="M211" i="65" s="1"/>
  <c r="L212" i="65"/>
  <c r="M212" i="65"/>
  <c r="L213" i="65"/>
  <c r="M213" i="65" s="1"/>
  <c r="L214" i="65"/>
  <c r="M214" i="65"/>
  <c r="L215" i="65"/>
  <c r="M215" i="65" s="1"/>
  <c r="L216" i="65"/>
  <c r="M216" i="65"/>
  <c r="L217" i="65"/>
  <c r="M217" i="65" s="1"/>
  <c r="L218" i="65"/>
  <c r="M218" i="65"/>
  <c r="L219" i="65"/>
  <c r="M219" i="65" s="1"/>
  <c r="L220" i="65"/>
  <c r="M220" i="65"/>
  <c r="L221" i="65"/>
  <c r="M221" i="65" s="1"/>
  <c r="L222" i="65"/>
  <c r="M222" i="65" s="1"/>
  <c r="L223" i="65"/>
  <c r="M223" i="65" s="1"/>
  <c r="L224" i="65"/>
  <c r="M224" i="65"/>
  <c r="L225" i="65"/>
  <c r="M225" i="65" s="1"/>
  <c r="L226" i="65"/>
  <c r="M226" i="65" s="1"/>
  <c r="L227" i="65"/>
  <c r="M227" i="65"/>
  <c r="L228" i="65"/>
  <c r="M228" i="65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DP4" i="66" l="1"/>
  <c r="DP2" i="66" s="1"/>
  <c r="DM9" i="66" s="1"/>
  <c r="E23" i="66" s="1"/>
  <c r="AG4" i="66"/>
  <c r="EY4" i="66"/>
  <c r="EY2" i="66" s="1"/>
  <c r="EV9" i="66" s="1"/>
  <c r="EP4" i="66"/>
  <c r="EP2" i="66" s="1"/>
  <c r="EH4" i="66"/>
  <c r="EH2" i="66" s="1"/>
  <c r="EE9" i="66" s="1"/>
  <c r="E25" i="66" s="1"/>
  <c r="DX4" i="66"/>
  <c r="DX2" i="66" s="1"/>
  <c r="AY4" i="66"/>
  <c r="Y4" i="66"/>
  <c r="O4" i="66"/>
  <c r="G4" i="66"/>
  <c r="A22" i="66"/>
  <c r="DF4" i="66"/>
  <c r="A18" i="66"/>
  <c r="BV4" i="66"/>
  <c r="A14" i="66"/>
  <c r="AL4" i="66"/>
  <c r="A20" i="66"/>
  <c r="CN4" i="66"/>
  <c r="A16" i="66"/>
  <c r="BD4" i="66"/>
  <c r="A12" i="66"/>
  <c r="T4" i="66"/>
  <c r="L4" i="66"/>
  <c r="BN4" i="66"/>
  <c r="CF4" i="66"/>
  <c r="CF2" i="66" s="1"/>
  <c r="CX4" i="66"/>
  <c r="AD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I4" i="65"/>
  <c r="AK4" i="65" s="1"/>
  <c r="AA4" i="65"/>
  <c r="AC4" i="65" s="1"/>
  <c r="Q4" i="65"/>
  <c r="S4" i="65" s="1"/>
  <c r="EV3" i="65"/>
  <c r="EX3" i="65" s="1"/>
  <c r="EM3" i="65"/>
  <c r="EO3" i="65" s="1"/>
  <c r="DY3" i="65"/>
  <c r="DU3" i="65"/>
  <c r="DW3" i="65" s="1"/>
  <c r="DM3" i="65"/>
  <c r="DO3" i="65" s="1"/>
  <c r="DG3" i="65"/>
  <c r="DC3" i="65"/>
  <c r="CC3" i="65"/>
  <c r="BK3" i="65"/>
  <c r="AS3" i="65"/>
  <c r="AM3" i="65"/>
  <c r="AI3" i="65"/>
  <c r="AA3" i="65"/>
  <c r="I3" i="65"/>
  <c r="CO5" i="65" l="1"/>
  <c r="CO3" i="65"/>
  <c r="FD3" i="65"/>
  <c r="C15" i="66"/>
  <c r="AV2" i="66"/>
  <c r="C21" i="66"/>
  <c r="CX2" i="66"/>
  <c r="C17" i="66"/>
  <c r="C19" i="66"/>
  <c r="BN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13" i="66"/>
  <c r="AD2" i="66"/>
  <c r="D19" i="66"/>
  <c r="CC9" i="66"/>
  <c r="E19" i="66" s="1"/>
  <c r="C11" i="66"/>
  <c r="L2" i="66"/>
  <c r="AS4" i="65"/>
  <c r="AU4" i="65" s="1"/>
  <c r="BI2" i="65"/>
  <c r="CA2" i="65"/>
  <c r="M11" i="65"/>
  <c r="M9" i="65" s="1"/>
  <c r="M7" i="65" s="1"/>
  <c r="L6" i="65"/>
  <c r="K6" i="65" s="1"/>
  <c r="G2" i="65" s="1"/>
  <c r="I4" i="65"/>
  <c r="K4" i="65" s="1"/>
  <c r="I6" i="65" s="1"/>
  <c r="A11" i="65" s="1"/>
  <c r="CE3" i="65"/>
  <c r="CA4" i="65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S6" i="65"/>
  <c r="T9" i="65" s="1"/>
  <c r="AK6" i="65"/>
  <c r="AL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C6" i="65" l="1"/>
  <c r="A22" i="65" s="1"/>
  <c r="FD6" i="65"/>
  <c r="EP4" i="65"/>
  <c r="EP2" i="65" s="1"/>
  <c r="D11" i="66"/>
  <c r="I9" i="66"/>
  <c r="E11" i="66" s="1"/>
  <c r="D21" i="66"/>
  <c r="CU9" i="66"/>
  <c r="E21" i="66" s="1"/>
  <c r="D15" i="66"/>
  <c r="AS9" i="66"/>
  <c r="E15" i="66" s="1"/>
  <c r="D13" i="66"/>
  <c r="AA9" i="66"/>
  <c r="E13" i="66" s="1"/>
  <c r="D17" i="66"/>
  <c r="BK9" i="66"/>
  <c r="E17" i="66" s="1"/>
  <c r="BD9" i="65"/>
  <c r="B16" i="65" s="1"/>
  <c r="AI6" i="65"/>
  <c r="A14" i="65" s="1"/>
  <c r="L9" i="65"/>
  <c r="B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I4" i="63"/>
  <c r="G4" i="63"/>
  <c r="H4" i="63"/>
  <c r="E4" i="63"/>
  <c r="BV4" i="65" l="1"/>
  <c r="C18" i="65" s="1"/>
  <c r="L4" i="65"/>
  <c r="CN4" i="65"/>
  <c r="CN2" i="65" s="1"/>
  <c r="D20" i="65" s="1"/>
  <c r="CI4" i="65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22" i="65"/>
  <c r="DF2" i="65"/>
  <c r="D22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L4" i="63"/>
  <c r="C4" i="63"/>
  <c r="B4" i="63"/>
  <c r="D4" i="63"/>
  <c r="C20" i="65" l="1"/>
  <c r="BV2" i="65"/>
  <c r="D18" i="65" s="1"/>
  <c r="BD4" i="65"/>
  <c r="T2" i="65"/>
  <c r="D12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DM6" i="64" l="1"/>
  <c r="C16" i="65"/>
  <c r="BD2" i="65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D16" i="65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5" i="64"/>
  <c r="C22" i="64" l="1"/>
  <c r="T4" i="64"/>
  <c r="T2" i="64" s="1"/>
  <c r="D12" i="64" s="1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I2" i="63"/>
  <c r="H3" i="63"/>
  <c r="G2" i="63"/>
  <c r="I3" i="63"/>
  <c r="B2" i="63"/>
  <c r="L2" i="63"/>
  <c r="H2" i="63"/>
  <c r="C2" i="63"/>
  <c r="D3" i="63"/>
  <c r="L3" i="63"/>
  <c r="C3" i="63"/>
  <c r="D2" i="63"/>
  <c r="G3" i="63"/>
  <c r="B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<sst xmlns="http://schemas.openxmlformats.org/spreadsheetml/2006/main" count="1240" uniqueCount="46">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</sst>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'20230205T210000'!$L$10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'20230205T210000'!$G$11:$G$500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'20230205T210000'!$L$11:$L$500</c:f>
              <c:numCache>
                <c:formatCode>General</c:formatCode>
                <c:ptCount val="490"/>
                <c:pt idx="0">
                  <c:v>-34.970099999999995</c:v>
                </c:pt>
                <c:pt idx="1">
                  <c:v>-31.3019</c:v>
                </c:pt>
                <c:pt idx="2">
                  <c:v>-27.685499999999998</c:v>
                </c:pt>
                <c:pt idx="3">
                  <c:v>-24.090599999999998</c:v>
                </c:pt>
                <c:pt idx="4">
                  <c:v>-20.52</c:v>
                </c:pt>
                <c:pt idx="5">
                  <c:v>-16.964700000000001</c:v>
                </c:pt>
                <c:pt idx="6">
                  <c:v>-13.3118</c:v>
                </c:pt>
                <c:pt idx="7">
                  <c:v>-9.7595200000000002</c:v>
                </c:pt>
                <c:pt idx="8">
                  <c:v>-6.1859099999999998</c:v>
                </c:pt>
                <c:pt idx="9">
                  <c:v>-2.7786299999999997</c:v>
                </c:pt>
                <c:pt idx="10">
                  <c:v>0.40331999999999996</c:v>
                </c:pt>
                <c:pt idx="11">
                  <c:v>3.1314099999999998</c:v>
                </c:pt>
                <c:pt idx="12">
                  <c:v>5.7403599999999999</c:v>
                </c:pt>
                <c:pt idx="13">
                  <c:v>7.7270500000000002</c:v>
                </c:pt>
                <c:pt idx="14">
                  <c:v>9.249880000000001</c:v>
                </c:pt>
                <c:pt idx="15">
                  <c:v>10.2386</c:v>
                </c:pt>
                <c:pt idx="16">
                  <c:v>10.443100000000001</c:v>
                </c:pt>
                <c:pt idx="17">
                  <c:v>10.498000000000001</c:v>
                </c:pt>
                <c:pt idx="18">
                  <c:v>10.528600000000001</c:v>
                </c:pt>
                <c:pt idx="19">
                  <c:v>10.534699999999999</c:v>
                </c:pt>
                <c:pt idx="20">
                  <c:v>10.555999999999999</c:v>
                </c:pt>
                <c:pt idx="21">
                  <c:v>10.8673</c:v>
                </c:pt>
                <c:pt idx="22">
                  <c:v>10.8704</c:v>
                </c:pt>
                <c:pt idx="23">
                  <c:v>10.8765</c:v>
                </c:pt>
                <c:pt idx="24">
                  <c:v>10.8917</c:v>
                </c:pt>
                <c:pt idx="25">
                  <c:v>10.9009</c:v>
                </c:pt>
                <c:pt idx="26">
                  <c:v>10.8276</c:v>
                </c:pt>
                <c:pt idx="27">
                  <c:v>10.8032</c:v>
                </c:pt>
                <c:pt idx="28">
                  <c:v>10.7849</c:v>
                </c:pt>
                <c:pt idx="29">
                  <c:v>10.815399999999999</c:v>
                </c:pt>
                <c:pt idx="30">
                  <c:v>10.8063</c:v>
                </c:pt>
                <c:pt idx="31">
                  <c:v>10.8124</c:v>
                </c:pt>
                <c:pt idx="32">
                  <c:v>10.8215</c:v>
                </c:pt>
                <c:pt idx="33">
                  <c:v>10.8246</c:v>
                </c:pt>
                <c:pt idx="34">
                  <c:v>10.8459</c:v>
                </c:pt>
                <c:pt idx="35">
                  <c:v>10.8612</c:v>
                </c:pt>
                <c:pt idx="36">
                  <c:v>10.8826</c:v>
                </c:pt>
                <c:pt idx="37">
                  <c:v>10.8765</c:v>
                </c:pt>
                <c:pt idx="38">
                  <c:v>10.8704</c:v>
                </c:pt>
                <c:pt idx="39">
                  <c:v>10.8673</c:v>
                </c:pt>
                <c:pt idx="40">
                  <c:v>10.8643</c:v>
                </c:pt>
                <c:pt idx="41">
                  <c:v>10.897799999999998</c:v>
                </c:pt>
                <c:pt idx="42">
                  <c:v>10.8917</c:v>
                </c:pt>
                <c:pt idx="43">
                  <c:v>10.8704</c:v>
                </c:pt>
                <c:pt idx="44">
                  <c:v>10.8795</c:v>
                </c:pt>
                <c:pt idx="45">
                  <c:v>10.8032</c:v>
                </c:pt>
                <c:pt idx="46">
                  <c:v>10.8063</c:v>
                </c:pt>
                <c:pt idx="47">
                  <c:v>10.7971</c:v>
                </c:pt>
                <c:pt idx="48">
                  <c:v>10.8002</c:v>
                </c:pt>
                <c:pt idx="49">
                  <c:v>10.815399999999999</c:v>
                </c:pt>
                <c:pt idx="50">
                  <c:v>10.8246</c:v>
                </c:pt>
                <c:pt idx="51">
                  <c:v>10.8337</c:v>
                </c:pt>
                <c:pt idx="52">
                  <c:v>10.8429</c:v>
                </c:pt>
                <c:pt idx="53">
                  <c:v>10.8856</c:v>
                </c:pt>
                <c:pt idx="54">
                  <c:v>10.9589</c:v>
                </c:pt>
                <c:pt idx="55">
                  <c:v>10.9009</c:v>
                </c:pt>
                <c:pt idx="56">
                  <c:v>10.9161</c:v>
                </c:pt>
                <c:pt idx="57">
                  <c:v>10.907</c:v>
                </c:pt>
                <c:pt idx="58">
                  <c:v>10.9131</c:v>
                </c:pt>
                <c:pt idx="59">
                  <c:v>10.9009</c:v>
                </c:pt>
                <c:pt idx="60">
                  <c:v>10.9131</c:v>
                </c:pt>
                <c:pt idx="61">
                  <c:v>10.9161</c:v>
                </c:pt>
                <c:pt idx="62">
                  <c:v>10.9192</c:v>
                </c:pt>
                <c:pt idx="63">
                  <c:v>10.9161</c:v>
                </c:pt>
                <c:pt idx="64">
                  <c:v>10.9222</c:v>
                </c:pt>
                <c:pt idx="65">
                  <c:v>10.9253</c:v>
                </c:pt>
                <c:pt idx="66">
                  <c:v>10.9253</c:v>
                </c:pt>
                <c:pt idx="67">
                  <c:v>10.9406</c:v>
                </c:pt>
                <c:pt idx="68">
                  <c:v>10.9467</c:v>
                </c:pt>
                <c:pt idx="69">
                  <c:v>10.965000000000002</c:v>
                </c:pt>
                <c:pt idx="70">
                  <c:v>10.968</c:v>
                </c:pt>
                <c:pt idx="71">
                  <c:v>10.9772</c:v>
                </c:pt>
                <c:pt idx="72">
                  <c:v>10.9741</c:v>
                </c:pt>
                <c:pt idx="73">
                  <c:v>10.9772</c:v>
                </c:pt>
                <c:pt idx="74">
                  <c:v>10.9619</c:v>
                </c:pt>
                <c:pt idx="75">
                  <c:v>10.968</c:v>
                </c:pt>
                <c:pt idx="76">
                  <c:v>10.968</c:v>
                </c:pt>
                <c:pt idx="77">
                  <c:v>10.9833</c:v>
                </c:pt>
                <c:pt idx="78">
                  <c:v>10.9619</c:v>
                </c:pt>
                <c:pt idx="79">
                  <c:v>10.9741</c:v>
                </c:pt>
                <c:pt idx="80">
                  <c:v>10.9833</c:v>
                </c:pt>
                <c:pt idx="81">
                  <c:v>10.9802</c:v>
                </c:pt>
                <c:pt idx="82">
                  <c:v>10.9985</c:v>
                </c:pt>
                <c:pt idx="83">
                  <c:v>11.0046</c:v>
                </c:pt>
                <c:pt idx="84">
                  <c:v>11.0016</c:v>
                </c:pt>
                <c:pt idx="85">
                  <c:v>11.0016</c:v>
                </c:pt>
                <c:pt idx="86">
                  <c:v>11.0016</c:v>
                </c:pt>
                <c:pt idx="87">
                  <c:v>11.0046</c:v>
                </c:pt>
                <c:pt idx="88">
                  <c:v>11.0077</c:v>
                </c:pt>
                <c:pt idx="89">
                  <c:v>11.0077</c:v>
                </c:pt>
                <c:pt idx="90">
                  <c:v>11.0046</c:v>
                </c:pt>
                <c:pt idx="91">
                  <c:v>11.0138</c:v>
                </c:pt>
                <c:pt idx="92">
                  <c:v>11.0291</c:v>
                </c:pt>
                <c:pt idx="93">
                  <c:v>11.0168</c:v>
                </c:pt>
                <c:pt idx="94">
                  <c:v>11.0443</c:v>
                </c:pt>
                <c:pt idx="95">
                  <c:v>11.0382</c:v>
                </c:pt>
                <c:pt idx="96">
                  <c:v>11.0413</c:v>
                </c:pt>
                <c:pt idx="97">
                  <c:v>11.0443</c:v>
                </c:pt>
                <c:pt idx="98">
                  <c:v>11.0443</c:v>
                </c:pt>
                <c:pt idx="99">
                  <c:v>11.0504</c:v>
                </c:pt>
                <c:pt idx="100">
                  <c:v>11.0565</c:v>
                </c:pt>
                <c:pt idx="101">
                  <c:v>11.053500000000001</c:v>
                </c:pt>
                <c:pt idx="102">
                  <c:v>11.0657</c:v>
                </c:pt>
                <c:pt idx="103">
                  <c:v>11.1389</c:v>
                </c:pt>
                <c:pt idx="104">
                  <c:v>11.1389</c:v>
                </c:pt>
                <c:pt idx="105">
                  <c:v>11.145</c:v>
                </c:pt>
                <c:pt idx="106">
                  <c:v>11.151100000000001</c:v>
                </c:pt>
                <c:pt idx="107">
                  <c:v>11.157200000000001</c:v>
                </c:pt>
                <c:pt idx="108">
                  <c:v>11.154199999999999</c:v>
                </c:pt>
                <c:pt idx="109">
                  <c:v>11.160299999999999</c:v>
                </c:pt>
                <c:pt idx="110">
                  <c:v>11.154199999999999</c:v>
                </c:pt>
                <c:pt idx="111">
                  <c:v>11.160299999999999</c:v>
                </c:pt>
                <c:pt idx="112">
                  <c:v>11.166399999999999</c:v>
                </c:pt>
                <c:pt idx="113">
                  <c:v>11.166399999999999</c:v>
                </c:pt>
                <c:pt idx="114">
                  <c:v>11.1755</c:v>
                </c:pt>
                <c:pt idx="115">
                  <c:v>11.1755</c:v>
                </c:pt>
                <c:pt idx="116">
                  <c:v>11.178600000000001</c:v>
                </c:pt>
                <c:pt idx="117">
                  <c:v>11.160299999999999</c:v>
                </c:pt>
                <c:pt idx="118">
                  <c:v>11.1755</c:v>
                </c:pt>
                <c:pt idx="119">
                  <c:v>11.1633</c:v>
                </c:pt>
                <c:pt idx="120">
                  <c:v>11.172499999999999</c:v>
                </c:pt>
                <c:pt idx="121">
                  <c:v>11.1755</c:v>
                </c:pt>
                <c:pt idx="122">
                  <c:v>11.1877</c:v>
                </c:pt>
                <c:pt idx="123">
                  <c:v>11.1938</c:v>
                </c:pt>
                <c:pt idx="124">
                  <c:v>11.1877</c:v>
                </c:pt>
                <c:pt idx="125">
                  <c:v>11.196899999999999</c:v>
                </c:pt>
                <c:pt idx="126">
                  <c:v>11.2</c:v>
                </c:pt>
                <c:pt idx="127">
                  <c:v>11.212200000000001</c:v>
                </c:pt>
                <c:pt idx="128">
                  <c:v>11.212200000000001</c:v>
                </c:pt>
                <c:pt idx="129">
                  <c:v>11.221299999999999</c:v>
                </c:pt>
                <c:pt idx="130">
                  <c:v>11.230499999999999</c:v>
                </c:pt>
                <c:pt idx="131">
                  <c:v>11.254899999999999</c:v>
                </c:pt>
                <c:pt idx="132">
                  <c:v>11.242699999999999</c:v>
                </c:pt>
                <c:pt idx="133">
                  <c:v>11.239600000000001</c:v>
                </c:pt>
                <c:pt idx="134">
                  <c:v>11.242699999999999</c:v>
                </c:pt>
                <c:pt idx="135">
                  <c:v>11.242699999999999</c:v>
                </c:pt>
                <c:pt idx="136">
                  <c:v>11.248799999999999</c:v>
                </c:pt>
                <c:pt idx="137">
                  <c:v>11.251799999999999</c:v>
                </c:pt>
                <c:pt idx="138">
                  <c:v>11.254899999999999</c:v>
                </c:pt>
                <c:pt idx="139">
                  <c:v>11.276199999999999</c:v>
                </c:pt>
                <c:pt idx="140">
                  <c:v>11.279300000000001</c:v>
                </c:pt>
                <c:pt idx="141">
                  <c:v>11.282300000000001</c:v>
                </c:pt>
                <c:pt idx="142">
                  <c:v>11.288499999999999</c:v>
                </c:pt>
                <c:pt idx="143">
                  <c:v>11.291499999999999</c:v>
                </c:pt>
                <c:pt idx="144">
                  <c:v>11.291499999999999</c:v>
                </c:pt>
                <c:pt idx="145">
                  <c:v>11.297599999999999</c:v>
                </c:pt>
                <c:pt idx="146">
                  <c:v>11.300700000000001</c:v>
                </c:pt>
                <c:pt idx="147">
                  <c:v>11.306800000000001</c:v>
                </c:pt>
                <c:pt idx="148">
                  <c:v>11.309799999999999</c:v>
                </c:pt>
                <c:pt idx="149">
                  <c:v>11.312900000000001</c:v>
                </c:pt>
                <c:pt idx="150">
                  <c:v>11.318999999999999</c:v>
                </c:pt>
                <c:pt idx="151">
                  <c:v>11.318999999999999</c:v>
                </c:pt>
                <c:pt idx="152">
                  <c:v>11.325099999999999</c:v>
                </c:pt>
                <c:pt idx="153">
                  <c:v>11.328100000000001</c:v>
                </c:pt>
                <c:pt idx="154">
                  <c:v>11.334199999999999</c:v>
                </c:pt>
                <c:pt idx="155">
                  <c:v>11.343400000000001</c:v>
                </c:pt>
                <c:pt idx="156">
                  <c:v>11.346399999999999</c:v>
                </c:pt>
                <c:pt idx="157">
                  <c:v>11.352499999999999</c:v>
                </c:pt>
                <c:pt idx="158">
                  <c:v>11.358599999999999</c:v>
                </c:pt>
                <c:pt idx="159">
                  <c:v>11.358599999999999</c:v>
                </c:pt>
                <c:pt idx="160">
                  <c:v>11.373899999999999</c:v>
                </c:pt>
                <c:pt idx="161">
                  <c:v>11.364700000000001</c:v>
                </c:pt>
                <c:pt idx="162">
                  <c:v>11.364700000000001</c:v>
                </c:pt>
                <c:pt idx="163">
                  <c:v>11.370800000000001</c:v>
                </c:pt>
                <c:pt idx="164">
                  <c:v>11.370800000000001</c:v>
                </c:pt>
                <c:pt idx="165">
                  <c:v>11.377000000000001</c:v>
                </c:pt>
                <c:pt idx="166">
                  <c:v>11.392200000000001</c:v>
                </c:pt>
                <c:pt idx="167">
                  <c:v>11.401400000000001</c:v>
                </c:pt>
                <c:pt idx="168">
                  <c:v>11.419699999999999</c:v>
                </c:pt>
                <c:pt idx="169">
                  <c:v>11.404400000000001</c:v>
                </c:pt>
                <c:pt idx="170">
                  <c:v>11.404400000000001</c:v>
                </c:pt>
                <c:pt idx="171">
                  <c:v>11.404400000000001</c:v>
                </c:pt>
                <c:pt idx="172">
                  <c:v>11.401400000000001</c:v>
                </c:pt>
                <c:pt idx="173">
                  <c:v>11.404400000000001</c:v>
                </c:pt>
                <c:pt idx="174">
                  <c:v>11.410500000000001</c:v>
                </c:pt>
                <c:pt idx="175">
                  <c:v>11.413599999999999</c:v>
                </c:pt>
                <c:pt idx="176">
                  <c:v>11.419699999999999</c:v>
                </c:pt>
                <c:pt idx="177">
                  <c:v>11.422699999999999</c:v>
                </c:pt>
                <c:pt idx="178">
                  <c:v>11.431900000000001</c:v>
                </c:pt>
                <c:pt idx="179">
                  <c:v>11.434899999999999</c:v>
                </c:pt>
                <c:pt idx="180">
                  <c:v>11.438000000000001</c:v>
                </c:pt>
                <c:pt idx="181">
                  <c:v>11.438000000000001</c:v>
                </c:pt>
                <c:pt idx="182">
                  <c:v>11.440999999999999</c:v>
                </c:pt>
                <c:pt idx="183">
                  <c:v>11.444100000000001</c:v>
                </c:pt>
                <c:pt idx="184">
                  <c:v>11.453200000000001</c:v>
                </c:pt>
                <c:pt idx="185">
                  <c:v>11.456300000000001</c:v>
                </c:pt>
                <c:pt idx="186">
                  <c:v>11.4716</c:v>
                </c:pt>
                <c:pt idx="187">
                  <c:v>11.4655</c:v>
                </c:pt>
                <c:pt idx="188">
                  <c:v>11.474600000000001</c:v>
                </c:pt>
                <c:pt idx="189">
                  <c:v>11.4899</c:v>
                </c:pt>
                <c:pt idx="190">
                  <c:v>11.4899</c:v>
                </c:pt>
                <c:pt idx="191">
                  <c:v>11.5143</c:v>
                </c:pt>
                <c:pt idx="192">
                  <c:v>11.499000000000001</c:v>
                </c:pt>
                <c:pt idx="193">
                  <c:v>11.505100000000001</c:v>
                </c:pt>
                <c:pt idx="194">
                  <c:v>11.5326</c:v>
                </c:pt>
                <c:pt idx="195">
                  <c:v>11.5631</c:v>
                </c:pt>
                <c:pt idx="196">
                  <c:v>11.544799999999999</c:v>
                </c:pt>
                <c:pt idx="197">
                  <c:v>11.5265</c:v>
                </c:pt>
                <c:pt idx="198">
                  <c:v>11.615</c:v>
                </c:pt>
                <c:pt idx="199">
                  <c:v>11.5906</c:v>
                </c:pt>
                <c:pt idx="200">
                  <c:v>11.599699999999999</c:v>
                </c:pt>
                <c:pt idx="201">
                  <c:v>11.6089</c:v>
                </c:pt>
                <c:pt idx="202">
                  <c:v>11.6089</c:v>
                </c:pt>
                <c:pt idx="203">
                  <c:v>11.6119</c:v>
                </c:pt>
                <c:pt idx="204">
                  <c:v>11.615</c:v>
                </c:pt>
                <c:pt idx="205">
                  <c:v>11.618</c:v>
                </c:pt>
                <c:pt idx="206">
                  <c:v>11.6241</c:v>
                </c:pt>
                <c:pt idx="207">
                  <c:v>11.6302</c:v>
                </c:pt>
                <c:pt idx="208">
                  <c:v>11.6211</c:v>
                </c:pt>
                <c:pt idx="209">
                  <c:v>11.6241</c:v>
                </c:pt>
                <c:pt idx="210">
                  <c:v>11.6241</c:v>
                </c:pt>
                <c:pt idx="211">
                  <c:v>11.6272</c:v>
                </c:pt>
                <c:pt idx="212">
                  <c:v>11.6364</c:v>
                </c:pt>
                <c:pt idx="213">
                  <c:v>11.6455</c:v>
                </c:pt>
                <c:pt idx="214">
                  <c:v>11.6547</c:v>
                </c:pt>
                <c:pt idx="215">
                  <c:v>11.6577</c:v>
                </c:pt>
                <c:pt idx="216">
                  <c:v>11.6547</c:v>
                </c:pt>
                <c:pt idx="217">
                  <c:v>11.6547</c:v>
                </c:pt>
                <c:pt idx="218">
                  <c:v>11.6577</c:v>
                </c:pt>
                <c:pt idx="219">
                  <c:v>11.6547</c:v>
                </c:pt>
                <c:pt idx="220">
                  <c:v>11.6638</c:v>
                </c:pt>
                <c:pt idx="221">
                  <c:v>11.6638</c:v>
                </c:pt>
                <c:pt idx="222">
                  <c:v>11.673</c:v>
                </c:pt>
                <c:pt idx="223">
                  <c:v>11.6852</c:v>
                </c:pt>
                <c:pt idx="224">
                  <c:v>11.6913</c:v>
                </c:pt>
                <c:pt idx="225">
                  <c:v>11.6943</c:v>
                </c:pt>
                <c:pt idx="226">
                  <c:v>11.6943</c:v>
                </c:pt>
                <c:pt idx="227">
                  <c:v>11.7004</c:v>
                </c:pt>
                <c:pt idx="228">
                  <c:v>11.6974</c:v>
                </c:pt>
                <c:pt idx="229">
                  <c:v>11.7004</c:v>
                </c:pt>
                <c:pt idx="230">
                  <c:v>11.7065</c:v>
                </c:pt>
                <c:pt idx="231">
                  <c:v>11.7126</c:v>
                </c:pt>
                <c:pt idx="232">
                  <c:v>11.7157</c:v>
                </c:pt>
                <c:pt idx="233">
                  <c:v>11.7249</c:v>
                </c:pt>
                <c:pt idx="234">
                  <c:v>11.7188</c:v>
                </c:pt>
                <c:pt idx="235">
                  <c:v>11.7188</c:v>
                </c:pt>
                <c:pt idx="236">
                  <c:v>11.7249</c:v>
                </c:pt>
                <c:pt idx="237">
                  <c:v>11.7188</c:v>
                </c:pt>
                <c:pt idx="238">
                  <c:v>11.7218</c:v>
                </c:pt>
                <c:pt idx="239">
                  <c:v>11.734</c:v>
                </c:pt>
                <c:pt idx="240">
                  <c:v>11.734</c:v>
                </c:pt>
                <c:pt idx="241">
                  <c:v>11.7401</c:v>
                </c:pt>
                <c:pt idx="242">
                  <c:v>11.7432</c:v>
                </c:pt>
                <c:pt idx="243">
                  <c:v>11.7432</c:v>
                </c:pt>
                <c:pt idx="244">
                  <c:v>11.7493</c:v>
                </c:pt>
                <c:pt idx="245">
                  <c:v>11.7554</c:v>
                </c:pt>
                <c:pt idx="246">
                  <c:v>11.7523</c:v>
                </c:pt>
                <c:pt idx="247">
                  <c:v>11.7584</c:v>
                </c:pt>
                <c:pt idx="248">
                  <c:v>11.7645</c:v>
                </c:pt>
                <c:pt idx="249">
                  <c:v>11.7615</c:v>
                </c:pt>
                <c:pt idx="250">
                  <c:v>11.7645</c:v>
                </c:pt>
                <c:pt idx="251">
                  <c:v>11.7676</c:v>
                </c:pt>
                <c:pt idx="252">
                  <c:v>11.770600000000002</c:v>
                </c:pt>
                <c:pt idx="253">
                  <c:v>11.7676</c:v>
                </c:pt>
                <c:pt idx="254">
                  <c:v>11.7828</c:v>
                </c:pt>
                <c:pt idx="255">
                  <c:v>11.7798</c:v>
                </c:pt>
                <c:pt idx="256">
                  <c:v>11.7767</c:v>
                </c:pt>
                <c:pt idx="257">
                  <c:v>11.7615</c:v>
                </c:pt>
                <c:pt idx="258">
                  <c:v>11.7645</c:v>
                </c:pt>
                <c:pt idx="259">
                  <c:v>11.7645</c:v>
                </c:pt>
                <c:pt idx="260">
                  <c:v>11.7584</c:v>
                </c:pt>
                <c:pt idx="261">
                  <c:v>11.7645</c:v>
                </c:pt>
                <c:pt idx="262">
                  <c:v>11.8073</c:v>
                </c:pt>
                <c:pt idx="263">
                  <c:v>11.7981</c:v>
                </c:pt>
                <c:pt idx="264">
                  <c:v>11.8103</c:v>
                </c:pt>
                <c:pt idx="265">
                  <c:v>11.795</c:v>
                </c:pt>
                <c:pt idx="266">
                  <c:v>11.804200000000002</c:v>
                </c:pt>
                <c:pt idx="267">
                  <c:v>11.804200000000002</c:v>
                </c:pt>
                <c:pt idx="268">
                  <c:v>11.804200000000002</c:v>
                </c:pt>
                <c:pt idx="269">
                  <c:v>11.7981</c:v>
                </c:pt>
                <c:pt idx="270">
                  <c:v>11.7981</c:v>
                </c:pt>
                <c:pt idx="271">
                  <c:v>11.8103</c:v>
                </c:pt>
                <c:pt idx="272">
                  <c:v>11.8195</c:v>
                </c:pt>
                <c:pt idx="273">
                  <c:v>11.8103</c:v>
                </c:pt>
                <c:pt idx="274">
                  <c:v>11.8469</c:v>
                </c:pt>
                <c:pt idx="275">
                  <c:v>11.837800000000001</c:v>
                </c:pt>
                <c:pt idx="276">
                  <c:v>11.8652</c:v>
                </c:pt>
                <c:pt idx="277">
                  <c:v>11.8561</c:v>
                </c:pt>
                <c:pt idx="278">
                  <c:v>11.8591</c:v>
                </c:pt>
                <c:pt idx="279">
                  <c:v>11.8652</c:v>
                </c:pt>
                <c:pt idx="280">
                  <c:v>11.8744</c:v>
                </c:pt>
                <c:pt idx="281">
                  <c:v>11.8744</c:v>
                </c:pt>
                <c:pt idx="282">
                  <c:v>11.8774</c:v>
                </c:pt>
                <c:pt idx="283">
                  <c:v>11.8713</c:v>
                </c:pt>
                <c:pt idx="284">
                  <c:v>11.8835</c:v>
                </c:pt>
                <c:pt idx="285">
                  <c:v>11.886600000000001</c:v>
                </c:pt>
                <c:pt idx="286">
                  <c:v>11.895799999999999</c:v>
                </c:pt>
                <c:pt idx="287">
                  <c:v>11.8896</c:v>
                </c:pt>
                <c:pt idx="288">
                  <c:v>11.886600000000001</c:v>
                </c:pt>
                <c:pt idx="289">
                  <c:v>11.8988</c:v>
                </c:pt>
                <c:pt idx="290">
                  <c:v>11.892700000000001</c:v>
                </c:pt>
                <c:pt idx="291">
                  <c:v>11.907999999999999</c:v>
                </c:pt>
                <c:pt idx="292">
                  <c:v>11.9476</c:v>
                </c:pt>
                <c:pt idx="293">
                  <c:v>11.935400000000001</c:v>
                </c:pt>
                <c:pt idx="294">
                  <c:v>11.932399999999999</c:v>
                </c:pt>
                <c:pt idx="295">
                  <c:v>11.962899999999999</c:v>
                </c:pt>
                <c:pt idx="296">
                  <c:v>11.9537</c:v>
                </c:pt>
                <c:pt idx="297">
                  <c:v>11.956799999999999</c:v>
                </c:pt>
                <c:pt idx="298">
                  <c:v>11.956799999999999</c:v>
                </c:pt>
                <c:pt idx="299">
                  <c:v>11.990399999999999</c:v>
                </c:pt>
                <c:pt idx="300">
                  <c:v>12.020899999999999</c:v>
                </c:pt>
                <c:pt idx="301">
                  <c:v>12.033099999999999</c:v>
                </c:pt>
                <c:pt idx="302">
                  <c:v>12.042199999999999</c:v>
                </c:pt>
                <c:pt idx="303">
                  <c:v>12.036099999999999</c:v>
                </c:pt>
                <c:pt idx="304">
                  <c:v>12.042199999999999</c:v>
                </c:pt>
                <c:pt idx="305">
                  <c:v>12.051400000000001</c:v>
                </c:pt>
                <c:pt idx="306">
                  <c:v>12.048299999999999</c:v>
                </c:pt>
                <c:pt idx="307">
                  <c:v>12.060499999999999</c:v>
                </c:pt>
                <c:pt idx="308">
                  <c:v>12.060499999999999</c:v>
                </c:pt>
                <c:pt idx="309">
                  <c:v>12.060499999999999</c:v>
                </c:pt>
                <c:pt idx="310">
                  <c:v>12.060499999999999</c:v>
                </c:pt>
                <c:pt idx="311">
                  <c:v>12.081899999999999</c:v>
                </c:pt>
                <c:pt idx="312">
                  <c:v>12.069699999999999</c:v>
                </c:pt>
                <c:pt idx="313">
                  <c:v>12.078900000000001</c:v>
                </c:pt>
                <c:pt idx="314">
                  <c:v>12.075799999999999</c:v>
                </c:pt>
                <c:pt idx="315">
                  <c:v>12.081899999999999</c:v>
                </c:pt>
                <c:pt idx="316">
                  <c:v>12.078900000000001</c:v>
                </c:pt>
                <c:pt idx="317">
                  <c:v>12.078900000000001</c:v>
                </c:pt>
                <c:pt idx="318">
                  <c:v>12.094099999999999</c:v>
                </c:pt>
                <c:pt idx="319">
                  <c:v>12.091100000000001</c:v>
                </c:pt>
                <c:pt idx="320">
                  <c:v>12.081899999999999</c:v>
                </c:pt>
                <c:pt idx="321">
                  <c:v>12.094099999999999</c:v>
                </c:pt>
                <c:pt idx="322">
                  <c:v>12.109399999999999</c:v>
                </c:pt>
                <c:pt idx="323">
                  <c:v>12.109399999999999</c:v>
                </c:pt>
                <c:pt idx="324">
                  <c:v>12.115499999999999</c:v>
                </c:pt>
                <c:pt idx="325">
                  <c:v>12.103300000000001</c:v>
                </c:pt>
                <c:pt idx="326">
                  <c:v>12.115499999999999</c:v>
                </c:pt>
                <c:pt idx="327">
                  <c:v>12.124599999999999</c:v>
                </c:pt>
                <c:pt idx="328">
                  <c:v>12.130699999999999</c:v>
                </c:pt>
                <c:pt idx="329">
                  <c:v>12.127700000000001</c:v>
                </c:pt>
                <c:pt idx="330">
                  <c:v>12.133800000000001</c:v>
                </c:pt>
                <c:pt idx="331">
                  <c:v>12.130699999999999</c:v>
                </c:pt>
                <c:pt idx="332">
                  <c:v>12.139900000000001</c:v>
                </c:pt>
                <c:pt idx="333">
                  <c:v>12.164299999999999</c:v>
                </c:pt>
                <c:pt idx="334">
                  <c:v>12.158199999999999</c:v>
                </c:pt>
                <c:pt idx="335">
                  <c:v>12.173500000000001</c:v>
                </c:pt>
                <c:pt idx="336">
                  <c:v>12.176499999999999</c:v>
                </c:pt>
                <c:pt idx="337">
                  <c:v>12.167400000000001</c:v>
                </c:pt>
                <c:pt idx="338">
                  <c:v>12.191799999999999</c:v>
                </c:pt>
                <c:pt idx="339">
                  <c:v>12.213099999999999</c:v>
                </c:pt>
                <c:pt idx="340">
                  <c:v>12.222300000000001</c:v>
                </c:pt>
                <c:pt idx="341">
                  <c:v>12.2498</c:v>
                </c:pt>
                <c:pt idx="342">
                  <c:v>12.246699999999999</c:v>
                </c:pt>
                <c:pt idx="343">
                  <c:v>12.289400000000001</c:v>
                </c:pt>
                <c:pt idx="344">
                  <c:v>12.295499999999999</c:v>
                </c:pt>
                <c:pt idx="345">
                  <c:v>12.307699999999999</c:v>
                </c:pt>
                <c:pt idx="346">
                  <c:v>12.3535</c:v>
                </c:pt>
                <c:pt idx="347">
                  <c:v>12.4023</c:v>
                </c:pt>
                <c:pt idx="348">
                  <c:v>12.4237</c:v>
                </c:pt>
                <c:pt idx="349">
                  <c:v>12.4451</c:v>
                </c:pt>
                <c:pt idx="350">
                  <c:v>12.5153</c:v>
                </c:pt>
                <c:pt idx="351">
                  <c:v>12.5946</c:v>
                </c:pt>
                <c:pt idx="352">
                  <c:v>12.6526</c:v>
                </c:pt>
                <c:pt idx="353">
                  <c:v>12.698399999999999</c:v>
                </c:pt>
                <c:pt idx="354">
                  <c:v>12.759400000000001</c:v>
                </c:pt>
                <c:pt idx="355">
                  <c:v>12.814300000000001</c:v>
                </c:pt>
                <c:pt idx="356">
                  <c:v>12.838699999999999</c:v>
                </c:pt>
                <c:pt idx="357">
                  <c:v>12.860099999999999</c:v>
                </c:pt>
                <c:pt idx="358">
                  <c:v>12.893699999999999</c:v>
                </c:pt>
                <c:pt idx="359">
                  <c:v>12.908899999999999</c:v>
                </c:pt>
                <c:pt idx="360">
                  <c:v>12.921099999999999</c:v>
                </c:pt>
                <c:pt idx="361">
                  <c:v>12.954699999999999</c:v>
                </c:pt>
                <c:pt idx="362">
                  <c:v>12.991300000000001</c:v>
                </c:pt>
                <c:pt idx="363">
                  <c:v>13.037099999999999</c:v>
                </c:pt>
                <c:pt idx="364">
                  <c:v>13.079800000000001</c:v>
                </c:pt>
                <c:pt idx="365">
                  <c:v>13.1317</c:v>
                </c:pt>
                <c:pt idx="366">
                  <c:v>13.1714</c:v>
                </c:pt>
                <c:pt idx="367">
                  <c:v>13.2141</c:v>
                </c:pt>
                <c:pt idx="368">
                  <c:v>13.2538</c:v>
                </c:pt>
                <c:pt idx="369">
                  <c:v>13.2904</c:v>
                </c:pt>
                <c:pt idx="370">
                  <c:v>13.324000000000002</c:v>
                </c:pt>
                <c:pt idx="371">
                  <c:v>13.3484</c:v>
                </c:pt>
                <c:pt idx="372">
                  <c:v>13.3636</c:v>
                </c:pt>
                <c:pt idx="373">
                  <c:v>13.3575</c:v>
                </c:pt>
                <c:pt idx="374">
                  <c:v>13.3453</c:v>
                </c:pt>
                <c:pt idx="375">
                  <c:v>13.3514</c:v>
                </c:pt>
                <c:pt idx="376">
                  <c:v>13.3514</c:v>
                </c:pt>
                <c:pt idx="377">
                  <c:v>13.3545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02-4851-9A70-174681945ED4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'20230205T210000'!$T$11:$T$500</c:f>
              <c:numCache>
                <c:formatCode>General</c:formatCode>
                <c:ptCount val="490"/>
                <c:pt idx="0">
                  <c:v>13.464399999999999</c:v>
                </c:pt>
                <c:pt idx="1">
                  <c:v>13.458299999999999</c:v>
                </c:pt>
                <c:pt idx="2">
                  <c:v>13.458299999999999</c:v>
                </c:pt>
                <c:pt idx="3">
                  <c:v>13.595599999999999</c:v>
                </c:pt>
                <c:pt idx="4">
                  <c:v>13.598600000000001</c:v>
                </c:pt>
                <c:pt idx="5">
                  <c:v>13.571200000000001</c:v>
                </c:pt>
                <c:pt idx="6">
                  <c:v>13.531499999999999</c:v>
                </c:pt>
                <c:pt idx="7">
                  <c:v>13.4918</c:v>
                </c:pt>
                <c:pt idx="8">
                  <c:v>13.4399</c:v>
                </c:pt>
                <c:pt idx="9">
                  <c:v>13.4033</c:v>
                </c:pt>
                <c:pt idx="10">
                  <c:v>13.3453</c:v>
                </c:pt>
                <c:pt idx="11">
                  <c:v>13.3057</c:v>
                </c:pt>
                <c:pt idx="12">
                  <c:v>13.269</c:v>
                </c:pt>
                <c:pt idx="13">
                  <c:v>13.2172</c:v>
                </c:pt>
                <c:pt idx="14">
                  <c:v>13.1714</c:v>
                </c:pt>
                <c:pt idx="15">
                  <c:v>13.1378</c:v>
                </c:pt>
                <c:pt idx="16">
                  <c:v>13.0951</c:v>
                </c:pt>
                <c:pt idx="17">
                  <c:v>13.070699999999999</c:v>
                </c:pt>
                <c:pt idx="18">
                  <c:v>13.0341</c:v>
                </c:pt>
                <c:pt idx="19">
                  <c:v>13.003499999999999</c:v>
                </c:pt>
                <c:pt idx="20">
                  <c:v>12.979100000000001</c:v>
                </c:pt>
                <c:pt idx="21">
                  <c:v>12.936400000000001</c:v>
                </c:pt>
                <c:pt idx="22">
                  <c:v>12.872299999999999</c:v>
                </c:pt>
                <c:pt idx="23">
                  <c:v>12.811299999999999</c:v>
                </c:pt>
                <c:pt idx="24">
                  <c:v>12.7441</c:v>
                </c:pt>
                <c:pt idx="25">
                  <c:v>12.698399999999999</c:v>
                </c:pt>
                <c:pt idx="26">
                  <c:v>12.6526</c:v>
                </c:pt>
                <c:pt idx="27">
                  <c:v>12.616</c:v>
                </c:pt>
                <c:pt idx="28">
                  <c:v>12.5763</c:v>
                </c:pt>
                <c:pt idx="29">
                  <c:v>12.539700000000002</c:v>
                </c:pt>
                <c:pt idx="30">
                  <c:v>12.5031</c:v>
                </c:pt>
                <c:pt idx="31">
                  <c:v>12.4756</c:v>
                </c:pt>
                <c:pt idx="32">
                  <c:v>12.4512</c:v>
                </c:pt>
                <c:pt idx="33">
                  <c:v>12.4298</c:v>
                </c:pt>
                <c:pt idx="34">
                  <c:v>12.4176</c:v>
                </c:pt>
                <c:pt idx="35">
                  <c:v>12.3993</c:v>
                </c:pt>
                <c:pt idx="36">
                  <c:v>12.3871</c:v>
                </c:pt>
                <c:pt idx="37">
                  <c:v>12.3749</c:v>
                </c:pt>
                <c:pt idx="38">
                  <c:v>12.3627</c:v>
                </c:pt>
                <c:pt idx="39">
                  <c:v>12.3474</c:v>
                </c:pt>
                <c:pt idx="40">
                  <c:v>12.335199999999999</c:v>
                </c:pt>
                <c:pt idx="41">
                  <c:v>12.3291</c:v>
                </c:pt>
                <c:pt idx="42">
                  <c:v>12.3169</c:v>
                </c:pt>
                <c:pt idx="43">
                  <c:v>12.307699999999999</c:v>
                </c:pt>
                <c:pt idx="44">
                  <c:v>12.2986</c:v>
                </c:pt>
                <c:pt idx="45">
                  <c:v>12.2925</c:v>
                </c:pt>
                <c:pt idx="46">
                  <c:v>12.286399999999999</c:v>
                </c:pt>
                <c:pt idx="47">
                  <c:v>12.2742</c:v>
                </c:pt>
                <c:pt idx="48">
                  <c:v>12.2681</c:v>
                </c:pt>
                <c:pt idx="49">
                  <c:v>12.265000000000001</c:v>
                </c:pt>
                <c:pt idx="50">
                  <c:v>12.262</c:v>
                </c:pt>
                <c:pt idx="51">
                  <c:v>12.2559</c:v>
                </c:pt>
                <c:pt idx="52">
                  <c:v>12.262</c:v>
                </c:pt>
                <c:pt idx="53">
                  <c:v>12.246699999999999</c:v>
                </c:pt>
                <c:pt idx="54">
                  <c:v>12.246699999999999</c:v>
                </c:pt>
                <c:pt idx="55">
                  <c:v>12.2437</c:v>
                </c:pt>
                <c:pt idx="56">
                  <c:v>12.240600000000001</c:v>
                </c:pt>
                <c:pt idx="57">
                  <c:v>12.231400000000001</c:v>
                </c:pt>
                <c:pt idx="58">
                  <c:v>12.234500000000001</c:v>
                </c:pt>
                <c:pt idx="59">
                  <c:v>12.234500000000001</c:v>
                </c:pt>
                <c:pt idx="60">
                  <c:v>12.225299999999999</c:v>
                </c:pt>
                <c:pt idx="61">
                  <c:v>12.2437</c:v>
                </c:pt>
                <c:pt idx="62">
                  <c:v>12.2437</c:v>
                </c:pt>
                <c:pt idx="63">
                  <c:v>12.234500000000001</c:v>
                </c:pt>
                <c:pt idx="64">
                  <c:v>12.234500000000001</c:v>
                </c:pt>
                <c:pt idx="65">
                  <c:v>12.234500000000001</c:v>
                </c:pt>
                <c:pt idx="66">
                  <c:v>12.222300000000001</c:v>
                </c:pt>
                <c:pt idx="67">
                  <c:v>12.216200000000001</c:v>
                </c:pt>
                <c:pt idx="68">
                  <c:v>12.216200000000001</c:v>
                </c:pt>
                <c:pt idx="69">
                  <c:v>12.216200000000001</c:v>
                </c:pt>
                <c:pt idx="70">
                  <c:v>12.207000000000001</c:v>
                </c:pt>
                <c:pt idx="71">
                  <c:v>12.200900000000001</c:v>
                </c:pt>
                <c:pt idx="72">
                  <c:v>12.200900000000001</c:v>
                </c:pt>
                <c:pt idx="73">
                  <c:v>12.185700000000001</c:v>
                </c:pt>
                <c:pt idx="74">
                  <c:v>12.188700000000001</c:v>
                </c:pt>
                <c:pt idx="75">
                  <c:v>12.179600000000001</c:v>
                </c:pt>
                <c:pt idx="76">
                  <c:v>12.176499999999999</c:v>
                </c:pt>
                <c:pt idx="77">
                  <c:v>12.170399999999999</c:v>
                </c:pt>
                <c:pt idx="78">
                  <c:v>12.139900000000001</c:v>
                </c:pt>
                <c:pt idx="79">
                  <c:v>12.133800000000001</c:v>
                </c:pt>
                <c:pt idx="80">
                  <c:v>12.133800000000001</c:v>
                </c:pt>
                <c:pt idx="81">
                  <c:v>12.127700000000001</c:v>
                </c:pt>
                <c:pt idx="82">
                  <c:v>12.121599999999999</c:v>
                </c:pt>
                <c:pt idx="83">
                  <c:v>12.118500000000001</c:v>
                </c:pt>
                <c:pt idx="84">
                  <c:v>12.118500000000001</c:v>
                </c:pt>
                <c:pt idx="85">
                  <c:v>12.109399999999999</c:v>
                </c:pt>
                <c:pt idx="86">
                  <c:v>12.100200000000001</c:v>
                </c:pt>
                <c:pt idx="87">
                  <c:v>12.100200000000001</c:v>
                </c:pt>
                <c:pt idx="88">
                  <c:v>12.085000000000001</c:v>
                </c:pt>
                <c:pt idx="89">
                  <c:v>12.081899999999999</c:v>
                </c:pt>
                <c:pt idx="90">
                  <c:v>12.085000000000001</c:v>
                </c:pt>
                <c:pt idx="91">
                  <c:v>12.081899999999999</c:v>
                </c:pt>
                <c:pt idx="92">
                  <c:v>12.078900000000001</c:v>
                </c:pt>
                <c:pt idx="93">
                  <c:v>12.075799999999999</c:v>
                </c:pt>
                <c:pt idx="94">
                  <c:v>12.069699999999999</c:v>
                </c:pt>
                <c:pt idx="95">
                  <c:v>12.063600000000001</c:v>
                </c:pt>
                <c:pt idx="96">
                  <c:v>12.060499999999999</c:v>
                </c:pt>
                <c:pt idx="97">
                  <c:v>12.051400000000001</c:v>
                </c:pt>
                <c:pt idx="98">
                  <c:v>12.054399999999999</c:v>
                </c:pt>
                <c:pt idx="99">
                  <c:v>12.048299999999999</c:v>
                </c:pt>
                <c:pt idx="100">
                  <c:v>12.048299999999999</c:v>
                </c:pt>
                <c:pt idx="101">
                  <c:v>12.036099999999999</c:v>
                </c:pt>
                <c:pt idx="102">
                  <c:v>12.026999999999999</c:v>
                </c:pt>
                <c:pt idx="103">
                  <c:v>12.026999999999999</c:v>
                </c:pt>
                <c:pt idx="104">
                  <c:v>12.020899999999999</c:v>
                </c:pt>
                <c:pt idx="105">
                  <c:v>12.011699999999999</c:v>
                </c:pt>
                <c:pt idx="106">
                  <c:v>12.002600000000001</c:v>
                </c:pt>
                <c:pt idx="107">
                  <c:v>11.996500000000001</c:v>
                </c:pt>
                <c:pt idx="108">
                  <c:v>11.987299999999999</c:v>
                </c:pt>
                <c:pt idx="109">
                  <c:v>11.981199999999999</c:v>
                </c:pt>
                <c:pt idx="110">
                  <c:v>11.984299999999999</c:v>
                </c:pt>
                <c:pt idx="111">
                  <c:v>11.984299999999999</c:v>
                </c:pt>
                <c:pt idx="112">
                  <c:v>11.972</c:v>
                </c:pt>
                <c:pt idx="113">
                  <c:v>11.981199999999999</c:v>
                </c:pt>
                <c:pt idx="114">
                  <c:v>11.972</c:v>
                </c:pt>
                <c:pt idx="115">
                  <c:v>11.9659</c:v>
                </c:pt>
                <c:pt idx="116">
                  <c:v>11.956799999999999</c:v>
                </c:pt>
                <c:pt idx="117">
                  <c:v>11.9537</c:v>
                </c:pt>
                <c:pt idx="118">
                  <c:v>11.9476</c:v>
                </c:pt>
                <c:pt idx="119">
                  <c:v>11.935400000000001</c:v>
                </c:pt>
                <c:pt idx="120">
                  <c:v>11.932399999999999</c:v>
                </c:pt>
                <c:pt idx="121">
                  <c:v>11.9293</c:v>
                </c:pt>
                <c:pt idx="122">
                  <c:v>11.9293</c:v>
                </c:pt>
                <c:pt idx="123">
                  <c:v>11.9232</c:v>
                </c:pt>
                <c:pt idx="124">
                  <c:v>11.9232</c:v>
                </c:pt>
                <c:pt idx="125">
                  <c:v>11.9232</c:v>
                </c:pt>
                <c:pt idx="126">
                  <c:v>11.914100000000001</c:v>
                </c:pt>
                <c:pt idx="127">
                  <c:v>11.911</c:v>
                </c:pt>
                <c:pt idx="128">
                  <c:v>11.9049</c:v>
                </c:pt>
                <c:pt idx="129">
                  <c:v>11.895799999999999</c:v>
                </c:pt>
                <c:pt idx="130">
                  <c:v>11.892700000000001</c:v>
                </c:pt>
                <c:pt idx="131">
                  <c:v>11.886600000000001</c:v>
                </c:pt>
                <c:pt idx="132">
                  <c:v>11.8805</c:v>
                </c:pt>
                <c:pt idx="133">
                  <c:v>11.8774</c:v>
                </c:pt>
                <c:pt idx="134">
                  <c:v>11.8744</c:v>
                </c:pt>
                <c:pt idx="135">
                  <c:v>11.8652</c:v>
                </c:pt>
                <c:pt idx="136">
                  <c:v>11.8561</c:v>
                </c:pt>
                <c:pt idx="137">
                  <c:v>11.853000000000002</c:v>
                </c:pt>
                <c:pt idx="138">
                  <c:v>11.8408</c:v>
                </c:pt>
                <c:pt idx="139">
                  <c:v>11.8408</c:v>
                </c:pt>
                <c:pt idx="140">
                  <c:v>11.8347</c:v>
                </c:pt>
                <c:pt idx="141">
                  <c:v>11.831700000000001</c:v>
                </c:pt>
                <c:pt idx="142">
                  <c:v>11.8225</c:v>
                </c:pt>
                <c:pt idx="143">
                  <c:v>11.8195</c:v>
                </c:pt>
                <c:pt idx="144">
                  <c:v>11.8134</c:v>
                </c:pt>
                <c:pt idx="145">
                  <c:v>11.8195</c:v>
                </c:pt>
                <c:pt idx="146">
                  <c:v>11.8073</c:v>
                </c:pt>
                <c:pt idx="147">
                  <c:v>11.804200000000002</c:v>
                </c:pt>
                <c:pt idx="148">
                  <c:v>11.795</c:v>
                </c:pt>
                <c:pt idx="149">
                  <c:v>11.795</c:v>
                </c:pt>
                <c:pt idx="150">
                  <c:v>11.7828</c:v>
                </c:pt>
                <c:pt idx="151">
                  <c:v>11.7737</c:v>
                </c:pt>
                <c:pt idx="152">
                  <c:v>11.770600000000002</c:v>
                </c:pt>
                <c:pt idx="153">
                  <c:v>11.7676</c:v>
                </c:pt>
                <c:pt idx="154">
                  <c:v>11.7523</c:v>
                </c:pt>
                <c:pt idx="155">
                  <c:v>11.7554</c:v>
                </c:pt>
                <c:pt idx="156">
                  <c:v>11.7523</c:v>
                </c:pt>
                <c:pt idx="157">
                  <c:v>11.7462</c:v>
                </c:pt>
                <c:pt idx="158">
                  <c:v>11.7401</c:v>
                </c:pt>
                <c:pt idx="159">
                  <c:v>11.734</c:v>
                </c:pt>
                <c:pt idx="160">
                  <c:v>11.7218</c:v>
                </c:pt>
                <c:pt idx="161">
                  <c:v>11.7157</c:v>
                </c:pt>
                <c:pt idx="162">
                  <c:v>11.7035</c:v>
                </c:pt>
                <c:pt idx="163">
                  <c:v>11.7035</c:v>
                </c:pt>
                <c:pt idx="164">
                  <c:v>11.6943</c:v>
                </c:pt>
                <c:pt idx="165">
                  <c:v>11.6821</c:v>
                </c:pt>
                <c:pt idx="166">
                  <c:v>11.6821</c:v>
                </c:pt>
                <c:pt idx="167">
                  <c:v>11.6791</c:v>
                </c:pt>
                <c:pt idx="168">
                  <c:v>11.676</c:v>
                </c:pt>
                <c:pt idx="169">
                  <c:v>11.666899999999998</c:v>
                </c:pt>
                <c:pt idx="170">
                  <c:v>11.6699</c:v>
                </c:pt>
                <c:pt idx="171">
                  <c:v>11.666899999999998</c:v>
                </c:pt>
                <c:pt idx="172">
                  <c:v>11.6577</c:v>
                </c:pt>
                <c:pt idx="173">
                  <c:v>11.6516</c:v>
                </c:pt>
                <c:pt idx="174">
                  <c:v>11.6486</c:v>
                </c:pt>
                <c:pt idx="175">
                  <c:v>11.6486</c:v>
                </c:pt>
                <c:pt idx="176">
                  <c:v>11.6455</c:v>
                </c:pt>
                <c:pt idx="177">
                  <c:v>11.6364</c:v>
                </c:pt>
                <c:pt idx="178">
                  <c:v>11.633299999999998</c:v>
                </c:pt>
                <c:pt idx="179">
                  <c:v>11.618</c:v>
                </c:pt>
                <c:pt idx="180">
                  <c:v>11.615</c:v>
                </c:pt>
                <c:pt idx="181">
                  <c:v>11.615</c:v>
                </c:pt>
                <c:pt idx="182">
                  <c:v>11.6089</c:v>
                </c:pt>
                <c:pt idx="183">
                  <c:v>11.605799999999999</c:v>
                </c:pt>
                <c:pt idx="184">
                  <c:v>11.6028</c:v>
                </c:pt>
                <c:pt idx="185">
                  <c:v>11.5906</c:v>
                </c:pt>
                <c:pt idx="186">
                  <c:v>11.584499999999998</c:v>
                </c:pt>
                <c:pt idx="187">
                  <c:v>11.5814</c:v>
                </c:pt>
                <c:pt idx="188">
                  <c:v>11.5692</c:v>
                </c:pt>
                <c:pt idx="189">
                  <c:v>11.5631</c:v>
                </c:pt>
                <c:pt idx="190">
                  <c:v>11.557</c:v>
                </c:pt>
                <c:pt idx="191">
                  <c:v>11.554</c:v>
                </c:pt>
                <c:pt idx="192">
                  <c:v>11.554</c:v>
                </c:pt>
                <c:pt idx="193">
                  <c:v>11.544799999999999</c:v>
                </c:pt>
                <c:pt idx="194">
                  <c:v>11.535600000000001</c:v>
                </c:pt>
                <c:pt idx="195">
                  <c:v>11.544799999999999</c:v>
                </c:pt>
                <c:pt idx="196">
                  <c:v>11.523399999999999</c:v>
                </c:pt>
                <c:pt idx="197">
                  <c:v>11.5204</c:v>
                </c:pt>
                <c:pt idx="198">
                  <c:v>11.511199999999999</c:v>
                </c:pt>
                <c:pt idx="199">
                  <c:v>11.502099999999999</c:v>
                </c:pt>
                <c:pt idx="200">
                  <c:v>11.4899</c:v>
                </c:pt>
                <c:pt idx="201">
                  <c:v>11.4838</c:v>
                </c:pt>
                <c:pt idx="202">
                  <c:v>11.480700000000001</c:v>
                </c:pt>
                <c:pt idx="203">
                  <c:v>11.480700000000001</c:v>
                </c:pt>
                <c:pt idx="204">
                  <c:v>11.468499999999999</c:v>
                </c:pt>
                <c:pt idx="205">
                  <c:v>11.462399999999999</c:v>
                </c:pt>
                <c:pt idx="206">
                  <c:v>11.4594</c:v>
                </c:pt>
                <c:pt idx="207">
                  <c:v>11.456300000000001</c:v>
                </c:pt>
                <c:pt idx="208">
                  <c:v>11.444100000000001</c:v>
                </c:pt>
                <c:pt idx="209">
                  <c:v>11.438000000000001</c:v>
                </c:pt>
                <c:pt idx="210">
                  <c:v>11.434899999999999</c:v>
                </c:pt>
                <c:pt idx="211">
                  <c:v>11.425800000000001</c:v>
                </c:pt>
                <c:pt idx="212">
                  <c:v>11.419699999999999</c:v>
                </c:pt>
                <c:pt idx="213">
                  <c:v>11.416600000000001</c:v>
                </c:pt>
                <c:pt idx="214">
                  <c:v>11.410500000000001</c:v>
                </c:pt>
                <c:pt idx="215">
                  <c:v>11.404400000000001</c:v>
                </c:pt>
                <c:pt idx="216">
                  <c:v>11.398300000000001</c:v>
                </c:pt>
                <c:pt idx="217">
                  <c:v>11.392200000000001</c:v>
                </c:pt>
                <c:pt idx="218">
                  <c:v>11.389200000000001</c:v>
                </c:pt>
                <c:pt idx="219">
                  <c:v>11.379999999999999</c:v>
                </c:pt>
                <c:pt idx="220">
                  <c:v>11.370800000000001</c:v>
                </c:pt>
                <c:pt idx="221">
                  <c:v>11.361700000000001</c:v>
                </c:pt>
                <c:pt idx="222">
                  <c:v>11.355600000000001</c:v>
                </c:pt>
                <c:pt idx="223">
                  <c:v>11.355600000000001</c:v>
                </c:pt>
                <c:pt idx="224">
                  <c:v>11.349500000000001</c:v>
                </c:pt>
                <c:pt idx="225">
                  <c:v>11.346399999999999</c:v>
                </c:pt>
                <c:pt idx="226">
                  <c:v>11.340299999999999</c:v>
                </c:pt>
                <c:pt idx="227">
                  <c:v>11.331199999999999</c:v>
                </c:pt>
                <c:pt idx="228">
                  <c:v>11.322000000000001</c:v>
                </c:pt>
                <c:pt idx="229">
                  <c:v>11.318999999999999</c:v>
                </c:pt>
                <c:pt idx="230">
                  <c:v>11.309799999999999</c:v>
                </c:pt>
                <c:pt idx="231">
                  <c:v>11.300700000000001</c:v>
                </c:pt>
                <c:pt idx="232">
                  <c:v>11.291499999999999</c:v>
                </c:pt>
                <c:pt idx="233">
                  <c:v>11.285399999999999</c:v>
                </c:pt>
                <c:pt idx="234">
                  <c:v>11.279300000000001</c:v>
                </c:pt>
                <c:pt idx="235">
                  <c:v>11.276199999999999</c:v>
                </c:pt>
                <c:pt idx="236">
                  <c:v>11.267100000000001</c:v>
                </c:pt>
                <c:pt idx="237">
                  <c:v>11.257899999999999</c:v>
                </c:pt>
                <c:pt idx="238">
                  <c:v>11.254899999999999</c:v>
                </c:pt>
                <c:pt idx="239">
                  <c:v>11.248799999999999</c:v>
                </c:pt>
                <c:pt idx="240">
                  <c:v>11.239600000000001</c:v>
                </c:pt>
                <c:pt idx="241">
                  <c:v>11.230499999999999</c:v>
                </c:pt>
                <c:pt idx="242">
                  <c:v>11.227399999999999</c:v>
                </c:pt>
                <c:pt idx="243">
                  <c:v>11.221299999999999</c:v>
                </c:pt>
                <c:pt idx="244">
                  <c:v>11.215199999999999</c:v>
                </c:pt>
                <c:pt idx="245">
                  <c:v>11.212200000000001</c:v>
                </c:pt>
                <c:pt idx="246">
                  <c:v>11.2</c:v>
                </c:pt>
                <c:pt idx="247">
                  <c:v>11.1938</c:v>
                </c:pt>
                <c:pt idx="248">
                  <c:v>11.1877</c:v>
                </c:pt>
                <c:pt idx="249">
                  <c:v>11.1755</c:v>
                </c:pt>
                <c:pt idx="250">
                  <c:v>11.1694</c:v>
                </c:pt>
                <c:pt idx="251">
                  <c:v>11.166399999999999</c:v>
                </c:pt>
                <c:pt idx="252">
                  <c:v>11.1633</c:v>
                </c:pt>
                <c:pt idx="253">
                  <c:v>11.154199999999999</c:v>
                </c:pt>
                <c:pt idx="254">
                  <c:v>11.154199999999999</c:v>
                </c:pt>
                <c:pt idx="255">
                  <c:v>11.157200000000001</c:v>
                </c:pt>
                <c:pt idx="256">
                  <c:v>11.151100000000001</c:v>
                </c:pt>
                <c:pt idx="257">
                  <c:v>11.142000000000001</c:v>
                </c:pt>
                <c:pt idx="258">
                  <c:v>11.1328</c:v>
                </c:pt>
                <c:pt idx="259">
                  <c:v>11.123699999999999</c:v>
                </c:pt>
                <c:pt idx="260">
                  <c:v>11.1145</c:v>
                </c:pt>
                <c:pt idx="261">
                  <c:v>11.1053</c:v>
                </c:pt>
                <c:pt idx="262">
                  <c:v>11.0931</c:v>
                </c:pt>
                <c:pt idx="263">
                  <c:v>11.084</c:v>
                </c:pt>
                <c:pt idx="264">
                  <c:v>11.0779</c:v>
                </c:pt>
                <c:pt idx="265">
                  <c:v>11.0718</c:v>
                </c:pt>
                <c:pt idx="266">
                  <c:v>11.068700000000002</c:v>
                </c:pt>
                <c:pt idx="267">
                  <c:v>11.0565</c:v>
                </c:pt>
                <c:pt idx="268">
                  <c:v>11.0504</c:v>
                </c:pt>
                <c:pt idx="269">
                  <c:v>11.0413</c:v>
                </c:pt>
                <c:pt idx="270">
                  <c:v>11.0382</c:v>
                </c:pt>
                <c:pt idx="271">
                  <c:v>11.0382</c:v>
                </c:pt>
                <c:pt idx="272">
                  <c:v>11.0382</c:v>
                </c:pt>
                <c:pt idx="273">
                  <c:v>11.0291</c:v>
                </c:pt>
                <c:pt idx="274">
                  <c:v>11.0229</c:v>
                </c:pt>
                <c:pt idx="275">
                  <c:v>11.0199</c:v>
                </c:pt>
                <c:pt idx="276">
                  <c:v>11.0138</c:v>
                </c:pt>
                <c:pt idx="277">
                  <c:v>11.0077</c:v>
                </c:pt>
                <c:pt idx="278">
                  <c:v>10.9955</c:v>
                </c:pt>
                <c:pt idx="279">
                  <c:v>10.9924</c:v>
                </c:pt>
                <c:pt idx="280">
                  <c:v>10.9802</c:v>
                </c:pt>
                <c:pt idx="281">
                  <c:v>10.9772</c:v>
                </c:pt>
                <c:pt idx="282">
                  <c:v>10.9711</c:v>
                </c:pt>
                <c:pt idx="283">
                  <c:v>10.968</c:v>
                </c:pt>
                <c:pt idx="284">
                  <c:v>10.9589</c:v>
                </c:pt>
                <c:pt idx="285">
                  <c:v>10.9558</c:v>
                </c:pt>
                <c:pt idx="286">
                  <c:v>10.9467</c:v>
                </c:pt>
                <c:pt idx="287">
                  <c:v>10.9344</c:v>
                </c:pt>
                <c:pt idx="288">
                  <c:v>10.9283</c:v>
                </c:pt>
                <c:pt idx="289">
                  <c:v>10.9253</c:v>
                </c:pt>
                <c:pt idx="290">
                  <c:v>10.9161</c:v>
                </c:pt>
                <c:pt idx="291">
                  <c:v>10.9131</c:v>
                </c:pt>
                <c:pt idx="292">
                  <c:v>10.91</c:v>
                </c:pt>
                <c:pt idx="293">
                  <c:v>10.9039</c:v>
                </c:pt>
                <c:pt idx="294">
                  <c:v>10.9009</c:v>
                </c:pt>
                <c:pt idx="295">
                  <c:v>10.8887</c:v>
                </c:pt>
                <c:pt idx="296">
                  <c:v>10.8826</c:v>
                </c:pt>
                <c:pt idx="297">
                  <c:v>10.8765</c:v>
                </c:pt>
                <c:pt idx="298">
                  <c:v>10.8734</c:v>
                </c:pt>
                <c:pt idx="299">
                  <c:v>10.8704</c:v>
                </c:pt>
                <c:pt idx="300">
                  <c:v>10.8612</c:v>
                </c:pt>
                <c:pt idx="301">
                  <c:v>10.8521</c:v>
                </c:pt>
                <c:pt idx="302">
                  <c:v>10.8459</c:v>
                </c:pt>
                <c:pt idx="303">
                  <c:v>10.8337</c:v>
                </c:pt>
                <c:pt idx="304">
                  <c:v>10.8276</c:v>
                </c:pt>
                <c:pt idx="305">
                  <c:v>10.8215</c:v>
                </c:pt>
                <c:pt idx="306">
                  <c:v>10.8124</c:v>
                </c:pt>
                <c:pt idx="307">
                  <c:v>10.8093</c:v>
                </c:pt>
                <c:pt idx="308">
                  <c:v>10.8002</c:v>
                </c:pt>
                <c:pt idx="309">
                  <c:v>10.7971</c:v>
                </c:pt>
                <c:pt idx="310">
                  <c:v>10.794099999999998</c:v>
                </c:pt>
                <c:pt idx="311">
                  <c:v>10.788</c:v>
                </c:pt>
                <c:pt idx="312">
                  <c:v>10.7819</c:v>
                </c:pt>
                <c:pt idx="313">
                  <c:v>10.7727</c:v>
                </c:pt>
                <c:pt idx="314">
                  <c:v>10.763500000000001</c:v>
                </c:pt>
                <c:pt idx="315">
                  <c:v>10.7544</c:v>
                </c:pt>
                <c:pt idx="316">
                  <c:v>10.745200000000001</c:v>
                </c:pt>
                <c:pt idx="317">
                  <c:v>10.7422</c:v>
                </c:pt>
                <c:pt idx="318">
                  <c:v>10.73</c:v>
                </c:pt>
                <c:pt idx="319">
                  <c:v>10.7239</c:v>
                </c:pt>
                <c:pt idx="320">
                  <c:v>10.7178</c:v>
                </c:pt>
                <c:pt idx="321">
                  <c:v>10.705599999999999</c:v>
                </c:pt>
                <c:pt idx="322">
                  <c:v>10.6995</c:v>
                </c:pt>
                <c:pt idx="323">
                  <c:v>10.690300000000001</c:v>
                </c:pt>
                <c:pt idx="324">
                  <c:v>10.6812</c:v>
                </c:pt>
                <c:pt idx="325">
                  <c:v>10.668900000000001</c:v>
                </c:pt>
                <c:pt idx="326">
                  <c:v>10.665900000000001</c:v>
                </c:pt>
                <c:pt idx="327">
                  <c:v>10.653700000000001</c:v>
                </c:pt>
                <c:pt idx="328">
                  <c:v>10.644499999999999</c:v>
                </c:pt>
                <c:pt idx="329">
                  <c:v>10.641500000000001</c:v>
                </c:pt>
                <c:pt idx="330">
                  <c:v>10.629299999999999</c:v>
                </c:pt>
                <c:pt idx="331">
                  <c:v>10.620100000000001</c:v>
                </c:pt>
                <c:pt idx="332">
                  <c:v>10.617100000000001</c:v>
                </c:pt>
                <c:pt idx="333">
                  <c:v>10.614000000000001</c:v>
                </c:pt>
                <c:pt idx="334">
                  <c:v>10.607900000000001</c:v>
                </c:pt>
                <c:pt idx="335">
                  <c:v>10.598800000000001</c:v>
                </c:pt>
                <c:pt idx="336">
                  <c:v>10.598800000000001</c:v>
                </c:pt>
                <c:pt idx="337">
                  <c:v>10.592700000000001</c:v>
                </c:pt>
                <c:pt idx="338">
                  <c:v>10.583499999999999</c:v>
                </c:pt>
                <c:pt idx="339">
                  <c:v>10.568199999999999</c:v>
                </c:pt>
                <c:pt idx="340">
                  <c:v>10.555999999999999</c:v>
                </c:pt>
                <c:pt idx="341">
                  <c:v>10.555999999999999</c:v>
                </c:pt>
                <c:pt idx="342">
                  <c:v>10.546899999999999</c:v>
                </c:pt>
                <c:pt idx="343">
                  <c:v>10.537700000000001</c:v>
                </c:pt>
                <c:pt idx="344">
                  <c:v>10.525500000000001</c:v>
                </c:pt>
                <c:pt idx="345">
                  <c:v>10.516400000000001</c:v>
                </c:pt>
                <c:pt idx="346">
                  <c:v>10.507199999999999</c:v>
                </c:pt>
                <c:pt idx="347">
                  <c:v>10.495000000000001</c:v>
                </c:pt>
                <c:pt idx="348">
                  <c:v>10.485799999999999</c:v>
                </c:pt>
                <c:pt idx="349">
                  <c:v>10.473599999999999</c:v>
                </c:pt>
                <c:pt idx="350">
                  <c:v>10.461399999999999</c:v>
                </c:pt>
                <c:pt idx="351">
                  <c:v>10.452299999999999</c:v>
                </c:pt>
                <c:pt idx="352">
                  <c:v>10.434000000000001</c:v>
                </c:pt>
                <c:pt idx="353">
                  <c:v>10.4034</c:v>
                </c:pt>
                <c:pt idx="354">
                  <c:v>10.351600000000001</c:v>
                </c:pt>
                <c:pt idx="355">
                  <c:v>10.199</c:v>
                </c:pt>
                <c:pt idx="356">
                  <c:v>9.646609999999999</c:v>
                </c:pt>
                <c:pt idx="357">
                  <c:v>8.8073700000000006</c:v>
                </c:pt>
                <c:pt idx="358">
                  <c:v>7.8826899999999993</c:v>
                </c:pt>
                <c:pt idx="359">
                  <c:v>6.8267800000000003</c:v>
                </c:pt>
                <c:pt idx="360">
                  <c:v>5.7434099999999999</c:v>
                </c:pt>
                <c:pt idx="361">
                  <c:v>4.5608500000000003</c:v>
                </c:pt>
                <c:pt idx="362">
                  <c:v>3.3526599999999998</c:v>
                </c:pt>
                <c:pt idx="363">
                  <c:v>2.1188400000000001</c:v>
                </c:pt>
                <c:pt idx="364">
                  <c:v>0.84228500000000006</c:v>
                </c:pt>
                <c:pt idx="365">
                  <c:v>-0.44973799999999997</c:v>
                </c:pt>
                <c:pt idx="366">
                  <c:v>-1.88202</c:v>
                </c:pt>
                <c:pt idx="367">
                  <c:v>-3.3071900000000003</c:v>
                </c:pt>
                <c:pt idx="368">
                  <c:v>-4.7241200000000001</c:v>
                </c:pt>
                <c:pt idx="369">
                  <c:v>-6.2133799999999999</c:v>
                </c:pt>
                <c:pt idx="370">
                  <c:v>-7.6232899999999999</c:v>
                </c:pt>
                <c:pt idx="371">
                  <c:v>-9.2895500000000002</c:v>
                </c:pt>
                <c:pt idx="372">
                  <c:v>-11.151100000000001</c:v>
                </c:pt>
                <c:pt idx="373">
                  <c:v>-13.0463</c:v>
                </c:pt>
                <c:pt idx="374">
                  <c:v>-14.8926</c:v>
                </c:pt>
                <c:pt idx="375">
                  <c:v>-16.787699999999997</c:v>
                </c:pt>
                <c:pt idx="376">
                  <c:v>-18.6066</c:v>
                </c:pt>
                <c:pt idx="377">
                  <c:v>-20.4193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B02-4851-9A70-174681945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95616"/>
        <c:axId val="130592288"/>
      </c:scatterChart>
      <c:valAx>
        <c:axId val="13059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592288"/>
        <c:crosses val="autoZero"/>
        <c:crossBetween val="midCat"/>
      </c:valAx>
      <c:valAx>
        <c:axId val="13059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595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'20230205T210000'!$AD$10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'20230205T210000'!$Y$11:$Y$500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'20230205T210000'!$AD$11:$AD$500</c:f>
              <c:numCache>
                <c:formatCode>General</c:formatCode>
                <c:ptCount val="490"/>
                <c:pt idx="0">
                  <c:v>-13.2507</c:v>
                </c:pt>
                <c:pt idx="1">
                  <c:v>-11.7798</c:v>
                </c:pt>
                <c:pt idx="2">
                  <c:v>-10.2539</c:v>
                </c:pt>
                <c:pt idx="3">
                  <c:v>-8.8226300000000002</c:v>
                </c:pt>
                <c:pt idx="4">
                  <c:v>-7.33948</c:v>
                </c:pt>
                <c:pt idx="5">
                  <c:v>-5.8563200000000002</c:v>
                </c:pt>
                <c:pt idx="6">
                  <c:v>-4.4427499999999993</c:v>
                </c:pt>
                <c:pt idx="7">
                  <c:v>-3.0023200000000001</c:v>
                </c:pt>
                <c:pt idx="8">
                  <c:v>-1.5533400000000002</c:v>
                </c:pt>
                <c:pt idx="9">
                  <c:v>-0.17230199999999998</c:v>
                </c:pt>
                <c:pt idx="10">
                  <c:v>1.15204</c:v>
                </c:pt>
                <c:pt idx="11">
                  <c:v>2.4899300000000002</c:v>
                </c:pt>
                <c:pt idx="12">
                  <c:v>3.8232399999999997</c:v>
                </c:pt>
                <c:pt idx="13">
                  <c:v>5.0994900000000003</c:v>
                </c:pt>
                <c:pt idx="14">
                  <c:v>6.2164299999999999</c:v>
                </c:pt>
                <c:pt idx="15">
                  <c:v>7.3150599999999999</c:v>
                </c:pt>
                <c:pt idx="16">
                  <c:v>8.316040000000001</c:v>
                </c:pt>
                <c:pt idx="17">
                  <c:v>9.21021</c:v>
                </c:pt>
                <c:pt idx="18">
                  <c:v>9.9639900000000008</c:v>
                </c:pt>
                <c:pt idx="19">
                  <c:v>10.1715</c:v>
                </c:pt>
                <c:pt idx="20">
                  <c:v>10.2417</c:v>
                </c:pt>
                <c:pt idx="21">
                  <c:v>10.632300000000001</c:v>
                </c:pt>
                <c:pt idx="22">
                  <c:v>10.540799999999999</c:v>
                </c:pt>
                <c:pt idx="23">
                  <c:v>10.586500000000001</c:v>
                </c:pt>
                <c:pt idx="24">
                  <c:v>10.604900000000001</c:v>
                </c:pt>
                <c:pt idx="25">
                  <c:v>10.623199999999999</c:v>
                </c:pt>
                <c:pt idx="26">
                  <c:v>10.623199999999999</c:v>
                </c:pt>
                <c:pt idx="27">
                  <c:v>10.641500000000001</c:v>
                </c:pt>
                <c:pt idx="28">
                  <c:v>10.546899999999999</c:v>
                </c:pt>
                <c:pt idx="29">
                  <c:v>10.525500000000001</c:v>
                </c:pt>
                <c:pt idx="30">
                  <c:v>10.485799999999999</c:v>
                </c:pt>
                <c:pt idx="31">
                  <c:v>10.690300000000001</c:v>
                </c:pt>
                <c:pt idx="32">
                  <c:v>10.690300000000001</c:v>
                </c:pt>
                <c:pt idx="33">
                  <c:v>10.678099999999999</c:v>
                </c:pt>
                <c:pt idx="34">
                  <c:v>10.665900000000001</c:v>
                </c:pt>
                <c:pt idx="35">
                  <c:v>10.675000000000001</c:v>
                </c:pt>
                <c:pt idx="36">
                  <c:v>10.678099999999999</c:v>
                </c:pt>
                <c:pt idx="37">
                  <c:v>10.665900000000001</c:v>
                </c:pt>
                <c:pt idx="38">
                  <c:v>10.671999999999999</c:v>
                </c:pt>
                <c:pt idx="39">
                  <c:v>10.668900000000001</c:v>
                </c:pt>
                <c:pt idx="40">
                  <c:v>10.665900000000001</c:v>
                </c:pt>
                <c:pt idx="41">
                  <c:v>10.6812</c:v>
                </c:pt>
                <c:pt idx="42">
                  <c:v>10.671999999999999</c:v>
                </c:pt>
                <c:pt idx="43">
                  <c:v>10.665900000000001</c:v>
                </c:pt>
                <c:pt idx="44">
                  <c:v>10.6873</c:v>
                </c:pt>
                <c:pt idx="45">
                  <c:v>10.684199999999999</c:v>
                </c:pt>
                <c:pt idx="46">
                  <c:v>10.678099999999999</c:v>
                </c:pt>
                <c:pt idx="47">
                  <c:v>10.6812</c:v>
                </c:pt>
                <c:pt idx="48">
                  <c:v>10.711699999999999</c:v>
                </c:pt>
                <c:pt idx="49">
                  <c:v>10.705599999999999</c:v>
                </c:pt>
                <c:pt idx="50">
                  <c:v>10.7178</c:v>
                </c:pt>
                <c:pt idx="51">
                  <c:v>10.7422</c:v>
                </c:pt>
                <c:pt idx="52">
                  <c:v>10.726899999999999</c:v>
                </c:pt>
                <c:pt idx="53">
                  <c:v>10.7239</c:v>
                </c:pt>
                <c:pt idx="54">
                  <c:v>10.73</c:v>
                </c:pt>
                <c:pt idx="55">
                  <c:v>10.726899999999999</c:v>
                </c:pt>
                <c:pt idx="56">
                  <c:v>10.732999999999999</c:v>
                </c:pt>
                <c:pt idx="57">
                  <c:v>10.7239</c:v>
                </c:pt>
                <c:pt idx="58">
                  <c:v>10.7239</c:v>
                </c:pt>
                <c:pt idx="59">
                  <c:v>10.726899999999999</c:v>
                </c:pt>
                <c:pt idx="60">
                  <c:v>10.726899999999999</c:v>
                </c:pt>
                <c:pt idx="61">
                  <c:v>10.739100000000001</c:v>
                </c:pt>
                <c:pt idx="62">
                  <c:v>10.7483</c:v>
                </c:pt>
                <c:pt idx="63">
                  <c:v>10.7422</c:v>
                </c:pt>
                <c:pt idx="64">
                  <c:v>10.7544</c:v>
                </c:pt>
                <c:pt idx="65">
                  <c:v>10.7483</c:v>
                </c:pt>
                <c:pt idx="66">
                  <c:v>10.7788</c:v>
                </c:pt>
                <c:pt idx="67">
                  <c:v>10.7697</c:v>
                </c:pt>
                <c:pt idx="68">
                  <c:v>10.7758</c:v>
                </c:pt>
                <c:pt idx="69">
                  <c:v>10.791</c:v>
                </c:pt>
                <c:pt idx="70">
                  <c:v>10.791</c:v>
                </c:pt>
                <c:pt idx="71">
                  <c:v>10.788</c:v>
                </c:pt>
                <c:pt idx="72">
                  <c:v>10.788</c:v>
                </c:pt>
                <c:pt idx="73">
                  <c:v>10.788</c:v>
                </c:pt>
                <c:pt idx="74">
                  <c:v>10.788</c:v>
                </c:pt>
                <c:pt idx="75">
                  <c:v>10.794099999999998</c:v>
                </c:pt>
                <c:pt idx="76">
                  <c:v>10.794099999999998</c:v>
                </c:pt>
                <c:pt idx="77">
                  <c:v>10.7971</c:v>
                </c:pt>
                <c:pt idx="78">
                  <c:v>10.8032</c:v>
                </c:pt>
                <c:pt idx="79">
                  <c:v>10.8002</c:v>
                </c:pt>
                <c:pt idx="80">
                  <c:v>10.8093</c:v>
                </c:pt>
                <c:pt idx="81">
                  <c:v>10.8246</c:v>
                </c:pt>
                <c:pt idx="82">
                  <c:v>10.8276</c:v>
                </c:pt>
                <c:pt idx="83">
                  <c:v>10.8307</c:v>
                </c:pt>
                <c:pt idx="84">
                  <c:v>10.8368</c:v>
                </c:pt>
                <c:pt idx="85">
                  <c:v>10.8521</c:v>
                </c:pt>
                <c:pt idx="86">
                  <c:v>10.8643</c:v>
                </c:pt>
                <c:pt idx="87">
                  <c:v>10.8551</c:v>
                </c:pt>
                <c:pt idx="88">
                  <c:v>10.8673</c:v>
                </c:pt>
                <c:pt idx="89">
                  <c:v>10.8704</c:v>
                </c:pt>
                <c:pt idx="90">
                  <c:v>10.8673</c:v>
                </c:pt>
                <c:pt idx="91">
                  <c:v>10.8734</c:v>
                </c:pt>
                <c:pt idx="92">
                  <c:v>10.8917</c:v>
                </c:pt>
                <c:pt idx="93">
                  <c:v>10.8917</c:v>
                </c:pt>
                <c:pt idx="94">
                  <c:v>10.8887</c:v>
                </c:pt>
                <c:pt idx="95">
                  <c:v>10.8948</c:v>
                </c:pt>
                <c:pt idx="96">
                  <c:v>10.9039</c:v>
                </c:pt>
                <c:pt idx="97">
                  <c:v>10.9009</c:v>
                </c:pt>
                <c:pt idx="98">
                  <c:v>10.9161</c:v>
                </c:pt>
                <c:pt idx="99">
                  <c:v>10.9161</c:v>
                </c:pt>
                <c:pt idx="100">
                  <c:v>10.9192</c:v>
                </c:pt>
                <c:pt idx="101">
                  <c:v>10.9283</c:v>
                </c:pt>
                <c:pt idx="102">
                  <c:v>10.9314</c:v>
                </c:pt>
                <c:pt idx="103">
                  <c:v>10.9375</c:v>
                </c:pt>
                <c:pt idx="104">
                  <c:v>10.9467</c:v>
                </c:pt>
                <c:pt idx="105">
                  <c:v>10.9467</c:v>
                </c:pt>
                <c:pt idx="106">
                  <c:v>10.9467</c:v>
                </c:pt>
                <c:pt idx="107">
                  <c:v>10.9497</c:v>
                </c:pt>
                <c:pt idx="108">
                  <c:v>10.9619</c:v>
                </c:pt>
                <c:pt idx="109">
                  <c:v>10.968</c:v>
                </c:pt>
                <c:pt idx="110">
                  <c:v>10.9772</c:v>
                </c:pt>
                <c:pt idx="111">
                  <c:v>10.9802</c:v>
                </c:pt>
                <c:pt idx="112">
                  <c:v>10.9894</c:v>
                </c:pt>
                <c:pt idx="113">
                  <c:v>10.9985</c:v>
                </c:pt>
                <c:pt idx="114">
                  <c:v>11.0016</c:v>
                </c:pt>
                <c:pt idx="115">
                  <c:v>11.0016</c:v>
                </c:pt>
                <c:pt idx="116">
                  <c:v>11.0107</c:v>
                </c:pt>
                <c:pt idx="117">
                  <c:v>11.0199</c:v>
                </c:pt>
                <c:pt idx="118">
                  <c:v>11.0229</c:v>
                </c:pt>
                <c:pt idx="119">
                  <c:v>11.0291</c:v>
                </c:pt>
                <c:pt idx="120">
                  <c:v>11.0413</c:v>
                </c:pt>
                <c:pt idx="121">
                  <c:v>11.0291</c:v>
                </c:pt>
                <c:pt idx="122">
                  <c:v>11.0382</c:v>
                </c:pt>
                <c:pt idx="123">
                  <c:v>11.0443</c:v>
                </c:pt>
                <c:pt idx="124">
                  <c:v>11.0504</c:v>
                </c:pt>
                <c:pt idx="125">
                  <c:v>11.0504</c:v>
                </c:pt>
                <c:pt idx="126">
                  <c:v>11.0596</c:v>
                </c:pt>
                <c:pt idx="127">
                  <c:v>11.0657</c:v>
                </c:pt>
                <c:pt idx="128">
                  <c:v>11.0718</c:v>
                </c:pt>
                <c:pt idx="129">
                  <c:v>11.084</c:v>
                </c:pt>
                <c:pt idx="130">
                  <c:v>11.0901</c:v>
                </c:pt>
                <c:pt idx="131">
                  <c:v>11.0931</c:v>
                </c:pt>
                <c:pt idx="132">
                  <c:v>11.0992</c:v>
                </c:pt>
                <c:pt idx="133">
                  <c:v>11.102300000000001</c:v>
                </c:pt>
                <c:pt idx="134">
                  <c:v>11.1145</c:v>
                </c:pt>
                <c:pt idx="135">
                  <c:v>11.111499999999999</c:v>
                </c:pt>
                <c:pt idx="136">
                  <c:v>11.117599999999999</c:v>
                </c:pt>
                <c:pt idx="137">
                  <c:v>11.123699999999999</c:v>
                </c:pt>
                <c:pt idx="138">
                  <c:v>11.135900000000001</c:v>
                </c:pt>
                <c:pt idx="139">
                  <c:v>11.1389</c:v>
                </c:pt>
                <c:pt idx="140">
                  <c:v>11.1328</c:v>
                </c:pt>
                <c:pt idx="141">
                  <c:v>11.1389</c:v>
                </c:pt>
                <c:pt idx="142">
                  <c:v>11.1328</c:v>
                </c:pt>
                <c:pt idx="143">
                  <c:v>11.145</c:v>
                </c:pt>
                <c:pt idx="144">
                  <c:v>11.157200000000001</c:v>
                </c:pt>
                <c:pt idx="145">
                  <c:v>11.1694</c:v>
                </c:pt>
                <c:pt idx="146">
                  <c:v>11.178600000000001</c:v>
                </c:pt>
                <c:pt idx="147">
                  <c:v>11.184700000000001</c:v>
                </c:pt>
                <c:pt idx="148">
                  <c:v>11.196899999999999</c:v>
                </c:pt>
                <c:pt idx="149">
                  <c:v>11.196899999999999</c:v>
                </c:pt>
                <c:pt idx="150">
                  <c:v>11.196899999999999</c:v>
                </c:pt>
                <c:pt idx="151">
                  <c:v>11.196899999999999</c:v>
                </c:pt>
                <c:pt idx="152">
                  <c:v>11.2</c:v>
                </c:pt>
                <c:pt idx="153">
                  <c:v>11.212200000000001</c:v>
                </c:pt>
                <c:pt idx="154">
                  <c:v>11.215199999999999</c:v>
                </c:pt>
                <c:pt idx="155">
                  <c:v>11.221299999999999</c:v>
                </c:pt>
                <c:pt idx="156">
                  <c:v>11.215199999999999</c:v>
                </c:pt>
                <c:pt idx="157">
                  <c:v>11.227399999999999</c:v>
                </c:pt>
                <c:pt idx="158">
                  <c:v>11.224400000000001</c:v>
                </c:pt>
                <c:pt idx="159">
                  <c:v>11.239600000000001</c:v>
                </c:pt>
                <c:pt idx="160">
                  <c:v>11.245700000000001</c:v>
                </c:pt>
                <c:pt idx="161">
                  <c:v>11.248799999999999</c:v>
                </c:pt>
                <c:pt idx="162">
                  <c:v>11.254899999999999</c:v>
                </c:pt>
                <c:pt idx="163">
                  <c:v>11.245700000000001</c:v>
                </c:pt>
                <c:pt idx="164">
                  <c:v>11.248799999999999</c:v>
                </c:pt>
                <c:pt idx="165">
                  <c:v>11.257899999999999</c:v>
                </c:pt>
                <c:pt idx="166">
                  <c:v>11.263999999999999</c:v>
                </c:pt>
                <c:pt idx="167">
                  <c:v>11.270099999999999</c:v>
                </c:pt>
                <c:pt idx="168">
                  <c:v>11.273200000000001</c:v>
                </c:pt>
                <c:pt idx="169">
                  <c:v>11.282300000000001</c:v>
                </c:pt>
                <c:pt idx="170">
                  <c:v>11.288499999999999</c:v>
                </c:pt>
                <c:pt idx="171">
                  <c:v>11.276199999999999</c:v>
                </c:pt>
                <c:pt idx="172">
                  <c:v>11.279300000000001</c:v>
                </c:pt>
                <c:pt idx="173">
                  <c:v>11.288499999999999</c:v>
                </c:pt>
                <c:pt idx="174">
                  <c:v>11.291499999999999</c:v>
                </c:pt>
                <c:pt idx="175">
                  <c:v>11.300700000000001</c:v>
                </c:pt>
                <c:pt idx="176">
                  <c:v>11.300700000000001</c:v>
                </c:pt>
                <c:pt idx="177">
                  <c:v>11.303699999999999</c:v>
                </c:pt>
                <c:pt idx="178">
                  <c:v>11.309799999999999</c:v>
                </c:pt>
                <c:pt idx="179">
                  <c:v>11.318999999999999</c:v>
                </c:pt>
                <c:pt idx="180">
                  <c:v>11.315900000000001</c:v>
                </c:pt>
                <c:pt idx="181">
                  <c:v>11.325099999999999</c:v>
                </c:pt>
                <c:pt idx="182">
                  <c:v>11.325099999999999</c:v>
                </c:pt>
                <c:pt idx="183">
                  <c:v>11.325099999999999</c:v>
                </c:pt>
                <c:pt idx="184">
                  <c:v>11.328100000000001</c:v>
                </c:pt>
                <c:pt idx="185">
                  <c:v>11.346399999999999</c:v>
                </c:pt>
                <c:pt idx="186">
                  <c:v>11.349500000000001</c:v>
                </c:pt>
                <c:pt idx="187">
                  <c:v>11.343400000000001</c:v>
                </c:pt>
                <c:pt idx="188">
                  <c:v>11.346399999999999</c:v>
                </c:pt>
                <c:pt idx="189">
                  <c:v>11.352499999999999</c:v>
                </c:pt>
                <c:pt idx="190">
                  <c:v>11.355600000000001</c:v>
                </c:pt>
                <c:pt idx="191">
                  <c:v>11.355600000000001</c:v>
                </c:pt>
                <c:pt idx="192">
                  <c:v>11.358599999999999</c:v>
                </c:pt>
                <c:pt idx="193">
                  <c:v>11.367800000000001</c:v>
                </c:pt>
                <c:pt idx="194">
                  <c:v>11.373899999999999</c:v>
                </c:pt>
                <c:pt idx="195">
                  <c:v>11.377000000000001</c:v>
                </c:pt>
                <c:pt idx="196">
                  <c:v>11.383100000000001</c:v>
                </c:pt>
                <c:pt idx="197">
                  <c:v>11.392200000000001</c:v>
                </c:pt>
                <c:pt idx="198">
                  <c:v>11.389200000000001</c:v>
                </c:pt>
                <c:pt idx="199">
                  <c:v>11.389200000000001</c:v>
                </c:pt>
                <c:pt idx="200">
                  <c:v>11.395300000000001</c:v>
                </c:pt>
                <c:pt idx="201">
                  <c:v>11.395300000000001</c:v>
                </c:pt>
                <c:pt idx="202">
                  <c:v>11.401400000000001</c:v>
                </c:pt>
                <c:pt idx="203">
                  <c:v>11.407499999999999</c:v>
                </c:pt>
                <c:pt idx="204">
                  <c:v>11.413599999999999</c:v>
                </c:pt>
                <c:pt idx="205">
                  <c:v>11.422699999999999</c:v>
                </c:pt>
                <c:pt idx="206">
                  <c:v>11.428799999999999</c:v>
                </c:pt>
                <c:pt idx="207">
                  <c:v>11.428799999999999</c:v>
                </c:pt>
                <c:pt idx="208">
                  <c:v>11.425800000000001</c:v>
                </c:pt>
                <c:pt idx="209">
                  <c:v>11.440999999999999</c:v>
                </c:pt>
                <c:pt idx="210">
                  <c:v>11.447100000000001</c:v>
                </c:pt>
                <c:pt idx="211">
                  <c:v>11.447100000000001</c:v>
                </c:pt>
                <c:pt idx="212">
                  <c:v>11.440999999999999</c:v>
                </c:pt>
                <c:pt idx="213">
                  <c:v>11.450200000000001</c:v>
                </c:pt>
                <c:pt idx="214">
                  <c:v>11.447100000000001</c:v>
                </c:pt>
                <c:pt idx="215">
                  <c:v>11.453200000000001</c:v>
                </c:pt>
                <c:pt idx="216">
                  <c:v>11.462399999999999</c:v>
                </c:pt>
                <c:pt idx="217">
                  <c:v>11.468499999999999</c:v>
                </c:pt>
                <c:pt idx="218">
                  <c:v>11.4655</c:v>
                </c:pt>
                <c:pt idx="219">
                  <c:v>11.474600000000001</c:v>
                </c:pt>
                <c:pt idx="220">
                  <c:v>11.4777</c:v>
                </c:pt>
                <c:pt idx="221">
                  <c:v>11.480700000000001</c:v>
                </c:pt>
                <c:pt idx="222">
                  <c:v>11.486800000000001</c:v>
                </c:pt>
                <c:pt idx="223">
                  <c:v>11.492900000000001</c:v>
                </c:pt>
                <c:pt idx="224">
                  <c:v>11.495999999999999</c:v>
                </c:pt>
                <c:pt idx="225">
                  <c:v>11.502099999999999</c:v>
                </c:pt>
                <c:pt idx="226">
                  <c:v>11.495999999999999</c:v>
                </c:pt>
                <c:pt idx="227">
                  <c:v>11.499000000000001</c:v>
                </c:pt>
                <c:pt idx="228">
                  <c:v>11.511199999999999</c:v>
                </c:pt>
                <c:pt idx="229">
                  <c:v>11.5082</c:v>
                </c:pt>
                <c:pt idx="230">
                  <c:v>11.523399999999999</c:v>
                </c:pt>
                <c:pt idx="231">
                  <c:v>11.5326</c:v>
                </c:pt>
                <c:pt idx="232">
                  <c:v>11.541700000000001</c:v>
                </c:pt>
                <c:pt idx="233">
                  <c:v>11.544799999999999</c:v>
                </c:pt>
                <c:pt idx="234">
                  <c:v>11.5631</c:v>
                </c:pt>
                <c:pt idx="235">
                  <c:v>11.5631</c:v>
                </c:pt>
                <c:pt idx="236">
                  <c:v>11.5692</c:v>
                </c:pt>
                <c:pt idx="237">
                  <c:v>11.5723</c:v>
                </c:pt>
                <c:pt idx="238">
                  <c:v>11.5723</c:v>
                </c:pt>
                <c:pt idx="239">
                  <c:v>11.5875</c:v>
                </c:pt>
                <c:pt idx="240">
                  <c:v>11.584499999999998</c:v>
                </c:pt>
                <c:pt idx="241">
                  <c:v>11.5906</c:v>
                </c:pt>
                <c:pt idx="242">
                  <c:v>11.5936</c:v>
                </c:pt>
                <c:pt idx="243">
                  <c:v>11.605799999999999</c:v>
                </c:pt>
                <c:pt idx="244">
                  <c:v>11.6119</c:v>
                </c:pt>
                <c:pt idx="245">
                  <c:v>11.615</c:v>
                </c:pt>
                <c:pt idx="246">
                  <c:v>11.6089</c:v>
                </c:pt>
                <c:pt idx="247">
                  <c:v>11.615</c:v>
                </c:pt>
                <c:pt idx="248">
                  <c:v>11.615</c:v>
                </c:pt>
                <c:pt idx="249">
                  <c:v>11.6211</c:v>
                </c:pt>
                <c:pt idx="250">
                  <c:v>11.6241</c:v>
                </c:pt>
                <c:pt idx="251">
                  <c:v>11.6272</c:v>
                </c:pt>
                <c:pt idx="252">
                  <c:v>11.6364</c:v>
                </c:pt>
                <c:pt idx="253">
                  <c:v>11.6364</c:v>
                </c:pt>
                <c:pt idx="254">
                  <c:v>11.6425</c:v>
                </c:pt>
                <c:pt idx="255">
                  <c:v>11.6486</c:v>
                </c:pt>
                <c:pt idx="256">
                  <c:v>11.6455</c:v>
                </c:pt>
                <c:pt idx="257">
                  <c:v>11.6455</c:v>
                </c:pt>
                <c:pt idx="258">
                  <c:v>11.6547</c:v>
                </c:pt>
                <c:pt idx="259">
                  <c:v>11.6547</c:v>
                </c:pt>
                <c:pt idx="260">
                  <c:v>11.6608</c:v>
                </c:pt>
                <c:pt idx="261">
                  <c:v>11.673</c:v>
                </c:pt>
                <c:pt idx="262">
                  <c:v>11.6882</c:v>
                </c:pt>
                <c:pt idx="263">
                  <c:v>11.676</c:v>
                </c:pt>
                <c:pt idx="264">
                  <c:v>11.6821</c:v>
                </c:pt>
                <c:pt idx="265">
                  <c:v>11.6791</c:v>
                </c:pt>
                <c:pt idx="266">
                  <c:v>11.6882</c:v>
                </c:pt>
                <c:pt idx="267">
                  <c:v>11.6913</c:v>
                </c:pt>
                <c:pt idx="268">
                  <c:v>11.6974</c:v>
                </c:pt>
                <c:pt idx="269">
                  <c:v>11.676</c:v>
                </c:pt>
                <c:pt idx="270">
                  <c:v>11.6821</c:v>
                </c:pt>
                <c:pt idx="271">
                  <c:v>11.6943</c:v>
                </c:pt>
                <c:pt idx="272">
                  <c:v>11.6974</c:v>
                </c:pt>
                <c:pt idx="273">
                  <c:v>11.6974</c:v>
                </c:pt>
                <c:pt idx="274">
                  <c:v>11.7004</c:v>
                </c:pt>
                <c:pt idx="275">
                  <c:v>11.6943</c:v>
                </c:pt>
                <c:pt idx="276">
                  <c:v>11.7004</c:v>
                </c:pt>
                <c:pt idx="277">
                  <c:v>11.7035</c:v>
                </c:pt>
                <c:pt idx="278">
                  <c:v>11.7065</c:v>
                </c:pt>
                <c:pt idx="279">
                  <c:v>11.7126</c:v>
                </c:pt>
                <c:pt idx="280">
                  <c:v>11.7218</c:v>
                </c:pt>
                <c:pt idx="281">
                  <c:v>11.731</c:v>
                </c:pt>
                <c:pt idx="282">
                  <c:v>11.7279</c:v>
                </c:pt>
                <c:pt idx="283">
                  <c:v>11.731</c:v>
                </c:pt>
                <c:pt idx="284">
                  <c:v>11.7279</c:v>
                </c:pt>
                <c:pt idx="285">
                  <c:v>11.734</c:v>
                </c:pt>
                <c:pt idx="286">
                  <c:v>11.7523</c:v>
                </c:pt>
                <c:pt idx="287">
                  <c:v>11.7523</c:v>
                </c:pt>
                <c:pt idx="288">
                  <c:v>11.7554</c:v>
                </c:pt>
                <c:pt idx="289">
                  <c:v>11.7584</c:v>
                </c:pt>
                <c:pt idx="290">
                  <c:v>11.7584</c:v>
                </c:pt>
                <c:pt idx="291">
                  <c:v>11.7645</c:v>
                </c:pt>
                <c:pt idx="292">
                  <c:v>11.7645</c:v>
                </c:pt>
                <c:pt idx="293">
                  <c:v>11.7767</c:v>
                </c:pt>
                <c:pt idx="294">
                  <c:v>11.7737</c:v>
                </c:pt>
                <c:pt idx="295">
                  <c:v>11.7767</c:v>
                </c:pt>
                <c:pt idx="296">
                  <c:v>11.770600000000002</c:v>
                </c:pt>
                <c:pt idx="297">
                  <c:v>11.7737</c:v>
                </c:pt>
                <c:pt idx="298">
                  <c:v>11.7798</c:v>
                </c:pt>
                <c:pt idx="299">
                  <c:v>11.7859</c:v>
                </c:pt>
                <c:pt idx="300">
                  <c:v>11.795</c:v>
                </c:pt>
                <c:pt idx="301">
                  <c:v>11.7981</c:v>
                </c:pt>
                <c:pt idx="302">
                  <c:v>11.8011</c:v>
                </c:pt>
                <c:pt idx="303">
                  <c:v>11.8134</c:v>
                </c:pt>
                <c:pt idx="304">
                  <c:v>11.8134</c:v>
                </c:pt>
                <c:pt idx="305">
                  <c:v>11.8134</c:v>
                </c:pt>
                <c:pt idx="306">
                  <c:v>11.8286</c:v>
                </c:pt>
                <c:pt idx="307">
                  <c:v>11.8286</c:v>
                </c:pt>
                <c:pt idx="308">
                  <c:v>11.8286</c:v>
                </c:pt>
                <c:pt idx="309">
                  <c:v>11.8683</c:v>
                </c:pt>
                <c:pt idx="310">
                  <c:v>11.8744</c:v>
                </c:pt>
                <c:pt idx="311">
                  <c:v>11.8744</c:v>
                </c:pt>
                <c:pt idx="312">
                  <c:v>11.8683</c:v>
                </c:pt>
                <c:pt idx="313">
                  <c:v>11.8652</c:v>
                </c:pt>
                <c:pt idx="314">
                  <c:v>11.8713</c:v>
                </c:pt>
                <c:pt idx="315">
                  <c:v>11.8744</c:v>
                </c:pt>
                <c:pt idx="316">
                  <c:v>11.8774</c:v>
                </c:pt>
                <c:pt idx="317">
                  <c:v>11.938499999999999</c:v>
                </c:pt>
                <c:pt idx="318">
                  <c:v>11.935400000000001</c:v>
                </c:pt>
                <c:pt idx="319">
                  <c:v>11.944599999999999</c:v>
                </c:pt>
                <c:pt idx="320">
                  <c:v>11.9476</c:v>
                </c:pt>
                <c:pt idx="321">
                  <c:v>11.944599999999999</c:v>
                </c:pt>
                <c:pt idx="322">
                  <c:v>11.956799999999999</c:v>
                </c:pt>
                <c:pt idx="323">
                  <c:v>11.9476</c:v>
                </c:pt>
                <c:pt idx="324">
                  <c:v>11.981199999999999</c:v>
                </c:pt>
                <c:pt idx="325">
                  <c:v>11.981199999999999</c:v>
                </c:pt>
                <c:pt idx="326">
                  <c:v>11.993399999999999</c:v>
                </c:pt>
                <c:pt idx="327">
                  <c:v>11.9293</c:v>
                </c:pt>
                <c:pt idx="328">
                  <c:v>11.9537</c:v>
                </c:pt>
                <c:pt idx="329">
                  <c:v>11.956799999999999</c:v>
                </c:pt>
                <c:pt idx="330">
                  <c:v>11.9598</c:v>
                </c:pt>
                <c:pt idx="331">
                  <c:v>11.9659</c:v>
                </c:pt>
                <c:pt idx="332">
                  <c:v>11.981199999999999</c:v>
                </c:pt>
                <c:pt idx="333">
                  <c:v>11.984299999999999</c:v>
                </c:pt>
                <c:pt idx="334">
                  <c:v>11.990399999999999</c:v>
                </c:pt>
                <c:pt idx="335">
                  <c:v>11.990399999999999</c:v>
                </c:pt>
                <c:pt idx="336">
                  <c:v>12.014800000000001</c:v>
                </c:pt>
                <c:pt idx="337">
                  <c:v>12.005599999999999</c:v>
                </c:pt>
                <c:pt idx="338">
                  <c:v>12.017800000000001</c:v>
                </c:pt>
                <c:pt idx="339">
                  <c:v>12.030000000000001</c:v>
                </c:pt>
                <c:pt idx="340">
                  <c:v>12.039199999999999</c:v>
                </c:pt>
                <c:pt idx="341">
                  <c:v>12.066699999999999</c:v>
                </c:pt>
                <c:pt idx="342">
                  <c:v>12.127700000000001</c:v>
                </c:pt>
                <c:pt idx="343">
                  <c:v>12.146000000000001</c:v>
                </c:pt>
                <c:pt idx="344">
                  <c:v>12.179600000000001</c:v>
                </c:pt>
                <c:pt idx="345">
                  <c:v>12.185700000000001</c:v>
                </c:pt>
                <c:pt idx="346">
                  <c:v>12.191799999999999</c:v>
                </c:pt>
                <c:pt idx="347">
                  <c:v>12.234500000000001</c:v>
                </c:pt>
                <c:pt idx="348">
                  <c:v>12.271100000000001</c:v>
                </c:pt>
                <c:pt idx="349">
                  <c:v>12.3108</c:v>
                </c:pt>
                <c:pt idx="350">
                  <c:v>12.3444</c:v>
                </c:pt>
                <c:pt idx="351">
                  <c:v>12.3932</c:v>
                </c:pt>
                <c:pt idx="352">
                  <c:v>12.4634</c:v>
                </c:pt>
                <c:pt idx="353">
                  <c:v>12.5122</c:v>
                </c:pt>
                <c:pt idx="354">
                  <c:v>12.5702</c:v>
                </c:pt>
                <c:pt idx="355">
                  <c:v>12.6373</c:v>
                </c:pt>
                <c:pt idx="356">
                  <c:v>12.6892</c:v>
                </c:pt>
                <c:pt idx="357">
                  <c:v>12.731900000000001</c:v>
                </c:pt>
                <c:pt idx="358">
                  <c:v>12.7563</c:v>
                </c:pt>
                <c:pt idx="359">
                  <c:v>12.780799999999999</c:v>
                </c:pt>
                <c:pt idx="360">
                  <c:v>12.841800000000001</c:v>
                </c:pt>
                <c:pt idx="361">
                  <c:v>12.872299999999999</c:v>
                </c:pt>
                <c:pt idx="362">
                  <c:v>12.939499999999999</c:v>
                </c:pt>
                <c:pt idx="363">
                  <c:v>12.960799999999999</c:v>
                </c:pt>
                <c:pt idx="364">
                  <c:v>12.957800000000001</c:v>
                </c:pt>
                <c:pt idx="365">
                  <c:v>13.009599999999999</c:v>
                </c:pt>
                <c:pt idx="366">
                  <c:v>13.0402</c:v>
                </c:pt>
                <c:pt idx="367">
                  <c:v>13.079800000000001</c:v>
                </c:pt>
                <c:pt idx="368">
                  <c:v>13.1561</c:v>
                </c:pt>
                <c:pt idx="369">
                  <c:v>13.2019</c:v>
                </c:pt>
                <c:pt idx="370">
                  <c:v>13.266</c:v>
                </c:pt>
                <c:pt idx="371">
                  <c:v>13.2874</c:v>
                </c:pt>
                <c:pt idx="372">
                  <c:v>13.3087</c:v>
                </c:pt>
                <c:pt idx="373">
                  <c:v>13.2996</c:v>
                </c:pt>
                <c:pt idx="374">
                  <c:v>13.3026</c:v>
                </c:pt>
                <c:pt idx="375">
                  <c:v>13.3301</c:v>
                </c:pt>
                <c:pt idx="376">
                  <c:v>13.3362</c:v>
                </c:pt>
                <c:pt idx="377">
                  <c:v>13.3301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3F-4FC6-B19B-07DC88950A5B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'20230205T210000'!$AL$11:$AL$500</c:f>
              <c:numCache>
                <c:formatCode>General</c:formatCode>
                <c:ptCount val="490"/>
                <c:pt idx="0">
                  <c:v>13.8428</c:v>
                </c:pt>
                <c:pt idx="1">
                  <c:v>13.8489</c:v>
                </c:pt>
                <c:pt idx="2">
                  <c:v>13.9526</c:v>
                </c:pt>
                <c:pt idx="3">
                  <c:v>13.9618</c:v>
                </c:pt>
                <c:pt idx="4">
                  <c:v>13.9465</c:v>
                </c:pt>
                <c:pt idx="5">
                  <c:v>13.9252</c:v>
                </c:pt>
                <c:pt idx="6">
                  <c:v>13.8733</c:v>
                </c:pt>
                <c:pt idx="7">
                  <c:v>13.797000000000001</c:v>
                </c:pt>
                <c:pt idx="8">
                  <c:v>13.833600000000001</c:v>
                </c:pt>
                <c:pt idx="9">
                  <c:v>13.769500000000001</c:v>
                </c:pt>
                <c:pt idx="10">
                  <c:v>13.717699999999999</c:v>
                </c:pt>
                <c:pt idx="11">
                  <c:v>13.702400000000001</c:v>
                </c:pt>
                <c:pt idx="12">
                  <c:v>13.662699999999999</c:v>
                </c:pt>
                <c:pt idx="13">
                  <c:v>13.616899999999999</c:v>
                </c:pt>
                <c:pt idx="14">
                  <c:v>13.558999999999999</c:v>
                </c:pt>
                <c:pt idx="15">
                  <c:v>13.507099999999999</c:v>
                </c:pt>
                <c:pt idx="16">
                  <c:v>13.543700000000001</c:v>
                </c:pt>
                <c:pt idx="17">
                  <c:v>13.4491</c:v>
                </c:pt>
                <c:pt idx="18">
                  <c:v>13.3453</c:v>
                </c:pt>
                <c:pt idx="19">
                  <c:v>13.4186</c:v>
                </c:pt>
                <c:pt idx="20">
                  <c:v>13.3179</c:v>
                </c:pt>
                <c:pt idx="21">
                  <c:v>13.2843</c:v>
                </c:pt>
                <c:pt idx="22">
                  <c:v>12.911999999999999</c:v>
                </c:pt>
                <c:pt idx="23">
                  <c:v>12.841800000000001</c:v>
                </c:pt>
                <c:pt idx="24">
                  <c:v>12.7563</c:v>
                </c:pt>
                <c:pt idx="25">
                  <c:v>12.725800000000001</c:v>
                </c:pt>
                <c:pt idx="26">
                  <c:v>12.670900000000001</c:v>
                </c:pt>
                <c:pt idx="27">
                  <c:v>12.6312</c:v>
                </c:pt>
                <c:pt idx="28">
                  <c:v>12.6068</c:v>
                </c:pt>
                <c:pt idx="29">
                  <c:v>12.5824</c:v>
                </c:pt>
                <c:pt idx="30">
                  <c:v>12.539700000000002</c:v>
                </c:pt>
                <c:pt idx="31">
                  <c:v>12.5183</c:v>
                </c:pt>
                <c:pt idx="32">
                  <c:v>12.4847</c:v>
                </c:pt>
                <c:pt idx="33">
                  <c:v>12.4664</c:v>
                </c:pt>
                <c:pt idx="34">
                  <c:v>12.4481</c:v>
                </c:pt>
                <c:pt idx="35">
                  <c:v>12.442</c:v>
                </c:pt>
                <c:pt idx="36">
                  <c:v>12.4298</c:v>
                </c:pt>
                <c:pt idx="37">
                  <c:v>12.4298</c:v>
                </c:pt>
                <c:pt idx="38">
                  <c:v>12.4146</c:v>
                </c:pt>
                <c:pt idx="39">
                  <c:v>12.4054</c:v>
                </c:pt>
                <c:pt idx="40">
                  <c:v>12.3993</c:v>
                </c:pt>
                <c:pt idx="41">
                  <c:v>12.3871</c:v>
                </c:pt>
                <c:pt idx="42">
                  <c:v>12.381</c:v>
                </c:pt>
                <c:pt idx="43">
                  <c:v>12.3657</c:v>
                </c:pt>
                <c:pt idx="44">
                  <c:v>12.3535</c:v>
                </c:pt>
                <c:pt idx="45">
                  <c:v>12.3535</c:v>
                </c:pt>
                <c:pt idx="46">
                  <c:v>12.3444</c:v>
                </c:pt>
                <c:pt idx="47">
                  <c:v>12.3779</c:v>
                </c:pt>
                <c:pt idx="48">
                  <c:v>12.3627</c:v>
                </c:pt>
                <c:pt idx="49">
                  <c:v>12.3566</c:v>
                </c:pt>
                <c:pt idx="50">
                  <c:v>12.3566</c:v>
                </c:pt>
                <c:pt idx="51">
                  <c:v>12.3413</c:v>
                </c:pt>
                <c:pt idx="52">
                  <c:v>12.3383</c:v>
                </c:pt>
                <c:pt idx="53">
                  <c:v>12.3413</c:v>
                </c:pt>
                <c:pt idx="54">
                  <c:v>12.326000000000001</c:v>
                </c:pt>
                <c:pt idx="55">
                  <c:v>12.2986</c:v>
                </c:pt>
                <c:pt idx="56">
                  <c:v>12.286399999999999</c:v>
                </c:pt>
                <c:pt idx="57">
                  <c:v>12.286399999999999</c:v>
                </c:pt>
                <c:pt idx="58">
                  <c:v>12.286399999999999</c:v>
                </c:pt>
                <c:pt idx="59">
                  <c:v>12.2742</c:v>
                </c:pt>
                <c:pt idx="60">
                  <c:v>12.2742</c:v>
                </c:pt>
                <c:pt idx="61">
                  <c:v>12.271100000000001</c:v>
                </c:pt>
                <c:pt idx="62">
                  <c:v>12.271100000000001</c:v>
                </c:pt>
                <c:pt idx="63">
                  <c:v>12.258899999999999</c:v>
                </c:pt>
                <c:pt idx="64">
                  <c:v>12.258899999999999</c:v>
                </c:pt>
                <c:pt idx="65">
                  <c:v>12.252799999999999</c:v>
                </c:pt>
                <c:pt idx="66">
                  <c:v>12.262</c:v>
                </c:pt>
                <c:pt idx="67">
                  <c:v>12.240600000000001</c:v>
                </c:pt>
                <c:pt idx="68">
                  <c:v>12.231400000000001</c:v>
                </c:pt>
                <c:pt idx="69">
                  <c:v>12.222300000000001</c:v>
                </c:pt>
                <c:pt idx="70">
                  <c:v>12.219199999999999</c:v>
                </c:pt>
                <c:pt idx="71">
                  <c:v>12.216200000000001</c:v>
                </c:pt>
                <c:pt idx="72">
                  <c:v>12.210100000000001</c:v>
                </c:pt>
                <c:pt idx="73">
                  <c:v>12.197899999999999</c:v>
                </c:pt>
                <c:pt idx="74">
                  <c:v>12.194800000000001</c:v>
                </c:pt>
                <c:pt idx="75">
                  <c:v>12.188700000000001</c:v>
                </c:pt>
                <c:pt idx="76">
                  <c:v>12.191799999999999</c:v>
                </c:pt>
                <c:pt idx="77">
                  <c:v>12.179600000000001</c:v>
                </c:pt>
                <c:pt idx="78">
                  <c:v>12.173500000000001</c:v>
                </c:pt>
                <c:pt idx="79">
                  <c:v>12.167400000000001</c:v>
                </c:pt>
                <c:pt idx="80">
                  <c:v>12.158199999999999</c:v>
                </c:pt>
                <c:pt idx="81">
                  <c:v>12.161300000000001</c:v>
                </c:pt>
                <c:pt idx="82">
                  <c:v>12.161300000000001</c:v>
                </c:pt>
                <c:pt idx="83">
                  <c:v>12.161300000000001</c:v>
                </c:pt>
                <c:pt idx="84">
                  <c:v>12.164299999999999</c:v>
                </c:pt>
                <c:pt idx="85">
                  <c:v>12.161300000000001</c:v>
                </c:pt>
                <c:pt idx="86">
                  <c:v>12.149000000000001</c:v>
                </c:pt>
                <c:pt idx="87">
                  <c:v>12.155199999999999</c:v>
                </c:pt>
                <c:pt idx="88">
                  <c:v>12.146000000000001</c:v>
                </c:pt>
                <c:pt idx="89">
                  <c:v>12.142899999999999</c:v>
                </c:pt>
                <c:pt idx="90">
                  <c:v>12.136799999999999</c:v>
                </c:pt>
                <c:pt idx="91">
                  <c:v>12.130699999999999</c:v>
                </c:pt>
                <c:pt idx="92">
                  <c:v>12.124599999999999</c:v>
                </c:pt>
                <c:pt idx="93">
                  <c:v>12.118500000000001</c:v>
                </c:pt>
                <c:pt idx="94">
                  <c:v>12.112400000000001</c:v>
                </c:pt>
                <c:pt idx="95">
                  <c:v>12.109399999999999</c:v>
                </c:pt>
                <c:pt idx="96">
                  <c:v>12.091100000000001</c:v>
                </c:pt>
                <c:pt idx="97">
                  <c:v>12.087999999999999</c:v>
                </c:pt>
                <c:pt idx="98">
                  <c:v>12.078900000000001</c:v>
                </c:pt>
                <c:pt idx="99">
                  <c:v>12.072799999999999</c:v>
                </c:pt>
                <c:pt idx="100">
                  <c:v>12.133800000000001</c:v>
                </c:pt>
                <c:pt idx="101">
                  <c:v>12.066699999999999</c:v>
                </c:pt>
                <c:pt idx="102">
                  <c:v>12.063600000000001</c:v>
                </c:pt>
                <c:pt idx="103">
                  <c:v>12.057500000000001</c:v>
                </c:pt>
                <c:pt idx="104">
                  <c:v>12.051400000000001</c:v>
                </c:pt>
                <c:pt idx="105">
                  <c:v>12.045299999999999</c:v>
                </c:pt>
                <c:pt idx="106">
                  <c:v>12.042199999999999</c:v>
                </c:pt>
                <c:pt idx="107">
                  <c:v>12.026999999999999</c:v>
                </c:pt>
                <c:pt idx="108">
                  <c:v>12.026999999999999</c:v>
                </c:pt>
                <c:pt idx="109">
                  <c:v>12.020899999999999</c:v>
                </c:pt>
                <c:pt idx="110">
                  <c:v>12.014800000000001</c:v>
                </c:pt>
                <c:pt idx="111">
                  <c:v>12.008700000000001</c:v>
                </c:pt>
                <c:pt idx="112">
                  <c:v>12.005599999999999</c:v>
                </c:pt>
                <c:pt idx="113">
                  <c:v>12.008700000000001</c:v>
                </c:pt>
                <c:pt idx="114">
                  <c:v>11.996500000000001</c:v>
                </c:pt>
                <c:pt idx="115">
                  <c:v>11.993399999999999</c:v>
                </c:pt>
                <c:pt idx="116">
                  <c:v>11.987299999999999</c:v>
                </c:pt>
                <c:pt idx="117">
                  <c:v>11.975100000000001</c:v>
                </c:pt>
                <c:pt idx="118">
                  <c:v>11.969000000000001</c:v>
                </c:pt>
                <c:pt idx="119">
                  <c:v>11.962899999999999</c:v>
                </c:pt>
                <c:pt idx="120">
                  <c:v>11.9659</c:v>
                </c:pt>
                <c:pt idx="121">
                  <c:v>11.9659</c:v>
                </c:pt>
                <c:pt idx="122">
                  <c:v>11.975100000000001</c:v>
                </c:pt>
                <c:pt idx="123">
                  <c:v>11.969000000000001</c:v>
                </c:pt>
                <c:pt idx="124">
                  <c:v>11.962899999999999</c:v>
                </c:pt>
                <c:pt idx="125">
                  <c:v>11.9537</c:v>
                </c:pt>
                <c:pt idx="126">
                  <c:v>11.944599999999999</c:v>
                </c:pt>
                <c:pt idx="127">
                  <c:v>11.9476</c:v>
                </c:pt>
                <c:pt idx="128">
                  <c:v>11.944599999999999</c:v>
                </c:pt>
                <c:pt idx="129">
                  <c:v>11.941500000000001</c:v>
                </c:pt>
                <c:pt idx="130">
                  <c:v>11.935400000000001</c:v>
                </c:pt>
                <c:pt idx="131">
                  <c:v>11.926300000000001</c:v>
                </c:pt>
                <c:pt idx="132">
                  <c:v>11.920200000000001</c:v>
                </c:pt>
                <c:pt idx="133">
                  <c:v>11.911</c:v>
                </c:pt>
                <c:pt idx="134">
                  <c:v>11.914100000000001</c:v>
                </c:pt>
                <c:pt idx="135">
                  <c:v>11.907999999999999</c:v>
                </c:pt>
                <c:pt idx="136">
                  <c:v>11.901899999999999</c:v>
                </c:pt>
                <c:pt idx="137">
                  <c:v>11.895799999999999</c:v>
                </c:pt>
                <c:pt idx="138">
                  <c:v>11.8896</c:v>
                </c:pt>
                <c:pt idx="139">
                  <c:v>11.886600000000001</c:v>
                </c:pt>
                <c:pt idx="140">
                  <c:v>11.8774</c:v>
                </c:pt>
                <c:pt idx="141">
                  <c:v>11.8683</c:v>
                </c:pt>
                <c:pt idx="142">
                  <c:v>11.8622</c:v>
                </c:pt>
                <c:pt idx="143">
                  <c:v>11.8591</c:v>
                </c:pt>
                <c:pt idx="144">
                  <c:v>11.8561</c:v>
                </c:pt>
                <c:pt idx="145">
                  <c:v>11.8896</c:v>
                </c:pt>
                <c:pt idx="146">
                  <c:v>11.8805</c:v>
                </c:pt>
                <c:pt idx="147">
                  <c:v>11.8774</c:v>
                </c:pt>
                <c:pt idx="148">
                  <c:v>11.8744</c:v>
                </c:pt>
                <c:pt idx="149">
                  <c:v>11.8652</c:v>
                </c:pt>
                <c:pt idx="150">
                  <c:v>11.8622</c:v>
                </c:pt>
                <c:pt idx="151">
                  <c:v>11.85</c:v>
                </c:pt>
                <c:pt idx="152">
                  <c:v>11.8439</c:v>
                </c:pt>
                <c:pt idx="153">
                  <c:v>11.837800000000001</c:v>
                </c:pt>
                <c:pt idx="154">
                  <c:v>11.831700000000001</c:v>
                </c:pt>
                <c:pt idx="155">
                  <c:v>11.8286</c:v>
                </c:pt>
                <c:pt idx="156">
                  <c:v>11.8256</c:v>
                </c:pt>
                <c:pt idx="157">
                  <c:v>11.8164</c:v>
                </c:pt>
                <c:pt idx="158">
                  <c:v>11.8134</c:v>
                </c:pt>
                <c:pt idx="159">
                  <c:v>11.804200000000002</c:v>
                </c:pt>
                <c:pt idx="160">
                  <c:v>11.795</c:v>
                </c:pt>
                <c:pt idx="161">
                  <c:v>11.795</c:v>
                </c:pt>
                <c:pt idx="162">
                  <c:v>11.7889</c:v>
                </c:pt>
                <c:pt idx="163">
                  <c:v>11.7859</c:v>
                </c:pt>
                <c:pt idx="164">
                  <c:v>11.7828</c:v>
                </c:pt>
                <c:pt idx="165">
                  <c:v>11.7798</c:v>
                </c:pt>
                <c:pt idx="166">
                  <c:v>11.7798</c:v>
                </c:pt>
                <c:pt idx="167">
                  <c:v>11.7737</c:v>
                </c:pt>
                <c:pt idx="168">
                  <c:v>11.7615</c:v>
                </c:pt>
                <c:pt idx="169">
                  <c:v>11.7584</c:v>
                </c:pt>
                <c:pt idx="170">
                  <c:v>11.7615</c:v>
                </c:pt>
                <c:pt idx="171">
                  <c:v>11.7523</c:v>
                </c:pt>
                <c:pt idx="172">
                  <c:v>11.7493</c:v>
                </c:pt>
                <c:pt idx="173">
                  <c:v>11.7432</c:v>
                </c:pt>
                <c:pt idx="174">
                  <c:v>11.7371</c:v>
                </c:pt>
                <c:pt idx="175">
                  <c:v>11.731</c:v>
                </c:pt>
                <c:pt idx="176">
                  <c:v>11.7279</c:v>
                </c:pt>
                <c:pt idx="177">
                  <c:v>11.7218</c:v>
                </c:pt>
                <c:pt idx="178">
                  <c:v>11.7157</c:v>
                </c:pt>
                <c:pt idx="179">
                  <c:v>11.7065</c:v>
                </c:pt>
                <c:pt idx="180">
                  <c:v>11.7065</c:v>
                </c:pt>
                <c:pt idx="181">
                  <c:v>11.7035</c:v>
                </c:pt>
                <c:pt idx="182">
                  <c:v>11.6974</c:v>
                </c:pt>
                <c:pt idx="183">
                  <c:v>11.7004</c:v>
                </c:pt>
                <c:pt idx="184">
                  <c:v>11.6943</c:v>
                </c:pt>
                <c:pt idx="185">
                  <c:v>11.6882</c:v>
                </c:pt>
                <c:pt idx="186">
                  <c:v>11.6852</c:v>
                </c:pt>
                <c:pt idx="187">
                  <c:v>11.6791</c:v>
                </c:pt>
                <c:pt idx="188">
                  <c:v>11.676</c:v>
                </c:pt>
                <c:pt idx="189">
                  <c:v>11.6699</c:v>
                </c:pt>
                <c:pt idx="190">
                  <c:v>11.6608</c:v>
                </c:pt>
                <c:pt idx="191">
                  <c:v>11.6547</c:v>
                </c:pt>
                <c:pt idx="192">
                  <c:v>11.6486</c:v>
                </c:pt>
                <c:pt idx="193">
                  <c:v>11.6425</c:v>
                </c:pt>
                <c:pt idx="194">
                  <c:v>11.6364</c:v>
                </c:pt>
                <c:pt idx="195">
                  <c:v>11.6302</c:v>
                </c:pt>
                <c:pt idx="196">
                  <c:v>11.6272</c:v>
                </c:pt>
                <c:pt idx="197">
                  <c:v>11.6211</c:v>
                </c:pt>
                <c:pt idx="198">
                  <c:v>11.6119</c:v>
                </c:pt>
                <c:pt idx="199">
                  <c:v>11.615</c:v>
                </c:pt>
                <c:pt idx="200">
                  <c:v>11.6089</c:v>
                </c:pt>
                <c:pt idx="201">
                  <c:v>11.6089</c:v>
                </c:pt>
                <c:pt idx="202">
                  <c:v>11.6119</c:v>
                </c:pt>
                <c:pt idx="203">
                  <c:v>11.5967</c:v>
                </c:pt>
                <c:pt idx="204">
                  <c:v>11.5967</c:v>
                </c:pt>
                <c:pt idx="205">
                  <c:v>11.5906</c:v>
                </c:pt>
                <c:pt idx="206">
                  <c:v>11.5875</c:v>
                </c:pt>
                <c:pt idx="207">
                  <c:v>11.5784</c:v>
                </c:pt>
                <c:pt idx="208">
                  <c:v>11.5723</c:v>
                </c:pt>
                <c:pt idx="209">
                  <c:v>11.5662</c:v>
                </c:pt>
                <c:pt idx="210">
                  <c:v>11.5784</c:v>
                </c:pt>
                <c:pt idx="211">
                  <c:v>11.557</c:v>
                </c:pt>
                <c:pt idx="212">
                  <c:v>11.554</c:v>
                </c:pt>
                <c:pt idx="213">
                  <c:v>11.554</c:v>
                </c:pt>
                <c:pt idx="214">
                  <c:v>11.541700000000001</c:v>
                </c:pt>
                <c:pt idx="215">
                  <c:v>11.5326</c:v>
                </c:pt>
                <c:pt idx="216">
                  <c:v>11.5265</c:v>
                </c:pt>
                <c:pt idx="217">
                  <c:v>11.5204</c:v>
                </c:pt>
                <c:pt idx="218">
                  <c:v>11.5204</c:v>
                </c:pt>
                <c:pt idx="219">
                  <c:v>11.511199999999999</c:v>
                </c:pt>
                <c:pt idx="220">
                  <c:v>11.505100000000001</c:v>
                </c:pt>
                <c:pt idx="221">
                  <c:v>11.505100000000001</c:v>
                </c:pt>
                <c:pt idx="222">
                  <c:v>11.499000000000001</c:v>
                </c:pt>
                <c:pt idx="223">
                  <c:v>11.4899</c:v>
                </c:pt>
                <c:pt idx="224">
                  <c:v>11.4838</c:v>
                </c:pt>
                <c:pt idx="225">
                  <c:v>11.474600000000001</c:v>
                </c:pt>
                <c:pt idx="226">
                  <c:v>11.4716</c:v>
                </c:pt>
                <c:pt idx="227">
                  <c:v>11.4655</c:v>
                </c:pt>
                <c:pt idx="228">
                  <c:v>11.456300000000001</c:v>
                </c:pt>
                <c:pt idx="229">
                  <c:v>11.4716</c:v>
                </c:pt>
                <c:pt idx="230">
                  <c:v>11.4655</c:v>
                </c:pt>
                <c:pt idx="231">
                  <c:v>11.4594</c:v>
                </c:pt>
                <c:pt idx="232">
                  <c:v>11.4594</c:v>
                </c:pt>
                <c:pt idx="233">
                  <c:v>11.450200000000001</c:v>
                </c:pt>
                <c:pt idx="234">
                  <c:v>11.450200000000001</c:v>
                </c:pt>
                <c:pt idx="235">
                  <c:v>11.444100000000001</c:v>
                </c:pt>
                <c:pt idx="236">
                  <c:v>11.438000000000001</c:v>
                </c:pt>
                <c:pt idx="237">
                  <c:v>11.434899999999999</c:v>
                </c:pt>
                <c:pt idx="238">
                  <c:v>11.431900000000001</c:v>
                </c:pt>
                <c:pt idx="239">
                  <c:v>11.428799999999999</c:v>
                </c:pt>
                <c:pt idx="240">
                  <c:v>11.419699999999999</c:v>
                </c:pt>
                <c:pt idx="241">
                  <c:v>11.416600000000001</c:v>
                </c:pt>
                <c:pt idx="242">
                  <c:v>11.413599999999999</c:v>
                </c:pt>
                <c:pt idx="243">
                  <c:v>11.404400000000001</c:v>
                </c:pt>
                <c:pt idx="244">
                  <c:v>11.398300000000001</c:v>
                </c:pt>
                <c:pt idx="245">
                  <c:v>11.395300000000001</c:v>
                </c:pt>
                <c:pt idx="246">
                  <c:v>11.389200000000001</c:v>
                </c:pt>
                <c:pt idx="247">
                  <c:v>11.386099999999999</c:v>
                </c:pt>
                <c:pt idx="248">
                  <c:v>11.383100000000001</c:v>
                </c:pt>
                <c:pt idx="249">
                  <c:v>11.379999999999999</c:v>
                </c:pt>
                <c:pt idx="250">
                  <c:v>11.370800000000001</c:v>
                </c:pt>
                <c:pt idx="251">
                  <c:v>11.361700000000001</c:v>
                </c:pt>
                <c:pt idx="252">
                  <c:v>11.361700000000001</c:v>
                </c:pt>
                <c:pt idx="253">
                  <c:v>11.355600000000001</c:v>
                </c:pt>
                <c:pt idx="254">
                  <c:v>11.346399999999999</c:v>
                </c:pt>
                <c:pt idx="255">
                  <c:v>11.346399999999999</c:v>
                </c:pt>
                <c:pt idx="256">
                  <c:v>11.340299999999999</c:v>
                </c:pt>
                <c:pt idx="257">
                  <c:v>11.337299999999999</c:v>
                </c:pt>
                <c:pt idx="258">
                  <c:v>11.334199999999999</c:v>
                </c:pt>
                <c:pt idx="259">
                  <c:v>11.328100000000001</c:v>
                </c:pt>
                <c:pt idx="260">
                  <c:v>11.322000000000001</c:v>
                </c:pt>
                <c:pt idx="261">
                  <c:v>11.315900000000001</c:v>
                </c:pt>
                <c:pt idx="262">
                  <c:v>11.309799999999999</c:v>
                </c:pt>
                <c:pt idx="263">
                  <c:v>11.306800000000001</c:v>
                </c:pt>
                <c:pt idx="264">
                  <c:v>11.300700000000001</c:v>
                </c:pt>
                <c:pt idx="265">
                  <c:v>11.297599999999999</c:v>
                </c:pt>
                <c:pt idx="266">
                  <c:v>11.288499999999999</c:v>
                </c:pt>
                <c:pt idx="267">
                  <c:v>11.285399999999999</c:v>
                </c:pt>
                <c:pt idx="268">
                  <c:v>11.279300000000001</c:v>
                </c:pt>
                <c:pt idx="269">
                  <c:v>11.273200000000001</c:v>
                </c:pt>
                <c:pt idx="270">
                  <c:v>11.267100000000001</c:v>
                </c:pt>
                <c:pt idx="271">
                  <c:v>11.261000000000001</c:v>
                </c:pt>
                <c:pt idx="272">
                  <c:v>11.251799999999999</c:v>
                </c:pt>
                <c:pt idx="273">
                  <c:v>11.248799999999999</c:v>
                </c:pt>
                <c:pt idx="274">
                  <c:v>11.239600000000001</c:v>
                </c:pt>
                <c:pt idx="275">
                  <c:v>11.233500000000001</c:v>
                </c:pt>
                <c:pt idx="276">
                  <c:v>11.227399999999999</c:v>
                </c:pt>
                <c:pt idx="277">
                  <c:v>11.221299999999999</c:v>
                </c:pt>
                <c:pt idx="278">
                  <c:v>11.218300000000001</c:v>
                </c:pt>
                <c:pt idx="279">
                  <c:v>11.212200000000001</c:v>
                </c:pt>
                <c:pt idx="280">
                  <c:v>11.209099999999999</c:v>
                </c:pt>
                <c:pt idx="281">
                  <c:v>11.202999999999999</c:v>
                </c:pt>
                <c:pt idx="282">
                  <c:v>11.2</c:v>
                </c:pt>
                <c:pt idx="283">
                  <c:v>11.196899999999999</c:v>
                </c:pt>
                <c:pt idx="284">
                  <c:v>11.196899999999999</c:v>
                </c:pt>
                <c:pt idx="285">
                  <c:v>11.1877</c:v>
                </c:pt>
                <c:pt idx="286">
                  <c:v>11.1755</c:v>
                </c:pt>
                <c:pt idx="287">
                  <c:v>11.1694</c:v>
                </c:pt>
                <c:pt idx="288">
                  <c:v>11.160299999999999</c:v>
                </c:pt>
                <c:pt idx="289">
                  <c:v>11.157200000000001</c:v>
                </c:pt>
                <c:pt idx="290">
                  <c:v>11.154199999999999</c:v>
                </c:pt>
                <c:pt idx="291">
                  <c:v>11.145</c:v>
                </c:pt>
                <c:pt idx="292">
                  <c:v>11.142000000000001</c:v>
                </c:pt>
                <c:pt idx="293">
                  <c:v>11.135900000000001</c:v>
                </c:pt>
                <c:pt idx="294">
                  <c:v>11.1328</c:v>
                </c:pt>
                <c:pt idx="295">
                  <c:v>11.1267</c:v>
                </c:pt>
                <c:pt idx="296">
                  <c:v>11.1206</c:v>
                </c:pt>
                <c:pt idx="297">
                  <c:v>11.1145</c:v>
                </c:pt>
                <c:pt idx="298">
                  <c:v>11.111499999999999</c:v>
                </c:pt>
                <c:pt idx="299">
                  <c:v>11.102300000000001</c:v>
                </c:pt>
                <c:pt idx="300">
                  <c:v>11.102300000000001</c:v>
                </c:pt>
                <c:pt idx="301">
                  <c:v>11.0992</c:v>
                </c:pt>
                <c:pt idx="302">
                  <c:v>11.087</c:v>
                </c:pt>
                <c:pt idx="303">
                  <c:v>11.084</c:v>
                </c:pt>
                <c:pt idx="304">
                  <c:v>11.068700000000002</c:v>
                </c:pt>
                <c:pt idx="305">
                  <c:v>11.0657</c:v>
                </c:pt>
                <c:pt idx="306">
                  <c:v>11.0596</c:v>
                </c:pt>
                <c:pt idx="307">
                  <c:v>11.053500000000001</c:v>
                </c:pt>
                <c:pt idx="308">
                  <c:v>11.053500000000001</c:v>
                </c:pt>
                <c:pt idx="309">
                  <c:v>11.047400000000001</c:v>
                </c:pt>
                <c:pt idx="310">
                  <c:v>11.0382</c:v>
                </c:pt>
                <c:pt idx="311">
                  <c:v>11.0352</c:v>
                </c:pt>
                <c:pt idx="312">
                  <c:v>11.026</c:v>
                </c:pt>
                <c:pt idx="313">
                  <c:v>11.0229</c:v>
                </c:pt>
                <c:pt idx="314">
                  <c:v>11.0168</c:v>
                </c:pt>
                <c:pt idx="315">
                  <c:v>11.0107</c:v>
                </c:pt>
                <c:pt idx="316">
                  <c:v>11.0046</c:v>
                </c:pt>
                <c:pt idx="317">
                  <c:v>11.0046</c:v>
                </c:pt>
                <c:pt idx="318">
                  <c:v>10.9985</c:v>
                </c:pt>
                <c:pt idx="319">
                  <c:v>10.9894</c:v>
                </c:pt>
                <c:pt idx="320">
                  <c:v>10.9833</c:v>
                </c:pt>
                <c:pt idx="321">
                  <c:v>10.8704</c:v>
                </c:pt>
                <c:pt idx="322">
                  <c:v>10.8002</c:v>
                </c:pt>
                <c:pt idx="323">
                  <c:v>10.788</c:v>
                </c:pt>
                <c:pt idx="324">
                  <c:v>10.7849</c:v>
                </c:pt>
                <c:pt idx="325">
                  <c:v>10.7788</c:v>
                </c:pt>
                <c:pt idx="326">
                  <c:v>10.7727</c:v>
                </c:pt>
                <c:pt idx="327">
                  <c:v>10.766599999999999</c:v>
                </c:pt>
                <c:pt idx="328">
                  <c:v>10.760499999999999</c:v>
                </c:pt>
                <c:pt idx="329">
                  <c:v>10.760499999999999</c:v>
                </c:pt>
                <c:pt idx="330">
                  <c:v>10.7483</c:v>
                </c:pt>
                <c:pt idx="331">
                  <c:v>10.7697</c:v>
                </c:pt>
                <c:pt idx="332">
                  <c:v>10.739100000000001</c:v>
                </c:pt>
                <c:pt idx="333">
                  <c:v>10.732999999999999</c:v>
                </c:pt>
                <c:pt idx="334">
                  <c:v>10.726899999999999</c:v>
                </c:pt>
                <c:pt idx="335">
                  <c:v>10.7178</c:v>
                </c:pt>
                <c:pt idx="336">
                  <c:v>10.7178</c:v>
                </c:pt>
                <c:pt idx="337">
                  <c:v>10.708600000000001</c:v>
                </c:pt>
                <c:pt idx="338">
                  <c:v>10.6995</c:v>
                </c:pt>
                <c:pt idx="339">
                  <c:v>10.696400000000001</c:v>
                </c:pt>
                <c:pt idx="340">
                  <c:v>10.6934</c:v>
                </c:pt>
                <c:pt idx="341">
                  <c:v>10.690300000000001</c:v>
                </c:pt>
                <c:pt idx="342">
                  <c:v>10.6812</c:v>
                </c:pt>
                <c:pt idx="343">
                  <c:v>10.671999999999999</c:v>
                </c:pt>
                <c:pt idx="344">
                  <c:v>10.668900000000001</c:v>
                </c:pt>
                <c:pt idx="345">
                  <c:v>10.665900000000001</c:v>
                </c:pt>
                <c:pt idx="346">
                  <c:v>10.656700000000001</c:v>
                </c:pt>
                <c:pt idx="347">
                  <c:v>10.650599999999999</c:v>
                </c:pt>
                <c:pt idx="348">
                  <c:v>10.650599999999999</c:v>
                </c:pt>
                <c:pt idx="349">
                  <c:v>10.650599999999999</c:v>
                </c:pt>
                <c:pt idx="350">
                  <c:v>10.641500000000001</c:v>
                </c:pt>
                <c:pt idx="351">
                  <c:v>10.632300000000001</c:v>
                </c:pt>
                <c:pt idx="352">
                  <c:v>10.620100000000001</c:v>
                </c:pt>
                <c:pt idx="353">
                  <c:v>10.614000000000001</c:v>
                </c:pt>
                <c:pt idx="354">
                  <c:v>10.601799999999999</c:v>
                </c:pt>
                <c:pt idx="355">
                  <c:v>10.586500000000001</c:v>
                </c:pt>
                <c:pt idx="356">
                  <c:v>10.565200000000001</c:v>
                </c:pt>
                <c:pt idx="357">
                  <c:v>10.531600000000001</c:v>
                </c:pt>
                <c:pt idx="358">
                  <c:v>10.406500000000001</c:v>
                </c:pt>
                <c:pt idx="359">
                  <c:v>9.9548299999999994</c:v>
                </c:pt>
                <c:pt idx="360">
                  <c:v>8.941650000000001</c:v>
                </c:pt>
                <c:pt idx="361">
                  <c:v>7.7606200000000003</c:v>
                </c:pt>
                <c:pt idx="362">
                  <c:v>6.4178500000000005</c:v>
                </c:pt>
                <c:pt idx="363">
                  <c:v>4.8477199999999998</c:v>
                </c:pt>
                <c:pt idx="364">
                  <c:v>3.11707</c:v>
                </c:pt>
                <c:pt idx="365">
                  <c:v>1.38916</c:v>
                </c:pt>
                <c:pt idx="366">
                  <c:v>-0.44784499999999999</c:v>
                </c:pt>
                <c:pt idx="367">
                  <c:v>-2.4023400000000001</c:v>
                </c:pt>
                <c:pt idx="368">
                  <c:v>-4.5178199999999995</c:v>
                </c:pt>
                <c:pt idx="369">
                  <c:v>-6.55518</c:v>
                </c:pt>
                <c:pt idx="370">
                  <c:v>-8.5693400000000004</c:v>
                </c:pt>
                <c:pt idx="371">
                  <c:v>-10.574299999999999</c:v>
                </c:pt>
                <c:pt idx="372">
                  <c:v>-12.5</c:v>
                </c:pt>
                <c:pt idx="373">
                  <c:v>-14.291399999999999</c:v>
                </c:pt>
                <c:pt idx="374">
                  <c:v>-16.271999999999998</c:v>
                </c:pt>
                <c:pt idx="375">
                  <c:v>-18.368500000000001</c:v>
                </c:pt>
                <c:pt idx="376">
                  <c:v>-20.513900000000003</c:v>
                </c:pt>
                <c:pt idx="377">
                  <c:v>-22.775299999999998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83F-4FC6-B19B-07DC88950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95200"/>
        <c:axId val="130596448"/>
      </c:scatterChart>
      <c:valAx>
        <c:axId val="1305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596448"/>
        <c:crosses val="autoZero"/>
        <c:crossBetween val="midCat"/>
      </c:valAx>
      <c:valAx>
        <c:axId val="13059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59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'20230205T210000'!$AV$10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'20230205T210000'!$AQ$11:$AQ$398</c:f>
              <c:numCache>
                <c:formatCode>General</c:formatCode>
                <c:ptCount val="388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'20230205T210000'!$AV$11:$AV$398</c:f>
              <c:numCache>
                <c:formatCode>General</c:formatCode>
                <c:ptCount val="388"/>
                <c:pt idx="0">
                  <c:v>-17.797899999999998</c:v>
                </c:pt>
                <c:pt idx="1">
                  <c:v>-15.661600000000002</c:v>
                </c:pt>
                <c:pt idx="2">
                  <c:v>-13.4247</c:v>
                </c:pt>
                <c:pt idx="3">
                  <c:v>-11.0748</c:v>
                </c:pt>
                <c:pt idx="4">
                  <c:v>-8.91113</c:v>
                </c:pt>
                <c:pt idx="5">
                  <c:v>-6.7840599999999993</c:v>
                </c:pt>
                <c:pt idx="6">
                  <c:v>-4.7222899999999992</c:v>
                </c:pt>
                <c:pt idx="7">
                  <c:v>-2.65747</c:v>
                </c:pt>
                <c:pt idx="8">
                  <c:v>-0.65765400000000007</c:v>
                </c:pt>
                <c:pt idx="9">
                  <c:v>1.2652600000000001</c:v>
                </c:pt>
                <c:pt idx="10">
                  <c:v>3.1402600000000001</c:v>
                </c:pt>
                <c:pt idx="11">
                  <c:v>4.8858600000000001</c:v>
                </c:pt>
                <c:pt idx="12">
                  <c:v>6.5185499999999994</c:v>
                </c:pt>
                <c:pt idx="13">
                  <c:v>7.8796400000000002</c:v>
                </c:pt>
                <c:pt idx="14">
                  <c:v>9.1033899999999992</c:v>
                </c:pt>
                <c:pt idx="15">
                  <c:v>10.0739</c:v>
                </c:pt>
                <c:pt idx="16">
                  <c:v>10.3912</c:v>
                </c:pt>
                <c:pt idx="17">
                  <c:v>10.406500000000001</c:v>
                </c:pt>
                <c:pt idx="18">
                  <c:v>10.525500000000001</c:v>
                </c:pt>
                <c:pt idx="19">
                  <c:v>10.534699999999999</c:v>
                </c:pt>
                <c:pt idx="20">
                  <c:v>10.424799999999999</c:v>
                </c:pt>
                <c:pt idx="21">
                  <c:v>10.434000000000001</c:v>
                </c:pt>
                <c:pt idx="22">
                  <c:v>10.436999999999999</c:v>
                </c:pt>
                <c:pt idx="23">
                  <c:v>10.449200000000001</c:v>
                </c:pt>
                <c:pt idx="24">
                  <c:v>10.452299999999999</c:v>
                </c:pt>
                <c:pt idx="25">
                  <c:v>10.476700000000001</c:v>
                </c:pt>
                <c:pt idx="26">
                  <c:v>10.479699999999999</c:v>
                </c:pt>
                <c:pt idx="27">
                  <c:v>10.479699999999999</c:v>
                </c:pt>
                <c:pt idx="28">
                  <c:v>10.495000000000001</c:v>
                </c:pt>
                <c:pt idx="29">
                  <c:v>10.510300000000001</c:v>
                </c:pt>
                <c:pt idx="30">
                  <c:v>10.513299999999999</c:v>
                </c:pt>
                <c:pt idx="31">
                  <c:v>10.546899999999999</c:v>
                </c:pt>
                <c:pt idx="32">
                  <c:v>10.546899999999999</c:v>
                </c:pt>
                <c:pt idx="33">
                  <c:v>10.568199999999999</c:v>
                </c:pt>
                <c:pt idx="34">
                  <c:v>10.571300000000001</c:v>
                </c:pt>
                <c:pt idx="35">
                  <c:v>10.540799999999999</c:v>
                </c:pt>
                <c:pt idx="36">
                  <c:v>10.568199999999999</c:v>
                </c:pt>
                <c:pt idx="37">
                  <c:v>10.574299999999999</c:v>
                </c:pt>
                <c:pt idx="38">
                  <c:v>10.571300000000001</c:v>
                </c:pt>
                <c:pt idx="39">
                  <c:v>10.580400000000001</c:v>
                </c:pt>
                <c:pt idx="40">
                  <c:v>10.632300000000001</c:v>
                </c:pt>
                <c:pt idx="41">
                  <c:v>10.641500000000001</c:v>
                </c:pt>
                <c:pt idx="42">
                  <c:v>10.647600000000001</c:v>
                </c:pt>
                <c:pt idx="43">
                  <c:v>10.659800000000001</c:v>
                </c:pt>
                <c:pt idx="44">
                  <c:v>10.623199999999999</c:v>
                </c:pt>
                <c:pt idx="45">
                  <c:v>10.632300000000001</c:v>
                </c:pt>
                <c:pt idx="46">
                  <c:v>10.675000000000001</c:v>
                </c:pt>
                <c:pt idx="47">
                  <c:v>10.675000000000001</c:v>
                </c:pt>
                <c:pt idx="48">
                  <c:v>10.668900000000001</c:v>
                </c:pt>
                <c:pt idx="49">
                  <c:v>10.671999999999999</c:v>
                </c:pt>
                <c:pt idx="50">
                  <c:v>10.678099999999999</c:v>
                </c:pt>
                <c:pt idx="51">
                  <c:v>10.684199999999999</c:v>
                </c:pt>
                <c:pt idx="52">
                  <c:v>10.6812</c:v>
                </c:pt>
                <c:pt idx="53">
                  <c:v>10.7178</c:v>
                </c:pt>
                <c:pt idx="54">
                  <c:v>10.7239</c:v>
                </c:pt>
                <c:pt idx="55">
                  <c:v>10.732999999999999</c:v>
                </c:pt>
                <c:pt idx="56">
                  <c:v>10.745200000000001</c:v>
                </c:pt>
                <c:pt idx="57">
                  <c:v>10.7483</c:v>
                </c:pt>
                <c:pt idx="58">
                  <c:v>10.7544</c:v>
                </c:pt>
                <c:pt idx="59">
                  <c:v>10.760499999999999</c:v>
                </c:pt>
                <c:pt idx="60">
                  <c:v>10.760499999999999</c:v>
                </c:pt>
                <c:pt idx="61">
                  <c:v>10.763500000000001</c:v>
                </c:pt>
                <c:pt idx="62">
                  <c:v>10.7697</c:v>
                </c:pt>
                <c:pt idx="63">
                  <c:v>10.7788</c:v>
                </c:pt>
                <c:pt idx="64">
                  <c:v>10.7819</c:v>
                </c:pt>
                <c:pt idx="65">
                  <c:v>10.7819</c:v>
                </c:pt>
                <c:pt idx="66">
                  <c:v>10.7819</c:v>
                </c:pt>
                <c:pt idx="67">
                  <c:v>10.791</c:v>
                </c:pt>
                <c:pt idx="68">
                  <c:v>10.7971</c:v>
                </c:pt>
                <c:pt idx="69">
                  <c:v>10.8002</c:v>
                </c:pt>
                <c:pt idx="70">
                  <c:v>10.8093</c:v>
                </c:pt>
                <c:pt idx="71">
                  <c:v>10.8124</c:v>
                </c:pt>
                <c:pt idx="72">
                  <c:v>10.8246</c:v>
                </c:pt>
                <c:pt idx="73">
                  <c:v>10.8185</c:v>
                </c:pt>
                <c:pt idx="74">
                  <c:v>10.8307</c:v>
                </c:pt>
                <c:pt idx="75">
                  <c:v>10.8398</c:v>
                </c:pt>
                <c:pt idx="76">
                  <c:v>10.8459</c:v>
                </c:pt>
                <c:pt idx="77">
                  <c:v>10.8521</c:v>
                </c:pt>
                <c:pt idx="78">
                  <c:v>10.8551</c:v>
                </c:pt>
                <c:pt idx="79">
                  <c:v>10.8704</c:v>
                </c:pt>
                <c:pt idx="80">
                  <c:v>10.8795</c:v>
                </c:pt>
                <c:pt idx="81">
                  <c:v>10.8826</c:v>
                </c:pt>
                <c:pt idx="82">
                  <c:v>10.8917</c:v>
                </c:pt>
                <c:pt idx="83">
                  <c:v>10.897799999999998</c:v>
                </c:pt>
                <c:pt idx="84">
                  <c:v>10.907</c:v>
                </c:pt>
                <c:pt idx="85">
                  <c:v>10.91</c:v>
                </c:pt>
                <c:pt idx="86">
                  <c:v>10.9192</c:v>
                </c:pt>
                <c:pt idx="87">
                  <c:v>10.9314</c:v>
                </c:pt>
                <c:pt idx="88">
                  <c:v>10.9467</c:v>
                </c:pt>
                <c:pt idx="89">
                  <c:v>10.9222</c:v>
                </c:pt>
                <c:pt idx="90">
                  <c:v>10.9192</c:v>
                </c:pt>
                <c:pt idx="91">
                  <c:v>10.9497</c:v>
                </c:pt>
                <c:pt idx="92">
                  <c:v>10.9589</c:v>
                </c:pt>
                <c:pt idx="93">
                  <c:v>10.9619</c:v>
                </c:pt>
                <c:pt idx="94">
                  <c:v>10.9741</c:v>
                </c:pt>
                <c:pt idx="95">
                  <c:v>10.9833</c:v>
                </c:pt>
                <c:pt idx="96">
                  <c:v>10.9833</c:v>
                </c:pt>
                <c:pt idx="97">
                  <c:v>10.9894</c:v>
                </c:pt>
                <c:pt idx="98">
                  <c:v>10.9985</c:v>
                </c:pt>
                <c:pt idx="99">
                  <c:v>11.0107</c:v>
                </c:pt>
                <c:pt idx="100">
                  <c:v>11.0168</c:v>
                </c:pt>
                <c:pt idx="101">
                  <c:v>11.0291</c:v>
                </c:pt>
                <c:pt idx="102">
                  <c:v>11.0321</c:v>
                </c:pt>
                <c:pt idx="103">
                  <c:v>11.236599999999999</c:v>
                </c:pt>
                <c:pt idx="104">
                  <c:v>11.1053</c:v>
                </c:pt>
                <c:pt idx="105">
                  <c:v>11.1053</c:v>
                </c:pt>
                <c:pt idx="106">
                  <c:v>11.0809</c:v>
                </c:pt>
                <c:pt idx="107">
                  <c:v>11.1755</c:v>
                </c:pt>
                <c:pt idx="108">
                  <c:v>11.145</c:v>
                </c:pt>
                <c:pt idx="109">
                  <c:v>11.154199999999999</c:v>
                </c:pt>
                <c:pt idx="110">
                  <c:v>11.1633</c:v>
                </c:pt>
                <c:pt idx="111">
                  <c:v>11.1755</c:v>
                </c:pt>
                <c:pt idx="112">
                  <c:v>11.1755</c:v>
                </c:pt>
                <c:pt idx="113">
                  <c:v>11.190800000000001</c:v>
                </c:pt>
                <c:pt idx="114">
                  <c:v>11.227399999999999</c:v>
                </c:pt>
                <c:pt idx="115">
                  <c:v>11.215199999999999</c:v>
                </c:pt>
                <c:pt idx="116">
                  <c:v>11.218300000000001</c:v>
                </c:pt>
                <c:pt idx="117">
                  <c:v>11.221299999999999</c:v>
                </c:pt>
                <c:pt idx="118">
                  <c:v>11.224400000000001</c:v>
                </c:pt>
                <c:pt idx="119">
                  <c:v>11.242699999999999</c:v>
                </c:pt>
                <c:pt idx="120">
                  <c:v>11.248799999999999</c:v>
                </c:pt>
                <c:pt idx="121">
                  <c:v>11.248799999999999</c:v>
                </c:pt>
                <c:pt idx="122">
                  <c:v>11.257899999999999</c:v>
                </c:pt>
                <c:pt idx="123">
                  <c:v>11.267100000000001</c:v>
                </c:pt>
                <c:pt idx="124">
                  <c:v>11.279300000000001</c:v>
                </c:pt>
                <c:pt idx="125">
                  <c:v>11.276199999999999</c:v>
                </c:pt>
                <c:pt idx="126">
                  <c:v>11.300700000000001</c:v>
                </c:pt>
                <c:pt idx="127">
                  <c:v>11.306800000000001</c:v>
                </c:pt>
                <c:pt idx="128">
                  <c:v>11.312900000000001</c:v>
                </c:pt>
                <c:pt idx="129">
                  <c:v>11.322000000000001</c:v>
                </c:pt>
                <c:pt idx="130">
                  <c:v>11.322000000000001</c:v>
                </c:pt>
                <c:pt idx="131">
                  <c:v>11.334199999999999</c:v>
                </c:pt>
                <c:pt idx="132">
                  <c:v>11.340299999999999</c:v>
                </c:pt>
                <c:pt idx="133">
                  <c:v>11.343400000000001</c:v>
                </c:pt>
                <c:pt idx="134">
                  <c:v>11.349500000000001</c:v>
                </c:pt>
                <c:pt idx="135">
                  <c:v>11.361700000000001</c:v>
                </c:pt>
                <c:pt idx="136">
                  <c:v>11.367800000000001</c:v>
                </c:pt>
                <c:pt idx="137">
                  <c:v>11.370800000000001</c:v>
                </c:pt>
                <c:pt idx="138">
                  <c:v>11.428799999999999</c:v>
                </c:pt>
                <c:pt idx="139">
                  <c:v>11.486800000000001</c:v>
                </c:pt>
                <c:pt idx="140">
                  <c:v>11.474600000000001</c:v>
                </c:pt>
                <c:pt idx="141">
                  <c:v>11.480700000000001</c:v>
                </c:pt>
                <c:pt idx="142">
                  <c:v>11.495999999999999</c:v>
                </c:pt>
                <c:pt idx="143">
                  <c:v>11.495999999999999</c:v>
                </c:pt>
                <c:pt idx="144">
                  <c:v>11.499000000000001</c:v>
                </c:pt>
                <c:pt idx="145">
                  <c:v>11.505100000000001</c:v>
                </c:pt>
                <c:pt idx="146">
                  <c:v>11.5265</c:v>
                </c:pt>
                <c:pt idx="147">
                  <c:v>11.5387</c:v>
                </c:pt>
                <c:pt idx="148">
                  <c:v>11.416600000000001</c:v>
                </c:pt>
                <c:pt idx="149">
                  <c:v>11.377000000000001</c:v>
                </c:pt>
                <c:pt idx="150">
                  <c:v>11.401400000000001</c:v>
                </c:pt>
                <c:pt idx="151">
                  <c:v>11.404400000000001</c:v>
                </c:pt>
                <c:pt idx="152">
                  <c:v>11.4838</c:v>
                </c:pt>
                <c:pt idx="153">
                  <c:v>11.523399999999999</c:v>
                </c:pt>
                <c:pt idx="154">
                  <c:v>11.529500000000001</c:v>
                </c:pt>
                <c:pt idx="155">
                  <c:v>11.5265</c:v>
                </c:pt>
                <c:pt idx="156">
                  <c:v>11.523399999999999</c:v>
                </c:pt>
                <c:pt idx="157">
                  <c:v>11.535600000000001</c:v>
                </c:pt>
                <c:pt idx="158">
                  <c:v>11.5387</c:v>
                </c:pt>
                <c:pt idx="159">
                  <c:v>11.5387</c:v>
                </c:pt>
                <c:pt idx="160">
                  <c:v>11.557</c:v>
                </c:pt>
                <c:pt idx="161">
                  <c:v>11.5662</c:v>
                </c:pt>
                <c:pt idx="162">
                  <c:v>11.5631</c:v>
                </c:pt>
                <c:pt idx="163">
                  <c:v>11.5875</c:v>
                </c:pt>
                <c:pt idx="164">
                  <c:v>11.5936</c:v>
                </c:pt>
                <c:pt idx="165">
                  <c:v>11.5906</c:v>
                </c:pt>
                <c:pt idx="166">
                  <c:v>11.5875</c:v>
                </c:pt>
                <c:pt idx="167">
                  <c:v>11.5936</c:v>
                </c:pt>
                <c:pt idx="168">
                  <c:v>11.5967</c:v>
                </c:pt>
                <c:pt idx="169">
                  <c:v>11.599699999999999</c:v>
                </c:pt>
                <c:pt idx="170">
                  <c:v>11.605799999999999</c:v>
                </c:pt>
                <c:pt idx="171">
                  <c:v>11.605799999999999</c:v>
                </c:pt>
                <c:pt idx="172">
                  <c:v>11.6241</c:v>
                </c:pt>
                <c:pt idx="173">
                  <c:v>11.6211</c:v>
                </c:pt>
                <c:pt idx="174">
                  <c:v>11.6241</c:v>
                </c:pt>
                <c:pt idx="175">
                  <c:v>11.6302</c:v>
                </c:pt>
                <c:pt idx="176">
                  <c:v>11.6486</c:v>
                </c:pt>
                <c:pt idx="177">
                  <c:v>11.6516</c:v>
                </c:pt>
                <c:pt idx="178">
                  <c:v>11.6577</c:v>
                </c:pt>
                <c:pt idx="179">
                  <c:v>11.6608</c:v>
                </c:pt>
                <c:pt idx="180">
                  <c:v>11.673</c:v>
                </c:pt>
                <c:pt idx="181">
                  <c:v>11.6791</c:v>
                </c:pt>
                <c:pt idx="182">
                  <c:v>11.6821</c:v>
                </c:pt>
                <c:pt idx="183">
                  <c:v>11.6913</c:v>
                </c:pt>
                <c:pt idx="184">
                  <c:v>11.6943</c:v>
                </c:pt>
                <c:pt idx="185">
                  <c:v>11.7004</c:v>
                </c:pt>
                <c:pt idx="186">
                  <c:v>11.6974</c:v>
                </c:pt>
                <c:pt idx="187">
                  <c:v>11.7035</c:v>
                </c:pt>
                <c:pt idx="188">
                  <c:v>11.7065</c:v>
                </c:pt>
                <c:pt idx="189">
                  <c:v>11.7126</c:v>
                </c:pt>
                <c:pt idx="190">
                  <c:v>11.7035</c:v>
                </c:pt>
                <c:pt idx="191">
                  <c:v>11.7157</c:v>
                </c:pt>
                <c:pt idx="192">
                  <c:v>11.7157</c:v>
                </c:pt>
                <c:pt idx="193">
                  <c:v>11.7371</c:v>
                </c:pt>
                <c:pt idx="194">
                  <c:v>11.731</c:v>
                </c:pt>
                <c:pt idx="195">
                  <c:v>11.7126</c:v>
                </c:pt>
                <c:pt idx="196">
                  <c:v>11.7188</c:v>
                </c:pt>
                <c:pt idx="197">
                  <c:v>11.7218</c:v>
                </c:pt>
                <c:pt idx="198">
                  <c:v>11.7279</c:v>
                </c:pt>
                <c:pt idx="199">
                  <c:v>11.7279</c:v>
                </c:pt>
                <c:pt idx="200">
                  <c:v>11.734</c:v>
                </c:pt>
                <c:pt idx="201">
                  <c:v>11.7401</c:v>
                </c:pt>
                <c:pt idx="202">
                  <c:v>11.7401</c:v>
                </c:pt>
                <c:pt idx="203">
                  <c:v>11.731</c:v>
                </c:pt>
                <c:pt idx="204">
                  <c:v>11.7584</c:v>
                </c:pt>
                <c:pt idx="205">
                  <c:v>11.7645</c:v>
                </c:pt>
                <c:pt idx="206">
                  <c:v>11.7645</c:v>
                </c:pt>
                <c:pt idx="207">
                  <c:v>11.7676</c:v>
                </c:pt>
                <c:pt idx="208">
                  <c:v>11.770600000000002</c:v>
                </c:pt>
                <c:pt idx="209">
                  <c:v>11.7737</c:v>
                </c:pt>
                <c:pt idx="210">
                  <c:v>11.7889</c:v>
                </c:pt>
                <c:pt idx="211">
                  <c:v>11.7981</c:v>
                </c:pt>
                <c:pt idx="212">
                  <c:v>11.804200000000002</c:v>
                </c:pt>
                <c:pt idx="213">
                  <c:v>11.8134</c:v>
                </c:pt>
                <c:pt idx="214">
                  <c:v>11.8195</c:v>
                </c:pt>
                <c:pt idx="215">
                  <c:v>11.8256</c:v>
                </c:pt>
                <c:pt idx="216">
                  <c:v>11.8256</c:v>
                </c:pt>
                <c:pt idx="217">
                  <c:v>11.8256</c:v>
                </c:pt>
                <c:pt idx="218">
                  <c:v>11.8225</c:v>
                </c:pt>
                <c:pt idx="219">
                  <c:v>11.8256</c:v>
                </c:pt>
                <c:pt idx="220">
                  <c:v>11.831700000000001</c:v>
                </c:pt>
                <c:pt idx="221">
                  <c:v>11.837800000000001</c:v>
                </c:pt>
                <c:pt idx="222">
                  <c:v>11.8439</c:v>
                </c:pt>
                <c:pt idx="223">
                  <c:v>11.853000000000002</c:v>
                </c:pt>
                <c:pt idx="224">
                  <c:v>11.8561</c:v>
                </c:pt>
                <c:pt idx="225">
                  <c:v>11.8591</c:v>
                </c:pt>
                <c:pt idx="226">
                  <c:v>11.8652</c:v>
                </c:pt>
                <c:pt idx="227">
                  <c:v>11.8713</c:v>
                </c:pt>
                <c:pt idx="228">
                  <c:v>11.8774</c:v>
                </c:pt>
                <c:pt idx="229">
                  <c:v>11.8835</c:v>
                </c:pt>
                <c:pt idx="230">
                  <c:v>11.886600000000001</c:v>
                </c:pt>
                <c:pt idx="231">
                  <c:v>11.8988</c:v>
                </c:pt>
                <c:pt idx="232">
                  <c:v>11.8988</c:v>
                </c:pt>
                <c:pt idx="233">
                  <c:v>11.907999999999999</c:v>
                </c:pt>
                <c:pt idx="234">
                  <c:v>11.901899999999999</c:v>
                </c:pt>
                <c:pt idx="235">
                  <c:v>11.901899999999999</c:v>
                </c:pt>
                <c:pt idx="236">
                  <c:v>11.907999999999999</c:v>
                </c:pt>
                <c:pt idx="237">
                  <c:v>11.8835</c:v>
                </c:pt>
                <c:pt idx="238">
                  <c:v>11.8408</c:v>
                </c:pt>
                <c:pt idx="239">
                  <c:v>11.8591</c:v>
                </c:pt>
                <c:pt idx="240">
                  <c:v>11.8591</c:v>
                </c:pt>
                <c:pt idx="241">
                  <c:v>11.8439</c:v>
                </c:pt>
                <c:pt idx="242">
                  <c:v>11.8408</c:v>
                </c:pt>
                <c:pt idx="243">
                  <c:v>11.8713</c:v>
                </c:pt>
                <c:pt idx="244">
                  <c:v>11.8774</c:v>
                </c:pt>
                <c:pt idx="245">
                  <c:v>11.8896</c:v>
                </c:pt>
                <c:pt idx="246">
                  <c:v>11.895799999999999</c:v>
                </c:pt>
                <c:pt idx="247">
                  <c:v>11.892700000000001</c:v>
                </c:pt>
                <c:pt idx="248">
                  <c:v>11.895799999999999</c:v>
                </c:pt>
                <c:pt idx="249">
                  <c:v>11.895799999999999</c:v>
                </c:pt>
                <c:pt idx="250">
                  <c:v>11.8896</c:v>
                </c:pt>
                <c:pt idx="251">
                  <c:v>11.8896</c:v>
                </c:pt>
                <c:pt idx="252">
                  <c:v>11.901899999999999</c:v>
                </c:pt>
                <c:pt idx="253">
                  <c:v>11.907999999999999</c:v>
                </c:pt>
                <c:pt idx="254">
                  <c:v>11.895799999999999</c:v>
                </c:pt>
                <c:pt idx="255">
                  <c:v>11.9171</c:v>
                </c:pt>
                <c:pt idx="256">
                  <c:v>11.935400000000001</c:v>
                </c:pt>
                <c:pt idx="257">
                  <c:v>11.9232</c:v>
                </c:pt>
                <c:pt idx="258">
                  <c:v>11.944599999999999</c:v>
                </c:pt>
                <c:pt idx="259">
                  <c:v>11.9476</c:v>
                </c:pt>
                <c:pt idx="260">
                  <c:v>11.9537</c:v>
                </c:pt>
                <c:pt idx="261">
                  <c:v>11.9598</c:v>
                </c:pt>
                <c:pt idx="262">
                  <c:v>11.9659</c:v>
                </c:pt>
                <c:pt idx="263">
                  <c:v>11.972</c:v>
                </c:pt>
                <c:pt idx="264">
                  <c:v>11.972</c:v>
                </c:pt>
                <c:pt idx="265">
                  <c:v>11.972</c:v>
                </c:pt>
                <c:pt idx="266">
                  <c:v>11.9781</c:v>
                </c:pt>
                <c:pt idx="267">
                  <c:v>11.987299999999999</c:v>
                </c:pt>
                <c:pt idx="268">
                  <c:v>12.002600000000001</c:v>
                </c:pt>
                <c:pt idx="269">
                  <c:v>12.014800000000001</c:v>
                </c:pt>
                <c:pt idx="270">
                  <c:v>12.011699999999999</c:v>
                </c:pt>
                <c:pt idx="271">
                  <c:v>12.008700000000001</c:v>
                </c:pt>
                <c:pt idx="272">
                  <c:v>12.033099999999999</c:v>
                </c:pt>
                <c:pt idx="273">
                  <c:v>12.036099999999999</c:v>
                </c:pt>
                <c:pt idx="274">
                  <c:v>12.045299999999999</c:v>
                </c:pt>
                <c:pt idx="275">
                  <c:v>12.054399999999999</c:v>
                </c:pt>
                <c:pt idx="276">
                  <c:v>12.054399999999999</c:v>
                </c:pt>
                <c:pt idx="277">
                  <c:v>12.048299999999999</c:v>
                </c:pt>
                <c:pt idx="278">
                  <c:v>12.051400000000001</c:v>
                </c:pt>
                <c:pt idx="279">
                  <c:v>12.057500000000001</c:v>
                </c:pt>
                <c:pt idx="280">
                  <c:v>12.063600000000001</c:v>
                </c:pt>
                <c:pt idx="281">
                  <c:v>12.063600000000001</c:v>
                </c:pt>
                <c:pt idx="282">
                  <c:v>12.066699999999999</c:v>
                </c:pt>
                <c:pt idx="283">
                  <c:v>12.069699999999999</c:v>
                </c:pt>
                <c:pt idx="284">
                  <c:v>12.069699999999999</c:v>
                </c:pt>
                <c:pt idx="285">
                  <c:v>12.075799999999999</c:v>
                </c:pt>
                <c:pt idx="286">
                  <c:v>12.078900000000001</c:v>
                </c:pt>
                <c:pt idx="287">
                  <c:v>12.085000000000001</c:v>
                </c:pt>
                <c:pt idx="288">
                  <c:v>12.112400000000001</c:v>
                </c:pt>
                <c:pt idx="289">
                  <c:v>12.115499999999999</c:v>
                </c:pt>
                <c:pt idx="290">
                  <c:v>12.106300000000001</c:v>
                </c:pt>
                <c:pt idx="291">
                  <c:v>12.130699999999999</c:v>
                </c:pt>
                <c:pt idx="292">
                  <c:v>12.136799999999999</c:v>
                </c:pt>
                <c:pt idx="293">
                  <c:v>12.146000000000001</c:v>
                </c:pt>
                <c:pt idx="294">
                  <c:v>12.146000000000001</c:v>
                </c:pt>
                <c:pt idx="295">
                  <c:v>12.149000000000001</c:v>
                </c:pt>
                <c:pt idx="296">
                  <c:v>12.155199999999999</c:v>
                </c:pt>
                <c:pt idx="297">
                  <c:v>12.155199999999999</c:v>
                </c:pt>
                <c:pt idx="298">
                  <c:v>12.158199999999999</c:v>
                </c:pt>
                <c:pt idx="299">
                  <c:v>12.155199999999999</c:v>
                </c:pt>
                <c:pt idx="300">
                  <c:v>12.121599999999999</c:v>
                </c:pt>
                <c:pt idx="301">
                  <c:v>12.115499999999999</c:v>
                </c:pt>
                <c:pt idx="302">
                  <c:v>12.124599999999999</c:v>
                </c:pt>
                <c:pt idx="303">
                  <c:v>12.118500000000001</c:v>
                </c:pt>
                <c:pt idx="304">
                  <c:v>12.118500000000001</c:v>
                </c:pt>
                <c:pt idx="305">
                  <c:v>12.133800000000001</c:v>
                </c:pt>
                <c:pt idx="306">
                  <c:v>12.146000000000001</c:v>
                </c:pt>
                <c:pt idx="307">
                  <c:v>12.139900000000001</c:v>
                </c:pt>
                <c:pt idx="308">
                  <c:v>12.191799999999999</c:v>
                </c:pt>
                <c:pt idx="309">
                  <c:v>12.191799999999999</c:v>
                </c:pt>
                <c:pt idx="310">
                  <c:v>12.191799999999999</c:v>
                </c:pt>
                <c:pt idx="311">
                  <c:v>12.210100000000001</c:v>
                </c:pt>
                <c:pt idx="312">
                  <c:v>12.216200000000001</c:v>
                </c:pt>
                <c:pt idx="313">
                  <c:v>12.231400000000001</c:v>
                </c:pt>
                <c:pt idx="314">
                  <c:v>12.2437</c:v>
                </c:pt>
                <c:pt idx="315">
                  <c:v>12.2498</c:v>
                </c:pt>
                <c:pt idx="316">
                  <c:v>12.2498</c:v>
                </c:pt>
                <c:pt idx="317">
                  <c:v>12.2742</c:v>
                </c:pt>
                <c:pt idx="318">
                  <c:v>12.2742</c:v>
                </c:pt>
                <c:pt idx="319">
                  <c:v>12.286399999999999</c:v>
                </c:pt>
                <c:pt idx="320">
                  <c:v>12.286399999999999</c:v>
                </c:pt>
                <c:pt idx="321">
                  <c:v>12.286399999999999</c:v>
                </c:pt>
                <c:pt idx="322">
                  <c:v>12.280299999999999</c:v>
                </c:pt>
                <c:pt idx="323">
                  <c:v>12.283300000000001</c:v>
                </c:pt>
                <c:pt idx="324">
                  <c:v>12.277200000000001</c:v>
                </c:pt>
                <c:pt idx="325">
                  <c:v>12.3169</c:v>
                </c:pt>
                <c:pt idx="326">
                  <c:v>12.313800000000001</c:v>
                </c:pt>
                <c:pt idx="327">
                  <c:v>12.3444</c:v>
                </c:pt>
                <c:pt idx="328">
                  <c:v>12.3505</c:v>
                </c:pt>
                <c:pt idx="329">
                  <c:v>12.3596</c:v>
                </c:pt>
                <c:pt idx="330">
                  <c:v>12.3657</c:v>
                </c:pt>
                <c:pt idx="331">
                  <c:v>12.3718</c:v>
                </c:pt>
                <c:pt idx="332">
                  <c:v>12.390099999999999</c:v>
                </c:pt>
                <c:pt idx="333">
                  <c:v>12.4023</c:v>
                </c:pt>
                <c:pt idx="334">
                  <c:v>12.4115</c:v>
                </c:pt>
                <c:pt idx="335">
                  <c:v>12.4207</c:v>
                </c:pt>
                <c:pt idx="336">
                  <c:v>12.4268</c:v>
                </c:pt>
                <c:pt idx="337">
                  <c:v>12.4359</c:v>
                </c:pt>
                <c:pt idx="338">
                  <c:v>12.4451</c:v>
                </c:pt>
                <c:pt idx="339">
                  <c:v>12.4542</c:v>
                </c:pt>
                <c:pt idx="340">
                  <c:v>12.4664</c:v>
                </c:pt>
                <c:pt idx="341">
                  <c:v>12.4817</c:v>
                </c:pt>
                <c:pt idx="342">
                  <c:v>12.5</c:v>
                </c:pt>
                <c:pt idx="343">
                  <c:v>12.5214</c:v>
                </c:pt>
                <c:pt idx="344">
                  <c:v>12.5458</c:v>
                </c:pt>
                <c:pt idx="345">
                  <c:v>12.5671</c:v>
                </c:pt>
                <c:pt idx="346">
                  <c:v>12.5916</c:v>
                </c:pt>
                <c:pt idx="347">
                  <c:v>12.619</c:v>
                </c:pt>
                <c:pt idx="348">
                  <c:v>12.6526</c:v>
                </c:pt>
                <c:pt idx="349">
                  <c:v>12.692299999999999</c:v>
                </c:pt>
                <c:pt idx="350">
                  <c:v>12.738</c:v>
                </c:pt>
                <c:pt idx="351">
                  <c:v>12.777699999999999</c:v>
                </c:pt>
                <c:pt idx="352">
                  <c:v>12.826499999999999</c:v>
                </c:pt>
                <c:pt idx="353">
                  <c:v>12.878399999999999</c:v>
                </c:pt>
                <c:pt idx="354">
                  <c:v>12.927199999999999</c:v>
                </c:pt>
                <c:pt idx="355">
                  <c:v>12.963900000000001</c:v>
                </c:pt>
                <c:pt idx="356">
                  <c:v>12.991300000000001</c:v>
                </c:pt>
                <c:pt idx="357">
                  <c:v>13.015700000000001</c:v>
                </c:pt>
                <c:pt idx="358">
                  <c:v>13.043199999999999</c:v>
                </c:pt>
                <c:pt idx="359">
                  <c:v>13.076799999999999</c:v>
                </c:pt>
                <c:pt idx="360">
                  <c:v>13.1073</c:v>
                </c:pt>
                <c:pt idx="361">
                  <c:v>13.1439</c:v>
                </c:pt>
                <c:pt idx="362">
                  <c:v>13.174399999999999</c:v>
                </c:pt>
                <c:pt idx="363">
                  <c:v>13.2111</c:v>
                </c:pt>
                <c:pt idx="364">
                  <c:v>13.2538</c:v>
                </c:pt>
                <c:pt idx="365">
                  <c:v>13.2935</c:v>
                </c:pt>
                <c:pt idx="366">
                  <c:v>13.3698</c:v>
                </c:pt>
                <c:pt idx="367">
                  <c:v>13.4155</c:v>
                </c:pt>
                <c:pt idx="368">
                  <c:v>13.458299999999999</c:v>
                </c:pt>
                <c:pt idx="369">
                  <c:v>13.494900000000001</c:v>
                </c:pt>
                <c:pt idx="370">
                  <c:v>13.531499999999999</c:v>
                </c:pt>
                <c:pt idx="371">
                  <c:v>13.555899999999999</c:v>
                </c:pt>
                <c:pt idx="372">
                  <c:v>13.568099999999999</c:v>
                </c:pt>
                <c:pt idx="373">
                  <c:v>13.571200000000001</c:v>
                </c:pt>
                <c:pt idx="374">
                  <c:v>13.568099999999999</c:v>
                </c:pt>
                <c:pt idx="375">
                  <c:v>13.565099999999999</c:v>
                </c:pt>
                <c:pt idx="376">
                  <c:v>13.592500000000001</c:v>
                </c:pt>
                <c:pt idx="377">
                  <c:v>13.601699999999999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F-48B8-85C0-67076D4DA7FA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'20230205T210000'!$BD$11:$BD$500</c:f>
              <c:numCache>
                <c:formatCode>General</c:formatCode>
                <c:ptCount val="490"/>
                <c:pt idx="0">
                  <c:v>13.507099999999999</c:v>
                </c:pt>
                <c:pt idx="1">
                  <c:v>13.561999999999999</c:v>
                </c:pt>
                <c:pt idx="2">
                  <c:v>13.574199999999999</c:v>
                </c:pt>
                <c:pt idx="3">
                  <c:v>13.580299999999999</c:v>
                </c:pt>
                <c:pt idx="4">
                  <c:v>13.574199999999999</c:v>
                </c:pt>
                <c:pt idx="5">
                  <c:v>13.549800000000001</c:v>
                </c:pt>
                <c:pt idx="6">
                  <c:v>13.537600000000001</c:v>
                </c:pt>
                <c:pt idx="7">
                  <c:v>13.4979</c:v>
                </c:pt>
                <c:pt idx="8">
                  <c:v>13.461300000000001</c:v>
                </c:pt>
                <c:pt idx="9">
                  <c:v>13.4247</c:v>
                </c:pt>
                <c:pt idx="10">
                  <c:v>13.378900000000002</c:v>
                </c:pt>
                <c:pt idx="11">
                  <c:v>13.3362</c:v>
                </c:pt>
                <c:pt idx="12">
                  <c:v>13.2874</c:v>
                </c:pt>
                <c:pt idx="13">
                  <c:v>13.256799999999998</c:v>
                </c:pt>
                <c:pt idx="14">
                  <c:v>13.2202</c:v>
                </c:pt>
                <c:pt idx="15">
                  <c:v>13.1958</c:v>
                </c:pt>
                <c:pt idx="16">
                  <c:v>13.1561</c:v>
                </c:pt>
                <c:pt idx="17">
                  <c:v>13.1287</c:v>
                </c:pt>
                <c:pt idx="18">
                  <c:v>13.1012</c:v>
                </c:pt>
                <c:pt idx="19">
                  <c:v>13.067600000000001</c:v>
                </c:pt>
                <c:pt idx="20">
                  <c:v>13.043199999999999</c:v>
                </c:pt>
                <c:pt idx="21">
                  <c:v>13.028</c:v>
                </c:pt>
                <c:pt idx="22">
                  <c:v>12.982199999999999</c:v>
                </c:pt>
                <c:pt idx="23">
                  <c:v>12.930300000000001</c:v>
                </c:pt>
                <c:pt idx="24">
                  <c:v>12.875400000000001</c:v>
                </c:pt>
                <c:pt idx="25">
                  <c:v>12.826499999999999</c:v>
                </c:pt>
                <c:pt idx="26">
                  <c:v>12.783799999999999</c:v>
                </c:pt>
                <c:pt idx="27">
                  <c:v>12.7502</c:v>
                </c:pt>
                <c:pt idx="28">
                  <c:v>12.716699999999999</c:v>
                </c:pt>
                <c:pt idx="29">
                  <c:v>12.692299999999999</c:v>
                </c:pt>
                <c:pt idx="30">
                  <c:v>12.6678</c:v>
                </c:pt>
                <c:pt idx="31">
                  <c:v>12.6465</c:v>
                </c:pt>
                <c:pt idx="32">
                  <c:v>12.6251</c:v>
                </c:pt>
                <c:pt idx="33">
                  <c:v>12.6068</c:v>
                </c:pt>
                <c:pt idx="34">
                  <c:v>12.5977</c:v>
                </c:pt>
                <c:pt idx="35">
                  <c:v>12.5793</c:v>
                </c:pt>
                <c:pt idx="36">
                  <c:v>12.5641</c:v>
                </c:pt>
                <c:pt idx="37">
                  <c:v>12.5549</c:v>
                </c:pt>
                <c:pt idx="38">
                  <c:v>12.5458</c:v>
                </c:pt>
                <c:pt idx="39">
                  <c:v>12.5458</c:v>
                </c:pt>
                <c:pt idx="40">
                  <c:v>12.5488</c:v>
                </c:pt>
                <c:pt idx="41">
                  <c:v>12.5458</c:v>
                </c:pt>
                <c:pt idx="42">
                  <c:v>12.5366</c:v>
                </c:pt>
                <c:pt idx="43">
                  <c:v>12.5336</c:v>
                </c:pt>
                <c:pt idx="44">
                  <c:v>12.5244</c:v>
                </c:pt>
                <c:pt idx="45">
                  <c:v>12.5183</c:v>
                </c:pt>
                <c:pt idx="46">
                  <c:v>12.5092</c:v>
                </c:pt>
                <c:pt idx="47">
                  <c:v>12.5031</c:v>
                </c:pt>
                <c:pt idx="48">
                  <c:v>12.4969</c:v>
                </c:pt>
                <c:pt idx="49">
                  <c:v>12.4939</c:v>
                </c:pt>
                <c:pt idx="50">
                  <c:v>12.4908</c:v>
                </c:pt>
                <c:pt idx="51">
                  <c:v>12.4878</c:v>
                </c:pt>
                <c:pt idx="52">
                  <c:v>12.4847</c:v>
                </c:pt>
                <c:pt idx="53">
                  <c:v>12.4756</c:v>
                </c:pt>
                <c:pt idx="54">
                  <c:v>12.472499999999998</c:v>
                </c:pt>
                <c:pt idx="55">
                  <c:v>12.4603</c:v>
                </c:pt>
                <c:pt idx="56">
                  <c:v>12.4512</c:v>
                </c:pt>
                <c:pt idx="57">
                  <c:v>12.4451</c:v>
                </c:pt>
                <c:pt idx="58">
                  <c:v>12.439</c:v>
                </c:pt>
                <c:pt idx="59">
                  <c:v>12.4329</c:v>
                </c:pt>
                <c:pt idx="60">
                  <c:v>12.4329</c:v>
                </c:pt>
                <c:pt idx="61">
                  <c:v>12.4298</c:v>
                </c:pt>
                <c:pt idx="62">
                  <c:v>12.4329</c:v>
                </c:pt>
                <c:pt idx="63">
                  <c:v>12.4176</c:v>
                </c:pt>
                <c:pt idx="64">
                  <c:v>12.442</c:v>
                </c:pt>
                <c:pt idx="65">
                  <c:v>12.442</c:v>
                </c:pt>
                <c:pt idx="66">
                  <c:v>12.439</c:v>
                </c:pt>
                <c:pt idx="67">
                  <c:v>12.439</c:v>
                </c:pt>
                <c:pt idx="68">
                  <c:v>12.439</c:v>
                </c:pt>
                <c:pt idx="69">
                  <c:v>12.4359</c:v>
                </c:pt>
                <c:pt idx="70">
                  <c:v>12.4298</c:v>
                </c:pt>
                <c:pt idx="71">
                  <c:v>12.4329</c:v>
                </c:pt>
                <c:pt idx="72">
                  <c:v>12.4268</c:v>
                </c:pt>
                <c:pt idx="73">
                  <c:v>12.4237</c:v>
                </c:pt>
                <c:pt idx="74">
                  <c:v>12.4237</c:v>
                </c:pt>
                <c:pt idx="75">
                  <c:v>12.4054</c:v>
                </c:pt>
                <c:pt idx="76">
                  <c:v>12.4054</c:v>
                </c:pt>
                <c:pt idx="77">
                  <c:v>12.3932</c:v>
                </c:pt>
                <c:pt idx="78">
                  <c:v>12.3962</c:v>
                </c:pt>
                <c:pt idx="79">
                  <c:v>12.3932</c:v>
                </c:pt>
                <c:pt idx="80">
                  <c:v>12.383999999999999</c:v>
                </c:pt>
                <c:pt idx="81">
                  <c:v>12.3871</c:v>
                </c:pt>
                <c:pt idx="82">
                  <c:v>12.368799999999998</c:v>
                </c:pt>
                <c:pt idx="83">
                  <c:v>12.3657</c:v>
                </c:pt>
                <c:pt idx="84">
                  <c:v>12.3566</c:v>
                </c:pt>
                <c:pt idx="85">
                  <c:v>12.3505</c:v>
                </c:pt>
                <c:pt idx="86">
                  <c:v>12.3474</c:v>
                </c:pt>
                <c:pt idx="87">
                  <c:v>12.3505</c:v>
                </c:pt>
                <c:pt idx="88">
                  <c:v>12.3474</c:v>
                </c:pt>
                <c:pt idx="89">
                  <c:v>12.335199999999999</c:v>
                </c:pt>
                <c:pt idx="90">
                  <c:v>12.3291</c:v>
                </c:pt>
                <c:pt idx="91">
                  <c:v>12.3322</c:v>
                </c:pt>
                <c:pt idx="92">
                  <c:v>12.319900000000001</c:v>
                </c:pt>
                <c:pt idx="93">
                  <c:v>12.3169</c:v>
                </c:pt>
                <c:pt idx="94">
                  <c:v>12.313800000000001</c:v>
                </c:pt>
                <c:pt idx="95">
                  <c:v>12.3108</c:v>
                </c:pt>
                <c:pt idx="96">
                  <c:v>12.3047</c:v>
                </c:pt>
                <c:pt idx="97">
                  <c:v>12.3047</c:v>
                </c:pt>
                <c:pt idx="98">
                  <c:v>12.301599999999999</c:v>
                </c:pt>
                <c:pt idx="99">
                  <c:v>12.289400000000001</c:v>
                </c:pt>
                <c:pt idx="100">
                  <c:v>12.2925</c:v>
                </c:pt>
                <c:pt idx="101">
                  <c:v>12.286399999999999</c:v>
                </c:pt>
                <c:pt idx="102">
                  <c:v>12.283300000000001</c:v>
                </c:pt>
                <c:pt idx="103">
                  <c:v>12.277200000000001</c:v>
                </c:pt>
                <c:pt idx="104">
                  <c:v>12.280299999999999</c:v>
                </c:pt>
                <c:pt idx="105">
                  <c:v>12.2742</c:v>
                </c:pt>
                <c:pt idx="106">
                  <c:v>12.258899999999999</c:v>
                </c:pt>
                <c:pt idx="107">
                  <c:v>12.252799999999999</c:v>
                </c:pt>
                <c:pt idx="108">
                  <c:v>12.2498</c:v>
                </c:pt>
                <c:pt idx="109">
                  <c:v>12.2498</c:v>
                </c:pt>
                <c:pt idx="110">
                  <c:v>12.240600000000001</c:v>
                </c:pt>
                <c:pt idx="111">
                  <c:v>12.234500000000001</c:v>
                </c:pt>
                <c:pt idx="112">
                  <c:v>12.234500000000001</c:v>
                </c:pt>
                <c:pt idx="113">
                  <c:v>12.225299999999999</c:v>
                </c:pt>
                <c:pt idx="114">
                  <c:v>12.219199999999999</c:v>
                </c:pt>
                <c:pt idx="115">
                  <c:v>12.219199999999999</c:v>
                </c:pt>
                <c:pt idx="116">
                  <c:v>12.210100000000001</c:v>
                </c:pt>
                <c:pt idx="117">
                  <c:v>12.203999999999999</c:v>
                </c:pt>
                <c:pt idx="118">
                  <c:v>12.200900000000001</c:v>
                </c:pt>
                <c:pt idx="119">
                  <c:v>12.194800000000001</c:v>
                </c:pt>
                <c:pt idx="120">
                  <c:v>12.191799999999999</c:v>
                </c:pt>
                <c:pt idx="121">
                  <c:v>12.182600000000001</c:v>
                </c:pt>
                <c:pt idx="122">
                  <c:v>12.176499999999999</c:v>
                </c:pt>
                <c:pt idx="123">
                  <c:v>12.179600000000001</c:v>
                </c:pt>
                <c:pt idx="124">
                  <c:v>12.173500000000001</c:v>
                </c:pt>
                <c:pt idx="125">
                  <c:v>12.173500000000001</c:v>
                </c:pt>
                <c:pt idx="126">
                  <c:v>12.173500000000001</c:v>
                </c:pt>
                <c:pt idx="127">
                  <c:v>12.170399999999999</c:v>
                </c:pt>
                <c:pt idx="128">
                  <c:v>12.164299999999999</c:v>
                </c:pt>
                <c:pt idx="129">
                  <c:v>12.161300000000001</c:v>
                </c:pt>
                <c:pt idx="130">
                  <c:v>12.152100000000001</c:v>
                </c:pt>
                <c:pt idx="131">
                  <c:v>12.149000000000001</c:v>
                </c:pt>
                <c:pt idx="132">
                  <c:v>12.146000000000001</c:v>
                </c:pt>
                <c:pt idx="133">
                  <c:v>12.136799999999999</c:v>
                </c:pt>
                <c:pt idx="134">
                  <c:v>12.127700000000001</c:v>
                </c:pt>
                <c:pt idx="135">
                  <c:v>12.124599999999999</c:v>
                </c:pt>
                <c:pt idx="136">
                  <c:v>12.124599999999999</c:v>
                </c:pt>
                <c:pt idx="137">
                  <c:v>12.121599999999999</c:v>
                </c:pt>
                <c:pt idx="138">
                  <c:v>12.112400000000001</c:v>
                </c:pt>
                <c:pt idx="139">
                  <c:v>12.103300000000001</c:v>
                </c:pt>
                <c:pt idx="140">
                  <c:v>12.106300000000001</c:v>
                </c:pt>
                <c:pt idx="141">
                  <c:v>12.103300000000001</c:v>
                </c:pt>
                <c:pt idx="142">
                  <c:v>12.094099999999999</c:v>
                </c:pt>
                <c:pt idx="143">
                  <c:v>12.085000000000001</c:v>
                </c:pt>
                <c:pt idx="144">
                  <c:v>12.085000000000001</c:v>
                </c:pt>
                <c:pt idx="145">
                  <c:v>12.078900000000001</c:v>
                </c:pt>
                <c:pt idx="146">
                  <c:v>12.072799999999999</c:v>
                </c:pt>
                <c:pt idx="147">
                  <c:v>12.066699999999999</c:v>
                </c:pt>
                <c:pt idx="148">
                  <c:v>12.063600000000001</c:v>
                </c:pt>
                <c:pt idx="149">
                  <c:v>12.057500000000001</c:v>
                </c:pt>
                <c:pt idx="150">
                  <c:v>12.051400000000001</c:v>
                </c:pt>
                <c:pt idx="151">
                  <c:v>12.045299999999999</c:v>
                </c:pt>
                <c:pt idx="152">
                  <c:v>12.039199999999999</c:v>
                </c:pt>
                <c:pt idx="153">
                  <c:v>12.030000000000001</c:v>
                </c:pt>
                <c:pt idx="154">
                  <c:v>12.030000000000001</c:v>
                </c:pt>
                <c:pt idx="155">
                  <c:v>12.026999999999999</c:v>
                </c:pt>
                <c:pt idx="156">
                  <c:v>12.017800000000001</c:v>
                </c:pt>
                <c:pt idx="157">
                  <c:v>12.008700000000001</c:v>
                </c:pt>
                <c:pt idx="158">
                  <c:v>12.008700000000001</c:v>
                </c:pt>
                <c:pt idx="159">
                  <c:v>12.002600000000001</c:v>
                </c:pt>
                <c:pt idx="160">
                  <c:v>11.996500000000001</c:v>
                </c:pt>
                <c:pt idx="161">
                  <c:v>11.996500000000001</c:v>
                </c:pt>
                <c:pt idx="162">
                  <c:v>11.987299999999999</c:v>
                </c:pt>
                <c:pt idx="163">
                  <c:v>11.987299999999999</c:v>
                </c:pt>
                <c:pt idx="164">
                  <c:v>11.975100000000001</c:v>
                </c:pt>
                <c:pt idx="165">
                  <c:v>11.969000000000001</c:v>
                </c:pt>
                <c:pt idx="166">
                  <c:v>11.962899999999999</c:v>
                </c:pt>
                <c:pt idx="167">
                  <c:v>11.956799999999999</c:v>
                </c:pt>
                <c:pt idx="168">
                  <c:v>11.9476</c:v>
                </c:pt>
                <c:pt idx="169">
                  <c:v>11.944599999999999</c:v>
                </c:pt>
                <c:pt idx="170">
                  <c:v>11.938499999999999</c:v>
                </c:pt>
                <c:pt idx="171">
                  <c:v>11.935400000000001</c:v>
                </c:pt>
                <c:pt idx="172">
                  <c:v>11.9232</c:v>
                </c:pt>
                <c:pt idx="173">
                  <c:v>11.9293</c:v>
                </c:pt>
                <c:pt idx="174">
                  <c:v>11.926300000000001</c:v>
                </c:pt>
                <c:pt idx="175">
                  <c:v>11.9232</c:v>
                </c:pt>
                <c:pt idx="176">
                  <c:v>11.914100000000001</c:v>
                </c:pt>
                <c:pt idx="177">
                  <c:v>11.9049</c:v>
                </c:pt>
                <c:pt idx="178">
                  <c:v>11.901899999999999</c:v>
                </c:pt>
                <c:pt idx="179">
                  <c:v>11.8988</c:v>
                </c:pt>
                <c:pt idx="180">
                  <c:v>11.8988</c:v>
                </c:pt>
                <c:pt idx="181">
                  <c:v>11.892700000000001</c:v>
                </c:pt>
                <c:pt idx="182">
                  <c:v>11.8805</c:v>
                </c:pt>
                <c:pt idx="183">
                  <c:v>11.8774</c:v>
                </c:pt>
                <c:pt idx="184">
                  <c:v>11.8683</c:v>
                </c:pt>
                <c:pt idx="185">
                  <c:v>11.8652</c:v>
                </c:pt>
                <c:pt idx="186">
                  <c:v>11.8652</c:v>
                </c:pt>
                <c:pt idx="187">
                  <c:v>11.8561</c:v>
                </c:pt>
                <c:pt idx="188">
                  <c:v>11.85</c:v>
                </c:pt>
                <c:pt idx="189">
                  <c:v>11.8439</c:v>
                </c:pt>
                <c:pt idx="190">
                  <c:v>11.8469</c:v>
                </c:pt>
                <c:pt idx="191">
                  <c:v>11.8347</c:v>
                </c:pt>
                <c:pt idx="192">
                  <c:v>11.8286</c:v>
                </c:pt>
                <c:pt idx="193">
                  <c:v>11.8225</c:v>
                </c:pt>
                <c:pt idx="194">
                  <c:v>11.8134</c:v>
                </c:pt>
                <c:pt idx="195">
                  <c:v>11.8103</c:v>
                </c:pt>
                <c:pt idx="196">
                  <c:v>11.804200000000002</c:v>
                </c:pt>
                <c:pt idx="197">
                  <c:v>11.7981</c:v>
                </c:pt>
                <c:pt idx="198">
                  <c:v>11.7981</c:v>
                </c:pt>
                <c:pt idx="199">
                  <c:v>11.8011</c:v>
                </c:pt>
                <c:pt idx="200">
                  <c:v>11.7859</c:v>
                </c:pt>
                <c:pt idx="201">
                  <c:v>11.7889</c:v>
                </c:pt>
                <c:pt idx="202">
                  <c:v>11.7767</c:v>
                </c:pt>
                <c:pt idx="203">
                  <c:v>11.7645</c:v>
                </c:pt>
                <c:pt idx="204">
                  <c:v>11.7615</c:v>
                </c:pt>
                <c:pt idx="205">
                  <c:v>11.7493</c:v>
                </c:pt>
                <c:pt idx="206">
                  <c:v>11.7371</c:v>
                </c:pt>
                <c:pt idx="207">
                  <c:v>11.731</c:v>
                </c:pt>
                <c:pt idx="208">
                  <c:v>11.7249</c:v>
                </c:pt>
                <c:pt idx="209">
                  <c:v>11.7279</c:v>
                </c:pt>
                <c:pt idx="210">
                  <c:v>11.7157</c:v>
                </c:pt>
                <c:pt idx="211">
                  <c:v>11.7065</c:v>
                </c:pt>
                <c:pt idx="212">
                  <c:v>11.7004</c:v>
                </c:pt>
                <c:pt idx="213">
                  <c:v>11.6913</c:v>
                </c:pt>
                <c:pt idx="214">
                  <c:v>11.6882</c:v>
                </c:pt>
                <c:pt idx="215">
                  <c:v>11.6852</c:v>
                </c:pt>
                <c:pt idx="216">
                  <c:v>11.6821</c:v>
                </c:pt>
                <c:pt idx="217">
                  <c:v>11.676</c:v>
                </c:pt>
                <c:pt idx="218">
                  <c:v>11.6699</c:v>
                </c:pt>
                <c:pt idx="219">
                  <c:v>11.6638</c:v>
                </c:pt>
                <c:pt idx="220">
                  <c:v>11.6608</c:v>
                </c:pt>
                <c:pt idx="221">
                  <c:v>11.6577</c:v>
                </c:pt>
                <c:pt idx="222">
                  <c:v>11.6547</c:v>
                </c:pt>
                <c:pt idx="223">
                  <c:v>11.6486</c:v>
                </c:pt>
                <c:pt idx="224">
                  <c:v>11.6394</c:v>
                </c:pt>
                <c:pt idx="225">
                  <c:v>11.633299999999998</c:v>
                </c:pt>
                <c:pt idx="226">
                  <c:v>11.6241</c:v>
                </c:pt>
                <c:pt idx="227">
                  <c:v>11.618</c:v>
                </c:pt>
                <c:pt idx="228">
                  <c:v>11.615</c:v>
                </c:pt>
                <c:pt idx="229">
                  <c:v>11.615</c:v>
                </c:pt>
                <c:pt idx="230">
                  <c:v>11.6089</c:v>
                </c:pt>
                <c:pt idx="231">
                  <c:v>11.605799999999999</c:v>
                </c:pt>
                <c:pt idx="232">
                  <c:v>11.605799999999999</c:v>
                </c:pt>
                <c:pt idx="233">
                  <c:v>11.599699999999999</c:v>
                </c:pt>
                <c:pt idx="234">
                  <c:v>11.5967</c:v>
                </c:pt>
                <c:pt idx="235">
                  <c:v>11.5875</c:v>
                </c:pt>
                <c:pt idx="236">
                  <c:v>11.5784</c:v>
                </c:pt>
                <c:pt idx="237">
                  <c:v>11.5692</c:v>
                </c:pt>
                <c:pt idx="238">
                  <c:v>11.5692</c:v>
                </c:pt>
                <c:pt idx="239">
                  <c:v>11.5631</c:v>
                </c:pt>
                <c:pt idx="240">
                  <c:v>11.557</c:v>
                </c:pt>
                <c:pt idx="241">
                  <c:v>11.550899999999999</c:v>
                </c:pt>
                <c:pt idx="242">
                  <c:v>11.5479</c:v>
                </c:pt>
                <c:pt idx="243">
                  <c:v>11.541700000000001</c:v>
                </c:pt>
                <c:pt idx="244">
                  <c:v>11.535600000000001</c:v>
                </c:pt>
                <c:pt idx="245">
                  <c:v>11.5265</c:v>
                </c:pt>
                <c:pt idx="246">
                  <c:v>11.5204</c:v>
                </c:pt>
                <c:pt idx="247">
                  <c:v>11.5143</c:v>
                </c:pt>
                <c:pt idx="248">
                  <c:v>11.511199999999999</c:v>
                </c:pt>
                <c:pt idx="249">
                  <c:v>11.511199999999999</c:v>
                </c:pt>
                <c:pt idx="250">
                  <c:v>11.511199999999999</c:v>
                </c:pt>
                <c:pt idx="251">
                  <c:v>11.499000000000001</c:v>
                </c:pt>
                <c:pt idx="252">
                  <c:v>11.492900000000001</c:v>
                </c:pt>
                <c:pt idx="253">
                  <c:v>11.486800000000001</c:v>
                </c:pt>
                <c:pt idx="254">
                  <c:v>11.4777</c:v>
                </c:pt>
                <c:pt idx="255">
                  <c:v>11.4716</c:v>
                </c:pt>
                <c:pt idx="256">
                  <c:v>11.468499999999999</c:v>
                </c:pt>
                <c:pt idx="257">
                  <c:v>11.4655</c:v>
                </c:pt>
                <c:pt idx="258">
                  <c:v>11.4594</c:v>
                </c:pt>
                <c:pt idx="259">
                  <c:v>11.456300000000001</c:v>
                </c:pt>
                <c:pt idx="260">
                  <c:v>11.447100000000001</c:v>
                </c:pt>
                <c:pt idx="261">
                  <c:v>11.438000000000001</c:v>
                </c:pt>
                <c:pt idx="262">
                  <c:v>11.434899999999999</c:v>
                </c:pt>
                <c:pt idx="263">
                  <c:v>11.428799999999999</c:v>
                </c:pt>
                <c:pt idx="264">
                  <c:v>11.422699999999999</c:v>
                </c:pt>
                <c:pt idx="265">
                  <c:v>11.416600000000001</c:v>
                </c:pt>
                <c:pt idx="266">
                  <c:v>11.413599999999999</c:v>
                </c:pt>
                <c:pt idx="267">
                  <c:v>11.407499999999999</c:v>
                </c:pt>
                <c:pt idx="268">
                  <c:v>11.401400000000001</c:v>
                </c:pt>
                <c:pt idx="269">
                  <c:v>11.398300000000001</c:v>
                </c:pt>
                <c:pt idx="270">
                  <c:v>11.398300000000001</c:v>
                </c:pt>
                <c:pt idx="271">
                  <c:v>11.386099999999999</c:v>
                </c:pt>
                <c:pt idx="272">
                  <c:v>11.379999999999999</c:v>
                </c:pt>
                <c:pt idx="273">
                  <c:v>11.383100000000001</c:v>
                </c:pt>
                <c:pt idx="274">
                  <c:v>11.370800000000001</c:v>
                </c:pt>
                <c:pt idx="275">
                  <c:v>11.361700000000001</c:v>
                </c:pt>
                <c:pt idx="276">
                  <c:v>11.358599999999999</c:v>
                </c:pt>
                <c:pt idx="277">
                  <c:v>11.349500000000001</c:v>
                </c:pt>
                <c:pt idx="278">
                  <c:v>11.343400000000001</c:v>
                </c:pt>
                <c:pt idx="279">
                  <c:v>11.340299999999999</c:v>
                </c:pt>
                <c:pt idx="280">
                  <c:v>11.328100000000001</c:v>
                </c:pt>
                <c:pt idx="281">
                  <c:v>11.331199999999999</c:v>
                </c:pt>
                <c:pt idx="282">
                  <c:v>11.322000000000001</c:v>
                </c:pt>
                <c:pt idx="283">
                  <c:v>11.309799999999999</c:v>
                </c:pt>
                <c:pt idx="284">
                  <c:v>11.303699999999999</c:v>
                </c:pt>
                <c:pt idx="285">
                  <c:v>11.300700000000001</c:v>
                </c:pt>
                <c:pt idx="286">
                  <c:v>11.294600000000001</c:v>
                </c:pt>
                <c:pt idx="287">
                  <c:v>11.288499999999999</c:v>
                </c:pt>
                <c:pt idx="288">
                  <c:v>11.285399999999999</c:v>
                </c:pt>
                <c:pt idx="289">
                  <c:v>11.285399999999999</c:v>
                </c:pt>
                <c:pt idx="290">
                  <c:v>11.276199999999999</c:v>
                </c:pt>
                <c:pt idx="291">
                  <c:v>11.276199999999999</c:v>
                </c:pt>
                <c:pt idx="292">
                  <c:v>11.267100000000001</c:v>
                </c:pt>
                <c:pt idx="293">
                  <c:v>11.257899999999999</c:v>
                </c:pt>
                <c:pt idx="294">
                  <c:v>11.257899999999999</c:v>
                </c:pt>
                <c:pt idx="295">
                  <c:v>11.257899999999999</c:v>
                </c:pt>
                <c:pt idx="296">
                  <c:v>11.245700000000001</c:v>
                </c:pt>
                <c:pt idx="297">
                  <c:v>11.239600000000001</c:v>
                </c:pt>
                <c:pt idx="298">
                  <c:v>11.233500000000001</c:v>
                </c:pt>
                <c:pt idx="299">
                  <c:v>11.230499999999999</c:v>
                </c:pt>
                <c:pt idx="300">
                  <c:v>11.221299999999999</c:v>
                </c:pt>
                <c:pt idx="301">
                  <c:v>11.221299999999999</c:v>
                </c:pt>
                <c:pt idx="302">
                  <c:v>11.212200000000001</c:v>
                </c:pt>
                <c:pt idx="303">
                  <c:v>11.209099999999999</c:v>
                </c:pt>
                <c:pt idx="304">
                  <c:v>11.206099999999999</c:v>
                </c:pt>
                <c:pt idx="305">
                  <c:v>11.2</c:v>
                </c:pt>
                <c:pt idx="306">
                  <c:v>11.1938</c:v>
                </c:pt>
                <c:pt idx="307">
                  <c:v>11.1938</c:v>
                </c:pt>
                <c:pt idx="308">
                  <c:v>11.184700000000001</c:v>
                </c:pt>
                <c:pt idx="309">
                  <c:v>11.1816</c:v>
                </c:pt>
                <c:pt idx="310">
                  <c:v>11.1694</c:v>
                </c:pt>
                <c:pt idx="311">
                  <c:v>11.1633</c:v>
                </c:pt>
                <c:pt idx="312">
                  <c:v>11.1633</c:v>
                </c:pt>
                <c:pt idx="313">
                  <c:v>11.154199999999999</c:v>
                </c:pt>
                <c:pt idx="314">
                  <c:v>11.148099999999999</c:v>
                </c:pt>
                <c:pt idx="315">
                  <c:v>11.1389</c:v>
                </c:pt>
                <c:pt idx="316">
                  <c:v>11.1389</c:v>
                </c:pt>
                <c:pt idx="317">
                  <c:v>11.1267</c:v>
                </c:pt>
                <c:pt idx="318">
                  <c:v>11.123699999999999</c:v>
                </c:pt>
                <c:pt idx="319">
                  <c:v>11.123699999999999</c:v>
                </c:pt>
                <c:pt idx="320">
                  <c:v>11.1206</c:v>
                </c:pt>
                <c:pt idx="321">
                  <c:v>11.111499999999999</c:v>
                </c:pt>
                <c:pt idx="322">
                  <c:v>11.102300000000001</c:v>
                </c:pt>
                <c:pt idx="323">
                  <c:v>11.0992</c:v>
                </c:pt>
                <c:pt idx="324">
                  <c:v>11.0901</c:v>
                </c:pt>
                <c:pt idx="325">
                  <c:v>11.084</c:v>
                </c:pt>
                <c:pt idx="326">
                  <c:v>11.0809</c:v>
                </c:pt>
                <c:pt idx="327">
                  <c:v>11.0779</c:v>
                </c:pt>
                <c:pt idx="328">
                  <c:v>11.0657</c:v>
                </c:pt>
                <c:pt idx="329">
                  <c:v>11.0626</c:v>
                </c:pt>
                <c:pt idx="330">
                  <c:v>11.0565</c:v>
                </c:pt>
                <c:pt idx="331">
                  <c:v>11.0504</c:v>
                </c:pt>
                <c:pt idx="332">
                  <c:v>11.047400000000001</c:v>
                </c:pt>
                <c:pt idx="333">
                  <c:v>11.0382</c:v>
                </c:pt>
                <c:pt idx="334">
                  <c:v>11.0352</c:v>
                </c:pt>
                <c:pt idx="335">
                  <c:v>11.0291</c:v>
                </c:pt>
                <c:pt idx="336">
                  <c:v>11.0199</c:v>
                </c:pt>
                <c:pt idx="337">
                  <c:v>11.0138</c:v>
                </c:pt>
                <c:pt idx="338">
                  <c:v>11.0107</c:v>
                </c:pt>
                <c:pt idx="339">
                  <c:v>11.0016</c:v>
                </c:pt>
                <c:pt idx="340">
                  <c:v>10.9924</c:v>
                </c:pt>
                <c:pt idx="341">
                  <c:v>10.9863</c:v>
                </c:pt>
                <c:pt idx="342">
                  <c:v>10.9772</c:v>
                </c:pt>
                <c:pt idx="343">
                  <c:v>10.9741</c:v>
                </c:pt>
                <c:pt idx="344">
                  <c:v>10.965000000000002</c:v>
                </c:pt>
                <c:pt idx="345">
                  <c:v>10.9558</c:v>
                </c:pt>
                <c:pt idx="346">
                  <c:v>10.9497</c:v>
                </c:pt>
                <c:pt idx="347">
                  <c:v>10.9406</c:v>
                </c:pt>
                <c:pt idx="348">
                  <c:v>10.9344</c:v>
                </c:pt>
                <c:pt idx="349">
                  <c:v>10.9283</c:v>
                </c:pt>
                <c:pt idx="350">
                  <c:v>10.9161</c:v>
                </c:pt>
                <c:pt idx="351">
                  <c:v>10.91</c:v>
                </c:pt>
                <c:pt idx="352">
                  <c:v>10.8948</c:v>
                </c:pt>
                <c:pt idx="353">
                  <c:v>10.8826</c:v>
                </c:pt>
                <c:pt idx="354">
                  <c:v>10.8704</c:v>
                </c:pt>
                <c:pt idx="355">
                  <c:v>10.848999999999998</c:v>
                </c:pt>
                <c:pt idx="356">
                  <c:v>10.815399999999999</c:v>
                </c:pt>
                <c:pt idx="357">
                  <c:v>10.702500000000001</c:v>
                </c:pt>
                <c:pt idx="358">
                  <c:v>10.3851</c:v>
                </c:pt>
                <c:pt idx="359">
                  <c:v>9.5794699999999988</c:v>
                </c:pt>
                <c:pt idx="360">
                  <c:v>8.6395299999999988</c:v>
                </c:pt>
                <c:pt idx="361">
                  <c:v>7.5683599999999993</c:v>
                </c:pt>
                <c:pt idx="362">
                  <c:v>6.3568100000000003</c:v>
                </c:pt>
                <c:pt idx="363">
                  <c:v>5.0140399999999996</c:v>
                </c:pt>
                <c:pt idx="364">
                  <c:v>3.54095</c:v>
                </c:pt>
                <c:pt idx="365">
                  <c:v>2.1487400000000001</c:v>
                </c:pt>
                <c:pt idx="366">
                  <c:v>0.85418699999999992</c:v>
                </c:pt>
                <c:pt idx="367">
                  <c:v>-0.41845700000000002</c:v>
                </c:pt>
                <c:pt idx="368">
                  <c:v>-1.5924100000000001</c:v>
                </c:pt>
                <c:pt idx="369">
                  <c:v>-2.7063000000000001</c:v>
                </c:pt>
                <c:pt idx="370">
                  <c:v>-3.7884500000000001</c:v>
                </c:pt>
                <c:pt idx="371">
                  <c:v>-4.8077399999999999</c:v>
                </c:pt>
                <c:pt idx="372">
                  <c:v>-5.77698</c:v>
                </c:pt>
                <c:pt idx="373">
                  <c:v>-6.55518</c:v>
                </c:pt>
                <c:pt idx="374">
                  <c:v>-7.2082500000000005</c:v>
                </c:pt>
                <c:pt idx="375">
                  <c:v>-7.8979500000000007</c:v>
                </c:pt>
                <c:pt idx="376">
                  <c:v>-8.5723899999999986</c:v>
                </c:pt>
                <c:pt idx="377">
                  <c:v>-9.21326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5FF-48B8-85C0-67076D4D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75952"/>
        <c:axId val="126472208"/>
      </c:scatterChart>
      <c:valAx>
        <c:axId val="12647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472208"/>
        <c:crosses val="autoZero"/>
        <c:crossBetween val="midCat"/>
      </c:valAx>
      <c:valAx>
        <c:axId val="12647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475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'20230206t210000'!$L$10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'20230206t210000'!$G$11:$G$500</c:f>
              <c:numCache>
                <c:formatCode>General</c:formatCode>
                <c:ptCount val="490"/>
                <c:pt idx="0">
                  <c:v>1.7450000000000001</c:v>
                </c:pt>
                <c:pt idx="1">
                  <c:v>1.73996</c:v>
                </c:pt>
                <c:pt idx="2">
                  <c:v>1.73492</c:v>
                </c:pt>
                <c:pt idx="3">
                  <c:v>1.7298899999999999</c:v>
                </c:pt>
                <c:pt idx="4">
                  <c:v>1.72485</c:v>
                </c:pt>
                <c:pt idx="5">
                  <c:v>1.7198199999999999</c:v>
                </c:pt>
                <c:pt idx="6">
                  <c:v>1.71478</c:v>
                </c:pt>
                <c:pt idx="7">
                  <c:v>1.7097500000000001</c:v>
                </c:pt>
                <c:pt idx="8">
                  <c:v>1.7047099999999999</c:v>
                </c:pt>
                <c:pt idx="9">
                  <c:v>1.6996800000000001</c:v>
                </c:pt>
                <c:pt idx="10">
                  <c:v>1.6946399999999999</c:v>
                </c:pt>
                <c:pt idx="11">
                  <c:v>1.6896100000000001</c:v>
                </c:pt>
                <c:pt idx="12">
                  <c:v>1.6845699999999999</c:v>
                </c:pt>
                <c:pt idx="13">
                  <c:v>1.67953</c:v>
                </c:pt>
                <c:pt idx="14">
                  <c:v>1.6745000000000001</c:v>
                </c:pt>
                <c:pt idx="15">
                  <c:v>1.6694599999999999</c:v>
                </c:pt>
                <c:pt idx="16">
                  <c:v>1.6644300000000001</c:v>
                </c:pt>
                <c:pt idx="17">
                  <c:v>1.6593899999999999</c:v>
                </c:pt>
                <c:pt idx="18">
                  <c:v>1.6543600000000001</c:v>
                </c:pt>
                <c:pt idx="19">
                  <c:v>1.6493199999999999</c:v>
                </c:pt>
                <c:pt idx="20">
                  <c:v>1.64429</c:v>
                </c:pt>
                <c:pt idx="21">
                  <c:v>1.6392500000000001</c:v>
                </c:pt>
                <c:pt idx="22">
                  <c:v>1.63422</c:v>
                </c:pt>
                <c:pt idx="23">
                  <c:v>1.6291800000000001</c:v>
                </c:pt>
                <c:pt idx="24">
                  <c:v>1.62415</c:v>
                </c:pt>
                <c:pt idx="25">
                  <c:v>1.61911</c:v>
                </c:pt>
                <c:pt idx="26">
                  <c:v>1.6140699999999999</c:v>
                </c:pt>
                <c:pt idx="27">
                  <c:v>1.60904</c:v>
                </c:pt>
                <c:pt idx="28">
                  <c:v>1.6040000000000001</c:v>
                </c:pt>
                <c:pt idx="29">
                  <c:v>1.59897</c:v>
                </c:pt>
                <c:pt idx="30">
                  <c:v>1.5939300000000001</c:v>
                </c:pt>
                <c:pt idx="31">
                  <c:v>1.5889</c:v>
                </c:pt>
                <c:pt idx="32">
                  <c:v>1.58386</c:v>
                </c:pt>
                <c:pt idx="33">
                  <c:v>1.57883</c:v>
                </c:pt>
                <c:pt idx="34">
                  <c:v>1.57379</c:v>
                </c:pt>
                <c:pt idx="35">
                  <c:v>1.5687599999999999</c:v>
                </c:pt>
                <c:pt idx="36">
                  <c:v>1.56372</c:v>
                </c:pt>
                <c:pt idx="37">
                  <c:v>1.5586899999999999</c:v>
                </c:pt>
                <c:pt idx="38">
                  <c:v>1.55365</c:v>
                </c:pt>
                <c:pt idx="39">
                  <c:v>1.54861</c:v>
                </c:pt>
                <c:pt idx="40">
                  <c:v>1.54358</c:v>
                </c:pt>
                <c:pt idx="41">
                  <c:v>1.53854</c:v>
                </c:pt>
                <c:pt idx="42">
                  <c:v>1.5335099999999999</c:v>
                </c:pt>
                <c:pt idx="43">
                  <c:v>1.52847</c:v>
                </c:pt>
                <c:pt idx="44">
                  <c:v>1.5234399999999999</c:v>
                </c:pt>
                <c:pt idx="45">
                  <c:v>1.5184</c:v>
                </c:pt>
                <c:pt idx="46">
                  <c:v>1.5133700000000001</c:v>
                </c:pt>
                <c:pt idx="47">
                  <c:v>1.5083299999999999</c:v>
                </c:pt>
                <c:pt idx="48">
                  <c:v>1.5033000000000001</c:v>
                </c:pt>
                <c:pt idx="49">
                  <c:v>1.4982599999999999</c:v>
                </c:pt>
                <c:pt idx="50">
                  <c:v>1.4932300000000001</c:v>
                </c:pt>
                <c:pt idx="51">
                  <c:v>1.4881899999999999</c:v>
                </c:pt>
                <c:pt idx="52">
                  <c:v>1.48315</c:v>
                </c:pt>
                <c:pt idx="53">
                  <c:v>1.4781200000000001</c:v>
                </c:pt>
                <c:pt idx="54">
                  <c:v>1.4730799999999999</c:v>
                </c:pt>
                <c:pt idx="55">
                  <c:v>1.4680500000000001</c:v>
                </c:pt>
                <c:pt idx="56">
                  <c:v>1.4630099999999999</c:v>
                </c:pt>
                <c:pt idx="57">
                  <c:v>1.4579800000000001</c:v>
                </c:pt>
                <c:pt idx="58">
                  <c:v>1.4529399999999999</c:v>
                </c:pt>
                <c:pt idx="59">
                  <c:v>1.44791</c:v>
                </c:pt>
                <c:pt idx="60">
                  <c:v>1.4428700000000001</c:v>
                </c:pt>
                <c:pt idx="61">
                  <c:v>1.43784</c:v>
                </c:pt>
                <c:pt idx="62">
                  <c:v>1.4328000000000001</c:v>
                </c:pt>
                <c:pt idx="63">
                  <c:v>1.4277599999999999</c:v>
                </c:pt>
                <c:pt idx="64">
                  <c:v>1.4227300000000001</c:v>
                </c:pt>
                <c:pt idx="65">
                  <c:v>1.4176899999999999</c:v>
                </c:pt>
                <c:pt idx="66">
                  <c:v>1.41266</c:v>
                </c:pt>
                <c:pt idx="67">
                  <c:v>1.4076200000000001</c:v>
                </c:pt>
                <c:pt idx="68">
                  <c:v>1.40259</c:v>
                </c:pt>
                <c:pt idx="69">
                  <c:v>1.3975500000000001</c:v>
                </c:pt>
                <c:pt idx="70">
                  <c:v>1.39252</c:v>
                </c:pt>
                <c:pt idx="71">
                  <c:v>1.38748</c:v>
                </c:pt>
                <c:pt idx="72">
                  <c:v>1.38245</c:v>
                </c:pt>
                <c:pt idx="73">
                  <c:v>1.37741</c:v>
                </c:pt>
                <c:pt idx="74">
                  <c:v>1.3723799999999999</c:v>
                </c:pt>
                <c:pt idx="75">
                  <c:v>1.36734</c:v>
                </c:pt>
                <c:pt idx="76">
                  <c:v>1.3623000000000001</c:v>
                </c:pt>
                <c:pt idx="77">
                  <c:v>1.35727</c:v>
                </c:pt>
                <c:pt idx="78">
                  <c:v>1.35223</c:v>
                </c:pt>
                <c:pt idx="79">
                  <c:v>1.3472</c:v>
                </c:pt>
                <c:pt idx="80">
                  <c:v>1.34216</c:v>
                </c:pt>
                <c:pt idx="81">
                  <c:v>1.3371299999999999</c:v>
                </c:pt>
                <c:pt idx="82">
                  <c:v>1.33209</c:v>
                </c:pt>
                <c:pt idx="83">
                  <c:v>1.3270599999999999</c:v>
                </c:pt>
                <c:pt idx="84">
                  <c:v>1.32202</c:v>
                </c:pt>
                <c:pt idx="85">
                  <c:v>1.3169900000000001</c:v>
                </c:pt>
                <c:pt idx="86">
                  <c:v>1.3119499999999999</c:v>
                </c:pt>
                <c:pt idx="87">
                  <c:v>1.3069200000000001</c:v>
                </c:pt>
                <c:pt idx="88">
                  <c:v>1.3018799999999999</c:v>
                </c:pt>
                <c:pt idx="89">
                  <c:v>1.29684</c:v>
                </c:pt>
                <c:pt idx="90">
                  <c:v>1.2918099999999999</c:v>
                </c:pt>
                <c:pt idx="91">
                  <c:v>1.28677</c:v>
                </c:pt>
                <c:pt idx="92">
                  <c:v>1.2817400000000001</c:v>
                </c:pt>
                <c:pt idx="93">
                  <c:v>1.2766999999999999</c:v>
                </c:pt>
                <c:pt idx="94">
                  <c:v>1.2716700000000001</c:v>
                </c:pt>
                <c:pt idx="95">
                  <c:v>1.2666299999999999</c:v>
                </c:pt>
                <c:pt idx="96">
                  <c:v>1.2616000000000001</c:v>
                </c:pt>
                <c:pt idx="97">
                  <c:v>1.2565599999999999</c:v>
                </c:pt>
                <c:pt idx="98">
                  <c:v>1.25153</c:v>
                </c:pt>
                <c:pt idx="99">
                  <c:v>1.2464900000000001</c:v>
                </c:pt>
                <c:pt idx="100">
                  <c:v>1.24146</c:v>
                </c:pt>
                <c:pt idx="101">
                  <c:v>1.2364200000000001</c:v>
                </c:pt>
                <c:pt idx="102">
                  <c:v>1.2313799999999999</c:v>
                </c:pt>
                <c:pt idx="103">
                  <c:v>1.2263500000000001</c:v>
                </c:pt>
                <c:pt idx="104">
                  <c:v>1.2213099999999999</c:v>
                </c:pt>
                <c:pt idx="105">
                  <c:v>1.21628</c:v>
                </c:pt>
                <c:pt idx="106">
                  <c:v>1.2112400000000001</c:v>
                </c:pt>
                <c:pt idx="107">
                  <c:v>1.20621</c:v>
                </c:pt>
                <c:pt idx="108">
                  <c:v>1.2011700000000001</c:v>
                </c:pt>
                <c:pt idx="109">
                  <c:v>1.19614</c:v>
                </c:pt>
                <c:pt idx="110">
                  <c:v>1.1911</c:v>
                </c:pt>
                <c:pt idx="111">
                  <c:v>1.18607</c:v>
                </c:pt>
                <c:pt idx="112">
                  <c:v>1.18103</c:v>
                </c:pt>
                <c:pt idx="113">
                  <c:v>1.1759900000000001</c:v>
                </c:pt>
                <c:pt idx="114">
                  <c:v>1.17096</c:v>
                </c:pt>
                <c:pt idx="115">
                  <c:v>1.1659200000000001</c:v>
                </c:pt>
                <c:pt idx="116">
                  <c:v>1.16089</c:v>
                </c:pt>
                <c:pt idx="117">
                  <c:v>1.15585</c:v>
                </c:pt>
                <c:pt idx="118">
                  <c:v>1.15082</c:v>
                </c:pt>
                <c:pt idx="119">
                  <c:v>1.14578</c:v>
                </c:pt>
                <c:pt idx="120">
                  <c:v>1.1407499999999999</c:v>
                </c:pt>
                <c:pt idx="121">
                  <c:v>1.13571</c:v>
                </c:pt>
                <c:pt idx="122">
                  <c:v>1.1306799999999999</c:v>
                </c:pt>
                <c:pt idx="123">
                  <c:v>1.12564</c:v>
                </c:pt>
                <c:pt idx="124">
                  <c:v>1.1206100000000001</c:v>
                </c:pt>
                <c:pt idx="125">
                  <c:v>1.11557</c:v>
                </c:pt>
                <c:pt idx="126">
                  <c:v>1.11053</c:v>
                </c:pt>
                <c:pt idx="127">
                  <c:v>1.1054999999999999</c:v>
                </c:pt>
                <c:pt idx="128">
                  <c:v>1.10046</c:v>
                </c:pt>
                <c:pt idx="129">
                  <c:v>1.0954299999999999</c:v>
                </c:pt>
                <c:pt idx="130">
                  <c:v>1.09039</c:v>
                </c:pt>
                <c:pt idx="131">
                  <c:v>1.0853600000000001</c:v>
                </c:pt>
                <c:pt idx="132">
                  <c:v>1.0803199999999999</c:v>
                </c:pt>
                <c:pt idx="133">
                  <c:v>1.0752900000000001</c:v>
                </c:pt>
                <c:pt idx="134">
                  <c:v>1.0702499999999999</c:v>
                </c:pt>
                <c:pt idx="135">
                  <c:v>1.0652200000000001</c:v>
                </c:pt>
                <c:pt idx="136">
                  <c:v>1.0601799999999999</c:v>
                </c:pt>
                <c:pt idx="137">
                  <c:v>1.05515</c:v>
                </c:pt>
                <c:pt idx="138">
                  <c:v>1.0501100000000001</c:v>
                </c:pt>
                <c:pt idx="139">
                  <c:v>1.0450699999999999</c:v>
                </c:pt>
                <c:pt idx="140">
                  <c:v>1.0400400000000001</c:v>
                </c:pt>
                <c:pt idx="141">
                  <c:v>1.0349999999999999</c:v>
                </c:pt>
                <c:pt idx="142">
                  <c:v>1.0299700000000001</c:v>
                </c:pt>
                <c:pt idx="143">
                  <c:v>1.0249299999999999</c:v>
                </c:pt>
                <c:pt idx="144">
                  <c:v>1.0199</c:v>
                </c:pt>
                <c:pt idx="145">
                  <c:v>1.0148600000000001</c:v>
                </c:pt>
                <c:pt idx="146">
                  <c:v>1.00983</c:v>
                </c:pt>
                <c:pt idx="147">
                  <c:v>1.0047900000000001</c:v>
                </c:pt>
                <c:pt idx="148">
                  <c:v>0.99975599999999998</c:v>
                </c:pt>
                <c:pt idx="149">
                  <c:v>0.99472000000000005</c:v>
                </c:pt>
                <c:pt idx="150">
                  <c:v>0.98968500000000004</c:v>
                </c:pt>
                <c:pt idx="151">
                  <c:v>0.98465000000000003</c:v>
                </c:pt>
                <c:pt idx="152">
                  <c:v>0.97961399999999998</c:v>
                </c:pt>
                <c:pt idx="153">
                  <c:v>0.97457899999999997</c:v>
                </c:pt>
                <c:pt idx="154">
                  <c:v>0.96954300000000004</c:v>
                </c:pt>
                <c:pt idx="155">
                  <c:v>0.96450800000000003</c:v>
                </c:pt>
                <c:pt idx="156">
                  <c:v>0.95947300000000002</c:v>
                </c:pt>
                <c:pt idx="157">
                  <c:v>0.95443699999999998</c:v>
                </c:pt>
                <c:pt idx="158">
                  <c:v>0.94940199999999997</c:v>
                </c:pt>
                <c:pt idx="159">
                  <c:v>0.94436600000000004</c:v>
                </c:pt>
                <c:pt idx="160">
                  <c:v>0.93933100000000003</c:v>
                </c:pt>
                <c:pt idx="161">
                  <c:v>0.93429600000000002</c:v>
                </c:pt>
                <c:pt idx="162">
                  <c:v>0.92925999999999997</c:v>
                </c:pt>
                <c:pt idx="163">
                  <c:v>0.92422499999999996</c:v>
                </c:pt>
                <c:pt idx="164">
                  <c:v>0.91918900000000003</c:v>
                </c:pt>
                <c:pt idx="165">
                  <c:v>0.91415400000000002</c:v>
                </c:pt>
                <c:pt idx="166">
                  <c:v>0.90911900000000001</c:v>
                </c:pt>
                <c:pt idx="167">
                  <c:v>0.90408299999999997</c:v>
                </c:pt>
                <c:pt idx="168">
                  <c:v>0.89904799999999996</c:v>
                </c:pt>
                <c:pt idx="169">
                  <c:v>0.89401200000000003</c:v>
                </c:pt>
                <c:pt idx="170">
                  <c:v>0.88897700000000002</c:v>
                </c:pt>
                <c:pt idx="171">
                  <c:v>0.88394200000000001</c:v>
                </c:pt>
                <c:pt idx="172">
                  <c:v>0.87890599999999997</c:v>
                </c:pt>
                <c:pt idx="173">
                  <c:v>0.87387099999999995</c:v>
                </c:pt>
                <c:pt idx="174">
                  <c:v>0.86883500000000002</c:v>
                </c:pt>
                <c:pt idx="175">
                  <c:v>0.86380000000000001</c:v>
                </c:pt>
                <c:pt idx="176">
                  <c:v>0.858765</c:v>
                </c:pt>
                <c:pt idx="177">
                  <c:v>0.85372899999999996</c:v>
                </c:pt>
                <c:pt idx="178">
                  <c:v>0.84869399999999995</c:v>
                </c:pt>
                <c:pt idx="179">
                  <c:v>0.84365800000000002</c:v>
                </c:pt>
                <c:pt idx="180">
                  <c:v>0.83862300000000001</c:v>
                </c:pt>
                <c:pt idx="181">
                  <c:v>0.833588</c:v>
                </c:pt>
                <c:pt idx="182">
                  <c:v>0.82855199999999996</c:v>
                </c:pt>
                <c:pt idx="183">
                  <c:v>0.82351700000000005</c:v>
                </c:pt>
                <c:pt idx="184">
                  <c:v>0.81848100000000001</c:v>
                </c:pt>
                <c:pt idx="185">
                  <c:v>0.813446</c:v>
                </c:pt>
                <c:pt idx="186">
                  <c:v>0.80841099999999999</c:v>
                </c:pt>
                <c:pt idx="187">
                  <c:v>0.80337499999999995</c:v>
                </c:pt>
                <c:pt idx="188">
                  <c:v>0.79834000000000005</c:v>
                </c:pt>
                <c:pt idx="189">
                  <c:v>0.79330400000000001</c:v>
                </c:pt>
                <c:pt idx="190">
                  <c:v>0.788269</c:v>
                </c:pt>
                <c:pt idx="191">
                  <c:v>0.78323399999999999</c:v>
                </c:pt>
                <c:pt idx="192">
                  <c:v>0.77819799999999995</c:v>
                </c:pt>
                <c:pt idx="193">
                  <c:v>0.77316300000000004</c:v>
                </c:pt>
                <c:pt idx="194">
                  <c:v>0.768127</c:v>
                </c:pt>
                <c:pt idx="195">
                  <c:v>0.76309199999999999</c:v>
                </c:pt>
                <c:pt idx="196">
                  <c:v>0.75805699999999998</c:v>
                </c:pt>
                <c:pt idx="197">
                  <c:v>0.75302100000000005</c:v>
                </c:pt>
                <c:pt idx="198">
                  <c:v>0.74798600000000004</c:v>
                </c:pt>
                <c:pt idx="199">
                  <c:v>0.74295</c:v>
                </c:pt>
                <c:pt idx="200">
                  <c:v>0.73791499999999999</c:v>
                </c:pt>
                <c:pt idx="201">
                  <c:v>0.73287999999999998</c:v>
                </c:pt>
                <c:pt idx="202">
                  <c:v>0.72784400000000005</c:v>
                </c:pt>
                <c:pt idx="203">
                  <c:v>0.72280900000000003</c:v>
                </c:pt>
                <c:pt idx="204">
                  <c:v>0.71777299999999999</c:v>
                </c:pt>
                <c:pt idx="205">
                  <c:v>0.71273799999999998</c:v>
                </c:pt>
                <c:pt idx="206">
                  <c:v>0.70770299999999997</c:v>
                </c:pt>
                <c:pt idx="207">
                  <c:v>0.70266700000000004</c:v>
                </c:pt>
                <c:pt idx="208">
                  <c:v>0.69763200000000003</c:v>
                </c:pt>
                <c:pt idx="209">
                  <c:v>0.69259599999999999</c:v>
                </c:pt>
                <c:pt idx="210">
                  <c:v>0.68756099999999998</c:v>
                </c:pt>
                <c:pt idx="211">
                  <c:v>0.68252599999999997</c:v>
                </c:pt>
                <c:pt idx="212">
                  <c:v>0.67749000000000004</c:v>
                </c:pt>
                <c:pt idx="213">
                  <c:v>0.67245500000000002</c:v>
                </c:pt>
                <c:pt idx="214">
                  <c:v>0.66741899999999998</c:v>
                </c:pt>
                <c:pt idx="215">
                  <c:v>0.66238399999999997</c:v>
                </c:pt>
                <c:pt idx="216">
                  <c:v>0.65734899999999996</c:v>
                </c:pt>
                <c:pt idx="217">
                  <c:v>0.65231300000000003</c:v>
                </c:pt>
                <c:pt idx="218">
                  <c:v>0.64727800000000002</c:v>
                </c:pt>
                <c:pt idx="219">
                  <c:v>0.64224199999999998</c:v>
                </c:pt>
                <c:pt idx="220">
                  <c:v>0.63720699999999997</c:v>
                </c:pt>
                <c:pt idx="221">
                  <c:v>0.63217199999999996</c:v>
                </c:pt>
                <c:pt idx="222">
                  <c:v>0.62713600000000003</c:v>
                </c:pt>
                <c:pt idx="223">
                  <c:v>0.62210100000000002</c:v>
                </c:pt>
                <c:pt idx="224">
                  <c:v>0.61706499999999997</c:v>
                </c:pt>
                <c:pt idx="225">
                  <c:v>0.61202999999999996</c:v>
                </c:pt>
                <c:pt idx="226">
                  <c:v>0.60699499999999995</c:v>
                </c:pt>
                <c:pt idx="227">
                  <c:v>0.60195900000000002</c:v>
                </c:pt>
                <c:pt idx="228">
                  <c:v>0.59692400000000001</c:v>
                </c:pt>
                <c:pt idx="229">
                  <c:v>0.59188799999999997</c:v>
                </c:pt>
                <c:pt idx="230">
                  <c:v>0.58685299999999996</c:v>
                </c:pt>
                <c:pt idx="231">
                  <c:v>0.58181799999999995</c:v>
                </c:pt>
                <c:pt idx="232">
                  <c:v>0.57678200000000002</c:v>
                </c:pt>
                <c:pt idx="233">
                  <c:v>0.57174700000000001</c:v>
                </c:pt>
                <c:pt idx="234">
                  <c:v>0.56671099999999996</c:v>
                </c:pt>
                <c:pt idx="235">
                  <c:v>0.56167599999999995</c:v>
                </c:pt>
                <c:pt idx="236">
                  <c:v>0.55664100000000005</c:v>
                </c:pt>
                <c:pt idx="237">
                  <c:v>0.55160500000000001</c:v>
                </c:pt>
                <c:pt idx="238">
                  <c:v>0.54657</c:v>
                </c:pt>
                <c:pt idx="239">
                  <c:v>0.54153399999999996</c:v>
                </c:pt>
                <c:pt idx="240">
                  <c:v>0.53649899999999995</c:v>
                </c:pt>
                <c:pt idx="241">
                  <c:v>0.53146400000000005</c:v>
                </c:pt>
                <c:pt idx="242">
                  <c:v>0.52642800000000001</c:v>
                </c:pt>
                <c:pt idx="243">
                  <c:v>0.521393</c:v>
                </c:pt>
                <c:pt idx="244">
                  <c:v>0.51635699999999995</c:v>
                </c:pt>
                <c:pt idx="245">
                  <c:v>0.51132200000000005</c:v>
                </c:pt>
                <c:pt idx="246">
                  <c:v>0.50628700000000004</c:v>
                </c:pt>
                <c:pt idx="247">
                  <c:v>0.501251</c:v>
                </c:pt>
                <c:pt idx="248">
                  <c:v>0.49621599999999999</c:v>
                </c:pt>
                <c:pt idx="249">
                  <c:v>0.49118000000000001</c:v>
                </c:pt>
                <c:pt idx="250">
                  <c:v>0.48614499999999999</c:v>
                </c:pt>
                <c:pt idx="251">
                  <c:v>0.48110999999999998</c:v>
                </c:pt>
                <c:pt idx="252">
                  <c:v>0.476074</c:v>
                </c:pt>
                <c:pt idx="253">
                  <c:v>0.47103899999999999</c:v>
                </c:pt>
                <c:pt idx="254">
                  <c:v>0.466003</c:v>
                </c:pt>
                <c:pt idx="255">
                  <c:v>0.46096799999999999</c:v>
                </c:pt>
                <c:pt idx="256">
                  <c:v>0.45593299999999998</c:v>
                </c:pt>
                <c:pt idx="257">
                  <c:v>0.45089699999999999</c:v>
                </c:pt>
                <c:pt idx="258">
                  <c:v>0.44586199999999998</c:v>
                </c:pt>
                <c:pt idx="259">
                  <c:v>0.440826</c:v>
                </c:pt>
                <c:pt idx="260">
                  <c:v>0.43579099999999998</c:v>
                </c:pt>
                <c:pt idx="261">
                  <c:v>0.43075600000000003</c:v>
                </c:pt>
                <c:pt idx="262">
                  <c:v>0.42571999999999999</c:v>
                </c:pt>
                <c:pt idx="263">
                  <c:v>0.42068499999999998</c:v>
                </c:pt>
                <c:pt idx="264">
                  <c:v>0.41564899999999999</c:v>
                </c:pt>
                <c:pt idx="265">
                  <c:v>0.41061399999999998</c:v>
                </c:pt>
                <c:pt idx="266">
                  <c:v>0.40557900000000002</c:v>
                </c:pt>
                <c:pt idx="267">
                  <c:v>0.40054299999999998</c:v>
                </c:pt>
                <c:pt idx="268">
                  <c:v>0.39550800000000003</c:v>
                </c:pt>
                <c:pt idx="269">
                  <c:v>0.39047199999999999</c:v>
                </c:pt>
                <c:pt idx="270">
                  <c:v>0.38543699999999997</c:v>
                </c:pt>
                <c:pt idx="271">
                  <c:v>0.38040200000000002</c:v>
                </c:pt>
                <c:pt idx="272">
                  <c:v>0.37536599999999998</c:v>
                </c:pt>
                <c:pt idx="273">
                  <c:v>0.37033100000000002</c:v>
                </c:pt>
                <c:pt idx="274">
                  <c:v>0.36529499999999998</c:v>
                </c:pt>
                <c:pt idx="275">
                  <c:v>0.36026000000000002</c:v>
                </c:pt>
                <c:pt idx="276">
                  <c:v>0.35522500000000001</c:v>
                </c:pt>
                <c:pt idx="277">
                  <c:v>0.35018899999999997</c:v>
                </c:pt>
                <c:pt idx="278">
                  <c:v>0.34515400000000002</c:v>
                </c:pt>
                <c:pt idx="279">
                  <c:v>0.34011799999999998</c:v>
                </c:pt>
                <c:pt idx="280">
                  <c:v>0.33508300000000002</c:v>
                </c:pt>
                <c:pt idx="281">
                  <c:v>0.33004800000000001</c:v>
                </c:pt>
                <c:pt idx="282">
                  <c:v>0.32501200000000002</c:v>
                </c:pt>
                <c:pt idx="283">
                  <c:v>0.31997700000000001</c:v>
                </c:pt>
                <c:pt idx="284">
                  <c:v>0.31494100000000003</c:v>
                </c:pt>
                <c:pt idx="285">
                  <c:v>0.30990600000000001</c:v>
                </c:pt>
                <c:pt idx="286">
                  <c:v>0.304871</c:v>
                </c:pt>
                <c:pt idx="287">
                  <c:v>0.29983500000000002</c:v>
                </c:pt>
                <c:pt idx="288">
                  <c:v>0.29480000000000001</c:v>
                </c:pt>
                <c:pt idx="289">
                  <c:v>0.28976400000000002</c:v>
                </c:pt>
                <c:pt idx="290">
                  <c:v>0.28472900000000001</c:v>
                </c:pt>
                <c:pt idx="291">
                  <c:v>0.279694</c:v>
                </c:pt>
                <c:pt idx="292">
                  <c:v>0.27465800000000001</c:v>
                </c:pt>
                <c:pt idx="293">
                  <c:v>0.269623</c:v>
                </c:pt>
                <c:pt idx="294">
                  <c:v>0.26458700000000002</c:v>
                </c:pt>
                <c:pt idx="295">
                  <c:v>0.259552</c:v>
                </c:pt>
                <c:pt idx="296">
                  <c:v>0.25451699999999999</c:v>
                </c:pt>
                <c:pt idx="297">
                  <c:v>0.24948100000000001</c:v>
                </c:pt>
                <c:pt idx="298">
                  <c:v>0.244446</c:v>
                </c:pt>
                <c:pt idx="299">
                  <c:v>0.23941000000000001</c:v>
                </c:pt>
                <c:pt idx="300">
                  <c:v>0.234375</c:v>
                </c:pt>
                <c:pt idx="301">
                  <c:v>0.22933999999999999</c:v>
                </c:pt>
                <c:pt idx="302">
                  <c:v>0.224304</c:v>
                </c:pt>
                <c:pt idx="303">
                  <c:v>0.21926899999999999</c:v>
                </c:pt>
                <c:pt idx="304">
                  <c:v>0.21423300000000001</c:v>
                </c:pt>
                <c:pt idx="305">
                  <c:v>0.209198</c:v>
                </c:pt>
                <c:pt idx="306">
                  <c:v>0.20416300000000001</c:v>
                </c:pt>
                <c:pt idx="307">
                  <c:v>0.199127</c:v>
                </c:pt>
                <c:pt idx="308">
                  <c:v>0.19409199999999999</c:v>
                </c:pt>
                <c:pt idx="309">
                  <c:v>0.189056</c:v>
                </c:pt>
                <c:pt idx="310">
                  <c:v>0.18402099999999999</c:v>
                </c:pt>
                <c:pt idx="311">
                  <c:v>0.17898600000000001</c:v>
                </c:pt>
                <c:pt idx="312">
                  <c:v>0.17394999999999999</c:v>
                </c:pt>
                <c:pt idx="313">
                  <c:v>0.16891500000000001</c:v>
                </c:pt>
                <c:pt idx="314">
                  <c:v>0.163879</c:v>
                </c:pt>
                <c:pt idx="315">
                  <c:v>0.15884400000000001</c:v>
                </c:pt>
                <c:pt idx="316">
                  <c:v>0.153809</c:v>
                </c:pt>
                <c:pt idx="317">
                  <c:v>0.14877299999999999</c:v>
                </c:pt>
                <c:pt idx="318">
                  <c:v>0.143738</c:v>
                </c:pt>
                <c:pt idx="319">
                  <c:v>0.13870199999999999</c:v>
                </c:pt>
                <c:pt idx="320">
                  <c:v>0.13366700000000001</c:v>
                </c:pt>
                <c:pt idx="321">
                  <c:v>0.128632</c:v>
                </c:pt>
                <c:pt idx="322">
                  <c:v>0.123596</c:v>
                </c:pt>
                <c:pt idx="323">
                  <c:v>0.118561</c:v>
                </c:pt>
                <c:pt idx="324">
                  <c:v>0.113525</c:v>
                </c:pt>
                <c:pt idx="325">
                  <c:v>0.10849</c:v>
                </c:pt>
                <c:pt idx="326">
                  <c:v>0.10345500000000001</c:v>
                </c:pt>
                <c:pt idx="327">
                  <c:v>9.8419199999999998E-2</c:v>
                </c:pt>
                <c:pt idx="328">
                  <c:v>9.3383800000000003E-2</c:v>
                </c:pt>
                <c:pt idx="329">
                  <c:v>8.8348399999999994E-2</c:v>
                </c:pt>
                <c:pt idx="330">
                  <c:v>8.3312999999999998E-2</c:v>
                </c:pt>
                <c:pt idx="331">
                  <c:v>7.8277600000000003E-2</c:v>
                </c:pt>
                <c:pt idx="332">
                  <c:v>7.3242199999999993E-2</c:v>
                </c:pt>
                <c:pt idx="333">
                  <c:v>6.8206799999999998E-2</c:v>
                </c:pt>
                <c:pt idx="334">
                  <c:v>6.3171400000000003E-2</c:v>
                </c:pt>
                <c:pt idx="335">
                  <c:v>5.8136E-2</c:v>
                </c:pt>
                <c:pt idx="336">
                  <c:v>5.3100599999999998E-2</c:v>
                </c:pt>
                <c:pt idx="337">
                  <c:v>4.8065200000000002E-2</c:v>
                </c:pt>
                <c:pt idx="338">
                  <c:v>4.30298E-2</c:v>
                </c:pt>
                <c:pt idx="339">
                  <c:v>3.7994399999999998E-2</c:v>
                </c:pt>
                <c:pt idx="340">
                  <c:v>3.2959000000000002E-2</c:v>
                </c:pt>
                <c:pt idx="341">
                  <c:v>2.79236E-2</c:v>
                </c:pt>
                <c:pt idx="342">
                  <c:v>2.2888200000000001E-2</c:v>
                </c:pt>
                <c:pt idx="343">
                  <c:v>1.7852799999999999E-2</c:v>
                </c:pt>
                <c:pt idx="344">
                  <c:v>1.28174E-2</c:v>
                </c:pt>
                <c:pt idx="345">
                  <c:v>7.78198E-3</c:v>
                </c:pt>
                <c:pt idx="346">
                  <c:v>2.7465800000000002E-3</c:v>
                </c:pt>
                <c:pt idx="347">
                  <c:v>-2.28882E-3</c:v>
                </c:pt>
                <c:pt idx="348">
                  <c:v>-7.3242200000000002E-3</c:v>
                </c:pt>
                <c:pt idx="349">
                  <c:v>-1.23596E-2</c:v>
                </c:pt>
                <c:pt idx="350">
                  <c:v>-1.7395000000000001E-2</c:v>
                </c:pt>
                <c:pt idx="351">
                  <c:v>-2.24304E-2</c:v>
                </c:pt>
                <c:pt idx="352">
                  <c:v>-2.7465799999999999E-2</c:v>
                </c:pt>
                <c:pt idx="353">
                  <c:v>-3.2501200000000001E-2</c:v>
                </c:pt>
                <c:pt idx="354">
                  <c:v>-3.7536600000000003E-2</c:v>
                </c:pt>
                <c:pt idx="355">
                  <c:v>-4.2571999999999999E-2</c:v>
                </c:pt>
                <c:pt idx="356">
                  <c:v>-4.7607400000000001E-2</c:v>
                </c:pt>
                <c:pt idx="357">
                  <c:v>-5.2642799999999997E-2</c:v>
                </c:pt>
                <c:pt idx="358">
                  <c:v>-5.7678199999999999E-2</c:v>
                </c:pt>
                <c:pt idx="359">
                  <c:v>-6.2713599999999994E-2</c:v>
                </c:pt>
                <c:pt idx="360">
                  <c:v>-6.7749000000000004E-2</c:v>
                </c:pt>
                <c:pt idx="361">
                  <c:v>-7.2784399999999999E-2</c:v>
                </c:pt>
                <c:pt idx="362">
                  <c:v>-7.7819799999999995E-2</c:v>
                </c:pt>
                <c:pt idx="363">
                  <c:v>-8.2855200000000004E-2</c:v>
                </c:pt>
                <c:pt idx="364">
                  <c:v>-8.7890599999999999E-2</c:v>
                </c:pt>
                <c:pt idx="365">
                  <c:v>-9.2925999999999995E-2</c:v>
                </c:pt>
                <c:pt idx="366">
                  <c:v>-9.7961400000000004E-2</c:v>
                </c:pt>
                <c:pt idx="367">
                  <c:v>-0.10299700000000001</c:v>
                </c:pt>
              </c:numCache>
            </c:numRef>
          </c:xVal>
          <c:yVal>
            <c:numRef>
              <c:f>'20230206t210000'!$L$11:$L$500</c:f>
              <c:numCache>
                <c:formatCode>General</c:formatCode>
                <c:ptCount val="490"/>
                <c:pt idx="0">
                  <c:v>-26.6449</c:v>
                </c:pt>
                <c:pt idx="1">
                  <c:v>-23.938000000000002</c:v>
                </c:pt>
                <c:pt idx="2">
                  <c:v>-21.139499999999998</c:v>
                </c:pt>
                <c:pt idx="3">
                  <c:v>-18.405200000000001</c:v>
                </c:pt>
                <c:pt idx="4">
                  <c:v>-15.6769</c:v>
                </c:pt>
                <c:pt idx="5">
                  <c:v>-12.930300000000001</c:v>
                </c:pt>
                <c:pt idx="6">
                  <c:v>-10.144</c:v>
                </c:pt>
                <c:pt idx="7">
                  <c:v>-7.4127200000000002</c:v>
                </c:pt>
                <c:pt idx="8">
                  <c:v>-4.5428500000000005</c:v>
                </c:pt>
                <c:pt idx="9">
                  <c:v>-1.8322799999999999</c:v>
                </c:pt>
                <c:pt idx="10">
                  <c:v>0.78308100000000003</c:v>
                </c:pt>
                <c:pt idx="11">
                  <c:v>3.2406599999999997</c:v>
                </c:pt>
                <c:pt idx="12">
                  <c:v>5.4412799999999999</c:v>
                </c:pt>
                <c:pt idx="13">
                  <c:v>7.18689</c:v>
                </c:pt>
                <c:pt idx="14">
                  <c:v>8.627320000000001</c:v>
                </c:pt>
                <c:pt idx="15">
                  <c:v>9.719850000000001</c:v>
                </c:pt>
                <c:pt idx="16">
                  <c:v>10.632300000000001</c:v>
                </c:pt>
                <c:pt idx="17">
                  <c:v>11.389200000000001</c:v>
                </c:pt>
                <c:pt idx="18">
                  <c:v>11.996500000000001</c:v>
                </c:pt>
                <c:pt idx="19">
                  <c:v>12.5458</c:v>
                </c:pt>
                <c:pt idx="20">
                  <c:v>12.982199999999999</c:v>
                </c:pt>
                <c:pt idx="21">
                  <c:v>13.3636</c:v>
                </c:pt>
                <c:pt idx="22">
                  <c:v>13.708500000000001</c:v>
                </c:pt>
                <c:pt idx="23">
                  <c:v>14.0106</c:v>
                </c:pt>
                <c:pt idx="24">
                  <c:v>14.285300000000001</c:v>
                </c:pt>
                <c:pt idx="25">
                  <c:v>14.514199999999999</c:v>
                </c:pt>
                <c:pt idx="26">
                  <c:v>14.74</c:v>
                </c:pt>
                <c:pt idx="27">
                  <c:v>14.9536</c:v>
                </c:pt>
                <c:pt idx="28">
                  <c:v>15.130599999999999</c:v>
                </c:pt>
                <c:pt idx="29">
                  <c:v>15.298499999999999</c:v>
                </c:pt>
                <c:pt idx="30">
                  <c:v>15.448</c:v>
                </c:pt>
                <c:pt idx="31">
                  <c:v>15.5884</c:v>
                </c:pt>
                <c:pt idx="32">
                  <c:v>15.701300000000002</c:v>
                </c:pt>
                <c:pt idx="33">
                  <c:v>15.8142</c:v>
                </c:pt>
                <c:pt idx="34">
                  <c:v>15.924099999999999</c:v>
                </c:pt>
                <c:pt idx="35">
                  <c:v>16.036999999999999</c:v>
                </c:pt>
                <c:pt idx="36">
                  <c:v>16.116299999999999</c:v>
                </c:pt>
                <c:pt idx="37">
                  <c:v>16.189599999999999</c:v>
                </c:pt>
                <c:pt idx="38">
                  <c:v>16.271999999999998</c:v>
                </c:pt>
                <c:pt idx="39">
                  <c:v>16.348299999999998</c:v>
                </c:pt>
                <c:pt idx="40">
                  <c:v>16.415400000000002</c:v>
                </c:pt>
                <c:pt idx="41">
                  <c:v>16.482500000000002</c:v>
                </c:pt>
                <c:pt idx="42">
                  <c:v>16.543599999999998</c:v>
                </c:pt>
                <c:pt idx="43">
                  <c:v>16.604600000000001</c:v>
                </c:pt>
                <c:pt idx="44">
                  <c:v>16.653399999999998</c:v>
                </c:pt>
                <c:pt idx="45">
                  <c:v>16.699200000000001</c:v>
                </c:pt>
                <c:pt idx="46">
                  <c:v>16.745000000000001</c:v>
                </c:pt>
                <c:pt idx="47">
                  <c:v>16.787699999999997</c:v>
                </c:pt>
                <c:pt idx="48">
                  <c:v>16.833500000000001</c:v>
                </c:pt>
                <c:pt idx="49">
                  <c:v>16.873200000000001</c:v>
                </c:pt>
                <c:pt idx="50">
                  <c:v>16.915900000000001</c:v>
                </c:pt>
                <c:pt idx="51">
                  <c:v>16.9434</c:v>
                </c:pt>
                <c:pt idx="52">
                  <c:v>16.9861</c:v>
                </c:pt>
                <c:pt idx="53">
                  <c:v>17.0166</c:v>
                </c:pt>
                <c:pt idx="54">
                  <c:v>17.0471</c:v>
                </c:pt>
                <c:pt idx="55">
                  <c:v>17.077599999999997</c:v>
                </c:pt>
                <c:pt idx="56">
                  <c:v>17.1021</c:v>
                </c:pt>
                <c:pt idx="57">
                  <c:v>17.1204</c:v>
                </c:pt>
                <c:pt idx="58">
                  <c:v>17.1417</c:v>
                </c:pt>
                <c:pt idx="59">
                  <c:v>17.1722</c:v>
                </c:pt>
                <c:pt idx="60">
                  <c:v>17.1875</c:v>
                </c:pt>
                <c:pt idx="61">
                  <c:v>17.2119</c:v>
                </c:pt>
                <c:pt idx="62">
                  <c:v>17.2241</c:v>
                </c:pt>
                <c:pt idx="63">
                  <c:v>17.2455</c:v>
                </c:pt>
                <c:pt idx="64">
                  <c:v>17.2577</c:v>
                </c:pt>
                <c:pt idx="65">
                  <c:v>17.2699</c:v>
                </c:pt>
                <c:pt idx="66">
                  <c:v>17.2852</c:v>
                </c:pt>
                <c:pt idx="67">
                  <c:v>17.2943</c:v>
                </c:pt>
                <c:pt idx="68">
                  <c:v>17.3126</c:v>
                </c:pt>
                <c:pt idx="69">
                  <c:v>17.3157</c:v>
                </c:pt>
                <c:pt idx="70">
                  <c:v>17.337000000000003</c:v>
                </c:pt>
                <c:pt idx="71">
                  <c:v>17.3431</c:v>
                </c:pt>
                <c:pt idx="72">
                  <c:v>17.3553</c:v>
                </c:pt>
                <c:pt idx="73">
                  <c:v>17.361499999999999</c:v>
                </c:pt>
                <c:pt idx="74">
                  <c:v>17.373699999999999</c:v>
                </c:pt>
                <c:pt idx="75">
                  <c:v>17.373699999999999</c:v>
                </c:pt>
                <c:pt idx="76">
                  <c:v>17.3767</c:v>
                </c:pt>
                <c:pt idx="77">
                  <c:v>17.3828</c:v>
                </c:pt>
                <c:pt idx="78">
                  <c:v>17.391999999999999</c:v>
                </c:pt>
                <c:pt idx="79">
                  <c:v>17.4011</c:v>
                </c:pt>
                <c:pt idx="80">
                  <c:v>17.4072</c:v>
                </c:pt>
                <c:pt idx="81">
                  <c:v>17.410299999999999</c:v>
                </c:pt>
                <c:pt idx="82">
                  <c:v>17.416399999999999</c:v>
                </c:pt>
                <c:pt idx="83">
                  <c:v>17.419400000000003</c:v>
                </c:pt>
                <c:pt idx="84">
                  <c:v>17.419400000000003</c:v>
                </c:pt>
                <c:pt idx="85">
                  <c:v>17.422499999999999</c:v>
                </c:pt>
                <c:pt idx="86">
                  <c:v>17.4377</c:v>
                </c:pt>
                <c:pt idx="87">
                  <c:v>17.4377</c:v>
                </c:pt>
                <c:pt idx="88">
                  <c:v>17.446900000000003</c:v>
                </c:pt>
                <c:pt idx="89">
                  <c:v>17.446900000000003</c:v>
                </c:pt>
                <c:pt idx="90">
                  <c:v>17.452999999999999</c:v>
                </c:pt>
                <c:pt idx="91">
                  <c:v>17.456099999999999</c:v>
                </c:pt>
                <c:pt idx="92">
                  <c:v>17.462199999999999</c:v>
                </c:pt>
                <c:pt idx="93">
                  <c:v>17.462199999999999</c:v>
                </c:pt>
                <c:pt idx="94">
                  <c:v>17.468299999999999</c:v>
                </c:pt>
                <c:pt idx="95">
                  <c:v>17.465199999999999</c:v>
                </c:pt>
                <c:pt idx="96">
                  <c:v>17.474400000000003</c:v>
                </c:pt>
                <c:pt idx="97">
                  <c:v>17.480499999999999</c:v>
                </c:pt>
                <c:pt idx="98">
                  <c:v>17.480499999999999</c:v>
                </c:pt>
                <c:pt idx="99">
                  <c:v>17.483499999999999</c:v>
                </c:pt>
                <c:pt idx="100">
                  <c:v>17.480499999999999</c:v>
                </c:pt>
                <c:pt idx="101">
                  <c:v>17.489599999999999</c:v>
                </c:pt>
                <c:pt idx="102">
                  <c:v>17.489599999999999</c:v>
                </c:pt>
                <c:pt idx="103">
                  <c:v>17.495699999999999</c:v>
                </c:pt>
                <c:pt idx="104">
                  <c:v>17.501800000000003</c:v>
                </c:pt>
                <c:pt idx="105">
                  <c:v>17.498799999999999</c:v>
                </c:pt>
                <c:pt idx="106">
                  <c:v>17.504899999999999</c:v>
                </c:pt>
                <c:pt idx="107">
                  <c:v>17.504899999999999</c:v>
                </c:pt>
                <c:pt idx="108">
                  <c:v>17.510999999999999</c:v>
                </c:pt>
                <c:pt idx="109">
                  <c:v>17.517099999999999</c:v>
                </c:pt>
                <c:pt idx="110">
                  <c:v>17.513999999999999</c:v>
                </c:pt>
                <c:pt idx="111">
                  <c:v>17.523199999999999</c:v>
                </c:pt>
                <c:pt idx="112">
                  <c:v>17.523199999999999</c:v>
                </c:pt>
                <c:pt idx="113">
                  <c:v>17.523199999999999</c:v>
                </c:pt>
                <c:pt idx="114">
                  <c:v>17.529300000000003</c:v>
                </c:pt>
                <c:pt idx="115">
                  <c:v>17.535399999999999</c:v>
                </c:pt>
                <c:pt idx="116">
                  <c:v>17.538499999999999</c:v>
                </c:pt>
                <c:pt idx="117">
                  <c:v>17.538499999999999</c:v>
                </c:pt>
                <c:pt idx="118">
                  <c:v>17.544599999999999</c:v>
                </c:pt>
                <c:pt idx="119">
                  <c:v>17.544599999999999</c:v>
                </c:pt>
                <c:pt idx="120">
                  <c:v>17.550699999999999</c:v>
                </c:pt>
                <c:pt idx="121">
                  <c:v>17.550699999999999</c:v>
                </c:pt>
                <c:pt idx="122">
                  <c:v>17.553699999999999</c:v>
                </c:pt>
                <c:pt idx="123">
                  <c:v>17.556800000000003</c:v>
                </c:pt>
                <c:pt idx="124">
                  <c:v>17.556800000000003</c:v>
                </c:pt>
                <c:pt idx="125">
                  <c:v>17.562899999999999</c:v>
                </c:pt>
                <c:pt idx="126">
                  <c:v>17.565899999999999</c:v>
                </c:pt>
                <c:pt idx="127">
                  <c:v>17.571999999999999</c:v>
                </c:pt>
                <c:pt idx="128">
                  <c:v>17.569000000000003</c:v>
                </c:pt>
                <c:pt idx="129">
                  <c:v>17.571999999999999</c:v>
                </c:pt>
                <c:pt idx="130">
                  <c:v>17.584200000000003</c:v>
                </c:pt>
                <c:pt idx="131">
                  <c:v>17.587299999999999</c:v>
                </c:pt>
                <c:pt idx="132">
                  <c:v>17.581200000000003</c:v>
                </c:pt>
                <c:pt idx="133">
                  <c:v>17.584200000000003</c:v>
                </c:pt>
                <c:pt idx="134">
                  <c:v>17.587299999999999</c:v>
                </c:pt>
                <c:pt idx="135">
                  <c:v>17.584200000000003</c:v>
                </c:pt>
                <c:pt idx="136">
                  <c:v>17.587299999999999</c:v>
                </c:pt>
                <c:pt idx="137">
                  <c:v>17.599499999999999</c:v>
                </c:pt>
                <c:pt idx="138">
                  <c:v>17.599499999999999</c:v>
                </c:pt>
                <c:pt idx="139">
                  <c:v>17.602499999999999</c:v>
                </c:pt>
                <c:pt idx="140">
                  <c:v>17.605599999999999</c:v>
                </c:pt>
                <c:pt idx="141">
                  <c:v>17.611700000000003</c:v>
                </c:pt>
                <c:pt idx="142">
                  <c:v>17.611700000000003</c:v>
                </c:pt>
                <c:pt idx="143">
                  <c:v>17.605599999999999</c:v>
                </c:pt>
                <c:pt idx="144">
                  <c:v>17.620799999999999</c:v>
                </c:pt>
                <c:pt idx="145">
                  <c:v>17.620799999999999</c:v>
                </c:pt>
                <c:pt idx="146">
                  <c:v>17.620799999999999</c:v>
                </c:pt>
                <c:pt idx="147">
                  <c:v>17.626999999999999</c:v>
                </c:pt>
                <c:pt idx="148">
                  <c:v>17.623900000000003</c:v>
                </c:pt>
                <c:pt idx="149">
                  <c:v>17.633099999999999</c:v>
                </c:pt>
                <c:pt idx="150">
                  <c:v>17.633099999999999</c:v>
                </c:pt>
                <c:pt idx="151">
                  <c:v>17.636099999999999</c:v>
                </c:pt>
                <c:pt idx="152">
                  <c:v>17.636099999999999</c:v>
                </c:pt>
                <c:pt idx="153">
                  <c:v>17.645299999999999</c:v>
                </c:pt>
                <c:pt idx="154">
                  <c:v>17.645299999999999</c:v>
                </c:pt>
                <c:pt idx="155">
                  <c:v>17.645299999999999</c:v>
                </c:pt>
                <c:pt idx="156">
                  <c:v>17.648299999999999</c:v>
                </c:pt>
                <c:pt idx="157">
                  <c:v>17.651400000000002</c:v>
                </c:pt>
                <c:pt idx="158">
                  <c:v>17.657499999999999</c:v>
                </c:pt>
                <c:pt idx="159">
                  <c:v>17.666600000000003</c:v>
                </c:pt>
                <c:pt idx="160">
                  <c:v>17.666600000000003</c:v>
                </c:pt>
                <c:pt idx="161">
                  <c:v>17.660499999999999</c:v>
                </c:pt>
                <c:pt idx="162">
                  <c:v>17.666600000000003</c:v>
                </c:pt>
                <c:pt idx="163">
                  <c:v>17.675799999999999</c:v>
                </c:pt>
                <c:pt idx="164">
                  <c:v>17.669699999999999</c:v>
                </c:pt>
                <c:pt idx="165">
                  <c:v>17.675799999999999</c:v>
                </c:pt>
                <c:pt idx="166">
                  <c:v>17.684899999999999</c:v>
                </c:pt>
                <c:pt idx="167">
                  <c:v>17.678800000000003</c:v>
                </c:pt>
                <c:pt idx="168">
                  <c:v>17.678800000000003</c:v>
                </c:pt>
                <c:pt idx="169">
                  <c:v>17.681899999999999</c:v>
                </c:pt>
                <c:pt idx="170">
                  <c:v>17.687999999999999</c:v>
                </c:pt>
                <c:pt idx="171">
                  <c:v>17.690999999999999</c:v>
                </c:pt>
                <c:pt idx="172">
                  <c:v>17.700199999999999</c:v>
                </c:pt>
                <c:pt idx="173">
                  <c:v>17.700199999999999</c:v>
                </c:pt>
                <c:pt idx="174">
                  <c:v>17.703199999999999</c:v>
                </c:pt>
                <c:pt idx="175">
                  <c:v>17.697099999999999</c:v>
                </c:pt>
                <c:pt idx="176">
                  <c:v>17.703199999999999</c:v>
                </c:pt>
                <c:pt idx="177">
                  <c:v>17.712399999999999</c:v>
                </c:pt>
                <c:pt idx="178">
                  <c:v>17.706300000000002</c:v>
                </c:pt>
                <c:pt idx="179">
                  <c:v>17.709399999999999</c:v>
                </c:pt>
                <c:pt idx="180">
                  <c:v>17.718500000000002</c:v>
                </c:pt>
                <c:pt idx="181">
                  <c:v>17.718500000000002</c:v>
                </c:pt>
                <c:pt idx="182">
                  <c:v>17.721600000000002</c:v>
                </c:pt>
                <c:pt idx="183">
                  <c:v>17.724599999999999</c:v>
                </c:pt>
                <c:pt idx="184">
                  <c:v>17.730699999999999</c:v>
                </c:pt>
                <c:pt idx="185">
                  <c:v>17.730699999999999</c:v>
                </c:pt>
                <c:pt idx="186">
                  <c:v>17.730699999999999</c:v>
                </c:pt>
                <c:pt idx="187">
                  <c:v>17.733800000000002</c:v>
                </c:pt>
                <c:pt idx="188">
                  <c:v>17.736799999999999</c:v>
                </c:pt>
                <c:pt idx="189">
                  <c:v>17.742899999999999</c:v>
                </c:pt>
                <c:pt idx="190">
                  <c:v>17.742899999999999</c:v>
                </c:pt>
                <c:pt idx="191">
                  <c:v>17.746000000000002</c:v>
                </c:pt>
                <c:pt idx="192">
                  <c:v>17.749000000000002</c:v>
                </c:pt>
                <c:pt idx="193">
                  <c:v>17.749000000000002</c:v>
                </c:pt>
                <c:pt idx="194">
                  <c:v>17.755099999999999</c:v>
                </c:pt>
                <c:pt idx="195">
                  <c:v>17.761200000000002</c:v>
                </c:pt>
                <c:pt idx="196">
                  <c:v>17.767299999999999</c:v>
                </c:pt>
                <c:pt idx="197">
                  <c:v>17.770399999999999</c:v>
                </c:pt>
                <c:pt idx="198">
                  <c:v>17.773400000000002</c:v>
                </c:pt>
                <c:pt idx="199">
                  <c:v>17.770399999999999</c:v>
                </c:pt>
                <c:pt idx="200">
                  <c:v>17.770399999999999</c:v>
                </c:pt>
                <c:pt idx="201">
                  <c:v>17.770399999999999</c:v>
                </c:pt>
                <c:pt idx="202">
                  <c:v>17.779499999999999</c:v>
                </c:pt>
                <c:pt idx="203">
                  <c:v>17.782599999999999</c:v>
                </c:pt>
                <c:pt idx="204">
                  <c:v>17.785599999999999</c:v>
                </c:pt>
                <c:pt idx="205">
                  <c:v>17.794799999999999</c:v>
                </c:pt>
                <c:pt idx="206">
                  <c:v>17.788700000000002</c:v>
                </c:pt>
                <c:pt idx="207">
                  <c:v>17.785599999999999</c:v>
                </c:pt>
                <c:pt idx="208">
                  <c:v>17.788700000000002</c:v>
                </c:pt>
                <c:pt idx="209">
                  <c:v>17.800900000000002</c:v>
                </c:pt>
                <c:pt idx="210">
                  <c:v>17.797899999999998</c:v>
                </c:pt>
                <c:pt idx="211">
                  <c:v>17.800900000000002</c:v>
                </c:pt>
                <c:pt idx="212">
                  <c:v>17.806999999999999</c:v>
                </c:pt>
                <c:pt idx="213">
                  <c:v>17.806999999999999</c:v>
                </c:pt>
                <c:pt idx="214">
                  <c:v>17.810099999999998</c:v>
                </c:pt>
                <c:pt idx="215">
                  <c:v>17.810099999999998</c:v>
                </c:pt>
                <c:pt idx="216">
                  <c:v>17.810099999999998</c:v>
                </c:pt>
                <c:pt idx="217">
                  <c:v>17.813099999999999</c:v>
                </c:pt>
                <c:pt idx="218">
                  <c:v>17.819199999999999</c:v>
                </c:pt>
                <c:pt idx="219">
                  <c:v>17.828400000000002</c:v>
                </c:pt>
                <c:pt idx="220">
                  <c:v>17.822299999999998</c:v>
                </c:pt>
                <c:pt idx="221">
                  <c:v>17.837499999999999</c:v>
                </c:pt>
                <c:pt idx="222">
                  <c:v>17.837499999999999</c:v>
                </c:pt>
                <c:pt idx="223">
                  <c:v>17.834499999999998</c:v>
                </c:pt>
                <c:pt idx="224">
                  <c:v>17.837499999999999</c:v>
                </c:pt>
                <c:pt idx="225">
                  <c:v>17.837499999999999</c:v>
                </c:pt>
                <c:pt idx="226">
                  <c:v>17.840600000000002</c:v>
                </c:pt>
                <c:pt idx="227">
                  <c:v>17.846699999999998</c:v>
                </c:pt>
                <c:pt idx="228">
                  <c:v>17.846699999999998</c:v>
                </c:pt>
                <c:pt idx="229">
                  <c:v>17.846699999999998</c:v>
                </c:pt>
                <c:pt idx="230">
                  <c:v>17.846699999999998</c:v>
                </c:pt>
                <c:pt idx="231">
                  <c:v>17.855800000000002</c:v>
                </c:pt>
                <c:pt idx="232">
                  <c:v>17.858900000000002</c:v>
                </c:pt>
                <c:pt idx="233">
                  <c:v>17.864999999999998</c:v>
                </c:pt>
                <c:pt idx="234">
                  <c:v>17.861899999999999</c:v>
                </c:pt>
                <c:pt idx="235">
                  <c:v>17.864999999999998</c:v>
                </c:pt>
                <c:pt idx="236">
                  <c:v>17.867999999999999</c:v>
                </c:pt>
                <c:pt idx="237">
                  <c:v>17.877199999999998</c:v>
                </c:pt>
                <c:pt idx="238">
                  <c:v>17.867999999999999</c:v>
                </c:pt>
                <c:pt idx="239">
                  <c:v>17.877199999999998</c:v>
                </c:pt>
                <c:pt idx="240">
                  <c:v>17.880199999999999</c:v>
                </c:pt>
                <c:pt idx="241">
                  <c:v>17.883300000000002</c:v>
                </c:pt>
                <c:pt idx="242">
                  <c:v>17.883300000000002</c:v>
                </c:pt>
                <c:pt idx="243">
                  <c:v>17.889399999999998</c:v>
                </c:pt>
                <c:pt idx="244">
                  <c:v>17.892499999999998</c:v>
                </c:pt>
                <c:pt idx="245">
                  <c:v>17.892499999999998</c:v>
                </c:pt>
                <c:pt idx="246">
                  <c:v>17.895500000000002</c:v>
                </c:pt>
                <c:pt idx="247">
                  <c:v>17.901599999999998</c:v>
                </c:pt>
                <c:pt idx="248">
                  <c:v>17.904699999999998</c:v>
                </c:pt>
                <c:pt idx="249">
                  <c:v>17.907699999999998</c:v>
                </c:pt>
                <c:pt idx="250">
                  <c:v>17.910800000000002</c:v>
                </c:pt>
                <c:pt idx="251">
                  <c:v>17.913800000000002</c:v>
                </c:pt>
                <c:pt idx="252">
                  <c:v>17.919899999999998</c:v>
                </c:pt>
                <c:pt idx="253">
                  <c:v>17.913800000000002</c:v>
                </c:pt>
                <c:pt idx="254">
                  <c:v>17.916899999999998</c:v>
                </c:pt>
                <c:pt idx="255">
                  <c:v>17.923000000000002</c:v>
                </c:pt>
                <c:pt idx="256">
                  <c:v>17.929099999999998</c:v>
                </c:pt>
                <c:pt idx="257">
                  <c:v>17.929099999999998</c:v>
                </c:pt>
                <c:pt idx="258">
                  <c:v>17.932099999999998</c:v>
                </c:pt>
                <c:pt idx="259">
                  <c:v>17.935199999999998</c:v>
                </c:pt>
                <c:pt idx="260">
                  <c:v>17.935199999999998</c:v>
                </c:pt>
                <c:pt idx="261">
                  <c:v>17.938200000000002</c:v>
                </c:pt>
                <c:pt idx="262">
                  <c:v>17.944299999999998</c:v>
                </c:pt>
                <c:pt idx="263">
                  <c:v>17.944299999999998</c:v>
                </c:pt>
                <c:pt idx="264">
                  <c:v>17.950399999999998</c:v>
                </c:pt>
                <c:pt idx="265">
                  <c:v>17.947399999999998</c:v>
                </c:pt>
                <c:pt idx="266">
                  <c:v>17.947399999999998</c:v>
                </c:pt>
                <c:pt idx="267">
                  <c:v>17.959599999999998</c:v>
                </c:pt>
                <c:pt idx="268">
                  <c:v>17.956500000000002</c:v>
                </c:pt>
                <c:pt idx="269">
                  <c:v>17.956500000000002</c:v>
                </c:pt>
                <c:pt idx="270">
                  <c:v>17.962599999999998</c:v>
                </c:pt>
                <c:pt idx="271">
                  <c:v>17.965700000000002</c:v>
                </c:pt>
                <c:pt idx="272">
                  <c:v>17.968800000000002</c:v>
                </c:pt>
                <c:pt idx="273">
                  <c:v>17.974899999999998</c:v>
                </c:pt>
                <c:pt idx="274">
                  <c:v>17.977900000000002</c:v>
                </c:pt>
                <c:pt idx="275">
                  <c:v>17.977900000000002</c:v>
                </c:pt>
                <c:pt idx="276">
                  <c:v>17.981000000000002</c:v>
                </c:pt>
                <c:pt idx="277">
                  <c:v>17.981000000000002</c:v>
                </c:pt>
                <c:pt idx="278">
                  <c:v>17.984000000000002</c:v>
                </c:pt>
                <c:pt idx="279">
                  <c:v>17.984000000000002</c:v>
                </c:pt>
                <c:pt idx="280">
                  <c:v>17.993200000000002</c:v>
                </c:pt>
                <c:pt idx="281">
                  <c:v>17.993200000000002</c:v>
                </c:pt>
                <c:pt idx="282">
                  <c:v>17.996200000000002</c:v>
                </c:pt>
                <c:pt idx="283">
                  <c:v>17.999299999999998</c:v>
                </c:pt>
                <c:pt idx="284">
                  <c:v>17.999299999999998</c:v>
                </c:pt>
                <c:pt idx="285">
                  <c:v>18.005400000000002</c:v>
                </c:pt>
                <c:pt idx="286">
                  <c:v>18.002299999999998</c:v>
                </c:pt>
                <c:pt idx="287">
                  <c:v>18.011499999999998</c:v>
                </c:pt>
                <c:pt idx="288">
                  <c:v>18.011499999999998</c:v>
                </c:pt>
                <c:pt idx="289">
                  <c:v>18.014499999999998</c:v>
                </c:pt>
                <c:pt idx="290">
                  <c:v>18.020600000000002</c:v>
                </c:pt>
                <c:pt idx="291">
                  <c:v>18.020600000000002</c:v>
                </c:pt>
                <c:pt idx="292">
                  <c:v>18.023700000000002</c:v>
                </c:pt>
                <c:pt idx="293">
                  <c:v>18.023700000000002</c:v>
                </c:pt>
                <c:pt idx="294">
                  <c:v>18.026699999999998</c:v>
                </c:pt>
                <c:pt idx="295">
                  <c:v>18.035900000000002</c:v>
                </c:pt>
                <c:pt idx="296">
                  <c:v>18.038900000000002</c:v>
                </c:pt>
                <c:pt idx="297">
                  <c:v>18.035900000000002</c:v>
                </c:pt>
                <c:pt idx="298">
                  <c:v>18.044999999999998</c:v>
                </c:pt>
                <c:pt idx="299">
                  <c:v>18.044999999999998</c:v>
                </c:pt>
                <c:pt idx="300">
                  <c:v>18.051100000000002</c:v>
                </c:pt>
                <c:pt idx="301">
                  <c:v>18.054199999999998</c:v>
                </c:pt>
                <c:pt idx="302">
                  <c:v>18.048100000000002</c:v>
                </c:pt>
                <c:pt idx="303">
                  <c:v>18.051100000000002</c:v>
                </c:pt>
                <c:pt idx="304">
                  <c:v>18.051100000000002</c:v>
                </c:pt>
                <c:pt idx="305">
                  <c:v>18.060300000000002</c:v>
                </c:pt>
                <c:pt idx="306">
                  <c:v>18.063400000000001</c:v>
                </c:pt>
                <c:pt idx="307">
                  <c:v>18.063400000000001</c:v>
                </c:pt>
                <c:pt idx="308">
                  <c:v>18.075600000000001</c:v>
                </c:pt>
                <c:pt idx="309">
                  <c:v>18.072499999999998</c:v>
                </c:pt>
                <c:pt idx="310">
                  <c:v>18.069499999999998</c:v>
                </c:pt>
                <c:pt idx="311">
                  <c:v>18.078600000000002</c:v>
                </c:pt>
                <c:pt idx="312">
                  <c:v>18.078600000000002</c:v>
                </c:pt>
                <c:pt idx="313">
                  <c:v>18.081699999999998</c:v>
                </c:pt>
                <c:pt idx="314">
                  <c:v>18.084699999999998</c:v>
                </c:pt>
                <c:pt idx="315">
                  <c:v>18.087800000000001</c:v>
                </c:pt>
                <c:pt idx="316">
                  <c:v>18.090800000000002</c:v>
                </c:pt>
                <c:pt idx="317">
                  <c:v>18.096899999999998</c:v>
                </c:pt>
                <c:pt idx="318">
                  <c:v>18.096899999999998</c:v>
                </c:pt>
                <c:pt idx="319">
                  <c:v>18.103000000000002</c:v>
                </c:pt>
                <c:pt idx="320">
                  <c:v>18.106100000000001</c:v>
                </c:pt>
                <c:pt idx="321">
                  <c:v>18.112199999999998</c:v>
                </c:pt>
                <c:pt idx="322">
                  <c:v>18.109099999999998</c:v>
                </c:pt>
                <c:pt idx="323">
                  <c:v>18.106100000000001</c:v>
                </c:pt>
                <c:pt idx="324">
                  <c:v>18.115200000000002</c:v>
                </c:pt>
                <c:pt idx="325">
                  <c:v>18.124399999999998</c:v>
                </c:pt>
                <c:pt idx="326">
                  <c:v>18.124399999999998</c:v>
                </c:pt>
                <c:pt idx="327">
                  <c:v>18.127399999999998</c:v>
                </c:pt>
                <c:pt idx="328">
                  <c:v>18.130500000000001</c:v>
                </c:pt>
                <c:pt idx="329">
                  <c:v>18.130500000000001</c:v>
                </c:pt>
                <c:pt idx="330">
                  <c:v>18.130500000000001</c:v>
                </c:pt>
                <c:pt idx="331">
                  <c:v>18.142700000000001</c:v>
                </c:pt>
                <c:pt idx="332">
                  <c:v>18.142700000000001</c:v>
                </c:pt>
                <c:pt idx="333">
                  <c:v>18.139599999999998</c:v>
                </c:pt>
                <c:pt idx="334">
                  <c:v>18.145800000000001</c:v>
                </c:pt>
                <c:pt idx="335">
                  <c:v>18.154900000000001</c:v>
                </c:pt>
                <c:pt idx="336">
                  <c:v>18.151899999999998</c:v>
                </c:pt>
                <c:pt idx="337">
                  <c:v>18.154900000000001</c:v>
                </c:pt>
                <c:pt idx="338">
                  <c:v>18.161000000000001</c:v>
                </c:pt>
                <c:pt idx="339">
                  <c:v>18.164099999999998</c:v>
                </c:pt>
                <c:pt idx="340">
                  <c:v>18.164099999999998</c:v>
                </c:pt>
                <c:pt idx="341">
                  <c:v>18.170200000000001</c:v>
                </c:pt>
                <c:pt idx="342">
                  <c:v>18.170200000000001</c:v>
                </c:pt>
                <c:pt idx="343">
                  <c:v>18.173200000000001</c:v>
                </c:pt>
                <c:pt idx="344">
                  <c:v>18.179299999999998</c:v>
                </c:pt>
                <c:pt idx="345">
                  <c:v>18.176299999999998</c:v>
                </c:pt>
                <c:pt idx="346">
                  <c:v>18.179299999999998</c:v>
                </c:pt>
                <c:pt idx="347">
                  <c:v>18.185400000000001</c:v>
                </c:pt>
                <c:pt idx="348">
                  <c:v>18.179299999999998</c:v>
                </c:pt>
                <c:pt idx="349">
                  <c:v>18.185400000000001</c:v>
                </c:pt>
                <c:pt idx="350">
                  <c:v>18.191499999999998</c:v>
                </c:pt>
                <c:pt idx="351">
                  <c:v>18.191499999999998</c:v>
                </c:pt>
                <c:pt idx="352">
                  <c:v>18.197600000000001</c:v>
                </c:pt>
                <c:pt idx="353">
                  <c:v>18.200700000000001</c:v>
                </c:pt>
                <c:pt idx="354">
                  <c:v>18.200700000000001</c:v>
                </c:pt>
                <c:pt idx="355">
                  <c:v>18.206799999999998</c:v>
                </c:pt>
                <c:pt idx="356">
                  <c:v>18.209800000000001</c:v>
                </c:pt>
                <c:pt idx="357">
                  <c:v>18.206799999999998</c:v>
                </c:pt>
                <c:pt idx="358">
                  <c:v>18.209800000000001</c:v>
                </c:pt>
                <c:pt idx="359">
                  <c:v>18.215900000000001</c:v>
                </c:pt>
                <c:pt idx="360">
                  <c:v>18.218999999999998</c:v>
                </c:pt>
                <c:pt idx="361">
                  <c:v>18.221999999999998</c:v>
                </c:pt>
                <c:pt idx="362">
                  <c:v>18.231200000000001</c:v>
                </c:pt>
                <c:pt idx="363">
                  <c:v>18.228100000000001</c:v>
                </c:pt>
                <c:pt idx="364">
                  <c:v>18.228100000000001</c:v>
                </c:pt>
                <c:pt idx="365">
                  <c:v>18.237300000000001</c:v>
                </c:pt>
                <c:pt idx="366">
                  <c:v>18.240400000000001</c:v>
                </c:pt>
                <c:pt idx="367">
                  <c:v>18.237300000000001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C3-4893-AB16-26DEE0355990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'20230206t210000'!$O$11:$O$500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</c:numCache>
            </c:numRef>
          </c:xVal>
          <c:yVal>
            <c:numRef>
              <c:f>'20230206t210000'!$T$11:$T$500</c:f>
              <c:numCache>
                <c:formatCode>General</c:formatCode>
                <c:ptCount val="490"/>
                <c:pt idx="0">
                  <c:v>18.087800000000001</c:v>
                </c:pt>
                <c:pt idx="1">
                  <c:v>18.081699999999998</c:v>
                </c:pt>
                <c:pt idx="2">
                  <c:v>18.081699999999998</c:v>
                </c:pt>
                <c:pt idx="3">
                  <c:v>18.081699999999998</c:v>
                </c:pt>
                <c:pt idx="4">
                  <c:v>18.081699999999998</c:v>
                </c:pt>
                <c:pt idx="5">
                  <c:v>18.081699999999998</c:v>
                </c:pt>
                <c:pt idx="6">
                  <c:v>18.081699999999998</c:v>
                </c:pt>
                <c:pt idx="7">
                  <c:v>18.078600000000002</c:v>
                </c:pt>
                <c:pt idx="8">
                  <c:v>18.078600000000002</c:v>
                </c:pt>
                <c:pt idx="9">
                  <c:v>18.078600000000002</c:v>
                </c:pt>
                <c:pt idx="10">
                  <c:v>18.075600000000001</c:v>
                </c:pt>
                <c:pt idx="11">
                  <c:v>18.075600000000001</c:v>
                </c:pt>
                <c:pt idx="12">
                  <c:v>18.075600000000001</c:v>
                </c:pt>
                <c:pt idx="13">
                  <c:v>18.075600000000001</c:v>
                </c:pt>
                <c:pt idx="14">
                  <c:v>18.072499999999998</c:v>
                </c:pt>
                <c:pt idx="15">
                  <c:v>18.069499999999998</c:v>
                </c:pt>
                <c:pt idx="16">
                  <c:v>18.072499999999998</c:v>
                </c:pt>
                <c:pt idx="17">
                  <c:v>18.069499999999998</c:v>
                </c:pt>
                <c:pt idx="18">
                  <c:v>18.069499999999998</c:v>
                </c:pt>
                <c:pt idx="19">
                  <c:v>18.066400000000002</c:v>
                </c:pt>
                <c:pt idx="20">
                  <c:v>18.069499999999998</c:v>
                </c:pt>
                <c:pt idx="21">
                  <c:v>18.069499999999998</c:v>
                </c:pt>
                <c:pt idx="22">
                  <c:v>18.066400000000002</c:v>
                </c:pt>
                <c:pt idx="23">
                  <c:v>18.066400000000002</c:v>
                </c:pt>
                <c:pt idx="24">
                  <c:v>18.066400000000002</c:v>
                </c:pt>
                <c:pt idx="25">
                  <c:v>18.063400000000001</c:v>
                </c:pt>
                <c:pt idx="26">
                  <c:v>18.060300000000002</c:v>
                </c:pt>
                <c:pt idx="27">
                  <c:v>18.054199999999998</c:v>
                </c:pt>
                <c:pt idx="28">
                  <c:v>18.054199999999998</c:v>
                </c:pt>
                <c:pt idx="29">
                  <c:v>18.054199999999998</c:v>
                </c:pt>
                <c:pt idx="30">
                  <c:v>18.057299999999998</c:v>
                </c:pt>
                <c:pt idx="31">
                  <c:v>18.054199999999998</c:v>
                </c:pt>
                <c:pt idx="32">
                  <c:v>18.054199999999998</c:v>
                </c:pt>
                <c:pt idx="33">
                  <c:v>18.054199999999998</c:v>
                </c:pt>
                <c:pt idx="34">
                  <c:v>18.051100000000002</c:v>
                </c:pt>
                <c:pt idx="35">
                  <c:v>18.048100000000002</c:v>
                </c:pt>
                <c:pt idx="36">
                  <c:v>18.048100000000002</c:v>
                </c:pt>
                <c:pt idx="37">
                  <c:v>18.038900000000002</c:v>
                </c:pt>
                <c:pt idx="38">
                  <c:v>18.041999999999998</c:v>
                </c:pt>
                <c:pt idx="39">
                  <c:v>18.038900000000002</c:v>
                </c:pt>
                <c:pt idx="40">
                  <c:v>18.038900000000002</c:v>
                </c:pt>
                <c:pt idx="41">
                  <c:v>18.038900000000002</c:v>
                </c:pt>
                <c:pt idx="42">
                  <c:v>18.029799999999998</c:v>
                </c:pt>
                <c:pt idx="43">
                  <c:v>18.032800000000002</c:v>
                </c:pt>
                <c:pt idx="44">
                  <c:v>18.032800000000002</c:v>
                </c:pt>
                <c:pt idx="45">
                  <c:v>18.032800000000002</c:v>
                </c:pt>
                <c:pt idx="46">
                  <c:v>18.026699999999998</c:v>
                </c:pt>
                <c:pt idx="47">
                  <c:v>18.026699999999998</c:v>
                </c:pt>
                <c:pt idx="48">
                  <c:v>18.020600000000002</c:v>
                </c:pt>
                <c:pt idx="49">
                  <c:v>18.026699999999998</c:v>
                </c:pt>
                <c:pt idx="50">
                  <c:v>18.017600000000002</c:v>
                </c:pt>
                <c:pt idx="51">
                  <c:v>18.023700000000002</c:v>
                </c:pt>
                <c:pt idx="52">
                  <c:v>18.020600000000002</c:v>
                </c:pt>
                <c:pt idx="53">
                  <c:v>18.014499999999998</c:v>
                </c:pt>
                <c:pt idx="54">
                  <c:v>18.014499999999998</c:v>
                </c:pt>
                <c:pt idx="55">
                  <c:v>18.011499999999998</c:v>
                </c:pt>
                <c:pt idx="56">
                  <c:v>18.008400000000002</c:v>
                </c:pt>
                <c:pt idx="57">
                  <c:v>18.008400000000002</c:v>
                </c:pt>
                <c:pt idx="58">
                  <c:v>18.008400000000002</c:v>
                </c:pt>
                <c:pt idx="59">
                  <c:v>18.005400000000002</c:v>
                </c:pt>
                <c:pt idx="60">
                  <c:v>18.002299999999998</c:v>
                </c:pt>
                <c:pt idx="61">
                  <c:v>18.002299999999998</c:v>
                </c:pt>
                <c:pt idx="62">
                  <c:v>17.996200000000002</c:v>
                </c:pt>
                <c:pt idx="63">
                  <c:v>17.999299999999998</c:v>
                </c:pt>
                <c:pt idx="64">
                  <c:v>17.999299999999998</c:v>
                </c:pt>
                <c:pt idx="65">
                  <c:v>17.990099999999998</c:v>
                </c:pt>
                <c:pt idx="66">
                  <c:v>17.987099999999998</c:v>
                </c:pt>
                <c:pt idx="67">
                  <c:v>17.987099999999998</c:v>
                </c:pt>
                <c:pt idx="68">
                  <c:v>17.993200000000002</c:v>
                </c:pt>
                <c:pt idx="69">
                  <c:v>17.990099999999998</c:v>
                </c:pt>
                <c:pt idx="70">
                  <c:v>17.984000000000002</c:v>
                </c:pt>
                <c:pt idx="71">
                  <c:v>17.981000000000002</c:v>
                </c:pt>
                <c:pt idx="72">
                  <c:v>17.977900000000002</c:v>
                </c:pt>
                <c:pt idx="73">
                  <c:v>17.977900000000002</c:v>
                </c:pt>
                <c:pt idx="74">
                  <c:v>17.974899999999998</c:v>
                </c:pt>
                <c:pt idx="75">
                  <c:v>17.965700000000002</c:v>
                </c:pt>
                <c:pt idx="76">
                  <c:v>17.968800000000002</c:v>
                </c:pt>
                <c:pt idx="77">
                  <c:v>17.962599999999998</c:v>
                </c:pt>
                <c:pt idx="78">
                  <c:v>17.962599999999998</c:v>
                </c:pt>
                <c:pt idx="79">
                  <c:v>17.956500000000002</c:v>
                </c:pt>
                <c:pt idx="80">
                  <c:v>17.962599999999998</c:v>
                </c:pt>
                <c:pt idx="81">
                  <c:v>17.953500000000002</c:v>
                </c:pt>
                <c:pt idx="82">
                  <c:v>17.956500000000002</c:v>
                </c:pt>
                <c:pt idx="83">
                  <c:v>17.956500000000002</c:v>
                </c:pt>
                <c:pt idx="84">
                  <c:v>17.950399999999998</c:v>
                </c:pt>
                <c:pt idx="85">
                  <c:v>17.956500000000002</c:v>
                </c:pt>
                <c:pt idx="86">
                  <c:v>17.950399999999998</c:v>
                </c:pt>
                <c:pt idx="87">
                  <c:v>17.947399999999998</c:v>
                </c:pt>
                <c:pt idx="88">
                  <c:v>17.941300000000002</c:v>
                </c:pt>
                <c:pt idx="89">
                  <c:v>17.935199999999998</c:v>
                </c:pt>
                <c:pt idx="90">
                  <c:v>17.935199999999998</c:v>
                </c:pt>
                <c:pt idx="91">
                  <c:v>17.935199999999998</c:v>
                </c:pt>
                <c:pt idx="92">
                  <c:v>17.935199999999998</c:v>
                </c:pt>
                <c:pt idx="93">
                  <c:v>17.932099999999998</c:v>
                </c:pt>
                <c:pt idx="94">
                  <c:v>17.926000000000002</c:v>
                </c:pt>
                <c:pt idx="95">
                  <c:v>17.923000000000002</c:v>
                </c:pt>
                <c:pt idx="96">
                  <c:v>17.919899999999998</c:v>
                </c:pt>
                <c:pt idx="97">
                  <c:v>17.923000000000002</c:v>
                </c:pt>
                <c:pt idx="98">
                  <c:v>17.916899999999998</c:v>
                </c:pt>
                <c:pt idx="99">
                  <c:v>17.919899999999998</c:v>
                </c:pt>
                <c:pt idx="100">
                  <c:v>17.910800000000002</c:v>
                </c:pt>
                <c:pt idx="101">
                  <c:v>17.907699999999998</c:v>
                </c:pt>
                <c:pt idx="102">
                  <c:v>17.910800000000002</c:v>
                </c:pt>
                <c:pt idx="103">
                  <c:v>17.907699999999998</c:v>
                </c:pt>
                <c:pt idx="104">
                  <c:v>17.901599999999998</c:v>
                </c:pt>
                <c:pt idx="105">
                  <c:v>17.904699999999998</c:v>
                </c:pt>
                <c:pt idx="106">
                  <c:v>17.898600000000002</c:v>
                </c:pt>
                <c:pt idx="107">
                  <c:v>17.889399999999998</c:v>
                </c:pt>
                <c:pt idx="108">
                  <c:v>17.895500000000002</c:v>
                </c:pt>
                <c:pt idx="109">
                  <c:v>17.895500000000002</c:v>
                </c:pt>
                <c:pt idx="110">
                  <c:v>17.889399999999998</c:v>
                </c:pt>
                <c:pt idx="111">
                  <c:v>17.889399999999998</c:v>
                </c:pt>
                <c:pt idx="112">
                  <c:v>17.889399999999998</c:v>
                </c:pt>
                <c:pt idx="113">
                  <c:v>17.886400000000002</c:v>
                </c:pt>
                <c:pt idx="114">
                  <c:v>17.880199999999999</c:v>
                </c:pt>
                <c:pt idx="115">
                  <c:v>17.877199999999998</c:v>
                </c:pt>
                <c:pt idx="116">
                  <c:v>17.877199999999998</c:v>
                </c:pt>
                <c:pt idx="117">
                  <c:v>17.871100000000002</c:v>
                </c:pt>
                <c:pt idx="118">
                  <c:v>17.871100000000002</c:v>
                </c:pt>
                <c:pt idx="119">
                  <c:v>17.874100000000002</c:v>
                </c:pt>
                <c:pt idx="120">
                  <c:v>17.864999999999998</c:v>
                </c:pt>
                <c:pt idx="121">
                  <c:v>17.861899999999999</c:v>
                </c:pt>
                <c:pt idx="122">
                  <c:v>17.861899999999999</c:v>
                </c:pt>
                <c:pt idx="123">
                  <c:v>17.858900000000002</c:v>
                </c:pt>
                <c:pt idx="124">
                  <c:v>17.855800000000002</c:v>
                </c:pt>
                <c:pt idx="125">
                  <c:v>17.855800000000002</c:v>
                </c:pt>
                <c:pt idx="126">
                  <c:v>17.849699999999999</c:v>
                </c:pt>
                <c:pt idx="127">
                  <c:v>17.849699999999999</c:v>
                </c:pt>
                <c:pt idx="128">
                  <c:v>17.846699999999998</c:v>
                </c:pt>
                <c:pt idx="129">
                  <c:v>17.846699999999998</c:v>
                </c:pt>
                <c:pt idx="130">
                  <c:v>17.840600000000002</c:v>
                </c:pt>
                <c:pt idx="131">
                  <c:v>17.846699999999998</c:v>
                </c:pt>
                <c:pt idx="132">
                  <c:v>17.837499999999999</c:v>
                </c:pt>
                <c:pt idx="133">
                  <c:v>17.831400000000002</c:v>
                </c:pt>
                <c:pt idx="134">
                  <c:v>17.828400000000002</c:v>
                </c:pt>
                <c:pt idx="135">
                  <c:v>17.834499999999998</c:v>
                </c:pt>
                <c:pt idx="136">
                  <c:v>17.825299999999999</c:v>
                </c:pt>
                <c:pt idx="137">
                  <c:v>17.828400000000002</c:v>
                </c:pt>
                <c:pt idx="138">
                  <c:v>17.822299999999998</c:v>
                </c:pt>
                <c:pt idx="139">
                  <c:v>17.819199999999999</c:v>
                </c:pt>
                <c:pt idx="140">
                  <c:v>17.816200000000002</c:v>
                </c:pt>
                <c:pt idx="141">
                  <c:v>17.819199999999999</c:v>
                </c:pt>
                <c:pt idx="142">
                  <c:v>17.816200000000002</c:v>
                </c:pt>
                <c:pt idx="143">
                  <c:v>17.816200000000002</c:v>
                </c:pt>
                <c:pt idx="144">
                  <c:v>17.813099999999999</c:v>
                </c:pt>
                <c:pt idx="145">
                  <c:v>17.810099999999998</c:v>
                </c:pt>
                <c:pt idx="146">
                  <c:v>17.806999999999999</c:v>
                </c:pt>
                <c:pt idx="147">
                  <c:v>17.804000000000002</c:v>
                </c:pt>
                <c:pt idx="148">
                  <c:v>17.794799999999999</c:v>
                </c:pt>
                <c:pt idx="149">
                  <c:v>17.800900000000002</c:v>
                </c:pt>
                <c:pt idx="150">
                  <c:v>17.797899999999998</c:v>
                </c:pt>
                <c:pt idx="151">
                  <c:v>17.791700000000002</c:v>
                </c:pt>
                <c:pt idx="152">
                  <c:v>17.791700000000002</c:v>
                </c:pt>
                <c:pt idx="153">
                  <c:v>17.794799999999999</c:v>
                </c:pt>
                <c:pt idx="154">
                  <c:v>17.791700000000002</c:v>
                </c:pt>
                <c:pt idx="155">
                  <c:v>17.788700000000002</c:v>
                </c:pt>
                <c:pt idx="156">
                  <c:v>17.788700000000002</c:v>
                </c:pt>
                <c:pt idx="157">
                  <c:v>17.785599999999999</c:v>
                </c:pt>
                <c:pt idx="158">
                  <c:v>17.776500000000002</c:v>
                </c:pt>
                <c:pt idx="159">
                  <c:v>17.782599999999999</c:v>
                </c:pt>
                <c:pt idx="160">
                  <c:v>17.773400000000002</c:v>
                </c:pt>
                <c:pt idx="161">
                  <c:v>17.776500000000002</c:v>
                </c:pt>
                <c:pt idx="162">
                  <c:v>17.770399999999999</c:v>
                </c:pt>
                <c:pt idx="163">
                  <c:v>17.767299999999999</c:v>
                </c:pt>
                <c:pt idx="164">
                  <c:v>17.764299999999999</c:v>
                </c:pt>
                <c:pt idx="165">
                  <c:v>17.758199999999999</c:v>
                </c:pt>
                <c:pt idx="166">
                  <c:v>17.761200000000002</c:v>
                </c:pt>
                <c:pt idx="167">
                  <c:v>17.758199999999999</c:v>
                </c:pt>
                <c:pt idx="168">
                  <c:v>17.755099999999999</c:v>
                </c:pt>
                <c:pt idx="169">
                  <c:v>17.758199999999999</c:v>
                </c:pt>
                <c:pt idx="170">
                  <c:v>17.752099999999999</c:v>
                </c:pt>
                <c:pt idx="171">
                  <c:v>17.746000000000002</c:v>
                </c:pt>
                <c:pt idx="172">
                  <c:v>17.746000000000002</c:v>
                </c:pt>
                <c:pt idx="173">
                  <c:v>17.749000000000002</c:v>
                </c:pt>
                <c:pt idx="174">
                  <c:v>17.739899999999999</c:v>
                </c:pt>
                <c:pt idx="175">
                  <c:v>17.746000000000002</c:v>
                </c:pt>
                <c:pt idx="176">
                  <c:v>17.733800000000002</c:v>
                </c:pt>
                <c:pt idx="177">
                  <c:v>17.733800000000002</c:v>
                </c:pt>
                <c:pt idx="178">
                  <c:v>17.733800000000002</c:v>
                </c:pt>
                <c:pt idx="179">
                  <c:v>17.727699999999999</c:v>
                </c:pt>
                <c:pt idx="180">
                  <c:v>17.730699999999999</c:v>
                </c:pt>
                <c:pt idx="181">
                  <c:v>17.727699999999999</c:v>
                </c:pt>
                <c:pt idx="182">
                  <c:v>17.730699999999999</c:v>
                </c:pt>
                <c:pt idx="183">
                  <c:v>17.721600000000002</c:v>
                </c:pt>
                <c:pt idx="184">
                  <c:v>17.721600000000002</c:v>
                </c:pt>
                <c:pt idx="185">
                  <c:v>17.727699999999999</c:v>
                </c:pt>
                <c:pt idx="186">
                  <c:v>17.709399999999999</c:v>
                </c:pt>
                <c:pt idx="187">
                  <c:v>17.712399999999999</c:v>
                </c:pt>
                <c:pt idx="188">
                  <c:v>17.712399999999999</c:v>
                </c:pt>
                <c:pt idx="189">
                  <c:v>17.712399999999999</c:v>
                </c:pt>
                <c:pt idx="190">
                  <c:v>17.706300000000002</c:v>
                </c:pt>
                <c:pt idx="191">
                  <c:v>17.700199999999999</c:v>
                </c:pt>
                <c:pt idx="192">
                  <c:v>17.706300000000002</c:v>
                </c:pt>
                <c:pt idx="193">
                  <c:v>17.697099999999999</c:v>
                </c:pt>
                <c:pt idx="194">
                  <c:v>17.694100000000002</c:v>
                </c:pt>
                <c:pt idx="195">
                  <c:v>17.700199999999999</c:v>
                </c:pt>
                <c:pt idx="196">
                  <c:v>17.700199999999999</c:v>
                </c:pt>
                <c:pt idx="197">
                  <c:v>17.687999999999999</c:v>
                </c:pt>
                <c:pt idx="198">
                  <c:v>17.687999999999999</c:v>
                </c:pt>
                <c:pt idx="199">
                  <c:v>17.690999999999999</c:v>
                </c:pt>
                <c:pt idx="200">
                  <c:v>17.687999999999999</c:v>
                </c:pt>
                <c:pt idx="201">
                  <c:v>17.684899999999999</c:v>
                </c:pt>
                <c:pt idx="202">
                  <c:v>17.678800000000003</c:v>
                </c:pt>
                <c:pt idx="203">
                  <c:v>17.681899999999999</c:v>
                </c:pt>
                <c:pt idx="204">
                  <c:v>17.675799999999999</c:v>
                </c:pt>
                <c:pt idx="205">
                  <c:v>17.678800000000003</c:v>
                </c:pt>
                <c:pt idx="206">
                  <c:v>17.669699999999999</c:v>
                </c:pt>
                <c:pt idx="207">
                  <c:v>17.663600000000002</c:v>
                </c:pt>
                <c:pt idx="208">
                  <c:v>17.669699999999999</c:v>
                </c:pt>
                <c:pt idx="209">
                  <c:v>17.663600000000002</c:v>
                </c:pt>
                <c:pt idx="210">
                  <c:v>17.663600000000002</c:v>
                </c:pt>
                <c:pt idx="211">
                  <c:v>17.654399999999999</c:v>
                </c:pt>
                <c:pt idx="212">
                  <c:v>17.651400000000002</c:v>
                </c:pt>
                <c:pt idx="213">
                  <c:v>17.657499999999999</c:v>
                </c:pt>
                <c:pt idx="214">
                  <c:v>17.651400000000002</c:v>
                </c:pt>
                <c:pt idx="215">
                  <c:v>17.648299999999999</c:v>
                </c:pt>
                <c:pt idx="216">
                  <c:v>17.648299999999999</c:v>
                </c:pt>
                <c:pt idx="217">
                  <c:v>17.648299999999999</c:v>
                </c:pt>
                <c:pt idx="218">
                  <c:v>17.636099999999999</c:v>
                </c:pt>
                <c:pt idx="219">
                  <c:v>17.639200000000002</c:v>
                </c:pt>
                <c:pt idx="220">
                  <c:v>17.636099999999999</c:v>
                </c:pt>
                <c:pt idx="221">
                  <c:v>17.633099999999999</c:v>
                </c:pt>
                <c:pt idx="222">
                  <c:v>17.633099999999999</c:v>
                </c:pt>
                <c:pt idx="223">
                  <c:v>17.63</c:v>
                </c:pt>
                <c:pt idx="224">
                  <c:v>17.633099999999999</c:v>
                </c:pt>
                <c:pt idx="225">
                  <c:v>17.617799999999999</c:v>
                </c:pt>
                <c:pt idx="226">
                  <c:v>17.617799999999999</c:v>
                </c:pt>
                <c:pt idx="227">
                  <c:v>17.620799999999999</c:v>
                </c:pt>
                <c:pt idx="228">
                  <c:v>17.614699999999999</c:v>
                </c:pt>
                <c:pt idx="229">
                  <c:v>17.611700000000003</c:v>
                </c:pt>
                <c:pt idx="230">
                  <c:v>17.611700000000003</c:v>
                </c:pt>
                <c:pt idx="231">
                  <c:v>17.608599999999999</c:v>
                </c:pt>
                <c:pt idx="232">
                  <c:v>17.602499999999999</c:v>
                </c:pt>
                <c:pt idx="233">
                  <c:v>17.602499999999999</c:v>
                </c:pt>
                <c:pt idx="234">
                  <c:v>17.596400000000003</c:v>
                </c:pt>
                <c:pt idx="235">
                  <c:v>17.596400000000003</c:v>
                </c:pt>
                <c:pt idx="236">
                  <c:v>17.596400000000003</c:v>
                </c:pt>
                <c:pt idx="237">
                  <c:v>17.587299999999999</c:v>
                </c:pt>
                <c:pt idx="238">
                  <c:v>17.578099999999999</c:v>
                </c:pt>
                <c:pt idx="239">
                  <c:v>17.590299999999999</c:v>
                </c:pt>
                <c:pt idx="240">
                  <c:v>17.584200000000003</c:v>
                </c:pt>
                <c:pt idx="241">
                  <c:v>17.584200000000003</c:v>
                </c:pt>
                <c:pt idx="242">
                  <c:v>17.578099999999999</c:v>
                </c:pt>
                <c:pt idx="243">
                  <c:v>17.571999999999999</c:v>
                </c:pt>
                <c:pt idx="244">
                  <c:v>17.571999999999999</c:v>
                </c:pt>
                <c:pt idx="245">
                  <c:v>17.569000000000003</c:v>
                </c:pt>
                <c:pt idx="246">
                  <c:v>17.565899999999999</c:v>
                </c:pt>
                <c:pt idx="247">
                  <c:v>17.562899999999999</c:v>
                </c:pt>
                <c:pt idx="248">
                  <c:v>17.562899999999999</c:v>
                </c:pt>
                <c:pt idx="249">
                  <c:v>17.562899999999999</c:v>
                </c:pt>
                <c:pt idx="250">
                  <c:v>17.556800000000003</c:v>
                </c:pt>
                <c:pt idx="251">
                  <c:v>17.550699999999999</c:v>
                </c:pt>
                <c:pt idx="252">
                  <c:v>17.550699999999999</c:v>
                </c:pt>
                <c:pt idx="253">
                  <c:v>17.553699999999999</c:v>
                </c:pt>
                <c:pt idx="254">
                  <c:v>17.547599999999999</c:v>
                </c:pt>
                <c:pt idx="255">
                  <c:v>17.541500000000003</c:v>
                </c:pt>
                <c:pt idx="256">
                  <c:v>17.535399999999999</c:v>
                </c:pt>
                <c:pt idx="257">
                  <c:v>17.538499999999999</c:v>
                </c:pt>
                <c:pt idx="258">
                  <c:v>17.538499999999999</c:v>
                </c:pt>
                <c:pt idx="259">
                  <c:v>17.532299999999999</c:v>
                </c:pt>
                <c:pt idx="260">
                  <c:v>17.529300000000003</c:v>
                </c:pt>
                <c:pt idx="261">
                  <c:v>17.535399999999999</c:v>
                </c:pt>
                <c:pt idx="262">
                  <c:v>17.523199999999999</c:v>
                </c:pt>
                <c:pt idx="263">
                  <c:v>17.513999999999999</c:v>
                </c:pt>
                <c:pt idx="264">
                  <c:v>17.513999999999999</c:v>
                </c:pt>
                <c:pt idx="265">
                  <c:v>17.517099999999999</c:v>
                </c:pt>
                <c:pt idx="266">
                  <c:v>17.513999999999999</c:v>
                </c:pt>
                <c:pt idx="267">
                  <c:v>17.507899999999999</c:v>
                </c:pt>
                <c:pt idx="268">
                  <c:v>17.507899999999999</c:v>
                </c:pt>
                <c:pt idx="269">
                  <c:v>17.501800000000003</c:v>
                </c:pt>
                <c:pt idx="270">
                  <c:v>17.501800000000003</c:v>
                </c:pt>
                <c:pt idx="271">
                  <c:v>17.501800000000003</c:v>
                </c:pt>
                <c:pt idx="272">
                  <c:v>17.495699999999999</c:v>
                </c:pt>
                <c:pt idx="273">
                  <c:v>17.495699999999999</c:v>
                </c:pt>
                <c:pt idx="274">
                  <c:v>17.495699999999999</c:v>
                </c:pt>
                <c:pt idx="275">
                  <c:v>17.483499999999999</c:v>
                </c:pt>
                <c:pt idx="276">
                  <c:v>17.489599999999999</c:v>
                </c:pt>
                <c:pt idx="277">
                  <c:v>17.474400000000003</c:v>
                </c:pt>
                <c:pt idx="278">
                  <c:v>17.474400000000003</c:v>
                </c:pt>
                <c:pt idx="279">
                  <c:v>17.471299999999999</c:v>
                </c:pt>
                <c:pt idx="280">
                  <c:v>17.468299999999999</c:v>
                </c:pt>
                <c:pt idx="281">
                  <c:v>17.459100000000003</c:v>
                </c:pt>
                <c:pt idx="282">
                  <c:v>17.459100000000003</c:v>
                </c:pt>
                <c:pt idx="283">
                  <c:v>17.456099999999999</c:v>
                </c:pt>
                <c:pt idx="284">
                  <c:v>17.45</c:v>
                </c:pt>
                <c:pt idx="285">
                  <c:v>17.45</c:v>
                </c:pt>
                <c:pt idx="286">
                  <c:v>17.452999999999999</c:v>
                </c:pt>
                <c:pt idx="287">
                  <c:v>17.4377</c:v>
                </c:pt>
                <c:pt idx="288">
                  <c:v>17.428599999999999</c:v>
                </c:pt>
                <c:pt idx="289">
                  <c:v>17.422499999999999</c:v>
                </c:pt>
                <c:pt idx="290">
                  <c:v>17.4255</c:v>
                </c:pt>
                <c:pt idx="291">
                  <c:v>17.422499999999999</c:v>
                </c:pt>
                <c:pt idx="292">
                  <c:v>17.4133</c:v>
                </c:pt>
                <c:pt idx="293">
                  <c:v>17.4011</c:v>
                </c:pt>
                <c:pt idx="294">
                  <c:v>17.3889</c:v>
                </c:pt>
                <c:pt idx="295">
                  <c:v>17.379799999999999</c:v>
                </c:pt>
                <c:pt idx="296">
                  <c:v>17.373699999999999</c:v>
                </c:pt>
                <c:pt idx="297">
                  <c:v>17.3584</c:v>
                </c:pt>
                <c:pt idx="298">
                  <c:v>17.3431</c:v>
                </c:pt>
                <c:pt idx="299">
                  <c:v>17.3462</c:v>
                </c:pt>
                <c:pt idx="300">
                  <c:v>17.3187</c:v>
                </c:pt>
                <c:pt idx="301">
                  <c:v>17.3004</c:v>
                </c:pt>
                <c:pt idx="302">
                  <c:v>17.2913</c:v>
                </c:pt>
                <c:pt idx="303">
                  <c:v>17.2668</c:v>
                </c:pt>
                <c:pt idx="304">
                  <c:v>17.2424</c:v>
                </c:pt>
                <c:pt idx="305">
                  <c:v>17.2241</c:v>
                </c:pt>
                <c:pt idx="306">
                  <c:v>17.1997</c:v>
                </c:pt>
                <c:pt idx="307">
                  <c:v>17.1753</c:v>
                </c:pt>
                <c:pt idx="308">
                  <c:v>17.1478</c:v>
                </c:pt>
                <c:pt idx="309">
                  <c:v>17.1265</c:v>
                </c:pt>
                <c:pt idx="310">
                  <c:v>17.0898</c:v>
                </c:pt>
                <c:pt idx="311">
                  <c:v>17.0593</c:v>
                </c:pt>
                <c:pt idx="312">
                  <c:v>17.0227</c:v>
                </c:pt>
                <c:pt idx="313">
                  <c:v>16.989100000000001</c:v>
                </c:pt>
                <c:pt idx="314">
                  <c:v>16.9373</c:v>
                </c:pt>
                <c:pt idx="315">
                  <c:v>16.894500000000001</c:v>
                </c:pt>
                <c:pt idx="316">
                  <c:v>16.851800000000001</c:v>
                </c:pt>
                <c:pt idx="317">
                  <c:v>16.802999999999997</c:v>
                </c:pt>
                <c:pt idx="318">
                  <c:v>16.751100000000001</c:v>
                </c:pt>
                <c:pt idx="319">
                  <c:v>16.693099999999998</c:v>
                </c:pt>
                <c:pt idx="320">
                  <c:v>16.629000000000001</c:v>
                </c:pt>
                <c:pt idx="321">
                  <c:v>16.564900000000002</c:v>
                </c:pt>
                <c:pt idx="322">
                  <c:v>16.491700000000002</c:v>
                </c:pt>
                <c:pt idx="323">
                  <c:v>16.424600000000002</c:v>
                </c:pt>
                <c:pt idx="324">
                  <c:v>16.342200000000002</c:v>
                </c:pt>
                <c:pt idx="325">
                  <c:v>16.262800000000002</c:v>
                </c:pt>
                <c:pt idx="326">
                  <c:v>16.171299999999999</c:v>
                </c:pt>
                <c:pt idx="327">
                  <c:v>16.070600000000002</c:v>
                </c:pt>
                <c:pt idx="328">
                  <c:v>15.969799999999999</c:v>
                </c:pt>
                <c:pt idx="329">
                  <c:v>15.850800000000001</c:v>
                </c:pt>
                <c:pt idx="330">
                  <c:v>15.7318</c:v>
                </c:pt>
                <c:pt idx="331">
                  <c:v>15.5914</c:v>
                </c:pt>
                <c:pt idx="332">
                  <c:v>15.450999999999999</c:v>
                </c:pt>
                <c:pt idx="333">
                  <c:v>15.304600000000001</c:v>
                </c:pt>
                <c:pt idx="334">
                  <c:v>15.136699999999999</c:v>
                </c:pt>
                <c:pt idx="335">
                  <c:v>14.947500000000002</c:v>
                </c:pt>
                <c:pt idx="336">
                  <c:v>14.7552</c:v>
                </c:pt>
                <c:pt idx="337">
                  <c:v>14.535499999999999</c:v>
                </c:pt>
                <c:pt idx="338">
                  <c:v>14.27</c:v>
                </c:pt>
                <c:pt idx="339">
                  <c:v>14.0167</c:v>
                </c:pt>
                <c:pt idx="340">
                  <c:v>13.696299999999999</c:v>
                </c:pt>
                <c:pt idx="341">
                  <c:v>13.382</c:v>
                </c:pt>
                <c:pt idx="342">
                  <c:v>13.0341</c:v>
                </c:pt>
                <c:pt idx="343">
                  <c:v>12.6282</c:v>
                </c:pt>
                <c:pt idx="344">
                  <c:v>12.170399999999999</c:v>
                </c:pt>
                <c:pt idx="345">
                  <c:v>11.6608</c:v>
                </c:pt>
                <c:pt idx="346">
                  <c:v>11.0382</c:v>
                </c:pt>
                <c:pt idx="347">
                  <c:v>10.3088</c:v>
                </c:pt>
                <c:pt idx="348">
                  <c:v>9.497069999999999</c:v>
                </c:pt>
                <c:pt idx="349">
                  <c:v>8.5144000000000002</c:v>
                </c:pt>
                <c:pt idx="350">
                  <c:v>7.3730500000000001</c:v>
                </c:pt>
                <c:pt idx="351">
                  <c:v>6.0455300000000003</c:v>
                </c:pt>
                <c:pt idx="352">
                  <c:v>4.4958499999999999</c:v>
                </c:pt>
                <c:pt idx="353">
                  <c:v>2.78687</c:v>
                </c:pt>
                <c:pt idx="354">
                  <c:v>1.02844</c:v>
                </c:pt>
                <c:pt idx="355">
                  <c:v>-0.88928200000000002</c:v>
                </c:pt>
                <c:pt idx="356">
                  <c:v>-2.9696700000000003</c:v>
                </c:pt>
                <c:pt idx="357">
                  <c:v>-5.0140399999999996</c:v>
                </c:pt>
                <c:pt idx="358">
                  <c:v>-7.0678700000000001</c:v>
                </c:pt>
                <c:pt idx="359">
                  <c:v>-9.0759299999999996</c:v>
                </c:pt>
                <c:pt idx="360">
                  <c:v>-11.068700000000002</c:v>
                </c:pt>
                <c:pt idx="361">
                  <c:v>-13.085899999999999</c:v>
                </c:pt>
                <c:pt idx="362">
                  <c:v>-15.0482</c:v>
                </c:pt>
                <c:pt idx="363">
                  <c:v>-17.013500000000001</c:v>
                </c:pt>
                <c:pt idx="364">
                  <c:v>-19.045999999999999</c:v>
                </c:pt>
                <c:pt idx="365">
                  <c:v>-21.133400000000002</c:v>
                </c:pt>
                <c:pt idx="366">
                  <c:v>-23.211699999999997</c:v>
                </c:pt>
                <c:pt idx="367">
                  <c:v>-25.329599999999999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1C3-4893-AB16-26DEE0355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01584"/>
        <c:axId val="138700752"/>
      </c:scatterChart>
      <c:valAx>
        <c:axId val="13870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700752"/>
        <c:crosses val="autoZero"/>
        <c:crossBetween val="midCat"/>
      </c:valAx>
      <c:valAx>
        <c:axId val="13870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70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'20230206t210000'!$AD$10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'20230206t210000'!$Y$11:$Y$500</c:f>
              <c:numCache>
                <c:formatCode>General</c:formatCode>
                <c:ptCount val="490"/>
                <c:pt idx="0">
                  <c:v>1.7450000000000001</c:v>
                </c:pt>
                <c:pt idx="1">
                  <c:v>1.73996</c:v>
                </c:pt>
                <c:pt idx="2">
                  <c:v>1.73492</c:v>
                </c:pt>
                <c:pt idx="3">
                  <c:v>1.7298899999999999</c:v>
                </c:pt>
                <c:pt idx="4">
                  <c:v>1.72485</c:v>
                </c:pt>
                <c:pt idx="5">
                  <c:v>1.7198199999999999</c:v>
                </c:pt>
                <c:pt idx="6">
                  <c:v>1.71478</c:v>
                </c:pt>
                <c:pt idx="7">
                  <c:v>1.7097500000000001</c:v>
                </c:pt>
                <c:pt idx="8">
                  <c:v>1.7047099999999999</c:v>
                </c:pt>
                <c:pt idx="9">
                  <c:v>1.6996800000000001</c:v>
                </c:pt>
                <c:pt idx="10">
                  <c:v>1.6946399999999999</c:v>
                </c:pt>
                <c:pt idx="11">
                  <c:v>1.6896100000000001</c:v>
                </c:pt>
                <c:pt idx="12">
                  <c:v>1.6845699999999999</c:v>
                </c:pt>
                <c:pt idx="13">
                  <c:v>1.67953</c:v>
                </c:pt>
                <c:pt idx="14">
                  <c:v>1.6745000000000001</c:v>
                </c:pt>
                <c:pt idx="15">
                  <c:v>1.6694599999999999</c:v>
                </c:pt>
                <c:pt idx="16">
                  <c:v>1.6644300000000001</c:v>
                </c:pt>
                <c:pt idx="17">
                  <c:v>1.6593899999999999</c:v>
                </c:pt>
                <c:pt idx="18">
                  <c:v>1.6543600000000001</c:v>
                </c:pt>
                <c:pt idx="19">
                  <c:v>1.6493199999999999</c:v>
                </c:pt>
                <c:pt idx="20">
                  <c:v>1.64429</c:v>
                </c:pt>
                <c:pt idx="21">
                  <c:v>1.6392500000000001</c:v>
                </c:pt>
                <c:pt idx="22">
                  <c:v>1.63422</c:v>
                </c:pt>
                <c:pt idx="23">
                  <c:v>1.6291800000000001</c:v>
                </c:pt>
                <c:pt idx="24">
                  <c:v>1.62415</c:v>
                </c:pt>
                <c:pt idx="25">
                  <c:v>1.61911</c:v>
                </c:pt>
                <c:pt idx="26">
                  <c:v>1.6140699999999999</c:v>
                </c:pt>
                <c:pt idx="27">
                  <c:v>1.60904</c:v>
                </c:pt>
                <c:pt idx="28">
                  <c:v>1.6040000000000001</c:v>
                </c:pt>
                <c:pt idx="29">
                  <c:v>1.59897</c:v>
                </c:pt>
                <c:pt idx="30">
                  <c:v>1.5939300000000001</c:v>
                </c:pt>
                <c:pt idx="31">
                  <c:v>1.5889</c:v>
                </c:pt>
                <c:pt idx="32">
                  <c:v>1.58386</c:v>
                </c:pt>
                <c:pt idx="33">
                  <c:v>1.57883</c:v>
                </c:pt>
                <c:pt idx="34">
                  <c:v>1.57379</c:v>
                </c:pt>
                <c:pt idx="35">
                  <c:v>1.5687599999999999</c:v>
                </c:pt>
                <c:pt idx="36">
                  <c:v>1.56372</c:v>
                </c:pt>
                <c:pt idx="37">
                  <c:v>1.5586899999999999</c:v>
                </c:pt>
                <c:pt idx="38">
                  <c:v>1.55365</c:v>
                </c:pt>
                <c:pt idx="39">
                  <c:v>1.54861</c:v>
                </c:pt>
                <c:pt idx="40">
                  <c:v>1.54358</c:v>
                </c:pt>
                <c:pt idx="41">
                  <c:v>1.53854</c:v>
                </c:pt>
                <c:pt idx="42">
                  <c:v>1.5335099999999999</c:v>
                </c:pt>
                <c:pt idx="43">
                  <c:v>1.52847</c:v>
                </c:pt>
                <c:pt idx="44">
                  <c:v>1.5234399999999999</c:v>
                </c:pt>
                <c:pt idx="45">
                  <c:v>1.5184</c:v>
                </c:pt>
                <c:pt idx="46">
                  <c:v>1.5133700000000001</c:v>
                </c:pt>
                <c:pt idx="47">
                  <c:v>1.5083299999999999</c:v>
                </c:pt>
                <c:pt idx="48">
                  <c:v>1.5033000000000001</c:v>
                </c:pt>
                <c:pt idx="49">
                  <c:v>1.4982599999999999</c:v>
                </c:pt>
                <c:pt idx="50">
                  <c:v>1.4932300000000001</c:v>
                </c:pt>
                <c:pt idx="51">
                  <c:v>1.4881899999999999</c:v>
                </c:pt>
                <c:pt idx="52">
                  <c:v>1.48315</c:v>
                </c:pt>
                <c:pt idx="53">
                  <c:v>1.4781200000000001</c:v>
                </c:pt>
                <c:pt idx="54">
                  <c:v>1.4730799999999999</c:v>
                </c:pt>
                <c:pt idx="55">
                  <c:v>1.4680500000000001</c:v>
                </c:pt>
                <c:pt idx="56">
                  <c:v>1.4630099999999999</c:v>
                </c:pt>
                <c:pt idx="57">
                  <c:v>1.4579800000000001</c:v>
                </c:pt>
                <c:pt idx="58">
                  <c:v>1.4529399999999999</c:v>
                </c:pt>
                <c:pt idx="59">
                  <c:v>1.44791</c:v>
                </c:pt>
                <c:pt idx="60">
                  <c:v>1.4428700000000001</c:v>
                </c:pt>
                <c:pt idx="61">
                  <c:v>1.43784</c:v>
                </c:pt>
                <c:pt idx="62">
                  <c:v>1.4328000000000001</c:v>
                </c:pt>
                <c:pt idx="63">
                  <c:v>1.4277599999999999</c:v>
                </c:pt>
                <c:pt idx="64">
                  <c:v>1.4227300000000001</c:v>
                </c:pt>
                <c:pt idx="65">
                  <c:v>1.4176899999999999</c:v>
                </c:pt>
                <c:pt idx="66">
                  <c:v>1.41266</c:v>
                </c:pt>
                <c:pt idx="67">
                  <c:v>1.4076200000000001</c:v>
                </c:pt>
                <c:pt idx="68">
                  <c:v>1.40259</c:v>
                </c:pt>
                <c:pt idx="69">
                  <c:v>1.3975500000000001</c:v>
                </c:pt>
                <c:pt idx="70">
                  <c:v>1.39252</c:v>
                </c:pt>
                <c:pt idx="71">
                  <c:v>1.38748</c:v>
                </c:pt>
                <c:pt idx="72">
                  <c:v>1.38245</c:v>
                </c:pt>
                <c:pt idx="73">
                  <c:v>1.37741</c:v>
                </c:pt>
                <c:pt idx="74">
                  <c:v>1.3723799999999999</c:v>
                </c:pt>
                <c:pt idx="75">
                  <c:v>1.36734</c:v>
                </c:pt>
                <c:pt idx="76">
                  <c:v>1.3623000000000001</c:v>
                </c:pt>
                <c:pt idx="77">
                  <c:v>1.35727</c:v>
                </c:pt>
                <c:pt idx="78">
                  <c:v>1.35223</c:v>
                </c:pt>
                <c:pt idx="79">
                  <c:v>1.3472</c:v>
                </c:pt>
                <c:pt idx="80">
                  <c:v>1.34216</c:v>
                </c:pt>
                <c:pt idx="81">
                  <c:v>1.3371299999999999</c:v>
                </c:pt>
                <c:pt idx="82">
                  <c:v>1.33209</c:v>
                </c:pt>
                <c:pt idx="83">
                  <c:v>1.3270599999999999</c:v>
                </c:pt>
                <c:pt idx="84">
                  <c:v>1.32202</c:v>
                </c:pt>
                <c:pt idx="85">
                  <c:v>1.3169900000000001</c:v>
                </c:pt>
                <c:pt idx="86">
                  <c:v>1.3119499999999999</c:v>
                </c:pt>
                <c:pt idx="87">
                  <c:v>1.3069200000000001</c:v>
                </c:pt>
                <c:pt idx="88">
                  <c:v>1.3018799999999999</c:v>
                </c:pt>
                <c:pt idx="89">
                  <c:v>1.29684</c:v>
                </c:pt>
                <c:pt idx="90">
                  <c:v>1.2918099999999999</c:v>
                </c:pt>
                <c:pt idx="91">
                  <c:v>1.28677</c:v>
                </c:pt>
                <c:pt idx="92">
                  <c:v>1.2817400000000001</c:v>
                </c:pt>
                <c:pt idx="93">
                  <c:v>1.2766999999999999</c:v>
                </c:pt>
                <c:pt idx="94">
                  <c:v>1.2716700000000001</c:v>
                </c:pt>
                <c:pt idx="95">
                  <c:v>1.2666299999999999</c:v>
                </c:pt>
                <c:pt idx="96">
                  <c:v>1.2616000000000001</c:v>
                </c:pt>
                <c:pt idx="97">
                  <c:v>1.2565599999999999</c:v>
                </c:pt>
                <c:pt idx="98">
                  <c:v>1.25153</c:v>
                </c:pt>
                <c:pt idx="99">
                  <c:v>1.2464900000000001</c:v>
                </c:pt>
                <c:pt idx="100">
                  <c:v>1.24146</c:v>
                </c:pt>
                <c:pt idx="101">
                  <c:v>1.2364200000000001</c:v>
                </c:pt>
                <c:pt idx="102">
                  <c:v>1.2313799999999999</c:v>
                </c:pt>
                <c:pt idx="103">
                  <c:v>1.2263500000000001</c:v>
                </c:pt>
                <c:pt idx="104">
                  <c:v>1.2213099999999999</c:v>
                </c:pt>
                <c:pt idx="105">
                  <c:v>1.21628</c:v>
                </c:pt>
                <c:pt idx="106">
                  <c:v>1.2112400000000001</c:v>
                </c:pt>
                <c:pt idx="107">
                  <c:v>1.20621</c:v>
                </c:pt>
                <c:pt idx="108">
                  <c:v>1.2011700000000001</c:v>
                </c:pt>
                <c:pt idx="109">
                  <c:v>1.19614</c:v>
                </c:pt>
                <c:pt idx="110">
                  <c:v>1.1911</c:v>
                </c:pt>
                <c:pt idx="111">
                  <c:v>1.18607</c:v>
                </c:pt>
                <c:pt idx="112">
                  <c:v>1.18103</c:v>
                </c:pt>
                <c:pt idx="113">
                  <c:v>1.1759900000000001</c:v>
                </c:pt>
                <c:pt idx="114">
                  <c:v>1.17096</c:v>
                </c:pt>
                <c:pt idx="115">
                  <c:v>1.1659200000000001</c:v>
                </c:pt>
                <c:pt idx="116">
                  <c:v>1.16089</c:v>
                </c:pt>
                <c:pt idx="117">
                  <c:v>1.15585</c:v>
                </c:pt>
                <c:pt idx="118">
                  <c:v>1.15082</c:v>
                </c:pt>
                <c:pt idx="119">
                  <c:v>1.14578</c:v>
                </c:pt>
                <c:pt idx="120">
                  <c:v>1.1407499999999999</c:v>
                </c:pt>
                <c:pt idx="121">
                  <c:v>1.13571</c:v>
                </c:pt>
                <c:pt idx="122">
                  <c:v>1.1306799999999999</c:v>
                </c:pt>
                <c:pt idx="123">
                  <c:v>1.12564</c:v>
                </c:pt>
                <c:pt idx="124">
                  <c:v>1.1206100000000001</c:v>
                </c:pt>
                <c:pt idx="125">
                  <c:v>1.11557</c:v>
                </c:pt>
                <c:pt idx="126">
                  <c:v>1.11053</c:v>
                </c:pt>
                <c:pt idx="127">
                  <c:v>1.1054999999999999</c:v>
                </c:pt>
                <c:pt idx="128">
                  <c:v>1.10046</c:v>
                </c:pt>
                <c:pt idx="129">
                  <c:v>1.0954299999999999</c:v>
                </c:pt>
                <c:pt idx="130">
                  <c:v>1.09039</c:v>
                </c:pt>
                <c:pt idx="131">
                  <c:v>1.0853600000000001</c:v>
                </c:pt>
                <c:pt idx="132">
                  <c:v>1.0803199999999999</c:v>
                </c:pt>
                <c:pt idx="133">
                  <c:v>1.0752900000000001</c:v>
                </c:pt>
                <c:pt idx="134">
                  <c:v>1.0702499999999999</c:v>
                </c:pt>
                <c:pt idx="135">
                  <c:v>1.0652200000000001</c:v>
                </c:pt>
                <c:pt idx="136">
                  <c:v>1.0601799999999999</c:v>
                </c:pt>
                <c:pt idx="137">
                  <c:v>1.05515</c:v>
                </c:pt>
                <c:pt idx="138">
                  <c:v>1.0501100000000001</c:v>
                </c:pt>
                <c:pt idx="139">
                  <c:v>1.0450699999999999</c:v>
                </c:pt>
                <c:pt idx="140">
                  <c:v>1.0400400000000001</c:v>
                </c:pt>
                <c:pt idx="141">
                  <c:v>1.0349999999999999</c:v>
                </c:pt>
                <c:pt idx="142">
                  <c:v>1.0299700000000001</c:v>
                </c:pt>
                <c:pt idx="143">
                  <c:v>1.0249299999999999</c:v>
                </c:pt>
                <c:pt idx="144">
                  <c:v>1.0199</c:v>
                </c:pt>
                <c:pt idx="145">
                  <c:v>1.0148600000000001</c:v>
                </c:pt>
                <c:pt idx="146">
                  <c:v>1.00983</c:v>
                </c:pt>
                <c:pt idx="147">
                  <c:v>1.0047900000000001</c:v>
                </c:pt>
                <c:pt idx="148">
                  <c:v>0.99975599999999998</c:v>
                </c:pt>
                <c:pt idx="149">
                  <c:v>0.99472000000000005</c:v>
                </c:pt>
                <c:pt idx="150">
                  <c:v>0.98968500000000004</c:v>
                </c:pt>
                <c:pt idx="151">
                  <c:v>0.98465000000000003</c:v>
                </c:pt>
                <c:pt idx="152">
                  <c:v>0.97961399999999998</c:v>
                </c:pt>
                <c:pt idx="153">
                  <c:v>0.97457899999999997</c:v>
                </c:pt>
                <c:pt idx="154">
                  <c:v>0.96954300000000004</c:v>
                </c:pt>
                <c:pt idx="155">
                  <c:v>0.96450800000000003</c:v>
                </c:pt>
                <c:pt idx="156">
                  <c:v>0.95947300000000002</c:v>
                </c:pt>
                <c:pt idx="157">
                  <c:v>0.95443699999999998</c:v>
                </c:pt>
                <c:pt idx="158">
                  <c:v>0.94940199999999997</c:v>
                </c:pt>
                <c:pt idx="159">
                  <c:v>0.94436600000000004</c:v>
                </c:pt>
                <c:pt idx="160">
                  <c:v>0.93933100000000003</c:v>
                </c:pt>
                <c:pt idx="161">
                  <c:v>0.93429600000000002</c:v>
                </c:pt>
                <c:pt idx="162">
                  <c:v>0.92925999999999997</c:v>
                </c:pt>
                <c:pt idx="163">
                  <c:v>0.92422499999999996</c:v>
                </c:pt>
                <c:pt idx="164">
                  <c:v>0.91918900000000003</c:v>
                </c:pt>
                <c:pt idx="165">
                  <c:v>0.91415400000000002</c:v>
                </c:pt>
                <c:pt idx="166">
                  <c:v>0.90911900000000001</c:v>
                </c:pt>
                <c:pt idx="167">
                  <c:v>0.90408299999999997</c:v>
                </c:pt>
                <c:pt idx="168">
                  <c:v>0.89904799999999996</c:v>
                </c:pt>
                <c:pt idx="169">
                  <c:v>0.89401200000000003</c:v>
                </c:pt>
                <c:pt idx="170">
                  <c:v>0.88897700000000002</c:v>
                </c:pt>
                <c:pt idx="171">
                  <c:v>0.88394200000000001</c:v>
                </c:pt>
                <c:pt idx="172">
                  <c:v>0.87890599999999997</c:v>
                </c:pt>
                <c:pt idx="173">
                  <c:v>0.87387099999999995</c:v>
                </c:pt>
                <c:pt idx="174">
                  <c:v>0.86883500000000002</c:v>
                </c:pt>
                <c:pt idx="175">
                  <c:v>0.86380000000000001</c:v>
                </c:pt>
                <c:pt idx="176">
                  <c:v>0.858765</c:v>
                </c:pt>
                <c:pt idx="177">
                  <c:v>0.85372899999999996</c:v>
                </c:pt>
                <c:pt idx="178">
                  <c:v>0.84869399999999995</c:v>
                </c:pt>
                <c:pt idx="179">
                  <c:v>0.84365800000000002</c:v>
                </c:pt>
                <c:pt idx="180">
                  <c:v>0.83862300000000001</c:v>
                </c:pt>
                <c:pt idx="181">
                  <c:v>0.833588</c:v>
                </c:pt>
                <c:pt idx="182">
                  <c:v>0.82855199999999996</c:v>
                </c:pt>
                <c:pt idx="183">
                  <c:v>0.82351700000000005</c:v>
                </c:pt>
                <c:pt idx="184">
                  <c:v>0.81848100000000001</c:v>
                </c:pt>
                <c:pt idx="185">
                  <c:v>0.813446</c:v>
                </c:pt>
                <c:pt idx="186">
                  <c:v>0.80841099999999999</c:v>
                </c:pt>
                <c:pt idx="187">
                  <c:v>0.80337499999999995</c:v>
                </c:pt>
                <c:pt idx="188">
                  <c:v>0.79834000000000005</c:v>
                </c:pt>
                <c:pt idx="189">
                  <c:v>0.79330400000000001</c:v>
                </c:pt>
                <c:pt idx="190">
                  <c:v>0.788269</c:v>
                </c:pt>
                <c:pt idx="191">
                  <c:v>0.78323399999999999</c:v>
                </c:pt>
                <c:pt idx="192">
                  <c:v>0.77819799999999995</c:v>
                </c:pt>
                <c:pt idx="193">
                  <c:v>0.77316300000000004</c:v>
                </c:pt>
                <c:pt idx="194">
                  <c:v>0.768127</c:v>
                </c:pt>
                <c:pt idx="195">
                  <c:v>0.76309199999999999</c:v>
                </c:pt>
                <c:pt idx="196">
                  <c:v>0.75805699999999998</c:v>
                </c:pt>
                <c:pt idx="197">
                  <c:v>0.75302100000000005</c:v>
                </c:pt>
                <c:pt idx="198">
                  <c:v>0.74798600000000004</c:v>
                </c:pt>
                <c:pt idx="199">
                  <c:v>0.74295</c:v>
                </c:pt>
                <c:pt idx="200">
                  <c:v>0.73791499999999999</c:v>
                </c:pt>
                <c:pt idx="201">
                  <c:v>0.73287999999999998</c:v>
                </c:pt>
                <c:pt idx="202">
                  <c:v>0.72784400000000005</c:v>
                </c:pt>
                <c:pt idx="203">
                  <c:v>0.72280900000000003</c:v>
                </c:pt>
                <c:pt idx="204">
                  <c:v>0.71777299999999999</c:v>
                </c:pt>
                <c:pt idx="205">
                  <c:v>0.71273799999999998</c:v>
                </c:pt>
                <c:pt idx="206">
                  <c:v>0.70770299999999997</c:v>
                </c:pt>
                <c:pt idx="207">
                  <c:v>0.70266700000000004</c:v>
                </c:pt>
                <c:pt idx="208">
                  <c:v>0.69763200000000003</c:v>
                </c:pt>
                <c:pt idx="209">
                  <c:v>0.69259599999999999</c:v>
                </c:pt>
                <c:pt idx="210">
                  <c:v>0.68756099999999998</c:v>
                </c:pt>
                <c:pt idx="211">
                  <c:v>0.68252599999999997</c:v>
                </c:pt>
                <c:pt idx="212">
                  <c:v>0.67749000000000004</c:v>
                </c:pt>
                <c:pt idx="213">
                  <c:v>0.67245500000000002</c:v>
                </c:pt>
                <c:pt idx="214">
                  <c:v>0.66741899999999998</c:v>
                </c:pt>
                <c:pt idx="215">
                  <c:v>0.66238399999999997</c:v>
                </c:pt>
                <c:pt idx="216">
                  <c:v>0.65734899999999996</c:v>
                </c:pt>
                <c:pt idx="217">
                  <c:v>0.65231300000000003</c:v>
                </c:pt>
                <c:pt idx="218">
                  <c:v>0.64727800000000002</c:v>
                </c:pt>
                <c:pt idx="219">
                  <c:v>0.64224199999999998</c:v>
                </c:pt>
                <c:pt idx="220">
                  <c:v>0.63720699999999997</c:v>
                </c:pt>
                <c:pt idx="221">
                  <c:v>0.63217199999999996</c:v>
                </c:pt>
                <c:pt idx="222">
                  <c:v>0.62713600000000003</c:v>
                </c:pt>
                <c:pt idx="223">
                  <c:v>0.62210100000000002</c:v>
                </c:pt>
                <c:pt idx="224">
                  <c:v>0.61706499999999997</c:v>
                </c:pt>
                <c:pt idx="225">
                  <c:v>0.61202999999999996</c:v>
                </c:pt>
                <c:pt idx="226">
                  <c:v>0.60699499999999995</c:v>
                </c:pt>
                <c:pt idx="227">
                  <c:v>0.60195900000000002</c:v>
                </c:pt>
                <c:pt idx="228">
                  <c:v>0.59692400000000001</c:v>
                </c:pt>
                <c:pt idx="229">
                  <c:v>0.59188799999999997</c:v>
                </c:pt>
                <c:pt idx="230">
                  <c:v>0.58685299999999996</c:v>
                </c:pt>
                <c:pt idx="231">
                  <c:v>0.58181799999999995</c:v>
                </c:pt>
                <c:pt idx="232">
                  <c:v>0.57678200000000002</c:v>
                </c:pt>
                <c:pt idx="233">
                  <c:v>0.57174700000000001</c:v>
                </c:pt>
                <c:pt idx="234">
                  <c:v>0.56671099999999996</c:v>
                </c:pt>
                <c:pt idx="235">
                  <c:v>0.56167599999999995</c:v>
                </c:pt>
                <c:pt idx="236">
                  <c:v>0.55664100000000005</c:v>
                </c:pt>
                <c:pt idx="237">
                  <c:v>0.55160500000000001</c:v>
                </c:pt>
                <c:pt idx="238">
                  <c:v>0.54657</c:v>
                </c:pt>
                <c:pt idx="239">
                  <c:v>0.54153399999999996</c:v>
                </c:pt>
                <c:pt idx="240">
                  <c:v>0.53649899999999995</c:v>
                </c:pt>
                <c:pt idx="241">
                  <c:v>0.53146400000000005</c:v>
                </c:pt>
                <c:pt idx="242">
                  <c:v>0.52642800000000001</c:v>
                </c:pt>
                <c:pt idx="243">
                  <c:v>0.521393</c:v>
                </c:pt>
                <c:pt idx="244">
                  <c:v>0.51635699999999995</c:v>
                </c:pt>
                <c:pt idx="245">
                  <c:v>0.51132200000000005</c:v>
                </c:pt>
                <c:pt idx="246">
                  <c:v>0.50628700000000004</c:v>
                </c:pt>
                <c:pt idx="247">
                  <c:v>0.501251</c:v>
                </c:pt>
                <c:pt idx="248">
                  <c:v>0.49621599999999999</c:v>
                </c:pt>
                <c:pt idx="249">
                  <c:v>0.49118000000000001</c:v>
                </c:pt>
                <c:pt idx="250">
                  <c:v>0.48614499999999999</c:v>
                </c:pt>
                <c:pt idx="251">
                  <c:v>0.48110999999999998</c:v>
                </c:pt>
                <c:pt idx="252">
                  <c:v>0.476074</c:v>
                </c:pt>
                <c:pt idx="253">
                  <c:v>0.47103899999999999</c:v>
                </c:pt>
                <c:pt idx="254">
                  <c:v>0.466003</c:v>
                </c:pt>
                <c:pt idx="255">
                  <c:v>0.46096799999999999</c:v>
                </c:pt>
                <c:pt idx="256">
                  <c:v>0.45593299999999998</c:v>
                </c:pt>
                <c:pt idx="257">
                  <c:v>0.45089699999999999</c:v>
                </c:pt>
                <c:pt idx="258">
                  <c:v>0.44586199999999998</c:v>
                </c:pt>
                <c:pt idx="259">
                  <c:v>0.440826</c:v>
                </c:pt>
                <c:pt idx="260">
                  <c:v>0.43579099999999998</c:v>
                </c:pt>
                <c:pt idx="261">
                  <c:v>0.43075600000000003</c:v>
                </c:pt>
                <c:pt idx="262">
                  <c:v>0.42571999999999999</c:v>
                </c:pt>
                <c:pt idx="263">
                  <c:v>0.42068499999999998</c:v>
                </c:pt>
                <c:pt idx="264">
                  <c:v>0.41564899999999999</c:v>
                </c:pt>
                <c:pt idx="265">
                  <c:v>0.41061399999999998</c:v>
                </c:pt>
                <c:pt idx="266">
                  <c:v>0.40557900000000002</c:v>
                </c:pt>
                <c:pt idx="267">
                  <c:v>0.40054299999999998</c:v>
                </c:pt>
                <c:pt idx="268">
                  <c:v>0.39550800000000003</c:v>
                </c:pt>
                <c:pt idx="269">
                  <c:v>0.39047199999999999</c:v>
                </c:pt>
                <c:pt idx="270">
                  <c:v>0.38543699999999997</c:v>
                </c:pt>
                <c:pt idx="271">
                  <c:v>0.38040200000000002</c:v>
                </c:pt>
                <c:pt idx="272">
                  <c:v>0.37536599999999998</c:v>
                </c:pt>
                <c:pt idx="273">
                  <c:v>0.37033100000000002</c:v>
                </c:pt>
                <c:pt idx="274">
                  <c:v>0.36529499999999998</c:v>
                </c:pt>
                <c:pt idx="275">
                  <c:v>0.36026000000000002</c:v>
                </c:pt>
                <c:pt idx="276">
                  <c:v>0.35522500000000001</c:v>
                </c:pt>
                <c:pt idx="277">
                  <c:v>0.35018899999999997</c:v>
                </c:pt>
                <c:pt idx="278">
                  <c:v>0.34515400000000002</c:v>
                </c:pt>
                <c:pt idx="279">
                  <c:v>0.34011799999999998</c:v>
                </c:pt>
                <c:pt idx="280">
                  <c:v>0.33508300000000002</c:v>
                </c:pt>
                <c:pt idx="281">
                  <c:v>0.33004800000000001</c:v>
                </c:pt>
                <c:pt idx="282">
                  <c:v>0.32501200000000002</c:v>
                </c:pt>
                <c:pt idx="283">
                  <c:v>0.31997700000000001</c:v>
                </c:pt>
                <c:pt idx="284">
                  <c:v>0.31494100000000003</c:v>
                </c:pt>
                <c:pt idx="285">
                  <c:v>0.30990600000000001</c:v>
                </c:pt>
                <c:pt idx="286">
                  <c:v>0.304871</c:v>
                </c:pt>
                <c:pt idx="287">
                  <c:v>0.29983500000000002</c:v>
                </c:pt>
                <c:pt idx="288">
                  <c:v>0.29480000000000001</c:v>
                </c:pt>
                <c:pt idx="289">
                  <c:v>0.28976400000000002</c:v>
                </c:pt>
                <c:pt idx="290">
                  <c:v>0.28472900000000001</c:v>
                </c:pt>
                <c:pt idx="291">
                  <c:v>0.279694</c:v>
                </c:pt>
                <c:pt idx="292">
                  <c:v>0.27465800000000001</c:v>
                </c:pt>
                <c:pt idx="293">
                  <c:v>0.269623</c:v>
                </c:pt>
                <c:pt idx="294">
                  <c:v>0.26458700000000002</c:v>
                </c:pt>
                <c:pt idx="295">
                  <c:v>0.259552</c:v>
                </c:pt>
                <c:pt idx="296">
                  <c:v>0.25451699999999999</c:v>
                </c:pt>
                <c:pt idx="297">
                  <c:v>0.24948100000000001</c:v>
                </c:pt>
                <c:pt idx="298">
                  <c:v>0.244446</c:v>
                </c:pt>
                <c:pt idx="299">
                  <c:v>0.23941000000000001</c:v>
                </c:pt>
                <c:pt idx="300">
                  <c:v>0.234375</c:v>
                </c:pt>
                <c:pt idx="301">
                  <c:v>0.22933999999999999</c:v>
                </c:pt>
                <c:pt idx="302">
                  <c:v>0.224304</c:v>
                </c:pt>
                <c:pt idx="303">
                  <c:v>0.21926899999999999</c:v>
                </c:pt>
                <c:pt idx="304">
                  <c:v>0.21423300000000001</c:v>
                </c:pt>
                <c:pt idx="305">
                  <c:v>0.209198</c:v>
                </c:pt>
                <c:pt idx="306">
                  <c:v>0.20416300000000001</c:v>
                </c:pt>
                <c:pt idx="307">
                  <c:v>0.199127</c:v>
                </c:pt>
                <c:pt idx="308">
                  <c:v>0.19409199999999999</c:v>
                </c:pt>
                <c:pt idx="309">
                  <c:v>0.189056</c:v>
                </c:pt>
                <c:pt idx="310">
                  <c:v>0.18402099999999999</c:v>
                </c:pt>
                <c:pt idx="311">
                  <c:v>0.17898600000000001</c:v>
                </c:pt>
                <c:pt idx="312">
                  <c:v>0.17394999999999999</c:v>
                </c:pt>
                <c:pt idx="313">
                  <c:v>0.16891500000000001</c:v>
                </c:pt>
                <c:pt idx="314">
                  <c:v>0.163879</c:v>
                </c:pt>
                <c:pt idx="315">
                  <c:v>0.15884400000000001</c:v>
                </c:pt>
                <c:pt idx="316">
                  <c:v>0.153809</c:v>
                </c:pt>
                <c:pt idx="317">
                  <c:v>0.14877299999999999</c:v>
                </c:pt>
                <c:pt idx="318">
                  <c:v>0.143738</c:v>
                </c:pt>
                <c:pt idx="319">
                  <c:v>0.13870199999999999</c:v>
                </c:pt>
                <c:pt idx="320">
                  <c:v>0.13366700000000001</c:v>
                </c:pt>
                <c:pt idx="321">
                  <c:v>0.128632</c:v>
                </c:pt>
                <c:pt idx="322">
                  <c:v>0.123596</c:v>
                </c:pt>
                <c:pt idx="323">
                  <c:v>0.118561</c:v>
                </c:pt>
                <c:pt idx="324">
                  <c:v>0.113525</c:v>
                </c:pt>
                <c:pt idx="325">
                  <c:v>0.10849</c:v>
                </c:pt>
                <c:pt idx="326">
                  <c:v>0.10345500000000001</c:v>
                </c:pt>
                <c:pt idx="327">
                  <c:v>9.8419199999999998E-2</c:v>
                </c:pt>
                <c:pt idx="328">
                  <c:v>9.3383800000000003E-2</c:v>
                </c:pt>
                <c:pt idx="329">
                  <c:v>8.8348399999999994E-2</c:v>
                </c:pt>
                <c:pt idx="330">
                  <c:v>8.3312999999999998E-2</c:v>
                </c:pt>
                <c:pt idx="331">
                  <c:v>7.8277600000000003E-2</c:v>
                </c:pt>
                <c:pt idx="332">
                  <c:v>7.3242199999999993E-2</c:v>
                </c:pt>
                <c:pt idx="333">
                  <c:v>6.8206799999999998E-2</c:v>
                </c:pt>
                <c:pt idx="334">
                  <c:v>6.3171400000000003E-2</c:v>
                </c:pt>
                <c:pt idx="335">
                  <c:v>5.8136E-2</c:v>
                </c:pt>
                <c:pt idx="336">
                  <c:v>5.3100599999999998E-2</c:v>
                </c:pt>
                <c:pt idx="337">
                  <c:v>4.8065200000000002E-2</c:v>
                </c:pt>
                <c:pt idx="338">
                  <c:v>4.30298E-2</c:v>
                </c:pt>
                <c:pt idx="339">
                  <c:v>3.7994399999999998E-2</c:v>
                </c:pt>
                <c:pt idx="340">
                  <c:v>3.2959000000000002E-2</c:v>
                </c:pt>
                <c:pt idx="341">
                  <c:v>2.79236E-2</c:v>
                </c:pt>
                <c:pt idx="342">
                  <c:v>2.2888200000000001E-2</c:v>
                </c:pt>
                <c:pt idx="343">
                  <c:v>1.7852799999999999E-2</c:v>
                </c:pt>
                <c:pt idx="344">
                  <c:v>1.28174E-2</c:v>
                </c:pt>
                <c:pt idx="345">
                  <c:v>7.78198E-3</c:v>
                </c:pt>
                <c:pt idx="346">
                  <c:v>2.7465800000000002E-3</c:v>
                </c:pt>
                <c:pt idx="347">
                  <c:v>-2.28882E-3</c:v>
                </c:pt>
                <c:pt idx="348">
                  <c:v>-7.3242200000000002E-3</c:v>
                </c:pt>
                <c:pt idx="349">
                  <c:v>-1.23596E-2</c:v>
                </c:pt>
                <c:pt idx="350">
                  <c:v>-1.7395000000000001E-2</c:v>
                </c:pt>
                <c:pt idx="351">
                  <c:v>-2.24304E-2</c:v>
                </c:pt>
                <c:pt idx="352">
                  <c:v>-2.7465799999999999E-2</c:v>
                </c:pt>
                <c:pt idx="353">
                  <c:v>-3.2501200000000001E-2</c:v>
                </c:pt>
                <c:pt idx="354">
                  <c:v>-3.7536600000000003E-2</c:v>
                </c:pt>
                <c:pt idx="355">
                  <c:v>-4.2571999999999999E-2</c:v>
                </c:pt>
                <c:pt idx="356">
                  <c:v>-4.7607400000000001E-2</c:v>
                </c:pt>
                <c:pt idx="357">
                  <c:v>-5.2642799999999997E-2</c:v>
                </c:pt>
                <c:pt idx="358">
                  <c:v>-5.7678199999999999E-2</c:v>
                </c:pt>
                <c:pt idx="359">
                  <c:v>-6.2713599999999994E-2</c:v>
                </c:pt>
                <c:pt idx="360">
                  <c:v>-6.7749000000000004E-2</c:v>
                </c:pt>
                <c:pt idx="361">
                  <c:v>-7.2784399999999999E-2</c:v>
                </c:pt>
                <c:pt idx="362">
                  <c:v>-7.7819799999999995E-2</c:v>
                </c:pt>
                <c:pt idx="363">
                  <c:v>-8.2855200000000004E-2</c:v>
                </c:pt>
                <c:pt idx="364">
                  <c:v>-8.7890599999999999E-2</c:v>
                </c:pt>
                <c:pt idx="365">
                  <c:v>-9.2925999999999995E-2</c:v>
                </c:pt>
                <c:pt idx="366">
                  <c:v>-9.7961400000000004E-2</c:v>
                </c:pt>
                <c:pt idx="367">
                  <c:v>-0.10299700000000001</c:v>
                </c:pt>
              </c:numCache>
            </c:numRef>
          </c:xVal>
          <c:yVal>
            <c:numRef>
              <c:f>'20230206t210000'!$AD$11:$AD$500</c:f>
              <c:numCache>
                <c:formatCode>General</c:formatCode>
                <c:ptCount val="490"/>
                <c:pt idx="0">
                  <c:v>-16.687000000000001</c:v>
                </c:pt>
                <c:pt idx="1">
                  <c:v>-14.8926</c:v>
                </c:pt>
                <c:pt idx="2">
                  <c:v>-13.0402</c:v>
                </c:pt>
                <c:pt idx="3">
                  <c:v>-11.242699999999999</c:v>
                </c:pt>
                <c:pt idx="4">
                  <c:v>-9.4268800000000006</c:v>
                </c:pt>
                <c:pt idx="5">
                  <c:v>-7.5683599999999993</c:v>
                </c:pt>
                <c:pt idx="6">
                  <c:v>-5.7617199999999995</c:v>
                </c:pt>
                <c:pt idx="7">
                  <c:v>-3.9526400000000002</c:v>
                </c:pt>
                <c:pt idx="8">
                  <c:v>-2.1044900000000002</c:v>
                </c:pt>
                <c:pt idx="9">
                  <c:v>-0.35974100000000003</c:v>
                </c:pt>
                <c:pt idx="10">
                  <c:v>1.3684100000000001</c:v>
                </c:pt>
                <c:pt idx="11">
                  <c:v>3.05023</c:v>
                </c:pt>
                <c:pt idx="12">
                  <c:v>4.6328699999999996</c:v>
                </c:pt>
                <c:pt idx="13">
                  <c:v>6.1035200000000005</c:v>
                </c:pt>
                <c:pt idx="14">
                  <c:v>7.3730500000000001</c:v>
                </c:pt>
                <c:pt idx="15">
                  <c:v>8.4564199999999996</c:v>
                </c:pt>
                <c:pt idx="16">
                  <c:v>9.4177199999999992</c:v>
                </c:pt>
                <c:pt idx="17">
                  <c:v>10.2386</c:v>
                </c:pt>
                <c:pt idx="18">
                  <c:v>10.9894</c:v>
                </c:pt>
                <c:pt idx="19">
                  <c:v>11.605799999999999</c:v>
                </c:pt>
                <c:pt idx="20">
                  <c:v>12.130699999999999</c:v>
                </c:pt>
                <c:pt idx="21">
                  <c:v>12.5793</c:v>
                </c:pt>
                <c:pt idx="22">
                  <c:v>13.006600000000001</c:v>
                </c:pt>
                <c:pt idx="23">
                  <c:v>13.378900000000002</c:v>
                </c:pt>
                <c:pt idx="24">
                  <c:v>13.705399999999999</c:v>
                </c:pt>
                <c:pt idx="25">
                  <c:v>13.9954</c:v>
                </c:pt>
                <c:pt idx="26">
                  <c:v>14.2639</c:v>
                </c:pt>
                <c:pt idx="27">
                  <c:v>14.495799999999999</c:v>
                </c:pt>
                <c:pt idx="28">
                  <c:v>14.700299999999999</c:v>
                </c:pt>
                <c:pt idx="29">
                  <c:v>14.9139</c:v>
                </c:pt>
                <c:pt idx="30">
                  <c:v>15.084800000000001</c:v>
                </c:pt>
                <c:pt idx="31">
                  <c:v>15.261800000000001</c:v>
                </c:pt>
                <c:pt idx="32">
                  <c:v>15.420500000000001</c:v>
                </c:pt>
                <c:pt idx="33">
                  <c:v>15.5365</c:v>
                </c:pt>
                <c:pt idx="34">
                  <c:v>15.6677</c:v>
                </c:pt>
                <c:pt idx="35">
                  <c:v>15.786700000000002</c:v>
                </c:pt>
                <c:pt idx="36">
                  <c:v>15.902699999999999</c:v>
                </c:pt>
                <c:pt idx="37">
                  <c:v>15.997299999999999</c:v>
                </c:pt>
                <c:pt idx="38">
                  <c:v>16.101099999999999</c:v>
                </c:pt>
                <c:pt idx="39">
                  <c:v>16.186499999999999</c:v>
                </c:pt>
                <c:pt idx="40">
                  <c:v>16.268899999999999</c:v>
                </c:pt>
                <c:pt idx="41">
                  <c:v>16.348299999999998</c:v>
                </c:pt>
                <c:pt idx="42">
                  <c:v>16.421499999999998</c:v>
                </c:pt>
                <c:pt idx="43">
                  <c:v>16.485599999999998</c:v>
                </c:pt>
                <c:pt idx="44">
                  <c:v>16.540499999999998</c:v>
                </c:pt>
                <c:pt idx="45">
                  <c:v>16.604600000000001</c:v>
                </c:pt>
                <c:pt idx="46">
                  <c:v>16.659500000000001</c:v>
                </c:pt>
                <c:pt idx="47">
                  <c:v>16.705299999999998</c:v>
                </c:pt>
                <c:pt idx="48">
                  <c:v>16.763299999999997</c:v>
                </c:pt>
                <c:pt idx="49">
                  <c:v>16.818199999999997</c:v>
                </c:pt>
                <c:pt idx="50">
                  <c:v>16.842699999999997</c:v>
                </c:pt>
                <c:pt idx="51">
                  <c:v>16.888400000000001</c:v>
                </c:pt>
                <c:pt idx="52">
                  <c:v>16.925000000000001</c:v>
                </c:pt>
                <c:pt idx="53">
                  <c:v>16.958600000000001</c:v>
                </c:pt>
                <c:pt idx="54">
                  <c:v>16.9922</c:v>
                </c:pt>
                <c:pt idx="55">
                  <c:v>17.0258</c:v>
                </c:pt>
                <c:pt idx="56">
                  <c:v>17.0532</c:v>
                </c:pt>
                <c:pt idx="57">
                  <c:v>17.0715</c:v>
                </c:pt>
                <c:pt idx="58">
                  <c:v>17.1051</c:v>
                </c:pt>
                <c:pt idx="59">
                  <c:v>17.1234</c:v>
                </c:pt>
                <c:pt idx="60">
                  <c:v>17.157</c:v>
                </c:pt>
                <c:pt idx="61">
                  <c:v>17.1814</c:v>
                </c:pt>
                <c:pt idx="62">
                  <c:v>17.1936</c:v>
                </c:pt>
                <c:pt idx="63">
                  <c:v>17.215</c:v>
                </c:pt>
                <c:pt idx="64">
                  <c:v>17.2333</c:v>
                </c:pt>
                <c:pt idx="65">
                  <c:v>17.2455</c:v>
                </c:pt>
                <c:pt idx="66">
                  <c:v>17.2607</c:v>
                </c:pt>
                <c:pt idx="67">
                  <c:v>17.276</c:v>
                </c:pt>
                <c:pt idx="68">
                  <c:v>17.2974</c:v>
                </c:pt>
                <c:pt idx="69">
                  <c:v>17.3035</c:v>
                </c:pt>
                <c:pt idx="70">
                  <c:v>17.3157</c:v>
                </c:pt>
                <c:pt idx="71">
                  <c:v>17.3218</c:v>
                </c:pt>
                <c:pt idx="72">
                  <c:v>17.334</c:v>
                </c:pt>
                <c:pt idx="73">
                  <c:v>17.3309</c:v>
                </c:pt>
                <c:pt idx="74">
                  <c:v>17.3523</c:v>
                </c:pt>
                <c:pt idx="75">
                  <c:v>17.3584</c:v>
                </c:pt>
                <c:pt idx="76">
                  <c:v>17.367599999999999</c:v>
                </c:pt>
                <c:pt idx="77">
                  <c:v>17.367599999999999</c:v>
                </c:pt>
                <c:pt idx="78">
                  <c:v>17.367599999999999</c:v>
                </c:pt>
                <c:pt idx="79">
                  <c:v>17.3828</c:v>
                </c:pt>
                <c:pt idx="80">
                  <c:v>17.3889</c:v>
                </c:pt>
                <c:pt idx="81">
                  <c:v>17.4011</c:v>
                </c:pt>
                <c:pt idx="82">
                  <c:v>17.395</c:v>
                </c:pt>
                <c:pt idx="83">
                  <c:v>17.404200000000003</c:v>
                </c:pt>
                <c:pt idx="84">
                  <c:v>17.4133</c:v>
                </c:pt>
                <c:pt idx="85">
                  <c:v>17.416399999999999</c:v>
                </c:pt>
                <c:pt idx="86">
                  <c:v>17.422499999999999</c:v>
                </c:pt>
                <c:pt idx="87">
                  <c:v>17.4255</c:v>
                </c:pt>
                <c:pt idx="88">
                  <c:v>17.428599999999999</c:v>
                </c:pt>
                <c:pt idx="89">
                  <c:v>17.434699999999999</c:v>
                </c:pt>
                <c:pt idx="90">
                  <c:v>17.434699999999999</c:v>
                </c:pt>
                <c:pt idx="91">
                  <c:v>17.4377</c:v>
                </c:pt>
                <c:pt idx="92">
                  <c:v>17.434699999999999</c:v>
                </c:pt>
                <c:pt idx="93">
                  <c:v>17.4438</c:v>
                </c:pt>
                <c:pt idx="94">
                  <c:v>17.440799999999999</c:v>
                </c:pt>
                <c:pt idx="95">
                  <c:v>17.45</c:v>
                </c:pt>
                <c:pt idx="96">
                  <c:v>17.456099999999999</c:v>
                </c:pt>
                <c:pt idx="97">
                  <c:v>17.456099999999999</c:v>
                </c:pt>
                <c:pt idx="98">
                  <c:v>17.468299999999999</c:v>
                </c:pt>
                <c:pt idx="99">
                  <c:v>17.465199999999999</c:v>
                </c:pt>
                <c:pt idx="100">
                  <c:v>17.474400000000003</c:v>
                </c:pt>
                <c:pt idx="101">
                  <c:v>17.474400000000003</c:v>
                </c:pt>
                <c:pt idx="102">
                  <c:v>17.465199999999999</c:v>
                </c:pt>
                <c:pt idx="103">
                  <c:v>17.474400000000003</c:v>
                </c:pt>
                <c:pt idx="104">
                  <c:v>17.477399999999999</c:v>
                </c:pt>
                <c:pt idx="105">
                  <c:v>17.480499999999999</c:v>
                </c:pt>
                <c:pt idx="106">
                  <c:v>17.480499999999999</c:v>
                </c:pt>
                <c:pt idx="107">
                  <c:v>17.486600000000003</c:v>
                </c:pt>
                <c:pt idx="108">
                  <c:v>17.486600000000003</c:v>
                </c:pt>
                <c:pt idx="109">
                  <c:v>17.495699999999999</c:v>
                </c:pt>
                <c:pt idx="110">
                  <c:v>17.501800000000003</c:v>
                </c:pt>
                <c:pt idx="111">
                  <c:v>17.507899999999999</c:v>
                </c:pt>
                <c:pt idx="112">
                  <c:v>17.501800000000003</c:v>
                </c:pt>
                <c:pt idx="113">
                  <c:v>17.520099999999999</c:v>
                </c:pt>
                <c:pt idx="114">
                  <c:v>17.513999999999999</c:v>
                </c:pt>
                <c:pt idx="115">
                  <c:v>17.520099999999999</c:v>
                </c:pt>
                <c:pt idx="116">
                  <c:v>17.520099999999999</c:v>
                </c:pt>
                <c:pt idx="117">
                  <c:v>17.520099999999999</c:v>
                </c:pt>
                <c:pt idx="118">
                  <c:v>17.529300000000003</c:v>
                </c:pt>
                <c:pt idx="119">
                  <c:v>17.532299999999999</c:v>
                </c:pt>
                <c:pt idx="120">
                  <c:v>17.535399999999999</c:v>
                </c:pt>
                <c:pt idx="121">
                  <c:v>17.538499999999999</c:v>
                </c:pt>
                <c:pt idx="122">
                  <c:v>17.538499999999999</c:v>
                </c:pt>
                <c:pt idx="123">
                  <c:v>17.535399999999999</c:v>
                </c:pt>
                <c:pt idx="124">
                  <c:v>17.541500000000003</c:v>
                </c:pt>
                <c:pt idx="125">
                  <c:v>17.541500000000003</c:v>
                </c:pt>
                <c:pt idx="126">
                  <c:v>17.541500000000003</c:v>
                </c:pt>
                <c:pt idx="127">
                  <c:v>17.553699999999999</c:v>
                </c:pt>
                <c:pt idx="128">
                  <c:v>17.553699999999999</c:v>
                </c:pt>
                <c:pt idx="129">
                  <c:v>17.556800000000003</c:v>
                </c:pt>
                <c:pt idx="130">
                  <c:v>17.556800000000003</c:v>
                </c:pt>
                <c:pt idx="131">
                  <c:v>17.559799999999999</c:v>
                </c:pt>
                <c:pt idx="132">
                  <c:v>17.559799999999999</c:v>
                </c:pt>
                <c:pt idx="133">
                  <c:v>17.565899999999999</c:v>
                </c:pt>
                <c:pt idx="134">
                  <c:v>17.575099999999999</c:v>
                </c:pt>
                <c:pt idx="135">
                  <c:v>17.571999999999999</c:v>
                </c:pt>
                <c:pt idx="136">
                  <c:v>17.578099999999999</c:v>
                </c:pt>
                <c:pt idx="137">
                  <c:v>17.578099999999999</c:v>
                </c:pt>
                <c:pt idx="138">
                  <c:v>17.587299999999999</c:v>
                </c:pt>
                <c:pt idx="139">
                  <c:v>17.584200000000003</c:v>
                </c:pt>
                <c:pt idx="140">
                  <c:v>17.587299999999999</c:v>
                </c:pt>
                <c:pt idx="141">
                  <c:v>17.590299999999999</c:v>
                </c:pt>
                <c:pt idx="142">
                  <c:v>17.599499999999999</c:v>
                </c:pt>
                <c:pt idx="143">
                  <c:v>17.602499999999999</c:v>
                </c:pt>
                <c:pt idx="144">
                  <c:v>17.596400000000003</c:v>
                </c:pt>
                <c:pt idx="145">
                  <c:v>17.605599999999999</c:v>
                </c:pt>
                <c:pt idx="146">
                  <c:v>17.605599999999999</c:v>
                </c:pt>
                <c:pt idx="147">
                  <c:v>17.623900000000003</c:v>
                </c:pt>
                <c:pt idx="148">
                  <c:v>17.626999999999999</c:v>
                </c:pt>
                <c:pt idx="149">
                  <c:v>17.63</c:v>
                </c:pt>
                <c:pt idx="150">
                  <c:v>17.620799999999999</c:v>
                </c:pt>
                <c:pt idx="151">
                  <c:v>17.623900000000003</c:v>
                </c:pt>
                <c:pt idx="152">
                  <c:v>17.623900000000003</c:v>
                </c:pt>
                <c:pt idx="153">
                  <c:v>17.626999999999999</c:v>
                </c:pt>
                <c:pt idx="154">
                  <c:v>17.642199999999999</c:v>
                </c:pt>
                <c:pt idx="155">
                  <c:v>17.642199999999999</c:v>
                </c:pt>
                <c:pt idx="156">
                  <c:v>17.654399999999999</c:v>
                </c:pt>
                <c:pt idx="157">
                  <c:v>17.636099999999999</c:v>
                </c:pt>
                <c:pt idx="158">
                  <c:v>17.654399999999999</c:v>
                </c:pt>
                <c:pt idx="159">
                  <c:v>17.642199999999999</c:v>
                </c:pt>
                <c:pt idx="160">
                  <c:v>17.645299999999999</c:v>
                </c:pt>
                <c:pt idx="161">
                  <c:v>17.642199999999999</c:v>
                </c:pt>
                <c:pt idx="162">
                  <c:v>17.651400000000002</c:v>
                </c:pt>
                <c:pt idx="163">
                  <c:v>17.645299999999999</c:v>
                </c:pt>
                <c:pt idx="164">
                  <c:v>17.654399999999999</c:v>
                </c:pt>
                <c:pt idx="165">
                  <c:v>17.654399999999999</c:v>
                </c:pt>
                <c:pt idx="166">
                  <c:v>17.660499999999999</c:v>
                </c:pt>
                <c:pt idx="167">
                  <c:v>17.660499999999999</c:v>
                </c:pt>
                <c:pt idx="168">
                  <c:v>17.663600000000002</c:v>
                </c:pt>
                <c:pt idx="169">
                  <c:v>17.666600000000003</c:v>
                </c:pt>
                <c:pt idx="170">
                  <c:v>17.669699999999999</c:v>
                </c:pt>
                <c:pt idx="171">
                  <c:v>17.675799999999999</c:v>
                </c:pt>
                <c:pt idx="172">
                  <c:v>17.675799999999999</c:v>
                </c:pt>
                <c:pt idx="173">
                  <c:v>17.675799999999999</c:v>
                </c:pt>
                <c:pt idx="174">
                  <c:v>17.681899999999999</c:v>
                </c:pt>
                <c:pt idx="175">
                  <c:v>17.684899999999999</c:v>
                </c:pt>
                <c:pt idx="176">
                  <c:v>17.687999999999999</c:v>
                </c:pt>
                <c:pt idx="177">
                  <c:v>17.694100000000002</c:v>
                </c:pt>
                <c:pt idx="178">
                  <c:v>17.694100000000002</c:v>
                </c:pt>
                <c:pt idx="179">
                  <c:v>17.700199999999999</c:v>
                </c:pt>
                <c:pt idx="180">
                  <c:v>17.697099999999999</c:v>
                </c:pt>
                <c:pt idx="181">
                  <c:v>17.700199999999999</c:v>
                </c:pt>
                <c:pt idx="182">
                  <c:v>17.700199999999999</c:v>
                </c:pt>
                <c:pt idx="183">
                  <c:v>17.703199999999999</c:v>
                </c:pt>
                <c:pt idx="184">
                  <c:v>17.706300000000002</c:v>
                </c:pt>
                <c:pt idx="185">
                  <c:v>17.712399999999999</c:v>
                </c:pt>
                <c:pt idx="186">
                  <c:v>17.712399999999999</c:v>
                </c:pt>
                <c:pt idx="187">
                  <c:v>17.718500000000002</c:v>
                </c:pt>
                <c:pt idx="188">
                  <c:v>17.718500000000002</c:v>
                </c:pt>
                <c:pt idx="189">
                  <c:v>17.718500000000002</c:v>
                </c:pt>
                <c:pt idx="190">
                  <c:v>17.730699999999999</c:v>
                </c:pt>
                <c:pt idx="191">
                  <c:v>17.730699999999999</c:v>
                </c:pt>
                <c:pt idx="192">
                  <c:v>17.736799999999999</c:v>
                </c:pt>
                <c:pt idx="193">
                  <c:v>17.742899999999999</c:v>
                </c:pt>
                <c:pt idx="194">
                  <c:v>17.742899999999999</c:v>
                </c:pt>
                <c:pt idx="195">
                  <c:v>17.739899999999999</c:v>
                </c:pt>
                <c:pt idx="196">
                  <c:v>17.746000000000002</c:v>
                </c:pt>
                <c:pt idx="197">
                  <c:v>17.749000000000002</c:v>
                </c:pt>
                <c:pt idx="198">
                  <c:v>17.752099999999999</c:v>
                </c:pt>
                <c:pt idx="199">
                  <c:v>17.755099999999999</c:v>
                </c:pt>
                <c:pt idx="200">
                  <c:v>17.755099999999999</c:v>
                </c:pt>
                <c:pt idx="201">
                  <c:v>17.755099999999999</c:v>
                </c:pt>
                <c:pt idx="202">
                  <c:v>17.758199999999999</c:v>
                </c:pt>
                <c:pt idx="203">
                  <c:v>17.761200000000002</c:v>
                </c:pt>
                <c:pt idx="204">
                  <c:v>17.767299999999999</c:v>
                </c:pt>
                <c:pt idx="205">
                  <c:v>17.767299999999999</c:v>
                </c:pt>
                <c:pt idx="206">
                  <c:v>17.767299999999999</c:v>
                </c:pt>
                <c:pt idx="207">
                  <c:v>17.770399999999999</c:v>
                </c:pt>
                <c:pt idx="208">
                  <c:v>17.776500000000002</c:v>
                </c:pt>
                <c:pt idx="209">
                  <c:v>17.776500000000002</c:v>
                </c:pt>
                <c:pt idx="210">
                  <c:v>17.785599999999999</c:v>
                </c:pt>
                <c:pt idx="211">
                  <c:v>17.782599999999999</c:v>
                </c:pt>
                <c:pt idx="212">
                  <c:v>17.782599999999999</c:v>
                </c:pt>
                <c:pt idx="213">
                  <c:v>17.791700000000002</c:v>
                </c:pt>
                <c:pt idx="214">
                  <c:v>17.785599999999999</c:v>
                </c:pt>
                <c:pt idx="215">
                  <c:v>17.794799999999999</c:v>
                </c:pt>
                <c:pt idx="216">
                  <c:v>17.794799999999999</c:v>
                </c:pt>
                <c:pt idx="217">
                  <c:v>17.804000000000002</c:v>
                </c:pt>
                <c:pt idx="218">
                  <c:v>17.806999999999999</c:v>
                </c:pt>
                <c:pt idx="219">
                  <c:v>17.804000000000002</c:v>
                </c:pt>
                <c:pt idx="220">
                  <c:v>17.800900000000002</c:v>
                </c:pt>
                <c:pt idx="221">
                  <c:v>17.806999999999999</c:v>
                </c:pt>
                <c:pt idx="222">
                  <c:v>17.813099999999999</c:v>
                </c:pt>
                <c:pt idx="223">
                  <c:v>17.810099999999998</c:v>
                </c:pt>
                <c:pt idx="224">
                  <c:v>17.810099999999998</c:v>
                </c:pt>
                <c:pt idx="225">
                  <c:v>17.819199999999999</c:v>
                </c:pt>
                <c:pt idx="226">
                  <c:v>17.819199999999999</c:v>
                </c:pt>
                <c:pt idx="227">
                  <c:v>17.819199999999999</c:v>
                </c:pt>
                <c:pt idx="228">
                  <c:v>17.825299999999999</c:v>
                </c:pt>
                <c:pt idx="229">
                  <c:v>17.828400000000002</c:v>
                </c:pt>
                <c:pt idx="230">
                  <c:v>17.831400000000002</c:v>
                </c:pt>
                <c:pt idx="231">
                  <c:v>17.831400000000002</c:v>
                </c:pt>
                <c:pt idx="232">
                  <c:v>17.831400000000002</c:v>
                </c:pt>
                <c:pt idx="233">
                  <c:v>17.840600000000002</c:v>
                </c:pt>
                <c:pt idx="234">
                  <c:v>17.843600000000002</c:v>
                </c:pt>
                <c:pt idx="235">
                  <c:v>17.849699999999999</c:v>
                </c:pt>
                <c:pt idx="236">
                  <c:v>17.849699999999999</c:v>
                </c:pt>
                <c:pt idx="237">
                  <c:v>17.849699999999999</c:v>
                </c:pt>
                <c:pt idx="238">
                  <c:v>17.852799999999998</c:v>
                </c:pt>
                <c:pt idx="239">
                  <c:v>17.855800000000002</c:v>
                </c:pt>
                <c:pt idx="240">
                  <c:v>17.858900000000002</c:v>
                </c:pt>
                <c:pt idx="241">
                  <c:v>17.861899999999999</c:v>
                </c:pt>
                <c:pt idx="242">
                  <c:v>17.864999999999998</c:v>
                </c:pt>
                <c:pt idx="243">
                  <c:v>17.874100000000002</c:v>
                </c:pt>
                <c:pt idx="244">
                  <c:v>17.871100000000002</c:v>
                </c:pt>
                <c:pt idx="245">
                  <c:v>17.874100000000002</c:v>
                </c:pt>
                <c:pt idx="246">
                  <c:v>17.877199999999998</c:v>
                </c:pt>
                <c:pt idx="247">
                  <c:v>17.877199999999998</c:v>
                </c:pt>
                <c:pt idx="248">
                  <c:v>17.880199999999999</c:v>
                </c:pt>
                <c:pt idx="249">
                  <c:v>17.886400000000002</c:v>
                </c:pt>
                <c:pt idx="250">
                  <c:v>17.883300000000002</c:v>
                </c:pt>
                <c:pt idx="251">
                  <c:v>17.892499999999998</c:v>
                </c:pt>
                <c:pt idx="252">
                  <c:v>17.895500000000002</c:v>
                </c:pt>
                <c:pt idx="253">
                  <c:v>17.898600000000002</c:v>
                </c:pt>
                <c:pt idx="254">
                  <c:v>17.901599999999998</c:v>
                </c:pt>
                <c:pt idx="255">
                  <c:v>17.901599999999998</c:v>
                </c:pt>
                <c:pt idx="256">
                  <c:v>17.901599999999998</c:v>
                </c:pt>
                <c:pt idx="257">
                  <c:v>17.901599999999998</c:v>
                </c:pt>
                <c:pt idx="258">
                  <c:v>17.901599999999998</c:v>
                </c:pt>
                <c:pt idx="259">
                  <c:v>17.907699999999998</c:v>
                </c:pt>
                <c:pt idx="260">
                  <c:v>17.916899999999998</c:v>
                </c:pt>
                <c:pt idx="261">
                  <c:v>17.923000000000002</c:v>
                </c:pt>
                <c:pt idx="262">
                  <c:v>17.919899999999998</c:v>
                </c:pt>
                <c:pt idx="263">
                  <c:v>17.926000000000002</c:v>
                </c:pt>
                <c:pt idx="264">
                  <c:v>17.926000000000002</c:v>
                </c:pt>
                <c:pt idx="265">
                  <c:v>17.926000000000002</c:v>
                </c:pt>
                <c:pt idx="266">
                  <c:v>17.935199999999998</c:v>
                </c:pt>
                <c:pt idx="267">
                  <c:v>17.932099999999998</c:v>
                </c:pt>
                <c:pt idx="268">
                  <c:v>17.938200000000002</c:v>
                </c:pt>
                <c:pt idx="269">
                  <c:v>17.947399999999998</c:v>
                </c:pt>
                <c:pt idx="270">
                  <c:v>17.953500000000002</c:v>
                </c:pt>
                <c:pt idx="271">
                  <c:v>17.950399999999998</c:v>
                </c:pt>
                <c:pt idx="272">
                  <c:v>17.947399999999998</c:v>
                </c:pt>
                <c:pt idx="273">
                  <c:v>17.953500000000002</c:v>
                </c:pt>
                <c:pt idx="274">
                  <c:v>17.953500000000002</c:v>
                </c:pt>
                <c:pt idx="275">
                  <c:v>17.956500000000002</c:v>
                </c:pt>
                <c:pt idx="276">
                  <c:v>17.959599999999998</c:v>
                </c:pt>
                <c:pt idx="277">
                  <c:v>17.965700000000002</c:v>
                </c:pt>
                <c:pt idx="278">
                  <c:v>17.965700000000002</c:v>
                </c:pt>
                <c:pt idx="279">
                  <c:v>17.971799999999998</c:v>
                </c:pt>
                <c:pt idx="280">
                  <c:v>17.968800000000002</c:v>
                </c:pt>
                <c:pt idx="281">
                  <c:v>17.974899999999998</c:v>
                </c:pt>
                <c:pt idx="282">
                  <c:v>17.974899999999998</c:v>
                </c:pt>
                <c:pt idx="283">
                  <c:v>17.974899999999998</c:v>
                </c:pt>
                <c:pt idx="284">
                  <c:v>17.981000000000002</c:v>
                </c:pt>
                <c:pt idx="285">
                  <c:v>17.987099999999998</c:v>
                </c:pt>
                <c:pt idx="286">
                  <c:v>17.984000000000002</c:v>
                </c:pt>
                <c:pt idx="287">
                  <c:v>17.987099999999998</c:v>
                </c:pt>
                <c:pt idx="288">
                  <c:v>17.993200000000002</c:v>
                </c:pt>
                <c:pt idx="289">
                  <c:v>17.993200000000002</c:v>
                </c:pt>
                <c:pt idx="290">
                  <c:v>17.996200000000002</c:v>
                </c:pt>
                <c:pt idx="291">
                  <c:v>17.996200000000002</c:v>
                </c:pt>
                <c:pt idx="292">
                  <c:v>18.005400000000002</c:v>
                </c:pt>
                <c:pt idx="293">
                  <c:v>18.008400000000002</c:v>
                </c:pt>
                <c:pt idx="294">
                  <c:v>18.014499999999998</c:v>
                </c:pt>
                <c:pt idx="295">
                  <c:v>18.017600000000002</c:v>
                </c:pt>
                <c:pt idx="296">
                  <c:v>18.017600000000002</c:v>
                </c:pt>
                <c:pt idx="297">
                  <c:v>18.014499999999998</c:v>
                </c:pt>
                <c:pt idx="298">
                  <c:v>18.017600000000002</c:v>
                </c:pt>
                <c:pt idx="299">
                  <c:v>18.020600000000002</c:v>
                </c:pt>
                <c:pt idx="300">
                  <c:v>18.026699999999998</c:v>
                </c:pt>
                <c:pt idx="301">
                  <c:v>18.029799999999998</c:v>
                </c:pt>
                <c:pt idx="302">
                  <c:v>18.032800000000002</c:v>
                </c:pt>
                <c:pt idx="303">
                  <c:v>18.035900000000002</c:v>
                </c:pt>
                <c:pt idx="304">
                  <c:v>18.032800000000002</c:v>
                </c:pt>
                <c:pt idx="305">
                  <c:v>18.041999999999998</c:v>
                </c:pt>
                <c:pt idx="306">
                  <c:v>18.044999999999998</c:v>
                </c:pt>
                <c:pt idx="307">
                  <c:v>18.044999999999998</c:v>
                </c:pt>
                <c:pt idx="308">
                  <c:v>18.044999999999998</c:v>
                </c:pt>
                <c:pt idx="309">
                  <c:v>18.051100000000002</c:v>
                </c:pt>
                <c:pt idx="310">
                  <c:v>18.054199999999998</c:v>
                </c:pt>
                <c:pt idx="311">
                  <c:v>18.057299999999998</c:v>
                </c:pt>
                <c:pt idx="312">
                  <c:v>18.060300000000002</c:v>
                </c:pt>
                <c:pt idx="313">
                  <c:v>18.066400000000002</c:v>
                </c:pt>
                <c:pt idx="314">
                  <c:v>18.069499999999998</c:v>
                </c:pt>
                <c:pt idx="315">
                  <c:v>18.066400000000002</c:v>
                </c:pt>
                <c:pt idx="316">
                  <c:v>18.069499999999998</c:v>
                </c:pt>
                <c:pt idx="317">
                  <c:v>18.072499999999998</c:v>
                </c:pt>
                <c:pt idx="318">
                  <c:v>18.078600000000002</c:v>
                </c:pt>
                <c:pt idx="319">
                  <c:v>18.072499999999998</c:v>
                </c:pt>
                <c:pt idx="320">
                  <c:v>18.078600000000002</c:v>
                </c:pt>
                <c:pt idx="321">
                  <c:v>18.081699999999998</c:v>
                </c:pt>
                <c:pt idx="322">
                  <c:v>18.084699999999998</c:v>
                </c:pt>
                <c:pt idx="323">
                  <c:v>18.093899999999998</c:v>
                </c:pt>
                <c:pt idx="324">
                  <c:v>18.096899999999998</c:v>
                </c:pt>
                <c:pt idx="325">
                  <c:v>18.096899999999998</c:v>
                </c:pt>
                <c:pt idx="326">
                  <c:v>18.106100000000001</c:v>
                </c:pt>
                <c:pt idx="327">
                  <c:v>18.103000000000002</c:v>
                </c:pt>
                <c:pt idx="328">
                  <c:v>18.106100000000001</c:v>
                </c:pt>
                <c:pt idx="329">
                  <c:v>18.112199999999998</c:v>
                </c:pt>
                <c:pt idx="330">
                  <c:v>18.115200000000002</c:v>
                </c:pt>
                <c:pt idx="331">
                  <c:v>18.115200000000002</c:v>
                </c:pt>
                <c:pt idx="332">
                  <c:v>18.118300000000001</c:v>
                </c:pt>
                <c:pt idx="333">
                  <c:v>18.115200000000002</c:v>
                </c:pt>
                <c:pt idx="334">
                  <c:v>18.121300000000002</c:v>
                </c:pt>
                <c:pt idx="335">
                  <c:v>18.124399999999998</c:v>
                </c:pt>
                <c:pt idx="336">
                  <c:v>18.130500000000001</c:v>
                </c:pt>
                <c:pt idx="337">
                  <c:v>18.127399999999998</c:v>
                </c:pt>
                <c:pt idx="338">
                  <c:v>18.136599999999998</c:v>
                </c:pt>
                <c:pt idx="339">
                  <c:v>18.136599999999998</c:v>
                </c:pt>
                <c:pt idx="340">
                  <c:v>18.133500000000002</c:v>
                </c:pt>
                <c:pt idx="341">
                  <c:v>18.139599999999998</c:v>
                </c:pt>
                <c:pt idx="342">
                  <c:v>18.142700000000001</c:v>
                </c:pt>
                <c:pt idx="343">
                  <c:v>18.145800000000001</c:v>
                </c:pt>
                <c:pt idx="344">
                  <c:v>18.151899999999998</c:v>
                </c:pt>
                <c:pt idx="345">
                  <c:v>18.151899999999998</c:v>
                </c:pt>
                <c:pt idx="346">
                  <c:v>18.158000000000001</c:v>
                </c:pt>
                <c:pt idx="347">
                  <c:v>18.158000000000001</c:v>
                </c:pt>
                <c:pt idx="348">
                  <c:v>18.161000000000001</c:v>
                </c:pt>
                <c:pt idx="349">
                  <c:v>18.167099999999998</c:v>
                </c:pt>
                <c:pt idx="350">
                  <c:v>18.170200000000001</c:v>
                </c:pt>
                <c:pt idx="351">
                  <c:v>18.170200000000001</c:v>
                </c:pt>
                <c:pt idx="352">
                  <c:v>18.170200000000001</c:v>
                </c:pt>
                <c:pt idx="353">
                  <c:v>18.173200000000001</c:v>
                </c:pt>
                <c:pt idx="354">
                  <c:v>18.182400000000001</c:v>
                </c:pt>
                <c:pt idx="355">
                  <c:v>18.182400000000001</c:v>
                </c:pt>
                <c:pt idx="356">
                  <c:v>18.182400000000001</c:v>
                </c:pt>
                <c:pt idx="357">
                  <c:v>18.185400000000001</c:v>
                </c:pt>
                <c:pt idx="358">
                  <c:v>18.191499999999998</c:v>
                </c:pt>
                <c:pt idx="359">
                  <c:v>18.191499999999998</c:v>
                </c:pt>
                <c:pt idx="360">
                  <c:v>18.200700000000001</c:v>
                </c:pt>
                <c:pt idx="361">
                  <c:v>18.197600000000001</c:v>
                </c:pt>
                <c:pt idx="362">
                  <c:v>18.194599999999998</c:v>
                </c:pt>
                <c:pt idx="363">
                  <c:v>18.200700000000001</c:v>
                </c:pt>
                <c:pt idx="364">
                  <c:v>18.200700000000001</c:v>
                </c:pt>
                <c:pt idx="365">
                  <c:v>18.206799999999998</c:v>
                </c:pt>
                <c:pt idx="366">
                  <c:v>18.209800000000001</c:v>
                </c:pt>
                <c:pt idx="367">
                  <c:v>18.212900000000001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9-4F51-B498-490A8FEE4A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'20230206t210000'!$AG$11:$AG$500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</c:numCache>
            </c:numRef>
          </c:xVal>
          <c:yVal>
            <c:numRef>
              <c:f>'20230206t210000'!$AL$11:$AL$500</c:f>
              <c:numCache>
                <c:formatCode>General</c:formatCode>
                <c:ptCount val="490"/>
                <c:pt idx="0">
                  <c:v>18.072499999999998</c:v>
                </c:pt>
                <c:pt idx="1">
                  <c:v>18.066400000000002</c:v>
                </c:pt>
                <c:pt idx="2">
                  <c:v>18.060300000000002</c:v>
                </c:pt>
                <c:pt idx="3">
                  <c:v>18.060300000000002</c:v>
                </c:pt>
                <c:pt idx="4">
                  <c:v>18.063400000000001</c:v>
                </c:pt>
                <c:pt idx="5">
                  <c:v>18.069499999999998</c:v>
                </c:pt>
                <c:pt idx="6">
                  <c:v>18.060300000000002</c:v>
                </c:pt>
                <c:pt idx="7">
                  <c:v>18.060300000000002</c:v>
                </c:pt>
                <c:pt idx="8">
                  <c:v>18.060300000000002</c:v>
                </c:pt>
                <c:pt idx="9">
                  <c:v>18.060300000000002</c:v>
                </c:pt>
                <c:pt idx="10">
                  <c:v>18.057299999999998</c:v>
                </c:pt>
                <c:pt idx="11">
                  <c:v>18.060300000000002</c:v>
                </c:pt>
                <c:pt idx="12">
                  <c:v>18.057299999999998</c:v>
                </c:pt>
                <c:pt idx="13">
                  <c:v>18.054199999999998</c:v>
                </c:pt>
                <c:pt idx="14">
                  <c:v>18.057299999999998</c:v>
                </c:pt>
                <c:pt idx="15">
                  <c:v>18.057299999999998</c:v>
                </c:pt>
                <c:pt idx="16">
                  <c:v>18.060300000000002</c:v>
                </c:pt>
                <c:pt idx="17">
                  <c:v>18.054199999999998</c:v>
                </c:pt>
                <c:pt idx="18">
                  <c:v>18.054199999999998</c:v>
                </c:pt>
                <c:pt idx="19">
                  <c:v>18.051100000000002</c:v>
                </c:pt>
                <c:pt idx="20">
                  <c:v>18.054199999999998</c:v>
                </c:pt>
                <c:pt idx="21">
                  <c:v>18.054199999999998</c:v>
                </c:pt>
                <c:pt idx="22">
                  <c:v>18.054199999999998</c:v>
                </c:pt>
                <c:pt idx="23">
                  <c:v>18.054199999999998</c:v>
                </c:pt>
                <c:pt idx="24">
                  <c:v>18.051100000000002</c:v>
                </c:pt>
                <c:pt idx="25">
                  <c:v>18.044999999999998</c:v>
                </c:pt>
                <c:pt idx="26">
                  <c:v>18.041999999999998</c:v>
                </c:pt>
                <c:pt idx="27">
                  <c:v>18.044999999999998</c:v>
                </c:pt>
                <c:pt idx="28">
                  <c:v>18.041999999999998</c:v>
                </c:pt>
                <c:pt idx="29">
                  <c:v>18.041999999999998</c:v>
                </c:pt>
                <c:pt idx="30">
                  <c:v>18.044999999999998</c:v>
                </c:pt>
                <c:pt idx="31">
                  <c:v>18.041999999999998</c:v>
                </c:pt>
                <c:pt idx="32">
                  <c:v>18.038900000000002</c:v>
                </c:pt>
                <c:pt idx="33">
                  <c:v>18.038900000000002</c:v>
                </c:pt>
                <c:pt idx="34">
                  <c:v>18.035900000000002</c:v>
                </c:pt>
                <c:pt idx="35">
                  <c:v>18.035900000000002</c:v>
                </c:pt>
                <c:pt idx="36">
                  <c:v>18.035900000000002</c:v>
                </c:pt>
                <c:pt idx="37">
                  <c:v>18.029799999999998</c:v>
                </c:pt>
                <c:pt idx="38">
                  <c:v>18.032800000000002</c:v>
                </c:pt>
                <c:pt idx="39">
                  <c:v>18.029799999999998</c:v>
                </c:pt>
                <c:pt idx="40">
                  <c:v>18.026699999999998</c:v>
                </c:pt>
                <c:pt idx="41">
                  <c:v>18.026699999999998</c:v>
                </c:pt>
                <c:pt idx="42">
                  <c:v>18.023700000000002</c:v>
                </c:pt>
                <c:pt idx="43">
                  <c:v>18.023700000000002</c:v>
                </c:pt>
                <c:pt idx="44">
                  <c:v>18.023700000000002</c:v>
                </c:pt>
                <c:pt idx="45">
                  <c:v>18.014499999999998</c:v>
                </c:pt>
                <c:pt idx="46">
                  <c:v>18.014499999999998</c:v>
                </c:pt>
                <c:pt idx="47">
                  <c:v>18.011499999999998</c:v>
                </c:pt>
                <c:pt idx="48">
                  <c:v>18.014499999999998</c:v>
                </c:pt>
                <c:pt idx="49">
                  <c:v>18.008400000000002</c:v>
                </c:pt>
                <c:pt idx="50">
                  <c:v>18.008400000000002</c:v>
                </c:pt>
                <c:pt idx="51">
                  <c:v>18.005400000000002</c:v>
                </c:pt>
                <c:pt idx="52">
                  <c:v>18.002299999999998</c:v>
                </c:pt>
                <c:pt idx="53">
                  <c:v>18.002299999999998</c:v>
                </c:pt>
                <c:pt idx="54">
                  <c:v>18.002299999999998</c:v>
                </c:pt>
                <c:pt idx="55">
                  <c:v>18.002299999999998</c:v>
                </c:pt>
                <c:pt idx="56">
                  <c:v>17.996200000000002</c:v>
                </c:pt>
                <c:pt idx="57">
                  <c:v>17.996200000000002</c:v>
                </c:pt>
                <c:pt idx="58">
                  <c:v>17.996200000000002</c:v>
                </c:pt>
                <c:pt idx="59">
                  <c:v>17.990099999999998</c:v>
                </c:pt>
                <c:pt idx="60">
                  <c:v>17.990099999999998</c:v>
                </c:pt>
                <c:pt idx="61">
                  <c:v>17.987099999999998</c:v>
                </c:pt>
                <c:pt idx="62">
                  <c:v>17.990099999999998</c:v>
                </c:pt>
                <c:pt idx="63">
                  <c:v>17.987099999999998</c:v>
                </c:pt>
                <c:pt idx="64">
                  <c:v>17.981000000000002</c:v>
                </c:pt>
                <c:pt idx="65">
                  <c:v>17.977900000000002</c:v>
                </c:pt>
                <c:pt idx="66">
                  <c:v>17.977900000000002</c:v>
                </c:pt>
                <c:pt idx="67">
                  <c:v>17.971799999999998</c:v>
                </c:pt>
                <c:pt idx="68">
                  <c:v>17.977900000000002</c:v>
                </c:pt>
                <c:pt idx="69">
                  <c:v>17.974899999999998</c:v>
                </c:pt>
                <c:pt idx="70">
                  <c:v>17.968800000000002</c:v>
                </c:pt>
                <c:pt idx="71">
                  <c:v>17.965700000000002</c:v>
                </c:pt>
                <c:pt idx="72">
                  <c:v>17.968800000000002</c:v>
                </c:pt>
                <c:pt idx="73">
                  <c:v>17.962599999999998</c:v>
                </c:pt>
                <c:pt idx="74">
                  <c:v>17.962599999999998</c:v>
                </c:pt>
                <c:pt idx="75">
                  <c:v>17.962599999999998</c:v>
                </c:pt>
                <c:pt idx="76">
                  <c:v>17.962599999999998</c:v>
                </c:pt>
                <c:pt idx="77">
                  <c:v>17.959599999999998</c:v>
                </c:pt>
                <c:pt idx="78">
                  <c:v>17.959599999999998</c:v>
                </c:pt>
                <c:pt idx="79">
                  <c:v>17.956500000000002</c:v>
                </c:pt>
                <c:pt idx="80">
                  <c:v>17.950399999999998</c:v>
                </c:pt>
                <c:pt idx="81">
                  <c:v>17.938200000000002</c:v>
                </c:pt>
                <c:pt idx="82">
                  <c:v>17.941300000000002</c:v>
                </c:pt>
                <c:pt idx="83">
                  <c:v>17.944299999999998</c:v>
                </c:pt>
                <c:pt idx="84">
                  <c:v>17.941300000000002</c:v>
                </c:pt>
                <c:pt idx="85">
                  <c:v>17.938200000000002</c:v>
                </c:pt>
                <c:pt idx="86">
                  <c:v>17.938200000000002</c:v>
                </c:pt>
                <c:pt idx="87">
                  <c:v>17.938200000000002</c:v>
                </c:pt>
                <c:pt idx="88">
                  <c:v>17.932099999999998</c:v>
                </c:pt>
                <c:pt idx="89">
                  <c:v>17.926000000000002</c:v>
                </c:pt>
                <c:pt idx="90">
                  <c:v>17.923000000000002</c:v>
                </c:pt>
                <c:pt idx="91">
                  <c:v>17.916899999999998</c:v>
                </c:pt>
                <c:pt idx="92">
                  <c:v>17.919899999999998</c:v>
                </c:pt>
                <c:pt idx="93">
                  <c:v>17.916899999999998</c:v>
                </c:pt>
                <c:pt idx="94">
                  <c:v>17.916899999999998</c:v>
                </c:pt>
                <c:pt idx="95">
                  <c:v>17.916899999999998</c:v>
                </c:pt>
                <c:pt idx="96">
                  <c:v>17.916899999999998</c:v>
                </c:pt>
                <c:pt idx="97">
                  <c:v>17.910800000000002</c:v>
                </c:pt>
                <c:pt idx="98">
                  <c:v>17.907699999999998</c:v>
                </c:pt>
                <c:pt idx="99">
                  <c:v>17.904699999999998</c:v>
                </c:pt>
                <c:pt idx="100">
                  <c:v>17.907699999999998</c:v>
                </c:pt>
                <c:pt idx="101">
                  <c:v>17.901599999999998</c:v>
                </c:pt>
                <c:pt idx="102">
                  <c:v>17.901599999999998</c:v>
                </c:pt>
                <c:pt idx="103">
                  <c:v>17.898600000000002</c:v>
                </c:pt>
                <c:pt idx="104">
                  <c:v>17.895500000000002</c:v>
                </c:pt>
                <c:pt idx="105">
                  <c:v>17.895500000000002</c:v>
                </c:pt>
                <c:pt idx="106">
                  <c:v>17.889399999999998</c:v>
                </c:pt>
                <c:pt idx="107">
                  <c:v>17.889399999999998</c:v>
                </c:pt>
                <c:pt idx="108">
                  <c:v>17.892499999999998</c:v>
                </c:pt>
                <c:pt idx="109">
                  <c:v>17.886400000000002</c:v>
                </c:pt>
                <c:pt idx="110">
                  <c:v>17.886400000000002</c:v>
                </c:pt>
                <c:pt idx="111">
                  <c:v>17.880199999999999</c:v>
                </c:pt>
                <c:pt idx="112">
                  <c:v>17.874100000000002</c:v>
                </c:pt>
                <c:pt idx="113">
                  <c:v>17.871100000000002</c:v>
                </c:pt>
                <c:pt idx="114">
                  <c:v>17.877199999999998</c:v>
                </c:pt>
                <c:pt idx="115">
                  <c:v>17.871100000000002</c:v>
                </c:pt>
                <c:pt idx="116">
                  <c:v>17.871100000000002</c:v>
                </c:pt>
                <c:pt idx="117">
                  <c:v>17.867999999999999</c:v>
                </c:pt>
                <c:pt idx="118">
                  <c:v>17.861899999999999</c:v>
                </c:pt>
                <c:pt idx="119">
                  <c:v>17.858900000000002</c:v>
                </c:pt>
                <c:pt idx="120">
                  <c:v>17.852799999999998</c:v>
                </c:pt>
                <c:pt idx="121">
                  <c:v>17.855800000000002</c:v>
                </c:pt>
                <c:pt idx="122">
                  <c:v>17.855800000000002</c:v>
                </c:pt>
                <c:pt idx="123">
                  <c:v>17.852799999999998</c:v>
                </c:pt>
                <c:pt idx="124">
                  <c:v>17.849699999999999</c:v>
                </c:pt>
                <c:pt idx="125">
                  <c:v>17.852799999999998</c:v>
                </c:pt>
                <c:pt idx="126">
                  <c:v>17.846699999999998</c:v>
                </c:pt>
                <c:pt idx="127">
                  <c:v>17.843600000000002</c:v>
                </c:pt>
                <c:pt idx="128">
                  <c:v>17.843600000000002</c:v>
                </c:pt>
                <c:pt idx="129">
                  <c:v>17.837499999999999</c:v>
                </c:pt>
                <c:pt idx="130">
                  <c:v>17.834499999999998</c:v>
                </c:pt>
                <c:pt idx="131">
                  <c:v>17.834499999999998</c:v>
                </c:pt>
                <c:pt idx="132">
                  <c:v>17.828400000000002</c:v>
                </c:pt>
                <c:pt idx="133">
                  <c:v>17.825299999999999</c:v>
                </c:pt>
                <c:pt idx="134">
                  <c:v>17.825299999999999</c:v>
                </c:pt>
                <c:pt idx="135">
                  <c:v>17.828400000000002</c:v>
                </c:pt>
                <c:pt idx="136">
                  <c:v>17.825299999999999</c:v>
                </c:pt>
                <c:pt idx="137">
                  <c:v>17.825299999999999</c:v>
                </c:pt>
                <c:pt idx="138">
                  <c:v>17.816200000000002</c:v>
                </c:pt>
                <c:pt idx="139">
                  <c:v>17.810099999999998</c:v>
                </c:pt>
                <c:pt idx="140">
                  <c:v>17.813099999999999</c:v>
                </c:pt>
                <c:pt idx="141">
                  <c:v>17.806999999999999</c:v>
                </c:pt>
                <c:pt idx="142">
                  <c:v>17.806999999999999</c:v>
                </c:pt>
                <c:pt idx="143">
                  <c:v>17.800900000000002</c:v>
                </c:pt>
                <c:pt idx="144">
                  <c:v>17.804000000000002</c:v>
                </c:pt>
                <c:pt idx="145">
                  <c:v>17.804000000000002</c:v>
                </c:pt>
                <c:pt idx="146">
                  <c:v>17.800900000000002</c:v>
                </c:pt>
                <c:pt idx="147">
                  <c:v>17.804000000000002</c:v>
                </c:pt>
                <c:pt idx="148">
                  <c:v>17.800900000000002</c:v>
                </c:pt>
                <c:pt idx="149">
                  <c:v>17.804000000000002</c:v>
                </c:pt>
                <c:pt idx="150">
                  <c:v>17.791700000000002</c:v>
                </c:pt>
                <c:pt idx="151">
                  <c:v>17.791700000000002</c:v>
                </c:pt>
                <c:pt idx="152">
                  <c:v>17.791700000000002</c:v>
                </c:pt>
                <c:pt idx="153">
                  <c:v>17.791700000000002</c:v>
                </c:pt>
                <c:pt idx="154">
                  <c:v>17.779499999999999</c:v>
                </c:pt>
                <c:pt idx="155">
                  <c:v>17.779499999999999</c:v>
                </c:pt>
                <c:pt idx="156">
                  <c:v>17.779499999999999</c:v>
                </c:pt>
                <c:pt idx="157">
                  <c:v>17.773400000000002</c:v>
                </c:pt>
                <c:pt idx="158">
                  <c:v>17.770399999999999</c:v>
                </c:pt>
                <c:pt idx="159">
                  <c:v>17.770399999999999</c:v>
                </c:pt>
                <c:pt idx="160">
                  <c:v>17.770399999999999</c:v>
                </c:pt>
                <c:pt idx="161">
                  <c:v>17.761200000000002</c:v>
                </c:pt>
                <c:pt idx="162">
                  <c:v>17.761200000000002</c:v>
                </c:pt>
                <c:pt idx="163">
                  <c:v>17.761200000000002</c:v>
                </c:pt>
                <c:pt idx="164">
                  <c:v>17.767299999999999</c:v>
                </c:pt>
                <c:pt idx="165">
                  <c:v>17.761200000000002</c:v>
                </c:pt>
                <c:pt idx="166">
                  <c:v>17.755099999999999</c:v>
                </c:pt>
                <c:pt idx="167">
                  <c:v>17.752099999999999</c:v>
                </c:pt>
                <c:pt idx="168">
                  <c:v>17.755099999999999</c:v>
                </c:pt>
                <c:pt idx="169">
                  <c:v>17.746000000000002</c:v>
                </c:pt>
                <c:pt idx="170">
                  <c:v>17.742899999999999</c:v>
                </c:pt>
                <c:pt idx="171">
                  <c:v>17.749000000000002</c:v>
                </c:pt>
                <c:pt idx="172">
                  <c:v>17.742899999999999</c:v>
                </c:pt>
                <c:pt idx="173">
                  <c:v>17.742899999999999</c:v>
                </c:pt>
                <c:pt idx="174">
                  <c:v>17.739899999999999</c:v>
                </c:pt>
                <c:pt idx="175">
                  <c:v>17.736799999999999</c:v>
                </c:pt>
                <c:pt idx="176">
                  <c:v>17.736799999999999</c:v>
                </c:pt>
                <c:pt idx="177">
                  <c:v>17.730699999999999</c:v>
                </c:pt>
                <c:pt idx="178">
                  <c:v>17.730699999999999</c:v>
                </c:pt>
                <c:pt idx="179">
                  <c:v>17.724599999999999</c:v>
                </c:pt>
                <c:pt idx="180">
                  <c:v>17.724599999999999</c:v>
                </c:pt>
                <c:pt idx="181">
                  <c:v>17.724599999999999</c:v>
                </c:pt>
                <c:pt idx="182">
                  <c:v>17.712399999999999</c:v>
                </c:pt>
                <c:pt idx="183">
                  <c:v>17.715499999999999</c:v>
                </c:pt>
                <c:pt idx="184">
                  <c:v>17.715499999999999</c:v>
                </c:pt>
                <c:pt idx="185">
                  <c:v>17.712399999999999</c:v>
                </c:pt>
                <c:pt idx="186">
                  <c:v>17.709399999999999</c:v>
                </c:pt>
                <c:pt idx="187">
                  <c:v>17.709399999999999</c:v>
                </c:pt>
                <c:pt idx="188">
                  <c:v>17.706300000000002</c:v>
                </c:pt>
                <c:pt idx="189">
                  <c:v>17.703199999999999</c:v>
                </c:pt>
                <c:pt idx="190">
                  <c:v>17.700199999999999</c:v>
                </c:pt>
                <c:pt idx="191">
                  <c:v>17.697099999999999</c:v>
                </c:pt>
                <c:pt idx="192">
                  <c:v>17.694100000000002</c:v>
                </c:pt>
                <c:pt idx="193">
                  <c:v>17.694100000000002</c:v>
                </c:pt>
                <c:pt idx="194">
                  <c:v>17.690999999999999</c:v>
                </c:pt>
                <c:pt idx="195">
                  <c:v>17.694100000000002</c:v>
                </c:pt>
                <c:pt idx="196">
                  <c:v>17.681899999999999</c:v>
                </c:pt>
                <c:pt idx="197">
                  <c:v>17.687999999999999</c:v>
                </c:pt>
                <c:pt idx="198">
                  <c:v>17.684899999999999</c:v>
                </c:pt>
                <c:pt idx="199">
                  <c:v>17.678800000000003</c:v>
                </c:pt>
                <c:pt idx="200">
                  <c:v>17.675799999999999</c:v>
                </c:pt>
                <c:pt idx="201">
                  <c:v>17.672699999999999</c:v>
                </c:pt>
                <c:pt idx="202">
                  <c:v>17.663600000000002</c:v>
                </c:pt>
                <c:pt idx="203">
                  <c:v>17.669699999999999</c:v>
                </c:pt>
                <c:pt idx="204">
                  <c:v>17.666600000000003</c:v>
                </c:pt>
                <c:pt idx="205">
                  <c:v>17.660499999999999</c:v>
                </c:pt>
                <c:pt idx="206">
                  <c:v>17.660499999999999</c:v>
                </c:pt>
                <c:pt idx="207">
                  <c:v>17.660499999999999</c:v>
                </c:pt>
                <c:pt idx="208">
                  <c:v>17.660499999999999</c:v>
                </c:pt>
                <c:pt idx="209">
                  <c:v>17.654399999999999</c:v>
                </c:pt>
                <c:pt idx="210">
                  <c:v>17.654399999999999</c:v>
                </c:pt>
                <c:pt idx="211">
                  <c:v>17.651400000000002</c:v>
                </c:pt>
                <c:pt idx="212">
                  <c:v>17.645299999999999</c:v>
                </c:pt>
                <c:pt idx="213">
                  <c:v>17.642199999999999</c:v>
                </c:pt>
                <c:pt idx="214">
                  <c:v>17.642199999999999</c:v>
                </c:pt>
                <c:pt idx="215">
                  <c:v>17.645299999999999</c:v>
                </c:pt>
                <c:pt idx="216">
                  <c:v>17.636099999999999</c:v>
                </c:pt>
                <c:pt idx="217">
                  <c:v>17.636099999999999</c:v>
                </c:pt>
                <c:pt idx="218">
                  <c:v>17.636099999999999</c:v>
                </c:pt>
                <c:pt idx="219">
                  <c:v>17.626999999999999</c:v>
                </c:pt>
                <c:pt idx="220">
                  <c:v>17.620799999999999</c:v>
                </c:pt>
                <c:pt idx="221">
                  <c:v>17.617799999999999</c:v>
                </c:pt>
                <c:pt idx="222">
                  <c:v>17.623900000000003</c:v>
                </c:pt>
                <c:pt idx="223">
                  <c:v>17.614699999999999</c:v>
                </c:pt>
                <c:pt idx="224">
                  <c:v>17.617799999999999</c:v>
                </c:pt>
                <c:pt idx="225">
                  <c:v>17.617799999999999</c:v>
                </c:pt>
                <c:pt idx="226">
                  <c:v>17.611700000000003</c:v>
                </c:pt>
                <c:pt idx="227">
                  <c:v>17.608599999999999</c:v>
                </c:pt>
                <c:pt idx="228">
                  <c:v>17.608599999999999</c:v>
                </c:pt>
                <c:pt idx="229">
                  <c:v>17.602499999999999</c:v>
                </c:pt>
                <c:pt idx="230">
                  <c:v>17.599499999999999</c:v>
                </c:pt>
                <c:pt idx="231">
                  <c:v>17.596400000000003</c:v>
                </c:pt>
                <c:pt idx="232">
                  <c:v>17.590299999999999</c:v>
                </c:pt>
                <c:pt idx="233">
                  <c:v>17.593399999999999</c:v>
                </c:pt>
                <c:pt idx="234">
                  <c:v>17.587299999999999</c:v>
                </c:pt>
                <c:pt idx="235">
                  <c:v>17.584200000000003</c:v>
                </c:pt>
                <c:pt idx="236">
                  <c:v>17.571999999999999</c:v>
                </c:pt>
                <c:pt idx="237">
                  <c:v>17.584200000000003</c:v>
                </c:pt>
                <c:pt idx="238">
                  <c:v>17.575099999999999</c:v>
                </c:pt>
                <c:pt idx="239">
                  <c:v>17.575099999999999</c:v>
                </c:pt>
                <c:pt idx="240">
                  <c:v>17.575099999999999</c:v>
                </c:pt>
                <c:pt idx="241">
                  <c:v>17.569000000000003</c:v>
                </c:pt>
                <c:pt idx="242">
                  <c:v>17.565899999999999</c:v>
                </c:pt>
                <c:pt idx="243">
                  <c:v>17.569000000000003</c:v>
                </c:pt>
                <c:pt idx="244">
                  <c:v>17.559799999999999</c:v>
                </c:pt>
                <c:pt idx="245">
                  <c:v>17.559799999999999</c:v>
                </c:pt>
                <c:pt idx="246">
                  <c:v>17.550699999999999</c:v>
                </c:pt>
                <c:pt idx="247">
                  <c:v>17.553699999999999</c:v>
                </c:pt>
                <c:pt idx="248">
                  <c:v>17.547599999999999</c:v>
                </c:pt>
                <c:pt idx="249">
                  <c:v>17.547599999999999</c:v>
                </c:pt>
                <c:pt idx="250">
                  <c:v>17.547599999999999</c:v>
                </c:pt>
                <c:pt idx="251">
                  <c:v>17.544599999999999</c:v>
                </c:pt>
                <c:pt idx="252">
                  <c:v>17.538499999999999</c:v>
                </c:pt>
                <c:pt idx="253">
                  <c:v>17.532299999999999</c:v>
                </c:pt>
                <c:pt idx="254">
                  <c:v>17.535399999999999</c:v>
                </c:pt>
                <c:pt idx="255">
                  <c:v>17.535399999999999</c:v>
                </c:pt>
                <c:pt idx="256">
                  <c:v>17.535399999999999</c:v>
                </c:pt>
                <c:pt idx="257">
                  <c:v>17.526199999999999</c:v>
                </c:pt>
                <c:pt idx="258">
                  <c:v>17.529300000000003</c:v>
                </c:pt>
                <c:pt idx="259">
                  <c:v>17.523199999999999</c:v>
                </c:pt>
                <c:pt idx="260">
                  <c:v>17.517099999999999</c:v>
                </c:pt>
                <c:pt idx="261">
                  <c:v>17.523199999999999</c:v>
                </c:pt>
                <c:pt idx="262">
                  <c:v>17.510999999999999</c:v>
                </c:pt>
                <c:pt idx="263">
                  <c:v>17.513999999999999</c:v>
                </c:pt>
                <c:pt idx="264">
                  <c:v>17.504899999999999</c:v>
                </c:pt>
                <c:pt idx="265">
                  <c:v>17.492699999999999</c:v>
                </c:pt>
                <c:pt idx="266">
                  <c:v>17.498799999999999</c:v>
                </c:pt>
                <c:pt idx="267">
                  <c:v>17.501800000000003</c:v>
                </c:pt>
                <c:pt idx="268">
                  <c:v>17.507899999999999</c:v>
                </c:pt>
                <c:pt idx="269">
                  <c:v>17.489599999999999</c:v>
                </c:pt>
                <c:pt idx="270">
                  <c:v>17.489599999999999</c:v>
                </c:pt>
                <c:pt idx="271">
                  <c:v>17.480499999999999</c:v>
                </c:pt>
                <c:pt idx="272">
                  <c:v>17.480499999999999</c:v>
                </c:pt>
                <c:pt idx="273">
                  <c:v>17.474400000000003</c:v>
                </c:pt>
                <c:pt idx="274">
                  <c:v>17.477399999999999</c:v>
                </c:pt>
                <c:pt idx="275">
                  <c:v>17.477399999999999</c:v>
                </c:pt>
                <c:pt idx="276">
                  <c:v>17.471299999999999</c:v>
                </c:pt>
                <c:pt idx="277">
                  <c:v>17.471299999999999</c:v>
                </c:pt>
                <c:pt idx="278">
                  <c:v>17.462199999999999</c:v>
                </c:pt>
                <c:pt idx="279">
                  <c:v>17.462199999999999</c:v>
                </c:pt>
                <c:pt idx="280">
                  <c:v>17.456099999999999</c:v>
                </c:pt>
                <c:pt idx="281">
                  <c:v>17.456099999999999</c:v>
                </c:pt>
                <c:pt idx="282">
                  <c:v>17.45</c:v>
                </c:pt>
                <c:pt idx="283">
                  <c:v>17.4438</c:v>
                </c:pt>
                <c:pt idx="284">
                  <c:v>17.446900000000003</c:v>
                </c:pt>
                <c:pt idx="285">
                  <c:v>17.446900000000003</c:v>
                </c:pt>
                <c:pt idx="286">
                  <c:v>17.434699999999999</c:v>
                </c:pt>
                <c:pt idx="287">
                  <c:v>17.428599999999999</c:v>
                </c:pt>
                <c:pt idx="288">
                  <c:v>17.4255</c:v>
                </c:pt>
                <c:pt idx="289">
                  <c:v>17.410299999999999</c:v>
                </c:pt>
                <c:pt idx="290">
                  <c:v>17.410299999999999</c:v>
                </c:pt>
                <c:pt idx="291">
                  <c:v>17.4011</c:v>
                </c:pt>
                <c:pt idx="292">
                  <c:v>17.385899999999999</c:v>
                </c:pt>
                <c:pt idx="293">
                  <c:v>17.3767</c:v>
                </c:pt>
                <c:pt idx="294">
                  <c:v>17.3706</c:v>
                </c:pt>
                <c:pt idx="295">
                  <c:v>17.3706</c:v>
                </c:pt>
                <c:pt idx="296">
                  <c:v>17.3462</c:v>
                </c:pt>
                <c:pt idx="297">
                  <c:v>17.3431</c:v>
                </c:pt>
                <c:pt idx="298">
                  <c:v>17.3279</c:v>
                </c:pt>
                <c:pt idx="299">
                  <c:v>17.3065</c:v>
                </c:pt>
                <c:pt idx="300">
                  <c:v>17.2913</c:v>
                </c:pt>
                <c:pt idx="301">
                  <c:v>17.2791</c:v>
                </c:pt>
                <c:pt idx="302">
                  <c:v>17.2577</c:v>
                </c:pt>
                <c:pt idx="303">
                  <c:v>17.2455</c:v>
                </c:pt>
                <c:pt idx="304">
                  <c:v>17.2211</c:v>
                </c:pt>
                <c:pt idx="305">
                  <c:v>17.1936</c:v>
                </c:pt>
                <c:pt idx="306">
                  <c:v>17.1753</c:v>
                </c:pt>
                <c:pt idx="307">
                  <c:v>17.1478</c:v>
                </c:pt>
                <c:pt idx="308">
                  <c:v>17.1234</c:v>
                </c:pt>
                <c:pt idx="309">
                  <c:v>17.0807</c:v>
                </c:pt>
                <c:pt idx="310">
                  <c:v>17.0563</c:v>
                </c:pt>
                <c:pt idx="311">
                  <c:v>17.0197</c:v>
                </c:pt>
                <c:pt idx="312">
                  <c:v>16.983000000000001</c:v>
                </c:pt>
                <c:pt idx="313">
                  <c:v>16.9434</c:v>
                </c:pt>
                <c:pt idx="314">
                  <c:v>16.900600000000001</c:v>
                </c:pt>
                <c:pt idx="315">
                  <c:v>16.845700000000001</c:v>
                </c:pt>
                <c:pt idx="316">
                  <c:v>16.796900000000001</c:v>
                </c:pt>
                <c:pt idx="317">
                  <c:v>16.751100000000001</c:v>
                </c:pt>
                <c:pt idx="318">
                  <c:v>16.690100000000001</c:v>
                </c:pt>
                <c:pt idx="319">
                  <c:v>16.644300000000001</c:v>
                </c:pt>
                <c:pt idx="320">
                  <c:v>16.583299999999998</c:v>
                </c:pt>
                <c:pt idx="321">
                  <c:v>16.507000000000001</c:v>
                </c:pt>
                <c:pt idx="322">
                  <c:v>16.436800000000002</c:v>
                </c:pt>
                <c:pt idx="323">
                  <c:v>16.342200000000002</c:v>
                </c:pt>
                <c:pt idx="324">
                  <c:v>16.256699999999999</c:v>
                </c:pt>
                <c:pt idx="325">
                  <c:v>16.171299999999999</c:v>
                </c:pt>
                <c:pt idx="326">
                  <c:v>16.085800000000003</c:v>
                </c:pt>
                <c:pt idx="327">
                  <c:v>15.972900000000001</c:v>
                </c:pt>
                <c:pt idx="328">
                  <c:v>15.853900000000001</c:v>
                </c:pt>
                <c:pt idx="329">
                  <c:v>15.728800000000001</c:v>
                </c:pt>
                <c:pt idx="330">
                  <c:v>15.5945</c:v>
                </c:pt>
                <c:pt idx="331">
                  <c:v>15.4602</c:v>
                </c:pt>
                <c:pt idx="332">
                  <c:v>15.310700000000001</c:v>
                </c:pt>
                <c:pt idx="333">
                  <c:v>15.152000000000001</c:v>
                </c:pt>
                <c:pt idx="334">
                  <c:v>14.978</c:v>
                </c:pt>
                <c:pt idx="335">
                  <c:v>14.7827</c:v>
                </c:pt>
                <c:pt idx="336">
                  <c:v>14.562999999999999</c:v>
                </c:pt>
                <c:pt idx="337">
                  <c:v>14.321899999999999</c:v>
                </c:pt>
                <c:pt idx="338">
                  <c:v>14.0747</c:v>
                </c:pt>
                <c:pt idx="339">
                  <c:v>13.809200000000001</c:v>
                </c:pt>
                <c:pt idx="340">
                  <c:v>13.4918</c:v>
                </c:pt>
                <c:pt idx="341">
                  <c:v>13.147</c:v>
                </c:pt>
                <c:pt idx="342">
                  <c:v>12.765500000000001</c:v>
                </c:pt>
                <c:pt idx="343">
                  <c:v>12.3657</c:v>
                </c:pt>
                <c:pt idx="344">
                  <c:v>11.8652</c:v>
                </c:pt>
                <c:pt idx="345">
                  <c:v>11.328100000000001</c:v>
                </c:pt>
                <c:pt idx="346">
                  <c:v>10.690300000000001</c:v>
                </c:pt>
                <c:pt idx="347">
                  <c:v>9.9639900000000008</c:v>
                </c:pt>
                <c:pt idx="348">
                  <c:v>9.1247600000000002</c:v>
                </c:pt>
                <c:pt idx="349">
                  <c:v>8.1054700000000004</c:v>
                </c:pt>
                <c:pt idx="350">
                  <c:v>6.9427500000000002</c:v>
                </c:pt>
                <c:pt idx="351">
                  <c:v>5.6121799999999995</c:v>
                </c:pt>
                <c:pt idx="352">
                  <c:v>4.1503900000000007</c:v>
                </c:pt>
                <c:pt idx="353">
                  <c:v>2.5372300000000001</c:v>
                </c:pt>
                <c:pt idx="354">
                  <c:v>0.94024699999999994</c:v>
                </c:pt>
                <c:pt idx="355">
                  <c:v>-0.7449340000000001</c:v>
                </c:pt>
                <c:pt idx="356">
                  <c:v>-2.4716199999999997</c:v>
                </c:pt>
                <c:pt idx="357">
                  <c:v>-4.29901</c:v>
                </c:pt>
                <c:pt idx="358">
                  <c:v>-6.1309800000000001</c:v>
                </c:pt>
                <c:pt idx="359">
                  <c:v>-8.0902100000000008</c:v>
                </c:pt>
                <c:pt idx="360">
                  <c:v>-10.024999999999999</c:v>
                </c:pt>
                <c:pt idx="361">
                  <c:v>-11.9171</c:v>
                </c:pt>
                <c:pt idx="362">
                  <c:v>-13.8245</c:v>
                </c:pt>
                <c:pt idx="363">
                  <c:v>-15.631099999999998</c:v>
                </c:pt>
                <c:pt idx="364">
                  <c:v>-17.495699999999999</c:v>
                </c:pt>
                <c:pt idx="365">
                  <c:v>-19.381700000000002</c:v>
                </c:pt>
                <c:pt idx="366">
                  <c:v>-21.298200000000001</c:v>
                </c:pt>
                <c:pt idx="367">
                  <c:v>-23.175000000000001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1F9-4F51-B498-490A8FEE4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05744"/>
        <c:axId val="138706160"/>
      </c:scatterChart>
      <c:valAx>
        <c:axId val="13870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706160"/>
        <c:crosses val="autoZero"/>
        <c:crossBetween val="midCat"/>
      </c:valAx>
      <c:valAx>
        <c:axId val="13870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705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'20230206t210000'!$AV$10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'20230206t210000'!$AQ$11:$AQ$398</c:f>
              <c:numCache>
                <c:formatCode>General</c:formatCode>
                <c:ptCount val="388"/>
                <c:pt idx="0">
                  <c:v>1.7450000000000001</c:v>
                </c:pt>
                <c:pt idx="1">
                  <c:v>1.73996</c:v>
                </c:pt>
                <c:pt idx="2">
                  <c:v>1.73492</c:v>
                </c:pt>
                <c:pt idx="3">
                  <c:v>1.7298899999999999</c:v>
                </c:pt>
                <c:pt idx="4">
                  <c:v>1.72485</c:v>
                </c:pt>
                <c:pt idx="5">
                  <c:v>1.7198199999999999</c:v>
                </c:pt>
                <c:pt idx="6">
                  <c:v>1.71478</c:v>
                </c:pt>
                <c:pt idx="7">
                  <c:v>1.7097500000000001</c:v>
                </c:pt>
                <c:pt idx="8">
                  <c:v>1.7047099999999999</c:v>
                </c:pt>
                <c:pt idx="9">
                  <c:v>1.6996800000000001</c:v>
                </c:pt>
                <c:pt idx="10">
                  <c:v>1.6946399999999999</c:v>
                </c:pt>
                <c:pt idx="11">
                  <c:v>1.6896100000000001</c:v>
                </c:pt>
                <c:pt idx="12">
                  <c:v>1.6845699999999999</c:v>
                </c:pt>
                <c:pt idx="13">
                  <c:v>1.67953</c:v>
                </c:pt>
                <c:pt idx="14">
                  <c:v>1.6745000000000001</c:v>
                </c:pt>
                <c:pt idx="15">
                  <c:v>1.6694599999999999</c:v>
                </c:pt>
                <c:pt idx="16">
                  <c:v>1.6644300000000001</c:v>
                </c:pt>
                <c:pt idx="17">
                  <c:v>1.6593899999999999</c:v>
                </c:pt>
                <c:pt idx="18">
                  <c:v>1.6543600000000001</c:v>
                </c:pt>
                <c:pt idx="19">
                  <c:v>1.6493199999999999</c:v>
                </c:pt>
                <c:pt idx="20">
                  <c:v>1.64429</c:v>
                </c:pt>
                <c:pt idx="21">
                  <c:v>1.6392500000000001</c:v>
                </c:pt>
                <c:pt idx="22">
                  <c:v>1.63422</c:v>
                </c:pt>
                <c:pt idx="23">
                  <c:v>1.6291800000000001</c:v>
                </c:pt>
                <c:pt idx="24">
                  <c:v>1.62415</c:v>
                </c:pt>
                <c:pt idx="25">
                  <c:v>1.61911</c:v>
                </c:pt>
                <c:pt idx="26">
                  <c:v>1.6140699999999999</c:v>
                </c:pt>
                <c:pt idx="27">
                  <c:v>1.60904</c:v>
                </c:pt>
                <c:pt idx="28">
                  <c:v>1.6040000000000001</c:v>
                </c:pt>
                <c:pt idx="29">
                  <c:v>1.59897</c:v>
                </c:pt>
                <c:pt idx="30">
                  <c:v>1.5939300000000001</c:v>
                </c:pt>
                <c:pt idx="31">
                  <c:v>1.5889</c:v>
                </c:pt>
                <c:pt idx="32">
                  <c:v>1.58386</c:v>
                </c:pt>
                <c:pt idx="33">
                  <c:v>1.57883</c:v>
                </c:pt>
                <c:pt idx="34">
                  <c:v>1.57379</c:v>
                </c:pt>
                <c:pt idx="35">
                  <c:v>1.5687599999999999</c:v>
                </c:pt>
                <c:pt idx="36">
                  <c:v>1.56372</c:v>
                </c:pt>
                <c:pt idx="37">
                  <c:v>1.5586899999999999</c:v>
                </c:pt>
                <c:pt idx="38">
                  <c:v>1.55365</c:v>
                </c:pt>
                <c:pt idx="39">
                  <c:v>1.54861</c:v>
                </c:pt>
                <c:pt idx="40">
                  <c:v>1.54358</c:v>
                </c:pt>
                <c:pt idx="41">
                  <c:v>1.53854</c:v>
                </c:pt>
                <c:pt idx="42">
                  <c:v>1.5335099999999999</c:v>
                </c:pt>
                <c:pt idx="43">
                  <c:v>1.52847</c:v>
                </c:pt>
                <c:pt idx="44">
                  <c:v>1.5234399999999999</c:v>
                </c:pt>
                <c:pt idx="45">
                  <c:v>1.5184</c:v>
                </c:pt>
                <c:pt idx="46">
                  <c:v>1.5133700000000001</c:v>
                </c:pt>
                <c:pt idx="47">
                  <c:v>1.5083299999999999</c:v>
                </c:pt>
                <c:pt idx="48">
                  <c:v>1.5033000000000001</c:v>
                </c:pt>
                <c:pt idx="49">
                  <c:v>1.4982599999999999</c:v>
                </c:pt>
                <c:pt idx="50">
                  <c:v>1.4932300000000001</c:v>
                </c:pt>
                <c:pt idx="51">
                  <c:v>1.4881899999999999</c:v>
                </c:pt>
                <c:pt idx="52">
                  <c:v>1.48315</c:v>
                </c:pt>
                <c:pt idx="53">
                  <c:v>1.4781200000000001</c:v>
                </c:pt>
                <c:pt idx="54">
                  <c:v>1.4730799999999999</c:v>
                </c:pt>
                <c:pt idx="55">
                  <c:v>1.4680500000000001</c:v>
                </c:pt>
                <c:pt idx="56">
                  <c:v>1.4630099999999999</c:v>
                </c:pt>
                <c:pt idx="57">
                  <c:v>1.4579800000000001</c:v>
                </c:pt>
                <c:pt idx="58">
                  <c:v>1.4529399999999999</c:v>
                </c:pt>
                <c:pt idx="59">
                  <c:v>1.44791</c:v>
                </c:pt>
                <c:pt idx="60">
                  <c:v>1.4428700000000001</c:v>
                </c:pt>
                <c:pt idx="61">
                  <c:v>1.43784</c:v>
                </c:pt>
                <c:pt idx="62">
                  <c:v>1.4328000000000001</c:v>
                </c:pt>
                <c:pt idx="63">
                  <c:v>1.4277599999999999</c:v>
                </c:pt>
                <c:pt idx="64">
                  <c:v>1.4227300000000001</c:v>
                </c:pt>
                <c:pt idx="65">
                  <c:v>1.4176899999999999</c:v>
                </c:pt>
                <c:pt idx="66">
                  <c:v>1.41266</c:v>
                </c:pt>
                <c:pt idx="67">
                  <c:v>1.4076200000000001</c:v>
                </c:pt>
                <c:pt idx="68">
                  <c:v>1.40259</c:v>
                </c:pt>
                <c:pt idx="69">
                  <c:v>1.3975500000000001</c:v>
                </c:pt>
                <c:pt idx="70">
                  <c:v>1.39252</c:v>
                </c:pt>
                <c:pt idx="71">
                  <c:v>1.38748</c:v>
                </c:pt>
                <c:pt idx="72">
                  <c:v>1.38245</c:v>
                </c:pt>
                <c:pt idx="73">
                  <c:v>1.37741</c:v>
                </c:pt>
                <c:pt idx="74">
                  <c:v>1.3723799999999999</c:v>
                </c:pt>
                <c:pt idx="75">
                  <c:v>1.36734</c:v>
                </c:pt>
                <c:pt idx="76">
                  <c:v>1.3623000000000001</c:v>
                </c:pt>
                <c:pt idx="77">
                  <c:v>1.35727</c:v>
                </c:pt>
                <c:pt idx="78">
                  <c:v>1.35223</c:v>
                </c:pt>
                <c:pt idx="79">
                  <c:v>1.3472</c:v>
                </c:pt>
                <c:pt idx="80">
                  <c:v>1.34216</c:v>
                </c:pt>
                <c:pt idx="81">
                  <c:v>1.3371299999999999</c:v>
                </c:pt>
                <c:pt idx="82">
                  <c:v>1.33209</c:v>
                </c:pt>
                <c:pt idx="83">
                  <c:v>1.3270599999999999</c:v>
                </c:pt>
                <c:pt idx="84">
                  <c:v>1.32202</c:v>
                </c:pt>
                <c:pt idx="85">
                  <c:v>1.3169900000000001</c:v>
                </c:pt>
                <c:pt idx="86">
                  <c:v>1.3119499999999999</c:v>
                </c:pt>
                <c:pt idx="87">
                  <c:v>1.3069200000000001</c:v>
                </c:pt>
                <c:pt idx="88">
                  <c:v>1.3018799999999999</c:v>
                </c:pt>
                <c:pt idx="89">
                  <c:v>1.29684</c:v>
                </c:pt>
                <c:pt idx="90">
                  <c:v>1.2918099999999999</c:v>
                </c:pt>
                <c:pt idx="91">
                  <c:v>1.28677</c:v>
                </c:pt>
                <c:pt idx="92">
                  <c:v>1.2817400000000001</c:v>
                </c:pt>
                <c:pt idx="93">
                  <c:v>1.2766999999999999</c:v>
                </c:pt>
                <c:pt idx="94">
                  <c:v>1.2716700000000001</c:v>
                </c:pt>
                <c:pt idx="95">
                  <c:v>1.2666299999999999</c:v>
                </c:pt>
                <c:pt idx="96">
                  <c:v>1.2616000000000001</c:v>
                </c:pt>
                <c:pt idx="97">
                  <c:v>1.2565599999999999</c:v>
                </c:pt>
                <c:pt idx="98">
                  <c:v>1.25153</c:v>
                </c:pt>
                <c:pt idx="99">
                  <c:v>1.2464900000000001</c:v>
                </c:pt>
                <c:pt idx="100">
                  <c:v>1.24146</c:v>
                </c:pt>
                <c:pt idx="101">
                  <c:v>1.2364200000000001</c:v>
                </c:pt>
                <c:pt idx="102">
                  <c:v>1.2313799999999999</c:v>
                </c:pt>
                <c:pt idx="103">
                  <c:v>1.2263500000000001</c:v>
                </c:pt>
                <c:pt idx="104">
                  <c:v>1.2213099999999999</c:v>
                </c:pt>
                <c:pt idx="105">
                  <c:v>1.21628</c:v>
                </c:pt>
                <c:pt idx="106">
                  <c:v>1.2112400000000001</c:v>
                </c:pt>
                <c:pt idx="107">
                  <c:v>1.20621</c:v>
                </c:pt>
                <c:pt idx="108">
                  <c:v>1.2011700000000001</c:v>
                </c:pt>
                <c:pt idx="109">
                  <c:v>1.19614</c:v>
                </c:pt>
                <c:pt idx="110">
                  <c:v>1.1911</c:v>
                </c:pt>
                <c:pt idx="111">
                  <c:v>1.18607</c:v>
                </c:pt>
                <c:pt idx="112">
                  <c:v>1.18103</c:v>
                </c:pt>
                <c:pt idx="113">
                  <c:v>1.1759900000000001</c:v>
                </c:pt>
                <c:pt idx="114">
                  <c:v>1.17096</c:v>
                </c:pt>
                <c:pt idx="115">
                  <c:v>1.1659200000000001</c:v>
                </c:pt>
                <c:pt idx="116">
                  <c:v>1.16089</c:v>
                </c:pt>
                <c:pt idx="117">
                  <c:v>1.15585</c:v>
                </c:pt>
                <c:pt idx="118">
                  <c:v>1.15082</c:v>
                </c:pt>
                <c:pt idx="119">
                  <c:v>1.14578</c:v>
                </c:pt>
                <c:pt idx="120">
                  <c:v>1.1407499999999999</c:v>
                </c:pt>
                <c:pt idx="121">
                  <c:v>1.13571</c:v>
                </c:pt>
                <c:pt idx="122">
                  <c:v>1.1306799999999999</c:v>
                </c:pt>
                <c:pt idx="123">
                  <c:v>1.12564</c:v>
                </c:pt>
                <c:pt idx="124">
                  <c:v>1.1206100000000001</c:v>
                </c:pt>
                <c:pt idx="125">
                  <c:v>1.11557</c:v>
                </c:pt>
                <c:pt idx="126">
                  <c:v>1.11053</c:v>
                </c:pt>
                <c:pt idx="127">
                  <c:v>1.1054999999999999</c:v>
                </c:pt>
                <c:pt idx="128">
                  <c:v>1.10046</c:v>
                </c:pt>
                <c:pt idx="129">
                  <c:v>1.0954299999999999</c:v>
                </c:pt>
                <c:pt idx="130">
                  <c:v>1.09039</c:v>
                </c:pt>
                <c:pt idx="131">
                  <c:v>1.0853600000000001</c:v>
                </c:pt>
                <c:pt idx="132">
                  <c:v>1.0803199999999999</c:v>
                </c:pt>
                <c:pt idx="133">
                  <c:v>1.0752900000000001</c:v>
                </c:pt>
                <c:pt idx="134">
                  <c:v>1.0702499999999999</c:v>
                </c:pt>
                <c:pt idx="135">
                  <c:v>1.0652200000000001</c:v>
                </c:pt>
                <c:pt idx="136">
                  <c:v>1.0601799999999999</c:v>
                </c:pt>
                <c:pt idx="137">
                  <c:v>1.05515</c:v>
                </c:pt>
                <c:pt idx="138">
                  <c:v>1.0501100000000001</c:v>
                </c:pt>
                <c:pt idx="139">
                  <c:v>1.0450699999999999</c:v>
                </c:pt>
                <c:pt idx="140">
                  <c:v>1.0400400000000001</c:v>
                </c:pt>
                <c:pt idx="141">
                  <c:v>1.0349999999999999</c:v>
                </c:pt>
                <c:pt idx="142">
                  <c:v>1.0299700000000001</c:v>
                </c:pt>
                <c:pt idx="143">
                  <c:v>1.0249299999999999</c:v>
                </c:pt>
                <c:pt idx="144">
                  <c:v>1.0199</c:v>
                </c:pt>
                <c:pt idx="145">
                  <c:v>1.0148600000000001</c:v>
                </c:pt>
                <c:pt idx="146">
                  <c:v>1.00983</c:v>
                </c:pt>
                <c:pt idx="147">
                  <c:v>1.0047900000000001</c:v>
                </c:pt>
                <c:pt idx="148">
                  <c:v>0.99975599999999998</c:v>
                </c:pt>
                <c:pt idx="149">
                  <c:v>0.99472000000000005</c:v>
                </c:pt>
                <c:pt idx="150">
                  <c:v>0.98968500000000004</c:v>
                </c:pt>
                <c:pt idx="151">
                  <c:v>0.98465000000000003</c:v>
                </c:pt>
                <c:pt idx="152">
                  <c:v>0.97961399999999998</c:v>
                </c:pt>
                <c:pt idx="153">
                  <c:v>0.97457899999999997</c:v>
                </c:pt>
                <c:pt idx="154">
                  <c:v>0.96954300000000004</c:v>
                </c:pt>
                <c:pt idx="155">
                  <c:v>0.96450800000000003</c:v>
                </c:pt>
                <c:pt idx="156">
                  <c:v>0.95947300000000002</c:v>
                </c:pt>
                <c:pt idx="157">
                  <c:v>0.95443699999999998</c:v>
                </c:pt>
                <c:pt idx="158">
                  <c:v>0.94940199999999997</c:v>
                </c:pt>
                <c:pt idx="159">
                  <c:v>0.94436600000000004</c:v>
                </c:pt>
                <c:pt idx="160">
                  <c:v>0.93933100000000003</c:v>
                </c:pt>
                <c:pt idx="161">
                  <c:v>0.93429600000000002</c:v>
                </c:pt>
                <c:pt idx="162">
                  <c:v>0.92925999999999997</c:v>
                </c:pt>
                <c:pt idx="163">
                  <c:v>0.92422499999999996</c:v>
                </c:pt>
                <c:pt idx="164">
                  <c:v>0.91918900000000003</c:v>
                </c:pt>
                <c:pt idx="165">
                  <c:v>0.91415400000000002</c:v>
                </c:pt>
                <c:pt idx="166">
                  <c:v>0.90911900000000001</c:v>
                </c:pt>
                <c:pt idx="167">
                  <c:v>0.90408299999999997</c:v>
                </c:pt>
                <c:pt idx="168">
                  <c:v>0.89904799999999996</c:v>
                </c:pt>
                <c:pt idx="169">
                  <c:v>0.89401200000000003</c:v>
                </c:pt>
                <c:pt idx="170">
                  <c:v>0.88897700000000002</c:v>
                </c:pt>
                <c:pt idx="171">
                  <c:v>0.88394200000000001</c:v>
                </c:pt>
                <c:pt idx="172">
                  <c:v>0.87890599999999997</c:v>
                </c:pt>
                <c:pt idx="173">
                  <c:v>0.87387099999999995</c:v>
                </c:pt>
                <c:pt idx="174">
                  <c:v>0.86883500000000002</c:v>
                </c:pt>
                <c:pt idx="175">
                  <c:v>0.86380000000000001</c:v>
                </c:pt>
                <c:pt idx="176">
                  <c:v>0.858765</c:v>
                </c:pt>
                <c:pt idx="177">
                  <c:v>0.85372899999999996</c:v>
                </c:pt>
                <c:pt idx="178">
                  <c:v>0.84869399999999995</c:v>
                </c:pt>
                <c:pt idx="179">
                  <c:v>0.84365800000000002</c:v>
                </c:pt>
                <c:pt idx="180">
                  <c:v>0.83862300000000001</c:v>
                </c:pt>
                <c:pt idx="181">
                  <c:v>0.833588</c:v>
                </c:pt>
                <c:pt idx="182">
                  <c:v>0.82855199999999996</c:v>
                </c:pt>
                <c:pt idx="183">
                  <c:v>0.82351700000000005</c:v>
                </c:pt>
                <c:pt idx="184">
                  <c:v>0.81848100000000001</c:v>
                </c:pt>
                <c:pt idx="185">
                  <c:v>0.813446</c:v>
                </c:pt>
                <c:pt idx="186">
                  <c:v>0.80841099999999999</c:v>
                </c:pt>
                <c:pt idx="187">
                  <c:v>0.80337499999999995</c:v>
                </c:pt>
                <c:pt idx="188">
                  <c:v>0.79834000000000005</c:v>
                </c:pt>
                <c:pt idx="189">
                  <c:v>0.79330400000000001</c:v>
                </c:pt>
                <c:pt idx="190">
                  <c:v>0.788269</c:v>
                </c:pt>
                <c:pt idx="191">
                  <c:v>0.78323399999999999</c:v>
                </c:pt>
                <c:pt idx="192">
                  <c:v>0.77819799999999995</c:v>
                </c:pt>
                <c:pt idx="193">
                  <c:v>0.77316300000000004</c:v>
                </c:pt>
                <c:pt idx="194">
                  <c:v>0.768127</c:v>
                </c:pt>
                <c:pt idx="195">
                  <c:v>0.76309199999999999</c:v>
                </c:pt>
                <c:pt idx="196">
                  <c:v>0.75805699999999998</c:v>
                </c:pt>
                <c:pt idx="197">
                  <c:v>0.75302100000000005</c:v>
                </c:pt>
                <c:pt idx="198">
                  <c:v>0.74798600000000004</c:v>
                </c:pt>
                <c:pt idx="199">
                  <c:v>0.74295</c:v>
                </c:pt>
                <c:pt idx="200">
                  <c:v>0.73791499999999999</c:v>
                </c:pt>
                <c:pt idx="201">
                  <c:v>0.73287999999999998</c:v>
                </c:pt>
                <c:pt idx="202">
                  <c:v>0.72784400000000005</c:v>
                </c:pt>
                <c:pt idx="203">
                  <c:v>0.72280900000000003</c:v>
                </c:pt>
                <c:pt idx="204">
                  <c:v>0.71777299999999999</c:v>
                </c:pt>
                <c:pt idx="205">
                  <c:v>0.71273799999999998</c:v>
                </c:pt>
                <c:pt idx="206">
                  <c:v>0.70770299999999997</c:v>
                </c:pt>
                <c:pt idx="207">
                  <c:v>0.70266700000000004</c:v>
                </c:pt>
                <c:pt idx="208">
                  <c:v>0.69763200000000003</c:v>
                </c:pt>
                <c:pt idx="209">
                  <c:v>0.69259599999999999</c:v>
                </c:pt>
                <c:pt idx="210">
                  <c:v>0.68756099999999998</c:v>
                </c:pt>
                <c:pt idx="211">
                  <c:v>0.68252599999999997</c:v>
                </c:pt>
                <c:pt idx="212">
                  <c:v>0.67749000000000004</c:v>
                </c:pt>
                <c:pt idx="213">
                  <c:v>0.67245500000000002</c:v>
                </c:pt>
                <c:pt idx="214">
                  <c:v>0.66741899999999998</c:v>
                </c:pt>
                <c:pt idx="215">
                  <c:v>0.66238399999999997</c:v>
                </c:pt>
                <c:pt idx="216">
                  <c:v>0.65734899999999996</c:v>
                </c:pt>
                <c:pt idx="217">
                  <c:v>0.65231300000000003</c:v>
                </c:pt>
                <c:pt idx="218">
                  <c:v>0.64727800000000002</c:v>
                </c:pt>
                <c:pt idx="219">
                  <c:v>0.64224199999999998</c:v>
                </c:pt>
                <c:pt idx="220">
                  <c:v>0.63720699999999997</c:v>
                </c:pt>
                <c:pt idx="221">
                  <c:v>0.63217199999999996</c:v>
                </c:pt>
                <c:pt idx="222">
                  <c:v>0.62713600000000003</c:v>
                </c:pt>
                <c:pt idx="223">
                  <c:v>0.62210100000000002</c:v>
                </c:pt>
                <c:pt idx="224">
                  <c:v>0.61706499999999997</c:v>
                </c:pt>
                <c:pt idx="225">
                  <c:v>0.61202999999999996</c:v>
                </c:pt>
                <c:pt idx="226">
                  <c:v>0.60699499999999995</c:v>
                </c:pt>
                <c:pt idx="227">
                  <c:v>0.60195900000000002</c:v>
                </c:pt>
                <c:pt idx="228">
                  <c:v>0.59692400000000001</c:v>
                </c:pt>
                <c:pt idx="229">
                  <c:v>0.59188799999999997</c:v>
                </c:pt>
                <c:pt idx="230">
                  <c:v>0.58685299999999996</c:v>
                </c:pt>
                <c:pt idx="231">
                  <c:v>0.58181799999999995</c:v>
                </c:pt>
                <c:pt idx="232">
                  <c:v>0.57678200000000002</c:v>
                </c:pt>
                <c:pt idx="233">
                  <c:v>0.57174700000000001</c:v>
                </c:pt>
                <c:pt idx="234">
                  <c:v>0.56671099999999996</c:v>
                </c:pt>
                <c:pt idx="235">
                  <c:v>0.56167599999999995</c:v>
                </c:pt>
                <c:pt idx="236">
                  <c:v>0.55664100000000005</c:v>
                </c:pt>
                <c:pt idx="237">
                  <c:v>0.55160500000000001</c:v>
                </c:pt>
                <c:pt idx="238">
                  <c:v>0.54657</c:v>
                </c:pt>
                <c:pt idx="239">
                  <c:v>0.54153399999999996</c:v>
                </c:pt>
                <c:pt idx="240">
                  <c:v>0.53649899999999995</c:v>
                </c:pt>
                <c:pt idx="241">
                  <c:v>0.53146400000000005</c:v>
                </c:pt>
                <c:pt idx="242">
                  <c:v>0.52642800000000001</c:v>
                </c:pt>
                <c:pt idx="243">
                  <c:v>0.521393</c:v>
                </c:pt>
                <c:pt idx="244">
                  <c:v>0.51635699999999995</c:v>
                </c:pt>
                <c:pt idx="245">
                  <c:v>0.51132200000000005</c:v>
                </c:pt>
                <c:pt idx="246">
                  <c:v>0.50628700000000004</c:v>
                </c:pt>
                <c:pt idx="247">
                  <c:v>0.501251</c:v>
                </c:pt>
                <c:pt idx="248">
                  <c:v>0.49621599999999999</c:v>
                </c:pt>
                <c:pt idx="249">
                  <c:v>0.49118000000000001</c:v>
                </c:pt>
                <c:pt idx="250">
                  <c:v>0.48614499999999999</c:v>
                </c:pt>
                <c:pt idx="251">
                  <c:v>0.48110999999999998</c:v>
                </c:pt>
                <c:pt idx="252">
                  <c:v>0.476074</c:v>
                </c:pt>
                <c:pt idx="253">
                  <c:v>0.47103899999999999</c:v>
                </c:pt>
                <c:pt idx="254">
                  <c:v>0.466003</c:v>
                </c:pt>
                <c:pt idx="255">
                  <c:v>0.46096799999999999</c:v>
                </c:pt>
                <c:pt idx="256">
                  <c:v>0.45593299999999998</c:v>
                </c:pt>
                <c:pt idx="257">
                  <c:v>0.45089699999999999</c:v>
                </c:pt>
                <c:pt idx="258">
                  <c:v>0.44586199999999998</c:v>
                </c:pt>
                <c:pt idx="259">
                  <c:v>0.440826</c:v>
                </c:pt>
                <c:pt idx="260">
                  <c:v>0.43579099999999998</c:v>
                </c:pt>
                <c:pt idx="261">
                  <c:v>0.43075600000000003</c:v>
                </c:pt>
                <c:pt idx="262">
                  <c:v>0.42571999999999999</c:v>
                </c:pt>
                <c:pt idx="263">
                  <c:v>0.42068499999999998</c:v>
                </c:pt>
                <c:pt idx="264">
                  <c:v>0.41564899999999999</c:v>
                </c:pt>
                <c:pt idx="265">
                  <c:v>0.41061399999999998</c:v>
                </c:pt>
                <c:pt idx="266">
                  <c:v>0.40557900000000002</c:v>
                </c:pt>
                <c:pt idx="267">
                  <c:v>0.40054299999999998</c:v>
                </c:pt>
                <c:pt idx="268">
                  <c:v>0.39550800000000003</c:v>
                </c:pt>
                <c:pt idx="269">
                  <c:v>0.39047199999999999</c:v>
                </c:pt>
                <c:pt idx="270">
                  <c:v>0.38543699999999997</c:v>
                </c:pt>
                <c:pt idx="271">
                  <c:v>0.38040200000000002</c:v>
                </c:pt>
                <c:pt idx="272">
                  <c:v>0.37536599999999998</c:v>
                </c:pt>
                <c:pt idx="273">
                  <c:v>0.37033100000000002</c:v>
                </c:pt>
                <c:pt idx="274">
                  <c:v>0.36529499999999998</c:v>
                </c:pt>
                <c:pt idx="275">
                  <c:v>0.36026000000000002</c:v>
                </c:pt>
                <c:pt idx="276">
                  <c:v>0.35522500000000001</c:v>
                </c:pt>
                <c:pt idx="277">
                  <c:v>0.35018899999999997</c:v>
                </c:pt>
                <c:pt idx="278">
                  <c:v>0.34515400000000002</c:v>
                </c:pt>
                <c:pt idx="279">
                  <c:v>0.34011799999999998</c:v>
                </c:pt>
                <c:pt idx="280">
                  <c:v>0.33508300000000002</c:v>
                </c:pt>
                <c:pt idx="281">
                  <c:v>0.33004800000000001</c:v>
                </c:pt>
                <c:pt idx="282">
                  <c:v>0.32501200000000002</c:v>
                </c:pt>
                <c:pt idx="283">
                  <c:v>0.31997700000000001</c:v>
                </c:pt>
                <c:pt idx="284">
                  <c:v>0.31494100000000003</c:v>
                </c:pt>
                <c:pt idx="285">
                  <c:v>0.30990600000000001</c:v>
                </c:pt>
                <c:pt idx="286">
                  <c:v>0.304871</c:v>
                </c:pt>
                <c:pt idx="287">
                  <c:v>0.29983500000000002</c:v>
                </c:pt>
                <c:pt idx="288">
                  <c:v>0.29480000000000001</c:v>
                </c:pt>
                <c:pt idx="289">
                  <c:v>0.28976400000000002</c:v>
                </c:pt>
                <c:pt idx="290">
                  <c:v>0.28472900000000001</c:v>
                </c:pt>
                <c:pt idx="291">
                  <c:v>0.279694</c:v>
                </c:pt>
                <c:pt idx="292">
                  <c:v>0.27465800000000001</c:v>
                </c:pt>
                <c:pt idx="293">
                  <c:v>0.269623</c:v>
                </c:pt>
                <c:pt idx="294">
                  <c:v>0.26458700000000002</c:v>
                </c:pt>
                <c:pt idx="295">
                  <c:v>0.259552</c:v>
                </c:pt>
                <c:pt idx="296">
                  <c:v>0.25451699999999999</c:v>
                </c:pt>
                <c:pt idx="297">
                  <c:v>0.24948100000000001</c:v>
                </c:pt>
                <c:pt idx="298">
                  <c:v>0.244446</c:v>
                </c:pt>
                <c:pt idx="299">
                  <c:v>0.23941000000000001</c:v>
                </c:pt>
                <c:pt idx="300">
                  <c:v>0.234375</c:v>
                </c:pt>
                <c:pt idx="301">
                  <c:v>0.22933999999999999</c:v>
                </c:pt>
                <c:pt idx="302">
                  <c:v>0.224304</c:v>
                </c:pt>
                <c:pt idx="303">
                  <c:v>0.21926899999999999</c:v>
                </c:pt>
                <c:pt idx="304">
                  <c:v>0.21423300000000001</c:v>
                </c:pt>
                <c:pt idx="305">
                  <c:v>0.209198</c:v>
                </c:pt>
                <c:pt idx="306">
                  <c:v>0.20416300000000001</c:v>
                </c:pt>
                <c:pt idx="307">
                  <c:v>0.199127</c:v>
                </c:pt>
                <c:pt idx="308">
                  <c:v>0.19409199999999999</c:v>
                </c:pt>
                <c:pt idx="309">
                  <c:v>0.189056</c:v>
                </c:pt>
                <c:pt idx="310">
                  <c:v>0.18402099999999999</c:v>
                </c:pt>
                <c:pt idx="311">
                  <c:v>0.17898600000000001</c:v>
                </c:pt>
                <c:pt idx="312">
                  <c:v>0.17394999999999999</c:v>
                </c:pt>
                <c:pt idx="313">
                  <c:v>0.16891500000000001</c:v>
                </c:pt>
                <c:pt idx="314">
                  <c:v>0.163879</c:v>
                </c:pt>
                <c:pt idx="315">
                  <c:v>0.15884400000000001</c:v>
                </c:pt>
                <c:pt idx="316">
                  <c:v>0.153809</c:v>
                </c:pt>
                <c:pt idx="317">
                  <c:v>0.14877299999999999</c:v>
                </c:pt>
                <c:pt idx="318">
                  <c:v>0.143738</c:v>
                </c:pt>
                <c:pt idx="319">
                  <c:v>0.13870199999999999</c:v>
                </c:pt>
                <c:pt idx="320">
                  <c:v>0.13366700000000001</c:v>
                </c:pt>
                <c:pt idx="321">
                  <c:v>0.128632</c:v>
                </c:pt>
                <c:pt idx="322">
                  <c:v>0.123596</c:v>
                </c:pt>
                <c:pt idx="323">
                  <c:v>0.118561</c:v>
                </c:pt>
                <c:pt idx="324">
                  <c:v>0.113525</c:v>
                </c:pt>
                <c:pt idx="325">
                  <c:v>0.10849</c:v>
                </c:pt>
                <c:pt idx="326">
                  <c:v>0.10345500000000001</c:v>
                </c:pt>
                <c:pt idx="327">
                  <c:v>9.8419199999999998E-2</c:v>
                </c:pt>
                <c:pt idx="328">
                  <c:v>9.3383800000000003E-2</c:v>
                </c:pt>
                <c:pt idx="329">
                  <c:v>8.8348399999999994E-2</c:v>
                </c:pt>
                <c:pt idx="330">
                  <c:v>8.3312999999999998E-2</c:v>
                </c:pt>
                <c:pt idx="331">
                  <c:v>7.8277600000000003E-2</c:v>
                </c:pt>
                <c:pt idx="332">
                  <c:v>7.3242199999999993E-2</c:v>
                </c:pt>
                <c:pt idx="333">
                  <c:v>6.8206799999999998E-2</c:v>
                </c:pt>
                <c:pt idx="334">
                  <c:v>6.3171400000000003E-2</c:v>
                </c:pt>
                <c:pt idx="335">
                  <c:v>5.8136E-2</c:v>
                </c:pt>
                <c:pt idx="336">
                  <c:v>5.3100599999999998E-2</c:v>
                </c:pt>
                <c:pt idx="337">
                  <c:v>4.8065200000000002E-2</c:v>
                </c:pt>
                <c:pt idx="338">
                  <c:v>4.30298E-2</c:v>
                </c:pt>
                <c:pt idx="339">
                  <c:v>3.7994399999999998E-2</c:v>
                </c:pt>
                <c:pt idx="340">
                  <c:v>3.2959000000000002E-2</c:v>
                </c:pt>
                <c:pt idx="341">
                  <c:v>2.79236E-2</c:v>
                </c:pt>
                <c:pt idx="342">
                  <c:v>2.2888200000000001E-2</c:v>
                </c:pt>
                <c:pt idx="343">
                  <c:v>1.7852799999999999E-2</c:v>
                </c:pt>
                <c:pt idx="344">
                  <c:v>1.28174E-2</c:v>
                </c:pt>
                <c:pt idx="345">
                  <c:v>7.78198E-3</c:v>
                </c:pt>
                <c:pt idx="346">
                  <c:v>2.7465800000000002E-3</c:v>
                </c:pt>
                <c:pt idx="347">
                  <c:v>-2.28882E-3</c:v>
                </c:pt>
                <c:pt idx="348">
                  <c:v>-7.3242200000000002E-3</c:v>
                </c:pt>
                <c:pt idx="349">
                  <c:v>-1.23596E-2</c:v>
                </c:pt>
                <c:pt idx="350">
                  <c:v>-1.7395000000000001E-2</c:v>
                </c:pt>
                <c:pt idx="351">
                  <c:v>-2.24304E-2</c:v>
                </c:pt>
                <c:pt idx="352">
                  <c:v>-2.7465799999999999E-2</c:v>
                </c:pt>
                <c:pt idx="353">
                  <c:v>-3.2501200000000001E-2</c:v>
                </c:pt>
                <c:pt idx="354">
                  <c:v>-3.7536600000000003E-2</c:v>
                </c:pt>
                <c:pt idx="355">
                  <c:v>-4.2571999999999999E-2</c:v>
                </c:pt>
                <c:pt idx="356">
                  <c:v>-4.7607400000000001E-2</c:v>
                </c:pt>
                <c:pt idx="357">
                  <c:v>-5.2642799999999997E-2</c:v>
                </c:pt>
                <c:pt idx="358">
                  <c:v>-5.7678199999999999E-2</c:v>
                </c:pt>
                <c:pt idx="359">
                  <c:v>-6.2713599999999994E-2</c:v>
                </c:pt>
                <c:pt idx="360">
                  <c:v>-6.7749000000000004E-2</c:v>
                </c:pt>
                <c:pt idx="361">
                  <c:v>-7.2784399999999999E-2</c:v>
                </c:pt>
                <c:pt idx="362">
                  <c:v>-7.7819799999999995E-2</c:v>
                </c:pt>
                <c:pt idx="363">
                  <c:v>-8.2855200000000004E-2</c:v>
                </c:pt>
                <c:pt idx="364">
                  <c:v>-8.7890599999999999E-2</c:v>
                </c:pt>
                <c:pt idx="365">
                  <c:v>-9.2925999999999995E-2</c:v>
                </c:pt>
                <c:pt idx="366">
                  <c:v>-9.7961400000000004E-2</c:v>
                </c:pt>
                <c:pt idx="367">
                  <c:v>-0.10299700000000001</c:v>
                </c:pt>
              </c:numCache>
            </c:numRef>
          </c:xVal>
          <c:yVal>
            <c:numRef>
              <c:f>'20230206t210000'!$AV$11:$AV$398</c:f>
              <c:numCache>
                <c:formatCode>General</c:formatCode>
                <c:ptCount val="388"/>
                <c:pt idx="0">
                  <c:v>-16.033899999999999</c:v>
                </c:pt>
                <c:pt idx="1">
                  <c:v>-14.3127</c:v>
                </c:pt>
                <c:pt idx="2">
                  <c:v>-12.588500000000002</c:v>
                </c:pt>
                <c:pt idx="3">
                  <c:v>-10.8185</c:v>
                </c:pt>
                <c:pt idx="4">
                  <c:v>-9.06677</c:v>
                </c:pt>
                <c:pt idx="5">
                  <c:v>-7.2967500000000003</c:v>
                </c:pt>
                <c:pt idx="6">
                  <c:v>-5.4901100000000005</c:v>
                </c:pt>
                <c:pt idx="7">
                  <c:v>-3.7344399999999998</c:v>
                </c:pt>
                <c:pt idx="8">
                  <c:v>-1.9955400000000001</c:v>
                </c:pt>
                <c:pt idx="9">
                  <c:v>-0.25176999999999999</c:v>
                </c:pt>
                <c:pt idx="10">
                  <c:v>1.4331100000000001</c:v>
                </c:pt>
                <c:pt idx="11">
                  <c:v>3.02582</c:v>
                </c:pt>
                <c:pt idx="12">
                  <c:v>4.5822099999999999</c:v>
                </c:pt>
                <c:pt idx="13">
                  <c:v>6.0272199999999998</c:v>
                </c:pt>
                <c:pt idx="14">
                  <c:v>7.3272700000000004</c:v>
                </c:pt>
                <c:pt idx="15">
                  <c:v>8.4045400000000008</c:v>
                </c:pt>
                <c:pt idx="16">
                  <c:v>9.3444800000000008</c:v>
                </c:pt>
                <c:pt idx="17">
                  <c:v>10.1898</c:v>
                </c:pt>
                <c:pt idx="18">
                  <c:v>10.9161</c:v>
                </c:pt>
                <c:pt idx="19">
                  <c:v>11.523399999999999</c:v>
                </c:pt>
                <c:pt idx="20">
                  <c:v>12.045299999999999</c:v>
                </c:pt>
                <c:pt idx="21">
                  <c:v>12.5031</c:v>
                </c:pt>
                <c:pt idx="22">
                  <c:v>12.924200000000001</c:v>
                </c:pt>
                <c:pt idx="23">
                  <c:v>13.3118</c:v>
                </c:pt>
                <c:pt idx="24">
                  <c:v>13.635299999999999</c:v>
                </c:pt>
                <c:pt idx="25">
                  <c:v>13.9221</c:v>
                </c:pt>
                <c:pt idx="26">
                  <c:v>14.1693</c:v>
                </c:pt>
                <c:pt idx="27">
                  <c:v>14.422600000000001</c:v>
                </c:pt>
                <c:pt idx="28">
                  <c:v>14.642300000000001</c:v>
                </c:pt>
                <c:pt idx="29">
                  <c:v>14.8407</c:v>
                </c:pt>
                <c:pt idx="30">
                  <c:v>15.0421</c:v>
                </c:pt>
                <c:pt idx="31">
                  <c:v>15.197799999999999</c:v>
                </c:pt>
                <c:pt idx="32">
                  <c:v>15.350300000000001</c:v>
                </c:pt>
                <c:pt idx="33">
                  <c:v>15.4968</c:v>
                </c:pt>
                <c:pt idx="34">
                  <c:v>15.628099999999998</c:v>
                </c:pt>
                <c:pt idx="35">
                  <c:v>15.7471</c:v>
                </c:pt>
                <c:pt idx="36">
                  <c:v>15.8569</c:v>
                </c:pt>
                <c:pt idx="37">
                  <c:v>15.960700000000001</c:v>
                </c:pt>
                <c:pt idx="38">
                  <c:v>16.055300000000003</c:v>
                </c:pt>
                <c:pt idx="39">
                  <c:v>16.149899999999999</c:v>
                </c:pt>
                <c:pt idx="40">
                  <c:v>16.235400000000002</c:v>
                </c:pt>
                <c:pt idx="41">
                  <c:v>16.317700000000002</c:v>
                </c:pt>
                <c:pt idx="42">
                  <c:v>16.384900000000002</c:v>
                </c:pt>
                <c:pt idx="43">
                  <c:v>16.458099999999998</c:v>
                </c:pt>
                <c:pt idx="44">
                  <c:v>16.513099999999998</c:v>
                </c:pt>
                <c:pt idx="45">
                  <c:v>16.577100000000002</c:v>
                </c:pt>
                <c:pt idx="46">
                  <c:v>16.638199999999998</c:v>
                </c:pt>
                <c:pt idx="47">
                  <c:v>16.693099999999998</c:v>
                </c:pt>
                <c:pt idx="48">
                  <c:v>16.738900000000001</c:v>
                </c:pt>
                <c:pt idx="49">
                  <c:v>16.793800000000001</c:v>
                </c:pt>
                <c:pt idx="50">
                  <c:v>16.833500000000001</c:v>
                </c:pt>
                <c:pt idx="51">
                  <c:v>16.873200000000001</c:v>
                </c:pt>
                <c:pt idx="52">
                  <c:v>16.909800000000001</c:v>
                </c:pt>
                <c:pt idx="53">
                  <c:v>16.946400000000001</c:v>
                </c:pt>
                <c:pt idx="54">
                  <c:v>16.979999999999997</c:v>
                </c:pt>
                <c:pt idx="55">
                  <c:v>17.013500000000001</c:v>
                </c:pt>
                <c:pt idx="56">
                  <c:v>17.0441</c:v>
                </c:pt>
                <c:pt idx="57">
                  <c:v>17.0715</c:v>
                </c:pt>
                <c:pt idx="58">
                  <c:v>17.0929</c:v>
                </c:pt>
                <c:pt idx="59">
                  <c:v>17.1173</c:v>
                </c:pt>
                <c:pt idx="60">
                  <c:v>17.1387</c:v>
                </c:pt>
                <c:pt idx="61">
                  <c:v>17.1631</c:v>
                </c:pt>
                <c:pt idx="62">
                  <c:v>17.1906</c:v>
                </c:pt>
                <c:pt idx="63">
                  <c:v>17.2089</c:v>
                </c:pt>
                <c:pt idx="64">
                  <c:v>17.2241</c:v>
                </c:pt>
                <c:pt idx="65">
                  <c:v>17.2302</c:v>
                </c:pt>
                <c:pt idx="66">
                  <c:v>17.2485</c:v>
                </c:pt>
                <c:pt idx="67">
                  <c:v>17.2699</c:v>
                </c:pt>
                <c:pt idx="68">
                  <c:v>17.2852</c:v>
                </c:pt>
                <c:pt idx="69">
                  <c:v>17.2943</c:v>
                </c:pt>
                <c:pt idx="70">
                  <c:v>17.3035</c:v>
                </c:pt>
                <c:pt idx="71">
                  <c:v>17.3187</c:v>
                </c:pt>
                <c:pt idx="72">
                  <c:v>17.3248</c:v>
                </c:pt>
                <c:pt idx="73">
                  <c:v>17.334</c:v>
                </c:pt>
                <c:pt idx="74">
                  <c:v>17.3401</c:v>
                </c:pt>
                <c:pt idx="75">
                  <c:v>17.3492</c:v>
                </c:pt>
                <c:pt idx="76">
                  <c:v>17.3584</c:v>
                </c:pt>
                <c:pt idx="77">
                  <c:v>17.367599999999999</c:v>
                </c:pt>
                <c:pt idx="78">
                  <c:v>17.3706</c:v>
                </c:pt>
                <c:pt idx="79">
                  <c:v>17.3767</c:v>
                </c:pt>
                <c:pt idx="80">
                  <c:v>17.3767</c:v>
                </c:pt>
                <c:pt idx="81">
                  <c:v>17.379799999999999</c:v>
                </c:pt>
                <c:pt idx="82">
                  <c:v>17.3889</c:v>
                </c:pt>
                <c:pt idx="83">
                  <c:v>17.395</c:v>
                </c:pt>
                <c:pt idx="84">
                  <c:v>17.398099999999999</c:v>
                </c:pt>
                <c:pt idx="85">
                  <c:v>17.404200000000003</c:v>
                </c:pt>
                <c:pt idx="86">
                  <c:v>17.410299999999999</c:v>
                </c:pt>
                <c:pt idx="87">
                  <c:v>17.4133</c:v>
                </c:pt>
                <c:pt idx="88">
                  <c:v>17.419400000000003</c:v>
                </c:pt>
                <c:pt idx="89">
                  <c:v>17.419400000000003</c:v>
                </c:pt>
                <c:pt idx="90">
                  <c:v>17.4255</c:v>
                </c:pt>
                <c:pt idx="91">
                  <c:v>17.4255</c:v>
                </c:pt>
                <c:pt idx="92">
                  <c:v>17.428599999999999</c:v>
                </c:pt>
                <c:pt idx="93">
                  <c:v>17.434699999999999</c:v>
                </c:pt>
                <c:pt idx="94">
                  <c:v>17.434699999999999</c:v>
                </c:pt>
                <c:pt idx="95">
                  <c:v>17.4377</c:v>
                </c:pt>
                <c:pt idx="96">
                  <c:v>17.4438</c:v>
                </c:pt>
                <c:pt idx="97">
                  <c:v>17.4438</c:v>
                </c:pt>
                <c:pt idx="98">
                  <c:v>17.446900000000003</c:v>
                </c:pt>
                <c:pt idx="99">
                  <c:v>17.456099999999999</c:v>
                </c:pt>
                <c:pt idx="100">
                  <c:v>17.459100000000003</c:v>
                </c:pt>
                <c:pt idx="101">
                  <c:v>17.462199999999999</c:v>
                </c:pt>
                <c:pt idx="102">
                  <c:v>17.459100000000003</c:v>
                </c:pt>
                <c:pt idx="103">
                  <c:v>17.471299999999999</c:v>
                </c:pt>
                <c:pt idx="104">
                  <c:v>17.474400000000003</c:v>
                </c:pt>
                <c:pt idx="105">
                  <c:v>17.477399999999999</c:v>
                </c:pt>
                <c:pt idx="106">
                  <c:v>17.483499999999999</c:v>
                </c:pt>
                <c:pt idx="107">
                  <c:v>17.477399999999999</c:v>
                </c:pt>
                <c:pt idx="108">
                  <c:v>17.489599999999999</c:v>
                </c:pt>
                <c:pt idx="109">
                  <c:v>17.489599999999999</c:v>
                </c:pt>
                <c:pt idx="110">
                  <c:v>17.495699999999999</c:v>
                </c:pt>
                <c:pt idx="111">
                  <c:v>17.498799999999999</c:v>
                </c:pt>
                <c:pt idx="112">
                  <c:v>17.495699999999999</c:v>
                </c:pt>
                <c:pt idx="113">
                  <c:v>17.501800000000003</c:v>
                </c:pt>
                <c:pt idx="114">
                  <c:v>17.498799999999999</c:v>
                </c:pt>
                <c:pt idx="115">
                  <c:v>17.504899999999999</c:v>
                </c:pt>
                <c:pt idx="116">
                  <c:v>17.504899999999999</c:v>
                </c:pt>
                <c:pt idx="117">
                  <c:v>17.517099999999999</c:v>
                </c:pt>
                <c:pt idx="118">
                  <c:v>17.513999999999999</c:v>
                </c:pt>
                <c:pt idx="119">
                  <c:v>17.526199999999999</c:v>
                </c:pt>
                <c:pt idx="120">
                  <c:v>17.529300000000003</c:v>
                </c:pt>
                <c:pt idx="121">
                  <c:v>17.526199999999999</c:v>
                </c:pt>
                <c:pt idx="122">
                  <c:v>17.532299999999999</c:v>
                </c:pt>
                <c:pt idx="123">
                  <c:v>17.535399999999999</c:v>
                </c:pt>
                <c:pt idx="124">
                  <c:v>17.535399999999999</c:v>
                </c:pt>
                <c:pt idx="125">
                  <c:v>17.535399999999999</c:v>
                </c:pt>
                <c:pt idx="126">
                  <c:v>17.541500000000003</c:v>
                </c:pt>
                <c:pt idx="127">
                  <c:v>17.550699999999999</c:v>
                </c:pt>
                <c:pt idx="128">
                  <c:v>17.547599999999999</c:v>
                </c:pt>
                <c:pt idx="129">
                  <c:v>17.550699999999999</c:v>
                </c:pt>
                <c:pt idx="130">
                  <c:v>17.556800000000003</c:v>
                </c:pt>
                <c:pt idx="131">
                  <c:v>17.550699999999999</c:v>
                </c:pt>
                <c:pt idx="132">
                  <c:v>17.559799999999999</c:v>
                </c:pt>
                <c:pt idx="133">
                  <c:v>17.562899999999999</c:v>
                </c:pt>
                <c:pt idx="134">
                  <c:v>17.565899999999999</c:v>
                </c:pt>
                <c:pt idx="135">
                  <c:v>17.562899999999999</c:v>
                </c:pt>
                <c:pt idx="136">
                  <c:v>17.571999999999999</c:v>
                </c:pt>
                <c:pt idx="137">
                  <c:v>17.575099999999999</c:v>
                </c:pt>
                <c:pt idx="138">
                  <c:v>17.571999999999999</c:v>
                </c:pt>
                <c:pt idx="139">
                  <c:v>17.578099999999999</c:v>
                </c:pt>
                <c:pt idx="140">
                  <c:v>17.571999999999999</c:v>
                </c:pt>
                <c:pt idx="141">
                  <c:v>17.587299999999999</c:v>
                </c:pt>
                <c:pt idx="142">
                  <c:v>17.587299999999999</c:v>
                </c:pt>
                <c:pt idx="143">
                  <c:v>17.596400000000003</c:v>
                </c:pt>
                <c:pt idx="144">
                  <c:v>17.599499999999999</c:v>
                </c:pt>
                <c:pt idx="145">
                  <c:v>17.602499999999999</c:v>
                </c:pt>
                <c:pt idx="146">
                  <c:v>17.596400000000003</c:v>
                </c:pt>
                <c:pt idx="147">
                  <c:v>17.605599999999999</c:v>
                </c:pt>
                <c:pt idx="148">
                  <c:v>17.605599999999999</c:v>
                </c:pt>
                <c:pt idx="149">
                  <c:v>17.605599999999999</c:v>
                </c:pt>
                <c:pt idx="150">
                  <c:v>17.608599999999999</c:v>
                </c:pt>
                <c:pt idx="151">
                  <c:v>17.611700000000003</c:v>
                </c:pt>
                <c:pt idx="152">
                  <c:v>17.611700000000003</c:v>
                </c:pt>
                <c:pt idx="153">
                  <c:v>17.617799999999999</c:v>
                </c:pt>
                <c:pt idx="154">
                  <c:v>17.617799999999999</c:v>
                </c:pt>
                <c:pt idx="155">
                  <c:v>17.620799999999999</c:v>
                </c:pt>
                <c:pt idx="156">
                  <c:v>17.623900000000003</c:v>
                </c:pt>
                <c:pt idx="157">
                  <c:v>17.623900000000003</c:v>
                </c:pt>
                <c:pt idx="158">
                  <c:v>17.633099999999999</c:v>
                </c:pt>
                <c:pt idx="159">
                  <c:v>17.63</c:v>
                </c:pt>
                <c:pt idx="160">
                  <c:v>17.633099999999999</c:v>
                </c:pt>
                <c:pt idx="161">
                  <c:v>17.639200000000002</c:v>
                </c:pt>
                <c:pt idx="162">
                  <c:v>17.645299999999999</c:v>
                </c:pt>
                <c:pt idx="163">
                  <c:v>17.645299999999999</c:v>
                </c:pt>
                <c:pt idx="164">
                  <c:v>17.645299999999999</c:v>
                </c:pt>
                <c:pt idx="165">
                  <c:v>17.648299999999999</c:v>
                </c:pt>
                <c:pt idx="166">
                  <c:v>17.651400000000002</c:v>
                </c:pt>
                <c:pt idx="167">
                  <c:v>17.657499999999999</c:v>
                </c:pt>
                <c:pt idx="168">
                  <c:v>17.654399999999999</c:v>
                </c:pt>
                <c:pt idx="169">
                  <c:v>17.660499999999999</c:v>
                </c:pt>
                <c:pt idx="170">
                  <c:v>17.660499999999999</c:v>
                </c:pt>
                <c:pt idx="171">
                  <c:v>17.666600000000003</c:v>
                </c:pt>
                <c:pt idx="172">
                  <c:v>17.663600000000002</c:v>
                </c:pt>
                <c:pt idx="173">
                  <c:v>17.666600000000003</c:v>
                </c:pt>
                <c:pt idx="174">
                  <c:v>17.675799999999999</c:v>
                </c:pt>
                <c:pt idx="175">
                  <c:v>17.681899999999999</c:v>
                </c:pt>
                <c:pt idx="176">
                  <c:v>17.681899999999999</c:v>
                </c:pt>
                <c:pt idx="177">
                  <c:v>17.678800000000003</c:v>
                </c:pt>
                <c:pt idx="178">
                  <c:v>17.687999999999999</c:v>
                </c:pt>
                <c:pt idx="179">
                  <c:v>17.690999999999999</c:v>
                </c:pt>
                <c:pt idx="180">
                  <c:v>17.687999999999999</c:v>
                </c:pt>
                <c:pt idx="181">
                  <c:v>17.690999999999999</c:v>
                </c:pt>
                <c:pt idx="182">
                  <c:v>17.690999999999999</c:v>
                </c:pt>
                <c:pt idx="183">
                  <c:v>17.697099999999999</c:v>
                </c:pt>
                <c:pt idx="184">
                  <c:v>17.700199999999999</c:v>
                </c:pt>
                <c:pt idx="185">
                  <c:v>17.706300000000002</c:v>
                </c:pt>
                <c:pt idx="186">
                  <c:v>17.706300000000002</c:v>
                </c:pt>
                <c:pt idx="187">
                  <c:v>17.706300000000002</c:v>
                </c:pt>
                <c:pt idx="188">
                  <c:v>17.712399999999999</c:v>
                </c:pt>
                <c:pt idx="189">
                  <c:v>17.712399999999999</c:v>
                </c:pt>
                <c:pt idx="190">
                  <c:v>17.712399999999999</c:v>
                </c:pt>
                <c:pt idx="191">
                  <c:v>17.721600000000002</c:v>
                </c:pt>
                <c:pt idx="192">
                  <c:v>17.724599999999999</c:v>
                </c:pt>
                <c:pt idx="193">
                  <c:v>17.724599999999999</c:v>
                </c:pt>
                <c:pt idx="194">
                  <c:v>17.724599999999999</c:v>
                </c:pt>
                <c:pt idx="195">
                  <c:v>17.727699999999999</c:v>
                </c:pt>
                <c:pt idx="196">
                  <c:v>17.730699999999999</c:v>
                </c:pt>
                <c:pt idx="197">
                  <c:v>17.736799999999999</c:v>
                </c:pt>
                <c:pt idx="198">
                  <c:v>17.736799999999999</c:v>
                </c:pt>
                <c:pt idx="199">
                  <c:v>17.736799999999999</c:v>
                </c:pt>
                <c:pt idx="200">
                  <c:v>17.742899999999999</c:v>
                </c:pt>
                <c:pt idx="201">
                  <c:v>17.749000000000002</c:v>
                </c:pt>
                <c:pt idx="202">
                  <c:v>17.746000000000002</c:v>
                </c:pt>
                <c:pt idx="203">
                  <c:v>17.752099999999999</c:v>
                </c:pt>
                <c:pt idx="204">
                  <c:v>17.752099999999999</c:v>
                </c:pt>
                <c:pt idx="205">
                  <c:v>17.755099999999999</c:v>
                </c:pt>
                <c:pt idx="206">
                  <c:v>17.758199999999999</c:v>
                </c:pt>
                <c:pt idx="207">
                  <c:v>17.761200000000002</c:v>
                </c:pt>
                <c:pt idx="208">
                  <c:v>17.758199999999999</c:v>
                </c:pt>
                <c:pt idx="209">
                  <c:v>17.767299999999999</c:v>
                </c:pt>
                <c:pt idx="210">
                  <c:v>17.764299999999999</c:v>
                </c:pt>
                <c:pt idx="211">
                  <c:v>17.767299999999999</c:v>
                </c:pt>
                <c:pt idx="212">
                  <c:v>17.776500000000002</c:v>
                </c:pt>
                <c:pt idx="213">
                  <c:v>17.773400000000002</c:v>
                </c:pt>
                <c:pt idx="214">
                  <c:v>17.776500000000002</c:v>
                </c:pt>
                <c:pt idx="215">
                  <c:v>17.779499999999999</c:v>
                </c:pt>
                <c:pt idx="216">
                  <c:v>17.779499999999999</c:v>
                </c:pt>
                <c:pt idx="217">
                  <c:v>17.785599999999999</c:v>
                </c:pt>
                <c:pt idx="218">
                  <c:v>17.788700000000002</c:v>
                </c:pt>
                <c:pt idx="219">
                  <c:v>17.791700000000002</c:v>
                </c:pt>
                <c:pt idx="220">
                  <c:v>17.794799999999999</c:v>
                </c:pt>
                <c:pt idx="221">
                  <c:v>17.797899999999998</c:v>
                </c:pt>
                <c:pt idx="222">
                  <c:v>17.800900000000002</c:v>
                </c:pt>
                <c:pt idx="223">
                  <c:v>17.804000000000002</c:v>
                </c:pt>
                <c:pt idx="224">
                  <c:v>17.804000000000002</c:v>
                </c:pt>
                <c:pt idx="225">
                  <c:v>17.806999999999999</c:v>
                </c:pt>
                <c:pt idx="226">
                  <c:v>17.806999999999999</c:v>
                </c:pt>
                <c:pt idx="227">
                  <c:v>17.810099999999998</c:v>
                </c:pt>
                <c:pt idx="228">
                  <c:v>17.816200000000002</c:v>
                </c:pt>
                <c:pt idx="229">
                  <c:v>17.819199999999999</c:v>
                </c:pt>
                <c:pt idx="230">
                  <c:v>17.819199999999999</c:v>
                </c:pt>
                <c:pt idx="231">
                  <c:v>17.825299999999999</c:v>
                </c:pt>
                <c:pt idx="232">
                  <c:v>17.822299999999998</c:v>
                </c:pt>
                <c:pt idx="233">
                  <c:v>17.828400000000002</c:v>
                </c:pt>
                <c:pt idx="234">
                  <c:v>17.828400000000002</c:v>
                </c:pt>
                <c:pt idx="235">
                  <c:v>17.831400000000002</c:v>
                </c:pt>
                <c:pt idx="236">
                  <c:v>17.840600000000002</c:v>
                </c:pt>
                <c:pt idx="237">
                  <c:v>17.840600000000002</c:v>
                </c:pt>
                <c:pt idx="238">
                  <c:v>17.837499999999999</c:v>
                </c:pt>
                <c:pt idx="239">
                  <c:v>17.843600000000002</c:v>
                </c:pt>
                <c:pt idx="240">
                  <c:v>17.846699999999998</c:v>
                </c:pt>
                <c:pt idx="241">
                  <c:v>17.852799999999998</c:v>
                </c:pt>
                <c:pt idx="242">
                  <c:v>17.852799999999998</c:v>
                </c:pt>
                <c:pt idx="243">
                  <c:v>17.852799999999998</c:v>
                </c:pt>
                <c:pt idx="244">
                  <c:v>17.855800000000002</c:v>
                </c:pt>
                <c:pt idx="245">
                  <c:v>17.855800000000002</c:v>
                </c:pt>
                <c:pt idx="246">
                  <c:v>17.858900000000002</c:v>
                </c:pt>
                <c:pt idx="247">
                  <c:v>17.864999999999998</c:v>
                </c:pt>
                <c:pt idx="248">
                  <c:v>17.864999999999998</c:v>
                </c:pt>
                <c:pt idx="249">
                  <c:v>17.871100000000002</c:v>
                </c:pt>
                <c:pt idx="250">
                  <c:v>17.867999999999999</c:v>
                </c:pt>
                <c:pt idx="251">
                  <c:v>17.880199999999999</c:v>
                </c:pt>
                <c:pt idx="252">
                  <c:v>17.877199999999998</c:v>
                </c:pt>
                <c:pt idx="253">
                  <c:v>17.877199999999998</c:v>
                </c:pt>
                <c:pt idx="254">
                  <c:v>17.883300000000002</c:v>
                </c:pt>
                <c:pt idx="255">
                  <c:v>17.886400000000002</c:v>
                </c:pt>
                <c:pt idx="256">
                  <c:v>17.892499999999998</c:v>
                </c:pt>
                <c:pt idx="257">
                  <c:v>17.892499999999998</c:v>
                </c:pt>
                <c:pt idx="258">
                  <c:v>17.898600000000002</c:v>
                </c:pt>
                <c:pt idx="259">
                  <c:v>17.901599999999998</c:v>
                </c:pt>
                <c:pt idx="260">
                  <c:v>17.901599999999998</c:v>
                </c:pt>
                <c:pt idx="261">
                  <c:v>17.895500000000002</c:v>
                </c:pt>
                <c:pt idx="262">
                  <c:v>17.904699999999998</c:v>
                </c:pt>
                <c:pt idx="263">
                  <c:v>17.904699999999998</c:v>
                </c:pt>
                <c:pt idx="264">
                  <c:v>17.910800000000002</c:v>
                </c:pt>
                <c:pt idx="265">
                  <c:v>17.916899999999998</c:v>
                </c:pt>
                <c:pt idx="266">
                  <c:v>17.913800000000002</c:v>
                </c:pt>
                <c:pt idx="267">
                  <c:v>17.926000000000002</c:v>
                </c:pt>
                <c:pt idx="268">
                  <c:v>17.926000000000002</c:v>
                </c:pt>
                <c:pt idx="269">
                  <c:v>17.923000000000002</c:v>
                </c:pt>
                <c:pt idx="270">
                  <c:v>17.929099999999998</c:v>
                </c:pt>
                <c:pt idx="271">
                  <c:v>17.929099999999998</c:v>
                </c:pt>
                <c:pt idx="272">
                  <c:v>17.932099999999998</c:v>
                </c:pt>
                <c:pt idx="273">
                  <c:v>17.941300000000002</c:v>
                </c:pt>
                <c:pt idx="274">
                  <c:v>17.944299999999998</c:v>
                </c:pt>
                <c:pt idx="275">
                  <c:v>17.944299999999998</c:v>
                </c:pt>
                <c:pt idx="276">
                  <c:v>17.944299999999998</c:v>
                </c:pt>
                <c:pt idx="277">
                  <c:v>17.947399999999998</c:v>
                </c:pt>
                <c:pt idx="278">
                  <c:v>17.953500000000002</c:v>
                </c:pt>
                <c:pt idx="279">
                  <c:v>17.953500000000002</c:v>
                </c:pt>
                <c:pt idx="280">
                  <c:v>17.956500000000002</c:v>
                </c:pt>
                <c:pt idx="281">
                  <c:v>17.959599999999998</c:v>
                </c:pt>
                <c:pt idx="282">
                  <c:v>17.962599999999998</c:v>
                </c:pt>
                <c:pt idx="283">
                  <c:v>17.965700000000002</c:v>
                </c:pt>
                <c:pt idx="284">
                  <c:v>17.968800000000002</c:v>
                </c:pt>
                <c:pt idx="285">
                  <c:v>17.974899999999998</c:v>
                </c:pt>
                <c:pt idx="286">
                  <c:v>17.971799999999998</c:v>
                </c:pt>
                <c:pt idx="287">
                  <c:v>17.974899999999998</c:v>
                </c:pt>
                <c:pt idx="288">
                  <c:v>17.977900000000002</c:v>
                </c:pt>
                <c:pt idx="289">
                  <c:v>17.977900000000002</c:v>
                </c:pt>
                <c:pt idx="290">
                  <c:v>17.974899999999998</c:v>
                </c:pt>
                <c:pt idx="291">
                  <c:v>17.987099999999998</c:v>
                </c:pt>
                <c:pt idx="292">
                  <c:v>17.990099999999998</c:v>
                </c:pt>
                <c:pt idx="293">
                  <c:v>17.993200000000002</c:v>
                </c:pt>
                <c:pt idx="294">
                  <c:v>17.993200000000002</c:v>
                </c:pt>
                <c:pt idx="295">
                  <c:v>17.993200000000002</c:v>
                </c:pt>
                <c:pt idx="296">
                  <c:v>17.993200000000002</c:v>
                </c:pt>
                <c:pt idx="297">
                  <c:v>18.005400000000002</c:v>
                </c:pt>
                <c:pt idx="298">
                  <c:v>18.002299999999998</c:v>
                </c:pt>
                <c:pt idx="299">
                  <c:v>18.005400000000002</c:v>
                </c:pt>
                <c:pt idx="300">
                  <c:v>18.008400000000002</c:v>
                </c:pt>
                <c:pt idx="301">
                  <c:v>18.008400000000002</c:v>
                </c:pt>
                <c:pt idx="302">
                  <c:v>18.014499999999998</c:v>
                </c:pt>
                <c:pt idx="303">
                  <c:v>18.017600000000002</c:v>
                </c:pt>
                <c:pt idx="304">
                  <c:v>18.020600000000002</c:v>
                </c:pt>
                <c:pt idx="305">
                  <c:v>18.023700000000002</c:v>
                </c:pt>
                <c:pt idx="306">
                  <c:v>18.020600000000002</c:v>
                </c:pt>
                <c:pt idx="307">
                  <c:v>18.026699999999998</c:v>
                </c:pt>
                <c:pt idx="308">
                  <c:v>18.029799999999998</c:v>
                </c:pt>
                <c:pt idx="309">
                  <c:v>18.038900000000002</c:v>
                </c:pt>
                <c:pt idx="310">
                  <c:v>18.041999999999998</c:v>
                </c:pt>
                <c:pt idx="311">
                  <c:v>18.041999999999998</c:v>
                </c:pt>
                <c:pt idx="312">
                  <c:v>18.044999999999998</c:v>
                </c:pt>
                <c:pt idx="313">
                  <c:v>18.048100000000002</c:v>
                </c:pt>
                <c:pt idx="314">
                  <c:v>18.054199999999998</c:v>
                </c:pt>
                <c:pt idx="315">
                  <c:v>18.054199999999998</c:v>
                </c:pt>
                <c:pt idx="316">
                  <c:v>18.054199999999998</c:v>
                </c:pt>
                <c:pt idx="317">
                  <c:v>18.054199999999998</c:v>
                </c:pt>
                <c:pt idx="318">
                  <c:v>18.060300000000002</c:v>
                </c:pt>
                <c:pt idx="319">
                  <c:v>18.069499999999998</c:v>
                </c:pt>
                <c:pt idx="320">
                  <c:v>18.063400000000001</c:v>
                </c:pt>
                <c:pt idx="321">
                  <c:v>18.066400000000002</c:v>
                </c:pt>
                <c:pt idx="322">
                  <c:v>18.072499999999998</c:v>
                </c:pt>
                <c:pt idx="323">
                  <c:v>18.078600000000002</c:v>
                </c:pt>
                <c:pt idx="324">
                  <c:v>18.078600000000002</c:v>
                </c:pt>
                <c:pt idx="325">
                  <c:v>18.084699999999998</c:v>
                </c:pt>
                <c:pt idx="326">
                  <c:v>18.093899999999998</c:v>
                </c:pt>
                <c:pt idx="327">
                  <c:v>18.087800000000001</c:v>
                </c:pt>
                <c:pt idx="328">
                  <c:v>18.090800000000002</c:v>
                </c:pt>
                <c:pt idx="329">
                  <c:v>18.090800000000002</c:v>
                </c:pt>
                <c:pt idx="330">
                  <c:v>18.100000000000001</c:v>
                </c:pt>
                <c:pt idx="331">
                  <c:v>18.103000000000002</c:v>
                </c:pt>
                <c:pt idx="332">
                  <c:v>18.103000000000002</c:v>
                </c:pt>
                <c:pt idx="333">
                  <c:v>18.103000000000002</c:v>
                </c:pt>
                <c:pt idx="334">
                  <c:v>18.109099999999998</c:v>
                </c:pt>
                <c:pt idx="335">
                  <c:v>18.109099999999998</c:v>
                </c:pt>
                <c:pt idx="336">
                  <c:v>18.115200000000002</c:v>
                </c:pt>
                <c:pt idx="337">
                  <c:v>18.118300000000001</c:v>
                </c:pt>
                <c:pt idx="338">
                  <c:v>18.115200000000002</c:v>
                </c:pt>
                <c:pt idx="339">
                  <c:v>18.118300000000001</c:v>
                </c:pt>
                <c:pt idx="340">
                  <c:v>18.115200000000002</c:v>
                </c:pt>
                <c:pt idx="341">
                  <c:v>18.124399999999998</c:v>
                </c:pt>
                <c:pt idx="342">
                  <c:v>18.130500000000001</c:v>
                </c:pt>
                <c:pt idx="343">
                  <c:v>18.133500000000002</c:v>
                </c:pt>
                <c:pt idx="344">
                  <c:v>18.130500000000001</c:v>
                </c:pt>
                <c:pt idx="345">
                  <c:v>18.136599999999998</c:v>
                </c:pt>
                <c:pt idx="346">
                  <c:v>18.136599999999998</c:v>
                </c:pt>
                <c:pt idx="347">
                  <c:v>18.142700000000001</c:v>
                </c:pt>
                <c:pt idx="348">
                  <c:v>18.142700000000001</c:v>
                </c:pt>
                <c:pt idx="349">
                  <c:v>18.139599999999998</c:v>
                </c:pt>
                <c:pt idx="350">
                  <c:v>18.142700000000001</c:v>
                </c:pt>
                <c:pt idx="351">
                  <c:v>18.148800000000001</c:v>
                </c:pt>
                <c:pt idx="352">
                  <c:v>18.154900000000001</c:v>
                </c:pt>
                <c:pt idx="353">
                  <c:v>18.158000000000001</c:v>
                </c:pt>
                <c:pt idx="354">
                  <c:v>18.161000000000001</c:v>
                </c:pt>
                <c:pt idx="355">
                  <c:v>18.164099999999998</c:v>
                </c:pt>
                <c:pt idx="356">
                  <c:v>18.164099999999998</c:v>
                </c:pt>
                <c:pt idx="357">
                  <c:v>18.170200000000001</c:v>
                </c:pt>
                <c:pt idx="358">
                  <c:v>18.170200000000001</c:v>
                </c:pt>
                <c:pt idx="359">
                  <c:v>18.170200000000001</c:v>
                </c:pt>
                <c:pt idx="360">
                  <c:v>18.173200000000001</c:v>
                </c:pt>
                <c:pt idx="361">
                  <c:v>18.182400000000001</c:v>
                </c:pt>
                <c:pt idx="362">
                  <c:v>18.182400000000001</c:v>
                </c:pt>
                <c:pt idx="363">
                  <c:v>18.188500000000001</c:v>
                </c:pt>
                <c:pt idx="364">
                  <c:v>18.185400000000001</c:v>
                </c:pt>
                <c:pt idx="365">
                  <c:v>18.182400000000001</c:v>
                </c:pt>
                <c:pt idx="366">
                  <c:v>18.188500000000001</c:v>
                </c:pt>
                <c:pt idx="367">
                  <c:v>18.194599999999998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87-471A-84DF-0954F2CAAEF0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'20230206t210000'!$AY$11:$AY$500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</c:numCache>
            </c:numRef>
          </c:xVal>
          <c:yVal>
            <c:numRef>
              <c:f>'20230206t210000'!$BD$11:$BD$500</c:f>
              <c:numCache>
                <c:formatCode>General</c:formatCode>
                <c:ptCount val="490"/>
                <c:pt idx="0">
                  <c:v>18.051100000000002</c:v>
                </c:pt>
                <c:pt idx="1">
                  <c:v>18.048100000000002</c:v>
                </c:pt>
                <c:pt idx="2">
                  <c:v>18.048100000000002</c:v>
                </c:pt>
                <c:pt idx="3">
                  <c:v>18.048100000000002</c:v>
                </c:pt>
                <c:pt idx="4">
                  <c:v>18.041999999999998</c:v>
                </c:pt>
                <c:pt idx="5">
                  <c:v>18.044999999999998</c:v>
                </c:pt>
                <c:pt idx="6">
                  <c:v>18.041999999999998</c:v>
                </c:pt>
                <c:pt idx="7">
                  <c:v>18.041999999999998</c:v>
                </c:pt>
                <c:pt idx="8">
                  <c:v>18.041999999999998</c:v>
                </c:pt>
                <c:pt idx="9">
                  <c:v>18.038900000000002</c:v>
                </c:pt>
                <c:pt idx="10">
                  <c:v>18.041999999999998</c:v>
                </c:pt>
                <c:pt idx="11">
                  <c:v>18.038900000000002</c:v>
                </c:pt>
                <c:pt idx="12">
                  <c:v>18.035900000000002</c:v>
                </c:pt>
                <c:pt idx="13">
                  <c:v>18.035900000000002</c:v>
                </c:pt>
                <c:pt idx="14">
                  <c:v>18.035900000000002</c:v>
                </c:pt>
                <c:pt idx="15">
                  <c:v>18.032800000000002</c:v>
                </c:pt>
                <c:pt idx="16">
                  <c:v>18.032800000000002</c:v>
                </c:pt>
                <c:pt idx="17">
                  <c:v>18.035900000000002</c:v>
                </c:pt>
                <c:pt idx="18">
                  <c:v>18.029799999999998</c:v>
                </c:pt>
                <c:pt idx="19">
                  <c:v>18.032800000000002</c:v>
                </c:pt>
                <c:pt idx="20">
                  <c:v>18.026699999999998</c:v>
                </c:pt>
                <c:pt idx="21">
                  <c:v>18.029799999999998</c:v>
                </c:pt>
                <c:pt idx="22">
                  <c:v>18.026699999999998</c:v>
                </c:pt>
                <c:pt idx="23">
                  <c:v>18.023700000000002</c:v>
                </c:pt>
                <c:pt idx="24">
                  <c:v>18.026699999999998</c:v>
                </c:pt>
                <c:pt idx="25">
                  <c:v>18.020600000000002</c:v>
                </c:pt>
                <c:pt idx="26">
                  <c:v>18.017600000000002</c:v>
                </c:pt>
                <c:pt idx="27">
                  <c:v>18.023700000000002</c:v>
                </c:pt>
                <c:pt idx="28">
                  <c:v>18.020600000000002</c:v>
                </c:pt>
                <c:pt idx="29">
                  <c:v>18.017600000000002</c:v>
                </c:pt>
                <c:pt idx="30">
                  <c:v>18.014499999999998</c:v>
                </c:pt>
                <c:pt idx="31">
                  <c:v>18.014499999999998</c:v>
                </c:pt>
                <c:pt idx="32">
                  <c:v>18.014499999999998</c:v>
                </c:pt>
                <c:pt idx="33">
                  <c:v>18.011499999999998</c:v>
                </c:pt>
                <c:pt idx="34">
                  <c:v>18.014499999999998</c:v>
                </c:pt>
                <c:pt idx="35">
                  <c:v>18.008400000000002</c:v>
                </c:pt>
                <c:pt idx="36">
                  <c:v>18.008400000000002</c:v>
                </c:pt>
                <c:pt idx="37">
                  <c:v>18.005400000000002</c:v>
                </c:pt>
                <c:pt idx="38">
                  <c:v>18.005400000000002</c:v>
                </c:pt>
                <c:pt idx="39">
                  <c:v>18.005400000000002</c:v>
                </c:pt>
                <c:pt idx="40">
                  <c:v>18.002299999999998</c:v>
                </c:pt>
                <c:pt idx="41">
                  <c:v>18.005400000000002</c:v>
                </c:pt>
                <c:pt idx="42">
                  <c:v>17.993200000000002</c:v>
                </c:pt>
                <c:pt idx="43">
                  <c:v>17.996200000000002</c:v>
                </c:pt>
                <c:pt idx="44">
                  <c:v>17.990099999999998</c:v>
                </c:pt>
                <c:pt idx="45">
                  <c:v>17.993200000000002</c:v>
                </c:pt>
                <c:pt idx="46">
                  <c:v>17.993200000000002</c:v>
                </c:pt>
                <c:pt idx="47">
                  <c:v>17.990099999999998</c:v>
                </c:pt>
                <c:pt idx="48">
                  <c:v>17.987099999999998</c:v>
                </c:pt>
                <c:pt idx="49">
                  <c:v>17.987099999999998</c:v>
                </c:pt>
                <c:pt idx="50">
                  <c:v>17.981000000000002</c:v>
                </c:pt>
                <c:pt idx="51">
                  <c:v>17.974899999999998</c:v>
                </c:pt>
                <c:pt idx="52">
                  <c:v>17.974899999999998</c:v>
                </c:pt>
                <c:pt idx="53">
                  <c:v>17.968800000000002</c:v>
                </c:pt>
                <c:pt idx="54">
                  <c:v>17.974899999999998</c:v>
                </c:pt>
                <c:pt idx="55">
                  <c:v>17.971799999999998</c:v>
                </c:pt>
                <c:pt idx="56">
                  <c:v>17.968800000000002</c:v>
                </c:pt>
                <c:pt idx="57">
                  <c:v>17.965700000000002</c:v>
                </c:pt>
                <c:pt idx="58">
                  <c:v>17.959599999999998</c:v>
                </c:pt>
                <c:pt idx="59">
                  <c:v>17.962599999999998</c:v>
                </c:pt>
                <c:pt idx="60">
                  <c:v>17.962599999999998</c:v>
                </c:pt>
                <c:pt idx="61">
                  <c:v>17.956500000000002</c:v>
                </c:pt>
                <c:pt idx="62">
                  <c:v>17.956500000000002</c:v>
                </c:pt>
                <c:pt idx="63">
                  <c:v>17.956500000000002</c:v>
                </c:pt>
                <c:pt idx="64">
                  <c:v>17.950399999999998</c:v>
                </c:pt>
                <c:pt idx="65">
                  <c:v>17.947399999999998</c:v>
                </c:pt>
                <c:pt idx="66">
                  <c:v>17.944299999999998</c:v>
                </c:pt>
                <c:pt idx="67">
                  <c:v>17.947399999999998</c:v>
                </c:pt>
                <c:pt idx="68">
                  <c:v>17.944299999999998</c:v>
                </c:pt>
                <c:pt idx="69">
                  <c:v>17.938200000000002</c:v>
                </c:pt>
                <c:pt idx="70">
                  <c:v>17.941300000000002</c:v>
                </c:pt>
                <c:pt idx="71">
                  <c:v>17.938200000000002</c:v>
                </c:pt>
                <c:pt idx="72">
                  <c:v>17.935199999999998</c:v>
                </c:pt>
                <c:pt idx="73">
                  <c:v>17.932099999999998</c:v>
                </c:pt>
                <c:pt idx="74">
                  <c:v>17.932099999999998</c:v>
                </c:pt>
                <c:pt idx="75">
                  <c:v>17.926000000000002</c:v>
                </c:pt>
                <c:pt idx="76">
                  <c:v>17.926000000000002</c:v>
                </c:pt>
                <c:pt idx="77">
                  <c:v>17.923000000000002</c:v>
                </c:pt>
                <c:pt idx="78">
                  <c:v>17.923000000000002</c:v>
                </c:pt>
                <c:pt idx="79">
                  <c:v>17.916899999999998</c:v>
                </c:pt>
                <c:pt idx="80">
                  <c:v>17.916899999999998</c:v>
                </c:pt>
                <c:pt idx="81">
                  <c:v>17.916899999999998</c:v>
                </c:pt>
                <c:pt idx="82">
                  <c:v>17.910800000000002</c:v>
                </c:pt>
                <c:pt idx="83">
                  <c:v>17.907699999999998</c:v>
                </c:pt>
                <c:pt idx="84">
                  <c:v>17.907699999999998</c:v>
                </c:pt>
                <c:pt idx="85">
                  <c:v>17.907699999999998</c:v>
                </c:pt>
                <c:pt idx="86">
                  <c:v>17.904699999999998</c:v>
                </c:pt>
                <c:pt idx="87">
                  <c:v>17.895500000000002</c:v>
                </c:pt>
                <c:pt idx="88">
                  <c:v>17.901599999999998</c:v>
                </c:pt>
                <c:pt idx="89">
                  <c:v>17.898600000000002</c:v>
                </c:pt>
                <c:pt idx="90">
                  <c:v>17.892499999999998</c:v>
                </c:pt>
                <c:pt idx="91">
                  <c:v>17.889399999999998</c:v>
                </c:pt>
                <c:pt idx="92">
                  <c:v>17.892499999999998</c:v>
                </c:pt>
                <c:pt idx="93">
                  <c:v>17.886400000000002</c:v>
                </c:pt>
                <c:pt idx="94">
                  <c:v>17.886400000000002</c:v>
                </c:pt>
                <c:pt idx="95">
                  <c:v>17.883300000000002</c:v>
                </c:pt>
                <c:pt idx="96">
                  <c:v>17.880199999999999</c:v>
                </c:pt>
                <c:pt idx="97">
                  <c:v>17.871100000000002</c:v>
                </c:pt>
                <c:pt idx="98">
                  <c:v>17.874100000000002</c:v>
                </c:pt>
                <c:pt idx="99">
                  <c:v>17.871100000000002</c:v>
                </c:pt>
                <c:pt idx="100">
                  <c:v>17.871100000000002</c:v>
                </c:pt>
                <c:pt idx="101">
                  <c:v>17.864999999999998</c:v>
                </c:pt>
                <c:pt idx="102">
                  <c:v>17.867999999999999</c:v>
                </c:pt>
                <c:pt idx="103">
                  <c:v>17.867999999999999</c:v>
                </c:pt>
                <c:pt idx="104">
                  <c:v>17.871100000000002</c:v>
                </c:pt>
                <c:pt idx="105">
                  <c:v>17.864999999999998</c:v>
                </c:pt>
                <c:pt idx="106">
                  <c:v>17.861899999999999</c:v>
                </c:pt>
                <c:pt idx="107">
                  <c:v>17.858900000000002</c:v>
                </c:pt>
                <c:pt idx="108">
                  <c:v>17.855800000000002</c:v>
                </c:pt>
                <c:pt idx="109">
                  <c:v>17.852799999999998</c:v>
                </c:pt>
                <c:pt idx="110">
                  <c:v>17.852799999999998</c:v>
                </c:pt>
                <c:pt idx="111">
                  <c:v>17.846699999999998</c:v>
                </c:pt>
                <c:pt idx="112">
                  <c:v>17.849699999999999</c:v>
                </c:pt>
                <c:pt idx="113">
                  <c:v>17.843600000000002</c:v>
                </c:pt>
                <c:pt idx="114">
                  <c:v>17.837499999999999</c:v>
                </c:pt>
                <c:pt idx="115">
                  <c:v>17.840600000000002</c:v>
                </c:pt>
                <c:pt idx="116">
                  <c:v>17.834499999999998</c:v>
                </c:pt>
                <c:pt idx="117">
                  <c:v>17.834499999999998</c:v>
                </c:pt>
                <c:pt idx="118">
                  <c:v>17.822299999999998</c:v>
                </c:pt>
                <c:pt idx="119">
                  <c:v>17.828400000000002</c:v>
                </c:pt>
                <c:pt idx="120">
                  <c:v>17.828400000000002</c:v>
                </c:pt>
                <c:pt idx="121">
                  <c:v>17.819199999999999</c:v>
                </c:pt>
                <c:pt idx="122">
                  <c:v>17.816200000000002</c:v>
                </c:pt>
                <c:pt idx="123">
                  <c:v>17.816200000000002</c:v>
                </c:pt>
                <c:pt idx="124">
                  <c:v>17.819199999999999</c:v>
                </c:pt>
                <c:pt idx="125">
                  <c:v>17.816200000000002</c:v>
                </c:pt>
                <c:pt idx="126">
                  <c:v>17.810099999999998</c:v>
                </c:pt>
                <c:pt idx="127">
                  <c:v>17.810099999999998</c:v>
                </c:pt>
                <c:pt idx="128">
                  <c:v>17.806999999999999</c:v>
                </c:pt>
                <c:pt idx="129">
                  <c:v>17.800900000000002</c:v>
                </c:pt>
                <c:pt idx="130">
                  <c:v>17.800900000000002</c:v>
                </c:pt>
                <c:pt idx="131">
                  <c:v>17.800900000000002</c:v>
                </c:pt>
                <c:pt idx="132">
                  <c:v>17.800900000000002</c:v>
                </c:pt>
                <c:pt idx="133">
                  <c:v>17.797899999999998</c:v>
                </c:pt>
                <c:pt idx="134">
                  <c:v>17.797899999999998</c:v>
                </c:pt>
                <c:pt idx="135">
                  <c:v>17.785599999999999</c:v>
                </c:pt>
                <c:pt idx="136">
                  <c:v>17.788700000000002</c:v>
                </c:pt>
                <c:pt idx="137">
                  <c:v>17.785599999999999</c:v>
                </c:pt>
                <c:pt idx="138">
                  <c:v>17.782599999999999</c:v>
                </c:pt>
                <c:pt idx="139">
                  <c:v>17.785599999999999</c:v>
                </c:pt>
                <c:pt idx="140">
                  <c:v>17.779499999999999</c:v>
                </c:pt>
                <c:pt idx="141">
                  <c:v>17.779499999999999</c:v>
                </c:pt>
                <c:pt idx="142">
                  <c:v>17.770399999999999</c:v>
                </c:pt>
                <c:pt idx="143">
                  <c:v>17.773400000000002</c:v>
                </c:pt>
                <c:pt idx="144">
                  <c:v>17.767299999999999</c:v>
                </c:pt>
                <c:pt idx="145">
                  <c:v>17.764299999999999</c:v>
                </c:pt>
                <c:pt idx="146">
                  <c:v>17.764299999999999</c:v>
                </c:pt>
                <c:pt idx="147">
                  <c:v>17.761200000000002</c:v>
                </c:pt>
                <c:pt idx="148">
                  <c:v>17.764299999999999</c:v>
                </c:pt>
                <c:pt idx="149">
                  <c:v>17.758199999999999</c:v>
                </c:pt>
                <c:pt idx="150">
                  <c:v>17.761200000000002</c:v>
                </c:pt>
                <c:pt idx="151">
                  <c:v>17.746000000000002</c:v>
                </c:pt>
                <c:pt idx="152">
                  <c:v>17.749000000000002</c:v>
                </c:pt>
                <c:pt idx="153">
                  <c:v>17.746000000000002</c:v>
                </c:pt>
                <c:pt idx="154">
                  <c:v>17.746000000000002</c:v>
                </c:pt>
                <c:pt idx="155">
                  <c:v>17.746000000000002</c:v>
                </c:pt>
                <c:pt idx="156">
                  <c:v>17.733800000000002</c:v>
                </c:pt>
                <c:pt idx="157">
                  <c:v>17.736799999999999</c:v>
                </c:pt>
                <c:pt idx="158">
                  <c:v>17.736799999999999</c:v>
                </c:pt>
                <c:pt idx="159">
                  <c:v>17.733800000000002</c:v>
                </c:pt>
                <c:pt idx="160">
                  <c:v>17.727699999999999</c:v>
                </c:pt>
                <c:pt idx="161">
                  <c:v>17.733800000000002</c:v>
                </c:pt>
                <c:pt idx="162">
                  <c:v>17.730699999999999</c:v>
                </c:pt>
                <c:pt idx="163">
                  <c:v>17.727699999999999</c:v>
                </c:pt>
                <c:pt idx="164">
                  <c:v>17.727699999999999</c:v>
                </c:pt>
                <c:pt idx="165">
                  <c:v>17.721600000000002</c:v>
                </c:pt>
                <c:pt idx="166">
                  <c:v>17.724599999999999</c:v>
                </c:pt>
                <c:pt idx="167">
                  <c:v>17.715499999999999</c:v>
                </c:pt>
                <c:pt idx="168">
                  <c:v>17.706300000000002</c:v>
                </c:pt>
                <c:pt idx="169">
                  <c:v>17.715499999999999</c:v>
                </c:pt>
                <c:pt idx="170">
                  <c:v>17.712399999999999</c:v>
                </c:pt>
                <c:pt idx="171">
                  <c:v>17.709399999999999</c:v>
                </c:pt>
                <c:pt idx="172">
                  <c:v>17.709399999999999</c:v>
                </c:pt>
                <c:pt idx="173">
                  <c:v>17.703199999999999</c:v>
                </c:pt>
                <c:pt idx="174">
                  <c:v>17.703199999999999</c:v>
                </c:pt>
                <c:pt idx="175">
                  <c:v>17.700199999999999</c:v>
                </c:pt>
                <c:pt idx="176">
                  <c:v>17.700199999999999</c:v>
                </c:pt>
                <c:pt idx="177">
                  <c:v>17.690999999999999</c:v>
                </c:pt>
                <c:pt idx="178">
                  <c:v>17.684899999999999</c:v>
                </c:pt>
                <c:pt idx="179">
                  <c:v>17.684899999999999</c:v>
                </c:pt>
                <c:pt idx="180">
                  <c:v>17.681899999999999</c:v>
                </c:pt>
                <c:pt idx="181">
                  <c:v>17.684899999999999</c:v>
                </c:pt>
                <c:pt idx="182">
                  <c:v>17.687999999999999</c:v>
                </c:pt>
                <c:pt idx="183">
                  <c:v>17.681899999999999</c:v>
                </c:pt>
                <c:pt idx="184">
                  <c:v>17.675799999999999</c:v>
                </c:pt>
                <c:pt idx="185">
                  <c:v>17.672699999999999</c:v>
                </c:pt>
                <c:pt idx="186">
                  <c:v>17.672699999999999</c:v>
                </c:pt>
                <c:pt idx="187">
                  <c:v>17.672699999999999</c:v>
                </c:pt>
                <c:pt idx="188">
                  <c:v>17.669699999999999</c:v>
                </c:pt>
                <c:pt idx="189">
                  <c:v>17.666600000000003</c:v>
                </c:pt>
                <c:pt idx="190">
                  <c:v>17.657499999999999</c:v>
                </c:pt>
                <c:pt idx="191">
                  <c:v>17.660499999999999</c:v>
                </c:pt>
                <c:pt idx="192">
                  <c:v>17.657499999999999</c:v>
                </c:pt>
                <c:pt idx="193">
                  <c:v>17.654399999999999</c:v>
                </c:pt>
                <c:pt idx="194">
                  <c:v>17.654399999999999</c:v>
                </c:pt>
                <c:pt idx="195">
                  <c:v>17.657499999999999</c:v>
                </c:pt>
                <c:pt idx="196">
                  <c:v>17.648299999999999</c:v>
                </c:pt>
                <c:pt idx="197">
                  <c:v>17.645299999999999</c:v>
                </c:pt>
                <c:pt idx="198">
                  <c:v>17.648299999999999</c:v>
                </c:pt>
                <c:pt idx="199">
                  <c:v>17.645299999999999</c:v>
                </c:pt>
                <c:pt idx="200">
                  <c:v>17.639200000000002</c:v>
                </c:pt>
                <c:pt idx="201">
                  <c:v>17.633099999999999</c:v>
                </c:pt>
                <c:pt idx="202">
                  <c:v>17.633099999999999</c:v>
                </c:pt>
                <c:pt idx="203">
                  <c:v>17.636099999999999</c:v>
                </c:pt>
                <c:pt idx="204">
                  <c:v>17.633099999999999</c:v>
                </c:pt>
                <c:pt idx="205">
                  <c:v>17.623900000000003</c:v>
                </c:pt>
                <c:pt idx="206">
                  <c:v>17.626999999999999</c:v>
                </c:pt>
                <c:pt idx="207">
                  <c:v>17.620799999999999</c:v>
                </c:pt>
                <c:pt idx="208">
                  <c:v>17.623900000000003</c:v>
                </c:pt>
                <c:pt idx="209">
                  <c:v>17.620799999999999</c:v>
                </c:pt>
                <c:pt idx="210">
                  <c:v>17.611700000000003</c:v>
                </c:pt>
                <c:pt idx="211">
                  <c:v>17.614699999999999</c:v>
                </c:pt>
                <c:pt idx="212">
                  <c:v>17.605599999999999</c:v>
                </c:pt>
                <c:pt idx="213">
                  <c:v>17.611700000000003</c:v>
                </c:pt>
                <c:pt idx="214">
                  <c:v>17.605599999999999</c:v>
                </c:pt>
                <c:pt idx="215">
                  <c:v>17.599499999999999</c:v>
                </c:pt>
                <c:pt idx="216">
                  <c:v>17.599499999999999</c:v>
                </c:pt>
                <c:pt idx="217">
                  <c:v>17.596400000000003</c:v>
                </c:pt>
                <c:pt idx="218">
                  <c:v>17.590299999999999</c:v>
                </c:pt>
                <c:pt idx="219">
                  <c:v>17.584200000000003</c:v>
                </c:pt>
                <c:pt idx="220">
                  <c:v>17.587299999999999</c:v>
                </c:pt>
                <c:pt idx="221">
                  <c:v>17.584200000000003</c:v>
                </c:pt>
                <c:pt idx="222">
                  <c:v>17.587299999999999</c:v>
                </c:pt>
                <c:pt idx="223">
                  <c:v>17.581200000000003</c:v>
                </c:pt>
                <c:pt idx="224">
                  <c:v>17.578099999999999</c:v>
                </c:pt>
                <c:pt idx="225">
                  <c:v>17.581200000000003</c:v>
                </c:pt>
                <c:pt idx="226">
                  <c:v>17.581200000000003</c:v>
                </c:pt>
                <c:pt idx="227">
                  <c:v>17.569000000000003</c:v>
                </c:pt>
                <c:pt idx="228">
                  <c:v>17.565899999999999</c:v>
                </c:pt>
                <c:pt idx="229">
                  <c:v>17.565899999999999</c:v>
                </c:pt>
                <c:pt idx="230">
                  <c:v>17.562899999999999</c:v>
                </c:pt>
                <c:pt idx="231">
                  <c:v>17.562899999999999</c:v>
                </c:pt>
                <c:pt idx="232">
                  <c:v>17.556800000000003</c:v>
                </c:pt>
                <c:pt idx="233">
                  <c:v>17.556800000000003</c:v>
                </c:pt>
                <c:pt idx="234">
                  <c:v>17.556800000000003</c:v>
                </c:pt>
                <c:pt idx="235">
                  <c:v>17.550699999999999</c:v>
                </c:pt>
                <c:pt idx="236">
                  <c:v>17.547599999999999</c:v>
                </c:pt>
                <c:pt idx="237">
                  <c:v>17.541500000000003</c:v>
                </c:pt>
                <c:pt idx="238">
                  <c:v>17.541500000000003</c:v>
                </c:pt>
                <c:pt idx="239">
                  <c:v>17.532299999999999</c:v>
                </c:pt>
                <c:pt idx="240">
                  <c:v>17.535399999999999</c:v>
                </c:pt>
                <c:pt idx="241">
                  <c:v>17.538499999999999</c:v>
                </c:pt>
                <c:pt idx="242">
                  <c:v>17.532299999999999</c:v>
                </c:pt>
                <c:pt idx="243">
                  <c:v>17.529300000000003</c:v>
                </c:pt>
                <c:pt idx="244">
                  <c:v>17.520099999999999</c:v>
                </c:pt>
                <c:pt idx="245">
                  <c:v>17.523199999999999</c:v>
                </c:pt>
                <c:pt idx="246">
                  <c:v>17.517099999999999</c:v>
                </c:pt>
                <c:pt idx="247">
                  <c:v>17.513999999999999</c:v>
                </c:pt>
                <c:pt idx="248">
                  <c:v>17.517099999999999</c:v>
                </c:pt>
                <c:pt idx="249">
                  <c:v>17.517099999999999</c:v>
                </c:pt>
                <c:pt idx="250">
                  <c:v>17.513999999999999</c:v>
                </c:pt>
                <c:pt idx="251">
                  <c:v>17.510999999999999</c:v>
                </c:pt>
                <c:pt idx="252">
                  <c:v>17.504899999999999</c:v>
                </c:pt>
                <c:pt idx="253">
                  <c:v>17.501800000000003</c:v>
                </c:pt>
                <c:pt idx="254">
                  <c:v>17.504899999999999</c:v>
                </c:pt>
                <c:pt idx="255">
                  <c:v>17.498799999999999</c:v>
                </c:pt>
                <c:pt idx="256">
                  <c:v>17.486600000000003</c:v>
                </c:pt>
                <c:pt idx="257">
                  <c:v>17.489599999999999</c:v>
                </c:pt>
                <c:pt idx="258">
                  <c:v>17.489599999999999</c:v>
                </c:pt>
                <c:pt idx="259">
                  <c:v>17.483499999999999</c:v>
                </c:pt>
                <c:pt idx="260">
                  <c:v>17.483499999999999</c:v>
                </c:pt>
                <c:pt idx="261">
                  <c:v>17.483499999999999</c:v>
                </c:pt>
                <c:pt idx="262">
                  <c:v>17.474400000000003</c:v>
                </c:pt>
                <c:pt idx="263">
                  <c:v>17.474400000000003</c:v>
                </c:pt>
                <c:pt idx="264">
                  <c:v>17.465199999999999</c:v>
                </c:pt>
                <c:pt idx="265">
                  <c:v>17.465199999999999</c:v>
                </c:pt>
                <c:pt idx="266">
                  <c:v>17.471299999999999</c:v>
                </c:pt>
                <c:pt idx="267">
                  <c:v>17.465199999999999</c:v>
                </c:pt>
                <c:pt idx="268">
                  <c:v>17.456099999999999</c:v>
                </c:pt>
                <c:pt idx="269">
                  <c:v>17.452999999999999</c:v>
                </c:pt>
                <c:pt idx="270">
                  <c:v>17.446900000000003</c:v>
                </c:pt>
                <c:pt idx="271">
                  <c:v>17.45</c:v>
                </c:pt>
                <c:pt idx="272">
                  <c:v>17.4438</c:v>
                </c:pt>
                <c:pt idx="273">
                  <c:v>17.446900000000003</c:v>
                </c:pt>
                <c:pt idx="274">
                  <c:v>17.4377</c:v>
                </c:pt>
                <c:pt idx="275">
                  <c:v>17.4377</c:v>
                </c:pt>
                <c:pt idx="276">
                  <c:v>17.428599999999999</c:v>
                </c:pt>
                <c:pt idx="277">
                  <c:v>17.428599999999999</c:v>
                </c:pt>
                <c:pt idx="278">
                  <c:v>17.4316</c:v>
                </c:pt>
                <c:pt idx="279">
                  <c:v>17.4255</c:v>
                </c:pt>
                <c:pt idx="280">
                  <c:v>17.422499999999999</c:v>
                </c:pt>
                <c:pt idx="281">
                  <c:v>17.416399999999999</c:v>
                </c:pt>
                <c:pt idx="282">
                  <c:v>17.4072</c:v>
                </c:pt>
                <c:pt idx="283">
                  <c:v>17.4072</c:v>
                </c:pt>
                <c:pt idx="284">
                  <c:v>17.4011</c:v>
                </c:pt>
                <c:pt idx="285">
                  <c:v>17.4011</c:v>
                </c:pt>
                <c:pt idx="286">
                  <c:v>17.391999999999999</c:v>
                </c:pt>
                <c:pt idx="287">
                  <c:v>17.391999999999999</c:v>
                </c:pt>
                <c:pt idx="288">
                  <c:v>17.3828</c:v>
                </c:pt>
                <c:pt idx="289">
                  <c:v>17.3767</c:v>
                </c:pt>
                <c:pt idx="290">
                  <c:v>17.364500000000003</c:v>
                </c:pt>
                <c:pt idx="291">
                  <c:v>17.361499999999999</c:v>
                </c:pt>
                <c:pt idx="292">
                  <c:v>17.3462</c:v>
                </c:pt>
                <c:pt idx="293">
                  <c:v>17.337000000000003</c:v>
                </c:pt>
                <c:pt idx="294">
                  <c:v>17.3309</c:v>
                </c:pt>
                <c:pt idx="295">
                  <c:v>17.3218</c:v>
                </c:pt>
                <c:pt idx="296">
                  <c:v>17.3126</c:v>
                </c:pt>
                <c:pt idx="297">
                  <c:v>17.3004</c:v>
                </c:pt>
                <c:pt idx="298">
                  <c:v>17.2852</c:v>
                </c:pt>
                <c:pt idx="299">
                  <c:v>17.2791</c:v>
                </c:pt>
                <c:pt idx="300">
                  <c:v>17.2546</c:v>
                </c:pt>
                <c:pt idx="301">
                  <c:v>17.2424</c:v>
                </c:pt>
                <c:pt idx="302">
                  <c:v>17.215</c:v>
                </c:pt>
                <c:pt idx="303">
                  <c:v>17.1967</c:v>
                </c:pt>
                <c:pt idx="304">
                  <c:v>17.1783</c:v>
                </c:pt>
                <c:pt idx="305">
                  <c:v>17.157</c:v>
                </c:pt>
                <c:pt idx="306">
                  <c:v>17.1265</c:v>
                </c:pt>
                <c:pt idx="307">
                  <c:v>17.1051</c:v>
                </c:pt>
                <c:pt idx="308">
                  <c:v>17.077599999999997</c:v>
                </c:pt>
                <c:pt idx="309">
                  <c:v>17.0441</c:v>
                </c:pt>
                <c:pt idx="310">
                  <c:v>17.013500000000001</c:v>
                </c:pt>
                <c:pt idx="311">
                  <c:v>16.979999999999997</c:v>
                </c:pt>
                <c:pt idx="312">
                  <c:v>16.940299999999997</c:v>
                </c:pt>
                <c:pt idx="313">
                  <c:v>16.894500000000001</c:v>
                </c:pt>
                <c:pt idx="314">
                  <c:v>16.854900000000001</c:v>
                </c:pt>
                <c:pt idx="315">
                  <c:v>16.809100000000001</c:v>
                </c:pt>
                <c:pt idx="316">
                  <c:v>16.754200000000001</c:v>
                </c:pt>
                <c:pt idx="317">
                  <c:v>16.702300000000001</c:v>
                </c:pt>
                <c:pt idx="318">
                  <c:v>16.650399999999998</c:v>
                </c:pt>
                <c:pt idx="319">
                  <c:v>16.595499999999998</c:v>
                </c:pt>
                <c:pt idx="320">
                  <c:v>16.525300000000001</c:v>
                </c:pt>
                <c:pt idx="321">
                  <c:v>16.452000000000002</c:v>
                </c:pt>
                <c:pt idx="322">
                  <c:v>16.372700000000002</c:v>
                </c:pt>
                <c:pt idx="323">
                  <c:v>16.305500000000002</c:v>
                </c:pt>
                <c:pt idx="324">
                  <c:v>16.220100000000002</c:v>
                </c:pt>
                <c:pt idx="325">
                  <c:v>16.128499999999999</c:v>
                </c:pt>
                <c:pt idx="326">
                  <c:v>16.024799999999999</c:v>
                </c:pt>
                <c:pt idx="327">
                  <c:v>15.921000000000001</c:v>
                </c:pt>
                <c:pt idx="328">
                  <c:v>15.8203</c:v>
                </c:pt>
                <c:pt idx="329">
                  <c:v>15.698199999999998</c:v>
                </c:pt>
                <c:pt idx="330">
                  <c:v>15.5548</c:v>
                </c:pt>
                <c:pt idx="331">
                  <c:v>15.426600000000001</c:v>
                </c:pt>
                <c:pt idx="332">
                  <c:v>15.255700000000001</c:v>
                </c:pt>
                <c:pt idx="333">
                  <c:v>15.112300000000001</c:v>
                </c:pt>
                <c:pt idx="334">
                  <c:v>14.917</c:v>
                </c:pt>
                <c:pt idx="335">
                  <c:v>14.7339</c:v>
                </c:pt>
                <c:pt idx="336">
                  <c:v>14.514199999999999</c:v>
                </c:pt>
                <c:pt idx="337">
                  <c:v>14.285300000000001</c:v>
                </c:pt>
                <c:pt idx="338">
                  <c:v>14.035</c:v>
                </c:pt>
                <c:pt idx="339">
                  <c:v>13.769500000000001</c:v>
                </c:pt>
                <c:pt idx="340">
                  <c:v>13.458299999999999</c:v>
                </c:pt>
                <c:pt idx="341">
                  <c:v>13.1317</c:v>
                </c:pt>
                <c:pt idx="342">
                  <c:v>12.759400000000001</c:v>
                </c:pt>
                <c:pt idx="343">
                  <c:v>12.326000000000001</c:v>
                </c:pt>
                <c:pt idx="344">
                  <c:v>11.837800000000001</c:v>
                </c:pt>
                <c:pt idx="345">
                  <c:v>11.291499999999999</c:v>
                </c:pt>
                <c:pt idx="346">
                  <c:v>10.690300000000001</c:v>
                </c:pt>
                <c:pt idx="347">
                  <c:v>9.9670400000000008</c:v>
                </c:pt>
                <c:pt idx="348">
                  <c:v>9.1674800000000012</c:v>
                </c:pt>
                <c:pt idx="349">
                  <c:v>8.2183800000000016</c:v>
                </c:pt>
                <c:pt idx="350">
                  <c:v>7.1746800000000004</c:v>
                </c:pt>
                <c:pt idx="351">
                  <c:v>5.9509300000000005</c:v>
                </c:pt>
                <c:pt idx="352">
                  <c:v>4.6224999999999996</c:v>
                </c:pt>
                <c:pt idx="353">
                  <c:v>3.1768800000000001</c:v>
                </c:pt>
                <c:pt idx="354">
                  <c:v>1.6732800000000001</c:v>
                </c:pt>
                <c:pt idx="355">
                  <c:v>0.115936</c:v>
                </c:pt>
                <c:pt idx="356">
                  <c:v>-1.5035999999999998</c:v>
                </c:pt>
                <c:pt idx="357">
                  <c:v>-3.0746500000000001</c:v>
                </c:pt>
                <c:pt idx="358">
                  <c:v>-4.7509800000000002</c:v>
                </c:pt>
                <c:pt idx="359">
                  <c:v>-6.4209000000000005</c:v>
                </c:pt>
                <c:pt idx="360">
                  <c:v>-8.1542999999999992</c:v>
                </c:pt>
                <c:pt idx="361">
                  <c:v>-9.7564700000000002</c:v>
                </c:pt>
                <c:pt idx="362">
                  <c:v>-11.447100000000001</c:v>
                </c:pt>
                <c:pt idx="363">
                  <c:v>-13.1287</c:v>
                </c:pt>
                <c:pt idx="364">
                  <c:v>-14.8193</c:v>
                </c:pt>
                <c:pt idx="365">
                  <c:v>-16.531400000000001</c:v>
                </c:pt>
                <c:pt idx="366">
                  <c:v>-18.182400000000001</c:v>
                </c:pt>
                <c:pt idx="367">
                  <c:v>-19.830299999999998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287-471A-84DF-0954F2CAA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14064"/>
        <c:axId val="138707824"/>
      </c:scatterChart>
      <c:valAx>
        <c:axId val="13871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707824"/>
        <c:crosses val="autoZero"/>
        <c:crossBetween val="midCat"/>
      </c:valAx>
      <c:valAx>
        <c:axId val="13870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714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525780</xdr:colOff>
      <xdr:row>6</xdr:row>
      <xdr:rowOff>38100</xdr:rowOff>
    </xdr:from>
    <xdr:to>
      <xdr:col>15</xdr:col>
      <xdr:colOff>220980</xdr:colOff>
      <xdr:row>18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201B227-5B7C-DEB3-5014-50D986F7F5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525780</xdr:colOff>
      <xdr:row>6</xdr:row>
      <xdr:rowOff>38100</xdr:rowOff>
    </xdr:from>
    <xdr:to>
      <xdr:col>35</xdr:col>
      <xdr:colOff>220980</xdr:colOff>
      <xdr:row>18</xdr:row>
      <xdr:rowOff>38100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D6CCAB2-0E78-1E08-0866-9221BF7974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525780</xdr:colOff>
      <xdr:row>6</xdr:row>
      <xdr:rowOff>38100</xdr:rowOff>
    </xdr:from>
    <xdr:to>
      <xdr:col>52</xdr:col>
      <xdr:colOff>220980</xdr:colOff>
      <xdr:row>18</xdr:row>
      <xdr:rowOff>38100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2B410D53-EAF2-FD88-196F-A3187350D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525780</xdr:colOff>
      <xdr:row>6</xdr:row>
      <xdr:rowOff>38100</xdr:rowOff>
    </xdr:from>
    <xdr:to>
      <xdr:col>15</xdr:col>
      <xdr:colOff>220980</xdr:colOff>
      <xdr:row>18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30BFA1E-90F5-2AAB-CC57-DFEFBCF923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525780</xdr:colOff>
      <xdr:row>6</xdr:row>
      <xdr:rowOff>38100</xdr:rowOff>
    </xdr:from>
    <xdr:to>
      <xdr:col>35</xdr:col>
      <xdr:colOff>220980</xdr:colOff>
      <xdr:row>18</xdr:row>
      <xdr:rowOff>38100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6D6A076-ED2F-7A59-7CC7-55121CA22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525780</xdr:colOff>
      <xdr:row>6</xdr:row>
      <xdr:rowOff>38100</xdr:rowOff>
    </xdr:from>
    <xdr:to>
      <xdr:col>52</xdr:col>
      <xdr:colOff>220980</xdr:colOff>
      <xdr:row>18</xdr:row>
      <xdr:rowOff>38100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39AFAC1-D7B3-7092-850B-BD269542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abSelected="1" topLeftCell="AL1" workbookViewId="0">
      <selection activeCell="AW10" sqref="AW1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236.15467289719774</v>
      </c>
      <c r="H2" s="2"/>
      <c r="I2" s="6" t="s">
        <v>12</v>
      </c>
      <c r="J2" s="2"/>
      <c r="K2" s="7" t="s">
        <v>13</v>
      </c>
      <c r="L2" s="3">
        <f>L4*I6*L9/100*100</f>
        <v>18.356499795000005</v>
      </c>
      <c r="M2" s="8" t="s">
        <v>14</v>
      </c>
      <c r="N2" s="9"/>
      <c r="O2" s="2">
        <f>ABS(S7-S6)/ABS(T7-T6)*1000</f>
        <v>165.45294117646239</v>
      </c>
      <c r="P2" s="2"/>
      <c r="Q2" s="6" t="s">
        <v>15</v>
      </c>
      <c r="R2" s="2"/>
      <c r="S2" s="7" t="s">
        <v>13</v>
      </c>
      <c r="T2" s="3">
        <f>T4*Q6*T9/100*100</f>
        <v>17.504656806</v>
      </c>
      <c r="U2" s="8" t="s">
        <v>14</v>
      </c>
      <c r="X2" s="9"/>
      <c r="Y2" s="2">
        <f>ABS(AC7-AC6)/ABS(AD7-AD6)*1000</f>
        <v>118.99695550350805</v>
      </c>
      <c r="Z2" s="2"/>
      <c r="AA2" s="6" t="s">
        <v>12</v>
      </c>
      <c r="AB2" s="2"/>
      <c r="AC2" s="7" t="s">
        <v>13</v>
      </c>
      <c r="AD2" s="3">
        <f>AD4*AA6*AD9/100*100</f>
        <v>17.959549545000002</v>
      </c>
      <c r="AE2" s="8" t="s">
        <v>14</v>
      </c>
      <c r="AF2" s="9"/>
      <c r="AG2" s="2">
        <f>ABS(AK7-AK6)/ABS(AL7-AL6)*1000</f>
        <v>69.1537517053209</v>
      </c>
      <c r="AH2" s="2"/>
      <c r="AI2" s="6" t="s">
        <v>15</v>
      </c>
      <c r="AJ2" s="2"/>
      <c r="AK2" s="7" t="s">
        <v>13</v>
      </c>
      <c r="AL2" s="3">
        <f>AL4*AI6*AL9/100*100</f>
        <v>17.936434388000002</v>
      </c>
      <c r="AM2" s="8" t="s">
        <v>14</v>
      </c>
      <c r="AP2" s="9"/>
      <c r="AQ2" s="2">
        <f>ABS(AU7-AU6)/ABS(AV7-AV6)*1000</f>
        <v>209.12049180327887</v>
      </c>
      <c r="AR2" s="2"/>
      <c r="AS2" s="6" t="s">
        <v>12</v>
      </c>
      <c r="AT2" s="2"/>
      <c r="AU2" s="7" t="s">
        <v>13</v>
      </c>
      <c r="AV2" s="3">
        <f>AV4*AS6*AV9/100*100</f>
        <v>17.938083375000005</v>
      </c>
      <c r="AW2" s="8" t="s">
        <v>14</v>
      </c>
      <c r="AX2" s="9"/>
      <c r="AY2" s="2">
        <f>ABS(BC7-BC6)/ABS(BD7-BD6)*1000</f>
        <v>150.40803571428637</v>
      </c>
      <c r="AZ2" s="2"/>
      <c r="BA2" s="6" t="s">
        <v>15</v>
      </c>
      <c r="BB2" s="2"/>
      <c r="BC2" s="7" t="s">
        <v>13</v>
      </c>
      <c r="BD2" s="3">
        <f>BD4*BA6*BD9/100*100</f>
        <v>18.36366834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1.7486600000000001</v>
      </c>
      <c r="J3" s="2"/>
      <c r="K3" s="10">
        <f>INDEX(L11:L1056,MATCH(I3,K11:K1056,0))</f>
        <v>-2.7786299999999997</v>
      </c>
      <c r="L3" s="26" t="s">
        <v>16</v>
      </c>
      <c r="M3" s="11">
        <f>M9</f>
        <v>18.356499795000001</v>
      </c>
      <c r="N3" s="9"/>
      <c r="O3" s="2" t="s">
        <v>44</v>
      </c>
      <c r="P3" s="2"/>
      <c r="Q3" s="2">
        <f>INDEX(S11:S1056,MATCH(0,T11:T1056,-1))</f>
        <v>1.73706</v>
      </c>
      <c r="R3" s="2"/>
      <c r="S3" s="10">
        <f>INDEX(T11:T1056,MATCH(Q3,S11:S1056,0))</f>
        <v>0.84228500000000006</v>
      </c>
      <c r="T3" s="26" t="s">
        <v>16</v>
      </c>
      <c r="U3" s="11">
        <f>U9</f>
        <v>17.504656806</v>
      </c>
      <c r="X3" s="9"/>
      <c r="Y3" s="2" t="s">
        <v>44</v>
      </c>
      <c r="Z3" s="2"/>
      <c r="AA3" s="2">
        <f>INDEX(AC11:AC856,MATCH(0,AD11:AD856,1))</f>
        <v>1.7483500000000001</v>
      </c>
      <c r="AB3" s="2"/>
      <c r="AC3" s="10">
        <f>INDEX(AD11:AD1056,MATCH(AA3,AC11:AC1056,0))</f>
        <v>-0.17230199999999998</v>
      </c>
      <c r="AD3" s="26" t="s">
        <v>16</v>
      </c>
      <c r="AE3" s="11">
        <f>AE9</f>
        <v>17.959549545000002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1.38916</v>
      </c>
      <c r="AL3" s="26" t="s">
        <v>16</v>
      </c>
      <c r="AM3" s="11">
        <f>AM9</f>
        <v>17.936434388000002</v>
      </c>
      <c r="AP3" s="9"/>
      <c r="AQ3" s="2" t="s">
        <v>44</v>
      </c>
      <c r="AR3" s="2"/>
      <c r="AS3" s="2">
        <f>INDEX(AU11:AU856,MATCH(0,AV11:AV856,1))</f>
        <v>1.7547600000000001</v>
      </c>
      <c r="AT3" s="2"/>
      <c r="AU3" s="10">
        <f>INDEX(AV11:AV1056,MATCH(AS3,AU11:AU1056,0))</f>
        <v>-0.65765400000000007</v>
      </c>
      <c r="AV3" s="26" t="s">
        <v>16</v>
      </c>
      <c r="AW3" s="11">
        <f>AW9</f>
        <v>17.938083375000001</v>
      </c>
      <c r="AX3" s="9"/>
      <c r="AY3" s="2" t="s">
        <v>44</v>
      </c>
      <c r="AZ3" s="2"/>
      <c r="BA3" s="2">
        <f>INDEX(BC11:BC1056,MATCH(0,BD11:BD1056,-1))</f>
        <v>1.7477400000000001</v>
      </c>
      <c r="BB3" s="2"/>
      <c r="BC3" s="10">
        <f>INDEX(BD11:BD1056,MATCH(BA3,BC11:BC1056,0))</f>
        <v>0.85418699999999992</v>
      </c>
      <c r="BD3" s="26" t="s">
        <v>16</v>
      </c>
      <c r="BE3" s="11">
        <f>BE9</f>
        <v>18.363668339999997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1.4393689404296199</v>
      </c>
      <c r="H4" s="2"/>
      <c r="I4" s="2">
        <f>INDEX(K11:K1000,1+MATCH(0,L11:L856,1))</f>
        <v>1.7440800000000001</v>
      </c>
      <c r="J4" s="2"/>
      <c r="K4" s="10">
        <f>INDEX(L11:L1056,MATCH(I4,K11:K1056,0))</f>
        <v>0.40331999999999996</v>
      </c>
      <c r="L4" s="25">
        <f>M3/(I6*L9)</f>
        <v>0.81883277212816208</v>
      </c>
      <c r="M4" s="8" t="s">
        <v>17</v>
      </c>
      <c r="N4" s="9"/>
      <c r="O4" s="2">
        <f>ABS(Q3-Q4)/ABS(S3-S4)*1000</f>
        <v>4.0169563544921632</v>
      </c>
      <c r="P4" s="2"/>
      <c r="Q4" s="2">
        <f>INDEX(S11:S856,1+MATCH(0,T11:T856,-1))</f>
        <v>1.7422500000000001</v>
      </c>
      <c r="R4" s="2"/>
      <c r="S4" s="10">
        <f>INDEX(T11:T856,MATCH(Q4,S11:S856,0))</f>
        <v>-0.44973799999999997</v>
      </c>
      <c r="T4" s="25">
        <f>U3/(Q6*T9)</f>
        <v>0.7730880433949886</v>
      </c>
      <c r="U4" s="8" t="s">
        <v>17</v>
      </c>
      <c r="X4" s="9"/>
      <c r="Y4" s="2">
        <f>ABS(AA3-AA4)/ABS(AC3-AC4)*1000</f>
        <v>3.2242426805160571</v>
      </c>
      <c r="Z4" s="2"/>
      <c r="AA4" s="2">
        <f>INDEX(AC11:AC1000,1+MATCH(0,AD11:AD856,1))</f>
        <v>1.7440800000000001</v>
      </c>
      <c r="AB4" s="2"/>
      <c r="AC4" s="10">
        <f>INDEX(AD11:AD1056,MATCH(AA4,AC11:AC1056,0))</f>
        <v>1.15204</v>
      </c>
      <c r="AD4" s="25">
        <f>AE3/(AA6*AD9)</f>
        <v>0.80841789644243123</v>
      </c>
      <c r="AE4" s="8" t="s">
        <v>17</v>
      </c>
      <c r="AF4" s="9"/>
      <c r="AG4" s="2">
        <f>ABS(AI3-AI4)/ABS(AK3-AK4)*1000</f>
        <v>2.6619415842635492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-0.44784499999999999</v>
      </c>
      <c r="AL4" s="25">
        <f>AM3/(AI6*AL9)</f>
        <v>0.76629255261252083</v>
      </c>
      <c r="AM4" s="8" t="s">
        <v>17</v>
      </c>
      <c r="AP4" s="9"/>
      <c r="AQ4" s="2">
        <f>ABS(AS3-AS4)/ABS(AU3-AU4)*1000</f>
        <v>3.0162555371691231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1.2652600000000001</v>
      </c>
      <c r="AV4" s="25">
        <f>AW3/(AS6*AV9)</f>
        <v>0.78702546578289667</v>
      </c>
      <c r="AW4" s="8" t="s">
        <v>17</v>
      </c>
      <c r="AX4" s="9"/>
      <c r="AY4" s="2">
        <f>ABS(BA3-BA4)/ABS(BC3-BC4)*1000</f>
        <v>3.3552195272204925</v>
      </c>
      <c r="AZ4" s="2"/>
      <c r="BA4" s="2">
        <f>INDEX(BC11:BC856,1+MATCH(0,BD11:BD856,-1))</f>
        <v>1.7520100000000001</v>
      </c>
      <c r="BB4" s="2"/>
      <c r="BC4" s="10">
        <f>INDEX(BD11:BD856,MATCH(BA4,BC11:BC856,0))</f>
        <v>-0.41845700000000002</v>
      </c>
      <c r="BD4" s="25">
        <f>BE3/(BA6*BD9)</f>
        <v>0.802324461890637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10.8673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10.4034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10.632300000000001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10.565200000000001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10.525500000000001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10.848999999999998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1.7446605262810542</v>
      </c>
      <c r="J6" s="25"/>
      <c r="K6" s="2">
        <f>INDEX(K11:K1056,MATCH(L6,L11:L1056,0))</f>
        <v>2.5329599999999999E-3</v>
      </c>
      <c r="L6" s="10">
        <f>INDEX(L11:L1056,MATCH(0,K11:K1056,-1))</f>
        <v>12.838699999999999</v>
      </c>
      <c r="M6" s="8" t="s">
        <v>22</v>
      </c>
      <c r="N6" s="9"/>
      <c r="O6" s="2"/>
      <c r="P6" s="2"/>
      <c r="Q6" s="27">
        <f>(Q3-Q4)/(S3-S4)*(-S4)+Q4</f>
        <v>1.7404434220830436</v>
      </c>
      <c r="R6" s="27"/>
      <c r="S6" s="2">
        <f>INDEX(S11:S1056,MATCH(T6,T11:T1056,0))</f>
        <v>-4.0496799999999999E-3</v>
      </c>
      <c r="T6" s="10">
        <f>INDEX(T11:T1056,MATCH(0,S11:S1056,1))</f>
        <v>13.0341</v>
      </c>
      <c r="U6" s="8" t="s">
        <v>22</v>
      </c>
      <c r="X6" s="9"/>
      <c r="Y6" s="2"/>
      <c r="Z6" s="2"/>
      <c r="AA6" s="25">
        <f>(AA3-AA4)/(AC3-AC4)*(-AC4)+AA4</f>
        <v>1.7477944565376617</v>
      </c>
      <c r="AB6" s="25"/>
      <c r="AC6" s="2">
        <f>INDEX(AC11:AC1056,MATCH(AD6,AD11:AD1056,0))</f>
        <v>2.5573700000000002E-3</v>
      </c>
      <c r="AD6" s="10">
        <f>INDEX(AD11:AD1056,MATCH(0,AC11:AC1056,-1))</f>
        <v>12.6892</v>
      </c>
      <c r="AE6" s="8" t="s">
        <v>22</v>
      </c>
      <c r="AF6" s="9"/>
      <c r="AG6" s="2"/>
      <c r="AH6" s="2"/>
      <c r="AI6" s="27">
        <f>(AI3-AI4)/(AK3-AK4)*(-AK4)+AI4</f>
        <v>1.7462478627711957</v>
      </c>
      <c r="AJ6" s="27"/>
      <c r="AK6" s="2">
        <f>INDEX(AK11:AK1056,MATCH(AL6,AL11:AL1056,0))</f>
        <v>-4.0618900000000003E-3</v>
      </c>
      <c r="AL6" s="10">
        <f>INDEX(AL11:AL1056,MATCH(0,AK11:AK1056,1))</f>
        <v>13.3453</v>
      </c>
      <c r="AM6" s="8" t="s">
        <v>22</v>
      </c>
      <c r="AP6" s="9"/>
      <c r="AQ6" s="2"/>
      <c r="AR6" s="2"/>
      <c r="AS6" s="25">
        <f>(AS3-AS4)/(AU3-AU4)*(-AU4)+AS4</f>
        <v>1.7527763474809588</v>
      </c>
      <c r="AT6" s="25"/>
      <c r="AU6" s="2">
        <f>INDEX(AU11:AU1056,MATCH(AV6,AV11:AV1056,0))</f>
        <v>2.5543200000000001E-3</v>
      </c>
      <c r="AV6" s="10">
        <f>INDEX(AV11:AV1056,MATCH(0,AU11:AU1056,-1))</f>
        <v>12.991300000000001</v>
      </c>
      <c r="AW6" s="8" t="s">
        <v>22</v>
      </c>
      <c r="AX6" s="9"/>
      <c r="AY6" s="2"/>
      <c r="AZ6" s="2"/>
      <c r="BA6" s="27">
        <f>(BA3-BA4)/(BC3-BC4)*(-BC4)+BA4</f>
        <v>1.7506059849022979</v>
      </c>
      <c r="BB6" s="27"/>
      <c r="BC6" s="2">
        <f>INDEX(BC11:BC1056,MATCH(BD6,BD11:BD1056,0))</f>
        <v>-4.0344200000000004E-3</v>
      </c>
      <c r="BD6" s="10">
        <f>INDEX(BD11:BD1056,MATCH(0,BC11:BC1056,1))</f>
        <v>13.1012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-2.52075E-3</v>
      </c>
      <c r="L7" s="10">
        <f>INDEX(L11:L856,1+MATCH(0,K11:K856,-1))</f>
        <v>12.860099999999999</v>
      </c>
      <c r="M7" s="12">
        <f>INDEX(K11:K1056,MATCH(M9,M11:M1056,0))</f>
        <v>1.6885399999999999</v>
      </c>
      <c r="N7" s="9"/>
      <c r="O7" s="2"/>
      <c r="P7" s="2"/>
      <c r="Q7" s="2"/>
      <c r="R7" s="2"/>
      <c r="S7" s="2">
        <f>INDEX(S11:S1056,MATCH(T7,T11:T1056,0))</f>
        <v>1.01318E-3</v>
      </c>
      <c r="T7" s="10">
        <f>INDEX(T11:T1056,1+MATCH(0,S11:S1056,1))</f>
        <v>13.003499999999999</v>
      </c>
      <c r="U7" s="12">
        <f>INDEX(S11:S1056,MATCH(U9,U11:U1056,0))</f>
        <v>1.6821299999999999</v>
      </c>
      <c r="X7" s="9"/>
      <c r="Y7" s="2"/>
      <c r="Z7" s="2"/>
      <c r="AA7" s="2"/>
      <c r="AB7" s="2"/>
      <c r="AC7" s="2">
        <f>INDEX(AC11:AC856,MATCH(AD7,AD11:AD856,1))</f>
        <v>-2.5238000000000001E-3</v>
      </c>
      <c r="AD7" s="10">
        <f>INDEX(AD11:AD856,1+MATCH(0,AC11:AC856,-1))</f>
        <v>12.731900000000001</v>
      </c>
      <c r="AE7" s="12">
        <f>INDEX(AC11:AC1056,MATCH(AE9,AE11:AE1056,0))</f>
        <v>1.6885399999999999</v>
      </c>
      <c r="AF7" s="9"/>
      <c r="AG7" s="2"/>
      <c r="AH7" s="2"/>
      <c r="AI7" s="2"/>
      <c r="AJ7" s="2"/>
      <c r="AK7" s="2">
        <f>INDEX(AK11:AK1056,MATCH(AL7,AL11:AL1056,0))</f>
        <v>1.00708E-3</v>
      </c>
      <c r="AL7" s="10">
        <f>INDEX(AL11:AL1056,1+MATCH(0,AK11:AK1056,1))</f>
        <v>13.4186</v>
      </c>
      <c r="AM7" s="12">
        <f>INDEX(AK11:AK1056,MATCH(AM9,AM11:AM1056,0))</f>
        <v>1.6976899999999999</v>
      </c>
      <c r="AP7" s="9"/>
      <c r="AQ7" s="2"/>
      <c r="AR7" s="2"/>
      <c r="AS7" s="2"/>
      <c r="AT7" s="2"/>
      <c r="AU7" s="2">
        <f>INDEX(AU11:AU856,MATCH(AV7,AV11:AV856,1))</f>
        <v>-2.5482199999999999E-3</v>
      </c>
      <c r="AV7" s="10">
        <f>INDEX(AV11:AV856,1+MATCH(0,AU11:AU856,-1))</f>
        <v>13.015700000000001</v>
      </c>
      <c r="AW7" s="12">
        <f>INDEX(AU11:AU1056,MATCH(AW9,AW11:AW1056,0))</f>
        <v>1.7034899999999999</v>
      </c>
      <c r="AX7" s="9"/>
      <c r="AY7" s="2"/>
      <c r="AZ7" s="2"/>
      <c r="BA7" s="2"/>
      <c r="BB7" s="2"/>
      <c r="BC7" s="2">
        <f>INDEX(BC11:BC1056,MATCH(BD7,BD11:BD1056,0))</f>
        <v>1.01929E-3</v>
      </c>
      <c r="BD7" s="10">
        <f>INDEX(BD11:BD1056,1+MATCH(0,BC11:BC1056,1))</f>
        <v>13.067600000000001</v>
      </c>
      <c r="BE7" s="12">
        <f>INDEX(BC11:BC1056,MATCH(BE9,BE11:BE1056,0))</f>
        <v>1.6921999999999999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4.640552384785428</v>
      </c>
      <c r="J9" s="2"/>
      <c r="K9" s="2"/>
      <c r="L9" s="3">
        <f>(L6-L7)/(K6-K7)*(-K7)+L7</f>
        <v>12.849425851701026</v>
      </c>
      <c r="M9" s="15">
        <f>MAX(M11:M1056)</f>
        <v>18.356499795000001</v>
      </c>
      <c r="N9" s="9"/>
      <c r="O9" s="2"/>
      <c r="P9" s="2"/>
      <c r="Q9" s="2"/>
      <c r="R9" s="2"/>
      <c r="S9" s="2"/>
      <c r="T9" s="3">
        <f>(T6-T7)/(S6-S7)*(-S7)+T7</f>
        <v>13.009623674760904</v>
      </c>
      <c r="U9" s="15">
        <f>MAX(U11:U1056)</f>
        <v>17.504656806</v>
      </c>
      <c r="X9" s="9"/>
      <c r="Y9" s="2"/>
      <c r="Z9" s="2"/>
      <c r="AA9" s="14">
        <f>(MAX(AD2,AL2)-MIN(AD2,AL2))/MAX(AD2,AL2)%</f>
        <v>0.12870677486693857</v>
      </c>
      <c r="AB9" s="2"/>
      <c r="AC9" s="2"/>
      <c r="AD9" s="3">
        <f>(AD6-AD7)/(AC6-AC7)*(-AC7)+AD7</f>
        <v>12.710691054028896</v>
      </c>
      <c r="AE9" s="15">
        <f>MAX(AE11:AE1056)</f>
        <v>17.959549545000002</v>
      </c>
      <c r="AF9" s="9"/>
      <c r="AG9" s="2"/>
      <c r="AH9" s="2"/>
      <c r="AI9" s="2"/>
      <c r="AJ9" s="2"/>
      <c r="AK9" s="2"/>
      <c r="AL9" s="3">
        <f>(AL6-AL7)/(AK6-AK7)*(-AK7)+AL7</f>
        <v>13.404037088008018</v>
      </c>
      <c r="AM9" s="15">
        <f>MAX(AM11:AM1056)</f>
        <v>17.936434388000002</v>
      </c>
      <c r="AP9" s="9"/>
      <c r="AQ9" s="2"/>
      <c r="AR9" s="2"/>
      <c r="AS9" s="14">
        <f>(MAX(AV2,BD2)-MIN(AV2,BD2))/MAX(AV2,BD2)%</f>
        <v>2.3175378531150015</v>
      </c>
      <c r="AT9" s="2"/>
      <c r="AU9" s="2"/>
      <c r="AV9" s="3">
        <f>(AV6-AV7)/(AU6-AU7)*(-AU7)+AV7</f>
        <v>13.003514584893015</v>
      </c>
      <c r="AW9" s="15">
        <f>MAX(AW11:AW1056)</f>
        <v>17.938083375000001</v>
      </c>
      <c r="AX9" s="9"/>
      <c r="AY9" s="2"/>
      <c r="AZ9" s="2"/>
      <c r="BA9" s="2"/>
      <c r="BB9" s="2"/>
      <c r="BC9" s="2"/>
      <c r="BD9" s="3">
        <f>(BD6-BD7)/(BC6-BC7)*(-BC7)+BD7</f>
        <v>13.074376832069905</v>
      </c>
      <c r="BE9" s="15">
        <f>MAX(BE11:BE1056)</f>
        <v>18.363668339999997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1.7446605262810542</v>
      </c>
      <c r="B11" s="18">
        <f>IFERROR(L9,0)</f>
        <v>12.849425851701026</v>
      </c>
      <c r="C11" s="19">
        <f>IFERROR(L4,0)</f>
        <v>0.81883277212816208</v>
      </c>
      <c r="D11" s="20">
        <f>IFERROR(L2,0)</f>
        <v>18.356499795000005</v>
      </c>
      <c r="E11" s="20">
        <f>IFERROR(I9,0)</f>
        <v>4.640552384785428</v>
      </c>
      <c r="F11" s="9"/>
      <c r="G11" s="21">
        <v>1.7948900000000001</v>
      </c>
      <c r="H11" s="21">
        <v>143.465</v>
      </c>
      <c r="I11" s="21">
        <v>3.4970099999999997E-2</v>
      </c>
      <c r="J11" s="21">
        <v>1</v>
      </c>
      <c r="K11" s="21">
        <v>1.79413</v>
      </c>
      <c r="L11">
        <f>-I11/$F$2*1000</f>
        <v>-34.970099999999995</v>
      </c>
      <c r="M11">
        <f>L11*G11</f>
        <v>-62.767482788999992</v>
      </c>
      <c r="N11" s="9"/>
      <c r="O11" s="21">
        <v>-9.49097E-2</v>
      </c>
      <c r="P11" s="21">
        <v>227.45</v>
      </c>
      <c r="Q11" s="21">
        <v>-1.34644E-2</v>
      </c>
      <c r="R11" s="21">
        <v>1</v>
      </c>
      <c r="S11" s="21">
        <v>-9.4238299999999997E-2</v>
      </c>
      <c r="T11">
        <f>-Q11/$F$2*1000</f>
        <v>13.464399999999999</v>
      </c>
      <c r="U11">
        <f>T11*O11</f>
        <v>-1.27790216468</v>
      </c>
      <c r="V11" s="22"/>
      <c r="W11" s="23"/>
      <c r="X11" s="9"/>
      <c r="Y11" s="21">
        <v>1.7948900000000001</v>
      </c>
      <c r="Z11" s="21">
        <v>433.61700000000002</v>
      </c>
      <c r="AA11" s="21">
        <v>1.3250700000000001E-2</v>
      </c>
      <c r="AB11" s="21">
        <v>1</v>
      </c>
      <c r="AC11" s="21">
        <v>1.79474</v>
      </c>
      <c r="AD11">
        <f>-AA11/$F$2*1000</f>
        <v>-13.2507</v>
      </c>
      <c r="AE11">
        <f>AD11*Y11</f>
        <v>-23.783548923000001</v>
      </c>
      <c r="AF11" s="9"/>
      <c r="AG11" s="21">
        <v>-9.49097E-2</v>
      </c>
      <c r="AH11" s="21">
        <v>490.29199999999997</v>
      </c>
      <c r="AI11" s="21">
        <v>-1.3842800000000001E-2</v>
      </c>
      <c r="AJ11" s="21">
        <v>1</v>
      </c>
      <c r="AK11" s="21">
        <v>-9.4329800000000005E-2</v>
      </c>
      <c r="AL11">
        <f>-AI11/$F$2*1000</f>
        <v>13.8428</v>
      </c>
      <c r="AM11">
        <f>AL11*AG11</f>
        <v>-1.3138159951600001</v>
      </c>
      <c r="AP11" s="9"/>
      <c r="AQ11" s="21">
        <v>1.7948900000000001</v>
      </c>
      <c r="AR11" s="21">
        <v>646.98099999999999</v>
      </c>
      <c r="AS11" s="21">
        <v>1.7797899999999998E-2</v>
      </c>
      <c r="AT11" s="21">
        <v>1</v>
      </c>
      <c r="AU11" s="21">
        <v>1.79321</v>
      </c>
      <c r="AV11">
        <f>-AS11/$F$2*1000</f>
        <v>-17.797899999999998</v>
      </c>
      <c r="AW11">
        <f>AV11*AQ11</f>
        <v>-31.945272730999999</v>
      </c>
      <c r="AX11" s="9"/>
      <c r="AY11" s="21">
        <v>-9.49097E-2</v>
      </c>
      <c r="AZ11" s="21">
        <v>737.07600000000002</v>
      </c>
      <c r="BA11" s="21">
        <v>-1.3507099999999999E-2</v>
      </c>
      <c r="BB11" s="21">
        <v>1</v>
      </c>
      <c r="BC11" s="21">
        <v>-9.4329800000000005E-2</v>
      </c>
      <c r="BD11">
        <f>-BA11/$F$2*1000</f>
        <v>13.507099999999999</v>
      </c>
      <c r="BE11">
        <f>BD11*AY11</f>
        <v>-1.2819548088699999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1.7404434220830436</v>
      </c>
      <c r="B12" s="18">
        <f>IFERROR(T9,0)</f>
        <v>13.009623674760904</v>
      </c>
      <c r="C12" s="19">
        <f>IFERROR(T4,0)</f>
        <v>0.7730880433949886</v>
      </c>
      <c r="D12" s="20">
        <f>IFERROR(T2,0)</f>
        <v>17.504656806</v>
      </c>
      <c r="E12" s="20"/>
      <c r="F12" s="9"/>
      <c r="G12" s="21">
        <v>1.78986</v>
      </c>
      <c r="H12" s="21">
        <v>143.566</v>
      </c>
      <c r="I12" s="21">
        <v>3.1301900000000001E-2</v>
      </c>
      <c r="J12" s="21">
        <v>2</v>
      </c>
      <c r="K12" s="21">
        <v>1.79016</v>
      </c>
      <c r="L12">
        <f t="shared" ref="L12:L75" si="0">-I12/$F$2*1000</f>
        <v>-31.3019</v>
      </c>
      <c r="M12">
        <f t="shared" ref="M12:M75" si="1">L12*G12</f>
        <v>-56.026018733999997</v>
      </c>
      <c r="N12" s="9"/>
      <c r="O12" s="21">
        <v>-8.9874300000000004E-2</v>
      </c>
      <c r="P12" s="21">
        <v>227.55</v>
      </c>
      <c r="Q12" s="21">
        <v>-1.3458299999999999E-2</v>
      </c>
      <c r="R12" s="21">
        <v>2</v>
      </c>
      <c r="S12" s="21">
        <v>-8.9416499999999996E-2</v>
      </c>
      <c r="T12">
        <f t="shared" ref="T12:T75" si="2">-Q12/$F$2*1000</f>
        <v>13.458299999999999</v>
      </c>
      <c r="U12">
        <f t="shared" ref="U12:U75" si="3">T12*O12</f>
        <v>-1.2095552916900001</v>
      </c>
      <c r="V12" s="22"/>
      <c r="W12" s="23"/>
      <c r="X12" s="9"/>
      <c r="Y12" s="21">
        <v>1.78986</v>
      </c>
      <c r="Z12" s="21">
        <v>433.71800000000002</v>
      </c>
      <c r="AA12" s="21">
        <v>1.17798E-2</v>
      </c>
      <c r="AB12" s="21">
        <v>2</v>
      </c>
      <c r="AC12" s="21">
        <v>1.78894</v>
      </c>
      <c r="AD12">
        <f t="shared" ref="AD12:AD75" si="4">-AA12/$F$2*1000</f>
        <v>-11.7798</v>
      </c>
      <c r="AE12">
        <f t="shared" ref="AE12:AE75" si="5">AD12*Y12</f>
        <v>-21.084192827999999</v>
      </c>
      <c r="AF12" s="9"/>
      <c r="AG12" s="21">
        <v>-8.9874300000000004E-2</v>
      </c>
      <c r="AH12" s="21">
        <v>490.39299999999997</v>
      </c>
      <c r="AI12" s="21">
        <v>-1.3848900000000001E-2</v>
      </c>
      <c r="AJ12" s="21">
        <v>2</v>
      </c>
      <c r="AK12" s="21">
        <v>-8.9385999999999993E-2</v>
      </c>
      <c r="AL12">
        <f t="shared" ref="AL12:AL75" si="6">-AI12/$F$2*1000</f>
        <v>13.8489</v>
      </c>
      <c r="AM12">
        <f t="shared" ref="AM12:AM75" si="7">AL12*AG12</f>
        <v>-1.2446601932700001</v>
      </c>
      <c r="AP12" s="9"/>
      <c r="AQ12" s="21">
        <v>1.78986</v>
      </c>
      <c r="AR12" s="21">
        <v>647.08199999999999</v>
      </c>
      <c r="AS12" s="21">
        <v>1.5661600000000001E-2</v>
      </c>
      <c r="AT12" s="21">
        <v>2</v>
      </c>
      <c r="AU12" s="21">
        <v>1.78955</v>
      </c>
      <c r="AV12">
        <f t="shared" ref="AV12:AV75" si="8">-AS12/$F$2*1000</f>
        <v>-15.661600000000002</v>
      </c>
      <c r="AW12">
        <f t="shared" ref="AW12:AW75" si="9">AV12*AQ12</f>
        <v>-28.032071376000005</v>
      </c>
      <c r="AX12" s="9"/>
      <c r="AY12" s="21">
        <v>-8.9874300000000004E-2</v>
      </c>
      <c r="AZ12" s="21">
        <v>737.17700000000002</v>
      </c>
      <c r="BA12" s="21">
        <v>-1.3561999999999999E-2</v>
      </c>
      <c r="BB12" s="21">
        <v>2</v>
      </c>
      <c r="BC12" s="21">
        <v>-8.9385999999999993E-2</v>
      </c>
      <c r="BD12">
        <f t="shared" ref="BD12:BD75" si="10">-BA12/$F$2*1000</f>
        <v>13.561999999999999</v>
      </c>
      <c r="BE12">
        <f t="shared" ref="BE12:BE75" si="11">BD12*AY12</f>
        <v>-1.2188752566000001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1.7477944565376617</v>
      </c>
      <c r="B13" s="18">
        <f>IFERROR(AD9,0)</f>
        <v>12.710691054028896</v>
      </c>
      <c r="C13" s="19">
        <f>IFERROR(AD4,0)</f>
        <v>0.80841789644243123</v>
      </c>
      <c r="D13" s="20">
        <f>IFERROR(AD2,0)</f>
        <v>17.959549545000002</v>
      </c>
      <c r="E13" s="20">
        <f>IFERROR(AA9,0)</f>
        <v>0.12870677486693857</v>
      </c>
      <c r="F13" s="9"/>
      <c r="G13" s="21">
        <v>1.7848200000000001</v>
      </c>
      <c r="H13" s="21">
        <v>143.667</v>
      </c>
      <c r="I13" s="21">
        <v>2.7685499999999998E-2</v>
      </c>
      <c r="J13" s="21">
        <v>3</v>
      </c>
      <c r="K13" s="21">
        <v>1.7843599999999999</v>
      </c>
      <c r="L13">
        <f t="shared" si="0"/>
        <v>-27.685499999999998</v>
      </c>
      <c r="M13">
        <f t="shared" si="1"/>
        <v>-49.413634109999997</v>
      </c>
      <c r="N13" s="9"/>
      <c r="O13" s="21">
        <v>-8.4838899999999995E-2</v>
      </c>
      <c r="P13" s="21">
        <v>227.65100000000001</v>
      </c>
      <c r="Q13" s="21">
        <v>-1.3458299999999999E-2</v>
      </c>
      <c r="R13" s="21">
        <v>3</v>
      </c>
      <c r="S13" s="21">
        <v>-8.4381100000000001E-2</v>
      </c>
      <c r="T13">
        <f t="shared" si="2"/>
        <v>13.458299999999999</v>
      </c>
      <c r="U13">
        <f t="shared" si="3"/>
        <v>-1.1417873678699999</v>
      </c>
      <c r="V13" s="22"/>
      <c r="W13" s="23"/>
      <c r="X13" s="9"/>
      <c r="Y13" s="21">
        <v>1.7848200000000001</v>
      </c>
      <c r="Z13" s="21">
        <v>433.81900000000002</v>
      </c>
      <c r="AA13" s="21">
        <v>1.02539E-2</v>
      </c>
      <c r="AB13" s="21">
        <v>3</v>
      </c>
      <c r="AC13" s="21">
        <v>1.7843599999999999</v>
      </c>
      <c r="AD13">
        <f t="shared" si="4"/>
        <v>-10.2539</v>
      </c>
      <c r="AE13">
        <f t="shared" si="5"/>
        <v>-18.301365797999999</v>
      </c>
      <c r="AF13" s="9"/>
      <c r="AG13" s="21">
        <v>-8.4838899999999995E-2</v>
      </c>
      <c r="AH13" s="21">
        <v>490.49400000000003</v>
      </c>
      <c r="AI13" s="21">
        <v>-1.3952600000000001E-2</v>
      </c>
      <c r="AJ13" s="21">
        <v>3</v>
      </c>
      <c r="AK13" s="21">
        <v>-8.4503200000000001E-2</v>
      </c>
      <c r="AL13">
        <f t="shared" si="6"/>
        <v>13.9526</v>
      </c>
      <c r="AM13">
        <f t="shared" si="7"/>
        <v>-1.1837232361399999</v>
      </c>
      <c r="AP13" s="9"/>
      <c r="AQ13" s="21">
        <v>1.7848200000000001</v>
      </c>
      <c r="AR13" s="21">
        <v>647.18200000000002</v>
      </c>
      <c r="AS13" s="21">
        <v>1.3424699999999999E-2</v>
      </c>
      <c r="AT13" s="21">
        <v>3</v>
      </c>
      <c r="AU13" s="21">
        <v>1.78406</v>
      </c>
      <c r="AV13">
        <f t="shared" si="8"/>
        <v>-13.4247</v>
      </c>
      <c r="AW13">
        <f t="shared" si="9"/>
        <v>-23.960673054000001</v>
      </c>
      <c r="AX13" s="9"/>
      <c r="AY13" s="21">
        <v>-8.4838899999999995E-2</v>
      </c>
      <c r="AZ13" s="21">
        <v>737.27800000000002</v>
      </c>
      <c r="BA13" s="21">
        <v>-1.35742E-2</v>
      </c>
      <c r="BB13" s="21">
        <v>3</v>
      </c>
      <c r="BC13" s="21">
        <v>-8.4350599999999998E-2</v>
      </c>
      <c r="BD13">
        <f t="shared" si="10"/>
        <v>13.574199999999999</v>
      </c>
      <c r="BE13">
        <f t="shared" si="11"/>
        <v>-1.1516201963799999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1.7462478627711957</v>
      </c>
      <c r="B14" s="18">
        <f>IFERROR(AL9,0)</f>
        <v>13.404037088008018</v>
      </c>
      <c r="C14" s="19">
        <f>IFERROR(AL4,0)</f>
        <v>0.76629255261252083</v>
      </c>
      <c r="D14" s="20">
        <f>IFERROR(AL2,0)</f>
        <v>17.936434388000002</v>
      </c>
      <c r="E14" s="20"/>
      <c r="F14" s="9"/>
      <c r="G14" s="21">
        <v>1.77979</v>
      </c>
      <c r="H14" s="21">
        <v>143.767</v>
      </c>
      <c r="I14" s="21">
        <v>2.40906E-2</v>
      </c>
      <c r="J14" s="21">
        <v>4</v>
      </c>
      <c r="K14" s="21">
        <v>1.7791699999999999</v>
      </c>
      <c r="L14">
        <f t="shared" si="0"/>
        <v>-24.090599999999998</v>
      </c>
      <c r="M14">
        <f t="shared" si="1"/>
        <v>-42.876208973999994</v>
      </c>
      <c r="N14" s="9"/>
      <c r="O14" s="21">
        <v>-7.9803499999999999E-2</v>
      </c>
      <c r="P14" s="21">
        <v>227.75200000000001</v>
      </c>
      <c r="Q14" s="21">
        <v>-1.3595599999999999E-2</v>
      </c>
      <c r="R14" s="21">
        <v>4</v>
      </c>
      <c r="S14" s="21">
        <v>-7.9406699999999997E-2</v>
      </c>
      <c r="T14">
        <f t="shared" si="2"/>
        <v>13.595599999999999</v>
      </c>
      <c r="U14">
        <f t="shared" si="3"/>
        <v>-1.0849764646</v>
      </c>
      <c r="V14" s="22"/>
      <c r="W14" s="23"/>
      <c r="X14" s="9"/>
      <c r="Y14" s="21">
        <v>1.77979</v>
      </c>
      <c r="Z14" s="21">
        <v>433.91899999999998</v>
      </c>
      <c r="AA14" s="21">
        <v>8.8226299999999997E-3</v>
      </c>
      <c r="AB14" s="21">
        <v>4</v>
      </c>
      <c r="AC14" s="21">
        <v>1.77887</v>
      </c>
      <c r="AD14">
        <f t="shared" si="4"/>
        <v>-8.8226300000000002</v>
      </c>
      <c r="AE14">
        <f t="shared" si="5"/>
        <v>-15.7024286477</v>
      </c>
      <c r="AF14" s="9"/>
      <c r="AG14" s="21">
        <v>-7.9803499999999999E-2</v>
      </c>
      <c r="AH14" s="21">
        <v>490.59399999999999</v>
      </c>
      <c r="AI14" s="21">
        <v>-1.39618E-2</v>
      </c>
      <c r="AJ14" s="21">
        <v>4</v>
      </c>
      <c r="AK14" s="21">
        <v>-7.9437300000000002E-2</v>
      </c>
      <c r="AL14">
        <f t="shared" si="6"/>
        <v>13.9618</v>
      </c>
      <c r="AM14">
        <f t="shared" si="7"/>
        <v>-1.1142005063</v>
      </c>
      <c r="AP14" s="9"/>
      <c r="AQ14" s="21">
        <v>1.77979</v>
      </c>
      <c r="AR14" s="21">
        <v>647.28300000000002</v>
      </c>
      <c r="AS14" s="21">
        <v>1.1074799999999999E-2</v>
      </c>
      <c r="AT14" s="21">
        <v>4</v>
      </c>
      <c r="AU14" s="21">
        <v>1.78955</v>
      </c>
      <c r="AV14">
        <f t="shared" si="8"/>
        <v>-11.0748</v>
      </c>
      <c r="AW14">
        <f t="shared" si="9"/>
        <v>-19.710818291999999</v>
      </c>
      <c r="AX14" s="9"/>
      <c r="AY14" s="21">
        <v>-7.9803499999999999E-2</v>
      </c>
      <c r="AZ14" s="21">
        <v>737.37900000000002</v>
      </c>
      <c r="BA14" s="21">
        <v>-1.35803E-2</v>
      </c>
      <c r="BB14" s="21">
        <v>4</v>
      </c>
      <c r="BC14" s="21">
        <v>-7.9406699999999997E-2</v>
      </c>
      <c r="BD14">
        <f t="shared" si="10"/>
        <v>13.580299999999999</v>
      </c>
      <c r="BE14">
        <f t="shared" si="11"/>
        <v>-1.0837554710499999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1.7527763474809588</v>
      </c>
      <c r="B15" s="18">
        <f>IFERROR(AV9,0)</f>
        <v>13.003514584893015</v>
      </c>
      <c r="C15" s="19">
        <f>IFERROR(AV4,0)</f>
        <v>0.78702546578289667</v>
      </c>
      <c r="D15" s="20">
        <f>IFERROR(AV2,0)</f>
        <v>17.938083375000005</v>
      </c>
      <c r="E15" s="20">
        <f>IFERROR(AS9,0)</f>
        <v>2.3175378531150015</v>
      </c>
      <c r="F15" s="9"/>
      <c r="G15" s="21">
        <v>1.77475</v>
      </c>
      <c r="H15" s="21">
        <v>143.86799999999999</v>
      </c>
      <c r="I15" s="21">
        <v>2.052E-2</v>
      </c>
      <c r="J15" s="21">
        <v>5</v>
      </c>
      <c r="K15" s="21">
        <v>1.77399</v>
      </c>
      <c r="L15">
        <f t="shared" si="0"/>
        <v>-20.52</v>
      </c>
      <c r="M15">
        <f t="shared" si="1"/>
        <v>-36.417870000000001</v>
      </c>
      <c r="N15" s="9"/>
      <c r="O15" s="21">
        <v>-7.4768100000000004E-2</v>
      </c>
      <c r="P15" s="21">
        <v>227.852</v>
      </c>
      <c r="Q15" s="21">
        <v>-1.3598600000000001E-2</v>
      </c>
      <c r="R15" s="21">
        <v>5</v>
      </c>
      <c r="S15" s="21">
        <v>-7.4401900000000007E-2</v>
      </c>
      <c r="T15">
        <f t="shared" si="2"/>
        <v>13.598600000000001</v>
      </c>
      <c r="U15">
        <f t="shared" si="3"/>
        <v>-1.0167414846600002</v>
      </c>
      <c r="V15" s="22"/>
      <c r="W15" s="23"/>
      <c r="X15" s="9"/>
      <c r="Y15" s="21">
        <v>1.77475</v>
      </c>
      <c r="Z15" s="21">
        <v>434.02</v>
      </c>
      <c r="AA15" s="21">
        <v>7.3394799999999998E-3</v>
      </c>
      <c r="AB15" s="21">
        <v>5</v>
      </c>
      <c r="AC15" s="21">
        <v>1.7746</v>
      </c>
      <c r="AD15">
        <f t="shared" si="4"/>
        <v>-7.33948</v>
      </c>
      <c r="AE15">
        <f t="shared" si="5"/>
        <v>-13.025742130000001</v>
      </c>
      <c r="AF15" s="9"/>
      <c r="AG15" s="21">
        <v>-7.4768100000000004E-2</v>
      </c>
      <c r="AH15" s="21">
        <v>490.69499999999999</v>
      </c>
      <c r="AI15" s="21">
        <v>-1.3946500000000001E-2</v>
      </c>
      <c r="AJ15" s="21">
        <v>5</v>
      </c>
      <c r="AK15" s="21">
        <v>-7.4432399999999996E-2</v>
      </c>
      <c r="AL15">
        <f t="shared" si="6"/>
        <v>13.9465</v>
      </c>
      <c r="AM15">
        <f t="shared" si="7"/>
        <v>-1.0427533066500001</v>
      </c>
      <c r="AP15" s="9"/>
      <c r="AQ15" s="21">
        <v>1.77475</v>
      </c>
      <c r="AR15" s="21">
        <v>647.38400000000001</v>
      </c>
      <c r="AS15" s="21">
        <v>8.9111299999999997E-3</v>
      </c>
      <c r="AT15" s="21">
        <v>5</v>
      </c>
      <c r="AU15" s="21">
        <v>1.7736799999999999</v>
      </c>
      <c r="AV15">
        <f t="shared" si="8"/>
        <v>-8.91113</v>
      </c>
      <c r="AW15">
        <f t="shared" si="9"/>
        <v>-15.815027967500001</v>
      </c>
      <c r="AX15" s="9"/>
      <c r="AY15" s="21">
        <v>-7.4768100000000004E-2</v>
      </c>
      <c r="AZ15" s="21">
        <v>737.47900000000004</v>
      </c>
      <c r="BA15" s="21">
        <v>-1.35742E-2</v>
      </c>
      <c r="BB15" s="21">
        <v>5</v>
      </c>
      <c r="BC15" s="21">
        <v>-7.4401900000000007E-2</v>
      </c>
      <c r="BD15">
        <f t="shared" si="10"/>
        <v>13.574199999999999</v>
      </c>
      <c r="BE15">
        <f t="shared" si="11"/>
        <v>-1.0149171430199999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1.7506059849022979</v>
      </c>
      <c r="B16" s="18">
        <f>IFERROR(BD9,0)</f>
        <v>13.074376832069905</v>
      </c>
      <c r="C16" s="19">
        <f>IFERROR(BD4,0)</f>
        <v>0.802324461890637</v>
      </c>
      <c r="D16" s="20">
        <f>IFERROR(BD2,0)</f>
        <v>18.36366834</v>
      </c>
      <c r="E16" s="20"/>
      <c r="F16" s="9"/>
      <c r="G16" s="21">
        <v>1.7697099999999999</v>
      </c>
      <c r="H16" s="21">
        <v>143.96899999999999</v>
      </c>
      <c r="I16" s="21">
        <v>1.6964699999999999E-2</v>
      </c>
      <c r="J16" s="21">
        <v>6</v>
      </c>
      <c r="K16" s="21">
        <v>1.7694099999999999</v>
      </c>
      <c r="L16">
        <f t="shared" si="0"/>
        <v>-16.964700000000001</v>
      </c>
      <c r="M16">
        <f t="shared" si="1"/>
        <v>-30.022599236999998</v>
      </c>
      <c r="N16" s="9"/>
      <c r="O16" s="21">
        <v>-6.9732699999999995E-2</v>
      </c>
      <c r="P16" s="21">
        <v>227.953</v>
      </c>
      <c r="Q16" s="21">
        <v>-1.35712E-2</v>
      </c>
      <c r="R16" s="21">
        <v>6</v>
      </c>
      <c r="S16" s="21">
        <v>-6.9458000000000006E-2</v>
      </c>
      <c r="T16">
        <f t="shared" si="2"/>
        <v>13.571200000000001</v>
      </c>
      <c r="U16">
        <f t="shared" si="3"/>
        <v>-0.94635641824000005</v>
      </c>
      <c r="V16" s="22"/>
      <c r="W16" s="23"/>
      <c r="X16" s="9"/>
      <c r="Y16" s="21">
        <v>1.7697099999999999</v>
      </c>
      <c r="Z16" s="21">
        <v>434.12099999999998</v>
      </c>
      <c r="AA16" s="21">
        <v>5.8563199999999999E-3</v>
      </c>
      <c r="AB16" s="21">
        <v>6</v>
      </c>
      <c r="AC16" s="21">
        <v>1.7690999999999999</v>
      </c>
      <c r="AD16">
        <f t="shared" si="4"/>
        <v>-5.8563200000000002</v>
      </c>
      <c r="AE16">
        <f t="shared" si="5"/>
        <v>-10.363988067199999</v>
      </c>
      <c r="AF16" s="9"/>
      <c r="AG16" s="21">
        <v>-6.9732699999999995E-2</v>
      </c>
      <c r="AH16" s="21">
        <v>490.79599999999999</v>
      </c>
      <c r="AI16" s="21">
        <v>-1.39252E-2</v>
      </c>
      <c r="AJ16" s="21">
        <v>6</v>
      </c>
      <c r="AK16" s="21">
        <v>-6.9488499999999995E-2</v>
      </c>
      <c r="AL16">
        <f t="shared" si="6"/>
        <v>13.9252</v>
      </c>
      <c r="AM16">
        <f t="shared" si="7"/>
        <v>-0.97104179403999991</v>
      </c>
      <c r="AP16" s="9"/>
      <c r="AQ16" s="21">
        <v>1.7697099999999999</v>
      </c>
      <c r="AR16" s="21">
        <v>647.48400000000004</v>
      </c>
      <c r="AS16" s="21">
        <v>6.7840599999999997E-3</v>
      </c>
      <c r="AT16" s="21">
        <v>6</v>
      </c>
      <c r="AU16" s="21">
        <v>1.7694099999999999</v>
      </c>
      <c r="AV16">
        <f t="shared" si="8"/>
        <v>-6.7840599999999993</v>
      </c>
      <c r="AW16">
        <f t="shared" si="9"/>
        <v>-12.005818822599998</v>
      </c>
      <c r="AX16" s="9"/>
      <c r="AY16" s="21">
        <v>-6.9732699999999995E-2</v>
      </c>
      <c r="AZ16" s="21">
        <v>737.58</v>
      </c>
      <c r="BA16" s="21">
        <v>-1.3549800000000001E-2</v>
      </c>
      <c r="BB16" s="21">
        <v>6</v>
      </c>
      <c r="BC16" s="21">
        <v>-6.9427500000000003E-2</v>
      </c>
      <c r="BD16">
        <f t="shared" si="10"/>
        <v>13.549800000000001</v>
      </c>
      <c r="BE16">
        <f t="shared" si="11"/>
        <v>-0.94486413846000006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144.06899999999999</v>
      </c>
      <c r="I17" s="21">
        <v>1.33118E-2</v>
      </c>
      <c r="J17" s="21">
        <v>7</v>
      </c>
      <c r="K17" s="21">
        <v>1.7636099999999999</v>
      </c>
      <c r="L17">
        <f t="shared" si="0"/>
        <v>-13.3118</v>
      </c>
      <c r="M17">
        <f t="shared" si="1"/>
        <v>-23.491067224000002</v>
      </c>
      <c r="N17" s="9"/>
      <c r="O17" s="21">
        <v>-6.4697299999999999E-2</v>
      </c>
      <c r="P17" s="21">
        <v>228.054</v>
      </c>
      <c r="Q17" s="21">
        <v>-1.35315E-2</v>
      </c>
      <c r="R17" s="21">
        <v>7</v>
      </c>
      <c r="S17" s="21">
        <v>-6.4422599999999997E-2</v>
      </c>
      <c r="T17">
        <f t="shared" si="2"/>
        <v>13.531499999999999</v>
      </c>
      <c r="U17">
        <f t="shared" si="3"/>
        <v>-0.87545151494999995</v>
      </c>
      <c r="V17" s="22"/>
      <c r="W17" s="23"/>
      <c r="X17" s="9"/>
      <c r="Y17" s="21">
        <v>1.76468</v>
      </c>
      <c r="Z17" s="21">
        <v>434.221</v>
      </c>
      <c r="AA17" s="21">
        <v>4.4427499999999997E-3</v>
      </c>
      <c r="AB17" s="21">
        <v>7</v>
      </c>
      <c r="AC17" s="21">
        <v>1.7642199999999999</v>
      </c>
      <c r="AD17">
        <f t="shared" si="4"/>
        <v>-4.4427499999999993</v>
      </c>
      <c r="AE17">
        <f t="shared" si="5"/>
        <v>-7.8400320699999986</v>
      </c>
      <c r="AF17" s="9"/>
      <c r="AG17" s="21">
        <v>-6.4697299999999999E-2</v>
      </c>
      <c r="AH17" s="21">
        <v>490.89600000000002</v>
      </c>
      <c r="AI17" s="21">
        <v>-1.38733E-2</v>
      </c>
      <c r="AJ17" s="21">
        <v>7</v>
      </c>
      <c r="AK17" s="21">
        <v>-6.4422599999999997E-2</v>
      </c>
      <c r="AL17">
        <f t="shared" si="6"/>
        <v>13.8733</v>
      </c>
      <c r="AM17">
        <f t="shared" si="7"/>
        <v>-0.89756505209000004</v>
      </c>
      <c r="AP17" s="9"/>
      <c r="AQ17" s="21">
        <v>1.76468</v>
      </c>
      <c r="AR17" s="21">
        <v>647.58500000000004</v>
      </c>
      <c r="AS17" s="21">
        <v>4.7222899999999996E-3</v>
      </c>
      <c r="AT17" s="21">
        <v>7</v>
      </c>
      <c r="AU17" s="21">
        <v>1.7642199999999999</v>
      </c>
      <c r="AV17">
        <f t="shared" si="8"/>
        <v>-4.7222899999999992</v>
      </c>
      <c r="AW17">
        <f t="shared" si="9"/>
        <v>-8.3333307171999991</v>
      </c>
      <c r="AX17" s="9"/>
      <c r="AY17" s="21">
        <v>-6.4697299999999999E-2</v>
      </c>
      <c r="AZ17" s="21">
        <v>737.68100000000004</v>
      </c>
      <c r="BA17" s="21">
        <v>-1.35376E-2</v>
      </c>
      <c r="BB17" s="21">
        <v>7</v>
      </c>
      <c r="BC17" s="21">
        <v>-6.4422599999999997E-2</v>
      </c>
      <c r="BD17">
        <f t="shared" si="10"/>
        <v>13.537600000000001</v>
      </c>
      <c r="BE17">
        <f t="shared" si="11"/>
        <v>-0.87584616848000008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144.16999999999999</v>
      </c>
      <c r="I18" s="21">
        <v>9.7595200000000007E-3</v>
      </c>
      <c r="J18" s="21">
        <v>8</v>
      </c>
      <c r="K18" s="21">
        <v>1.7587299999999999</v>
      </c>
      <c r="L18">
        <f t="shared" si="0"/>
        <v>-9.7595200000000002</v>
      </c>
      <c r="M18">
        <f t="shared" si="1"/>
        <v>-17.173241772800001</v>
      </c>
      <c r="N18" s="9"/>
      <c r="O18" s="21">
        <v>-5.9661899999999997E-2</v>
      </c>
      <c r="P18" s="21">
        <v>228.155</v>
      </c>
      <c r="Q18" s="21">
        <v>-1.34918E-2</v>
      </c>
      <c r="R18" s="21">
        <v>8</v>
      </c>
      <c r="S18" s="21">
        <v>-5.9478799999999998E-2</v>
      </c>
      <c r="T18">
        <f t="shared" si="2"/>
        <v>13.4918</v>
      </c>
      <c r="U18">
        <f t="shared" si="3"/>
        <v>-0.80494642241999992</v>
      </c>
      <c r="V18" s="22"/>
      <c r="W18" s="23"/>
      <c r="X18" s="9"/>
      <c r="Y18" s="21">
        <v>1.7596400000000001</v>
      </c>
      <c r="Z18" s="21">
        <v>434.322</v>
      </c>
      <c r="AA18" s="21">
        <v>3.0023200000000002E-3</v>
      </c>
      <c r="AB18" s="21">
        <v>8</v>
      </c>
      <c r="AC18" s="21">
        <v>1.7590300000000001</v>
      </c>
      <c r="AD18">
        <f t="shared" si="4"/>
        <v>-3.0023200000000001</v>
      </c>
      <c r="AE18">
        <f t="shared" si="5"/>
        <v>-5.2830023648000006</v>
      </c>
      <c r="AF18" s="9"/>
      <c r="AG18" s="21">
        <v>-5.9661899999999997E-2</v>
      </c>
      <c r="AH18" s="21">
        <v>490.99700000000001</v>
      </c>
      <c r="AI18" s="21">
        <v>-1.3797E-2</v>
      </c>
      <c r="AJ18" s="21">
        <v>8</v>
      </c>
      <c r="AK18" s="21">
        <v>-5.9417699999999997E-2</v>
      </c>
      <c r="AL18">
        <f t="shared" si="6"/>
        <v>13.797000000000001</v>
      </c>
      <c r="AM18">
        <f t="shared" si="7"/>
        <v>-0.82315523430000004</v>
      </c>
      <c r="AP18" s="9"/>
      <c r="AQ18" s="21">
        <v>1.7596400000000001</v>
      </c>
      <c r="AR18" s="21">
        <v>647.68600000000004</v>
      </c>
      <c r="AS18" s="21">
        <v>2.6574699999999999E-3</v>
      </c>
      <c r="AT18" s="21">
        <v>8</v>
      </c>
      <c r="AU18" s="21">
        <v>1.7590300000000001</v>
      </c>
      <c r="AV18">
        <f t="shared" si="8"/>
        <v>-2.65747</v>
      </c>
      <c r="AW18">
        <f t="shared" si="9"/>
        <v>-4.6761905108000006</v>
      </c>
      <c r="AX18" s="9"/>
      <c r="AY18" s="21">
        <v>-5.9661899999999997E-2</v>
      </c>
      <c r="AZ18" s="21">
        <v>737.78099999999995</v>
      </c>
      <c r="BA18" s="21">
        <v>-1.34979E-2</v>
      </c>
      <c r="BB18" s="21">
        <v>8</v>
      </c>
      <c r="BC18" s="21">
        <v>-5.9539799999999997E-2</v>
      </c>
      <c r="BD18">
        <f t="shared" si="10"/>
        <v>13.4979</v>
      </c>
      <c r="BE18">
        <f t="shared" si="11"/>
        <v>-0.80531036000999989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144.27099999999999</v>
      </c>
      <c r="I19" s="21">
        <v>6.1859100000000002E-3</v>
      </c>
      <c r="J19" s="21">
        <v>9</v>
      </c>
      <c r="K19" s="21">
        <v>1.7538499999999999</v>
      </c>
      <c r="L19">
        <f t="shared" si="0"/>
        <v>-6.1859099999999998</v>
      </c>
      <c r="M19">
        <f t="shared" si="1"/>
        <v>-10.853859545099999</v>
      </c>
      <c r="N19" s="9"/>
      <c r="O19" s="21">
        <v>-5.4626500000000001E-2</v>
      </c>
      <c r="P19" s="21">
        <v>228.255</v>
      </c>
      <c r="Q19" s="21">
        <v>-1.3439899999999999E-2</v>
      </c>
      <c r="R19" s="21">
        <v>9</v>
      </c>
      <c r="S19" s="21">
        <v>-5.4412799999999997E-2</v>
      </c>
      <c r="T19">
        <f t="shared" si="2"/>
        <v>13.4399</v>
      </c>
      <c r="U19">
        <f t="shared" si="3"/>
        <v>-0.73417469734999996</v>
      </c>
      <c r="V19" s="22"/>
      <c r="W19" s="23"/>
      <c r="X19" s="9"/>
      <c r="Y19" s="21">
        <v>1.75461</v>
      </c>
      <c r="Z19" s="21">
        <v>434.423</v>
      </c>
      <c r="AA19" s="21">
        <v>1.5533400000000001E-3</v>
      </c>
      <c r="AB19" s="21">
        <v>9</v>
      </c>
      <c r="AC19" s="21">
        <v>1.7538499999999999</v>
      </c>
      <c r="AD19">
        <f t="shared" si="4"/>
        <v>-1.5533400000000002</v>
      </c>
      <c r="AE19">
        <f t="shared" si="5"/>
        <v>-2.7255058974000002</v>
      </c>
      <c r="AF19" s="9"/>
      <c r="AG19" s="21">
        <v>-5.4626500000000001E-2</v>
      </c>
      <c r="AH19" s="21">
        <v>491.09800000000001</v>
      </c>
      <c r="AI19" s="21">
        <v>-1.38336E-2</v>
      </c>
      <c r="AJ19" s="21">
        <v>9</v>
      </c>
      <c r="AK19" s="21">
        <v>-5.4534899999999997E-2</v>
      </c>
      <c r="AL19">
        <f t="shared" si="6"/>
        <v>13.833600000000001</v>
      </c>
      <c r="AM19">
        <f t="shared" si="7"/>
        <v>-0.75568115040000006</v>
      </c>
      <c r="AP19" s="9"/>
      <c r="AQ19" s="21">
        <v>1.75461</v>
      </c>
      <c r="AR19" s="21">
        <v>647.78700000000003</v>
      </c>
      <c r="AS19" s="21">
        <v>6.5765400000000003E-4</v>
      </c>
      <c r="AT19" s="21">
        <v>9</v>
      </c>
      <c r="AU19" s="21">
        <v>1.7547600000000001</v>
      </c>
      <c r="AV19">
        <f t="shared" si="8"/>
        <v>-0.65765400000000007</v>
      </c>
      <c r="AW19">
        <f t="shared" si="9"/>
        <v>-1.15392628494</v>
      </c>
      <c r="AX19" s="9"/>
      <c r="AY19" s="21">
        <v>-5.4626500000000001E-2</v>
      </c>
      <c r="AZ19" s="21">
        <v>737.88199999999995</v>
      </c>
      <c r="BA19" s="21">
        <v>-1.3461300000000001E-2</v>
      </c>
      <c r="BB19" s="21">
        <v>9</v>
      </c>
      <c r="BC19" s="21">
        <v>-5.4473899999999999E-2</v>
      </c>
      <c r="BD19">
        <f t="shared" si="10"/>
        <v>13.461300000000001</v>
      </c>
      <c r="BE19">
        <f t="shared" si="11"/>
        <v>-0.73534370445000008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144.37200000000001</v>
      </c>
      <c r="I20" s="21">
        <v>2.7786299999999998E-3</v>
      </c>
      <c r="J20" s="21">
        <v>10</v>
      </c>
      <c r="K20" s="21">
        <v>1.7486600000000001</v>
      </c>
      <c r="L20">
        <f t="shared" si="0"/>
        <v>-2.7786299999999997</v>
      </c>
      <c r="M20">
        <f t="shared" si="1"/>
        <v>-4.8614076891</v>
      </c>
      <c r="N20" s="9"/>
      <c r="O20" s="21">
        <v>-4.9591099999999999E-2</v>
      </c>
      <c r="P20" s="21">
        <v>228.35599999999999</v>
      </c>
      <c r="Q20" s="21">
        <v>-1.34033E-2</v>
      </c>
      <c r="R20" s="21">
        <v>10</v>
      </c>
      <c r="S20" s="21">
        <v>-4.9438500000000003E-2</v>
      </c>
      <c r="T20">
        <f t="shared" si="2"/>
        <v>13.4033</v>
      </c>
      <c r="U20">
        <f t="shared" si="3"/>
        <v>-0.66468439062999995</v>
      </c>
      <c r="V20" s="22"/>
      <c r="W20" s="23"/>
      <c r="X20" s="9"/>
      <c r="Y20" s="21">
        <v>1.7495700000000001</v>
      </c>
      <c r="Z20" s="21">
        <v>434.524</v>
      </c>
      <c r="AA20" s="21">
        <v>1.7230199999999999E-4</v>
      </c>
      <c r="AB20" s="21">
        <v>10</v>
      </c>
      <c r="AC20" s="21">
        <v>1.7483500000000001</v>
      </c>
      <c r="AD20">
        <f t="shared" si="4"/>
        <v>-0.17230199999999998</v>
      </c>
      <c r="AE20">
        <f t="shared" si="5"/>
        <v>-0.30145441013999996</v>
      </c>
      <c r="AF20" s="9"/>
      <c r="AG20" s="21">
        <v>-4.9591099999999999E-2</v>
      </c>
      <c r="AH20" s="21">
        <v>491.19900000000001</v>
      </c>
      <c r="AI20" s="21">
        <v>-1.37695E-2</v>
      </c>
      <c r="AJ20" s="21">
        <v>10</v>
      </c>
      <c r="AK20" s="21">
        <v>-4.9529999999999998E-2</v>
      </c>
      <c r="AL20">
        <f t="shared" si="6"/>
        <v>13.769500000000001</v>
      </c>
      <c r="AM20">
        <f t="shared" si="7"/>
        <v>-0.68284465145000006</v>
      </c>
      <c r="AP20" s="9"/>
      <c r="AQ20" s="21">
        <v>1.7495700000000001</v>
      </c>
      <c r="AR20" s="21">
        <v>647.88699999999994</v>
      </c>
      <c r="AS20" s="21">
        <v>-1.26526E-3</v>
      </c>
      <c r="AT20" s="21">
        <v>10</v>
      </c>
      <c r="AU20" s="21">
        <v>1.7489600000000001</v>
      </c>
      <c r="AV20">
        <f t="shared" si="8"/>
        <v>1.2652600000000001</v>
      </c>
      <c r="AW20">
        <f t="shared" si="9"/>
        <v>2.2136609382000003</v>
      </c>
      <c r="AX20" s="9"/>
      <c r="AY20" s="21">
        <v>-4.9591099999999999E-2</v>
      </c>
      <c r="AZ20" s="21">
        <v>737.98299999999995</v>
      </c>
      <c r="BA20" s="21">
        <v>-1.3424699999999999E-2</v>
      </c>
      <c r="BB20" s="21">
        <v>10</v>
      </c>
      <c r="BC20" s="21">
        <v>-4.9408000000000001E-2</v>
      </c>
      <c r="BD20">
        <f t="shared" si="10"/>
        <v>13.4247</v>
      </c>
      <c r="BE20">
        <f t="shared" si="11"/>
        <v>-0.66574564016999993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144.47200000000001</v>
      </c>
      <c r="I21" s="21">
        <v>-4.0331999999999998E-4</v>
      </c>
      <c r="J21" s="21">
        <v>11</v>
      </c>
      <c r="K21" s="21">
        <v>1.7440800000000001</v>
      </c>
      <c r="L21">
        <f t="shared" si="0"/>
        <v>0.40331999999999996</v>
      </c>
      <c r="M21">
        <f t="shared" si="1"/>
        <v>0.70360787279999992</v>
      </c>
      <c r="N21" s="9"/>
      <c r="O21" s="21">
        <v>-4.4555699999999997E-2</v>
      </c>
      <c r="P21" s="21">
        <v>228.45699999999999</v>
      </c>
      <c r="Q21" s="21">
        <v>-1.3345299999999999E-2</v>
      </c>
      <c r="R21" s="21">
        <v>11</v>
      </c>
      <c r="S21" s="21">
        <v>-4.43268E-2</v>
      </c>
      <c r="T21">
        <f t="shared" si="2"/>
        <v>13.3453</v>
      </c>
      <c r="U21">
        <f t="shared" si="3"/>
        <v>-0.59460918321</v>
      </c>
      <c r="V21" s="22"/>
      <c r="W21" s="23"/>
      <c r="X21" s="9"/>
      <c r="Y21" s="21">
        <v>1.74454</v>
      </c>
      <c r="Z21" s="21">
        <v>434.62400000000002</v>
      </c>
      <c r="AA21" s="21">
        <v>-1.15204E-3</v>
      </c>
      <c r="AB21" s="21">
        <v>11</v>
      </c>
      <c r="AC21" s="21">
        <v>1.7440800000000001</v>
      </c>
      <c r="AD21">
        <f t="shared" si="4"/>
        <v>1.15204</v>
      </c>
      <c r="AE21">
        <f t="shared" si="5"/>
        <v>2.0097798615999998</v>
      </c>
      <c r="AF21" s="9"/>
      <c r="AG21" s="21">
        <v>-4.4555699999999997E-2</v>
      </c>
      <c r="AH21" s="21">
        <v>491.29899999999998</v>
      </c>
      <c r="AI21" s="21">
        <v>-1.3717699999999999E-2</v>
      </c>
      <c r="AJ21" s="21">
        <v>11</v>
      </c>
      <c r="AK21" s="21">
        <v>-4.4329800000000003E-2</v>
      </c>
      <c r="AL21">
        <f t="shared" si="6"/>
        <v>13.717699999999999</v>
      </c>
      <c r="AM21">
        <f t="shared" si="7"/>
        <v>-0.61120172588999988</v>
      </c>
      <c r="AP21" s="9"/>
      <c r="AQ21" s="21">
        <v>1.74454</v>
      </c>
      <c r="AR21" s="21">
        <v>647.98800000000006</v>
      </c>
      <c r="AS21" s="21">
        <v>-3.1402600000000002E-3</v>
      </c>
      <c r="AT21" s="21">
        <v>11</v>
      </c>
      <c r="AU21" s="21">
        <v>1.74377</v>
      </c>
      <c r="AV21">
        <f t="shared" si="8"/>
        <v>3.1402600000000001</v>
      </c>
      <c r="AW21">
        <f t="shared" si="9"/>
        <v>5.4783091804000001</v>
      </c>
      <c r="AX21" s="9"/>
      <c r="AY21" s="21">
        <v>-4.4555699999999997E-2</v>
      </c>
      <c r="AZ21" s="21">
        <v>738.08299999999997</v>
      </c>
      <c r="BA21" s="21">
        <v>-1.3378900000000001E-2</v>
      </c>
      <c r="BB21" s="21">
        <v>11</v>
      </c>
      <c r="BC21" s="21">
        <v>-4.4281000000000001E-2</v>
      </c>
      <c r="BD21">
        <f t="shared" si="10"/>
        <v>13.378900000000002</v>
      </c>
      <c r="BE21">
        <f t="shared" si="11"/>
        <v>-0.59610625473000001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144.57300000000001</v>
      </c>
      <c r="I22" s="21">
        <v>-3.1314099999999998E-3</v>
      </c>
      <c r="J22" s="21">
        <v>12</v>
      </c>
      <c r="K22" s="21">
        <v>1.7392000000000001</v>
      </c>
      <c r="L22">
        <f t="shared" si="0"/>
        <v>3.1314099999999998</v>
      </c>
      <c r="M22">
        <f t="shared" si="1"/>
        <v>5.4470876949999996</v>
      </c>
      <c r="N22" s="9"/>
      <c r="O22" s="21">
        <v>-3.9520300000000001E-2</v>
      </c>
      <c r="P22" s="21">
        <v>228.55699999999999</v>
      </c>
      <c r="Q22" s="21">
        <v>-1.33057E-2</v>
      </c>
      <c r="R22" s="21">
        <v>12</v>
      </c>
      <c r="S22" s="21">
        <v>-3.9306599999999997E-2</v>
      </c>
      <c r="T22">
        <f t="shared" si="2"/>
        <v>13.3057</v>
      </c>
      <c r="U22">
        <f t="shared" si="3"/>
        <v>-0.52584525570999996</v>
      </c>
      <c r="V22" s="22"/>
      <c r="W22" s="23"/>
      <c r="X22" s="9"/>
      <c r="Y22" s="21">
        <v>1.7395</v>
      </c>
      <c r="Z22" s="21">
        <v>434.72500000000002</v>
      </c>
      <c r="AA22" s="21">
        <v>-2.48993E-3</v>
      </c>
      <c r="AB22" s="21">
        <v>12</v>
      </c>
      <c r="AC22" s="21">
        <v>1.73889</v>
      </c>
      <c r="AD22">
        <f t="shared" si="4"/>
        <v>2.4899300000000002</v>
      </c>
      <c r="AE22">
        <f t="shared" si="5"/>
        <v>4.3312332350000009</v>
      </c>
      <c r="AF22" s="9"/>
      <c r="AG22" s="21">
        <v>-3.9520300000000001E-2</v>
      </c>
      <c r="AH22" s="21">
        <v>491.4</v>
      </c>
      <c r="AI22" s="21">
        <v>-1.37024E-2</v>
      </c>
      <c r="AJ22" s="21">
        <v>12</v>
      </c>
      <c r="AK22" s="21">
        <v>-3.9306599999999997E-2</v>
      </c>
      <c r="AL22">
        <f t="shared" si="6"/>
        <v>13.702400000000001</v>
      </c>
      <c r="AM22">
        <f t="shared" si="7"/>
        <v>-0.54152295872</v>
      </c>
      <c r="AP22" s="9"/>
      <c r="AQ22" s="21">
        <v>1.7395</v>
      </c>
      <c r="AR22" s="21">
        <v>648.08900000000006</v>
      </c>
      <c r="AS22" s="21">
        <v>-4.8858599999999997E-3</v>
      </c>
      <c r="AT22" s="21">
        <v>12</v>
      </c>
      <c r="AU22" s="21">
        <v>1.73889</v>
      </c>
      <c r="AV22">
        <f t="shared" si="8"/>
        <v>4.8858600000000001</v>
      </c>
      <c r="AW22">
        <f t="shared" si="9"/>
        <v>8.49895347</v>
      </c>
      <c r="AX22" s="9"/>
      <c r="AY22" s="21">
        <v>-3.9520300000000001E-2</v>
      </c>
      <c r="AZ22" s="21">
        <v>738.18399999999997</v>
      </c>
      <c r="BA22" s="21">
        <v>-1.3336199999999999E-2</v>
      </c>
      <c r="BB22" s="21">
        <v>12</v>
      </c>
      <c r="BC22" s="21">
        <v>-3.9267000000000003E-2</v>
      </c>
      <c r="BD22">
        <f t="shared" si="10"/>
        <v>13.3362</v>
      </c>
      <c r="BE22">
        <f t="shared" si="11"/>
        <v>-0.52705062485999998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144.67400000000001</v>
      </c>
      <c r="I23" s="21">
        <v>-5.7403599999999999E-3</v>
      </c>
      <c r="J23" s="21">
        <v>13</v>
      </c>
      <c r="K23" s="21">
        <v>1.7334000000000001</v>
      </c>
      <c r="L23">
        <f t="shared" si="0"/>
        <v>5.7403599999999999</v>
      </c>
      <c r="M23">
        <f t="shared" si="1"/>
        <v>9.9564822091999989</v>
      </c>
      <c r="N23" s="9"/>
      <c r="O23" s="21">
        <v>-3.4484899999999999E-2</v>
      </c>
      <c r="P23" s="21">
        <v>228.65799999999999</v>
      </c>
      <c r="Q23" s="21">
        <v>-1.3269E-2</v>
      </c>
      <c r="R23" s="21">
        <v>13</v>
      </c>
      <c r="S23" s="21">
        <v>-3.42499E-2</v>
      </c>
      <c r="T23">
        <f t="shared" si="2"/>
        <v>13.269</v>
      </c>
      <c r="U23">
        <f t="shared" si="3"/>
        <v>-0.45758013809999998</v>
      </c>
      <c r="V23" s="22"/>
      <c r="W23" s="23"/>
      <c r="X23" s="9"/>
      <c r="Y23" s="21">
        <v>1.73447</v>
      </c>
      <c r="Z23" s="21">
        <v>434.82600000000002</v>
      </c>
      <c r="AA23" s="21">
        <v>-3.8232399999999999E-3</v>
      </c>
      <c r="AB23" s="21">
        <v>13</v>
      </c>
      <c r="AC23" s="21">
        <v>1.7334000000000001</v>
      </c>
      <c r="AD23">
        <f t="shared" si="4"/>
        <v>3.8232399999999997</v>
      </c>
      <c r="AE23">
        <f t="shared" si="5"/>
        <v>6.6312950827999995</v>
      </c>
      <c r="AF23" s="9"/>
      <c r="AG23" s="21">
        <v>-3.4484899999999999E-2</v>
      </c>
      <c r="AH23" s="21">
        <v>491.50099999999998</v>
      </c>
      <c r="AI23" s="21">
        <v>-1.36627E-2</v>
      </c>
      <c r="AJ23" s="21">
        <v>13</v>
      </c>
      <c r="AK23" s="21">
        <v>-3.4225499999999999E-2</v>
      </c>
      <c r="AL23">
        <f t="shared" si="6"/>
        <v>13.662699999999999</v>
      </c>
      <c r="AM23">
        <f t="shared" si="7"/>
        <v>-0.47115684322999996</v>
      </c>
      <c r="AP23" s="9"/>
      <c r="AQ23" s="21">
        <v>1.73447</v>
      </c>
      <c r="AR23" s="21">
        <v>648.18899999999996</v>
      </c>
      <c r="AS23" s="21">
        <v>-6.5185499999999997E-3</v>
      </c>
      <c r="AT23" s="21">
        <v>13</v>
      </c>
      <c r="AU23" s="21">
        <v>1.7337</v>
      </c>
      <c r="AV23">
        <f t="shared" si="8"/>
        <v>6.5185499999999994</v>
      </c>
      <c r="AW23">
        <f t="shared" si="9"/>
        <v>11.306229418499999</v>
      </c>
      <c r="AX23" s="9"/>
      <c r="AY23" s="21">
        <v>-3.4484899999999999E-2</v>
      </c>
      <c r="AZ23" s="21">
        <v>738.28499999999997</v>
      </c>
      <c r="BA23" s="21">
        <v>-1.32874E-2</v>
      </c>
      <c r="BB23" s="21">
        <v>13</v>
      </c>
      <c r="BC23" s="21">
        <v>-3.4210200000000003E-2</v>
      </c>
      <c r="BD23">
        <f t="shared" si="10"/>
        <v>13.2874</v>
      </c>
      <c r="BE23">
        <f t="shared" si="11"/>
        <v>-0.45821466025999996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144.774</v>
      </c>
      <c r="I24" s="21">
        <v>-7.7270500000000001E-3</v>
      </c>
      <c r="J24" s="21">
        <v>14</v>
      </c>
      <c r="K24" s="21">
        <v>1.7285200000000001</v>
      </c>
      <c r="L24">
        <f t="shared" si="0"/>
        <v>7.7270500000000002</v>
      </c>
      <c r="M24">
        <f t="shared" si="1"/>
        <v>13.363392081500001</v>
      </c>
      <c r="N24" s="9"/>
      <c r="O24" s="21">
        <v>-2.94495E-2</v>
      </c>
      <c r="P24" s="21">
        <v>228.75899999999999</v>
      </c>
      <c r="Q24" s="21">
        <v>-1.32172E-2</v>
      </c>
      <c r="R24" s="21">
        <v>14</v>
      </c>
      <c r="S24" s="21">
        <v>-2.9226700000000001E-2</v>
      </c>
      <c r="T24">
        <f t="shared" si="2"/>
        <v>13.2172</v>
      </c>
      <c r="U24">
        <f t="shared" si="3"/>
        <v>-0.38923993140000002</v>
      </c>
      <c r="V24" s="22"/>
      <c r="W24" s="23"/>
      <c r="X24" s="9"/>
      <c r="Y24" s="21">
        <v>1.72943</v>
      </c>
      <c r="Z24" s="21">
        <v>434.92599999999999</v>
      </c>
      <c r="AA24" s="21">
        <v>-5.0994899999999999E-3</v>
      </c>
      <c r="AB24" s="21">
        <v>14</v>
      </c>
      <c r="AC24" s="21">
        <v>1.72882</v>
      </c>
      <c r="AD24">
        <f t="shared" si="4"/>
        <v>5.0994900000000003</v>
      </c>
      <c r="AE24">
        <f t="shared" si="5"/>
        <v>8.8192109907000003</v>
      </c>
      <c r="AF24" s="9"/>
      <c r="AG24" s="21">
        <v>-2.94495E-2</v>
      </c>
      <c r="AH24" s="21">
        <v>491.601</v>
      </c>
      <c r="AI24" s="21">
        <v>-1.3616899999999999E-2</v>
      </c>
      <c r="AJ24" s="21">
        <v>14</v>
      </c>
      <c r="AK24" s="21">
        <v>-2.9241900000000001E-2</v>
      </c>
      <c r="AL24">
        <f t="shared" si="6"/>
        <v>13.616899999999999</v>
      </c>
      <c r="AM24">
        <f t="shared" si="7"/>
        <v>-0.40101089655</v>
      </c>
      <c r="AP24" s="9"/>
      <c r="AQ24" s="21">
        <v>1.72943</v>
      </c>
      <c r="AR24" s="21">
        <v>648.29</v>
      </c>
      <c r="AS24" s="21">
        <v>-7.8796400000000003E-3</v>
      </c>
      <c r="AT24" s="21">
        <v>14</v>
      </c>
      <c r="AU24" s="21">
        <v>1.7291300000000001</v>
      </c>
      <c r="AV24">
        <f t="shared" si="8"/>
        <v>7.8796400000000002</v>
      </c>
      <c r="AW24">
        <f t="shared" si="9"/>
        <v>13.6272858052</v>
      </c>
      <c r="AX24" s="9"/>
      <c r="AY24" s="21">
        <v>-2.94495E-2</v>
      </c>
      <c r="AZ24" s="21">
        <v>738.38599999999997</v>
      </c>
      <c r="BA24" s="21">
        <v>-1.3256799999999999E-2</v>
      </c>
      <c r="BB24" s="21">
        <v>14</v>
      </c>
      <c r="BC24" s="21">
        <v>-2.9238900000000002E-2</v>
      </c>
      <c r="BD24">
        <f t="shared" si="10"/>
        <v>13.256799999999998</v>
      </c>
      <c r="BE24">
        <f t="shared" si="11"/>
        <v>-0.39040613159999993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144.875</v>
      </c>
      <c r="I25" s="21">
        <v>-9.2498800000000003E-3</v>
      </c>
      <c r="J25" s="21">
        <v>15</v>
      </c>
      <c r="K25" s="21">
        <v>1.72394</v>
      </c>
      <c r="L25">
        <f t="shared" si="0"/>
        <v>9.249880000000001</v>
      </c>
      <c r="M25">
        <f t="shared" si="1"/>
        <v>15.950493072</v>
      </c>
      <c r="N25" s="9"/>
      <c r="O25" s="21">
        <v>-2.4414100000000001E-2</v>
      </c>
      <c r="P25" s="21">
        <v>228.86</v>
      </c>
      <c r="Q25" s="21">
        <v>-1.31714E-2</v>
      </c>
      <c r="R25" s="21">
        <v>15</v>
      </c>
      <c r="S25" s="21">
        <v>-2.41882E-2</v>
      </c>
      <c r="T25">
        <f t="shared" si="2"/>
        <v>13.1714</v>
      </c>
      <c r="U25">
        <f t="shared" si="3"/>
        <v>-0.32156787674000004</v>
      </c>
      <c r="V25" s="22"/>
      <c r="W25" s="23"/>
      <c r="X25" s="9"/>
      <c r="Y25" s="21">
        <v>1.7243999999999999</v>
      </c>
      <c r="Z25" s="21">
        <v>435.02699999999999</v>
      </c>
      <c r="AA25" s="21">
        <v>-6.2164300000000002E-3</v>
      </c>
      <c r="AB25" s="21">
        <v>15</v>
      </c>
      <c r="AC25" s="21">
        <v>1.72363</v>
      </c>
      <c r="AD25">
        <f t="shared" si="4"/>
        <v>6.2164299999999999</v>
      </c>
      <c r="AE25">
        <f t="shared" si="5"/>
        <v>10.719611892</v>
      </c>
      <c r="AF25" s="9"/>
      <c r="AG25" s="21">
        <v>-2.4414100000000001E-2</v>
      </c>
      <c r="AH25" s="21">
        <v>491.702</v>
      </c>
      <c r="AI25" s="21">
        <v>-1.3559E-2</v>
      </c>
      <c r="AJ25" s="21">
        <v>15</v>
      </c>
      <c r="AK25" s="21">
        <v>-2.42157E-2</v>
      </c>
      <c r="AL25">
        <f t="shared" si="6"/>
        <v>13.558999999999999</v>
      </c>
      <c r="AM25">
        <f t="shared" si="7"/>
        <v>-0.33103078190000002</v>
      </c>
      <c r="AP25" s="9"/>
      <c r="AQ25" s="21">
        <v>1.7243999999999999</v>
      </c>
      <c r="AR25" s="21">
        <v>648.39099999999996</v>
      </c>
      <c r="AS25" s="21">
        <v>-9.1033899999999994E-3</v>
      </c>
      <c r="AT25" s="21">
        <v>15</v>
      </c>
      <c r="AU25" s="21">
        <v>1.72424</v>
      </c>
      <c r="AV25">
        <f t="shared" si="8"/>
        <v>9.1033899999999992</v>
      </c>
      <c r="AW25">
        <f t="shared" si="9"/>
        <v>15.697885715999998</v>
      </c>
      <c r="AX25" s="9"/>
      <c r="AY25" s="21">
        <v>-2.4414100000000001E-2</v>
      </c>
      <c r="AZ25" s="21">
        <v>738.48599999999999</v>
      </c>
      <c r="BA25" s="21">
        <v>-1.32202E-2</v>
      </c>
      <c r="BB25" s="21">
        <v>15</v>
      </c>
      <c r="BC25" s="21">
        <v>-2.42157E-2</v>
      </c>
      <c r="BD25">
        <f t="shared" si="10"/>
        <v>13.2202</v>
      </c>
      <c r="BE25">
        <f t="shared" si="11"/>
        <v>-0.32275928481999999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144.976</v>
      </c>
      <c r="I26" s="21">
        <v>-1.02386E-2</v>
      </c>
      <c r="J26" s="21">
        <v>16</v>
      </c>
      <c r="K26" s="21">
        <v>1.71906</v>
      </c>
      <c r="L26">
        <f t="shared" si="0"/>
        <v>10.2386</v>
      </c>
      <c r="M26">
        <f t="shared" si="1"/>
        <v>17.603839296</v>
      </c>
      <c r="N26" s="9"/>
      <c r="O26" s="21">
        <v>-1.9378699999999999E-2</v>
      </c>
      <c r="P26" s="21">
        <v>228.96</v>
      </c>
      <c r="Q26" s="21">
        <v>-1.31378E-2</v>
      </c>
      <c r="R26" s="21">
        <v>16</v>
      </c>
      <c r="S26" s="21">
        <v>-1.9186399999999999E-2</v>
      </c>
      <c r="T26">
        <f t="shared" si="2"/>
        <v>13.1378</v>
      </c>
      <c r="U26">
        <f t="shared" si="3"/>
        <v>-0.25459348486</v>
      </c>
      <c r="V26" s="22"/>
      <c r="W26" s="23"/>
      <c r="X26" s="9"/>
      <c r="Y26" s="21">
        <v>1.71936</v>
      </c>
      <c r="Z26" s="21">
        <v>435.12799999999999</v>
      </c>
      <c r="AA26" s="21">
        <v>-7.31506E-3</v>
      </c>
      <c r="AB26" s="21">
        <v>16</v>
      </c>
      <c r="AC26" s="21">
        <v>1.71875</v>
      </c>
      <c r="AD26">
        <f t="shared" si="4"/>
        <v>7.3150599999999999</v>
      </c>
      <c r="AE26">
        <f t="shared" si="5"/>
        <v>12.5772215616</v>
      </c>
      <c r="AF26" s="9"/>
      <c r="AG26" s="21">
        <v>-1.9378699999999999E-2</v>
      </c>
      <c r="AH26" s="21">
        <v>491.803</v>
      </c>
      <c r="AI26" s="21">
        <v>-1.3507099999999999E-2</v>
      </c>
      <c r="AJ26" s="21">
        <v>16</v>
      </c>
      <c r="AK26" s="21">
        <v>-1.9271900000000002E-2</v>
      </c>
      <c r="AL26">
        <f t="shared" si="6"/>
        <v>13.507099999999999</v>
      </c>
      <c r="AM26">
        <f t="shared" si="7"/>
        <v>-0.26175003876999997</v>
      </c>
      <c r="AP26" s="9"/>
      <c r="AQ26" s="21">
        <v>1.71936</v>
      </c>
      <c r="AR26" s="21">
        <v>648.49199999999996</v>
      </c>
      <c r="AS26" s="21">
        <v>-1.00739E-2</v>
      </c>
      <c r="AT26" s="21">
        <v>16</v>
      </c>
      <c r="AU26" s="21">
        <v>1.71906</v>
      </c>
      <c r="AV26">
        <f t="shared" si="8"/>
        <v>10.0739</v>
      </c>
      <c r="AW26">
        <f t="shared" si="9"/>
        <v>17.320660704000002</v>
      </c>
      <c r="AX26" s="9"/>
      <c r="AY26" s="21">
        <v>-1.9378699999999999E-2</v>
      </c>
      <c r="AZ26" s="21">
        <v>738.58699999999999</v>
      </c>
      <c r="BA26" s="21">
        <v>-1.3195800000000001E-2</v>
      </c>
      <c r="BB26" s="21">
        <v>16</v>
      </c>
      <c r="BC26" s="21">
        <v>-1.91681E-2</v>
      </c>
      <c r="BD26">
        <f t="shared" si="10"/>
        <v>13.1958</v>
      </c>
      <c r="BE26">
        <f t="shared" si="11"/>
        <v>-0.25571744945999997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145.077</v>
      </c>
      <c r="I27" s="21">
        <v>-1.04431E-2</v>
      </c>
      <c r="J27" s="21">
        <v>17</v>
      </c>
      <c r="K27" s="21">
        <v>1.71326</v>
      </c>
      <c r="L27">
        <f t="shared" si="0"/>
        <v>10.443100000000001</v>
      </c>
      <c r="M27">
        <f t="shared" si="1"/>
        <v>17.902815192000002</v>
      </c>
      <c r="N27" s="9"/>
      <c r="O27" s="21">
        <v>-1.43433E-2</v>
      </c>
      <c r="P27" s="21">
        <v>229.06100000000001</v>
      </c>
      <c r="Q27" s="21">
        <v>-1.30951E-2</v>
      </c>
      <c r="R27" s="21">
        <v>17</v>
      </c>
      <c r="S27" s="21">
        <v>-1.4135699999999999E-2</v>
      </c>
      <c r="T27">
        <f t="shared" si="2"/>
        <v>13.0951</v>
      </c>
      <c r="U27">
        <f t="shared" si="3"/>
        <v>-0.18782694783000001</v>
      </c>
      <c r="X27" s="9"/>
      <c r="Y27" s="21">
        <v>1.7143200000000001</v>
      </c>
      <c r="Z27" s="21">
        <v>435.22899999999998</v>
      </c>
      <c r="AA27" s="21">
        <v>-8.3160400000000002E-3</v>
      </c>
      <c r="AB27" s="21">
        <v>17</v>
      </c>
      <c r="AC27" s="21">
        <v>1.71326</v>
      </c>
      <c r="AD27">
        <f t="shared" si="4"/>
        <v>8.316040000000001</v>
      </c>
      <c r="AE27">
        <f t="shared" si="5"/>
        <v>14.256353692800003</v>
      </c>
      <c r="AF27" s="9"/>
      <c r="AG27" s="21">
        <v>-1.43433E-2</v>
      </c>
      <c r="AH27" s="21">
        <v>491.90300000000002</v>
      </c>
      <c r="AI27" s="21">
        <v>-1.3543700000000001E-2</v>
      </c>
      <c r="AJ27" s="21">
        <v>17</v>
      </c>
      <c r="AK27" s="21">
        <v>-1.41327E-2</v>
      </c>
      <c r="AL27">
        <f t="shared" si="6"/>
        <v>13.543700000000001</v>
      </c>
      <c r="AM27">
        <f t="shared" si="7"/>
        <v>-0.19426135221000002</v>
      </c>
      <c r="AP27" s="9"/>
      <c r="AQ27" s="21">
        <v>1.7143200000000001</v>
      </c>
      <c r="AR27" s="21">
        <v>648.59199999999998</v>
      </c>
      <c r="AS27" s="21">
        <v>-1.03912E-2</v>
      </c>
      <c r="AT27" s="21">
        <v>17</v>
      </c>
      <c r="AU27" s="21">
        <v>1.71387</v>
      </c>
      <c r="AV27">
        <f t="shared" si="8"/>
        <v>10.3912</v>
      </c>
      <c r="AW27">
        <f t="shared" si="9"/>
        <v>17.813841984</v>
      </c>
      <c r="AX27" s="9"/>
      <c r="AY27" s="21">
        <v>-1.43433E-2</v>
      </c>
      <c r="AZ27" s="21">
        <v>738.68799999999999</v>
      </c>
      <c r="BA27" s="21">
        <v>-1.31561E-2</v>
      </c>
      <c r="BB27" s="21">
        <v>17</v>
      </c>
      <c r="BC27" s="21">
        <v>-1.41388E-2</v>
      </c>
      <c r="BD27">
        <f t="shared" si="10"/>
        <v>13.1561</v>
      </c>
      <c r="BE27">
        <f t="shared" si="11"/>
        <v>-0.18870188912999999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145.17699999999999</v>
      </c>
      <c r="I28" s="21">
        <v>-1.0498E-2</v>
      </c>
      <c r="J28" s="21">
        <v>18</v>
      </c>
      <c r="K28" s="21">
        <v>1.7089799999999999</v>
      </c>
      <c r="L28">
        <f t="shared" si="0"/>
        <v>10.498000000000001</v>
      </c>
      <c r="M28">
        <f t="shared" si="1"/>
        <v>17.94412642</v>
      </c>
      <c r="N28" s="9"/>
      <c r="O28" s="21">
        <v>-9.3078599999999994E-3</v>
      </c>
      <c r="P28" s="21">
        <v>229.16200000000001</v>
      </c>
      <c r="Q28" s="21">
        <v>-1.3070699999999999E-2</v>
      </c>
      <c r="R28" s="21">
        <v>18</v>
      </c>
      <c r="S28" s="21">
        <v>-9.09424E-3</v>
      </c>
      <c r="T28">
        <f t="shared" si="2"/>
        <v>13.070699999999999</v>
      </c>
      <c r="U28">
        <f t="shared" si="3"/>
        <v>-0.12166024570199999</v>
      </c>
      <c r="X28" s="9"/>
      <c r="Y28" s="21">
        <v>1.70929</v>
      </c>
      <c r="Z28" s="21">
        <v>435.32900000000001</v>
      </c>
      <c r="AA28" s="21">
        <v>-9.2102099999999999E-3</v>
      </c>
      <c r="AB28" s="21">
        <v>18</v>
      </c>
      <c r="AC28" s="21">
        <v>1.7083699999999999</v>
      </c>
      <c r="AD28">
        <f t="shared" si="4"/>
        <v>9.21021</v>
      </c>
      <c r="AE28">
        <f t="shared" si="5"/>
        <v>15.7429198509</v>
      </c>
      <c r="AF28" s="9"/>
      <c r="AG28" s="21">
        <v>-9.3078599999999994E-3</v>
      </c>
      <c r="AH28" s="21">
        <v>492.00400000000002</v>
      </c>
      <c r="AI28" s="21">
        <v>-1.34491E-2</v>
      </c>
      <c r="AJ28" s="21">
        <v>18</v>
      </c>
      <c r="AK28" s="21">
        <v>-9.1125500000000005E-3</v>
      </c>
      <c r="AL28">
        <f t="shared" si="6"/>
        <v>13.4491</v>
      </c>
      <c r="AM28">
        <f t="shared" si="7"/>
        <v>-0.12518233992599997</v>
      </c>
      <c r="AP28" s="9"/>
      <c r="AQ28" s="21">
        <v>1.70929</v>
      </c>
      <c r="AR28" s="21">
        <v>648.69299999999998</v>
      </c>
      <c r="AS28" s="21">
        <v>-1.0406500000000001E-2</v>
      </c>
      <c r="AT28" s="21">
        <v>18</v>
      </c>
      <c r="AU28" s="21">
        <v>1.70868</v>
      </c>
      <c r="AV28">
        <f t="shared" si="8"/>
        <v>10.406500000000001</v>
      </c>
      <c r="AW28">
        <f t="shared" si="9"/>
        <v>17.787726385000003</v>
      </c>
      <c r="AX28" s="9"/>
      <c r="AY28" s="21">
        <v>-9.3078599999999994E-3</v>
      </c>
      <c r="AZ28" s="21">
        <v>738.78800000000001</v>
      </c>
      <c r="BA28" s="21">
        <v>-1.31287E-2</v>
      </c>
      <c r="BB28" s="21">
        <v>18</v>
      </c>
      <c r="BC28" s="21">
        <v>-9.0820299999999996E-3</v>
      </c>
      <c r="BD28">
        <f t="shared" si="10"/>
        <v>13.1287</v>
      </c>
      <c r="BE28">
        <f t="shared" si="11"/>
        <v>-0.122200101582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145.27799999999999</v>
      </c>
      <c r="I29" s="21">
        <v>-1.0528600000000001E-2</v>
      </c>
      <c r="J29" s="21">
        <v>19</v>
      </c>
      <c r="K29" s="21">
        <v>1.7034899999999999</v>
      </c>
      <c r="L29">
        <f t="shared" si="0"/>
        <v>10.528600000000001</v>
      </c>
      <c r="M29">
        <f t="shared" si="1"/>
        <v>17.94336655</v>
      </c>
      <c r="N29" s="9"/>
      <c r="O29" s="21">
        <v>-4.2724599999999996E-3</v>
      </c>
      <c r="P29" s="21">
        <v>229.262</v>
      </c>
      <c r="Q29" s="21">
        <v>-1.30341E-2</v>
      </c>
      <c r="R29" s="21">
        <v>19</v>
      </c>
      <c r="S29" s="21">
        <v>-4.0496799999999999E-3</v>
      </c>
      <c r="T29">
        <f t="shared" si="2"/>
        <v>13.0341</v>
      </c>
      <c r="U29">
        <f t="shared" si="3"/>
        <v>-5.5687670885999997E-2</v>
      </c>
      <c r="X29" s="9"/>
      <c r="Y29" s="21">
        <v>1.70425</v>
      </c>
      <c r="Z29" s="21">
        <v>435.43</v>
      </c>
      <c r="AA29" s="21">
        <v>-9.9639900000000007E-3</v>
      </c>
      <c r="AB29" s="21">
        <v>19</v>
      </c>
      <c r="AC29" s="21">
        <v>1.7038</v>
      </c>
      <c r="AD29">
        <f t="shared" si="4"/>
        <v>9.9639900000000008</v>
      </c>
      <c r="AE29">
        <f t="shared" si="5"/>
        <v>16.981129957500002</v>
      </c>
      <c r="AF29" s="9"/>
      <c r="AG29" s="21">
        <v>-4.2724599999999996E-3</v>
      </c>
      <c r="AH29" s="21">
        <v>492.10500000000002</v>
      </c>
      <c r="AI29" s="21">
        <v>-1.3345299999999999E-2</v>
      </c>
      <c r="AJ29" s="21">
        <v>19</v>
      </c>
      <c r="AK29" s="21">
        <v>-4.0618900000000003E-3</v>
      </c>
      <c r="AL29">
        <f t="shared" si="6"/>
        <v>13.3453</v>
      </c>
      <c r="AM29">
        <f t="shared" si="7"/>
        <v>-5.7017260437999998E-2</v>
      </c>
      <c r="AP29" s="9"/>
      <c r="AQ29" s="21">
        <v>1.70425</v>
      </c>
      <c r="AR29" s="21">
        <v>648.79399999999998</v>
      </c>
      <c r="AS29" s="21">
        <v>-1.05255E-2</v>
      </c>
      <c r="AT29" s="21">
        <v>19</v>
      </c>
      <c r="AU29" s="21">
        <v>1.7034899999999999</v>
      </c>
      <c r="AV29">
        <f t="shared" si="8"/>
        <v>10.525500000000001</v>
      </c>
      <c r="AW29">
        <f t="shared" si="9"/>
        <v>17.938083375000001</v>
      </c>
      <c r="AX29" s="9"/>
      <c r="AY29" s="21">
        <v>-4.2724599999999996E-3</v>
      </c>
      <c r="AZ29" s="21">
        <v>738.88900000000001</v>
      </c>
      <c r="BA29" s="21">
        <v>-1.31012E-2</v>
      </c>
      <c r="BB29" s="21">
        <v>19</v>
      </c>
      <c r="BC29" s="21">
        <v>-4.0344200000000004E-3</v>
      </c>
      <c r="BD29">
        <f t="shared" si="10"/>
        <v>13.1012</v>
      </c>
      <c r="BE29">
        <f t="shared" si="11"/>
        <v>-5.5974352951999998E-2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145.37899999999999</v>
      </c>
      <c r="I30" s="21">
        <v>-1.0534699999999999E-2</v>
      </c>
      <c r="J30" s="21">
        <v>20</v>
      </c>
      <c r="K30" s="21">
        <v>1.69861</v>
      </c>
      <c r="L30">
        <f t="shared" si="0"/>
        <v>10.534699999999999</v>
      </c>
      <c r="M30">
        <f t="shared" si="1"/>
        <v>17.900772933999999</v>
      </c>
      <c r="N30" s="9"/>
      <c r="O30" s="21">
        <v>7.6293900000000002E-4</v>
      </c>
      <c r="P30" s="21">
        <v>229.363</v>
      </c>
      <c r="Q30" s="21">
        <v>-1.3003499999999999E-2</v>
      </c>
      <c r="R30" s="21">
        <v>20</v>
      </c>
      <c r="S30" s="21">
        <v>1.01318E-3</v>
      </c>
      <c r="T30">
        <f t="shared" si="2"/>
        <v>13.003499999999999</v>
      </c>
      <c r="U30">
        <f t="shared" si="3"/>
        <v>9.9208772864999989E-3</v>
      </c>
      <c r="X30" s="9"/>
      <c r="Y30" s="21">
        <v>1.69922</v>
      </c>
      <c r="Z30" s="21">
        <v>435.53100000000001</v>
      </c>
      <c r="AA30" s="21">
        <v>-1.01715E-2</v>
      </c>
      <c r="AB30" s="21">
        <v>20</v>
      </c>
      <c r="AC30" s="21">
        <v>1.69861</v>
      </c>
      <c r="AD30">
        <f t="shared" si="4"/>
        <v>10.1715</v>
      </c>
      <c r="AE30">
        <f t="shared" si="5"/>
        <v>17.28361623</v>
      </c>
      <c r="AF30" s="9"/>
      <c r="AG30" s="21">
        <v>7.6293900000000002E-4</v>
      </c>
      <c r="AH30" s="21">
        <v>492.20600000000002</v>
      </c>
      <c r="AI30" s="21">
        <v>-1.3418599999999999E-2</v>
      </c>
      <c r="AJ30" s="21">
        <v>20</v>
      </c>
      <c r="AK30" s="21">
        <v>1.00708E-3</v>
      </c>
      <c r="AL30">
        <f t="shared" si="6"/>
        <v>13.4186</v>
      </c>
      <c r="AM30">
        <f t="shared" si="7"/>
        <v>1.02375732654E-2</v>
      </c>
      <c r="AP30" s="9"/>
      <c r="AQ30" s="21">
        <v>1.69922</v>
      </c>
      <c r="AR30" s="21">
        <v>648.89400000000001</v>
      </c>
      <c r="AS30" s="21">
        <v>-1.0534699999999999E-2</v>
      </c>
      <c r="AT30" s="21">
        <v>20</v>
      </c>
      <c r="AU30" s="21">
        <v>1.69861</v>
      </c>
      <c r="AV30">
        <f t="shared" si="8"/>
        <v>10.534699999999999</v>
      </c>
      <c r="AW30">
        <f t="shared" si="9"/>
        <v>17.900772933999999</v>
      </c>
      <c r="AX30" s="9"/>
      <c r="AY30" s="21">
        <v>7.6293900000000002E-4</v>
      </c>
      <c r="AZ30" s="21">
        <v>738.99</v>
      </c>
      <c r="BA30" s="21">
        <v>-1.30676E-2</v>
      </c>
      <c r="BB30" s="21">
        <v>20</v>
      </c>
      <c r="BC30" s="21">
        <v>1.01929E-3</v>
      </c>
      <c r="BD30">
        <f t="shared" si="10"/>
        <v>13.067600000000001</v>
      </c>
      <c r="BE30">
        <f t="shared" si="11"/>
        <v>9.9697816764000007E-3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145.47900000000001</v>
      </c>
      <c r="I31" s="21">
        <v>-1.0555999999999999E-2</v>
      </c>
      <c r="J31" s="21">
        <v>21</v>
      </c>
      <c r="K31" s="21">
        <v>1.6934199999999999</v>
      </c>
      <c r="L31">
        <f t="shared" si="0"/>
        <v>10.555999999999999</v>
      </c>
      <c r="M31">
        <f t="shared" si="1"/>
        <v>17.883764079999999</v>
      </c>
      <c r="N31" s="9"/>
      <c r="O31" s="21">
        <v>5.7983399999999999E-3</v>
      </c>
      <c r="P31" s="21">
        <v>229.464</v>
      </c>
      <c r="Q31" s="21">
        <v>-1.29791E-2</v>
      </c>
      <c r="R31" s="21">
        <v>21</v>
      </c>
      <c r="S31" s="21">
        <v>6.0302699999999999E-3</v>
      </c>
      <c r="T31">
        <f t="shared" si="2"/>
        <v>12.979100000000001</v>
      </c>
      <c r="U31">
        <f t="shared" si="3"/>
        <v>7.5257234694000003E-2</v>
      </c>
      <c r="X31" s="9"/>
      <c r="Y31" s="21">
        <v>1.69418</v>
      </c>
      <c r="Z31" s="21">
        <v>435.63099999999997</v>
      </c>
      <c r="AA31" s="21">
        <v>-1.0241699999999999E-2</v>
      </c>
      <c r="AB31" s="21">
        <v>21</v>
      </c>
      <c r="AC31" s="21">
        <v>1.6934199999999999</v>
      </c>
      <c r="AD31">
        <f t="shared" si="4"/>
        <v>10.2417</v>
      </c>
      <c r="AE31">
        <f t="shared" si="5"/>
        <v>17.351283305999999</v>
      </c>
      <c r="AF31" s="9"/>
      <c r="AG31" s="21">
        <v>5.7983399999999999E-3</v>
      </c>
      <c r="AH31" s="21">
        <v>492.30599999999998</v>
      </c>
      <c r="AI31" s="21">
        <v>-1.3317900000000001E-2</v>
      </c>
      <c r="AJ31" s="21">
        <v>21</v>
      </c>
      <c r="AK31" s="21">
        <v>6.0211199999999996E-3</v>
      </c>
      <c r="AL31">
        <f t="shared" si="6"/>
        <v>13.3179</v>
      </c>
      <c r="AM31">
        <f t="shared" si="7"/>
        <v>7.7221712285999999E-2</v>
      </c>
      <c r="AP31" s="9"/>
      <c r="AQ31" s="21">
        <v>1.69418</v>
      </c>
      <c r="AR31" s="21">
        <v>648.995</v>
      </c>
      <c r="AS31" s="21">
        <v>-1.04248E-2</v>
      </c>
      <c r="AT31" s="21">
        <v>21</v>
      </c>
      <c r="AU31" s="21">
        <v>1.6934199999999999</v>
      </c>
      <c r="AV31">
        <f t="shared" si="8"/>
        <v>10.424799999999999</v>
      </c>
      <c r="AW31">
        <f t="shared" si="9"/>
        <v>17.661487663999999</v>
      </c>
      <c r="AX31" s="9"/>
      <c r="AY31" s="21">
        <v>5.7983399999999999E-3</v>
      </c>
      <c r="AZ31" s="21">
        <v>739.09100000000001</v>
      </c>
      <c r="BA31" s="21">
        <v>-1.30432E-2</v>
      </c>
      <c r="BB31" s="21">
        <v>21</v>
      </c>
      <c r="BC31" s="21">
        <v>6.0333299999999999E-3</v>
      </c>
      <c r="BD31">
        <f t="shared" si="10"/>
        <v>13.043199999999999</v>
      </c>
      <c r="BE31">
        <f t="shared" si="11"/>
        <v>7.5628908287999994E-2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145.58000000000001</v>
      </c>
      <c r="I32" s="21">
        <v>-1.08673E-2</v>
      </c>
      <c r="J32" s="21">
        <v>22</v>
      </c>
      <c r="K32" s="21">
        <v>1.6885399999999999</v>
      </c>
      <c r="L32">
        <f t="shared" si="0"/>
        <v>10.8673</v>
      </c>
      <c r="M32">
        <f t="shared" si="1"/>
        <v>18.356499795000001</v>
      </c>
      <c r="N32" s="9"/>
      <c r="O32" s="21">
        <v>1.08337E-2</v>
      </c>
      <c r="P32" s="21">
        <v>229.56399999999999</v>
      </c>
      <c r="Q32" s="21">
        <v>-1.2936400000000001E-2</v>
      </c>
      <c r="R32" s="21">
        <v>22</v>
      </c>
      <c r="S32" s="21">
        <v>1.1053500000000001E-2</v>
      </c>
      <c r="T32">
        <f t="shared" si="2"/>
        <v>12.936400000000001</v>
      </c>
      <c r="U32">
        <f t="shared" si="3"/>
        <v>0.14014907668000001</v>
      </c>
      <c r="X32" s="9"/>
      <c r="Y32" s="21">
        <v>1.6891499999999999</v>
      </c>
      <c r="Z32" s="21">
        <v>435.73200000000003</v>
      </c>
      <c r="AA32" s="21">
        <v>-1.0632300000000001E-2</v>
      </c>
      <c r="AB32" s="21">
        <v>22</v>
      </c>
      <c r="AC32" s="21">
        <v>1.6885399999999999</v>
      </c>
      <c r="AD32">
        <f t="shared" si="4"/>
        <v>10.632300000000001</v>
      </c>
      <c r="AE32">
        <f t="shared" si="5"/>
        <v>17.959549545000002</v>
      </c>
      <c r="AF32" s="9"/>
      <c r="AG32" s="21">
        <v>1.08337E-2</v>
      </c>
      <c r="AH32" s="21">
        <v>492.40699999999998</v>
      </c>
      <c r="AI32" s="21">
        <v>-1.3284300000000001E-2</v>
      </c>
      <c r="AJ32" s="21">
        <v>22</v>
      </c>
      <c r="AK32" s="21">
        <v>1.1087E-2</v>
      </c>
      <c r="AL32">
        <f t="shared" si="6"/>
        <v>13.2843</v>
      </c>
      <c r="AM32">
        <f t="shared" si="7"/>
        <v>0.14391812091</v>
      </c>
      <c r="AP32" s="9"/>
      <c r="AQ32" s="21">
        <v>1.6891499999999999</v>
      </c>
      <c r="AR32" s="21">
        <v>649.096</v>
      </c>
      <c r="AS32" s="21">
        <v>-1.0434000000000001E-2</v>
      </c>
      <c r="AT32" s="21">
        <v>22</v>
      </c>
      <c r="AU32" s="21">
        <v>1.6888399999999999</v>
      </c>
      <c r="AV32">
        <f t="shared" si="8"/>
        <v>10.434000000000001</v>
      </c>
      <c r="AW32">
        <f t="shared" si="9"/>
        <v>17.6245911</v>
      </c>
      <c r="AX32" s="9"/>
      <c r="AY32" s="21">
        <v>1.08337E-2</v>
      </c>
      <c r="AZ32" s="21">
        <v>739.19100000000003</v>
      </c>
      <c r="BA32" s="21">
        <v>-1.3028E-2</v>
      </c>
      <c r="BB32" s="21">
        <v>22</v>
      </c>
      <c r="BC32" s="21">
        <v>1.1062600000000001E-2</v>
      </c>
      <c r="BD32">
        <f t="shared" si="10"/>
        <v>13.028</v>
      </c>
      <c r="BE32">
        <f t="shared" si="11"/>
        <v>0.1411414436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145.68100000000001</v>
      </c>
      <c r="I33" s="21">
        <v>-1.0870400000000001E-2</v>
      </c>
      <c r="J33" s="21">
        <v>23</v>
      </c>
      <c r="K33" s="21">
        <v>1.6836500000000001</v>
      </c>
      <c r="L33">
        <f t="shared" si="0"/>
        <v>10.8704</v>
      </c>
      <c r="M33">
        <f t="shared" si="1"/>
        <v>18.306949344</v>
      </c>
      <c r="N33" s="9"/>
      <c r="O33" s="21">
        <v>1.5869100000000001E-2</v>
      </c>
      <c r="P33" s="21">
        <v>229.66499999999999</v>
      </c>
      <c r="Q33" s="21">
        <v>-1.28723E-2</v>
      </c>
      <c r="R33" s="21">
        <v>23</v>
      </c>
      <c r="S33" s="21">
        <v>1.6122399999999999E-2</v>
      </c>
      <c r="T33">
        <f t="shared" si="2"/>
        <v>12.872299999999999</v>
      </c>
      <c r="U33">
        <f t="shared" si="3"/>
        <v>0.20427181592999999</v>
      </c>
      <c r="X33" s="9"/>
      <c r="Y33" s="21">
        <v>1.68411</v>
      </c>
      <c r="Z33" s="21">
        <v>435.83300000000003</v>
      </c>
      <c r="AA33" s="21">
        <v>-1.0540799999999999E-2</v>
      </c>
      <c r="AB33" s="21">
        <v>23</v>
      </c>
      <c r="AC33" s="21">
        <v>1.6836500000000001</v>
      </c>
      <c r="AD33">
        <f t="shared" si="4"/>
        <v>10.540799999999999</v>
      </c>
      <c r="AE33">
        <f t="shared" si="5"/>
        <v>17.751866688</v>
      </c>
      <c r="AF33" s="9"/>
      <c r="AG33" s="21">
        <v>1.5869100000000001E-2</v>
      </c>
      <c r="AH33" s="21">
        <v>492.50799999999998</v>
      </c>
      <c r="AI33" s="21">
        <v>-1.2912E-2</v>
      </c>
      <c r="AJ33" s="21">
        <v>23</v>
      </c>
      <c r="AK33" s="21">
        <v>1.6137700000000001E-2</v>
      </c>
      <c r="AL33">
        <f t="shared" si="6"/>
        <v>12.911999999999999</v>
      </c>
      <c r="AM33">
        <f t="shared" si="7"/>
        <v>0.2049018192</v>
      </c>
      <c r="AP33" s="9"/>
      <c r="AQ33" s="21">
        <v>1.68411</v>
      </c>
      <c r="AR33" s="21">
        <v>649.19600000000003</v>
      </c>
      <c r="AS33" s="21">
        <v>-1.0437E-2</v>
      </c>
      <c r="AT33" s="21">
        <v>23</v>
      </c>
      <c r="AU33" s="21">
        <v>1.6836500000000001</v>
      </c>
      <c r="AV33">
        <f t="shared" si="8"/>
        <v>10.436999999999999</v>
      </c>
      <c r="AW33">
        <f t="shared" si="9"/>
        <v>17.577056069999998</v>
      </c>
      <c r="AX33" s="9"/>
      <c r="AY33" s="21">
        <v>1.5869100000000001E-2</v>
      </c>
      <c r="AZ33" s="21">
        <v>739.29200000000003</v>
      </c>
      <c r="BA33" s="21">
        <v>-1.2982199999999999E-2</v>
      </c>
      <c r="BB33" s="21">
        <v>23</v>
      </c>
      <c r="BC33" s="21">
        <v>1.61285E-2</v>
      </c>
      <c r="BD33">
        <f t="shared" si="10"/>
        <v>12.982199999999999</v>
      </c>
      <c r="BE33">
        <f t="shared" si="11"/>
        <v>0.20601583001999998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145.78200000000001</v>
      </c>
      <c r="I34" s="21">
        <v>-1.0876500000000001E-2</v>
      </c>
      <c r="J34" s="21">
        <v>24</v>
      </c>
      <c r="K34" s="21">
        <v>1.6787700000000001</v>
      </c>
      <c r="L34">
        <f t="shared" si="0"/>
        <v>10.8765</v>
      </c>
      <c r="M34">
        <f t="shared" si="1"/>
        <v>18.26251362</v>
      </c>
      <c r="N34" s="9"/>
      <c r="O34" s="21">
        <v>2.0904499999999999E-2</v>
      </c>
      <c r="P34" s="21">
        <v>229.76599999999999</v>
      </c>
      <c r="Q34" s="21">
        <v>-1.2811299999999999E-2</v>
      </c>
      <c r="R34" s="21">
        <v>24</v>
      </c>
      <c r="S34" s="21">
        <v>2.1166999999999998E-2</v>
      </c>
      <c r="T34">
        <f t="shared" si="2"/>
        <v>12.811299999999999</v>
      </c>
      <c r="U34">
        <f t="shared" si="3"/>
        <v>0.26781382085</v>
      </c>
      <c r="X34" s="9"/>
      <c r="Y34" s="21">
        <v>1.6790799999999999</v>
      </c>
      <c r="Z34" s="21">
        <v>435.93400000000003</v>
      </c>
      <c r="AA34" s="21">
        <v>-1.05865E-2</v>
      </c>
      <c r="AB34" s="21">
        <v>24</v>
      </c>
      <c r="AC34" s="21">
        <v>1.6784699999999999</v>
      </c>
      <c r="AD34">
        <f t="shared" si="4"/>
        <v>10.586500000000001</v>
      </c>
      <c r="AE34">
        <f t="shared" si="5"/>
        <v>17.775580420000001</v>
      </c>
      <c r="AF34" s="9"/>
      <c r="AG34" s="21">
        <v>2.0904499999999999E-2</v>
      </c>
      <c r="AH34" s="21">
        <v>492.608</v>
      </c>
      <c r="AI34" s="21">
        <v>-1.28418E-2</v>
      </c>
      <c r="AJ34" s="21">
        <v>24</v>
      </c>
      <c r="AK34" s="21">
        <v>2.1157800000000001E-2</v>
      </c>
      <c r="AL34">
        <f t="shared" si="6"/>
        <v>12.841800000000001</v>
      </c>
      <c r="AM34">
        <f t="shared" si="7"/>
        <v>0.26845140810000001</v>
      </c>
      <c r="AP34" s="9"/>
      <c r="AQ34" s="21">
        <v>1.6790799999999999</v>
      </c>
      <c r="AR34" s="21">
        <v>649.29700000000003</v>
      </c>
      <c r="AS34" s="21">
        <v>-1.0449200000000001E-2</v>
      </c>
      <c r="AT34" s="21">
        <v>24</v>
      </c>
      <c r="AU34" s="21">
        <v>1.6781600000000001</v>
      </c>
      <c r="AV34">
        <f t="shared" si="8"/>
        <v>10.449200000000001</v>
      </c>
      <c r="AW34">
        <f t="shared" si="9"/>
        <v>17.545042735999999</v>
      </c>
      <c r="AX34" s="9"/>
      <c r="AY34" s="21">
        <v>2.0904499999999999E-2</v>
      </c>
      <c r="AZ34" s="21">
        <v>739.39300000000003</v>
      </c>
      <c r="BA34" s="21">
        <v>-1.29303E-2</v>
      </c>
      <c r="BB34" s="21">
        <v>24</v>
      </c>
      <c r="BC34" s="21">
        <v>2.1179199999999999E-2</v>
      </c>
      <c r="BD34">
        <f t="shared" si="10"/>
        <v>12.930300000000001</v>
      </c>
      <c r="BE34">
        <f t="shared" si="11"/>
        <v>0.27030145635000002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145.88200000000001</v>
      </c>
      <c r="I35" s="21">
        <v>-1.0891700000000001E-2</v>
      </c>
      <c r="J35" s="21">
        <v>25</v>
      </c>
      <c r="K35" s="21">
        <v>1.6732800000000001</v>
      </c>
      <c r="L35">
        <f t="shared" si="0"/>
        <v>10.8917</v>
      </c>
      <c r="M35">
        <f t="shared" si="1"/>
        <v>18.233141467999999</v>
      </c>
      <c r="N35" s="9"/>
      <c r="O35" s="21">
        <v>2.5939899999999998E-2</v>
      </c>
      <c r="P35" s="21">
        <v>229.86699999999999</v>
      </c>
      <c r="Q35" s="21">
        <v>-1.27441E-2</v>
      </c>
      <c r="R35" s="21">
        <v>25</v>
      </c>
      <c r="S35" s="21">
        <v>2.61932E-2</v>
      </c>
      <c r="T35">
        <f t="shared" si="2"/>
        <v>12.7441</v>
      </c>
      <c r="U35">
        <f t="shared" si="3"/>
        <v>0.33058067958999998</v>
      </c>
      <c r="X35" s="9"/>
      <c r="Y35" s="21">
        <v>1.67404</v>
      </c>
      <c r="Z35" s="21">
        <v>436.03399999999999</v>
      </c>
      <c r="AA35" s="21">
        <v>-1.06049E-2</v>
      </c>
      <c r="AB35" s="21">
        <v>25</v>
      </c>
      <c r="AC35" s="21">
        <v>1.6732800000000001</v>
      </c>
      <c r="AD35">
        <f t="shared" si="4"/>
        <v>10.604900000000001</v>
      </c>
      <c r="AE35">
        <f t="shared" si="5"/>
        <v>17.753026796</v>
      </c>
      <c r="AF35" s="9"/>
      <c r="AG35" s="21">
        <v>2.5939899999999998E-2</v>
      </c>
      <c r="AH35" s="21">
        <v>492.709</v>
      </c>
      <c r="AI35" s="21">
        <v>-1.27563E-2</v>
      </c>
      <c r="AJ35" s="21">
        <v>25</v>
      </c>
      <c r="AK35" s="21">
        <v>2.62054E-2</v>
      </c>
      <c r="AL35">
        <f t="shared" si="6"/>
        <v>12.7563</v>
      </c>
      <c r="AM35">
        <f t="shared" si="7"/>
        <v>0.33089714636999995</v>
      </c>
      <c r="AP35" s="9"/>
      <c r="AQ35" s="21">
        <v>1.67404</v>
      </c>
      <c r="AR35" s="21">
        <v>649.39800000000002</v>
      </c>
      <c r="AS35" s="21">
        <v>-1.0452299999999999E-2</v>
      </c>
      <c r="AT35" s="21">
        <v>25</v>
      </c>
      <c r="AU35" s="21">
        <v>1.6732800000000001</v>
      </c>
      <c r="AV35">
        <f t="shared" si="8"/>
        <v>10.452299999999999</v>
      </c>
      <c r="AW35">
        <f t="shared" si="9"/>
        <v>17.497568291999997</v>
      </c>
      <c r="AX35" s="9"/>
      <c r="AY35" s="21">
        <v>2.5939899999999998E-2</v>
      </c>
      <c r="AZ35" s="21">
        <v>739.49300000000005</v>
      </c>
      <c r="BA35" s="21">
        <v>-1.28754E-2</v>
      </c>
      <c r="BB35" s="21">
        <v>25</v>
      </c>
      <c r="BC35" s="21">
        <v>2.6226800000000002E-2</v>
      </c>
      <c r="BD35">
        <f t="shared" si="10"/>
        <v>12.875400000000001</v>
      </c>
      <c r="BE35">
        <f t="shared" si="11"/>
        <v>0.33398658846000001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145.983</v>
      </c>
      <c r="I36" s="21">
        <v>-1.09009E-2</v>
      </c>
      <c r="J36" s="21">
        <v>26</v>
      </c>
      <c r="K36" s="21">
        <v>1.6684000000000001</v>
      </c>
      <c r="L36">
        <f t="shared" si="0"/>
        <v>10.9009</v>
      </c>
      <c r="M36">
        <f t="shared" si="1"/>
        <v>18.193711109000002</v>
      </c>
      <c r="N36" s="9"/>
      <c r="O36" s="21">
        <v>3.0975300000000001E-2</v>
      </c>
      <c r="P36" s="21">
        <v>229.96700000000001</v>
      </c>
      <c r="Q36" s="21">
        <v>-1.26984E-2</v>
      </c>
      <c r="R36" s="21">
        <v>26</v>
      </c>
      <c r="S36" s="21">
        <v>3.1259200000000001E-2</v>
      </c>
      <c r="T36">
        <f t="shared" si="2"/>
        <v>12.698399999999999</v>
      </c>
      <c r="U36">
        <f t="shared" si="3"/>
        <v>0.39333674951999997</v>
      </c>
      <c r="X36" s="9"/>
      <c r="Y36" s="21">
        <v>1.6690100000000001</v>
      </c>
      <c r="Z36" s="21">
        <v>436.13499999999999</v>
      </c>
      <c r="AA36" s="21">
        <v>-1.0623199999999999E-2</v>
      </c>
      <c r="AB36" s="21">
        <v>26</v>
      </c>
      <c r="AC36" s="21">
        <v>1.6684000000000001</v>
      </c>
      <c r="AD36">
        <f t="shared" si="4"/>
        <v>10.623199999999999</v>
      </c>
      <c r="AE36">
        <f t="shared" si="5"/>
        <v>17.730227031999998</v>
      </c>
      <c r="AF36" s="9"/>
      <c r="AG36" s="21">
        <v>3.0975300000000001E-2</v>
      </c>
      <c r="AH36" s="21">
        <v>492.81</v>
      </c>
      <c r="AI36" s="21">
        <v>-1.2725800000000001E-2</v>
      </c>
      <c r="AJ36" s="21">
        <v>26</v>
      </c>
      <c r="AK36" s="21">
        <v>3.1243900000000002E-2</v>
      </c>
      <c r="AL36">
        <f t="shared" si="6"/>
        <v>12.725800000000001</v>
      </c>
      <c r="AM36">
        <f t="shared" si="7"/>
        <v>0.39418547274000004</v>
      </c>
      <c r="AP36" s="9"/>
      <c r="AQ36" s="21">
        <v>1.6690100000000001</v>
      </c>
      <c r="AR36" s="21">
        <v>649.49900000000002</v>
      </c>
      <c r="AS36" s="21">
        <v>-1.04767E-2</v>
      </c>
      <c r="AT36" s="21">
        <v>26</v>
      </c>
      <c r="AU36" s="21">
        <v>1.6684000000000001</v>
      </c>
      <c r="AV36">
        <f t="shared" si="8"/>
        <v>10.476700000000001</v>
      </c>
      <c r="AW36">
        <f t="shared" si="9"/>
        <v>17.485717067000003</v>
      </c>
      <c r="AX36" s="9"/>
      <c r="AY36" s="21">
        <v>3.0975300000000001E-2</v>
      </c>
      <c r="AZ36" s="21">
        <v>739.59400000000005</v>
      </c>
      <c r="BA36" s="21">
        <v>-1.2826499999999999E-2</v>
      </c>
      <c r="BB36" s="21">
        <v>26</v>
      </c>
      <c r="BC36" s="21">
        <v>3.1253099999999999E-2</v>
      </c>
      <c r="BD36">
        <f t="shared" si="10"/>
        <v>12.826499999999999</v>
      </c>
      <c r="BE36">
        <f t="shared" si="11"/>
        <v>0.39730468544999997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146.084</v>
      </c>
      <c r="I37" s="21">
        <v>-1.08276E-2</v>
      </c>
      <c r="J37" s="21">
        <v>27</v>
      </c>
      <c r="K37" s="21">
        <v>1.6626000000000001</v>
      </c>
      <c r="L37">
        <f t="shared" si="0"/>
        <v>10.8276</v>
      </c>
      <c r="M37">
        <f t="shared" si="1"/>
        <v>18.016801571999999</v>
      </c>
      <c r="N37" s="9"/>
      <c r="O37" s="21">
        <v>3.60107E-2</v>
      </c>
      <c r="P37" s="21">
        <v>230.06800000000001</v>
      </c>
      <c r="Q37" s="21">
        <v>-1.26526E-2</v>
      </c>
      <c r="R37" s="21">
        <v>27</v>
      </c>
      <c r="S37" s="21">
        <v>3.6303700000000001E-2</v>
      </c>
      <c r="T37">
        <f t="shared" si="2"/>
        <v>12.6526</v>
      </c>
      <c r="U37">
        <f t="shared" si="3"/>
        <v>0.45562898281999997</v>
      </c>
      <c r="X37" s="9"/>
      <c r="Y37" s="21">
        <v>1.6639699999999999</v>
      </c>
      <c r="Z37" s="21">
        <v>436.23599999999999</v>
      </c>
      <c r="AA37" s="21">
        <v>-1.0623199999999999E-2</v>
      </c>
      <c r="AB37" s="21">
        <v>27</v>
      </c>
      <c r="AC37" s="21">
        <v>1.66351</v>
      </c>
      <c r="AD37">
        <f t="shared" si="4"/>
        <v>10.623199999999999</v>
      </c>
      <c r="AE37">
        <f t="shared" si="5"/>
        <v>17.676686103999998</v>
      </c>
      <c r="AF37" s="9"/>
      <c r="AG37" s="21">
        <v>3.60107E-2</v>
      </c>
      <c r="AH37" s="21">
        <v>492.911</v>
      </c>
      <c r="AI37" s="21">
        <v>-1.2670900000000001E-2</v>
      </c>
      <c r="AJ37" s="21">
        <v>27</v>
      </c>
      <c r="AK37" s="21">
        <v>3.62793E-2</v>
      </c>
      <c r="AL37">
        <f t="shared" si="6"/>
        <v>12.670900000000001</v>
      </c>
      <c r="AM37">
        <f t="shared" si="7"/>
        <v>0.45628797863000004</v>
      </c>
      <c r="AP37" s="9"/>
      <c r="AQ37" s="21">
        <v>1.6639699999999999</v>
      </c>
      <c r="AR37" s="21">
        <v>649.59900000000005</v>
      </c>
      <c r="AS37" s="21">
        <v>-1.04797E-2</v>
      </c>
      <c r="AT37" s="21">
        <v>27</v>
      </c>
      <c r="AU37" s="21">
        <v>1.6632100000000001</v>
      </c>
      <c r="AV37">
        <f t="shared" si="8"/>
        <v>10.479699999999999</v>
      </c>
      <c r="AW37">
        <f t="shared" si="9"/>
        <v>17.437906409</v>
      </c>
      <c r="AX37" s="9"/>
      <c r="AY37" s="21">
        <v>3.60107E-2</v>
      </c>
      <c r="AZ37" s="21">
        <v>739.69500000000005</v>
      </c>
      <c r="BA37" s="21">
        <v>-1.27838E-2</v>
      </c>
      <c r="BB37" s="21">
        <v>27</v>
      </c>
      <c r="BC37" s="21">
        <v>3.6309800000000003E-2</v>
      </c>
      <c r="BD37">
        <f t="shared" si="10"/>
        <v>12.783799999999999</v>
      </c>
      <c r="BE37">
        <f t="shared" si="11"/>
        <v>0.46035358665999998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146.184</v>
      </c>
      <c r="I38" s="21">
        <v>-1.0803200000000001E-2</v>
      </c>
      <c r="J38" s="21">
        <v>28</v>
      </c>
      <c r="K38" s="21">
        <v>1.65802</v>
      </c>
      <c r="L38">
        <f t="shared" si="0"/>
        <v>10.8032</v>
      </c>
      <c r="M38">
        <f t="shared" si="1"/>
        <v>17.921860608000003</v>
      </c>
      <c r="N38" s="9"/>
      <c r="O38" s="21">
        <v>4.1046100000000002E-2</v>
      </c>
      <c r="P38" s="21">
        <v>230.16900000000001</v>
      </c>
      <c r="Q38" s="21">
        <v>-1.2616E-2</v>
      </c>
      <c r="R38" s="21">
        <v>28</v>
      </c>
      <c r="S38" s="21">
        <v>4.1366600000000003E-2</v>
      </c>
      <c r="T38">
        <f t="shared" si="2"/>
        <v>12.616</v>
      </c>
      <c r="U38">
        <f t="shared" si="3"/>
        <v>0.51783759760000003</v>
      </c>
      <c r="X38" s="9"/>
      <c r="Y38" s="21">
        <v>1.6589400000000001</v>
      </c>
      <c r="Z38" s="21">
        <v>436.33600000000001</v>
      </c>
      <c r="AA38" s="21">
        <v>-1.06415E-2</v>
      </c>
      <c r="AB38" s="21">
        <v>28</v>
      </c>
      <c r="AC38" s="21">
        <v>1.65863</v>
      </c>
      <c r="AD38">
        <f t="shared" si="4"/>
        <v>10.641500000000001</v>
      </c>
      <c r="AE38">
        <f t="shared" si="5"/>
        <v>17.653610010000001</v>
      </c>
      <c r="AF38" s="9"/>
      <c r="AG38" s="21">
        <v>4.1046100000000002E-2</v>
      </c>
      <c r="AH38" s="21">
        <v>493.01100000000002</v>
      </c>
      <c r="AI38" s="21">
        <v>-1.26312E-2</v>
      </c>
      <c r="AJ38" s="21">
        <v>28</v>
      </c>
      <c r="AK38" s="21">
        <v>4.1333000000000002E-2</v>
      </c>
      <c r="AL38">
        <f t="shared" si="6"/>
        <v>12.6312</v>
      </c>
      <c r="AM38">
        <f t="shared" si="7"/>
        <v>0.51846149831999999</v>
      </c>
      <c r="AP38" s="9"/>
      <c r="AQ38" s="21">
        <v>1.6589400000000001</v>
      </c>
      <c r="AR38" s="21">
        <v>649.70000000000005</v>
      </c>
      <c r="AS38" s="21">
        <v>-1.04797E-2</v>
      </c>
      <c r="AT38" s="21">
        <v>28</v>
      </c>
      <c r="AU38" s="21">
        <v>1.65771</v>
      </c>
      <c r="AV38">
        <f t="shared" si="8"/>
        <v>10.479699999999999</v>
      </c>
      <c r="AW38">
        <f t="shared" si="9"/>
        <v>17.385193518000001</v>
      </c>
      <c r="AX38" s="9"/>
      <c r="AY38" s="21">
        <v>4.1046100000000002E-2</v>
      </c>
      <c r="AZ38" s="21">
        <v>739.79600000000005</v>
      </c>
      <c r="BA38" s="21">
        <v>-1.27502E-2</v>
      </c>
      <c r="BB38" s="21">
        <v>28</v>
      </c>
      <c r="BC38" s="21">
        <v>4.1302499999999999E-2</v>
      </c>
      <c r="BD38">
        <f t="shared" si="10"/>
        <v>12.7502</v>
      </c>
      <c r="BE38">
        <f t="shared" si="11"/>
        <v>0.52334598422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146.285</v>
      </c>
      <c r="I39" s="21">
        <v>-1.07849E-2</v>
      </c>
      <c r="J39" s="21">
        <v>29</v>
      </c>
      <c r="K39" s="21">
        <v>1.6531400000000001</v>
      </c>
      <c r="L39">
        <f t="shared" si="0"/>
        <v>10.7849</v>
      </c>
      <c r="M39">
        <f t="shared" si="1"/>
        <v>17.837146109999999</v>
      </c>
      <c r="N39" s="9"/>
      <c r="O39" s="21">
        <v>4.6081499999999997E-2</v>
      </c>
      <c r="P39" s="21">
        <v>230.26900000000001</v>
      </c>
      <c r="Q39" s="21">
        <v>-1.25763E-2</v>
      </c>
      <c r="R39" s="21">
        <v>29</v>
      </c>
      <c r="S39" s="21">
        <v>4.63562E-2</v>
      </c>
      <c r="T39">
        <f t="shared" si="2"/>
        <v>12.5763</v>
      </c>
      <c r="U39">
        <f t="shared" si="3"/>
        <v>0.57953476844999996</v>
      </c>
      <c r="X39" s="9"/>
      <c r="Y39" s="21">
        <v>1.6538999999999999</v>
      </c>
      <c r="Z39" s="21">
        <v>436.43700000000001</v>
      </c>
      <c r="AA39" s="21">
        <v>-1.05469E-2</v>
      </c>
      <c r="AB39" s="21">
        <v>29</v>
      </c>
      <c r="AC39" s="21">
        <v>1.65283</v>
      </c>
      <c r="AD39">
        <f t="shared" si="4"/>
        <v>10.546899999999999</v>
      </c>
      <c r="AE39">
        <f t="shared" si="5"/>
        <v>17.443517909999997</v>
      </c>
      <c r="AF39" s="9"/>
      <c r="AG39" s="21">
        <v>4.6081499999999997E-2</v>
      </c>
      <c r="AH39" s="21">
        <v>493.11200000000002</v>
      </c>
      <c r="AI39" s="21">
        <v>-1.26068E-2</v>
      </c>
      <c r="AJ39" s="21">
        <v>29</v>
      </c>
      <c r="AK39" s="21">
        <v>4.6374499999999999E-2</v>
      </c>
      <c r="AL39">
        <f t="shared" si="6"/>
        <v>12.6068</v>
      </c>
      <c r="AM39">
        <f t="shared" si="7"/>
        <v>0.58094025419999995</v>
      </c>
      <c r="AP39" s="9"/>
      <c r="AQ39" s="21">
        <v>1.6538999999999999</v>
      </c>
      <c r="AR39" s="21">
        <v>649.80100000000004</v>
      </c>
      <c r="AS39" s="21">
        <v>-1.0495000000000001E-2</v>
      </c>
      <c r="AT39" s="21">
        <v>29</v>
      </c>
      <c r="AU39" s="21">
        <v>1.6531400000000001</v>
      </c>
      <c r="AV39">
        <f t="shared" si="8"/>
        <v>10.495000000000001</v>
      </c>
      <c r="AW39">
        <f t="shared" si="9"/>
        <v>17.357680500000001</v>
      </c>
      <c r="AX39" s="9"/>
      <c r="AY39" s="21">
        <v>4.6081499999999997E-2</v>
      </c>
      <c r="AZ39" s="21">
        <v>739.89599999999996</v>
      </c>
      <c r="BA39" s="21">
        <v>-1.2716699999999999E-2</v>
      </c>
      <c r="BB39" s="21">
        <v>29</v>
      </c>
      <c r="BC39" s="21">
        <v>4.6368399999999997E-2</v>
      </c>
      <c r="BD39">
        <f t="shared" si="10"/>
        <v>12.716699999999999</v>
      </c>
      <c r="BE39">
        <f t="shared" si="11"/>
        <v>0.5860046110499999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146.386</v>
      </c>
      <c r="I40" s="21">
        <v>-1.0815399999999999E-2</v>
      </c>
      <c r="J40" s="21">
        <v>30</v>
      </c>
      <c r="K40" s="21">
        <v>1.64764</v>
      </c>
      <c r="L40">
        <f t="shared" si="0"/>
        <v>10.815399999999999</v>
      </c>
      <c r="M40">
        <f t="shared" si="1"/>
        <v>17.833080443999997</v>
      </c>
      <c r="N40" s="9"/>
      <c r="O40" s="21">
        <v>5.11169E-2</v>
      </c>
      <c r="P40" s="21">
        <v>230.37</v>
      </c>
      <c r="Q40" s="21">
        <v>-1.2539700000000001E-2</v>
      </c>
      <c r="R40" s="21">
        <v>30</v>
      </c>
      <c r="S40" s="21">
        <v>5.1025399999999999E-2</v>
      </c>
      <c r="T40">
        <f t="shared" si="2"/>
        <v>12.539700000000002</v>
      </c>
      <c r="U40">
        <f t="shared" si="3"/>
        <v>0.6409905909300001</v>
      </c>
      <c r="X40" s="9"/>
      <c r="Y40" s="21">
        <v>1.64886</v>
      </c>
      <c r="Z40" s="21">
        <v>436.53800000000001</v>
      </c>
      <c r="AA40" s="21">
        <v>-1.05255E-2</v>
      </c>
      <c r="AB40" s="21">
        <v>30</v>
      </c>
      <c r="AC40" s="21">
        <v>1.64856</v>
      </c>
      <c r="AD40">
        <f t="shared" si="4"/>
        <v>10.525500000000001</v>
      </c>
      <c r="AE40">
        <f t="shared" si="5"/>
        <v>17.355075930000002</v>
      </c>
      <c r="AF40" s="9"/>
      <c r="AG40" s="21">
        <v>5.11169E-2</v>
      </c>
      <c r="AH40" s="21">
        <v>493.21300000000002</v>
      </c>
      <c r="AI40" s="21">
        <v>-1.2582400000000001E-2</v>
      </c>
      <c r="AJ40" s="21">
        <v>30</v>
      </c>
      <c r="AK40" s="21">
        <v>5.0933800000000001E-2</v>
      </c>
      <c r="AL40">
        <f t="shared" si="6"/>
        <v>12.5824</v>
      </c>
      <c r="AM40">
        <f t="shared" si="7"/>
        <v>0.64317328255999995</v>
      </c>
      <c r="AP40" s="9"/>
      <c r="AQ40" s="21">
        <v>1.64886</v>
      </c>
      <c r="AR40" s="21">
        <v>649.90099999999995</v>
      </c>
      <c r="AS40" s="21">
        <v>-1.05103E-2</v>
      </c>
      <c r="AT40" s="21">
        <v>30</v>
      </c>
      <c r="AU40" s="21">
        <v>1.64825</v>
      </c>
      <c r="AV40">
        <f t="shared" si="8"/>
        <v>10.510300000000001</v>
      </c>
      <c r="AW40">
        <f t="shared" si="9"/>
        <v>17.330013258000001</v>
      </c>
      <c r="AX40" s="9"/>
      <c r="AY40" s="21">
        <v>5.11169E-2</v>
      </c>
      <c r="AZ40" s="21">
        <v>739.99699999999996</v>
      </c>
      <c r="BA40" s="21">
        <v>-1.26923E-2</v>
      </c>
      <c r="BB40" s="21">
        <v>30</v>
      </c>
      <c r="BC40" s="21">
        <v>5.0994900000000003E-2</v>
      </c>
      <c r="BD40">
        <f t="shared" si="10"/>
        <v>12.692299999999999</v>
      </c>
      <c r="BE40">
        <f t="shared" si="11"/>
        <v>0.64879102986999992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146.48599999999999</v>
      </c>
      <c r="I41" s="21">
        <v>-1.08063E-2</v>
      </c>
      <c r="J41" s="21">
        <v>31</v>
      </c>
      <c r="K41" s="21">
        <v>1.64307</v>
      </c>
      <c r="L41">
        <f t="shared" si="0"/>
        <v>10.8063</v>
      </c>
      <c r="M41">
        <f t="shared" si="1"/>
        <v>17.763720128999999</v>
      </c>
      <c r="N41" s="9"/>
      <c r="O41" s="21">
        <v>5.6152300000000002E-2</v>
      </c>
      <c r="P41" s="21">
        <v>230.471</v>
      </c>
      <c r="Q41" s="21">
        <v>-1.25031E-2</v>
      </c>
      <c r="R41" s="21">
        <v>31</v>
      </c>
      <c r="S41" s="21">
        <v>5.6060800000000001E-2</v>
      </c>
      <c r="T41">
        <f t="shared" si="2"/>
        <v>12.5031</v>
      </c>
      <c r="U41">
        <f t="shared" si="3"/>
        <v>0.70207782213000003</v>
      </c>
      <c r="X41" s="9"/>
      <c r="Y41" s="21">
        <v>1.6438299999999999</v>
      </c>
      <c r="Z41" s="21">
        <v>436.63799999999998</v>
      </c>
      <c r="AA41" s="21">
        <v>-1.04858E-2</v>
      </c>
      <c r="AB41" s="21">
        <v>31</v>
      </c>
      <c r="AC41" s="21">
        <v>1.64368</v>
      </c>
      <c r="AD41">
        <f t="shared" si="4"/>
        <v>10.485799999999999</v>
      </c>
      <c r="AE41">
        <f t="shared" si="5"/>
        <v>17.236872613999999</v>
      </c>
      <c r="AF41" s="9"/>
      <c r="AG41" s="21">
        <v>5.6152300000000002E-2</v>
      </c>
      <c r="AH41" s="21">
        <v>493.31299999999999</v>
      </c>
      <c r="AI41" s="21">
        <v>-1.2539700000000001E-2</v>
      </c>
      <c r="AJ41" s="21">
        <v>31</v>
      </c>
      <c r="AK41" s="21">
        <v>5.5999800000000002E-2</v>
      </c>
      <c r="AL41">
        <f t="shared" si="6"/>
        <v>12.539700000000002</v>
      </c>
      <c r="AM41">
        <f t="shared" si="7"/>
        <v>0.70413299631000015</v>
      </c>
      <c r="AP41" s="9"/>
      <c r="AQ41" s="21">
        <v>1.6438299999999999</v>
      </c>
      <c r="AR41" s="21">
        <v>650.00199999999995</v>
      </c>
      <c r="AS41" s="21">
        <v>-1.05133E-2</v>
      </c>
      <c r="AT41" s="21">
        <v>31</v>
      </c>
      <c r="AU41" s="21">
        <v>1.64337</v>
      </c>
      <c r="AV41">
        <f t="shared" si="8"/>
        <v>10.513299999999999</v>
      </c>
      <c r="AW41">
        <f t="shared" si="9"/>
        <v>17.282077938999997</v>
      </c>
      <c r="AX41" s="9"/>
      <c r="AY41" s="21">
        <v>5.6152300000000002E-2</v>
      </c>
      <c r="AZ41" s="21">
        <v>740.09799999999996</v>
      </c>
      <c r="BA41" s="21">
        <v>-1.26678E-2</v>
      </c>
      <c r="BB41" s="21">
        <v>31</v>
      </c>
      <c r="BC41" s="21">
        <v>5.6030299999999998E-2</v>
      </c>
      <c r="BD41">
        <f t="shared" si="10"/>
        <v>12.6678</v>
      </c>
      <c r="BE41">
        <f t="shared" si="11"/>
        <v>0.71132610594000001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146.58699999999999</v>
      </c>
      <c r="I42" s="21">
        <v>-1.08124E-2</v>
      </c>
      <c r="J42" s="21">
        <v>32</v>
      </c>
      <c r="K42" s="21">
        <v>1.63788</v>
      </c>
      <c r="L42">
        <f t="shared" si="0"/>
        <v>10.8124</v>
      </c>
      <c r="M42">
        <f t="shared" si="1"/>
        <v>17.719252996000002</v>
      </c>
      <c r="N42" s="9"/>
      <c r="O42" s="21">
        <v>6.1187699999999998E-2</v>
      </c>
      <c r="P42" s="21">
        <v>230.572</v>
      </c>
      <c r="Q42" s="21">
        <v>-1.24756E-2</v>
      </c>
      <c r="R42" s="21">
        <v>32</v>
      </c>
      <c r="S42" s="21">
        <v>6.1065700000000001E-2</v>
      </c>
      <c r="T42">
        <f t="shared" si="2"/>
        <v>12.4756</v>
      </c>
      <c r="U42">
        <f t="shared" si="3"/>
        <v>0.76335327011999998</v>
      </c>
      <c r="X42" s="9"/>
      <c r="Y42" s="21">
        <v>1.63879</v>
      </c>
      <c r="Z42" s="21">
        <v>436.73899999999998</v>
      </c>
      <c r="AA42" s="21">
        <v>-1.06903E-2</v>
      </c>
      <c r="AB42" s="21">
        <v>32</v>
      </c>
      <c r="AC42" s="21">
        <v>1.63849</v>
      </c>
      <c r="AD42">
        <f t="shared" si="4"/>
        <v>10.690300000000001</v>
      </c>
      <c r="AE42">
        <f t="shared" si="5"/>
        <v>17.519156736999999</v>
      </c>
      <c r="AF42" s="9"/>
      <c r="AG42" s="21">
        <v>6.1187699999999998E-2</v>
      </c>
      <c r="AH42" s="21">
        <v>493.41399999999999</v>
      </c>
      <c r="AI42" s="21">
        <v>-1.25183E-2</v>
      </c>
      <c r="AJ42" s="21">
        <v>32</v>
      </c>
      <c r="AK42" s="21">
        <v>6.1065700000000001E-2</v>
      </c>
      <c r="AL42">
        <f t="shared" si="6"/>
        <v>12.5183</v>
      </c>
      <c r="AM42">
        <f t="shared" si="7"/>
        <v>0.76596598491000001</v>
      </c>
      <c r="AP42" s="9"/>
      <c r="AQ42" s="21">
        <v>1.63879</v>
      </c>
      <c r="AR42" s="21">
        <v>650.10299999999995</v>
      </c>
      <c r="AS42" s="21">
        <v>-1.05469E-2</v>
      </c>
      <c r="AT42" s="21">
        <v>32</v>
      </c>
      <c r="AU42" s="21">
        <v>1.63818</v>
      </c>
      <c r="AV42">
        <f t="shared" si="8"/>
        <v>10.546899999999999</v>
      </c>
      <c r="AW42">
        <f t="shared" si="9"/>
        <v>17.284154250999997</v>
      </c>
      <c r="AX42" s="9"/>
      <c r="AY42" s="21">
        <v>6.1187699999999998E-2</v>
      </c>
      <c r="AZ42" s="21">
        <v>740.19799999999998</v>
      </c>
      <c r="BA42" s="21">
        <v>-1.26465E-2</v>
      </c>
      <c r="BB42" s="21">
        <v>32</v>
      </c>
      <c r="BC42" s="21">
        <v>6.1126699999999999E-2</v>
      </c>
      <c r="BD42">
        <f t="shared" si="10"/>
        <v>12.6465</v>
      </c>
      <c r="BE42">
        <f t="shared" si="11"/>
        <v>0.77381024804999998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146.68799999999999</v>
      </c>
      <c r="I43" s="21">
        <v>-1.08215E-2</v>
      </c>
      <c r="J43" s="21">
        <v>33</v>
      </c>
      <c r="K43" s="21">
        <v>1.6333</v>
      </c>
      <c r="L43">
        <f t="shared" si="0"/>
        <v>10.8215</v>
      </c>
      <c r="M43">
        <f t="shared" si="1"/>
        <v>17.679733840000001</v>
      </c>
      <c r="N43" s="9"/>
      <c r="O43" s="21">
        <v>6.6223099999999993E-2</v>
      </c>
      <c r="P43" s="21">
        <v>230.672</v>
      </c>
      <c r="Q43" s="21">
        <v>-1.2451200000000001E-2</v>
      </c>
      <c r="R43" s="21">
        <v>33</v>
      </c>
      <c r="S43" s="21">
        <v>6.6070599999999993E-2</v>
      </c>
      <c r="T43">
        <f t="shared" si="2"/>
        <v>12.4512</v>
      </c>
      <c r="U43">
        <f t="shared" si="3"/>
        <v>0.82455706271999996</v>
      </c>
      <c r="X43" s="9"/>
      <c r="Y43" s="21">
        <v>1.6337600000000001</v>
      </c>
      <c r="Z43" s="21">
        <v>436.84</v>
      </c>
      <c r="AA43" s="21">
        <v>-1.06903E-2</v>
      </c>
      <c r="AB43" s="21">
        <v>33</v>
      </c>
      <c r="AC43" s="21">
        <v>1.63361</v>
      </c>
      <c r="AD43">
        <f t="shared" si="4"/>
        <v>10.690300000000001</v>
      </c>
      <c r="AE43">
        <f t="shared" si="5"/>
        <v>17.465384528000001</v>
      </c>
      <c r="AF43" s="9"/>
      <c r="AG43" s="21">
        <v>6.6223099999999993E-2</v>
      </c>
      <c r="AH43" s="21">
        <v>493.51499999999999</v>
      </c>
      <c r="AI43" s="21">
        <v>-1.24847E-2</v>
      </c>
      <c r="AJ43" s="21">
        <v>33</v>
      </c>
      <c r="AK43" s="21">
        <v>6.6101099999999996E-2</v>
      </c>
      <c r="AL43">
        <f t="shared" si="6"/>
        <v>12.4847</v>
      </c>
      <c r="AM43">
        <f t="shared" si="7"/>
        <v>0.82677553656999991</v>
      </c>
      <c r="AP43" s="9"/>
      <c r="AQ43" s="21">
        <v>1.6337600000000001</v>
      </c>
      <c r="AR43" s="21">
        <v>650.20399999999995</v>
      </c>
      <c r="AS43" s="21">
        <v>-1.05469E-2</v>
      </c>
      <c r="AT43" s="21">
        <v>33</v>
      </c>
      <c r="AU43" s="21">
        <v>1.63239</v>
      </c>
      <c r="AV43">
        <f t="shared" si="8"/>
        <v>10.546899999999999</v>
      </c>
      <c r="AW43">
        <f t="shared" si="9"/>
        <v>17.231103344000001</v>
      </c>
      <c r="AX43" s="9"/>
      <c r="AY43" s="21">
        <v>6.6223099999999993E-2</v>
      </c>
      <c r="AZ43" s="21">
        <v>740.29899999999998</v>
      </c>
      <c r="BA43" s="21">
        <v>-1.26251E-2</v>
      </c>
      <c r="BB43" s="21">
        <v>33</v>
      </c>
      <c r="BC43" s="21">
        <v>6.6131599999999999E-2</v>
      </c>
      <c r="BD43">
        <f t="shared" si="10"/>
        <v>12.6251</v>
      </c>
      <c r="BE43">
        <f t="shared" si="11"/>
        <v>0.83607325980999991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146.78899999999999</v>
      </c>
      <c r="I44" s="21">
        <v>-1.08246E-2</v>
      </c>
      <c r="J44" s="21">
        <v>34</v>
      </c>
      <c r="K44" s="21">
        <v>1.62781</v>
      </c>
      <c r="L44">
        <f t="shared" si="0"/>
        <v>10.8246</v>
      </c>
      <c r="M44">
        <f t="shared" si="1"/>
        <v>17.630242511999999</v>
      </c>
      <c r="N44" s="9"/>
      <c r="O44" s="21">
        <v>7.1258500000000002E-2</v>
      </c>
      <c r="P44" s="21">
        <v>230.773</v>
      </c>
      <c r="Q44" s="21">
        <v>-1.24298E-2</v>
      </c>
      <c r="R44" s="21">
        <v>34</v>
      </c>
      <c r="S44" s="21">
        <v>7.1075399999999997E-2</v>
      </c>
      <c r="T44">
        <f t="shared" si="2"/>
        <v>12.4298</v>
      </c>
      <c r="U44">
        <f t="shared" si="3"/>
        <v>0.88572890330000009</v>
      </c>
      <c r="X44" s="9"/>
      <c r="Y44" s="21">
        <v>1.6287199999999999</v>
      </c>
      <c r="Z44" s="21">
        <v>436.94099999999997</v>
      </c>
      <c r="AA44" s="21">
        <v>-1.0678099999999999E-2</v>
      </c>
      <c r="AB44" s="21">
        <v>34</v>
      </c>
      <c r="AC44" s="21">
        <v>1.6281099999999999</v>
      </c>
      <c r="AD44">
        <f t="shared" si="4"/>
        <v>10.678099999999999</v>
      </c>
      <c r="AE44">
        <f t="shared" si="5"/>
        <v>17.391635031999996</v>
      </c>
      <c r="AF44" s="9"/>
      <c r="AG44" s="21">
        <v>7.1258500000000002E-2</v>
      </c>
      <c r="AH44" s="21">
        <v>493.61599999999999</v>
      </c>
      <c r="AI44" s="21">
        <v>-1.2466400000000001E-2</v>
      </c>
      <c r="AJ44" s="21">
        <v>34</v>
      </c>
      <c r="AK44" s="21">
        <v>7.1106000000000003E-2</v>
      </c>
      <c r="AL44">
        <f t="shared" si="6"/>
        <v>12.4664</v>
      </c>
      <c r="AM44">
        <f t="shared" si="7"/>
        <v>0.8883369644000001</v>
      </c>
      <c r="AP44" s="9"/>
      <c r="AQ44" s="21">
        <v>1.6287199999999999</v>
      </c>
      <c r="AR44" s="21">
        <v>650.30399999999997</v>
      </c>
      <c r="AS44" s="21">
        <v>-1.05682E-2</v>
      </c>
      <c r="AT44" s="21">
        <v>34</v>
      </c>
      <c r="AU44" s="21">
        <v>1.6281099999999999</v>
      </c>
      <c r="AV44">
        <f t="shared" si="8"/>
        <v>10.568199999999999</v>
      </c>
      <c r="AW44">
        <f t="shared" si="9"/>
        <v>17.212638704</v>
      </c>
      <c r="AX44" s="9"/>
      <c r="AY44" s="21">
        <v>7.1258500000000002E-2</v>
      </c>
      <c r="AZ44" s="21">
        <v>740.4</v>
      </c>
      <c r="BA44" s="21">
        <v>-1.26068E-2</v>
      </c>
      <c r="BB44" s="21">
        <v>34</v>
      </c>
      <c r="BC44" s="21">
        <v>7.1106000000000003E-2</v>
      </c>
      <c r="BD44">
        <f t="shared" si="10"/>
        <v>12.6068</v>
      </c>
      <c r="BE44">
        <f t="shared" si="11"/>
        <v>0.89834165779999997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146.88900000000001</v>
      </c>
      <c r="I45" s="21">
        <v>-1.08459E-2</v>
      </c>
      <c r="J45" s="21">
        <v>35</v>
      </c>
      <c r="K45" s="21">
        <v>1.6229199999999999</v>
      </c>
      <c r="L45">
        <f t="shared" si="0"/>
        <v>10.8459</v>
      </c>
      <c r="M45">
        <f t="shared" si="1"/>
        <v>17.610379371000001</v>
      </c>
      <c r="N45" s="9"/>
      <c r="O45" s="21">
        <v>7.6293899999999998E-2</v>
      </c>
      <c r="P45" s="21">
        <v>230.874</v>
      </c>
      <c r="Q45" s="21">
        <v>-1.2417600000000001E-2</v>
      </c>
      <c r="R45" s="21">
        <v>35</v>
      </c>
      <c r="S45" s="21">
        <v>7.6110800000000006E-2</v>
      </c>
      <c r="T45">
        <f t="shared" si="2"/>
        <v>12.4176</v>
      </c>
      <c r="U45">
        <f t="shared" si="3"/>
        <v>0.94738713263999996</v>
      </c>
      <c r="X45" s="9"/>
      <c r="Y45" s="21">
        <v>1.6236900000000001</v>
      </c>
      <c r="Z45" s="21">
        <v>437.041</v>
      </c>
      <c r="AA45" s="21">
        <v>-1.0665900000000001E-2</v>
      </c>
      <c r="AB45" s="21">
        <v>35</v>
      </c>
      <c r="AC45" s="21">
        <v>1.62323</v>
      </c>
      <c r="AD45">
        <f t="shared" si="4"/>
        <v>10.665900000000001</v>
      </c>
      <c r="AE45">
        <f t="shared" si="5"/>
        <v>17.318115171000002</v>
      </c>
      <c r="AF45" s="9"/>
      <c r="AG45" s="21">
        <v>7.6293899999999998E-2</v>
      </c>
      <c r="AH45" s="21">
        <v>493.71600000000001</v>
      </c>
      <c r="AI45" s="21">
        <v>-1.24481E-2</v>
      </c>
      <c r="AJ45" s="21">
        <v>35</v>
      </c>
      <c r="AK45" s="21">
        <v>7.6171900000000001E-2</v>
      </c>
      <c r="AL45">
        <f t="shared" si="6"/>
        <v>12.4481</v>
      </c>
      <c r="AM45">
        <f t="shared" si="7"/>
        <v>0.94971409658999995</v>
      </c>
      <c r="AP45" s="9"/>
      <c r="AQ45" s="21">
        <v>1.6236900000000001</v>
      </c>
      <c r="AR45" s="21">
        <v>650.40499999999997</v>
      </c>
      <c r="AS45" s="21">
        <v>-1.05713E-2</v>
      </c>
      <c r="AT45" s="21">
        <v>35</v>
      </c>
      <c r="AU45" s="21">
        <v>1.62262</v>
      </c>
      <c r="AV45">
        <f t="shared" si="8"/>
        <v>10.571300000000001</v>
      </c>
      <c r="AW45">
        <f t="shared" si="9"/>
        <v>17.164514097000001</v>
      </c>
      <c r="AX45" s="9"/>
      <c r="AY45" s="21">
        <v>7.6293899999999998E-2</v>
      </c>
      <c r="AZ45" s="21">
        <v>740.5</v>
      </c>
      <c r="BA45" s="21">
        <v>-1.25977E-2</v>
      </c>
      <c r="BB45" s="21">
        <v>35</v>
      </c>
      <c r="BC45" s="21">
        <v>7.6141399999999998E-2</v>
      </c>
      <c r="BD45">
        <f t="shared" si="10"/>
        <v>12.5977</v>
      </c>
      <c r="BE45">
        <f t="shared" si="11"/>
        <v>0.96112766402999994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146.99</v>
      </c>
      <c r="I46" s="21">
        <v>-1.08612E-2</v>
      </c>
      <c r="J46" s="21">
        <v>36</v>
      </c>
      <c r="K46" s="21">
        <v>1.6180399999999999</v>
      </c>
      <c r="L46">
        <f t="shared" si="0"/>
        <v>10.8612</v>
      </c>
      <c r="M46">
        <f t="shared" si="1"/>
        <v>17.580481379999998</v>
      </c>
      <c r="N46" s="9"/>
      <c r="O46" s="21">
        <v>8.1329299999999993E-2</v>
      </c>
      <c r="P46" s="21">
        <v>230.97399999999999</v>
      </c>
      <c r="Q46" s="21">
        <v>-1.23993E-2</v>
      </c>
      <c r="R46" s="21">
        <v>36</v>
      </c>
      <c r="S46" s="21">
        <v>8.1207299999999996E-2</v>
      </c>
      <c r="T46">
        <f t="shared" si="2"/>
        <v>12.3993</v>
      </c>
      <c r="U46">
        <f t="shared" si="3"/>
        <v>1.0084263894899999</v>
      </c>
      <c r="X46" s="9"/>
      <c r="Y46" s="21">
        <v>1.6186499999999999</v>
      </c>
      <c r="Z46" s="21">
        <v>437.142</v>
      </c>
      <c r="AA46" s="21">
        <v>-1.0675E-2</v>
      </c>
      <c r="AB46" s="21">
        <v>36</v>
      </c>
      <c r="AC46" s="21">
        <v>1.61774</v>
      </c>
      <c r="AD46">
        <f t="shared" si="4"/>
        <v>10.675000000000001</v>
      </c>
      <c r="AE46">
        <f t="shared" si="5"/>
        <v>17.27908875</v>
      </c>
      <c r="AF46" s="9"/>
      <c r="AG46" s="21">
        <v>8.1329299999999993E-2</v>
      </c>
      <c r="AH46" s="21">
        <v>493.81700000000001</v>
      </c>
      <c r="AI46" s="21">
        <v>-1.2442E-2</v>
      </c>
      <c r="AJ46" s="21">
        <v>36</v>
      </c>
      <c r="AK46" s="21">
        <v>8.1176799999999993E-2</v>
      </c>
      <c r="AL46">
        <f t="shared" si="6"/>
        <v>12.442</v>
      </c>
      <c r="AM46">
        <f t="shared" si="7"/>
        <v>1.0118991505999999</v>
      </c>
      <c r="AP46" s="9"/>
      <c r="AQ46" s="21">
        <v>1.6186499999999999</v>
      </c>
      <c r="AR46" s="21">
        <v>650.50599999999997</v>
      </c>
      <c r="AS46" s="21">
        <v>-1.0540799999999999E-2</v>
      </c>
      <c r="AT46" s="21">
        <v>36</v>
      </c>
      <c r="AU46" s="21">
        <v>1.6180399999999999</v>
      </c>
      <c r="AV46">
        <f t="shared" si="8"/>
        <v>10.540799999999999</v>
      </c>
      <c r="AW46">
        <f t="shared" si="9"/>
        <v>17.061865919999999</v>
      </c>
      <c r="AX46" s="9"/>
      <c r="AY46" s="21">
        <v>8.1329299999999993E-2</v>
      </c>
      <c r="AZ46" s="21">
        <v>740.601</v>
      </c>
      <c r="BA46" s="21">
        <v>-1.25793E-2</v>
      </c>
      <c r="BB46" s="21">
        <v>36</v>
      </c>
      <c r="BC46" s="21">
        <v>8.1176799999999993E-2</v>
      </c>
      <c r="BD46">
        <f t="shared" si="10"/>
        <v>12.5793</v>
      </c>
      <c r="BE46">
        <f t="shared" si="11"/>
        <v>1.0230656634899999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147.09100000000001</v>
      </c>
      <c r="I47" s="21">
        <v>-1.0882599999999999E-2</v>
      </c>
      <c r="J47" s="21">
        <v>37</v>
      </c>
      <c r="K47" s="21">
        <v>1.6131599999999999</v>
      </c>
      <c r="L47">
        <f t="shared" si="0"/>
        <v>10.8826</v>
      </c>
      <c r="M47">
        <f t="shared" si="1"/>
        <v>17.560381012000001</v>
      </c>
      <c r="N47" s="9"/>
      <c r="O47" s="21">
        <v>8.6364700000000003E-2</v>
      </c>
      <c r="P47" s="21">
        <v>231.07499999999999</v>
      </c>
      <c r="Q47" s="21">
        <v>-1.23871E-2</v>
      </c>
      <c r="R47" s="21">
        <v>37</v>
      </c>
      <c r="S47" s="21">
        <v>8.6181599999999997E-2</v>
      </c>
      <c r="T47">
        <f t="shared" si="2"/>
        <v>12.3871</v>
      </c>
      <c r="U47">
        <f t="shared" si="3"/>
        <v>1.0698081753699999</v>
      </c>
      <c r="X47" s="9"/>
      <c r="Y47" s="21">
        <v>1.6136200000000001</v>
      </c>
      <c r="Z47" s="21">
        <v>437.24299999999999</v>
      </c>
      <c r="AA47" s="21">
        <v>-1.0678099999999999E-2</v>
      </c>
      <c r="AB47" s="21">
        <v>37</v>
      </c>
      <c r="AC47" s="21">
        <v>1.6128499999999999</v>
      </c>
      <c r="AD47">
        <f t="shared" si="4"/>
        <v>10.678099999999999</v>
      </c>
      <c r="AE47">
        <f t="shared" si="5"/>
        <v>17.230395721999997</v>
      </c>
      <c r="AF47" s="9"/>
      <c r="AG47" s="21">
        <v>8.6364700000000003E-2</v>
      </c>
      <c r="AH47" s="21">
        <v>493.91800000000001</v>
      </c>
      <c r="AI47" s="21">
        <v>-1.24298E-2</v>
      </c>
      <c r="AJ47" s="21">
        <v>37</v>
      </c>
      <c r="AK47" s="21">
        <v>8.6242700000000005E-2</v>
      </c>
      <c r="AL47">
        <f t="shared" si="6"/>
        <v>12.4298</v>
      </c>
      <c r="AM47">
        <f t="shared" si="7"/>
        <v>1.0734959480600001</v>
      </c>
      <c r="AP47" s="9"/>
      <c r="AQ47" s="21">
        <v>1.6136200000000001</v>
      </c>
      <c r="AR47" s="21">
        <v>650.60599999999999</v>
      </c>
      <c r="AS47" s="21">
        <v>-1.05682E-2</v>
      </c>
      <c r="AT47" s="21">
        <v>37</v>
      </c>
      <c r="AU47" s="21">
        <v>1.6134599999999999</v>
      </c>
      <c r="AV47">
        <f t="shared" si="8"/>
        <v>10.568199999999999</v>
      </c>
      <c r="AW47">
        <f t="shared" si="9"/>
        <v>17.053058883999999</v>
      </c>
      <c r="AX47" s="9"/>
      <c r="AY47" s="21">
        <v>8.6364700000000003E-2</v>
      </c>
      <c r="AZ47" s="21">
        <v>740.702</v>
      </c>
      <c r="BA47" s="21">
        <v>-1.25641E-2</v>
      </c>
      <c r="BB47" s="21">
        <v>37</v>
      </c>
      <c r="BC47" s="21">
        <v>8.6242700000000005E-2</v>
      </c>
      <c r="BD47">
        <f t="shared" si="10"/>
        <v>12.5641</v>
      </c>
      <c r="BE47">
        <f t="shared" si="11"/>
        <v>1.08509472727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147.191</v>
      </c>
      <c r="I48" s="21">
        <v>-1.0876500000000001E-2</v>
      </c>
      <c r="J48" s="21">
        <v>38</v>
      </c>
      <c r="K48" s="21">
        <v>1.6076699999999999</v>
      </c>
      <c r="L48">
        <f t="shared" si="0"/>
        <v>10.8765</v>
      </c>
      <c r="M48">
        <f t="shared" si="1"/>
        <v>17.495720369999997</v>
      </c>
      <c r="N48" s="9"/>
      <c r="O48" s="21">
        <v>9.1400099999999998E-2</v>
      </c>
      <c r="P48" s="21">
        <v>231.17599999999999</v>
      </c>
      <c r="Q48" s="21">
        <v>-1.2374899999999999E-2</v>
      </c>
      <c r="R48" s="21">
        <v>38</v>
      </c>
      <c r="S48" s="21">
        <v>9.1247599999999998E-2</v>
      </c>
      <c r="T48">
        <f t="shared" si="2"/>
        <v>12.3749</v>
      </c>
      <c r="U48">
        <f t="shared" si="3"/>
        <v>1.1310670974899999</v>
      </c>
      <c r="X48" s="9"/>
      <c r="Y48" s="21">
        <v>1.6085799999999999</v>
      </c>
      <c r="Z48" s="21">
        <v>437.34300000000002</v>
      </c>
      <c r="AA48" s="21">
        <v>-1.0665900000000001E-2</v>
      </c>
      <c r="AB48" s="21">
        <v>38</v>
      </c>
      <c r="AC48" s="21">
        <v>1.6079699999999999</v>
      </c>
      <c r="AD48">
        <f t="shared" si="4"/>
        <v>10.665900000000001</v>
      </c>
      <c r="AE48">
        <f t="shared" si="5"/>
        <v>17.156953422000001</v>
      </c>
      <c r="AF48" s="9"/>
      <c r="AG48" s="21">
        <v>9.1400099999999998E-2</v>
      </c>
      <c r="AH48" s="21">
        <v>494.01799999999997</v>
      </c>
      <c r="AI48" s="21">
        <v>-1.24298E-2</v>
      </c>
      <c r="AJ48" s="21">
        <v>38</v>
      </c>
      <c r="AK48" s="21">
        <v>9.1247599999999998E-2</v>
      </c>
      <c r="AL48">
        <f t="shared" si="6"/>
        <v>12.4298</v>
      </c>
      <c r="AM48">
        <f t="shared" si="7"/>
        <v>1.1360849629800001</v>
      </c>
      <c r="AP48" s="9"/>
      <c r="AQ48" s="21">
        <v>1.6085799999999999</v>
      </c>
      <c r="AR48" s="21">
        <v>650.70699999999999</v>
      </c>
      <c r="AS48" s="21">
        <v>-1.05743E-2</v>
      </c>
      <c r="AT48" s="21">
        <v>38</v>
      </c>
      <c r="AU48" s="21">
        <v>1.6079699999999999</v>
      </c>
      <c r="AV48">
        <f t="shared" si="8"/>
        <v>10.574299999999999</v>
      </c>
      <c r="AW48">
        <f t="shared" si="9"/>
        <v>17.009607493999997</v>
      </c>
      <c r="AX48" s="9"/>
      <c r="AY48" s="21">
        <v>9.1400099999999998E-2</v>
      </c>
      <c r="AZ48" s="21">
        <v>740.803</v>
      </c>
      <c r="BA48" s="21">
        <v>-1.2554900000000001E-2</v>
      </c>
      <c r="BB48" s="21">
        <v>38</v>
      </c>
      <c r="BC48" s="21">
        <v>9.1247599999999998E-2</v>
      </c>
      <c r="BD48">
        <f t="shared" si="10"/>
        <v>12.5549</v>
      </c>
      <c r="BE48">
        <f t="shared" si="11"/>
        <v>1.14751911549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147.292</v>
      </c>
      <c r="I49" s="21">
        <v>-1.0870400000000001E-2</v>
      </c>
      <c r="J49" s="21">
        <v>39</v>
      </c>
      <c r="K49" s="21">
        <v>1.6027800000000001</v>
      </c>
      <c r="L49">
        <f t="shared" si="0"/>
        <v>10.8704</v>
      </c>
      <c r="M49">
        <f t="shared" si="1"/>
        <v>17.43122992</v>
      </c>
      <c r="N49" s="9"/>
      <c r="O49" s="21">
        <v>9.6435499999999993E-2</v>
      </c>
      <c r="P49" s="21">
        <v>231.27699999999999</v>
      </c>
      <c r="Q49" s="21">
        <v>-1.2362700000000001E-2</v>
      </c>
      <c r="R49" s="21">
        <v>39</v>
      </c>
      <c r="S49" s="21">
        <v>9.6191399999999996E-2</v>
      </c>
      <c r="T49">
        <f t="shared" si="2"/>
        <v>12.3627</v>
      </c>
      <c r="U49">
        <f t="shared" si="3"/>
        <v>1.1922031558499999</v>
      </c>
      <c r="X49" s="9"/>
      <c r="Y49" s="21">
        <v>1.60355</v>
      </c>
      <c r="Z49" s="21">
        <v>437.44400000000002</v>
      </c>
      <c r="AA49" s="21">
        <v>-1.0671999999999999E-2</v>
      </c>
      <c r="AB49" s="21">
        <v>39</v>
      </c>
      <c r="AC49" s="21">
        <v>1.6030899999999999</v>
      </c>
      <c r="AD49">
        <f t="shared" si="4"/>
        <v>10.671999999999999</v>
      </c>
      <c r="AE49">
        <f t="shared" si="5"/>
        <v>17.113085599999998</v>
      </c>
      <c r="AF49" s="9"/>
      <c r="AG49" s="21">
        <v>9.6435499999999993E-2</v>
      </c>
      <c r="AH49" s="21">
        <v>494.11900000000003</v>
      </c>
      <c r="AI49" s="21">
        <v>-1.24146E-2</v>
      </c>
      <c r="AJ49" s="21">
        <v>39</v>
      </c>
      <c r="AK49" s="21">
        <v>9.6343999999999999E-2</v>
      </c>
      <c r="AL49">
        <f t="shared" si="6"/>
        <v>12.4146</v>
      </c>
      <c r="AM49">
        <f t="shared" si="7"/>
        <v>1.1972081582999998</v>
      </c>
      <c r="AP49" s="9"/>
      <c r="AQ49" s="21">
        <v>1.60355</v>
      </c>
      <c r="AR49" s="21">
        <v>650.80799999999999</v>
      </c>
      <c r="AS49" s="21">
        <v>-1.05713E-2</v>
      </c>
      <c r="AT49" s="21">
        <v>39</v>
      </c>
      <c r="AU49" s="21">
        <v>1.6033900000000001</v>
      </c>
      <c r="AV49">
        <f t="shared" si="8"/>
        <v>10.571300000000001</v>
      </c>
      <c r="AW49">
        <f t="shared" si="9"/>
        <v>16.951608115000003</v>
      </c>
      <c r="AX49" s="9"/>
      <c r="AY49" s="21">
        <v>9.6435499999999993E-2</v>
      </c>
      <c r="AZ49" s="21">
        <v>740.90300000000002</v>
      </c>
      <c r="BA49" s="21">
        <v>-1.2545799999999999E-2</v>
      </c>
      <c r="BB49" s="21">
        <v>39</v>
      </c>
      <c r="BC49" s="21">
        <v>9.6282999999999994E-2</v>
      </c>
      <c r="BD49">
        <f t="shared" si="10"/>
        <v>12.5458</v>
      </c>
      <c r="BE49">
        <f t="shared" si="11"/>
        <v>1.2098604958999999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147.393</v>
      </c>
      <c r="I50" s="21">
        <v>-1.08673E-2</v>
      </c>
      <c r="J50" s="21">
        <v>40</v>
      </c>
      <c r="K50" s="21">
        <v>1.5979000000000001</v>
      </c>
      <c r="L50">
        <f t="shared" si="0"/>
        <v>10.8673</v>
      </c>
      <c r="M50">
        <f t="shared" si="1"/>
        <v>17.371487723000001</v>
      </c>
      <c r="N50" s="9"/>
      <c r="O50" s="21">
        <v>0.10147100000000001</v>
      </c>
      <c r="P50" s="21">
        <v>231.37700000000001</v>
      </c>
      <c r="Q50" s="21">
        <v>-1.23474E-2</v>
      </c>
      <c r="R50" s="21">
        <v>40</v>
      </c>
      <c r="S50" s="21">
        <v>0.10131800000000001</v>
      </c>
      <c r="T50">
        <f t="shared" si="2"/>
        <v>12.3474</v>
      </c>
      <c r="U50">
        <f t="shared" si="3"/>
        <v>1.2529030254000002</v>
      </c>
      <c r="X50" s="9"/>
      <c r="Y50" s="21">
        <v>1.5985100000000001</v>
      </c>
      <c r="Z50" s="21">
        <v>437.54500000000002</v>
      </c>
      <c r="AA50" s="21">
        <v>-1.06689E-2</v>
      </c>
      <c r="AB50" s="21">
        <v>40</v>
      </c>
      <c r="AC50" s="21">
        <v>1.5975999999999999</v>
      </c>
      <c r="AD50">
        <f t="shared" si="4"/>
        <v>10.668900000000001</v>
      </c>
      <c r="AE50">
        <f t="shared" si="5"/>
        <v>17.054343339000003</v>
      </c>
      <c r="AF50" s="9"/>
      <c r="AG50" s="21">
        <v>0.10147100000000001</v>
      </c>
      <c r="AH50" s="21">
        <v>494.22</v>
      </c>
      <c r="AI50" s="21">
        <v>-1.24054E-2</v>
      </c>
      <c r="AJ50" s="21">
        <v>40</v>
      </c>
      <c r="AK50" s="21">
        <v>0.10134899999999999</v>
      </c>
      <c r="AL50">
        <f t="shared" si="6"/>
        <v>12.4054</v>
      </c>
      <c r="AM50">
        <f t="shared" si="7"/>
        <v>1.2587883434</v>
      </c>
      <c r="AP50" s="9"/>
      <c r="AQ50" s="21">
        <v>1.5985100000000001</v>
      </c>
      <c r="AR50" s="21">
        <v>650.90800000000002</v>
      </c>
      <c r="AS50" s="21">
        <v>-1.05804E-2</v>
      </c>
      <c r="AT50" s="21">
        <v>40</v>
      </c>
      <c r="AU50" s="21">
        <v>1.5975999999999999</v>
      </c>
      <c r="AV50">
        <f t="shared" si="8"/>
        <v>10.580400000000001</v>
      </c>
      <c r="AW50">
        <f t="shared" si="9"/>
        <v>16.912875204000002</v>
      </c>
      <c r="AX50" s="9"/>
      <c r="AY50" s="21">
        <v>0.10147100000000001</v>
      </c>
      <c r="AZ50" s="21">
        <v>741.00400000000002</v>
      </c>
      <c r="BA50" s="21">
        <v>-1.2545799999999999E-2</v>
      </c>
      <c r="BB50" s="21">
        <v>40</v>
      </c>
      <c r="BC50" s="21">
        <v>0.10131800000000001</v>
      </c>
      <c r="BD50">
        <f t="shared" si="10"/>
        <v>12.5458</v>
      </c>
      <c r="BE50">
        <f t="shared" si="11"/>
        <v>1.2730348718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147.494</v>
      </c>
      <c r="I51" s="21">
        <v>-1.08643E-2</v>
      </c>
      <c r="J51" s="21">
        <v>41</v>
      </c>
      <c r="K51" s="21">
        <v>1.5927100000000001</v>
      </c>
      <c r="L51">
        <f t="shared" si="0"/>
        <v>10.8643</v>
      </c>
      <c r="M51">
        <f t="shared" si="1"/>
        <v>17.312044763999999</v>
      </c>
      <c r="N51" s="9"/>
      <c r="O51" s="21">
        <v>0.106506</v>
      </c>
      <c r="P51" s="21">
        <v>231.47800000000001</v>
      </c>
      <c r="Q51" s="21">
        <v>-1.2335199999999999E-2</v>
      </c>
      <c r="R51" s="21">
        <v>41</v>
      </c>
      <c r="S51" s="21">
        <v>0.106323</v>
      </c>
      <c r="T51">
        <f t="shared" si="2"/>
        <v>12.335199999999999</v>
      </c>
      <c r="U51">
        <f t="shared" si="3"/>
        <v>1.3137728112</v>
      </c>
      <c r="X51" s="9"/>
      <c r="Y51" s="21">
        <v>1.59348</v>
      </c>
      <c r="Z51" s="21">
        <v>437.64600000000002</v>
      </c>
      <c r="AA51" s="21">
        <v>-1.0665900000000001E-2</v>
      </c>
      <c r="AB51" s="21">
        <v>41</v>
      </c>
      <c r="AC51" s="21">
        <v>1.5930200000000001</v>
      </c>
      <c r="AD51">
        <f t="shared" si="4"/>
        <v>10.665900000000001</v>
      </c>
      <c r="AE51">
        <f t="shared" si="5"/>
        <v>16.995898331999999</v>
      </c>
      <c r="AF51" s="9"/>
      <c r="AG51" s="21">
        <v>0.106506</v>
      </c>
      <c r="AH51" s="21">
        <v>494.32</v>
      </c>
      <c r="AI51" s="21">
        <v>-1.23993E-2</v>
      </c>
      <c r="AJ51" s="21">
        <v>41</v>
      </c>
      <c r="AK51" s="21">
        <v>0.106354</v>
      </c>
      <c r="AL51">
        <f t="shared" si="6"/>
        <v>12.3993</v>
      </c>
      <c r="AM51">
        <f t="shared" si="7"/>
        <v>1.3205998458000001</v>
      </c>
      <c r="AP51" s="9"/>
      <c r="AQ51" s="21">
        <v>1.59348</v>
      </c>
      <c r="AR51" s="21">
        <v>651.00900000000001</v>
      </c>
      <c r="AS51" s="21">
        <v>-1.0632300000000001E-2</v>
      </c>
      <c r="AT51" s="21">
        <v>41</v>
      </c>
      <c r="AU51" s="21">
        <v>1.5930200000000001</v>
      </c>
      <c r="AV51">
        <f t="shared" si="8"/>
        <v>10.632300000000001</v>
      </c>
      <c r="AW51">
        <f t="shared" si="9"/>
        <v>16.942357404000003</v>
      </c>
      <c r="AX51" s="9"/>
      <c r="AY51" s="21">
        <v>0.106506</v>
      </c>
      <c r="AZ51" s="21">
        <v>741.10500000000002</v>
      </c>
      <c r="BA51" s="21">
        <v>-1.2548800000000001E-2</v>
      </c>
      <c r="BB51" s="21">
        <v>41</v>
      </c>
      <c r="BC51" s="21">
        <v>0.106354</v>
      </c>
      <c r="BD51">
        <f t="shared" si="10"/>
        <v>12.5488</v>
      </c>
      <c r="BE51">
        <f t="shared" si="11"/>
        <v>1.3365224928000001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147.59399999999999</v>
      </c>
      <c r="I52" s="21">
        <v>-1.0897799999999999E-2</v>
      </c>
      <c r="J52" s="21">
        <v>42</v>
      </c>
      <c r="K52" s="21">
        <v>1.5878300000000001</v>
      </c>
      <c r="L52">
        <f t="shared" si="0"/>
        <v>10.897799999999998</v>
      </c>
      <c r="M52">
        <f t="shared" si="1"/>
        <v>17.310501431999999</v>
      </c>
      <c r="N52" s="9"/>
      <c r="O52" s="21">
        <v>0.111542</v>
      </c>
      <c r="P52" s="21">
        <v>231.57900000000001</v>
      </c>
      <c r="Q52" s="21">
        <v>-1.2329100000000001E-2</v>
      </c>
      <c r="R52" s="21">
        <v>42</v>
      </c>
      <c r="S52" s="21">
        <v>0.111389</v>
      </c>
      <c r="T52">
        <f t="shared" si="2"/>
        <v>12.3291</v>
      </c>
      <c r="U52">
        <f t="shared" si="3"/>
        <v>1.3752124722000001</v>
      </c>
      <c r="X52" s="9"/>
      <c r="Y52" s="21">
        <v>1.5884400000000001</v>
      </c>
      <c r="Z52" s="21">
        <v>437.74599999999998</v>
      </c>
      <c r="AA52" s="21">
        <v>-1.06812E-2</v>
      </c>
      <c r="AB52" s="21">
        <v>42</v>
      </c>
      <c r="AC52" s="21">
        <v>1.58813</v>
      </c>
      <c r="AD52">
        <f t="shared" si="4"/>
        <v>10.6812</v>
      </c>
      <c r="AE52">
        <f t="shared" si="5"/>
        <v>16.966445328000002</v>
      </c>
      <c r="AF52" s="9"/>
      <c r="AG52" s="21">
        <v>0.111542</v>
      </c>
      <c r="AH52" s="21">
        <v>494.42099999999999</v>
      </c>
      <c r="AI52" s="21">
        <v>-1.23871E-2</v>
      </c>
      <c r="AJ52" s="21">
        <v>42</v>
      </c>
      <c r="AK52" s="21">
        <v>0.111389</v>
      </c>
      <c r="AL52">
        <f t="shared" si="6"/>
        <v>12.3871</v>
      </c>
      <c r="AM52">
        <f t="shared" si="7"/>
        <v>1.3816819082</v>
      </c>
      <c r="AP52" s="9"/>
      <c r="AQ52" s="21">
        <v>1.5884400000000001</v>
      </c>
      <c r="AR52" s="21">
        <v>651.11</v>
      </c>
      <c r="AS52" s="21">
        <v>-1.06415E-2</v>
      </c>
      <c r="AT52" s="21">
        <v>42</v>
      </c>
      <c r="AU52" s="21">
        <v>1.58752</v>
      </c>
      <c r="AV52">
        <f t="shared" si="8"/>
        <v>10.641500000000001</v>
      </c>
      <c r="AW52">
        <f t="shared" si="9"/>
        <v>16.903384260000003</v>
      </c>
      <c r="AX52" s="9"/>
      <c r="AY52" s="21">
        <v>0.111542</v>
      </c>
      <c r="AZ52" s="21">
        <v>741.20500000000004</v>
      </c>
      <c r="BA52" s="21">
        <v>-1.2545799999999999E-2</v>
      </c>
      <c r="BB52" s="21">
        <v>42</v>
      </c>
      <c r="BC52" s="21">
        <v>0.111389</v>
      </c>
      <c r="BD52">
        <f t="shared" si="10"/>
        <v>12.5458</v>
      </c>
      <c r="BE52">
        <f t="shared" si="11"/>
        <v>1.3993836235999999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147.69499999999999</v>
      </c>
      <c r="I53" s="21">
        <v>-1.0891700000000001E-2</v>
      </c>
      <c r="J53" s="21">
        <v>43</v>
      </c>
      <c r="K53" s="21">
        <v>1.58325</v>
      </c>
      <c r="L53">
        <f t="shared" si="0"/>
        <v>10.8917</v>
      </c>
      <c r="M53">
        <f t="shared" si="1"/>
        <v>17.245917779999999</v>
      </c>
      <c r="N53" s="9"/>
      <c r="O53" s="21">
        <v>0.116577</v>
      </c>
      <c r="P53" s="21">
        <v>231.679</v>
      </c>
      <c r="Q53" s="21">
        <v>-1.23169E-2</v>
      </c>
      <c r="R53" s="21">
        <v>43</v>
      </c>
      <c r="S53" s="21">
        <v>0.11648600000000001</v>
      </c>
      <c r="T53">
        <f t="shared" si="2"/>
        <v>12.3169</v>
      </c>
      <c r="U53">
        <f t="shared" si="3"/>
        <v>1.4358672513000001</v>
      </c>
      <c r="X53" s="9"/>
      <c r="Y53" s="21">
        <v>1.5833999999999999</v>
      </c>
      <c r="Z53" s="21">
        <v>437.84699999999998</v>
      </c>
      <c r="AA53" s="21">
        <v>-1.0671999999999999E-2</v>
      </c>
      <c r="AB53" s="21">
        <v>43</v>
      </c>
      <c r="AC53" s="21">
        <v>1.5823400000000001</v>
      </c>
      <c r="AD53">
        <f t="shared" si="4"/>
        <v>10.671999999999999</v>
      </c>
      <c r="AE53">
        <f t="shared" si="5"/>
        <v>16.898044799999997</v>
      </c>
      <c r="AF53" s="9"/>
      <c r="AG53" s="21">
        <v>0.116577</v>
      </c>
      <c r="AH53" s="21">
        <v>494.52199999999999</v>
      </c>
      <c r="AI53" s="21">
        <v>-1.2381E-2</v>
      </c>
      <c r="AJ53" s="21">
        <v>43</v>
      </c>
      <c r="AK53" s="21">
        <v>0.116394</v>
      </c>
      <c r="AL53">
        <f t="shared" si="6"/>
        <v>12.381</v>
      </c>
      <c r="AM53">
        <f t="shared" si="7"/>
        <v>1.4433398370000001</v>
      </c>
      <c r="AP53" s="9"/>
      <c r="AQ53" s="21">
        <v>1.5833999999999999</v>
      </c>
      <c r="AR53" s="21">
        <v>651.21100000000001</v>
      </c>
      <c r="AS53" s="21">
        <v>-1.06476E-2</v>
      </c>
      <c r="AT53" s="21">
        <v>43</v>
      </c>
      <c r="AU53" s="21">
        <v>1.5823400000000001</v>
      </c>
      <c r="AV53">
        <f t="shared" si="8"/>
        <v>10.647600000000001</v>
      </c>
      <c r="AW53">
        <f t="shared" si="9"/>
        <v>16.859409840000001</v>
      </c>
      <c r="AX53" s="9"/>
      <c r="AY53" s="21">
        <v>0.116577</v>
      </c>
      <c r="AZ53" s="21">
        <v>741.30600000000004</v>
      </c>
      <c r="BA53" s="21">
        <v>-1.25366E-2</v>
      </c>
      <c r="BB53" s="21">
        <v>43</v>
      </c>
      <c r="BC53" s="21">
        <v>0.116394</v>
      </c>
      <c r="BD53">
        <f t="shared" si="10"/>
        <v>12.5366</v>
      </c>
      <c r="BE53">
        <f t="shared" si="11"/>
        <v>1.4614792182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147.79599999999999</v>
      </c>
      <c r="I54" s="21">
        <v>-1.0870400000000001E-2</v>
      </c>
      <c r="J54" s="21">
        <v>44</v>
      </c>
      <c r="K54" s="21">
        <v>1.5771500000000001</v>
      </c>
      <c r="L54">
        <f t="shared" si="0"/>
        <v>10.8704</v>
      </c>
      <c r="M54">
        <f t="shared" si="1"/>
        <v>17.157513248000001</v>
      </c>
      <c r="N54" s="9"/>
      <c r="O54" s="21">
        <v>0.121613</v>
      </c>
      <c r="P54" s="21">
        <v>231.78</v>
      </c>
      <c r="Q54" s="21">
        <v>-1.23077E-2</v>
      </c>
      <c r="R54" s="21">
        <v>44</v>
      </c>
      <c r="S54" s="21">
        <v>0.12146</v>
      </c>
      <c r="T54">
        <f t="shared" si="2"/>
        <v>12.307699999999999</v>
      </c>
      <c r="U54">
        <f t="shared" si="3"/>
        <v>1.4967763200999997</v>
      </c>
      <c r="X54" s="9"/>
      <c r="Y54" s="21">
        <v>1.5783700000000001</v>
      </c>
      <c r="Z54" s="21">
        <v>437.94799999999998</v>
      </c>
      <c r="AA54" s="21">
        <v>-1.0665900000000001E-2</v>
      </c>
      <c r="AB54" s="21">
        <v>44</v>
      </c>
      <c r="AC54" s="21">
        <v>1.5777600000000001</v>
      </c>
      <c r="AD54">
        <f t="shared" si="4"/>
        <v>10.665900000000001</v>
      </c>
      <c r="AE54">
        <f t="shared" si="5"/>
        <v>16.834736583000002</v>
      </c>
      <c r="AF54" s="9"/>
      <c r="AG54" s="21">
        <v>0.121613</v>
      </c>
      <c r="AH54" s="21">
        <v>494.62299999999999</v>
      </c>
      <c r="AI54" s="21">
        <v>-1.23657E-2</v>
      </c>
      <c r="AJ54" s="21">
        <v>44</v>
      </c>
      <c r="AK54" s="21">
        <v>0.121429</v>
      </c>
      <c r="AL54">
        <f t="shared" si="6"/>
        <v>12.3657</v>
      </c>
      <c r="AM54">
        <f t="shared" si="7"/>
        <v>1.5038298741</v>
      </c>
      <c r="AP54" s="9"/>
      <c r="AQ54" s="21">
        <v>1.5783700000000001</v>
      </c>
      <c r="AR54" s="21">
        <v>651.31100000000004</v>
      </c>
      <c r="AS54" s="21">
        <v>-1.0659800000000001E-2</v>
      </c>
      <c r="AT54" s="21">
        <v>44</v>
      </c>
      <c r="AU54" s="21">
        <v>1.57806</v>
      </c>
      <c r="AV54">
        <f t="shared" si="8"/>
        <v>10.659800000000001</v>
      </c>
      <c r="AW54">
        <f t="shared" si="9"/>
        <v>16.825108526000001</v>
      </c>
      <c r="AX54" s="9"/>
      <c r="AY54" s="21">
        <v>0.121613</v>
      </c>
      <c r="AZ54" s="21">
        <v>741.40700000000004</v>
      </c>
      <c r="BA54" s="21">
        <v>-1.2533600000000001E-2</v>
      </c>
      <c r="BB54" s="21">
        <v>44</v>
      </c>
      <c r="BC54" s="21">
        <v>0.12146</v>
      </c>
      <c r="BD54">
        <f t="shared" si="10"/>
        <v>12.5336</v>
      </c>
      <c r="BE54">
        <f t="shared" si="11"/>
        <v>1.5242486968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147.89599999999999</v>
      </c>
      <c r="I55" s="21">
        <v>-1.08795E-2</v>
      </c>
      <c r="J55" s="21">
        <v>45</v>
      </c>
      <c r="K55" s="21">
        <v>1.57318</v>
      </c>
      <c r="L55">
        <f t="shared" si="0"/>
        <v>10.8795</v>
      </c>
      <c r="M55">
        <f t="shared" si="1"/>
        <v>17.117043734999999</v>
      </c>
      <c r="N55" s="9"/>
      <c r="O55" s="21">
        <v>0.12664800000000001</v>
      </c>
      <c r="P55" s="21">
        <v>231.881</v>
      </c>
      <c r="Q55" s="21">
        <v>-1.22986E-2</v>
      </c>
      <c r="R55" s="21">
        <v>45</v>
      </c>
      <c r="S55" s="21">
        <v>0.12643399999999999</v>
      </c>
      <c r="T55">
        <f t="shared" si="2"/>
        <v>12.2986</v>
      </c>
      <c r="U55">
        <f t="shared" si="3"/>
        <v>1.5575930928000001</v>
      </c>
      <c r="X55" s="9"/>
      <c r="Y55" s="21">
        <v>1.5733299999999999</v>
      </c>
      <c r="Z55" s="21">
        <v>438.048</v>
      </c>
      <c r="AA55" s="21">
        <v>-1.06873E-2</v>
      </c>
      <c r="AB55" s="21">
        <v>45</v>
      </c>
      <c r="AC55" s="21">
        <v>1.5722700000000001</v>
      </c>
      <c r="AD55">
        <f t="shared" si="4"/>
        <v>10.6873</v>
      </c>
      <c r="AE55">
        <f t="shared" si="5"/>
        <v>16.814649709000001</v>
      </c>
      <c r="AF55" s="9"/>
      <c r="AG55" s="21">
        <v>0.12664800000000001</v>
      </c>
      <c r="AH55" s="21">
        <v>494.72300000000001</v>
      </c>
      <c r="AI55" s="21">
        <v>-1.23535E-2</v>
      </c>
      <c r="AJ55" s="21">
        <v>45</v>
      </c>
      <c r="AK55" s="21">
        <v>0.12643399999999999</v>
      </c>
      <c r="AL55">
        <f t="shared" si="6"/>
        <v>12.3535</v>
      </c>
      <c r="AM55">
        <f t="shared" si="7"/>
        <v>1.5645460680000001</v>
      </c>
      <c r="AP55" s="9"/>
      <c r="AQ55" s="21">
        <v>1.5733299999999999</v>
      </c>
      <c r="AR55" s="21">
        <v>651.41200000000003</v>
      </c>
      <c r="AS55" s="21">
        <v>-1.0623199999999999E-2</v>
      </c>
      <c r="AT55" s="21">
        <v>45</v>
      </c>
      <c r="AU55" s="21">
        <v>1.5722700000000001</v>
      </c>
      <c r="AV55">
        <f t="shared" si="8"/>
        <v>10.623199999999999</v>
      </c>
      <c r="AW55">
        <f t="shared" si="9"/>
        <v>16.713799255999998</v>
      </c>
      <c r="AX55" s="9"/>
      <c r="AY55" s="21">
        <v>0.12664800000000001</v>
      </c>
      <c r="AZ55" s="21">
        <v>741.50800000000004</v>
      </c>
      <c r="BA55" s="21">
        <v>-1.25244E-2</v>
      </c>
      <c r="BB55" s="21">
        <v>45</v>
      </c>
      <c r="BC55" s="21">
        <v>0.12646499999999999</v>
      </c>
      <c r="BD55">
        <f t="shared" si="10"/>
        <v>12.5244</v>
      </c>
      <c r="BE55">
        <f t="shared" si="11"/>
        <v>1.5861902112000001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147.99700000000001</v>
      </c>
      <c r="I56" s="21">
        <v>-1.0803200000000001E-2</v>
      </c>
      <c r="J56" s="21">
        <v>46</v>
      </c>
      <c r="K56" s="21">
        <v>1.56769</v>
      </c>
      <c r="L56">
        <f t="shared" si="0"/>
        <v>10.8032</v>
      </c>
      <c r="M56">
        <f t="shared" si="1"/>
        <v>16.942658560000002</v>
      </c>
      <c r="N56" s="9"/>
      <c r="O56" s="21">
        <v>0.13168299999999999</v>
      </c>
      <c r="P56" s="21">
        <v>231.98099999999999</v>
      </c>
      <c r="Q56" s="21">
        <v>-1.22925E-2</v>
      </c>
      <c r="R56" s="21">
        <v>46</v>
      </c>
      <c r="S56" s="21">
        <v>0.13156100000000001</v>
      </c>
      <c r="T56">
        <f t="shared" si="2"/>
        <v>12.2925</v>
      </c>
      <c r="U56">
        <f t="shared" si="3"/>
        <v>1.6187132774999999</v>
      </c>
      <c r="X56" s="9"/>
      <c r="Y56" s="21">
        <v>1.5683</v>
      </c>
      <c r="Z56" s="21">
        <v>438.149</v>
      </c>
      <c r="AA56" s="21">
        <v>-1.06842E-2</v>
      </c>
      <c r="AB56" s="21">
        <v>46</v>
      </c>
      <c r="AC56" s="21">
        <v>1.56769</v>
      </c>
      <c r="AD56">
        <f t="shared" si="4"/>
        <v>10.684199999999999</v>
      </c>
      <c r="AE56">
        <f t="shared" si="5"/>
        <v>16.756030859999999</v>
      </c>
      <c r="AF56" s="9"/>
      <c r="AG56" s="21">
        <v>0.13168299999999999</v>
      </c>
      <c r="AH56" s="21">
        <v>494.82400000000001</v>
      </c>
      <c r="AI56" s="21">
        <v>-1.23535E-2</v>
      </c>
      <c r="AJ56" s="21">
        <v>46</v>
      </c>
      <c r="AK56" s="21">
        <v>0.13153100000000001</v>
      </c>
      <c r="AL56">
        <f t="shared" si="6"/>
        <v>12.3535</v>
      </c>
      <c r="AM56">
        <f t="shared" si="7"/>
        <v>1.6267459405</v>
      </c>
      <c r="AP56" s="9"/>
      <c r="AQ56" s="21">
        <v>1.5683</v>
      </c>
      <c r="AR56" s="21">
        <v>651.51300000000003</v>
      </c>
      <c r="AS56" s="21">
        <v>-1.0632300000000001E-2</v>
      </c>
      <c r="AT56" s="21">
        <v>46</v>
      </c>
      <c r="AU56" s="21">
        <v>1.56799</v>
      </c>
      <c r="AV56">
        <f t="shared" si="8"/>
        <v>10.632300000000001</v>
      </c>
      <c r="AW56">
        <f t="shared" si="9"/>
        <v>16.67463609</v>
      </c>
      <c r="AX56" s="9"/>
      <c r="AY56" s="21">
        <v>0.13168299999999999</v>
      </c>
      <c r="AZ56" s="21">
        <v>741.60799999999995</v>
      </c>
      <c r="BA56" s="21">
        <v>-1.25183E-2</v>
      </c>
      <c r="BB56" s="21">
        <v>46</v>
      </c>
      <c r="BC56" s="21">
        <v>0.13159199999999999</v>
      </c>
      <c r="BD56">
        <f t="shared" si="10"/>
        <v>12.5183</v>
      </c>
      <c r="BE56">
        <f t="shared" si="11"/>
        <v>1.6484472988999999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148.09800000000001</v>
      </c>
      <c r="I57" s="21">
        <v>-1.08063E-2</v>
      </c>
      <c r="J57" s="21">
        <v>47</v>
      </c>
      <c r="K57" s="21">
        <v>1.5625</v>
      </c>
      <c r="L57">
        <f t="shared" si="0"/>
        <v>10.8063</v>
      </c>
      <c r="M57">
        <f t="shared" si="1"/>
        <v>16.893056538</v>
      </c>
      <c r="N57" s="9"/>
      <c r="O57" s="21">
        <v>0.13671900000000001</v>
      </c>
      <c r="P57" s="21">
        <v>232.08199999999999</v>
      </c>
      <c r="Q57" s="21">
        <v>-1.2286399999999999E-2</v>
      </c>
      <c r="R57" s="21">
        <v>47</v>
      </c>
      <c r="S57" s="21">
        <v>0.13653599999999999</v>
      </c>
      <c r="T57">
        <f t="shared" si="2"/>
        <v>12.286399999999999</v>
      </c>
      <c r="U57">
        <f t="shared" si="3"/>
        <v>1.6797843215999999</v>
      </c>
      <c r="X57" s="9"/>
      <c r="Y57" s="21">
        <v>1.5632600000000001</v>
      </c>
      <c r="Z57" s="21">
        <v>438.25</v>
      </c>
      <c r="AA57" s="21">
        <v>-1.0678099999999999E-2</v>
      </c>
      <c r="AB57" s="21">
        <v>47</v>
      </c>
      <c r="AC57" s="21">
        <v>1.5625</v>
      </c>
      <c r="AD57">
        <f t="shared" si="4"/>
        <v>10.678099999999999</v>
      </c>
      <c r="AE57">
        <f t="shared" si="5"/>
        <v>16.692646606</v>
      </c>
      <c r="AF57" s="9"/>
      <c r="AG57" s="21">
        <v>0.13671900000000001</v>
      </c>
      <c r="AH57" s="21">
        <v>494.92500000000001</v>
      </c>
      <c r="AI57" s="21">
        <v>-1.23444E-2</v>
      </c>
      <c r="AJ57" s="21">
        <v>47</v>
      </c>
      <c r="AK57" s="21">
        <v>0.136597</v>
      </c>
      <c r="AL57">
        <f t="shared" si="6"/>
        <v>12.3444</v>
      </c>
      <c r="AM57">
        <f t="shared" si="7"/>
        <v>1.6877140236000001</v>
      </c>
      <c r="AP57" s="9"/>
      <c r="AQ57" s="21">
        <v>1.5632600000000001</v>
      </c>
      <c r="AR57" s="21">
        <v>651.61300000000006</v>
      </c>
      <c r="AS57" s="21">
        <v>-1.0675E-2</v>
      </c>
      <c r="AT57" s="21">
        <v>47</v>
      </c>
      <c r="AU57" s="21">
        <v>1.56281</v>
      </c>
      <c r="AV57">
        <f t="shared" si="8"/>
        <v>10.675000000000001</v>
      </c>
      <c r="AW57">
        <f t="shared" si="9"/>
        <v>16.687800500000002</v>
      </c>
      <c r="AX57" s="9"/>
      <c r="AY57" s="21">
        <v>0.13671900000000001</v>
      </c>
      <c r="AZ57" s="21">
        <v>741.70899999999995</v>
      </c>
      <c r="BA57" s="21">
        <v>-1.25092E-2</v>
      </c>
      <c r="BB57" s="21">
        <v>47</v>
      </c>
      <c r="BC57" s="21">
        <v>0.13653599999999999</v>
      </c>
      <c r="BD57">
        <f t="shared" si="10"/>
        <v>12.5092</v>
      </c>
      <c r="BE57">
        <f t="shared" si="11"/>
        <v>1.7102453148000001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148.19900000000001</v>
      </c>
      <c r="I58" s="21">
        <v>-1.07971E-2</v>
      </c>
      <c r="J58" s="21">
        <v>48</v>
      </c>
      <c r="K58" s="21">
        <v>1.55731</v>
      </c>
      <c r="L58">
        <f t="shared" si="0"/>
        <v>10.7971</v>
      </c>
      <c r="M58">
        <f t="shared" si="1"/>
        <v>16.824365133000001</v>
      </c>
      <c r="N58" s="9"/>
      <c r="O58" s="21">
        <v>0.14175399999999999</v>
      </c>
      <c r="P58" s="21">
        <v>232.18299999999999</v>
      </c>
      <c r="Q58" s="21">
        <v>-1.2274200000000001E-2</v>
      </c>
      <c r="R58" s="21">
        <v>48</v>
      </c>
      <c r="S58" s="21">
        <v>0.141571</v>
      </c>
      <c r="T58">
        <f t="shared" si="2"/>
        <v>12.2742</v>
      </c>
      <c r="U58">
        <f t="shared" si="3"/>
        <v>1.7399169468</v>
      </c>
      <c r="X58" s="9"/>
      <c r="Y58" s="21">
        <v>1.55823</v>
      </c>
      <c r="Z58" s="21">
        <v>438.351</v>
      </c>
      <c r="AA58" s="21">
        <v>-1.06812E-2</v>
      </c>
      <c r="AB58" s="21">
        <v>48</v>
      </c>
      <c r="AC58" s="21">
        <v>1.55731</v>
      </c>
      <c r="AD58">
        <f t="shared" si="4"/>
        <v>10.6812</v>
      </c>
      <c r="AE58">
        <f t="shared" si="5"/>
        <v>16.643766276000001</v>
      </c>
      <c r="AF58" s="9"/>
      <c r="AG58" s="21">
        <v>0.14175399999999999</v>
      </c>
      <c r="AH58" s="21">
        <v>495.02499999999998</v>
      </c>
      <c r="AI58" s="21">
        <v>-1.2377900000000001E-2</v>
      </c>
      <c r="AJ58" s="21">
        <v>48</v>
      </c>
      <c r="AK58" s="21">
        <v>0.14163200000000001</v>
      </c>
      <c r="AL58">
        <f t="shared" si="6"/>
        <v>12.3779</v>
      </c>
      <c r="AM58">
        <f t="shared" si="7"/>
        <v>1.7546168365999999</v>
      </c>
      <c r="AP58" s="9"/>
      <c r="AQ58" s="21">
        <v>1.55823</v>
      </c>
      <c r="AR58" s="21">
        <v>651.71400000000006</v>
      </c>
      <c r="AS58" s="21">
        <v>-1.0675E-2</v>
      </c>
      <c r="AT58" s="21">
        <v>48</v>
      </c>
      <c r="AU58" s="21">
        <v>1.55792</v>
      </c>
      <c r="AV58">
        <f t="shared" si="8"/>
        <v>10.675000000000001</v>
      </c>
      <c r="AW58">
        <f t="shared" si="9"/>
        <v>16.634105250000001</v>
      </c>
      <c r="AX58" s="9"/>
      <c r="AY58" s="21">
        <v>0.14175399999999999</v>
      </c>
      <c r="AZ58" s="21">
        <v>741.81</v>
      </c>
      <c r="BA58" s="21">
        <v>-1.25031E-2</v>
      </c>
      <c r="BB58" s="21">
        <v>48</v>
      </c>
      <c r="BC58" s="21">
        <v>0.141541</v>
      </c>
      <c r="BD58">
        <f t="shared" si="10"/>
        <v>12.5031</v>
      </c>
      <c r="BE58">
        <f t="shared" si="11"/>
        <v>1.7723644373999998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148.29900000000001</v>
      </c>
      <c r="I59" s="21">
        <v>-1.0800199999999999E-2</v>
      </c>
      <c r="J59" s="21">
        <v>49</v>
      </c>
      <c r="K59" s="21">
        <v>1.55243</v>
      </c>
      <c r="L59">
        <f t="shared" si="0"/>
        <v>10.8002</v>
      </c>
      <c r="M59">
        <f t="shared" si="1"/>
        <v>16.774762638000002</v>
      </c>
      <c r="N59" s="9"/>
      <c r="O59" s="21">
        <v>0.14679</v>
      </c>
      <c r="P59" s="21">
        <v>232.28399999999999</v>
      </c>
      <c r="Q59" s="21">
        <v>-1.2268100000000001E-2</v>
      </c>
      <c r="R59" s="21">
        <v>49</v>
      </c>
      <c r="S59" s="21">
        <v>0.146698</v>
      </c>
      <c r="T59">
        <f t="shared" si="2"/>
        <v>12.2681</v>
      </c>
      <c r="U59">
        <f t="shared" si="3"/>
        <v>1.8008343990000002</v>
      </c>
      <c r="X59" s="9"/>
      <c r="Y59" s="21">
        <v>1.5531900000000001</v>
      </c>
      <c r="Z59" s="21">
        <v>438.45100000000002</v>
      </c>
      <c r="AA59" s="21">
        <v>-1.0711699999999999E-2</v>
      </c>
      <c r="AB59" s="21">
        <v>49</v>
      </c>
      <c r="AC59" s="21">
        <v>1.55304</v>
      </c>
      <c r="AD59">
        <f t="shared" si="4"/>
        <v>10.711699999999999</v>
      </c>
      <c r="AE59">
        <f t="shared" si="5"/>
        <v>16.637305323</v>
      </c>
      <c r="AF59" s="9"/>
      <c r="AG59" s="21">
        <v>0.14679</v>
      </c>
      <c r="AH59" s="21">
        <v>495.12599999999998</v>
      </c>
      <c r="AI59" s="21">
        <v>-1.2362700000000001E-2</v>
      </c>
      <c r="AJ59" s="21">
        <v>49</v>
      </c>
      <c r="AK59" s="21">
        <v>0.14660599999999999</v>
      </c>
      <c r="AL59">
        <f t="shared" si="6"/>
        <v>12.3627</v>
      </c>
      <c r="AM59">
        <f t="shared" si="7"/>
        <v>1.8147207330000001</v>
      </c>
      <c r="AP59" s="9"/>
      <c r="AQ59" s="21">
        <v>1.5531900000000001</v>
      </c>
      <c r="AR59" s="21">
        <v>651.81500000000005</v>
      </c>
      <c r="AS59" s="21">
        <v>-1.06689E-2</v>
      </c>
      <c r="AT59" s="21">
        <v>49</v>
      </c>
      <c r="AU59" s="21">
        <v>1.5527299999999999</v>
      </c>
      <c r="AV59">
        <f t="shared" si="8"/>
        <v>10.668900000000001</v>
      </c>
      <c r="AW59">
        <f t="shared" si="9"/>
        <v>16.570828791</v>
      </c>
      <c r="AX59" s="9"/>
      <c r="AY59" s="21">
        <v>0.14679</v>
      </c>
      <c r="AZ59" s="21">
        <v>741.91</v>
      </c>
      <c r="BA59" s="21">
        <v>-1.24969E-2</v>
      </c>
      <c r="BB59" s="21">
        <v>49</v>
      </c>
      <c r="BC59" s="21">
        <v>0.14654500000000001</v>
      </c>
      <c r="BD59">
        <f t="shared" si="10"/>
        <v>12.4969</v>
      </c>
      <c r="BE59">
        <f t="shared" si="11"/>
        <v>1.8344199510000001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148.4</v>
      </c>
      <c r="I60" s="21">
        <v>-1.0815399999999999E-2</v>
      </c>
      <c r="J60" s="21">
        <v>50</v>
      </c>
      <c r="K60" s="21">
        <v>1.54755</v>
      </c>
      <c r="L60">
        <f t="shared" si="0"/>
        <v>10.815399999999999</v>
      </c>
      <c r="M60">
        <f t="shared" si="1"/>
        <v>16.743969663999998</v>
      </c>
      <c r="N60" s="9"/>
      <c r="O60" s="21">
        <v>0.15182499999999999</v>
      </c>
      <c r="P60" s="21">
        <v>232.38399999999999</v>
      </c>
      <c r="Q60" s="21">
        <v>-1.2265E-2</v>
      </c>
      <c r="R60" s="21">
        <v>50</v>
      </c>
      <c r="S60" s="21">
        <v>0.15158099999999999</v>
      </c>
      <c r="T60">
        <f t="shared" si="2"/>
        <v>12.265000000000001</v>
      </c>
      <c r="U60">
        <f t="shared" si="3"/>
        <v>1.862133625</v>
      </c>
      <c r="X60" s="9"/>
      <c r="Y60" s="21">
        <v>1.54816</v>
      </c>
      <c r="Z60" s="21">
        <v>438.55200000000002</v>
      </c>
      <c r="AA60" s="21">
        <v>-1.0705599999999999E-2</v>
      </c>
      <c r="AB60" s="21">
        <v>50</v>
      </c>
      <c r="AC60" s="21">
        <v>1.54755</v>
      </c>
      <c r="AD60">
        <f t="shared" si="4"/>
        <v>10.705599999999999</v>
      </c>
      <c r="AE60">
        <f t="shared" si="5"/>
        <v>16.573981695999997</v>
      </c>
      <c r="AF60" s="9"/>
      <c r="AG60" s="21">
        <v>0.15182499999999999</v>
      </c>
      <c r="AH60" s="21">
        <v>495.22699999999998</v>
      </c>
      <c r="AI60" s="21">
        <v>-1.2356600000000001E-2</v>
      </c>
      <c r="AJ60" s="21">
        <v>50</v>
      </c>
      <c r="AK60" s="21">
        <v>0.15154999999999999</v>
      </c>
      <c r="AL60">
        <f t="shared" si="6"/>
        <v>12.3566</v>
      </c>
      <c r="AM60">
        <f t="shared" si="7"/>
        <v>1.876040795</v>
      </c>
      <c r="AP60" s="9"/>
      <c r="AQ60" s="21">
        <v>1.54816</v>
      </c>
      <c r="AR60" s="21">
        <v>651.91600000000005</v>
      </c>
      <c r="AS60" s="21">
        <v>-1.0671999999999999E-2</v>
      </c>
      <c r="AT60" s="21">
        <v>50</v>
      </c>
      <c r="AU60" s="21">
        <v>1.54755</v>
      </c>
      <c r="AV60">
        <f t="shared" si="8"/>
        <v>10.671999999999999</v>
      </c>
      <c r="AW60">
        <f t="shared" si="9"/>
        <v>16.521963519999996</v>
      </c>
      <c r="AX60" s="9"/>
      <c r="AY60" s="21">
        <v>0.15182499999999999</v>
      </c>
      <c r="AZ60" s="21">
        <v>742.01099999999997</v>
      </c>
      <c r="BA60" s="21">
        <v>-1.24939E-2</v>
      </c>
      <c r="BB60" s="21">
        <v>50</v>
      </c>
      <c r="BC60" s="21">
        <v>0.151611</v>
      </c>
      <c r="BD60">
        <f t="shared" si="10"/>
        <v>12.4939</v>
      </c>
      <c r="BE60">
        <f t="shared" si="11"/>
        <v>1.8968863674999998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148.501</v>
      </c>
      <c r="I61" s="21">
        <v>-1.08246E-2</v>
      </c>
      <c r="J61" s="21">
        <v>51</v>
      </c>
      <c r="K61" s="21">
        <v>1.54297</v>
      </c>
      <c r="L61">
        <f t="shared" si="0"/>
        <v>10.8246</v>
      </c>
      <c r="M61">
        <f t="shared" si="1"/>
        <v>16.703656752000001</v>
      </c>
      <c r="N61" s="9"/>
      <c r="O61" s="21">
        <v>0.15686</v>
      </c>
      <c r="P61" s="21">
        <v>232.48500000000001</v>
      </c>
      <c r="Q61" s="21">
        <v>-1.2262E-2</v>
      </c>
      <c r="R61" s="21">
        <v>51</v>
      </c>
      <c r="S61" s="21">
        <v>0.15664700000000001</v>
      </c>
      <c r="T61">
        <f t="shared" si="2"/>
        <v>12.262</v>
      </c>
      <c r="U61">
        <f t="shared" si="3"/>
        <v>1.92341732</v>
      </c>
      <c r="X61" s="9"/>
      <c r="Y61" s="21">
        <v>1.54312</v>
      </c>
      <c r="Z61" s="21">
        <v>438.65300000000002</v>
      </c>
      <c r="AA61" s="21">
        <v>-1.07178E-2</v>
      </c>
      <c r="AB61" s="21">
        <v>51</v>
      </c>
      <c r="AC61" s="21">
        <v>1.5432699999999999</v>
      </c>
      <c r="AD61">
        <f t="shared" si="4"/>
        <v>10.7178</v>
      </c>
      <c r="AE61">
        <f t="shared" si="5"/>
        <v>16.538851536000003</v>
      </c>
      <c r="AF61" s="9"/>
      <c r="AG61" s="21">
        <v>0.15686</v>
      </c>
      <c r="AH61" s="21">
        <v>495.32799999999997</v>
      </c>
      <c r="AI61" s="21">
        <v>-1.2356600000000001E-2</v>
      </c>
      <c r="AJ61" s="21">
        <v>51</v>
      </c>
      <c r="AK61" s="21">
        <v>0.15667700000000001</v>
      </c>
      <c r="AL61">
        <f t="shared" si="6"/>
        <v>12.3566</v>
      </c>
      <c r="AM61">
        <f t="shared" si="7"/>
        <v>1.9382562759999999</v>
      </c>
      <c r="AP61" s="9"/>
      <c r="AQ61" s="21">
        <v>1.54312</v>
      </c>
      <c r="AR61" s="21">
        <v>652.01599999999996</v>
      </c>
      <c r="AS61" s="21">
        <v>-1.0678099999999999E-2</v>
      </c>
      <c r="AT61" s="21">
        <v>51</v>
      </c>
      <c r="AU61" s="21">
        <v>1.5420499999999999</v>
      </c>
      <c r="AV61">
        <f t="shared" si="8"/>
        <v>10.678099999999999</v>
      </c>
      <c r="AW61">
        <f t="shared" si="9"/>
        <v>16.477589671999997</v>
      </c>
      <c r="AX61" s="9"/>
      <c r="AY61" s="21">
        <v>0.15686</v>
      </c>
      <c r="AZ61" s="21">
        <v>742.11199999999997</v>
      </c>
      <c r="BA61" s="21">
        <v>-1.24908E-2</v>
      </c>
      <c r="BB61" s="21">
        <v>51</v>
      </c>
      <c r="BC61" s="21">
        <v>0.15661600000000001</v>
      </c>
      <c r="BD61">
        <f t="shared" si="10"/>
        <v>12.4908</v>
      </c>
      <c r="BE61">
        <f t="shared" si="11"/>
        <v>1.959306888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148.601</v>
      </c>
      <c r="I62" s="21">
        <v>-1.08337E-2</v>
      </c>
      <c r="J62" s="21">
        <v>52</v>
      </c>
      <c r="K62" s="21">
        <v>1.53748</v>
      </c>
      <c r="L62">
        <f t="shared" si="0"/>
        <v>10.8337</v>
      </c>
      <c r="M62">
        <f t="shared" si="1"/>
        <v>16.663205633</v>
      </c>
      <c r="N62" s="9"/>
      <c r="O62" s="21">
        <v>0.16189600000000001</v>
      </c>
      <c r="P62" s="21">
        <v>232.58600000000001</v>
      </c>
      <c r="Q62" s="21">
        <v>-1.22559E-2</v>
      </c>
      <c r="R62" s="21">
        <v>52</v>
      </c>
      <c r="S62" s="21">
        <v>0.161713</v>
      </c>
      <c r="T62">
        <f t="shared" si="2"/>
        <v>12.2559</v>
      </c>
      <c r="U62">
        <f t="shared" si="3"/>
        <v>1.9841811864000003</v>
      </c>
      <c r="X62" s="9"/>
      <c r="Y62" s="21">
        <v>1.53809</v>
      </c>
      <c r="Z62" s="21">
        <v>438.75299999999999</v>
      </c>
      <c r="AA62" s="21">
        <v>-1.07422E-2</v>
      </c>
      <c r="AB62" s="21">
        <v>52</v>
      </c>
      <c r="AC62" s="21">
        <v>1.5377799999999999</v>
      </c>
      <c r="AD62">
        <f t="shared" si="4"/>
        <v>10.7422</v>
      </c>
      <c r="AE62">
        <f t="shared" si="5"/>
        <v>16.522470397999999</v>
      </c>
      <c r="AF62" s="9"/>
      <c r="AG62" s="21">
        <v>0.16189600000000001</v>
      </c>
      <c r="AH62" s="21">
        <v>495.428</v>
      </c>
      <c r="AI62" s="21">
        <v>-1.2341299999999999E-2</v>
      </c>
      <c r="AJ62" s="21">
        <v>52</v>
      </c>
      <c r="AK62" s="21">
        <v>0.161713</v>
      </c>
      <c r="AL62">
        <f t="shared" si="6"/>
        <v>12.3413</v>
      </c>
      <c r="AM62">
        <f t="shared" si="7"/>
        <v>1.9980071048000003</v>
      </c>
      <c r="AP62" s="9"/>
      <c r="AQ62" s="21">
        <v>1.53809</v>
      </c>
      <c r="AR62" s="21">
        <v>652.11699999999996</v>
      </c>
      <c r="AS62" s="21">
        <v>-1.06842E-2</v>
      </c>
      <c r="AT62" s="21">
        <v>52</v>
      </c>
      <c r="AU62" s="21">
        <v>1.5371699999999999</v>
      </c>
      <c r="AV62">
        <f t="shared" si="8"/>
        <v>10.684199999999999</v>
      </c>
      <c r="AW62">
        <f t="shared" si="9"/>
        <v>16.433261177999999</v>
      </c>
      <c r="AX62" s="9"/>
      <c r="AY62" s="21">
        <v>0.16189600000000001</v>
      </c>
      <c r="AZ62" s="21">
        <v>742.21199999999999</v>
      </c>
      <c r="BA62" s="21">
        <v>-1.24878E-2</v>
      </c>
      <c r="BB62" s="21">
        <v>52</v>
      </c>
      <c r="BC62" s="21">
        <v>0.161713</v>
      </c>
      <c r="BD62">
        <f t="shared" si="10"/>
        <v>12.4878</v>
      </c>
      <c r="BE62">
        <f t="shared" si="11"/>
        <v>2.0217248688000002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148.702</v>
      </c>
      <c r="I63" s="21">
        <v>-1.0842900000000001E-2</v>
      </c>
      <c r="J63" s="21">
        <v>53</v>
      </c>
      <c r="K63" s="21">
        <v>1.5325899999999999</v>
      </c>
      <c r="L63">
        <f t="shared" si="0"/>
        <v>10.8429</v>
      </c>
      <c r="M63">
        <f t="shared" si="1"/>
        <v>16.622707845000001</v>
      </c>
      <c r="N63" s="9"/>
      <c r="O63" s="21">
        <v>0.166931</v>
      </c>
      <c r="P63" s="21">
        <v>232.68600000000001</v>
      </c>
      <c r="Q63" s="21">
        <v>-1.2262E-2</v>
      </c>
      <c r="R63" s="21">
        <v>53</v>
      </c>
      <c r="S63" s="21">
        <v>0.166656</v>
      </c>
      <c r="T63">
        <f t="shared" si="2"/>
        <v>12.262</v>
      </c>
      <c r="U63">
        <f t="shared" si="3"/>
        <v>2.0469079219999999</v>
      </c>
      <c r="X63" s="9"/>
      <c r="Y63" s="21">
        <v>1.53305</v>
      </c>
      <c r="Z63" s="21">
        <v>438.85399999999998</v>
      </c>
      <c r="AA63" s="21">
        <v>-1.0726899999999999E-2</v>
      </c>
      <c r="AB63" s="21">
        <v>53</v>
      </c>
      <c r="AC63" s="21">
        <v>1.5316799999999999</v>
      </c>
      <c r="AD63">
        <f t="shared" si="4"/>
        <v>10.726899999999999</v>
      </c>
      <c r="AE63">
        <f t="shared" si="5"/>
        <v>16.444874044999999</v>
      </c>
      <c r="AF63" s="9"/>
      <c r="AG63" s="21">
        <v>0.166931</v>
      </c>
      <c r="AH63" s="21">
        <v>495.529</v>
      </c>
      <c r="AI63" s="21">
        <v>-1.23383E-2</v>
      </c>
      <c r="AJ63" s="21">
        <v>53</v>
      </c>
      <c r="AK63" s="21">
        <v>0.16677900000000001</v>
      </c>
      <c r="AL63">
        <f t="shared" si="6"/>
        <v>12.3383</v>
      </c>
      <c r="AM63">
        <f t="shared" si="7"/>
        <v>2.0596447573000001</v>
      </c>
      <c r="AP63" s="9"/>
      <c r="AQ63" s="21">
        <v>1.53305</v>
      </c>
      <c r="AR63" s="21">
        <v>652.21799999999996</v>
      </c>
      <c r="AS63" s="21">
        <v>-1.06812E-2</v>
      </c>
      <c r="AT63" s="21">
        <v>53</v>
      </c>
      <c r="AU63" s="21">
        <v>1.5319799999999999</v>
      </c>
      <c r="AV63">
        <f t="shared" si="8"/>
        <v>10.6812</v>
      </c>
      <c r="AW63">
        <f t="shared" si="9"/>
        <v>16.374813660000001</v>
      </c>
      <c r="AX63" s="9"/>
      <c r="AY63" s="21">
        <v>0.166931</v>
      </c>
      <c r="AZ63" s="21">
        <v>742.31299999999999</v>
      </c>
      <c r="BA63" s="21">
        <v>-1.24847E-2</v>
      </c>
      <c r="BB63" s="21">
        <v>53</v>
      </c>
      <c r="BC63" s="21">
        <v>0.16674800000000001</v>
      </c>
      <c r="BD63">
        <f t="shared" si="10"/>
        <v>12.4847</v>
      </c>
      <c r="BE63">
        <f t="shared" si="11"/>
        <v>2.0840834557000001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148.803</v>
      </c>
      <c r="I64" s="21">
        <v>-1.08856E-2</v>
      </c>
      <c r="J64" s="21">
        <v>54</v>
      </c>
      <c r="K64" s="21">
        <v>1.5274000000000001</v>
      </c>
      <c r="L64">
        <f t="shared" si="0"/>
        <v>10.8856</v>
      </c>
      <c r="M64">
        <f t="shared" si="1"/>
        <v>16.633414511999998</v>
      </c>
      <c r="N64" s="9"/>
      <c r="O64" s="21">
        <v>0.17196700000000001</v>
      </c>
      <c r="P64" s="21">
        <v>232.78700000000001</v>
      </c>
      <c r="Q64" s="21">
        <v>-1.2246699999999999E-2</v>
      </c>
      <c r="R64" s="21">
        <v>54</v>
      </c>
      <c r="S64" s="21">
        <v>0.17175299999999999</v>
      </c>
      <c r="T64">
        <f t="shared" si="2"/>
        <v>12.246699999999999</v>
      </c>
      <c r="U64">
        <f t="shared" si="3"/>
        <v>2.1060282588999999</v>
      </c>
      <c r="X64" s="9"/>
      <c r="Y64" s="21">
        <v>1.5280199999999999</v>
      </c>
      <c r="Z64" s="21">
        <v>438.95499999999998</v>
      </c>
      <c r="AA64" s="21">
        <v>-1.07239E-2</v>
      </c>
      <c r="AB64" s="21">
        <v>54</v>
      </c>
      <c r="AC64" s="21">
        <v>1.5267900000000001</v>
      </c>
      <c r="AD64">
        <f t="shared" si="4"/>
        <v>10.7239</v>
      </c>
      <c r="AE64">
        <f t="shared" si="5"/>
        <v>16.386333678</v>
      </c>
      <c r="AF64" s="9"/>
      <c r="AG64" s="21">
        <v>0.17196700000000001</v>
      </c>
      <c r="AH64" s="21">
        <v>495.63</v>
      </c>
      <c r="AI64" s="21">
        <v>-1.2341299999999999E-2</v>
      </c>
      <c r="AJ64" s="21">
        <v>54</v>
      </c>
      <c r="AK64" s="21">
        <v>0.171844</v>
      </c>
      <c r="AL64">
        <f t="shared" si="6"/>
        <v>12.3413</v>
      </c>
      <c r="AM64">
        <f t="shared" si="7"/>
        <v>2.1222963371000003</v>
      </c>
      <c r="AP64" s="9"/>
      <c r="AQ64" s="21">
        <v>1.5280199999999999</v>
      </c>
      <c r="AR64" s="21">
        <v>652.31799999999998</v>
      </c>
      <c r="AS64" s="21">
        <v>-1.07178E-2</v>
      </c>
      <c r="AT64" s="21">
        <v>54</v>
      </c>
      <c r="AU64" s="21">
        <v>1.5274000000000001</v>
      </c>
      <c r="AV64">
        <f t="shared" si="8"/>
        <v>10.7178</v>
      </c>
      <c r="AW64">
        <f t="shared" si="9"/>
        <v>16.377012755999999</v>
      </c>
      <c r="AX64" s="9"/>
      <c r="AY64" s="21">
        <v>0.17196700000000001</v>
      </c>
      <c r="AZ64" s="21">
        <v>742.41399999999999</v>
      </c>
      <c r="BA64" s="21">
        <v>-1.24756E-2</v>
      </c>
      <c r="BB64" s="21">
        <v>54</v>
      </c>
      <c r="BC64" s="21">
        <v>0.17178299999999999</v>
      </c>
      <c r="BD64">
        <f t="shared" si="10"/>
        <v>12.4756</v>
      </c>
      <c r="BE64">
        <f t="shared" si="11"/>
        <v>2.1453915052000001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148.90299999999999</v>
      </c>
      <c r="I65" s="21">
        <v>-1.0958900000000001E-2</v>
      </c>
      <c r="J65" s="21">
        <v>55</v>
      </c>
      <c r="K65" s="21">
        <v>1.5225200000000001</v>
      </c>
      <c r="L65">
        <f t="shared" si="0"/>
        <v>10.9589</v>
      </c>
      <c r="M65">
        <f t="shared" si="1"/>
        <v>16.690185522</v>
      </c>
      <c r="N65" s="9"/>
      <c r="O65" s="21">
        <v>0.17700199999999999</v>
      </c>
      <c r="P65" s="21">
        <v>232.88800000000001</v>
      </c>
      <c r="Q65" s="21">
        <v>-1.2246699999999999E-2</v>
      </c>
      <c r="R65" s="21">
        <v>55</v>
      </c>
      <c r="S65" s="21">
        <v>0.176788</v>
      </c>
      <c r="T65">
        <f t="shared" si="2"/>
        <v>12.246699999999999</v>
      </c>
      <c r="U65">
        <f t="shared" si="3"/>
        <v>2.1676903933999996</v>
      </c>
      <c r="X65" s="9"/>
      <c r="Y65" s="21">
        <v>1.52298</v>
      </c>
      <c r="Z65" s="21">
        <v>439.05500000000001</v>
      </c>
      <c r="AA65" s="21">
        <v>-1.073E-2</v>
      </c>
      <c r="AB65" s="21">
        <v>55</v>
      </c>
      <c r="AC65" s="21">
        <v>1.5222199999999999</v>
      </c>
      <c r="AD65">
        <f t="shared" si="4"/>
        <v>10.73</v>
      </c>
      <c r="AE65">
        <f t="shared" si="5"/>
        <v>16.3415754</v>
      </c>
      <c r="AF65" s="9"/>
      <c r="AG65" s="21">
        <v>0.17700199999999999</v>
      </c>
      <c r="AH65" s="21">
        <v>495.73</v>
      </c>
      <c r="AI65" s="21">
        <v>-1.2326E-2</v>
      </c>
      <c r="AJ65" s="21">
        <v>55</v>
      </c>
      <c r="AK65" s="21">
        <v>0.176758</v>
      </c>
      <c r="AL65">
        <f t="shared" si="6"/>
        <v>12.326000000000001</v>
      </c>
      <c r="AM65">
        <f t="shared" si="7"/>
        <v>2.181726652</v>
      </c>
      <c r="AP65" s="9"/>
      <c r="AQ65" s="21">
        <v>1.52298</v>
      </c>
      <c r="AR65" s="21">
        <v>652.41899999999998</v>
      </c>
      <c r="AS65" s="21">
        <v>-1.07239E-2</v>
      </c>
      <c r="AT65" s="21">
        <v>55</v>
      </c>
      <c r="AU65" s="21">
        <v>1.5222199999999999</v>
      </c>
      <c r="AV65">
        <f t="shared" si="8"/>
        <v>10.7239</v>
      </c>
      <c r="AW65">
        <f t="shared" si="9"/>
        <v>16.332285221999999</v>
      </c>
      <c r="AX65" s="9"/>
      <c r="AY65" s="21">
        <v>0.17700199999999999</v>
      </c>
      <c r="AZ65" s="21">
        <v>742.51499999999999</v>
      </c>
      <c r="BA65" s="21">
        <v>-1.2472499999999999E-2</v>
      </c>
      <c r="BB65" s="21">
        <v>55</v>
      </c>
      <c r="BC65" s="21">
        <v>0.176819</v>
      </c>
      <c r="BD65">
        <f t="shared" si="10"/>
        <v>12.472499999999998</v>
      </c>
      <c r="BE65">
        <f t="shared" si="11"/>
        <v>2.2076574449999997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149.00399999999999</v>
      </c>
      <c r="I66" s="21">
        <v>-1.09009E-2</v>
      </c>
      <c r="J66" s="21">
        <v>56</v>
      </c>
      <c r="K66" s="21">
        <v>1.5170300000000001</v>
      </c>
      <c r="L66">
        <f t="shared" si="0"/>
        <v>10.9009</v>
      </c>
      <c r="M66">
        <f t="shared" si="1"/>
        <v>16.546912146</v>
      </c>
      <c r="N66" s="9"/>
      <c r="O66" s="21">
        <v>0.182037</v>
      </c>
      <c r="P66" s="21">
        <v>232.989</v>
      </c>
      <c r="Q66" s="21">
        <v>-1.22437E-2</v>
      </c>
      <c r="R66" s="21">
        <v>56</v>
      </c>
      <c r="S66" s="21">
        <v>0.18182400000000001</v>
      </c>
      <c r="T66">
        <f t="shared" si="2"/>
        <v>12.2437</v>
      </c>
      <c r="U66">
        <f t="shared" si="3"/>
        <v>2.2288064168999999</v>
      </c>
      <c r="X66" s="9"/>
      <c r="Y66" s="21">
        <v>1.5179400000000001</v>
      </c>
      <c r="Z66" s="21">
        <v>439.15600000000001</v>
      </c>
      <c r="AA66" s="21">
        <v>-1.0726899999999999E-2</v>
      </c>
      <c r="AB66" s="21">
        <v>56</v>
      </c>
      <c r="AC66" s="21">
        <v>1.5167200000000001</v>
      </c>
      <c r="AD66">
        <f t="shared" si="4"/>
        <v>10.726899999999999</v>
      </c>
      <c r="AE66">
        <f t="shared" si="5"/>
        <v>16.282790585999997</v>
      </c>
      <c r="AF66" s="9"/>
      <c r="AG66" s="21">
        <v>0.182037</v>
      </c>
      <c r="AH66" s="21">
        <v>495.83100000000002</v>
      </c>
      <c r="AI66" s="21">
        <v>-1.22986E-2</v>
      </c>
      <c r="AJ66" s="21">
        <v>56</v>
      </c>
      <c r="AK66" s="21">
        <v>0.18185399999999999</v>
      </c>
      <c r="AL66">
        <f t="shared" si="6"/>
        <v>12.2986</v>
      </c>
      <c r="AM66">
        <f t="shared" si="7"/>
        <v>2.2388002482</v>
      </c>
      <c r="AP66" s="9"/>
      <c r="AQ66" s="21">
        <v>1.5179400000000001</v>
      </c>
      <c r="AR66" s="21">
        <v>652.52</v>
      </c>
      <c r="AS66" s="21">
        <v>-1.0732999999999999E-2</v>
      </c>
      <c r="AT66" s="21">
        <v>56</v>
      </c>
      <c r="AU66" s="21">
        <v>1.5170300000000001</v>
      </c>
      <c r="AV66">
        <f t="shared" si="8"/>
        <v>10.732999999999999</v>
      </c>
      <c r="AW66">
        <f t="shared" si="9"/>
        <v>16.292050019999998</v>
      </c>
      <c r="AX66" s="9"/>
      <c r="AY66" s="21">
        <v>0.182037</v>
      </c>
      <c r="AZ66" s="21">
        <v>742.61500000000001</v>
      </c>
      <c r="BA66" s="21">
        <v>-1.2460300000000001E-2</v>
      </c>
      <c r="BB66" s="21">
        <v>56</v>
      </c>
      <c r="BC66" s="21">
        <v>0.18188499999999999</v>
      </c>
      <c r="BD66">
        <f t="shared" si="10"/>
        <v>12.4603</v>
      </c>
      <c r="BE66">
        <f t="shared" si="11"/>
        <v>2.2682356311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149.10499999999999</v>
      </c>
      <c r="I67" s="21">
        <v>-1.09161E-2</v>
      </c>
      <c r="J67" s="21">
        <v>57</v>
      </c>
      <c r="K67" s="21">
        <v>1.5118400000000001</v>
      </c>
      <c r="L67">
        <f t="shared" si="0"/>
        <v>10.9161</v>
      </c>
      <c r="M67">
        <f t="shared" si="1"/>
        <v>16.515076851</v>
      </c>
      <c r="N67" s="9"/>
      <c r="O67" s="21">
        <v>0.18707299999999999</v>
      </c>
      <c r="P67" s="21">
        <v>233.089</v>
      </c>
      <c r="Q67" s="21">
        <v>-1.2240600000000001E-2</v>
      </c>
      <c r="R67" s="21">
        <v>57</v>
      </c>
      <c r="S67" s="21">
        <v>0.186829</v>
      </c>
      <c r="T67">
        <f t="shared" si="2"/>
        <v>12.240600000000001</v>
      </c>
      <c r="U67">
        <f t="shared" si="3"/>
        <v>2.2898857638000001</v>
      </c>
      <c r="X67" s="9"/>
      <c r="Y67" s="21">
        <v>1.51291</v>
      </c>
      <c r="Z67" s="21">
        <v>439.25700000000001</v>
      </c>
      <c r="AA67" s="21">
        <v>-1.0732999999999999E-2</v>
      </c>
      <c r="AB67" s="21">
        <v>57</v>
      </c>
      <c r="AC67" s="21">
        <v>1.5121500000000001</v>
      </c>
      <c r="AD67">
        <f t="shared" si="4"/>
        <v>10.732999999999999</v>
      </c>
      <c r="AE67">
        <f t="shared" si="5"/>
        <v>16.238063029999999</v>
      </c>
      <c r="AF67" s="9"/>
      <c r="AG67" s="21">
        <v>0.18707299999999999</v>
      </c>
      <c r="AH67" s="21">
        <v>495.93200000000002</v>
      </c>
      <c r="AI67" s="21">
        <v>-1.2286399999999999E-2</v>
      </c>
      <c r="AJ67" s="21">
        <v>57</v>
      </c>
      <c r="AK67" s="21">
        <v>0.18692</v>
      </c>
      <c r="AL67">
        <f t="shared" si="6"/>
        <v>12.286399999999999</v>
      </c>
      <c r="AM67">
        <f t="shared" si="7"/>
        <v>2.2984537071999998</v>
      </c>
      <c r="AP67" s="9"/>
      <c r="AQ67" s="21">
        <v>1.51291</v>
      </c>
      <c r="AR67" s="21">
        <v>652.62099999999998</v>
      </c>
      <c r="AS67" s="21">
        <v>-1.07452E-2</v>
      </c>
      <c r="AT67" s="21">
        <v>57</v>
      </c>
      <c r="AU67" s="21">
        <v>1.5121500000000001</v>
      </c>
      <c r="AV67">
        <f t="shared" si="8"/>
        <v>10.745200000000001</v>
      </c>
      <c r="AW67">
        <f t="shared" si="9"/>
        <v>16.256520532</v>
      </c>
      <c r="AX67" s="9"/>
      <c r="AY67" s="21">
        <v>0.18707299999999999</v>
      </c>
      <c r="AZ67" s="21">
        <v>742.71600000000001</v>
      </c>
      <c r="BA67" s="21">
        <v>-1.2451200000000001E-2</v>
      </c>
      <c r="BB67" s="21">
        <v>57</v>
      </c>
      <c r="BC67" s="21">
        <v>0.186859</v>
      </c>
      <c r="BD67">
        <f t="shared" si="10"/>
        <v>12.4512</v>
      </c>
      <c r="BE67">
        <f t="shared" si="11"/>
        <v>2.3292833375999997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149.20599999999999</v>
      </c>
      <c r="I68" s="21">
        <v>-1.0907E-2</v>
      </c>
      <c r="J68" s="21">
        <v>58</v>
      </c>
      <c r="K68" s="21">
        <v>1.5069600000000001</v>
      </c>
      <c r="L68">
        <f t="shared" si="0"/>
        <v>10.907</v>
      </c>
      <c r="M68">
        <f t="shared" si="1"/>
        <v>16.446338090000001</v>
      </c>
      <c r="N68" s="9"/>
      <c r="O68" s="21">
        <v>0.192108</v>
      </c>
      <c r="P68" s="21">
        <v>233.19</v>
      </c>
      <c r="Q68" s="21">
        <v>-1.22314E-2</v>
      </c>
      <c r="R68" s="21">
        <v>58</v>
      </c>
      <c r="S68" s="21">
        <v>0.19186400000000001</v>
      </c>
      <c r="T68">
        <f t="shared" si="2"/>
        <v>12.231400000000001</v>
      </c>
      <c r="U68">
        <f t="shared" si="3"/>
        <v>2.3497497912000003</v>
      </c>
      <c r="X68" s="9"/>
      <c r="Y68" s="21">
        <v>1.50787</v>
      </c>
      <c r="Z68" s="21">
        <v>439.358</v>
      </c>
      <c r="AA68" s="21">
        <v>-1.07239E-2</v>
      </c>
      <c r="AB68" s="21">
        <v>58</v>
      </c>
      <c r="AC68" s="21">
        <v>1.5069600000000001</v>
      </c>
      <c r="AD68">
        <f t="shared" si="4"/>
        <v>10.7239</v>
      </c>
      <c r="AE68">
        <f t="shared" si="5"/>
        <v>16.170247093</v>
      </c>
      <c r="AF68" s="9"/>
      <c r="AG68" s="21">
        <v>0.192108</v>
      </c>
      <c r="AH68" s="21">
        <v>496.03300000000002</v>
      </c>
      <c r="AI68" s="21">
        <v>-1.2286399999999999E-2</v>
      </c>
      <c r="AJ68" s="21">
        <v>58</v>
      </c>
      <c r="AK68" s="21">
        <v>0.19192500000000001</v>
      </c>
      <c r="AL68">
        <f t="shared" si="6"/>
        <v>12.286399999999999</v>
      </c>
      <c r="AM68">
        <f t="shared" si="7"/>
        <v>2.3603157311999996</v>
      </c>
      <c r="AP68" s="9"/>
      <c r="AQ68" s="21">
        <v>1.50787</v>
      </c>
      <c r="AR68" s="21">
        <v>652.721</v>
      </c>
      <c r="AS68" s="21">
        <v>-1.0748300000000001E-2</v>
      </c>
      <c r="AT68" s="21">
        <v>58</v>
      </c>
      <c r="AU68" s="21">
        <v>1.5075700000000001</v>
      </c>
      <c r="AV68">
        <f t="shared" si="8"/>
        <v>10.7483</v>
      </c>
      <c r="AW68">
        <f t="shared" si="9"/>
        <v>16.207039121000001</v>
      </c>
      <c r="AX68" s="9"/>
      <c r="AY68" s="21">
        <v>0.192108</v>
      </c>
      <c r="AZ68" s="21">
        <v>742.81700000000001</v>
      </c>
      <c r="BA68" s="21">
        <v>-1.2445100000000001E-2</v>
      </c>
      <c r="BB68" s="21">
        <v>58</v>
      </c>
      <c r="BC68" s="21">
        <v>0.19186400000000001</v>
      </c>
      <c r="BD68">
        <f t="shared" si="10"/>
        <v>12.4451</v>
      </c>
      <c r="BE68">
        <f t="shared" si="11"/>
        <v>2.3908032708000002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149.30600000000001</v>
      </c>
      <c r="I69" s="21">
        <v>-1.09131E-2</v>
      </c>
      <c r="J69" s="21">
        <v>59</v>
      </c>
      <c r="K69" s="21">
        <v>1.5026900000000001</v>
      </c>
      <c r="L69">
        <f t="shared" si="0"/>
        <v>10.9131</v>
      </c>
      <c r="M69">
        <f t="shared" si="1"/>
        <v>16.400643203999998</v>
      </c>
      <c r="N69" s="9"/>
      <c r="O69" s="21">
        <v>0.19714400000000001</v>
      </c>
      <c r="P69" s="21">
        <v>233.291</v>
      </c>
      <c r="Q69" s="21">
        <v>-1.2234500000000001E-2</v>
      </c>
      <c r="R69" s="21">
        <v>59</v>
      </c>
      <c r="S69" s="21">
        <v>0.19696</v>
      </c>
      <c r="T69">
        <f t="shared" si="2"/>
        <v>12.234500000000001</v>
      </c>
      <c r="U69">
        <f t="shared" si="3"/>
        <v>2.4119582680000002</v>
      </c>
      <c r="X69" s="9"/>
      <c r="Y69" s="21">
        <v>1.50284</v>
      </c>
      <c r="Z69" s="21">
        <v>439.45800000000003</v>
      </c>
      <c r="AA69" s="21">
        <v>-1.07239E-2</v>
      </c>
      <c r="AB69" s="21">
        <v>59</v>
      </c>
      <c r="AC69" s="21">
        <v>1.5020800000000001</v>
      </c>
      <c r="AD69">
        <f t="shared" si="4"/>
        <v>10.7239</v>
      </c>
      <c r="AE69">
        <f t="shared" si="5"/>
        <v>16.116305875999998</v>
      </c>
      <c r="AF69" s="9"/>
      <c r="AG69" s="21">
        <v>0.19714400000000001</v>
      </c>
      <c r="AH69" s="21">
        <v>496.13299999999998</v>
      </c>
      <c r="AI69" s="21">
        <v>-1.2286399999999999E-2</v>
      </c>
      <c r="AJ69" s="21">
        <v>59</v>
      </c>
      <c r="AK69" s="21">
        <v>0.196991</v>
      </c>
      <c r="AL69">
        <f t="shared" si="6"/>
        <v>12.286399999999999</v>
      </c>
      <c r="AM69">
        <f t="shared" si="7"/>
        <v>2.4221900416</v>
      </c>
      <c r="AP69" s="9"/>
      <c r="AQ69" s="21">
        <v>1.50284</v>
      </c>
      <c r="AR69" s="21">
        <v>652.822</v>
      </c>
      <c r="AS69" s="21">
        <v>-1.0754400000000001E-2</v>
      </c>
      <c r="AT69" s="21">
        <v>59</v>
      </c>
      <c r="AU69" s="21">
        <v>1.5020800000000001</v>
      </c>
      <c r="AV69">
        <f t="shared" si="8"/>
        <v>10.7544</v>
      </c>
      <c r="AW69">
        <f t="shared" si="9"/>
        <v>16.162142496000001</v>
      </c>
      <c r="AX69" s="9"/>
      <c r="AY69" s="21">
        <v>0.19714400000000001</v>
      </c>
      <c r="AZ69" s="21">
        <v>742.91700000000003</v>
      </c>
      <c r="BA69" s="21">
        <v>-1.2439E-2</v>
      </c>
      <c r="BB69" s="21">
        <v>59</v>
      </c>
      <c r="BC69" s="21">
        <v>0.19686899999999999</v>
      </c>
      <c r="BD69">
        <f t="shared" si="10"/>
        <v>12.439</v>
      </c>
      <c r="BE69">
        <f t="shared" si="11"/>
        <v>2.4522742160000002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149.40700000000001</v>
      </c>
      <c r="I70" s="21">
        <v>-1.09009E-2</v>
      </c>
      <c r="J70" s="21">
        <v>60</v>
      </c>
      <c r="K70" s="21">
        <v>1.49719</v>
      </c>
      <c r="L70">
        <f t="shared" si="0"/>
        <v>10.9009</v>
      </c>
      <c r="M70">
        <f t="shared" si="1"/>
        <v>16.327368020000002</v>
      </c>
      <c r="N70" s="9"/>
      <c r="O70" s="21">
        <v>0.202179</v>
      </c>
      <c r="P70" s="21">
        <v>233.39099999999999</v>
      </c>
      <c r="Q70" s="21">
        <v>-1.2234500000000001E-2</v>
      </c>
      <c r="R70" s="21">
        <v>60</v>
      </c>
      <c r="S70" s="21">
        <v>0.20202600000000001</v>
      </c>
      <c r="T70">
        <f t="shared" si="2"/>
        <v>12.234500000000001</v>
      </c>
      <c r="U70">
        <f t="shared" si="3"/>
        <v>2.4735589755</v>
      </c>
      <c r="X70" s="9"/>
      <c r="Y70" s="21">
        <v>1.4978</v>
      </c>
      <c r="Z70" s="21">
        <v>439.55900000000003</v>
      </c>
      <c r="AA70" s="21">
        <v>-1.0726899999999999E-2</v>
      </c>
      <c r="AB70" s="21">
        <v>60</v>
      </c>
      <c r="AC70" s="21">
        <v>1.4968900000000001</v>
      </c>
      <c r="AD70">
        <f t="shared" si="4"/>
        <v>10.726899999999999</v>
      </c>
      <c r="AE70">
        <f t="shared" si="5"/>
        <v>16.066750819999999</v>
      </c>
      <c r="AF70" s="9"/>
      <c r="AG70" s="21">
        <v>0.202179</v>
      </c>
      <c r="AH70" s="21">
        <v>496.23399999999998</v>
      </c>
      <c r="AI70" s="21">
        <v>-1.2274200000000001E-2</v>
      </c>
      <c r="AJ70" s="21">
        <v>60</v>
      </c>
      <c r="AK70" s="21">
        <v>0.20196500000000001</v>
      </c>
      <c r="AL70">
        <f t="shared" si="6"/>
        <v>12.2742</v>
      </c>
      <c r="AM70">
        <f t="shared" si="7"/>
        <v>2.4815854818000003</v>
      </c>
      <c r="AP70" s="9"/>
      <c r="AQ70" s="21">
        <v>1.4978</v>
      </c>
      <c r="AR70" s="21">
        <v>652.923</v>
      </c>
      <c r="AS70" s="21">
        <v>-1.0760499999999999E-2</v>
      </c>
      <c r="AT70" s="21">
        <v>60</v>
      </c>
      <c r="AU70" s="21">
        <v>1.4968900000000001</v>
      </c>
      <c r="AV70">
        <f t="shared" si="8"/>
        <v>10.760499999999999</v>
      </c>
      <c r="AW70">
        <f t="shared" si="9"/>
        <v>16.117076899999997</v>
      </c>
      <c r="AX70" s="9"/>
      <c r="AY70" s="21">
        <v>0.202179</v>
      </c>
      <c r="AZ70" s="21">
        <v>743.01800000000003</v>
      </c>
      <c r="BA70" s="21">
        <v>-1.24329E-2</v>
      </c>
      <c r="BB70" s="21">
        <v>60</v>
      </c>
      <c r="BC70" s="21">
        <v>0.201935</v>
      </c>
      <c r="BD70">
        <f t="shared" si="10"/>
        <v>12.4329</v>
      </c>
      <c r="BE70">
        <f t="shared" si="11"/>
        <v>2.5136712890999999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149.50800000000001</v>
      </c>
      <c r="I71" s="21">
        <v>-1.09131E-2</v>
      </c>
      <c r="J71" s="21">
        <v>61</v>
      </c>
      <c r="K71" s="21">
        <v>1.4917</v>
      </c>
      <c r="L71">
        <f t="shared" si="0"/>
        <v>10.9131</v>
      </c>
      <c r="M71">
        <f t="shared" si="1"/>
        <v>16.290748287</v>
      </c>
      <c r="N71" s="9"/>
      <c r="O71" s="21">
        <v>0.20721400000000001</v>
      </c>
      <c r="P71" s="21">
        <v>233.49199999999999</v>
      </c>
      <c r="Q71" s="21">
        <v>-1.22253E-2</v>
      </c>
      <c r="R71" s="21">
        <v>61</v>
      </c>
      <c r="S71" s="21">
        <v>0.207062</v>
      </c>
      <c r="T71">
        <f t="shared" si="2"/>
        <v>12.225299999999999</v>
      </c>
      <c r="U71">
        <f t="shared" si="3"/>
        <v>2.5332533142</v>
      </c>
      <c r="X71" s="9"/>
      <c r="Y71" s="21">
        <v>1.4927699999999999</v>
      </c>
      <c r="Z71" s="21">
        <v>439.66</v>
      </c>
      <c r="AA71" s="21">
        <v>-1.0726899999999999E-2</v>
      </c>
      <c r="AB71" s="21">
        <v>61</v>
      </c>
      <c r="AC71" s="21">
        <v>1.49231</v>
      </c>
      <c r="AD71">
        <f t="shared" si="4"/>
        <v>10.726899999999999</v>
      </c>
      <c r="AE71">
        <f t="shared" si="5"/>
        <v>16.012794512999996</v>
      </c>
      <c r="AF71" s="9"/>
      <c r="AG71" s="21">
        <v>0.20721400000000001</v>
      </c>
      <c r="AH71" s="21">
        <v>496.33499999999998</v>
      </c>
      <c r="AI71" s="21">
        <v>-1.2274200000000001E-2</v>
      </c>
      <c r="AJ71" s="21">
        <v>61</v>
      </c>
      <c r="AK71" s="21">
        <v>0.207062</v>
      </c>
      <c r="AL71">
        <f t="shared" si="6"/>
        <v>12.2742</v>
      </c>
      <c r="AM71">
        <f t="shared" si="7"/>
        <v>2.5433860788000002</v>
      </c>
      <c r="AP71" s="9"/>
      <c r="AQ71" s="21">
        <v>1.4927699999999999</v>
      </c>
      <c r="AR71" s="21">
        <v>653.02300000000002</v>
      </c>
      <c r="AS71" s="21">
        <v>-1.0760499999999999E-2</v>
      </c>
      <c r="AT71" s="21">
        <v>61</v>
      </c>
      <c r="AU71" s="21">
        <v>1.49231</v>
      </c>
      <c r="AV71">
        <f t="shared" si="8"/>
        <v>10.760499999999999</v>
      </c>
      <c r="AW71">
        <f t="shared" si="9"/>
        <v>16.062951584999997</v>
      </c>
      <c r="AX71" s="9"/>
      <c r="AY71" s="21">
        <v>0.20721400000000001</v>
      </c>
      <c r="AZ71" s="21">
        <v>743.11900000000003</v>
      </c>
      <c r="BA71" s="21">
        <v>-1.24329E-2</v>
      </c>
      <c r="BB71" s="21">
        <v>61</v>
      </c>
      <c r="BC71" s="21">
        <v>0.20696999999999999</v>
      </c>
      <c r="BD71">
        <f t="shared" si="10"/>
        <v>12.4329</v>
      </c>
      <c r="BE71">
        <f t="shared" si="11"/>
        <v>2.5762709406000002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149.608</v>
      </c>
      <c r="I72" s="21">
        <v>-1.09161E-2</v>
      </c>
      <c r="J72" s="21">
        <v>62</v>
      </c>
      <c r="K72" s="21">
        <v>1.48712</v>
      </c>
      <c r="L72">
        <f t="shared" si="0"/>
        <v>10.9161</v>
      </c>
      <c r="M72">
        <f t="shared" si="1"/>
        <v>16.240209452999999</v>
      </c>
      <c r="N72" s="9"/>
      <c r="O72" s="21">
        <v>0.21224999999999999</v>
      </c>
      <c r="P72" s="21">
        <v>233.59299999999999</v>
      </c>
      <c r="Q72" s="21">
        <v>-1.22437E-2</v>
      </c>
      <c r="R72" s="21">
        <v>62</v>
      </c>
      <c r="S72" s="21">
        <v>0.21212800000000001</v>
      </c>
      <c r="T72">
        <f t="shared" si="2"/>
        <v>12.2437</v>
      </c>
      <c r="U72">
        <f t="shared" si="3"/>
        <v>2.5987253250000002</v>
      </c>
      <c r="X72" s="9"/>
      <c r="Y72" s="21">
        <v>1.48773</v>
      </c>
      <c r="Z72" s="21">
        <v>439.76</v>
      </c>
      <c r="AA72" s="21">
        <v>-1.07391E-2</v>
      </c>
      <c r="AB72" s="21">
        <v>62</v>
      </c>
      <c r="AC72" s="21">
        <v>1.48712</v>
      </c>
      <c r="AD72">
        <f t="shared" si="4"/>
        <v>10.739100000000001</v>
      </c>
      <c r="AE72">
        <f t="shared" si="5"/>
        <v>15.976881243000001</v>
      </c>
      <c r="AF72" s="9"/>
      <c r="AG72" s="21">
        <v>0.21224999999999999</v>
      </c>
      <c r="AH72" s="21">
        <v>496.435</v>
      </c>
      <c r="AI72" s="21">
        <v>-1.22711E-2</v>
      </c>
      <c r="AJ72" s="21">
        <v>62</v>
      </c>
      <c r="AK72" s="21">
        <v>0.212036</v>
      </c>
      <c r="AL72">
        <f t="shared" si="6"/>
        <v>12.271100000000001</v>
      </c>
      <c r="AM72">
        <f t="shared" si="7"/>
        <v>2.6045409749999999</v>
      </c>
      <c r="AP72" s="9"/>
      <c r="AQ72" s="21">
        <v>1.48773</v>
      </c>
      <c r="AR72" s="21">
        <v>653.12400000000002</v>
      </c>
      <c r="AS72" s="21">
        <v>-1.07635E-2</v>
      </c>
      <c r="AT72" s="21">
        <v>62</v>
      </c>
      <c r="AU72" s="21">
        <v>1.48651</v>
      </c>
      <c r="AV72">
        <f t="shared" si="8"/>
        <v>10.763500000000001</v>
      </c>
      <c r="AW72">
        <f t="shared" si="9"/>
        <v>16.013181854999999</v>
      </c>
      <c r="AX72" s="9"/>
      <c r="AY72" s="21">
        <v>0.21224999999999999</v>
      </c>
      <c r="AZ72" s="21">
        <v>743.22</v>
      </c>
      <c r="BA72" s="21">
        <v>-1.24298E-2</v>
      </c>
      <c r="BB72" s="21">
        <v>62</v>
      </c>
      <c r="BC72" s="21">
        <v>0.212006</v>
      </c>
      <c r="BD72">
        <f t="shared" si="10"/>
        <v>12.4298</v>
      </c>
      <c r="BE72">
        <f t="shared" si="11"/>
        <v>2.63822505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149.709</v>
      </c>
      <c r="I73" s="21">
        <v>-1.09192E-2</v>
      </c>
      <c r="J73" s="21">
        <v>63</v>
      </c>
      <c r="K73" s="21">
        <v>1.48254</v>
      </c>
      <c r="L73">
        <f t="shared" si="0"/>
        <v>10.9192</v>
      </c>
      <c r="M73">
        <f t="shared" si="1"/>
        <v>16.18989784</v>
      </c>
      <c r="N73" s="9"/>
      <c r="O73" s="21">
        <v>0.21728500000000001</v>
      </c>
      <c r="P73" s="21">
        <v>233.69399999999999</v>
      </c>
      <c r="Q73" s="21">
        <v>-1.22437E-2</v>
      </c>
      <c r="R73" s="21">
        <v>63</v>
      </c>
      <c r="S73" s="21">
        <v>0.21710199999999999</v>
      </c>
      <c r="T73">
        <f t="shared" si="2"/>
        <v>12.2437</v>
      </c>
      <c r="U73">
        <f t="shared" si="3"/>
        <v>2.6603723545000002</v>
      </c>
      <c r="X73" s="9"/>
      <c r="Y73" s="21">
        <v>1.4826999999999999</v>
      </c>
      <c r="Z73" s="21">
        <v>439.86099999999999</v>
      </c>
      <c r="AA73" s="21">
        <v>-1.0748300000000001E-2</v>
      </c>
      <c r="AB73" s="21">
        <v>63</v>
      </c>
      <c r="AC73" s="21">
        <v>1.48224</v>
      </c>
      <c r="AD73">
        <f t="shared" si="4"/>
        <v>10.7483</v>
      </c>
      <c r="AE73">
        <f t="shared" si="5"/>
        <v>15.93650441</v>
      </c>
      <c r="AF73" s="9"/>
      <c r="AG73" s="21">
        <v>0.21728500000000001</v>
      </c>
      <c r="AH73" s="21">
        <v>496.536</v>
      </c>
      <c r="AI73" s="21">
        <v>-1.22711E-2</v>
      </c>
      <c r="AJ73" s="21">
        <v>63</v>
      </c>
      <c r="AK73" s="21">
        <v>0.21710199999999999</v>
      </c>
      <c r="AL73">
        <f t="shared" si="6"/>
        <v>12.271100000000001</v>
      </c>
      <c r="AM73">
        <f t="shared" si="7"/>
        <v>2.6663259635000003</v>
      </c>
      <c r="AP73" s="9"/>
      <c r="AQ73" s="21">
        <v>1.4826999999999999</v>
      </c>
      <c r="AR73" s="21">
        <v>653.22500000000002</v>
      </c>
      <c r="AS73" s="21">
        <v>-1.07697E-2</v>
      </c>
      <c r="AT73" s="21">
        <v>63</v>
      </c>
      <c r="AU73" s="21">
        <v>1.48254</v>
      </c>
      <c r="AV73">
        <f t="shared" si="8"/>
        <v>10.7697</v>
      </c>
      <c r="AW73">
        <f t="shared" si="9"/>
        <v>15.968234189999999</v>
      </c>
      <c r="AX73" s="9"/>
      <c r="AY73" s="21">
        <v>0.21728500000000001</v>
      </c>
      <c r="AZ73" s="21">
        <v>743.32</v>
      </c>
      <c r="BA73" s="21">
        <v>-1.24329E-2</v>
      </c>
      <c r="BB73" s="21">
        <v>63</v>
      </c>
      <c r="BC73" s="21">
        <v>0.21701000000000001</v>
      </c>
      <c r="BD73">
        <f t="shared" si="10"/>
        <v>12.4329</v>
      </c>
      <c r="BE73">
        <f t="shared" si="11"/>
        <v>2.7014826765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149.81</v>
      </c>
      <c r="I74" s="21">
        <v>-1.09161E-2</v>
      </c>
      <c r="J74" s="21">
        <v>64</v>
      </c>
      <c r="K74" s="21">
        <v>1.47705</v>
      </c>
      <c r="L74">
        <f t="shared" si="0"/>
        <v>10.9161</v>
      </c>
      <c r="M74">
        <f t="shared" si="1"/>
        <v>16.130284325999998</v>
      </c>
      <c r="N74" s="9"/>
      <c r="O74" s="21">
        <v>0.22232099999999999</v>
      </c>
      <c r="P74" s="21">
        <v>233.79400000000001</v>
      </c>
      <c r="Q74" s="21">
        <v>-1.2234500000000001E-2</v>
      </c>
      <c r="R74" s="21">
        <v>64</v>
      </c>
      <c r="S74" s="21">
        <v>0.222168</v>
      </c>
      <c r="T74">
        <f t="shared" si="2"/>
        <v>12.234500000000001</v>
      </c>
      <c r="U74">
        <f t="shared" si="3"/>
        <v>2.7199862745000001</v>
      </c>
      <c r="X74" s="9"/>
      <c r="Y74" s="21">
        <v>1.47766</v>
      </c>
      <c r="Z74" s="21">
        <v>439.96199999999999</v>
      </c>
      <c r="AA74" s="21">
        <v>-1.07422E-2</v>
      </c>
      <c r="AB74" s="21">
        <v>64</v>
      </c>
      <c r="AC74" s="21">
        <v>1.47644</v>
      </c>
      <c r="AD74">
        <f t="shared" si="4"/>
        <v>10.7422</v>
      </c>
      <c r="AE74">
        <f t="shared" si="5"/>
        <v>15.873319252</v>
      </c>
      <c r="AF74" s="9"/>
      <c r="AG74" s="21">
        <v>0.22232099999999999</v>
      </c>
      <c r="AH74" s="21">
        <v>496.637</v>
      </c>
      <c r="AI74" s="21">
        <v>-1.22589E-2</v>
      </c>
      <c r="AJ74" s="21">
        <v>64</v>
      </c>
      <c r="AK74" s="21">
        <v>0.222076</v>
      </c>
      <c r="AL74">
        <f t="shared" si="6"/>
        <v>12.258899999999999</v>
      </c>
      <c r="AM74">
        <f t="shared" si="7"/>
        <v>2.7254109068999997</v>
      </c>
      <c r="AP74" s="9"/>
      <c r="AQ74" s="21">
        <v>1.47766</v>
      </c>
      <c r="AR74" s="21">
        <v>653.32500000000005</v>
      </c>
      <c r="AS74" s="21">
        <v>-1.07788E-2</v>
      </c>
      <c r="AT74" s="21">
        <v>64</v>
      </c>
      <c r="AU74" s="21">
        <v>1.47675</v>
      </c>
      <c r="AV74">
        <f t="shared" si="8"/>
        <v>10.7788</v>
      </c>
      <c r="AW74">
        <f t="shared" si="9"/>
        <v>15.927401608</v>
      </c>
      <c r="AX74" s="9"/>
      <c r="AY74" s="21">
        <v>0.22232099999999999</v>
      </c>
      <c r="AZ74" s="21">
        <v>743.42100000000005</v>
      </c>
      <c r="BA74" s="21">
        <v>-1.2417600000000001E-2</v>
      </c>
      <c r="BB74" s="21">
        <v>64</v>
      </c>
      <c r="BC74" s="21">
        <v>0.22222900000000001</v>
      </c>
      <c r="BD74">
        <f t="shared" si="10"/>
        <v>12.4176</v>
      </c>
      <c r="BE74">
        <f t="shared" si="11"/>
        <v>2.7606932496000001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149.911</v>
      </c>
      <c r="I75" s="21">
        <v>-1.09222E-2</v>
      </c>
      <c r="J75" s="21">
        <v>65</v>
      </c>
      <c r="K75" s="21">
        <v>1.47156</v>
      </c>
      <c r="L75">
        <f t="shared" si="0"/>
        <v>10.9222</v>
      </c>
      <c r="M75">
        <f t="shared" si="1"/>
        <v>16.084359386000003</v>
      </c>
      <c r="N75" s="9"/>
      <c r="O75" s="21">
        <v>0.227356</v>
      </c>
      <c r="P75" s="21">
        <v>233.89500000000001</v>
      </c>
      <c r="Q75" s="21">
        <v>-1.2234500000000001E-2</v>
      </c>
      <c r="R75" s="21">
        <v>65</v>
      </c>
      <c r="S75" s="21">
        <v>0.22720299999999999</v>
      </c>
      <c r="T75">
        <f t="shared" si="2"/>
        <v>12.234500000000001</v>
      </c>
      <c r="U75">
        <f t="shared" si="3"/>
        <v>2.7815869820000003</v>
      </c>
      <c r="X75" s="9"/>
      <c r="Y75" s="21">
        <v>1.4726300000000001</v>
      </c>
      <c r="Z75" s="21">
        <v>440.06299999999999</v>
      </c>
      <c r="AA75" s="21">
        <v>-1.0754400000000001E-2</v>
      </c>
      <c r="AB75" s="21">
        <v>65</v>
      </c>
      <c r="AC75" s="21">
        <v>1.47217</v>
      </c>
      <c r="AD75">
        <f t="shared" si="4"/>
        <v>10.7544</v>
      </c>
      <c r="AE75">
        <f t="shared" si="5"/>
        <v>15.837252072000002</v>
      </c>
      <c r="AF75" s="9"/>
      <c r="AG75" s="21">
        <v>0.227356</v>
      </c>
      <c r="AH75" s="21">
        <v>496.73700000000002</v>
      </c>
      <c r="AI75" s="21">
        <v>-1.22589E-2</v>
      </c>
      <c r="AJ75" s="21">
        <v>65</v>
      </c>
      <c r="AK75" s="21">
        <v>0.22717300000000001</v>
      </c>
      <c r="AL75">
        <f t="shared" si="6"/>
        <v>12.258899999999999</v>
      </c>
      <c r="AM75">
        <f t="shared" si="7"/>
        <v>2.7871344683999997</v>
      </c>
      <c r="AP75" s="9"/>
      <c r="AQ75" s="21">
        <v>1.4726300000000001</v>
      </c>
      <c r="AR75" s="21">
        <v>653.42600000000004</v>
      </c>
      <c r="AS75" s="21">
        <v>-1.0781900000000001E-2</v>
      </c>
      <c r="AT75" s="21">
        <v>65</v>
      </c>
      <c r="AU75" s="21">
        <v>1.47156</v>
      </c>
      <c r="AV75">
        <f t="shared" si="8"/>
        <v>10.7819</v>
      </c>
      <c r="AW75">
        <f t="shared" si="9"/>
        <v>15.877749397000002</v>
      </c>
      <c r="AX75" s="9"/>
      <c r="AY75" s="21">
        <v>0.227356</v>
      </c>
      <c r="AZ75" s="21">
        <v>743.52200000000005</v>
      </c>
      <c r="BA75" s="21">
        <v>-1.2442E-2</v>
      </c>
      <c r="BB75" s="21">
        <v>65</v>
      </c>
      <c r="BC75" s="21">
        <v>0.22711200000000001</v>
      </c>
      <c r="BD75">
        <f t="shared" si="10"/>
        <v>12.442</v>
      </c>
      <c r="BE75">
        <f t="shared" si="11"/>
        <v>2.8287633520000002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150.011</v>
      </c>
      <c r="I76" s="21">
        <v>-1.0925300000000001E-2</v>
      </c>
      <c r="J76" s="21">
        <v>66</v>
      </c>
      <c r="K76" s="21">
        <v>1.46698</v>
      </c>
      <c r="L76">
        <f t="shared" ref="L76:L139" si="12">-I76/$F$2*1000</f>
        <v>10.9253</v>
      </c>
      <c r="M76">
        <f t="shared" ref="M76:M139" si="13">L76*G76</f>
        <v>16.033861027</v>
      </c>
      <c r="N76" s="9"/>
      <c r="O76" s="21">
        <v>0.23239099999999999</v>
      </c>
      <c r="P76" s="21">
        <v>233.99600000000001</v>
      </c>
      <c r="Q76" s="21">
        <v>-1.2234500000000001E-2</v>
      </c>
      <c r="R76" s="21">
        <v>66</v>
      </c>
      <c r="S76" s="21">
        <v>0.232178</v>
      </c>
      <c r="T76">
        <f t="shared" ref="T76:T139" si="14">-Q76/$F$2*1000</f>
        <v>12.234500000000001</v>
      </c>
      <c r="U76">
        <f t="shared" ref="U76:U139" si="15">T76*O76</f>
        <v>2.8431876895000001</v>
      </c>
      <c r="X76" s="9"/>
      <c r="Y76" s="21">
        <v>1.46759</v>
      </c>
      <c r="Z76" s="21">
        <v>440.16300000000001</v>
      </c>
      <c r="AA76" s="21">
        <v>-1.0748300000000001E-2</v>
      </c>
      <c r="AB76" s="21">
        <v>66</v>
      </c>
      <c r="AC76" s="21">
        <v>1.46759</v>
      </c>
      <c r="AD76">
        <f t="shared" ref="AD76:AD139" si="16">-AA76/$F$2*1000</f>
        <v>10.7483</v>
      </c>
      <c r="AE76">
        <f t="shared" ref="AE76:AE139" si="17">AD76*Y76</f>
        <v>15.774097597000001</v>
      </c>
      <c r="AF76" s="9"/>
      <c r="AG76" s="21">
        <v>0.23239099999999999</v>
      </c>
      <c r="AH76" s="21">
        <v>496.83800000000002</v>
      </c>
      <c r="AI76" s="21">
        <v>-1.2252799999999999E-2</v>
      </c>
      <c r="AJ76" s="21">
        <v>66</v>
      </c>
      <c r="AK76" s="21">
        <v>0.232208</v>
      </c>
      <c r="AL76">
        <f t="shared" ref="AL76:AL139" si="18">-AI76/$F$2*1000</f>
        <v>12.252799999999999</v>
      </c>
      <c r="AM76">
        <f t="shared" ref="AM76:AM139" si="19">AL76*AG76</f>
        <v>2.8474404447999997</v>
      </c>
      <c r="AP76" s="9"/>
      <c r="AQ76" s="21">
        <v>1.46759</v>
      </c>
      <c r="AR76" s="21">
        <v>653.52700000000004</v>
      </c>
      <c r="AS76" s="21">
        <v>-1.0781900000000001E-2</v>
      </c>
      <c r="AT76" s="21">
        <v>66</v>
      </c>
      <c r="AU76" s="21">
        <v>1.46729</v>
      </c>
      <c r="AV76">
        <f t="shared" ref="AV76:AV139" si="20">-AS76/$F$2*1000</f>
        <v>10.7819</v>
      </c>
      <c r="AW76">
        <f t="shared" ref="AW76:AW139" si="21">AV76*AQ76</f>
        <v>15.823408621</v>
      </c>
      <c r="AX76" s="9"/>
      <c r="AY76" s="21">
        <v>0.23239099999999999</v>
      </c>
      <c r="AZ76" s="21">
        <v>743.62199999999996</v>
      </c>
      <c r="BA76" s="21">
        <v>-1.2442E-2</v>
      </c>
      <c r="BB76" s="21">
        <v>66</v>
      </c>
      <c r="BC76" s="21">
        <v>0.23208599999999999</v>
      </c>
      <c r="BD76">
        <f t="shared" ref="BD76:BD139" si="22">-BA76/$F$2*1000</f>
        <v>12.442</v>
      </c>
      <c r="BE76">
        <f t="shared" ref="BE76:BE139" si="23">BD76*AY76</f>
        <v>2.8914088219999998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150.11199999999999</v>
      </c>
      <c r="I77" s="21">
        <v>-1.0925300000000001E-2</v>
      </c>
      <c r="J77" s="21">
        <v>67</v>
      </c>
      <c r="K77" s="21">
        <v>1.4621</v>
      </c>
      <c r="L77">
        <f t="shared" si="12"/>
        <v>10.9253</v>
      </c>
      <c r="M77">
        <f t="shared" si="13"/>
        <v>15.978797515</v>
      </c>
      <c r="N77" s="9"/>
      <c r="O77" s="21">
        <v>0.237427</v>
      </c>
      <c r="P77" s="21">
        <v>234.096</v>
      </c>
      <c r="Q77" s="21">
        <v>-1.22223E-2</v>
      </c>
      <c r="R77" s="21">
        <v>67</v>
      </c>
      <c r="S77" s="21">
        <v>0.23727400000000001</v>
      </c>
      <c r="T77">
        <f t="shared" si="14"/>
        <v>12.222300000000001</v>
      </c>
      <c r="U77">
        <f t="shared" si="15"/>
        <v>2.9019040221000001</v>
      </c>
      <c r="X77" s="9"/>
      <c r="Y77" s="21">
        <v>1.46255</v>
      </c>
      <c r="Z77" s="21">
        <v>440.26400000000001</v>
      </c>
      <c r="AA77" s="21">
        <v>-1.07788E-2</v>
      </c>
      <c r="AB77" s="21">
        <v>67</v>
      </c>
      <c r="AC77" s="21">
        <v>1.4623999999999999</v>
      </c>
      <c r="AD77">
        <f t="shared" si="16"/>
        <v>10.7788</v>
      </c>
      <c r="AE77">
        <f t="shared" si="17"/>
        <v>15.764533940000002</v>
      </c>
      <c r="AF77" s="9"/>
      <c r="AG77" s="21">
        <v>0.237427</v>
      </c>
      <c r="AH77" s="21">
        <v>496.93900000000002</v>
      </c>
      <c r="AI77" s="21">
        <v>-1.2262E-2</v>
      </c>
      <c r="AJ77" s="21">
        <v>67</v>
      </c>
      <c r="AK77" s="21">
        <v>0.23721300000000001</v>
      </c>
      <c r="AL77">
        <f t="shared" si="18"/>
        <v>12.262</v>
      </c>
      <c r="AM77">
        <f t="shared" si="19"/>
        <v>2.9113298740000002</v>
      </c>
      <c r="AP77" s="9"/>
      <c r="AQ77" s="21">
        <v>1.46255</v>
      </c>
      <c r="AR77" s="21">
        <v>653.62800000000004</v>
      </c>
      <c r="AS77" s="21">
        <v>-1.0781900000000001E-2</v>
      </c>
      <c r="AT77" s="21">
        <v>67</v>
      </c>
      <c r="AU77" s="21">
        <v>1.4621</v>
      </c>
      <c r="AV77">
        <f t="shared" si="20"/>
        <v>10.7819</v>
      </c>
      <c r="AW77">
        <f t="shared" si="21"/>
        <v>15.769067845</v>
      </c>
      <c r="AX77" s="9"/>
      <c r="AY77" s="21">
        <v>0.237427</v>
      </c>
      <c r="AZ77" s="21">
        <v>743.72299999999996</v>
      </c>
      <c r="BA77" s="21">
        <v>-1.2439E-2</v>
      </c>
      <c r="BB77" s="21">
        <v>67</v>
      </c>
      <c r="BC77" s="21">
        <v>0.23721300000000001</v>
      </c>
      <c r="BD77">
        <f t="shared" si="22"/>
        <v>12.439</v>
      </c>
      <c r="BE77">
        <f t="shared" si="23"/>
        <v>2.9533544530000002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150.21299999999999</v>
      </c>
      <c r="I78" s="21">
        <v>-1.09406E-2</v>
      </c>
      <c r="J78" s="21">
        <v>68</v>
      </c>
      <c r="K78" s="21">
        <v>1.4572099999999999</v>
      </c>
      <c r="L78">
        <f t="shared" si="12"/>
        <v>10.9406</v>
      </c>
      <c r="M78">
        <f t="shared" si="13"/>
        <v>15.946143311999998</v>
      </c>
      <c r="N78" s="9"/>
      <c r="O78" s="21">
        <v>0.24246200000000001</v>
      </c>
      <c r="P78" s="21">
        <v>234.197</v>
      </c>
      <c r="Q78" s="21">
        <v>-1.22162E-2</v>
      </c>
      <c r="R78" s="21">
        <v>68</v>
      </c>
      <c r="S78" s="21">
        <v>0.24224899999999999</v>
      </c>
      <c r="T78">
        <f t="shared" si="14"/>
        <v>12.216200000000001</v>
      </c>
      <c r="U78">
        <f t="shared" si="15"/>
        <v>2.9619642844000005</v>
      </c>
      <c r="X78" s="9"/>
      <c r="Y78" s="21">
        <v>1.4575199999999999</v>
      </c>
      <c r="Z78" s="21">
        <v>440.36500000000001</v>
      </c>
      <c r="AA78" s="21">
        <v>-1.07697E-2</v>
      </c>
      <c r="AB78" s="21">
        <v>68</v>
      </c>
      <c r="AC78" s="21">
        <v>1.4565999999999999</v>
      </c>
      <c r="AD78">
        <f t="shared" si="16"/>
        <v>10.7697</v>
      </c>
      <c r="AE78">
        <f t="shared" si="17"/>
        <v>15.697053144</v>
      </c>
      <c r="AF78" s="9"/>
      <c r="AG78" s="21">
        <v>0.24246200000000001</v>
      </c>
      <c r="AH78" s="21">
        <v>497.04</v>
      </c>
      <c r="AI78" s="21">
        <v>-1.2240600000000001E-2</v>
      </c>
      <c r="AJ78" s="21">
        <v>68</v>
      </c>
      <c r="AK78" s="21">
        <v>0.24221799999999999</v>
      </c>
      <c r="AL78">
        <f t="shared" si="18"/>
        <v>12.240600000000001</v>
      </c>
      <c r="AM78">
        <f t="shared" si="19"/>
        <v>2.9678803572000003</v>
      </c>
      <c r="AP78" s="9"/>
      <c r="AQ78" s="21">
        <v>1.4575199999999999</v>
      </c>
      <c r="AR78" s="21">
        <v>653.72799999999995</v>
      </c>
      <c r="AS78" s="21">
        <v>-1.0791E-2</v>
      </c>
      <c r="AT78" s="21">
        <v>68</v>
      </c>
      <c r="AU78" s="21">
        <v>1.4569099999999999</v>
      </c>
      <c r="AV78">
        <f t="shared" si="20"/>
        <v>10.791</v>
      </c>
      <c r="AW78">
        <f t="shared" si="21"/>
        <v>15.728098319999999</v>
      </c>
      <c r="AX78" s="9"/>
      <c r="AY78" s="21">
        <v>0.24246200000000001</v>
      </c>
      <c r="AZ78" s="21">
        <v>743.82399999999996</v>
      </c>
      <c r="BA78" s="21">
        <v>-1.2439E-2</v>
      </c>
      <c r="BB78" s="21">
        <v>68</v>
      </c>
      <c r="BC78" s="21">
        <v>0.24212600000000001</v>
      </c>
      <c r="BD78">
        <f t="shared" si="22"/>
        <v>12.439</v>
      </c>
      <c r="BE78">
        <f t="shared" si="23"/>
        <v>3.0159848180000002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150.31299999999999</v>
      </c>
      <c r="I79" s="21">
        <v>-1.09467E-2</v>
      </c>
      <c r="J79" s="21">
        <v>69</v>
      </c>
      <c r="K79" s="21">
        <v>1.4520299999999999</v>
      </c>
      <c r="L79">
        <f t="shared" si="12"/>
        <v>10.9467</v>
      </c>
      <c r="M79">
        <f t="shared" si="13"/>
        <v>15.899862816000001</v>
      </c>
      <c r="N79" s="9"/>
      <c r="O79" s="21">
        <v>0.247498</v>
      </c>
      <c r="P79" s="21">
        <v>234.298</v>
      </c>
      <c r="Q79" s="21">
        <v>-1.22162E-2</v>
      </c>
      <c r="R79" s="21">
        <v>69</v>
      </c>
      <c r="S79" s="21">
        <v>0.24734500000000001</v>
      </c>
      <c r="T79">
        <f t="shared" si="14"/>
        <v>12.216200000000001</v>
      </c>
      <c r="U79">
        <f t="shared" si="15"/>
        <v>3.0234850676000002</v>
      </c>
      <c r="X79" s="9"/>
      <c r="Y79" s="21">
        <v>1.45248</v>
      </c>
      <c r="Z79" s="21">
        <v>440.46499999999997</v>
      </c>
      <c r="AA79" s="21">
        <v>-1.07758E-2</v>
      </c>
      <c r="AB79" s="21">
        <v>69</v>
      </c>
      <c r="AC79" s="21">
        <v>1.4520299999999999</v>
      </c>
      <c r="AD79">
        <f t="shared" si="16"/>
        <v>10.7758</v>
      </c>
      <c r="AE79">
        <f t="shared" si="17"/>
        <v>15.651633984</v>
      </c>
      <c r="AF79" s="9"/>
      <c r="AG79" s="21">
        <v>0.247498</v>
      </c>
      <c r="AH79" s="21">
        <v>497.14</v>
      </c>
      <c r="AI79" s="21">
        <v>-1.22314E-2</v>
      </c>
      <c r="AJ79" s="21">
        <v>69</v>
      </c>
      <c r="AK79" s="21">
        <v>0.247253</v>
      </c>
      <c r="AL79">
        <f t="shared" si="18"/>
        <v>12.231400000000001</v>
      </c>
      <c r="AM79">
        <f t="shared" si="19"/>
        <v>3.0272470372</v>
      </c>
      <c r="AP79" s="9"/>
      <c r="AQ79" s="21">
        <v>1.45248</v>
      </c>
      <c r="AR79" s="21">
        <v>653.82899999999995</v>
      </c>
      <c r="AS79" s="21">
        <v>-1.07971E-2</v>
      </c>
      <c r="AT79" s="21">
        <v>69</v>
      </c>
      <c r="AU79" s="21">
        <v>1.4520299999999999</v>
      </c>
      <c r="AV79">
        <f t="shared" si="20"/>
        <v>10.7971</v>
      </c>
      <c r="AW79">
        <f t="shared" si="21"/>
        <v>15.682571808000001</v>
      </c>
      <c r="AX79" s="9"/>
      <c r="AY79" s="21">
        <v>0.247498</v>
      </c>
      <c r="AZ79" s="21">
        <v>743.92499999999995</v>
      </c>
      <c r="BA79" s="21">
        <v>-1.2439E-2</v>
      </c>
      <c r="BB79" s="21">
        <v>69</v>
      </c>
      <c r="BC79" s="21">
        <v>0.247253</v>
      </c>
      <c r="BD79">
        <f t="shared" si="22"/>
        <v>12.439</v>
      </c>
      <c r="BE79">
        <f t="shared" si="23"/>
        <v>3.078627622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150.41399999999999</v>
      </c>
      <c r="I80" s="21">
        <v>-1.0965000000000001E-2</v>
      </c>
      <c r="J80" s="21">
        <v>70</v>
      </c>
      <c r="K80" s="21">
        <v>1.4468399999999999</v>
      </c>
      <c r="L80">
        <f t="shared" si="12"/>
        <v>10.965000000000002</v>
      </c>
      <c r="M80">
        <f t="shared" si="13"/>
        <v>15.871289250000002</v>
      </c>
      <c r="N80" s="9"/>
      <c r="O80" s="21">
        <v>0.25253300000000001</v>
      </c>
      <c r="P80" s="21">
        <v>234.398</v>
      </c>
      <c r="Q80" s="21">
        <v>-1.22162E-2</v>
      </c>
      <c r="R80" s="21">
        <v>70</v>
      </c>
      <c r="S80" s="21">
        <v>0.25228899999999999</v>
      </c>
      <c r="T80">
        <f t="shared" si="14"/>
        <v>12.216200000000001</v>
      </c>
      <c r="U80">
        <f t="shared" si="15"/>
        <v>3.0849936346000004</v>
      </c>
      <c r="X80" s="9"/>
      <c r="Y80" s="21">
        <v>1.4474499999999999</v>
      </c>
      <c r="Z80" s="21">
        <v>440.56599999999997</v>
      </c>
      <c r="AA80" s="21">
        <v>-1.0791E-2</v>
      </c>
      <c r="AB80" s="21">
        <v>70</v>
      </c>
      <c r="AC80" s="21">
        <v>1.4468399999999999</v>
      </c>
      <c r="AD80">
        <f t="shared" si="16"/>
        <v>10.791</v>
      </c>
      <c r="AE80">
        <f t="shared" si="17"/>
        <v>15.61943295</v>
      </c>
      <c r="AF80" s="9"/>
      <c r="AG80" s="21">
        <v>0.25253300000000001</v>
      </c>
      <c r="AH80" s="21">
        <v>497.24099999999999</v>
      </c>
      <c r="AI80" s="21">
        <v>-1.22223E-2</v>
      </c>
      <c r="AJ80" s="21">
        <v>70</v>
      </c>
      <c r="AK80" s="21">
        <v>0.25235000000000002</v>
      </c>
      <c r="AL80">
        <f t="shared" si="18"/>
        <v>12.222300000000001</v>
      </c>
      <c r="AM80">
        <f t="shared" si="19"/>
        <v>3.0865340859000003</v>
      </c>
      <c r="AP80" s="9"/>
      <c r="AQ80" s="21">
        <v>1.4474499999999999</v>
      </c>
      <c r="AR80" s="21">
        <v>653.92999999999995</v>
      </c>
      <c r="AS80" s="21">
        <v>-1.0800199999999999E-2</v>
      </c>
      <c r="AT80" s="21">
        <v>70</v>
      </c>
      <c r="AU80" s="21">
        <v>1.4468399999999999</v>
      </c>
      <c r="AV80">
        <f t="shared" si="20"/>
        <v>10.8002</v>
      </c>
      <c r="AW80">
        <f t="shared" si="21"/>
        <v>15.63274949</v>
      </c>
      <c r="AX80" s="9"/>
      <c r="AY80" s="21">
        <v>0.25253300000000001</v>
      </c>
      <c r="AZ80" s="21">
        <v>744.02499999999998</v>
      </c>
      <c r="BA80" s="21">
        <v>-1.24359E-2</v>
      </c>
      <c r="BB80" s="21">
        <v>70</v>
      </c>
      <c r="BC80" s="21">
        <v>0.25228899999999999</v>
      </c>
      <c r="BD80">
        <f t="shared" si="22"/>
        <v>12.4359</v>
      </c>
      <c r="BE80">
        <f t="shared" si="23"/>
        <v>3.1404751346999999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150.51499999999999</v>
      </c>
      <c r="I81" s="21">
        <v>-1.0968E-2</v>
      </c>
      <c r="J81" s="21">
        <v>71</v>
      </c>
      <c r="K81" s="21">
        <v>1.4419599999999999</v>
      </c>
      <c r="L81">
        <f t="shared" si="12"/>
        <v>10.968</v>
      </c>
      <c r="M81">
        <f t="shared" si="13"/>
        <v>15.82035288</v>
      </c>
      <c r="N81" s="9"/>
      <c r="O81" s="21">
        <v>0.25756800000000002</v>
      </c>
      <c r="P81" s="21">
        <v>234.499</v>
      </c>
      <c r="Q81" s="21">
        <v>-1.2207000000000001E-2</v>
      </c>
      <c r="R81" s="21">
        <v>71</v>
      </c>
      <c r="S81" s="21">
        <v>0.257324</v>
      </c>
      <c r="T81">
        <f t="shared" si="14"/>
        <v>12.207000000000001</v>
      </c>
      <c r="U81">
        <f t="shared" si="15"/>
        <v>3.1441325760000005</v>
      </c>
      <c r="X81" s="9"/>
      <c r="Y81" s="21">
        <v>1.44241</v>
      </c>
      <c r="Z81" s="21">
        <v>440.66699999999997</v>
      </c>
      <c r="AA81" s="21">
        <v>-1.0791E-2</v>
      </c>
      <c r="AB81" s="21">
        <v>71</v>
      </c>
      <c r="AC81" s="21">
        <v>1.4422600000000001</v>
      </c>
      <c r="AD81">
        <f t="shared" si="16"/>
        <v>10.791</v>
      </c>
      <c r="AE81">
        <f t="shared" si="17"/>
        <v>15.56504631</v>
      </c>
      <c r="AF81" s="9"/>
      <c r="AG81" s="21">
        <v>0.25756800000000002</v>
      </c>
      <c r="AH81" s="21">
        <v>497.34199999999998</v>
      </c>
      <c r="AI81" s="21">
        <v>-1.22192E-2</v>
      </c>
      <c r="AJ81" s="21">
        <v>71</v>
      </c>
      <c r="AK81" s="21">
        <v>0.25729400000000002</v>
      </c>
      <c r="AL81">
        <f t="shared" si="18"/>
        <v>12.219199999999999</v>
      </c>
      <c r="AM81">
        <f t="shared" si="19"/>
        <v>3.1472749055999998</v>
      </c>
      <c r="AP81" s="9"/>
      <c r="AQ81" s="21">
        <v>1.44241</v>
      </c>
      <c r="AR81" s="21">
        <v>654.03</v>
      </c>
      <c r="AS81" s="21">
        <v>-1.0809300000000001E-2</v>
      </c>
      <c r="AT81" s="21">
        <v>71</v>
      </c>
      <c r="AU81" s="21">
        <v>1.4419599999999999</v>
      </c>
      <c r="AV81">
        <f t="shared" si="20"/>
        <v>10.8093</v>
      </c>
      <c r="AW81">
        <f t="shared" si="21"/>
        <v>15.591442412999999</v>
      </c>
      <c r="AX81" s="9"/>
      <c r="AY81" s="21">
        <v>0.25756800000000002</v>
      </c>
      <c r="AZ81" s="21">
        <v>744.12599999999998</v>
      </c>
      <c r="BA81" s="21">
        <v>-1.24298E-2</v>
      </c>
      <c r="BB81" s="21">
        <v>71</v>
      </c>
      <c r="BC81" s="21">
        <v>0.25723299999999999</v>
      </c>
      <c r="BD81">
        <f t="shared" si="22"/>
        <v>12.4298</v>
      </c>
      <c r="BE81">
        <f t="shared" si="23"/>
        <v>3.2015187264000002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150.61500000000001</v>
      </c>
      <c r="I82" s="21">
        <v>-1.0977199999999999E-2</v>
      </c>
      <c r="J82" s="21">
        <v>72</v>
      </c>
      <c r="K82" s="21">
        <v>1.4370700000000001</v>
      </c>
      <c r="L82">
        <f t="shared" si="12"/>
        <v>10.9772</v>
      </c>
      <c r="M82">
        <f t="shared" si="13"/>
        <v>15.778407736</v>
      </c>
      <c r="N82" s="9"/>
      <c r="O82" s="21">
        <v>0.262604</v>
      </c>
      <c r="P82" s="21">
        <v>234.6</v>
      </c>
      <c r="Q82" s="21">
        <v>-1.2200900000000001E-2</v>
      </c>
      <c r="R82" s="21">
        <v>72</v>
      </c>
      <c r="S82" s="21">
        <v>0.26235999999999998</v>
      </c>
      <c r="T82">
        <f t="shared" si="14"/>
        <v>12.200900000000001</v>
      </c>
      <c r="U82">
        <f t="shared" si="15"/>
        <v>3.2040051436000003</v>
      </c>
      <c r="X82" s="9"/>
      <c r="Y82" s="21">
        <v>1.4373800000000001</v>
      </c>
      <c r="Z82" s="21">
        <v>440.76799999999997</v>
      </c>
      <c r="AA82" s="21">
        <v>-1.0788000000000001E-2</v>
      </c>
      <c r="AB82" s="21">
        <v>72</v>
      </c>
      <c r="AC82" s="21">
        <v>1.4370700000000001</v>
      </c>
      <c r="AD82">
        <f t="shared" si="16"/>
        <v>10.788</v>
      </c>
      <c r="AE82">
        <f t="shared" si="17"/>
        <v>15.506455440000002</v>
      </c>
      <c r="AF82" s="9"/>
      <c r="AG82" s="21">
        <v>0.262604</v>
      </c>
      <c r="AH82" s="21">
        <v>497.44200000000001</v>
      </c>
      <c r="AI82" s="21">
        <v>-1.22162E-2</v>
      </c>
      <c r="AJ82" s="21">
        <v>72</v>
      </c>
      <c r="AK82" s="21">
        <v>0.26223800000000003</v>
      </c>
      <c r="AL82">
        <f t="shared" si="18"/>
        <v>12.216200000000001</v>
      </c>
      <c r="AM82">
        <f t="shared" si="19"/>
        <v>3.2080229848000004</v>
      </c>
      <c r="AP82" s="9"/>
      <c r="AQ82" s="21">
        <v>1.4373800000000001</v>
      </c>
      <c r="AR82" s="21">
        <v>654.13099999999997</v>
      </c>
      <c r="AS82" s="21">
        <v>-1.08124E-2</v>
      </c>
      <c r="AT82" s="21">
        <v>72</v>
      </c>
      <c r="AU82" s="21">
        <v>1.4364600000000001</v>
      </c>
      <c r="AV82">
        <f t="shared" si="20"/>
        <v>10.8124</v>
      </c>
      <c r="AW82">
        <f t="shared" si="21"/>
        <v>15.541527512000002</v>
      </c>
      <c r="AX82" s="9"/>
      <c r="AY82" s="21">
        <v>0.262604</v>
      </c>
      <c r="AZ82" s="21">
        <v>744.22699999999998</v>
      </c>
      <c r="BA82" s="21">
        <v>-1.24329E-2</v>
      </c>
      <c r="BB82" s="21">
        <v>72</v>
      </c>
      <c r="BC82" s="21">
        <v>0.26235999999999998</v>
      </c>
      <c r="BD82">
        <f t="shared" si="22"/>
        <v>12.4329</v>
      </c>
      <c r="BE82">
        <f t="shared" si="23"/>
        <v>3.2649292716000002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150.71600000000001</v>
      </c>
      <c r="I83" s="21">
        <v>-1.0974100000000001E-2</v>
      </c>
      <c r="J83" s="21">
        <v>73</v>
      </c>
      <c r="K83" s="21">
        <v>1.43188</v>
      </c>
      <c r="L83">
        <f t="shared" si="12"/>
        <v>10.9741</v>
      </c>
      <c r="M83">
        <f t="shared" si="13"/>
        <v>15.718642394</v>
      </c>
      <c r="N83" s="9"/>
      <c r="O83" s="21">
        <v>0.26763900000000002</v>
      </c>
      <c r="P83" s="21">
        <v>234.70099999999999</v>
      </c>
      <c r="Q83" s="21">
        <v>-1.2200900000000001E-2</v>
      </c>
      <c r="R83" s="21">
        <v>73</v>
      </c>
      <c r="S83" s="21">
        <v>0.267426</v>
      </c>
      <c r="T83">
        <f t="shared" si="14"/>
        <v>12.200900000000001</v>
      </c>
      <c r="U83">
        <f t="shared" si="15"/>
        <v>3.2654366751000006</v>
      </c>
      <c r="X83" s="9"/>
      <c r="Y83" s="21">
        <v>1.4323399999999999</v>
      </c>
      <c r="Z83" s="21">
        <v>440.86799999999999</v>
      </c>
      <c r="AA83" s="21">
        <v>-1.0788000000000001E-2</v>
      </c>
      <c r="AB83" s="21">
        <v>73</v>
      </c>
      <c r="AC83" s="21">
        <v>1.4315800000000001</v>
      </c>
      <c r="AD83">
        <f t="shared" si="16"/>
        <v>10.788</v>
      </c>
      <c r="AE83">
        <f t="shared" si="17"/>
        <v>15.45208392</v>
      </c>
      <c r="AF83" s="9"/>
      <c r="AG83" s="21">
        <v>0.26763900000000002</v>
      </c>
      <c r="AH83" s="21">
        <v>497.54300000000001</v>
      </c>
      <c r="AI83" s="21">
        <v>-1.22101E-2</v>
      </c>
      <c r="AJ83" s="21">
        <v>73</v>
      </c>
      <c r="AK83" s="21">
        <v>0.26736500000000002</v>
      </c>
      <c r="AL83">
        <f t="shared" si="18"/>
        <v>12.210100000000001</v>
      </c>
      <c r="AM83">
        <f t="shared" si="19"/>
        <v>3.2678989539000005</v>
      </c>
      <c r="AP83" s="9"/>
      <c r="AQ83" s="21">
        <v>1.4323399999999999</v>
      </c>
      <c r="AR83" s="21">
        <v>654.23199999999997</v>
      </c>
      <c r="AS83" s="21">
        <v>-1.08246E-2</v>
      </c>
      <c r="AT83" s="21">
        <v>73</v>
      </c>
      <c r="AU83" s="21">
        <v>1.4315800000000001</v>
      </c>
      <c r="AV83">
        <f t="shared" si="20"/>
        <v>10.8246</v>
      </c>
      <c r="AW83">
        <f t="shared" si="21"/>
        <v>15.504507563999999</v>
      </c>
      <c r="AX83" s="9"/>
      <c r="AY83" s="21">
        <v>0.26763900000000002</v>
      </c>
      <c r="AZ83" s="21">
        <v>744.327</v>
      </c>
      <c r="BA83" s="21">
        <v>-1.24268E-2</v>
      </c>
      <c r="BB83" s="21">
        <v>73</v>
      </c>
      <c r="BC83" s="21">
        <v>0.26739499999999999</v>
      </c>
      <c r="BD83">
        <f t="shared" si="22"/>
        <v>12.4268</v>
      </c>
      <c r="BE83">
        <f t="shared" si="23"/>
        <v>3.3258963252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150.81700000000001</v>
      </c>
      <c r="I84" s="21">
        <v>-1.0977199999999999E-2</v>
      </c>
      <c r="J84" s="21">
        <v>74</v>
      </c>
      <c r="K84" s="21">
        <v>1.42639</v>
      </c>
      <c r="L84">
        <f t="shared" si="12"/>
        <v>10.9772</v>
      </c>
      <c r="M84">
        <f t="shared" si="13"/>
        <v>15.667867332</v>
      </c>
      <c r="N84" s="9"/>
      <c r="O84" s="21">
        <v>0.272675</v>
      </c>
      <c r="P84" s="21">
        <v>234.80099999999999</v>
      </c>
      <c r="Q84" s="21">
        <v>-1.2185700000000001E-2</v>
      </c>
      <c r="R84" s="21">
        <v>74</v>
      </c>
      <c r="S84" s="21">
        <v>0.27243000000000001</v>
      </c>
      <c r="T84">
        <f t="shared" si="14"/>
        <v>12.185700000000001</v>
      </c>
      <c r="U84">
        <f t="shared" si="15"/>
        <v>3.3227357475000003</v>
      </c>
      <c r="X84" s="9"/>
      <c r="Y84" s="21">
        <v>1.4273100000000001</v>
      </c>
      <c r="Z84" s="21">
        <v>440.96899999999999</v>
      </c>
      <c r="AA84" s="21">
        <v>-1.0788000000000001E-2</v>
      </c>
      <c r="AB84" s="21">
        <v>74</v>
      </c>
      <c r="AC84" s="21">
        <v>1.42639</v>
      </c>
      <c r="AD84">
        <f t="shared" si="16"/>
        <v>10.788</v>
      </c>
      <c r="AE84">
        <f t="shared" si="17"/>
        <v>15.397820280000001</v>
      </c>
      <c r="AF84" s="9"/>
      <c r="AG84" s="21">
        <v>0.272675</v>
      </c>
      <c r="AH84" s="21">
        <v>497.64400000000001</v>
      </c>
      <c r="AI84" s="21">
        <v>-1.2197899999999999E-2</v>
      </c>
      <c r="AJ84" s="21">
        <v>74</v>
      </c>
      <c r="AK84" s="21">
        <v>0.27252199999999999</v>
      </c>
      <c r="AL84">
        <f t="shared" si="18"/>
        <v>12.197899999999999</v>
      </c>
      <c r="AM84">
        <f t="shared" si="19"/>
        <v>3.3260623824999995</v>
      </c>
      <c r="AP84" s="9"/>
      <c r="AQ84" s="21">
        <v>1.4273100000000001</v>
      </c>
      <c r="AR84" s="21">
        <v>654.33299999999997</v>
      </c>
      <c r="AS84" s="21">
        <v>-1.08185E-2</v>
      </c>
      <c r="AT84" s="21">
        <v>74</v>
      </c>
      <c r="AU84" s="21">
        <v>1.42639</v>
      </c>
      <c r="AV84">
        <f t="shared" si="20"/>
        <v>10.8185</v>
      </c>
      <c r="AW84">
        <f t="shared" si="21"/>
        <v>15.441353235000001</v>
      </c>
      <c r="AX84" s="9"/>
      <c r="AY84" s="21">
        <v>0.272675</v>
      </c>
      <c r="AZ84" s="21">
        <v>744.428</v>
      </c>
      <c r="BA84" s="21">
        <v>-1.2423699999999999E-2</v>
      </c>
      <c r="BB84" s="21">
        <v>74</v>
      </c>
      <c r="BC84" s="21">
        <v>0.27246100000000001</v>
      </c>
      <c r="BD84">
        <f t="shared" si="22"/>
        <v>12.4237</v>
      </c>
      <c r="BE84">
        <f t="shared" si="23"/>
        <v>3.3876323975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150.91800000000001</v>
      </c>
      <c r="I85" s="21">
        <v>-1.09619E-2</v>
      </c>
      <c r="J85" s="21">
        <v>75</v>
      </c>
      <c r="K85" s="21">
        <v>1.4215100000000001</v>
      </c>
      <c r="L85">
        <f t="shared" si="12"/>
        <v>10.9619</v>
      </c>
      <c r="M85">
        <f t="shared" si="13"/>
        <v>15.590781513</v>
      </c>
      <c r="N85" s="9"/>
      <c r="O85" s="21">
        <v>0.27771000000000001</v>
      </c>
      <c r="P85" s="21">
        <v>234.90199999999999</v>
      </c>
      <c r="Q85" s="21">
        <v>-1.21887E-2</v>
      </c>
      <c r="R85" s="21">
        <v>75</v>
      </c>
      <c r="S85" s="21">
        <v>0.27746599999999999</v>
      </c>
      <c r="T85">
        <f t="shared" si="14"/>
        <v>12.188700000000001</v>
      </c>
      <c r="U85">
        <f t="shared" si="15"/>
        <v>3.3849238770000003</v>
      </c>
      <c r="X85" s="9"/>
      <c r="Y85" s="21">
        <v>1.4222699999999999</v>
      </c>
      <c r="Z85" s="21">
        <v>441.07</v>
      </c>
      <c r="AA85" s="21">
        <v>-1.0788000000000001E-2</v>
      </c>
      <c r="AB85" s="21">
        <v>75</v>
      </c>
      <c r="AC85" s="21">
        <v>1.4221200000000001</v>
      </c>
      <c r="AD85">
        <f t="shared" si="16"/>
        <v>10.788</v>
      </c>
      <c r="AE85">
        <f t="shared" si="17"/>
        <v>15.343448759999999</v>
      </c>
      <c r="AF85" s="9"/>
      <c r="AG85" s="21">
        <v>0.27771000000000001</v>
      </c>
      <c r="AH85" s="21">
        <v>497.745</v>
      </c>
      <c r="AI85" s="21">
        <v>-1.21948E-2</v>
      </c>
      <c r="AJ85" s="21">
        <v>75</v>
      </c>
      <c r="AK85" s="21">
        <v>0.27746599999999999</v>
      </c>
      <c r="AL85">
        <f t="shared" si="18"/>
        <v>12.194800000000001</v>
      </c>
      <c r="AM85">
        <f t="shared" si="19"/>
        <v>3.3866179080000003</v>
      </c>
      <c r="AP85" s="9"/>
      <c r="AQ85" s="21">
        <v>1.4222699999999999</v>
      </c>
      <c r="AR85" s="21">
        <v>654.43299999999999</v>
      </c>
      <c r="AS85" s="21">
        <v>-1.08307E-2</v>
      </c>
      <c r="AT85" s="21">
        <v>75</v>
      </c>
      <c r="AU85" s="21">
        <v>1.4212</v>
      </c>
      <c r="AV85">
        <f t="shared" si="20"/>
        <v>10.8307</v>
      </c>
      <c r="AW85">
        <f t="shared" si="21"/>
        <v>15.404179688999999</v>
      </c>
      <c r="AX85" s="9"/>
      <c r="AY85" s="21">
        <v>0.27771000000000001</v>
      </c>
      <c r="AZ85" s="21">
        <v>744.529</v>
      </c>
      <c r="BA85" s="21">
        <v>-1.2423699999999999E-2</v>
      </c>
      <c r="BB85" s="21">
        <v>75</v>
      </c>
      <c r="BC85" s="21">
        <v>0.277557</v>
      </c>
      <c r="BD85">
        <f t="shared" si="22"/>
        <v>12.4237</v>
      </c>
      <c r="BE85">
        <f t="shared" si="23"/>
        <v>3.450185727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151.018</v>
      </c>
      <c r="I86" s="21">
        <v>-1.0968E-2</v>
      </c>
      <c r="J86" s="21">
        <v>76</v>
      </c>
      <c r="K86" s="21">
        <v>1.41632</v>
      </c>
      <c r="L86">
        <f t="shared" si="12"/>
        <v>10.968</v>
      </c>
      <c r="M86">
        <f t="shared" si="13"/>
        <v>15.54428832</v>
      </c>
      <c r="N86" s="9"/>
      <c r="O86" s="21">
        <v>0.28274500000000002</v>
      </c>
      <c r="P86" s="21">
        <v>235.00299999999999</v>
      </c>
      <c r="Q86" s="21">
        <v>-1.21796E-2</v>
      </c>
      <c r="R86" s="21">
        <v>76</v>
      </c>
      <c r="S86" s="21">
        <v>0.28244000000000002</v>
      </c>
      <c r="T86">
        <f t="shared" si="14"/>
        <v>12.179600000000001</v>
      </c>
      <c r="U86">
        <f t="shared" si="15"/>
        <v>3.4437210020000006</v>
      </c>
      <c r="X86" s="9"/>
      <c r="Y86" s="21">
        <v>1.4172400000000001</v>
      </c>
      <c r="Z86" s="21">
        <v>441.17</v>
      </c>
      <c r="AA86" s="21">
        <v>-1.0794099999999999E-2</v>
      </c>
      <c r="AB86" s="21">
        <v>76</v>
      </c>
      <c r="AC86" s="21">
        <v>1.4166300000000001</v>
      </c>
      <c r="AD86">
        <f t="shared" si="16"/>
        <v>10.794099999999998</v>
      </c>
      <c r="AE86">
        <f t="shared" si="17"/>
        <v>15.297830283999998</v>
      </c>
      <c r="AF86" s="9"/>
      <c r="AG86" s="21">
        <v>0.28274500000000002</v>
      </c>
      <c r="AH86" s="21">
        <v>497.84500000000003</v>
      </c>
      <c r="AI86" s="21">
        <v>-1.21887E-2</v>
      </c>
      <c r="AJ86" s="21">
        <v>76</v>
      </c>
      <c r="AK86" s="21">
        <v>0.282501</v>
      </c>
      <c r="AL86">
        <f t="shared" si="18"/>
        <v>12.188700000000001</v>
      </c>
      <c r="AM86">
        <f t="shared" si="19"/>
        <v>3.4462939815000007</v>
      </c>
      <c r="AP86" s="9"/>
      <c r="AQ86" s="21">
        <v>1.4172400000000001</v>
      </c>
      <c r="AR86" s="21">
        <v>654.53399999999999</v>
      </c>
      <c r="AS86" s="21">
        <v>-1.08398E-2</v>
      </c>
      <c r="AT86" s="21">
        <v>76</v>
      </c>
      <c r="AU86" s="21">
        <v>1.41693</v>
      </c>
      <c r="AV86">
        <f t="shared" si="20"/>
        <v>10.8398</v>
      </c>
      <c r="AW86">
        <f t="shared" si="21"/>
        <v>15.362598152</v>
      </c>
      <c r="AX86" s="9"/>
      <c r="AY86" s="21">
        <v>0.28274500000000002</v>
      </c>
      <c r="AZ86" s="21">
        <v>744.62900000000002</v>
      </c>
      <c r="BA86" s="21">
        <v>-1.24054E-2</v>
      </c>
      <c r="BB86" s="21">
        <v>76</v>
      </c>
      <c r="BC86" s="21">
        <v>0.28240999999999999</v>
      </c>
      <c r="BD86">
        <f t="shared" si="22"/>
        <v>12.4054</v>
      </c>
      <c r="BE86">
        <f t="shared" si="23"/>
        <v>3.5075648230000005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151.119</v>
      </c>
      <c r="I87" s="21">
        <v>-1.0968E-2</v>
      </c>
      <c r="J87" s="21">
        <v>77</v>
      </c>
      <c r="K87" s="21">
        <v>1.41144</v>
      </c>
      <c r="L87">
        <f t="shared" si="12"/>
        <v>10.968</v>
      </c>
      <c r="M87">
        <f t="shared" si="13"/>
        <v>15.489009599999999</v>
      </c>
      <c r="N87" s="9"/>
      <c r="O87" s="21">
        <v>0.28778100000000001</v>
      </c>
      <c r="P87" s="21">
        <v>235.10300000000001</v>
      </c>
      <c r="Q87" s="21">
        <v>-1.21765E-2</v>
      </c>
      <c r="R87" s="21">
        <v>77</v>
      </c>
      <c r="S87" s="21">
        <v>0.28753699999999999</v>
      </c>
      <c r="T87">
        <f t="shared" si="14"/>
        <v>12.176499999999999</v>
      </c>
      <c r="U87">
        <f t="shared" si="15"/>
        <v>3.5041653464999998</v>
      </c>
      <c r="X87" s="9"/>
      <c r="Y87" s="21">
        <v>1.4121999999999999</v>
      </c>
      <c r="Z87" s="21">
        <v>441.27100000000002</v>
      </c>
      <c r="AA87" s="21">
        <v>-1.0794099999999999E-2</v>
      </c>
      <c r="AB87" s="21">
        <v>77</v>
      </c>
      <c r="AC87" s="21">
        <v>1.41144</v>
      </c>
      <c r="AD87">
        <f t="shared" si="16"/>
        <v>10.794099999999998</v>
      </c>
      <c r="AE87">
        <f t="shared" si="17"/>
        <v>15.243428019999996</v>
      </c>
      <c r="AF87" s="9"/>
      <c r="AG87" s="21">
        <v>0.28778100000000001</v>
      </c>
      <c r="AH87" s="21">
        <v>497.94600000000003</v>
      </c>
      <c r="AI87" s="21">
        <v>-1.2191799999999999E-2</v>
      </c>
      <c r="AJ87" s="21">
        <v>77</v>
      </c>
      <c r="AK87" s="21">
        <v>0.28756700000000002</v>
      </c>
      <c r="AL87">
        <f t="shared" si="18"/>
        <v>12.191799999999999</v>
      </c>
      <c r="AM87">
        <f t="shared" si="19"/>
        <v>3.5085683957999998</v>
      </c>
      <c r="AP87" s="9"/>
      <c r="AQ87" s="21">
        <v>1.4121999999999999</v>
      </c>
      <c r="AR87" s="21">
        <v>654.63499999999999</v>
      </c>
      <c r="AS87" s="21">
        <v>-1.08459E-2</v>
      </c>
      <c r="AT87" s="21">
        <v>77</v>
      </c>
      <c r="AU87" s="21">
        <v>1.41144</v>
      </c>
      <c r="AV87">
        <f t="shared" si="20"/>
        <v>10.8459</v>
      </c>
      <c r="AW87">
        <f t="shared" si="21"/>
        <v>15.31657998</v>
      </c>
      <c r="AX87" s="9"/>
      <c r="AY87" s="21">
        <v>0.28778100000000001</v>
      </c>
      <c r="AZ87" s="21">
        <v>744.73</v>
      </c>
      <c r="BA87" s="21">
        <v>-1.24054E-2</v>
      </c>
      <c r="BB87" s="21">
        <v>77</v>
      </c>
      <c r="BC87" s="21">
        <v>0.28768899999999997</v>
      </c>
      <c r="BD87">
        <f t="shared" si="22"/>
        <v>12.4054</v>
      </c>
      <c r="BE87">
        <f t="shared" si="23"/>
        <v>3.5700384174000002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151.22</v>
      </c>
      <c r="I88" s="21">
        <v>-1.09833E-2</v>
      </c>
      <c r="J88" s="21">
        <v>78</v>
      </c>
      <c r="K88" s="21">
        <v>1.40594</v>
      </c>
      <c r="L88">
        <f t="shared" si="12"/>
        <v>10.9833</v>
      </c>
      <c r="M88">
        <f t="shared" si="13"/>
        <v>15.455370261000001</v>
      </c>
      <c r="N88" s="9"/>
      <c r="O88" s="21">
        <v>0.29281600000000002</v>
      </c>
      <c r="P88" s="21">
        <v>235.20400000000001</v>
      </c>
      <c r="Q88" s="21">
        <v>-1.21704E-2</v>
      </c>
      <c r="R88" s="21">
        <v>78</v>
      </c>
      <c r="S88" s="21">
        <v>0.29251100000000002</v>
      </c>
      <c r="T88">
        <f t="shared" si="14"/>
        <v>12.170399999999999</v>
      </c>
      <c r="U88">
        <f t="shared" si="15"/>
        <v>3.5636878464000001</v>
      </c>
      <c r="X88" s="9"/>
      <c r="Y88" s="21">
        <v>1.40717</v>
      </c>
      <c r="Z88" s="21">
        <v>441.37200000000001</v>
      </c>
      <c r="AA88" s="21">
        <v>-1.07971E-2</v>
      </c>
      <c r="AB88" s="21">
        <v>78</v>
      </c>
      <c r="AC88" s="21">
        <v>1.40594</v>
      </c>
      <c r="AD88">
        <f t="shared" si="16"/>
        <v>10.7971</v>
      </c>
      <c r="AE88">
        <f t="shared" si="17"/>
        <v>15.193355207000002</v>
      </c>
      <c r="AF88" s="9"/>
      <c r="AG88" s="21">
        <v>0.29281600000000002</v>
      </c>
      <c r="AH88" s="21">
        <v>498.04700000000003</v>
      </c>
      <c r="AI88" s="21">
        <v>-1.21796E-2</v>
      </c>
      <c r="AJ88" s="21">
        <v>78</v>
      </c>
      <c r="AK88" s="21">
        <v>0.292603</v>
      </c>
      <c r="AL88">
        <f t="shared" si="18"/>
        <v>12.179600000000001</v>
      </c>
      <c r="AM88">
        <f t="shared" si="19"/>
        <v>3.5663817536000004</v>
      </c>
      <c r="AP88" s="9"/>
      <c r="AQ88" s="21">
        <v>1.40717</v>
      </c>
      <c r="AR88" s="21">
        <v>654.73500000000001</v>
      </c>
      <c r="AS88" s="21">
        <v>-1.08521E-2</v>
      </c>
      <c r="AT88" s="21">
        <v>78</v>
      </c>
      <c r="AU88" s="21">
        <v>1.40656</v>
      </c>
      <c r="AV88">
        <f t="shared" si="20"/>
        <v>10.8521</v>
      </c>
      <c r="AW88">
        <f t="shared" si="21"/>
        <v>15.270749557</v>
      </c>
      <c r="AX88" s="9"/>
      <c r="AY88" s="21">
        <v>0.29281600000000002</v>
      </c>
      <c r="AZ88" s="21">
        <v>744.83100000000002</v>
      </c>
      <c r="BA88" s="21">
        <v>-1.23932E-2</v>
      </c>
      <c r="BB88" s="21">
        <v>78</v>
      </c>
      <c r="BC88" s="21">
        <v>0.29251100000000002</v>
      </c>
      <c r="BD88">
        <f t="shared" si="22"/>
        <v>12.3932</v>
      </c>
      <c r="BE88">
        <f t="shared" si="23"/>
        <v>3.6289272512000004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151.32</v>
      </c>
      <c r="I89" s="21">
        <v>-1.09619E-2</v>
      </c>
      <c r="J89" s="21">
        <v>79</v>
      </c>
      <c r="K89" s="21">
        <v>1.40167</v>
      </c>
      <c r="L89">
        <f t="shared" si="12"/>
        <v>10.9619</v>
      </c>
      <c r="M89">
        <f t="shared" si="13"/>
        <v>15.370008847000001</v>
      </c>
      <c r="N89" s="9"/>
      <c r="O89" s="21">
        <v>0.29785200000000001</v>
      </c>
      <c r="P89" s="21">
        <v>235.30500000000001</v>
      </c>
      <c r="Q89" s="21">
        <v>-1.21399E-2</v>
      </c>
      <c r="R89" s="21">
        <v>79</v>
      </c>
      <c r="S89" s="21">
        <v>0.297516</v>
      </c>
      <c r="T89">
        <f t="shared" si="14"/>
        <v>12.139900000000001</v>
      </c>
      <c r="U89">
        <f t="shared" si="15"/>
        <v>3.6158934948000003</v>
      </c>
      <c r="X89" s="9"/>
      <c r="Y89" s="21">
        <v>1.4021300000000001</v>
      </c>
      <c r="Z89" s="21">
        <v>441.47199999999998</v>
      </c>
      <c r="AA89" s="21">
        <v>-1.0803200000000001E-2</v>
      </c>
      <c r="AB89" s="21">
        <v>79</v>
      </c>
      <c r="AC89" s="21">
        <v>1.40167</v>
      </c>
      <c r="AD89">
        <f t="shared" si="16"/>
        <v>10.8032</v>
      </c>
      <c r="AE89">
        <f t="shared" si="17"/>
        <v>15.147490816000001</v>
      </c>
      <c r="AF89" s="9"/>
      <c r="AG89" s="21">
        <v>0.29785200000000001</v>
      </c>
      <c r="AH89" s="21">
        <v>498.14699999999999</v>
      </c>
      <c r="AI89" s="21">
        <v>-1.21735E-2</v>
      </c>
      <c r="AJ89" s="21">
        <v>79</v>
      </c>
      <c r="AK89" s="21">
        <v>0.29757699999999998</v>
      </c>
      <c r="AL89">
        <f t="shared" si="18"/>
        <v>12.173500000000001</v>
      </c>
      <c r="AM89">
        <f t="shared" si="19"/>
        <v>3.6259013220000003</v>
      </c>
      <c r="AP89" s="9"/>
      <c r="AQ89" s="21">
        <v>1.4021300000000001</v>
      </c>
      <c r="AR89" s="21">
        <v>654.83600000000001</v>
      </c>
      <c r="AS89" s="21">
        <v>-1.0855099999999999E-2</v>
      </c>
      <c r="AT89" s="21">
        <v>79</v>
      </c>
      <c r="AU89" s="21">
        <v>1.40198</v>
      </c>
      <c r="AV89">
        <f t="shared" si="20"/>
        <v>10.8551</v>
      </c>
      <c r="AW89">
        <f t="shared" si="21"/>
        <v>15.220261363000001</v>
      </c>
      <c r="AX89" s="9"/>
      <c r="AY89" s="21">
        <v>0.29785200000000001</v>
      </c>
      <c r="AZ89" s="21">
        <v>744.93200000000002</v>
      </c>
      <c r="BA89" s="21">
        <v>-1.23962E-2</v>
      </c>
      <c r="BB89" s="21">
        <v>79</v>
      </c>
      <c r="BC89" s="21">
        <v>0.29763800000000001</v>
      </c>
      <c r="BD89">
        <f t="shared" si="22"/>
        <v>12.3962</v>
      </c>
      <c r="BE89">
        <f t="shared" si="23"/>
        <v>3.6922329624000003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151.42099999999999</v>
      </c>
      <c r="I90" s="21">
        <v>-1.0974100000000001E-2</v>
      </c>
      <c r="J90" s="21">
        <v>80</v>
      </c>
      <c r="K90" s="21">
        <v>1.39618</v>
      </c>
      <c r="L90">
        <f t="shared" si="12"/>
        <v>10.9741</v>
      </c>
      <c r="M90">
        <f t="shared" si="13"/>
        <v>15.331805369</v>
      </c>
      <c r="N90" s="9"/>
      <c r="O90" s="21">
        <v>0.30288700000000002</v>
      </c>
      <c r="P90" s="21">
        <v>235.40600000000001</v>
      </c>
      <c r="Q90" s="21">
        <v>-1.21338E-2</v>
      </c>
      <c r="R90" s="21">
        <v>80</v>
      </c>
      <c r="S90" s="21">
        <v>0.30258200000000002</v>
      </c>
      <c r="T90">
        <f t="shared" si="14"/>
        <v>12.133800000000001</v>
      </c>
      <c r="U90">
        <f t="shared" si="15"/>
        <v>3.6751702806000006</v>
      </c>
      <c r="X90" s="9"/>
      <c r="Y90" s="21">
        <v>1.3970899999999999</v>
      </c>
      <c r="Z90" s="21">
        <v>441.57299999999998</v>
      </c>
      <c r="AA90" s="21">
        <v>-1.0800199999999999E-2</v>
      </c>
      <c r="AB90" s="21">
        <v>80</v>
      </c>
      <c r="AC90" s="21">
        <v>1.39618</v>
      </c>
      <c r="AD90">
        <f t="shared" si="16"/>
        <v>10.8002</v>
      </c>
      <c r="AE90">
        <f t="shared" si="17"/>
        <v>15.088851417999999</v>
      </c>
      <c r="AF90" s="9"/>
      <c r="AG90" s="21">
        <v>0.30288700000000002</v>
      </c>
      <c r="AH90" s="21">
        <v>498.24799999999999</v>
      </c>
      <c r="AI90" s="21">
        <v>-1.21674E-2</v>
      </c>
      <c r="AJ90" s="21">
        <v>80</v>
      </c>
      <c r="AK90" s="21">
        <v>0.30270399999999997</v>
      </c>
      <c r="AL90">
        <f t="shared" si="18"/>
        <v>12.167400000000001</v>
      </c>
      <c r="AM90">
        <f t="shared" si="19"/>
        <v>3.6853472838000005</v>
      </c>
      <c r="AP90" s="9"/>
      <c r="AQ90" s="21">
        <v>1.3970899999999999</v>
      </c>
      <c r="AR90" s="21">
        <v>654.93700000000001</v>
      </c>
      <c r="AS90" s="21">
        <v>-1.0870400000000001E-2</v>
      </c>
      <c r="AT90" s="21">
        <v>80</v>
      </c>
      <c r="AU90" s="21">
        <v>1.3964799999999999</v>
      </c>
      <c r="AV90">
        <f t="shared" si="20"/>
        <v>10.8704</v>
      </c>
      <c r="AW90">
        <f t="shared" si="21"/>
        <v>15.186927136</v>
      </c>
      <c r="AX90" s="9"/>
      <c r="AY90" s="21">
        <v>0.30288700000000002</v>
      </c>
      <c r="AZ90" s="21">
        <v>745.03200000000004</v>
      </c>
      <c r="BA90" s="21">
        <v>-1.23932E-2</v>
      </c>
      <c r="BB90" s="21">
        <v>80</v>
      </c>
      <c r="BC90" s="21">
        <v>0.30261199999999999</v>
      </c>
      <c r="BD90">
        <f t="shared" si="22"/>
        <v>12.3932</v>
      </c>
      <c r="BE90">
        <f t="shared" si="23"/>
        <v>3.7537391684000001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151.52199999999999</v>
      </c>
      <c r="I91" s="21">
        <v>-1.09833E-2</v>
      </c>
      <c r="J91" s="21">
        <v>81</v>
      </c>
      <c r="K91" s="21">
        <v>1.3915999999999999</v>
      </c>
      <c r="L91">
        <f t="shared" si="12"/>
        <v>10.9833</v>
      </c>
      <c r="M91">
        <f t="shared" si="13"/>
        <v>15.289412598</v>
      </c>
      <c r="N91" s="9"/>
      <c r="O91" s="21">
        <v>0.30792199999999997</v>
      </c>
      <c r="P91" s="21">
        <v>235.506</v>
      </c>
      <c r="Q91" s="21">
        <v>-1.21338E-2</v>
      </c>
      <c r="R91" s="21">
        <v>81</v>
      </c>
      <c r="S91" s="21">
        <v>0.30767800000000001</v>
      </c>
      <c r="T91">
        <f t="shared" si="14"/>
        <v>12.133800000000001</v>
      </c>
      <c r="U91">
        <f t="shared" si="15"/>
        <v>3.7362639635999999</v>
      </c>
      <c r="X91" s="9"/>
      <c r="Y91" s="21">
        <v>1.3920600000000001</v>
      </c>
      <c r="Z91" s="21">
        <v>441.67399999999998</v>
      </c>
      <c r="AA91" s="21">
        <v>-1.0809300000000001E-2</v>
      </c>
      <c r="AB91" s="21">
        <v>81</v>
      </c>
      <c r="AC91" s="21">
        <v>1.3913</v>
      </c>
      <c r="AD91">
        <f t="shared" si="16"/>
        <v>10.8093</v>
      </c>
      <c r="AE91">
        <f t="shared" si="17"/>
        <v>15.047194158000002</v>
      </c>
      <c r="AF91" s="9"/>
      <c r="AG91" s="21">
        <v>0.30792199999999997</v>
      </c>
      <c r="AH91" s="21">
        <v>498.34899999999999</v>
      </c>
      <c r="AI91" s="21">
        <v>-1.2158199999999999E-2</v>
      </c>
      <c r="AJ91" s="21">
        <v>81</v>
      </c>
      <c r="AK91" s="21">
        <v>0.30761699999999997</v>
      </c>
      <c r="AL91">
        <f t="shared" si="18"/>
        <v>12.158199999999999</v>
      </c>
      <c r="AM91">
        <f t="shared" si="19"/>
        <v>3.7437772603999995</v>
      </c>
      <c r="AP91" s="9"/>
      <c r="AQ91" s="21">
        <v>1.3920600000000001</v>
      </c>
      <c r="AR91" s="21">
        <v>655.03800000000001</v>
      </c>
      <c r="AS91" s="21">
        <v>-1.08795E-2</v>
      </c>
      <c r="AT91" s="21">
        <v>81</v>
      </c>
      <c r="AU91" s="21">
        <v>1.3913</v>
      </c>
      <c r="AV91">
        <f t="shared" si="20"/>
        <v>10.8795</v>
      </c>
      <c r="AW91">
        <f t="shared" si="21"/>
        <v>15.144916770000002</v>
      </c>
      <c r="AX91" s="9"/>
      <c r="AY91" s="21">
        <v>0.30792199999999997</v>
      </c>
      <c r="AZ91" s="21">
        <v>745.13300000000004</v>
      </c>
      <c r="BA91" s="21">
        <v>-1.2383999999999999E-2</v>
      </c>
      <c r="BB91" s="21">
        <v>81</v>
      </c>
      <c r="BC91" s="21">
        <v>0.30764799999999998</v>
      </c>
      <c r="BD91">
        <f t="shared" si="22"/>
        <v>12.383999999999999</v>
      </c>
      <c r="BE91">
        <f t="shared" si="23"/>
        <v>3.8133060479999994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151.62299999999999</v>
      </c>
      <c r="I92" s="21">
        <v>-1.0980200000000001E-2</v>
      </c>
      <c r="J92" s="21">
        <v>82</v>
      </c>
      <c r="K92" s="21">
        <v>1.3864099999999999</v>
      </c>
      <c r="L92">
        <f t="shared" si="12"/>
        <v>10.9802</v>
      </c>
      <c r="M92">
        <f t="shared" si="13"/>
        <v>15.229757004</v>
      </c>
      <c r="N92" s="9"/>
      <c r="O92" s="21">
        <v>0.31295800000000001</v>
      </c>
      <c r="P92" s="21">
        <v>235.607</v>
      </c>
      <c r="Q92" s="21">
        <v>-1.21277E-2</v>
      </c>
      <c r="R92" s="21">
        <v>82</v>
      </c>
      <c r="S92" s="21">
        <v>0.31277500000000003</v>
      </c>
      <c r="T92">
        <f t="shared" si="14"/>
        <v>12.127700000000001</v>
      </c>
      <c r="U92">
        <f t="shared" si="15"/>
        <v>3.7954607366000004</v>
      </c>
      <c r="X92" s="9"/>
      <c r="Y92" s="21">
        <v>1.3870199999999999</v>
      </c>
      <c r="Z92" s="21">
        <v>441.77499999999998</v>
      </c>
      <c r="AA92" s="21">
        <v>-1.08246E-2</v>
      </c>
      <c r="AB92" s="21">
        <v>82</v>
      </c>
      <c r="AC92" s="21">
        <v>1.3870199999999999</v>
      </c>
      <c r="AD92">
        <f t="shared" si="16"/>
        <v>10.8246</v>
      </c>
      <c r="AE92">
        <f t="shared" si="17"/>
        <v>15.013936692</v>
      </c>
      <c r="AF92" s="9"/>
      <c r="AG92" s="21">
        <v>0.31295800000000001</v>
      </c>
      <c r="AH92" s="21">
        <v>498.45</v>
      </c>
      <c r="AI92" s="21">
        <v>-1.21613E-2</v>
      </c>
      <c r="AJ92" s="21">
        <v>82</v>
      </c>
      <c r="AK92" s="21">
        <v>0.31268299999999999</v>
      </c>
      <c r="AL92">
        <f t="shared" si="18"/>
        <v>12.161300000000001</v>
      </c>
      <c r="AM92">
        <f t="shared" si="19"/>
        <v>3.8059761254000004</v>
      </c>
      <c r="AP92" s="9"/>
      <c r="AQ92" s="21">
        <v>1.3870199999999999</v>
      </c>
      <c r="AR92" s="21">
        <v>655.13800000000003</v>
      </c>
      <c r="AS92" s="21">
        <v>-1.0882599999999999E-2</v>
      </c>
      <c r="AT92" s="21">
        <v>82</v>
      </c>
      <c r="AU92" s="21">
        <v>1.38672</v>
      </c>
      <c r="AV92">
        <f t="shared" si="20"/>
        <v>10.8826</v>
      </c>
      <c r="AW92">
        <f t="shared" si="21"/>
        <v>15.094383852</v>
      </c>
      <c r="AX92" s="9"/>
      <c r="AY92" s="21">
        <v>0.31295800000000001</v>
      </c>
      <c r="AZ92" s="21">
        <v>745.23400000000004</v>
      </c>
      <c r="BA92" s="21">
        <v>-1.23871E-2</v>
      </c>
      <c r="BB92" s="21">
        <v>82</v>
      </c>
      <c r="BC92" s="21">
        <v>0.31274400000000002</v>
      </c>
      <c r="BD92">
        <f t="shared" si="22"/>
        <v>12.3871</v>
      </c>
      <c r="BE92">
        <f t="shared" si="23"/>
        <v>3.8766420418000003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151.72300000000001</v>
      </c>
      <c r="I93" s="21">
        <v>-1.09985E-2</v>
      </c>
      <c r="J93" s="21">
        <v>83</v>
      </c>
      <c r="K93" s="21">
        <v>1.3809199999999999</v>
      </c>
      <c r="L93">
        <f t="shared" si="12"/>
        <v>10.9985</v>
      </c>
      <c r="M93">
        <f t="shared" si="13"/>
        <v>15.199817015000001</v>
      </c>
      <c r="N93" s="9"/>
      <c r="O93" s="21">
        <v>0.31799300000000003</v>
      </c>
      <c r="P93" s="21">
        <v>235.708</v>
      </c>
      <c r="Q93" s="21">
        <v>-1.21216E-2</v>
      </c>
      <c r="R93" s="21">
        <v>83</v>
      </c>
      <c r="S93" s="21">
        <v>0.317749</v>
      </c>
      <c r="T93">
        <f t="shared" si="14"/>
        <v>12.121599999999999</v>
      </c>
      <c r="U93">
        <f t="shared" si="15"/>
        <v>3.8545839488000002</v>
      </c>
      <c r="X93" s="9"/>
      <c r="Y93" s="21">
        <v>1.3819900000000001</v>
      </c>
      <c r="Z93" s="21">
        <v>441.875</v>
      </c>
      <c r="AA93" s="21">
        <v>-1.08276E-2</v>
      </c>
      <c r="AB93" s="21">
        <v>83</v>
      </c>
      <c r="AC93" s="21">
        <v>1.38184</v>
      </c>
      <c r="AD93">
        <f t="shared" si="16"/>
        <v>10.8276</v>
      </c>
      <c r="AE93">
        <f t="shared" si="17"/>
        <v>14.963634924000001</v>
      </c>
      <c r="AF93" s="9"/>
      <c r="AG93" s="21">
        <v>0.31799300000000003</v>
      </c>
      <c r="AH93" s="21">
        <v>498.55</v>
      </c>
      <c r="AI93" s="21">
        <v>-1.21613E-2</v>
      </c>
      <c r="AJ93" s="21">
        <v>83</v>
      </c>
      <c r="AK93" s="21">
        <v>0.31778000000000001</v>
      </c>
      <c r="AL93">
        <f t="shared" si="18"/>
        <v>12.161300000000001</v>
      </c>
      <c r="AM93">
        <f t="shared" si="19"/>
        <v>3.8672082709000004</v>
      </c>
      <c r="AP93" s="9"/>
      <c r="AQ93" s="21">
        <v>1.3819900000000001</v>
      </c>
      <c r="AR93" s="21">
        <v>655.23900000000003</v>
      </c>
      <c r="AS93" s="21">
        <v>-1.0891700000000001E-2</v>
      </c>
      <c r="AT93" s="21">
        <v>83</v>
      </c>
      <c r="AU93" s="21">
        <v>1.3809199999999999</v>
      </c>
      <c r="AV93">
        <f t="shared" si="20"/>
        <v>10.8917</v>
      </c>
      <c r="AW93">
        <f t="shared" si="21"/>
        <v>15.052220483000001</v>
      </c>
      <c r="AX93" s="9"/>
      <c r="AY93" s="21">
        <v>0.31799300000000003</v>
      </c>
      <c r="AZ93" s="21">
        <v>745.33399999999995</v>
      </c>
      <c r="BA93" s="21">
        <v>-1.2368799999999999E-2</v>
      </c>
      <c r="BB93" s="21">
        <v>83</v>
      </c>
      <c r="BC93" s="21">
        <v>0.31771899999999997</v>
      </c>
      <c r="BD93">
        <f t="shared" si="22"/>
        <v>12.368799999999998</v>
      </c>
      <c r="BE93">
        <f t="shared" si="23"/>
        <v>3.9331918183999997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151.82400000000001</v>
      </c>
      <c r="I94" s="21">
        <v>-1.10046E-2</v>
      </c>
      <c r="J94" s="21">
        <v>84</v>
      </c>
      <c r="K94" s="21">
        <v>1.3760399999999999</v>
      </c>
      <c r="L94">
        <f t="shared" si="12"/>
        <v>11.0046</v>
      </c>
      <c r="M94">
        <f t="shared" si="13"/>
        <v>15.152783969999998</v>
      </c>
      <c r="N94" s="9"/>
      <c r="O94" s="21">
        <v>0.32302900000000001</v>
      </c>
      <c r="P94" s="21">
        <v>235.80799999999999</v>
      </c>
      <c r="Q94" s="21">
        <v>-1.2118500000000001E-2</v>
      </c>
      <c r="R94" s="21">
        <v>84</v>
      </c>
      <c r="S94" s="21">
        <v>0.32272299999999998</v>
      </c>
      <c r="T94">
        <f t="shared" si="14"/>
        <v>12.118500000000001</v>
      </c>
      <c r="U94">
        <f t="shared" si="15"/>
        <v>3.9146269365000004</v>
      </c>
      <c r="X94" s="9"/>
      <c r="Y94" s="21">
        <v>1.3769499999999999</v>
      </c>
      <c r="Z94" s="21">
        <v>441.976</v>
      </c>
      <c r="AA94" s="21">
        <v>-1.08307E-2</v>
      </c>
      <c r="AB94" s="21">
        <v>84</v>
      </c>
      <c r="AC94" s="21">
        <v>1.3760399999999999</v>
      </c>
      <c r="AD94">
        <f t="shared" si="16"/>
        <v>10.8307</v>
      </c>
      <c r="AE94">
        <f t="shared" si="17"/>
        <v>14.913332364999999</v>
      </c>
      <c r="AF94" s="9"/>
      <c r="AG94" s="21">
        <v>0.32302900000000001</v>
      </c>
      <c r="AH94" s="21">
        <v>498.65100000000001</v>
      </c>
      <c r="AI94" s="21">
        <v>-1.21613E-2</v>
      </c>
      <c r="AJ94" s="21">
        <v>84</v>
      </c>
      <c r="AK94" s="21">
        <v>0.32278400000000002</v>
      </c>
      <c r="AL94">
        <f t="shared" si="18"/>
        <v>12.161300000000001</v>
      </c>
      <c r="AM94">
        <f t="shared" si="19"/>
        <v>3.9284525777000003</v>
      </c>
      <c r="AP94" s="9"/>
      <c r="AQ94" s="21">
        <v>1.3769499999999999</v>
      </c>
      <c r="AR94" s="21">
        <v>655.34</v>
      </c>
      <c r="AS94" s="21">
        <v>-1.0897799999999999E-2</v>
      </c>
      <c r="AT94" s="21">
        <v>84</v>
      </c>
      <c r="AU94" s="21">
        <v>1.3760399999999999</v>
      </c>
      <c r="AV94">
        <f t="shared" si="20"/>
        <v>10.897799999999998</v>
      </c>
      <c r="AW94">
        <f t="shared" si="21"/>
        <v>15.005725709999997</v>
      </c>
      <c r="AX94" s="9"/>
      <c r="AY94" s="21">
        <v>0.32302900000000001</v>
      </c>
      <c r="AZ94" s="21">
        <v>745.43499999999995</v>
      </c>
      <c r="BA94" s="21">
        <v>-1.23657E-2</v>
      </c>
      <c r="BB94" s="21">
        <v>84</v>
      </c>
      <c r="BC94" s="21">
        <v>0.32272299999999998</v>
      </c>
      <c r="BD94">
        <f t="shared" si="22"/>
        <v>12.3657</v>
      </c>
      <c r="BE94">
        <f t="shared" si="23"/>
        <v>3.9944797053000003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151.92500000000001</v>
      </c>
      <c r="I95" s="21">
        <v>-1.10016E-2</v>
      </c>
      <c r="J95" s="21">
        <v>85</v>
      </c>
      <c r="K95" s="21">
        <v>1.3708499999999999</v>
      </c>
      <c r="L95">
        <f t="shared" si="12"/>
        <v>11.0016</v>
      </c>
      <c r="M95">
        <f t="shared" si="13"/>
        <v>15.093315071999999</v>
      </c>
      <c r="N95" s="9"/>
      <c r="O95" s="21">
        <v>0.32806400000000002</v>
      </c>
      <c r="P95" s="21">
        <v>235.90899999999999</v>
      </c>
      <c r="Q95" s="21">
        <v>-1.2118500000000001E-2</v>
      </c>
      <c r="R95" s="21">
        <v>85</v>
      </c>
      <c r="S95" s="21">
        <v>0.32782</v>
      </c>
      <c r="T95">
        <f t="shared" si="14"/>
        <v>12.118500000000001</v>
      </c>
      <c r="U95">
        <f t="shared" si="15"/>
        <v>3.9756435840000006</v>
      </c>
      <c r="X95" s="9"/>
      <c r="Y95" s="21">
        <v>1.37192</v>
      </c>
      <c r="Z95" s="21">
        <v>442.077</v>
      </c>
      <c r="AA95" s="21">
        <v>-1.0836800000000001E-2</v>
      </c>
      <c r="AB95" s="21">
        <v>85</v>
      </c>
      <c r="AC95" s="21">
        <v>1.3717699999999999</v>
      </c>
      <c r="AD95">
        <f t="shared" si="16"/>
        <v>10.8368</v>
      </c>
      <c r="AE95">
        <f t="shared" si="17"/>
        <v>14.867222656000001</v>
      </c>
      <c r="AF95" s="9"/>
      <c r="AG95" s="21">
        <v>0.32806400000000002</v>
      </c>
      <c r="AH95" s="21">
        <v>498.75200000000001</v>
      </c>
      <c r="AI95" s="21">
        <v>-1.2164299999999999E-2</v>
      </c>
      <c r="AJ95" s="21">
        <v>85</v>
      </c>
      <c r="AK95" s="21">
        <v>0.32784999999999997</v>
      </c>
      <c r="AL95">
        <f t="shared" si="18"/>
        <v>12.164299999999999</v>
      </c>
      <c r="AM95">
        <f t="shared" si="19"/>
        <v>3.9906689152000001</v>
      </c>
      <c r="AP95" s="9"/>
      <c r="AQ95" s="21">
        <v>1.37192</v>
      </c>
      <c r="AR95" s="21">
        <v>655.44</v>
      </c>
      <c r="AS95" s="21">
        <v>-1.0907E-2</v>
      </c>
      <c r="AT95" s="21">
        <v>85</v>
      </c>
      <c r="AU95" s="21">
        <v>1.3705400000000001</v>
      </c>
      <c r="AV95">
        <f t="shared" si="20"/>
        <v>10.907</v>
      </c>
      <c r="AW95">
        <f t="shared" si="21"/>
        <v>14.963531440000001</v>
      </c>
      <c r="AX95" s="9"/>
      <c r="AY95" s="21">
        <v>0.32806400000000002</v>
      </c>
      <c r="AZ95" s="21">
        <v>745.53599999999994</v>
      </c>
      <c r="BA95" s="21">
        <v>-1.2356600000000001E-2</v>
      </c>
      <c r="BB95" s="21">
        <v>85</v>
      </c>
      <c r="BC95" s="21">
        <v>0.32772800000000002</v>
      </c>
      <c r="BD95">
        <f t="shared" si="22"/>
        <v>12.3566</v>
      </c>
      <c r="BE95">
        <f t="shared" si="23"/>
        <v>4.0537556224000006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152.02500000000001</v>
      </c>
      <c r="I96" s="21">
        <v>-1.10016E-2</v>
      </c>
      <c r="J96" s="21">
        <v>86</v>
      </c>
      <c r="K96" s="21">
        <v>1.3659699999999999</v>
      </c>
      <c r="L96">
        <f t="shared" si="12"/>
        <v>11.0016</v>
      </c>
      <c r="M96">
        <f t="shared" si="13"/>
        <v>15.037867008000001</v>
      </c>
      <c r="N96" s="9"/>
      <c r="O96" s="21">
        <v>0.33309899999999998</v>
      </c>
      <c r="P96" s="21">
        <v>236.01</v>
      </c>
      <c r="Q96" s="21">
        <v>-1.2109399999999999E-2</v>
      </c>
      <c r="R96" s="21">
        <v>86</v>
      </c>
      <c r="S96" s="21">
        <v>0.33282499999999998</v>
      </c>
      <c r="T96">
        <f t="shared" si="14"/>
        <v>12.109399999999999</v>
      </c>
      <c r="U96">
        <f t="shared" si="15"/>
        <v>4.0336290305999993</v>
      </c>
      <c r="X96" s="9"/>
      <c r="Y96" s="21">
        <v>1.3668800000000001</v>
      </c>
      <c r="Z96" s="21">
        <v>442.17700000000002</v>
      </c>
      <c r="AA96" s="21">
        <v>-1.08521E-2</v>
      </c>
      <c r="AB96" s="21">
        <v>86</v>
      </c>
      <c r="AC96" s="21">
        <v>1.3662700000000001</v>
      </c>
      <c r="AD96">
        <f t="shared" si="16"/>
        <v>10.8521</v>
      </c>
      <c r="AE96">
        <f t="shared" si="17"/>
        <v>14.833518448000001</v>
      </c>
      <c r="AF96" s="9"/>
      <c r="AG96" s="21">
        <v>0.33309899999999998</v>
      </c>
      <c r="AH96" s="21">
        <v>498.85199999999998</v>
      </c>
      <c r="AI96" s="21">
        <v>-1.21613E-2</v>
      </c>
      <c r="AJ96" s="21">
        <v>86</v>
      </c>
      <c r="AK96" s="21">
        <v>0.33291599999999999</v>
      </c>
      <c r="AL96">
        <f t="shared" si="18"/>
        <v>12.161300000000001</v>
      </c>
      <c r="AM96">
        <f t="shared" si="19"/>
        <v>4.0509168686999999</v>
      </c>
      <c r="AP96" s="9"/>
      <c r="AQ96" s="21">
        <v>1.3668800000000001</v>
      </c>
      <c r="AR96" s="21">
        <v>655.54100000000005</v>
      </c>
      <c r="AS96" s="21">
        <v>-1.091E-2</v>
      </c>
      <c r="AT96" s="21">
        <v>86</v>
      </c>
      <c r="AU96" s="21">
        <v>1.3665799999999999</v>
      </c>
      <c r="AV96">
        <f t="shared" si="20"/>
        <v>10.91</v>
      </c>
      <c r="AW96">
        <f t="shared" si="21"/>
        <v>14.912660800000001</v>
      </c>
      <c r="AX96" s="9"/>
      <c r="AY96" s="21">
        <v>0.33309899999999998</v>
      </c>
      <c r="AZ96" s="21">
        <v>745.63699999999994</v>
      </c>
      <c r="BA96" s="21">
        <v>-1.23505E-2</v>
      </c>
      <c r="BB96" s="21">
        <v>86</v>
      </c>
      <c r="BC96" s="21">
        <v>0.332764</v>
      </c>
      <c r="BD96">
        <f t="shared" si="22"/>
        <v>12.3505</v>
      </c>
      <c r="BE96">
        <f t="shared" si="23"/>
        <v>4.1139391994999999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152.126</v>
      </c>
      <c r="I97" s="21">
        <v>-1.10016E-2</v>
      </c>
      <c r="J97" s="21">
        <v>87</v>
      </c>
      <c r="K97" s="21">
        <v>1.3613900000000001</v>
      </c>
      <c r="L97">
        <f t="shared" si="12"/>
        <v>11.0016</v>
      </c>
      <c r="M97">
        <f t="shared" si="13"/>
        <v>14.98252896</v>
      </c>
      <c r="N97" s="9"/>
      <c r="O97" s="21">
        <v>0.33813500000000002</v>
      </c>
      <c r="P97" s="21">
        <v>236.11</v>
      </c>
      <c r="Q97" s="21">
        <v>-1.21002E-2</v>
      </c>
      <c r="R97" s="21">
        <v>87</v>
      </c>
      <c r="S97" s="21">
        <v>0.33785999999999999</v>
      </c>
      <c r="T97">
        <f t="shared" si="14"/>
        <v>12.100200000000001</v>
      </c>
      <c r="U97">
        <f t="shared" si="15"/>
        <v>4.0915011270000008</v>
      </c>
      <c r="X97" s="9"/>
      <c r="Y97" s="21">
        <v>1.36185</v>
      </c>
      <c r="Z97" s="21">
        <v>442.27800000000002</v>
      </c>
      <c r="AA97" s="21">
        <v>-1.08643E-2</v>
      </c>
      <c r="AB97" s="21">
        <v>87</v>
      </c>
      <c r="AC97" s="21">
        <v>1.3607800000000001</v>
      </c>
      <c r="AD97">
        <f t="shared" si="16"/>
        <v>10.8643</v>
      </c>
      <c r="AE97">
        <f t="shared" si="17"/>
        <v>14.795546955000001</v>
      </c>
      <c r="AF97" s="9"/>
      <c r="AG97" s="21">
        <v>0.33813500000000002</v>
      </c>
      <c r="AH97" s="21">
        <v>498.95299999999997</v>
      </c>
      <c r="AI97" s="21">
        <v>-1.2149E-2</v>
      </c>
      <c r="AJ97" s="21">
        <v>87</v>
      </c>
      <c r="AK97" s="21">
        <v>0.337891</v>
      </c>
      <c r="AL97">
        <f t="shared" si="18"/>
        <v>12.149000000000001</v>
      </c>
      <c r="AM97">
        <f t="shared" si="19"/>
        <v>4.1080021150000006</v>
      </c>
      <c r="AP97" s="9"/>
      <c r="AQ97" s="21">
        <v>1.36185</v>
      </c>
      <c r="AR97" s="21">
        <v>655.64200000000005</v>
      </c>
      <c r="AS97" s="21">
        <v>-1.09192E-2</v>
      </c>
      <c r="AT97" s="21">
        <v>87</v>
      </c>
      <c r="AU97" s="21">
        <v>1.3610800000000001</v>
      </c>
      <c r="AV97">
        <f t="shared" si="20"/>
        <v>10.9192</v>
      </c>
      <c r="AW97">
        <f t="shared" si="21"/>
        <v>14.870312520000001</v>
      </c>
      <c r="AX97" s="9"/>
      <c r="AY97" s="21">
        <v>0.33813500000000002</v>
      </c>
      <c r="AZ97" s="21">
        <v>745.73699999999997</v>
      </c>
      <c r="BA97" s="21">
        <v>-1.23474E-2</v>
      </c>
      <c r="BB97" s="21">
        <v>87</v>
      </c>
      <c r="BC97" s="21">
        <v>0.33785999999999999</v>
      </c>
      <c r="BD97">
        <f t="shared" si="22"/>
        <v>12.3474</v>
      </c>
      <c r="BE97">
        <f t="shared" si="23"/>
        <v>4.1750880990000008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152.227</v>
      </c>
      <c r="I98" s="21">
        <v>-1.10046E-2</v>
      </c>
      <c r="J98" s="21">
        <v>88</v>
      </c>
      <c r="K98" s="21">
        <v>1.3555900000000001</v>
      </c>
      <c r="L98">
        <f t="shared" si="12"/>
        <v>11.0046</v>
      </c>
      <c r="M98">
        <f t="shared" si="13"/>
        <v>14.931151326</v>
      </c>
      <c r="N98" s="9"/>
      <c r="O98" s="21">
        <v>0.34316999999999998</v>
      </c>
      <c r="P98" s="21">
        <v>236.21100000000001</v>
      </c>
      <c r="Q98" s="21">
        <v>-1.21002E-2</v>
      </c>
      <c r="R98" s="21">
        <v>88</v>
      </c>
      <c r="S98" s="21">
        <v>0.34277299999999999</v>
      </c>
      <c r="T98">
        <f t="shared" si="14"/>
        <v>12.100200000000001</v>
      </c>
      <c r="U98">
        <f t="shared" si="15"/>
        <v>4.1524256340000001</v>
      </c>
      <c r="X98" s="9"/>
      <c r="Y98" s="21">
        <v>1.3568100000000001</v>
      </c>
      <c r="Z98" s="21">
        <v>442.37900000000002</v>
      </c>
      <c r="AA98" s="21">
        <v>-1.0855099999999999E-2</v>
      </c>
      <c r="AB98" s="21">
        <v>88</v>
      </c>
      <c r="AC98" s="21">
        <v>1.3559000000000001</v>
      </c>
      <c r="AD98">
        <f t="shared" si="16"/>
        <v>10.8551</v>
      </c>
      <c r="AE98">
        <f t="shared" si="17"/>
        <v>14.728308231000002</v>
      </c>
      <c r="AF98" s="9"/>
      <c r="AG98" s="21">
        <v>0.34316999999999998</v>
      </c>
      <c r="AH98" s="21">
        <v>499.05399999999997</v>
      </c>
      <c r="AI98" s="21">
        <v>-1.21552E-2</v>
      </c>
      <c r="AJ98" s="21">
        <v>88</v>
      </c>
      <c r="AK98" s="21">
        <v>0.34298699999999999</v>
      </c>
      <c r="AL98">
        <f t="shared" si="18"/>
        <v>12.155199999999999</v>
      </c>
      <c r="AM98">
        <f t="shared" si="19"/>
        <v>4.1712999839999991</v>
      </c>
      <c r="AP98" s="9"/>
      <c r="AQ98" s="21">
        <v>1.3568100000000001</v>
      </c>
      <c r="AR98" s="21">
        <v>655.74199999999996</v>
      </c>
      <c r="AS98" s="21">
        <v>-1.0931400000000001E-2</v>
      </c>
      <c r="AT98" s="21">
        <v>88</v>
      </c>
      <c r="AU98" s="21">
        <v>1.3559000000000001</v>
      </c>
      <c r="AV98">
        <f t="shared" si="20"/>
        <v>10.9314</v>
      </c>
      <c r="AW98">
        <f t="shared" si="21"/>
        <v>14.831832834</v>
      </c>
      <c r="AX98" s="9"/>
      <c r="AY98" s="21">
        <v>0.34316999999999998</v>
      </c>
      <c r="AZ98" s="21">
        <v>745.83799999999997</v>
      </c>
      <c r="BA98" s="21">
        <v>-1.23505E-2</v>
      </c>
      <c r="BB98" s="21">
        <v>88</v>
      </c>
      <c r="BC98" s="21">
        <v>0.34292600000000001</v>
      </c>
      <c r="BD98">
        <f t="shared" si="22"/>
        <v>12.3505</v>
      </c>
      <c r="BE98">
        <f t="shared" si="23"/>
        <v>4.2383210849999999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152.328</v>
      </c>
      <c r="I99" s="21">
        <v>-1.10077E-2</v>
      </c>
      <c r="J99" s="21">
        <v>89</v>
      </c>
      <c r="K99" s="21">
        <v>1.3507100000000001</v>
      </c>
      <c r="L99">
        <f t="shared" si="12"/>
        <v>11.0077</v>
      </c>
      <c r="M99">
        <f t="shared" si="13"/>
        <v>14.879988705999999</v>
      </c>
      <c r="N99" s="9"/>
      <c r="O99" s="21">
        <v>0.34820600000000002</v>
      </c>
      <c r="P99" s="21">
        <v>236.31200000000001</v>
      </c>
      <c r="Q99" s="21">
        <v>-1.2085E-2</v>
      </c>
      <c r="R99" s="21">
        <v>89</v>
      </c>
      <c r="S99" s="21">
        <v>0.34799200000000002</v>
      </c>
      <c r="T99">
        <f t="shared" si="14"/>
        <v>12.085000000000001</v>
      </c>
      <c r="U99">
        <f t="shared" si="15"/>
        <v>4.2080695100000005</v>
      </c>
      <c r="X99" s="9"/>
      <c r="Y99" s="21">
        <v>1.35178</v>
      </c>
      <c r="Z99" s="21">
        <v>442.48</v>
      </c>
      <c r="AA99" s="21">
        <v>-1.08673E-2</v>
      </c>
      <c r="AB99" s="21">
        <v>89</v>
      </c>
      <c r="AC99" s="21">
        <v>1.3513200000000001</v>
      </c>
      <c r="AD99">
        <f t="shared" si="16"/>
        <v>10.8673</v>
      </c>
      <c r="AE99">
        <f t="shared" si="17"/>
        <v>14.690198794000001</v>
      </c>
      <c r="AF99" s="9"/>
      <c r="AG99" s="21">
        <v>0.34820600000000002</v>
      </c>
      <c r="AH99" s="21">
        <v>499.154</v>
      </c>
      <c r="AI99" s="21">
        <v>-1.2146000000000001E-2</v>
      </c>
      <c r="AJ99" s="21">
        <v>89</v>
      </c>
      <c r="AK99" s="21">
        <v>0.348022</v>
      </c>
      <c r="AL99">
        <f t="shared" si="18"/>
        <v>12.146000000000001</v>
      </c>
      <c r="AM99">
        <f t="shared" si="19"/>
        <v>4.2293100760000009</v>
      </c>
      <c r="AP99" s="9"/>
      <c r="AQ99" s="21">
        <v>1.35178</v>
      </c>
      <c r="AR99" s="21">
        <v>655.84299999999996</v>
      </c>
      <c r="AS99" s="21">
        <v>-1.09467E-2</v>
      </c>
      <c r="AT99" s="21">
        <v>89</v>
      </c>
      <c r="AU99" s="21">
        <v>1.3513200000000001</v>
      </c>
      <c r="AV99">
        <f t="shared" si="20"/>
        <v>10.9467</v>
      </c>
      <c r="AW99">
        <f t="shared" si="21"/>
        <v>14.797530126</v>
      </c>
      <c r="AX99" s="9"/>
      <c r="AY99" s="21">
        <v>0.34820600000000002</v>
      </c>
      <c r="AZ99" s="21">
        <v>745.93899999999996</v>
      </c>
      <c r="BA99" s="21">
        <v>-1.23474E-2</v>
      </c>
      <c r="BB99" s="21">
        <v>89</v>
      </c>
      <c r="BC99" s="21">
        <v>0.34799200000000002</v>
      </c>
      <c r="BD99">
        <f t="shared" si="22"/>
        <v>12.3474</v>
      </c>
      <c r="BE99">
        <f t="shared" si="23"/>
        <v>4.2994387644000005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152.428</v>
      </c>
      <c r="I100" s="21">
        <v>-1.10077E-2</v>
      </c>
      <c r="J100" s="21">
        <v>90</v>
      </c>
      <c r="K100" s="21">
        <v>1.3458300000000001</v>
      </c>
      <c r="L100">
        <f t="shared" si="12"/>
        <v>11.0077</v>
      </c>
      <c r="M100">
        <f t="shared" si="13"/>
        <v>14.824509898000001</v>
      </c>
      <c r="N100" s="9"/>
      <c r="O100" s="21">
        <v>0.35324100000000003</v>
      </c>
      <c r="P100" s="21">
        <v>236.41300000000001</v>
      </c>
      <c r="Q100" s="21">
        <v>-1.20819E-2</v>
      </c>
      <c r="R100" s="21">
        <v>90</v>
      </c>
      <c r="S100" s="21">
        <v>0.35290500000000002</v>
      </c>
      <c r="T100">
        <f t="shared" si="14"/>
        <v>12.081899999999999</v>
      </c>
      <c r="U100">
        <f t="shared" si="15"/>
        <v>4.2678224379000005</v>
      </c>
      <c r="X100" s="9"/>
      <c r="Y100" s="21">
        <v>1.34674</v>
      </c>
      <c r="Z100" s="21">
        <v>442.58</v>
      </c>
      <c r="AA100" s="21">
        <v>-1.0870400000000001E-2</v>
      </c>
      <c r="AB100" s="21">
        <v>90</v>
      </c>
      <c r="AC100" s="21">
        <v>1.3458300000000001</v>
      </c>
      <c r="AD100">
        <f t="shared" si="16"/>
        <v>10.8704</v>
      </c>
      <c r="AE100">
        <f t="shared" si="17"/>
        <v>14.639602496</v>
      </c>
      <c r="AF100" s="9"/>
      <c r="AG100" s="21">
        <v>0.35324100000000003</v>
      </c>
      <c r="AH100" s="21">
        <v>499.255</v>
      </c>
      <c r="AI100" s="21">
        <v>-1.21429E-2</v>
      </c>
      <c r="AJ100" s="21">
        <v>90</v>
      </c>
      <c r="AK100" s="21">
        <v>0.35299700000000001</v>
      </c>
      <c r="AL100">
        <f t="shared" si="18"/>
        <v>12.142899999999999</v>
      </c>
      <c r="AM100">
        <f t="shared" si="19"/>
        <v>4.2893701388999999</v>
      </c>
      <c r="AP100" s="9"/>
      <c r="AQ100" s="21">
        <v>1.34674</v>
      </c>
      <c r="AR100" s="21">
        <v>655.94399999999996</v>
      </c>
      <c r="AS100" s="21">
        <v>-1.09222E-2</v>
      </c>
      <c r="AT100" s="21">
        <v>90</v>
      </c>
      <c r="AU100" s="21">
        <v>1.34613</v>
      </c>
      <c r="AV100">
        <f t="shared" si="20"/>
        <v>10.9222</v>
      </c>
      <c r="AW100">
        <f t="shared" si="21"/>
        <v>14.709363628</v>
      </c>
      <c r="AX100" s="9"/>
      <c r="AY100" s="21">
        <v>0.35324100000000003</v>
      </c>
      <c r="AZ100" s="21">
        <v>746.03899999999999</v>
      </c>
      <c r="BA100" s="21">
        <v>-1.2335199999999999E-2</v>
      </c>
      <c r="BB100" s="21">
        <v>90</v>
      </c>
      <c r="BC100" s="21">
        <v>0.35299700000000001</v>
      </c>
      <c r="BD100">
        <f t="shared" si="22"/>
        <v>12.335199999999999</v>
      </c>
      <c r="BE100">
        <f t="shared" si="23"/>
        <v>4.3572983831999998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152.529</v>
      </c>
      <c r="I101" s="21">
        <v>-1.10046E-2</v>
      </c>
      <c r="J101" s="21">
        <v>91</v>
      </c>
      <c r="K101" s="21">
        <v>1.3412500000000001</v>
      </c>
      <c r="L101">
        <f t="shared" si="12"/>
        <v>11.0046</v>
      </c>
      <c r="M101">
        <f t="shared" si="13"/>
        <v>14.764981865999999</v>
      </c>
      <c r="N101" s="9"/>
      <c r="O101" s="21">
        <v>0.35827599999999998</v>
      </c>
      <c r="P101" s="21">
        <v>236.51300000000001</v>
      </c>
      <c r="Q101" s="21">
        <v>-1.2085E-2</v>
      </c>
      <c r="R101" s="21">
        <v>91</v>
      </c>
      <c r="S101" s="21">
        <v>0.35800199999999999</v>
      </c>
      <c r="T101">
        <f t="shared" si="14"/>
        <v>12.085000000000001</v>
      </c>
      <c r="U101">
        <f t="shared" si="15"/>
        <v>4.32976546</v>
      </c>
      <c r="X101" s="9"/>
      <c r="Y101" s="21">
        <v>1.34171</v>
      </c>
      <c r="Z101" s="21">
        <v>442.68099999999998</v>
      </c>
      <c r="AA101" s="21">
        <v>-1.08673E-2</v>
      </c>
      <c r="AB101" s="21">
        <v>91</v>
      </c>
      <c r="AC101" s="21">
        <v>1.34094</v>
      </c>
      <c r="AD101">
        <f t="shared" si="16"/>
        <v>10.8673</v>
      </c>
      <c r="AE101">
        <f t="shared" si="17"/>
        <v>14.580765082999999</v>
      </c>
      <c r="AF101" s="9"/>
      <c r="AG101" s="21">
        <v>0.35827599999999998</v>
      </c>
      <c r="AH101" s="21">
        <v>499.35599999999999</v>
      </c>
      <c r="AI101" s="21">
        <v>-1.21368E-2</v>
      </c>
      <c r="AJ101" s="21">
        <v>91</v>
      </c>
      <c r="AK101" s="21">
        <v>0.35803200000000002</v>
      </c>
      <c r="AL101">
        <f t="shared" si="18"/>
        <v>12.136799999999999</v>
      </c>
      <c r="AM101">
        <f t="shared" si="19"/>
        <v>4.3483241567999995</v>
      </c>
      <c r="AP101" s="9"/>
      <c r="AQ101" s="21">
        <v>1.34171</v>
      </c>
      <c r="AR101" s="21">
        <v>656.04499999999996</v>
      </c>
      <c r="AS101" s="21">
        <v>-1.09192E-2</v>
      </c>
      <c r="AT101" s="21">
        <v>91</v>
      </c>
      <c r="AU101" s="21">
        <v>1.34033</v>
      </c>
      <c r="AV101">
        <f t="shared" si="20"/>
        <v>10.9192</v>
      </c>
      <c r="AW101">
        <f t="shared" si="21"/>
        <v>14.650399832</v>
      </c>
      <c r="AX101" s="9"/>
      <c r="AY101" s="21">
        <v>0.35827599999999998</v>
      </c>
      <c r="AZ101" s="21">
        <v>746.14</v>
      </c>
      <c r="BA101" s="21">
        <v>-1.2329100000000001E-2</v>
      </c>
      <c r="BB101" s="21">
        <v>91</v>
      </c>
      <c r="BC101" s="21">
        <v>0.35803200000000002</v>
      </c>
      <c r="BD101">
        <f t="shared" si="22"/>
        <v>12.3291</v>
      </c>
      <c r="BE101">
        <f t="shared" si="23"/>
        <v>4.4172206316000002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152.63</v>
      </c>
      <c r="I102" s="21">
        <v>-1.1013800000000001E-2</v>
      </c>
      <c r="J102" s="21">
        <v>92</v>
      </c>
      <c r="K102" s="21">
        <v>1.33606</v>
      </c>
      <c r="L102">
        <f t="shared" si="12"/>
        <v>11.0138</v>
      </c>
      <c r="M102">
        <f t="shared" si="13"/>
        <v>14.721816046000001</v>
      </c>
      <c r="N102" s="9"/>
      <c r="O102" s="21">
        <v>0.36331200000000002</v>
      </c>
      <c r="P102" s="21">
        <v>236.614</v>
      </c>
      <c r="Q102" s="21">
        <v>-1.20819E-2</v>
      </c>
      <c r="R102" s="21">
        <v>92</v>
      </c>
      <c r="S102" s="21">
        <v>0.363068</v>
      </c>
      <c r="T102">
        <f t="shared" si="14"/>
        <v>12.081899999999999</v>
      </c>
      <c r="U102">
        <f t="shared" si="15"/>
        <v>4.3894992528000003</v>
      </c>
      <c r="X102" s="9"/>
      <c r="Y102" s="21">
        <v>1.33667</v>
      </c>
      <c r="Z102" s="21">
        <v>442.78199999999998</v>
      </c>
      <c r="AA102" s="21">
        <v>-1.08734E-2</v>
      </c>
      <c r="AB102" s="21">
        <v>92</v>
      </c>
      <c r="AC102" s="21">
        <v>1.33514</v>
      </c>
      <c r="AD102">
        <f t="shared" si="16"/>
        <v>10.8734</v>
      </c>
      <c r="AE102">
        <f t="shared" si="17"/>
        <v>14.534147578000001</v>
      </c>
      <c r="AF102" s="9"/>
      <c r="AG102" s="21">
        <v>0.36331200000000002</v>
      </c>
      <c r="AH102" s="21">
        <v>499.45699999999999</v>
      </c>
      <c r="AI102" s="21">
        <v>-1.2130699999999999E-2</v>
      </c>
      <c r="AJ102" s="21">
        <v>92</v>
      </c>
      <c r="AK102" s="21">
        <v>0.363037</v>
      </c>
      <c r="AL102">
        <f t="shared" si="18"/>
        <v>12.130699999999999</v>
      </c>
      <c r="AM102">
        <f t="shared" si="19"/>
        <v>4.4072288783999998</v>
      </c>
      <c r="AP102" s="9"/>
      <c r="AQ102" s="21">
        <v>1.33667</v>
      </c>
      <c r="AR102" s="21">
        <v>656.14499999999998</v>
      </c>
      <c r="AS102" s="21">
        <v>-1.09497E-2</v>
      </c>
      <c r="AT102" s="21">
        <v>92</v>
      </c>
      <c r="AU102" s="21">
        <v>1.33636</v>
      </c>
      <c r="AV102">
        <f t="shared" si="20"/>
        <v>10.9497</v>
      </c>
      <c r="AW102">
        <f t="shared" si="21"/>
        <v>14.636135499</v>
      </c>
      <c r="AX102" s="9"/>
      <c r="AY102" s="21">
        <v>0.36331200000000002</v>
      </c>
      <c r="AZ102" s="21">
        <v>746.24099999999999</v>
      </c>
      <c r="BA102" s="21">
        <v>-1.23322E-2</v>
      </c>
      <c r="BB102" s="21">
        <v>92</v>
      </c>
      <c r="BC102" s="21">
        <v>0.363068</v>
      </c>
      <c r="BD102">
        <f t="shared" si="22"/>
        <v>12.3322</v>
      </c>
      <c r="BE102">
        <f t="shared" si="23"/>
        <v>4.4804362464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152.72999999999999</v>
      </c>
      <c r="I103" s="21">
        <v>-1.10291E-2</v>
      </c>
      <c r="J103" s="21">
        <v>93</v>
      </c>
      <c r="K103" s="21">
        <v>1.33087</v>
      </c>
      <c r="L103">
        <f t="shared" si="12"/>
        <v>11.0291</v>
      </c>
      <c r="M103">
        <f t="shared" si="13"/>
        <v>14.686680433000001</v>
      </c>
      <c r="N103" s="9"/>
      <c r="O103" s="21">
        <v>0.36834699999999998</v>
      </c>
      <c r="P103" s="21">
        <v>236.715</v>
      </c>
      <c r="Q103" s="21">
        <v>-1.20789E-2</v>
      </c>
      <c r="R103" s="21">
        <v>93</v>
      </c>
      <c r="S103" s="21">
        <v>0.36801099999999998</v>
      </c>
      <c r="T103">
        <f t="shared" si="14"/>
        <v>12.078900000000001</v>
      </c>
      <c r="U103">
        <f t="shared" si="15"/>
        <v>4.4492265783000002</v>
      </c>
      <c r="X103" s="9"/>
      <c r="Y103" s="21">
        <v>1.3316300000000001</v>
      </c>
      <c r="Z103" s="21">
        <v>442.88200000000001</v>
      </c>
      <c r="AA103" s="21">
        <v>-1.0891700000000001E-2</v>
      </c>
      <c r="AB103" s="21">
        <v>93</v>
      </c>
      <c r="AC103" s="21">
        <v>1.33057</v>
      </c>
      <c r="AD103">
        <f t="shared" si="16"/>
        <v>10.8917</v>
      </c>
      <c r="AE103">
        <f t="shared" si="17"/>
        <v>14.503714471</v>
      </c>
      <c r="AF103" s="9"/>
      <c r="AG103" s="21">
        <v>0.36834699999999998</v>
      </c>
      <c r="AH103" s="21">
        <v>499.55700000000002</v>
      </c>
      <c r="AI103" s="21">
        <v>-1.2124599999999999E-2</v>
      </c>
      <c r="AJ103" s="21">
        <v>93</v>
      </c>
      <c r="AK103" s="21">
        <v>0.36810300000000001</v>
      </c>
      <c r="AL103">
        <f t="shared" si="18"/>
        <v>12.124599999999999</v>
      </c>
      <c r="AM103">
        <f t="shared" si="19"/>
        <v>4.4660600361999991</v>
      </c>
      <c r="AP103" s="9"/>
      <c r="AQ103" s="21">
        <v>1.3316300000000001</v>
      </c>
      <c r="AR103" s="21">
        <v>656.24599999999998</v>
      </c>
      <c r="AS103" s="21">
        <v>-1.0958900000000001E-2</v>
      </c>
      <c r="AT103" s="21">
        <v>93</v>
      </c>
      <c r="AU103" s="21">
        <v>1.33087</v>
      </c>
      <c r="AV103">
        <f t="shared" si="20"/>
        <v>10.9589</v>
      </c>
      <c r="AW103">
        <f t="shared" si="21"/>
        <v>14.593200007</v>
      </c>
      <c r="AX103" s="9"/>
      <c r="AY103" s="21">
        <v>0.36834699999999998</v>
      </c>
      <c r="AZ103" s="21">
        <v>746.34199999999998</v>
      </c>
      <c r="BA103" s="21">
        <v>-1.23199E-2</v>
      </c>
      <c r="BB103" s="21">
        <v>93</v>
      </c>
      <c r="BC103" s="21">
        <v>0.36819499999999999</v>
      </c>
      <c r="BD103">
        <f t="shared" si="22"/>
        <v>12.319900000000001</v>
      </c>
      <c r="BE103">
        <f t="shared" si="23"/>
        <v>4.5379982053000001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152.83099999999999</v>
      </c>
      <c r="I104" s="21">
        <v>-1.10168E-2</v>
      </c>
      <c r="J104" s="21">
        <v>94</v>
      </c>
      <c r="K104" s="21">
        <v>1.3266</v>
      </c>
      <c r="L104">
        <f t="shared" si="12"/>
        <v>11.0168</v>
      </c>
      <c r="M104">
        <f t="shared" si="13"/>
        <v>14.61488688</v>
      </c>
      <c r="N104" s="9"/>
      <c r="O104" s="21">
        <v>0.37338300000000002</v>
      </c>
      <c r="P104" s="21">
        <v>236.815</v>
      </c>
      <c r="Q104" s="21">
        <v>-1.2075799999999999E-2</v>
      </c>
      <c r="R104" s="21">
        <v>94</v>
      </c>
      <c r="S104" s="21">
        <v>0.37313800000000003</v>
      </c>
      <c r="T104">
        <f t="shared" si="14"/>
        <v>12.075799999999999</v>
      </c>
      <c r="U104">
        <f t="shared" si="15"/>
        <v>4.5088984313999996</v>
      </c>
      <c r="X104" s="9"/>
      <c r="Y104" s="21">
        <v>1.3266</v>
      </c>
      <c r="Z104" s="21">
        <v>442.983</v>
      </c>
      <c r="AA104" s="21">
        <v>-1.0891700000000001E-2</v>
      </c>
      <c r="AB104" s="21">
        <v>94</v>
      </c>
      <c r="AC104" s="21">
        <v>1.32599</v>
      </c>
      <c r="AD104">
        <f t="shared" si="16"/>
        <v>10.8917</v>
      </c>
      <c r="AE104">
        <f t="shared" si="17"/>
        <v>14.44892922</v>
      </c>
      <c r="AF104" s="9"/>
      <c r="AG104" s="21">
        <v>0.37338300000000002</v>
      </c>
      <c r="AH104" s="21">
        <v>499.65800000000002</v>
      </c>
      <c r="AI104" s="21">
        <v>-1.2118500000000001E-2</v>
      </c>
      <c r="AJ104" s="21">
        <v>94</v>
      </c>
      <c r="AK104" s="21">
        <v>0.37316899999999997</v>
      </c>
      <c r="AL104">
        <f t="shared" si="18"/>
        <v>12.118500000000001</v>
      </c>
      <c r="AM104">
        <f t="shared" si="19"/>
        <v>4.5248418855000008</v>
      </c>
      <c r="AP104" s="9"/>
      <c r="AQ104" s="21">
        <v>1.3266</v>
      </c>
      <c r="AR104" s="21">
        <v>656.34699999999998</v>
      </c>
      <c r="AS104" s="21">
        <v>-1.09619E-2</v>
      </c>
      <c r="AT104" s="21">
        <v>94</v>
      </c>
      <c r="AU104" s="21">
        <v>1.32599</v>
      </c>
      <c r="AV104">
        <f t="shared" si="20"/>
        <v>10.9619</v>
      </c>
      <c r="AW104">
        <f t="shared" si="21"/>
        <v>14.542056540000001</v>
      </c>
      <c r="AX104" s="9"/>
      <c r="AY104" s="21">
        <v>0.37338300000000002</v>
      </c>
      <c r="AZ104" s="21">
        <v>746.44200000000001</v>
      </c>
      <c r="BA104" s="21">
        <v>-1.23169E-2</v>
      </c>
      <c r="BB104" s="21">
        <v>94</v>
      </c>
      <c r="BC104" s="21">
        <v>0.37307699999999999</v>
      </c>
      <c r="BD104">
        <f t="shared" si="22"/>
        <v>12.3169</v>
      </c>
      <c r="BE104">
        <f t="shared" si="23"/>
        <v>4.5989210727000005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152.93199999999999</v>
      </c>
      <c r="I105" s="21">
        <v>-1.10443E-2</v>
      </c>
      <c r="J105" s="21">
        <v>95</v>
      </c>
      <c r="K105" s="21">
        <v>1.3208</v>
      </c>
      <c r="L105">
        <f t="shared" si="12"/>
        <v>11.0443</v>
      </c>
      <c r="M105">
        <f t="shared" si="13"/>
        <v>14.595705108000001</v>
      </c>
      <c r="N105" s="9"/>
      <c r="O105" s="21">
        <v>0.37841799999999998</v>
      </c>
      <c r="P105" s="21">
        <v>236.916</v>
      </c>
      <c r="Q105" s="21">
        <v>-1.2069699999999999E-2</v>
      </c>
      <c r="R105" s="21">
        <v>95</v>
      </c>
      <c r="S105" s="21">
        <v>0.37823499999999999</v>
      </c>
      <c r="T105">
        <f t="shared" si="14"/>
        <v>12.069699999999999</v>
      </c>
      <c r="U105">
        <f t="shared" si="15"/>
        <v>4.5673917345999993</v>
      </c>
      <c r="X105" s="9"/>
      <c r="Y105" s="21">
        <v>1.3215600000000001</v>
      </c>
      <c r="Z105" s="21">
        <v>443.084</v>
      </c>
      <c r="AA105" s="21">
        <v>-1.0888699999999999E-2</v>
      </c>
      <c r="AB105" s="21">
        <v>95</v>
      </c>
      <c r="AC105" s="21">
        <v>1.3205</v>
      </c>
      <c r="AD105">
        <f t="shared" si="16"/>
        <v>10.8887</v>
      </c>
      <c r="AE105">
        <f t="shared" si="17"/>
        <v>14.390070372</v>
      </c>
      <c r="AF105" s="9"/>
      <c r="AG105" s="21">
        <v>0.37841799999999998</v>
      </c>
      <c r="AH105" s="21">
        <v>499.75900000000001</v>
      </c>
      <c r="AI105" s="21">
        <v>-1.2112400000000001E-2</v>
      </c>
      <c r="AJ105" s="21">
        <v>95</v>
      </c>
      <c r="AK105" s="21">
        <v>0.37823499999999999</v>
      </c>
      <c r="AL105">
        <f t="shared" si="18"/>
        <v>12.112400000000001</v>
      </c>
      <c r="AM105">
        <f t="shared" si="19"/>
        <v>4.5835501831999999</v>
      </c>
      <c r="AP105" s="9"/>
      <c r="AQ105" s="21">
        <v>1.3215600000000001</v>
      </c>
      <c r="AR105" s="21">
        <v>656.447</v>
      </c>
      <c r="AS105" s="21">
        <v>-1.0974100000000001E-2</v>
      </c>
      <c r="AT105" s="21">
        <v>95</v>
      </c>
      <c r="AU105" s="21">
        <v>1.3208</v>
      </c>
      <c r="AV105">
        <f t="shared" si="20"/>
        <v>10.9741</v>
      </c>
      <c r="AW105">
        <f t="shared" si="21"/>
        <v>14.502931596</v>
      </c>
      <c r="AX105" s="9"/>
      <c r="AY105" s="21">
        <v>0.37841799999999998</v>
      </c>
      <c r="AZ105" s="21">
        <v>746.54300000000001</v>
      </c>
      <c r="BA105" s="21">
        <v>-1.23138E-2</v>
      </c>
      <c r="BB105" s="21">
        <v>95</v>
      </c>
      <c r="BC105" s="21">
        <v>0.37808199999999997</v>
      </c>
      <c r="BD105">
        <f t="shared" si="22"/>
        <v>12.313800000000001</v>
      </c>
      <c r="BE105">
        <f t="shared" si="23"/>
        <v>4.6597635683999998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153.03200000000001</v>
      </c>
      <c r="I106" s="21">
        <v>-1.10382E-2</v>
      </c>
      <c r="J106" s="21">
        <v>96</v>
      </c>
      <c r="K106" s="21">
        <v>1.3156099999999999</v>
      </c>
      <c r="L106">
        <f t="shared" si="12"/>
        <v>11.0382</v>
      </c>
      <c r="M106">
        <f t="shared" si="13"/>
        <v>14.532121446</v>
      </c>
      <c r="N106" s="9"/>
      <c r="O106" s="21">
        <v>0.38345299999999999</v>
      </c>
      <c r="P106" s="21">
        <v>237.017</v>
      </c>
      <c r="Q106" s="21">
        <v>-1.2063600000000001E-2</v>
      </c>
      <c r="R106" s="21">
        <v>96</v>
      </c>
      <c r="S106" s="21">
        <v>0.38317899999999999</v>
      </c>
      <c r="T106">
        <f t="shared" si="14"/>
        <v>12.063600000000001</v>
      </c>
      <c r="U106">
        <f t="shared" si="15"/>
        <v>4.6258236108000004</v>
      </c>
      <c r="X106" s="9"/>
      <c r="Y106" s="21">
        <v>1.31653</v>
      </c>
      <c r="Z106" s="21">
        <v>443.185</v>
      </c>
      <c r="AA106" s="21">
        <v>-1.08948E-2</v>
      </c>
      <c r="AB106" s="21">
        <v>96</v>
      </c>
      <c r="AC106" s="21">
        <v>1.31592</v>
      </c>
      <c r="AD106">
        <f t="shared" si="16"/>
        <v>10.8948</v>
      </c>
      <c r="AE106">
        <f t="shared" si="17"/>
        <v>14.343331043999999</v>
      </c>
      <c r="AF106" s="9"/>
      <c r="AG106" s="21">
        <v>0.38345299999999999</v>
      </c>
      <c r="AH106" s="21">
        <v>499.85899999999998</v>
      </c>
      <c r="AI106" s="21">
        <v>-1.2109399999999999E-2</v>
      </c>
      <c r="AJ106" s="21">
        <v>96</v>
      </c>
      <c r="AK106" s="21">
        <v>0.38311800000000001</v>
      </c>
      <c r="AL106">
        <f t="shared" si="18"/>
        <v>12.109399999999999</v>
      </c>
      <c r="AM106">
        <f t="shared" si="19"/>
        <v>4.6433857581999991</v>
      </c>
      <c r="AP106" s="9"/>
      <c r="AQ106" s="21">
        <v>1.31653</v>
      </c>
      <c r="AR106" s="21">
        <v>656.548</v>
      </c>
      <c r="AS106" s="21">
        <v>-1.09833E-2</v>
      </c>
      <c r="AT106" s="21">
        <v>96</v>
      </c>
      <c r="AU106" s="21">
        <v>1.31592</v>
      </c>
      <c r="AV106">
        <f t="shared" si="20"/>
        <v>10.9833</v>
      </c>
      <c r="AW106">
        <f t="shared" si="21"/>
        <v>14.459843949</v>
      </c>
      <c r="AX106" s="9"/>
      <c r="AY106" s="21">
        <v>0.38345299999999999</v>
      </c>
      <c r="AZ106" s="21">
        <v>746.64400000000001</v>
      </c>
      <c r="BA106" s="21">
        <v>-1.23108E-2</v>
      </c>
      <c r="BB106" s="21">
        <v>96</v>
      </c>
      <c r="BC106" s="21">
        <v>0.38317899999999999</v>
      </c>
      <c r="BD106">
        <f t="shared" si="22"/>
        <v>12.3108</v>
      </c>
      <c r="BE106">
        <f t="shared" si="23"/>
        <v>4.7206131924000001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153.13300000000001</v>
      </c>
      <c r="I107" s="21">
        <v>-1.10413E-2</v>
      </c>
      <c r="J107" s="21">
        <v>97</v>
      </c>
      <c r="K107" s="21">
        <v>1.3104199999999999</v>
      </c>
      <c r="L107">
        <f t="shared" si="12"/>
        <v>11.0413</v>
      </c>
      <c r="M107">
        <f t="shared" si="13"/>
        <v>14.480554537</v>
      </c>
      <c r="N107" s="9"/>
      <c r="O107" s="21">
        <v>0.38848899999999997</v>
      </c>
      <c r="P107" s="21">
        <v>237.11799999999999</v>
      </c>
      <c r="Q107" s="21">
        <v>-1.20605E-2</v>
      </c>
      <c r="R107" s="21">
        <v>97</v>
      </c>
      <c r="S107" s="21">
        <v>0.38830599999999998</v>
      </c>
      <c r="T107">
        <f t="shared" si="14"/>
        <v>12.060499999999999</v>
      </c>
      <c r="U107">
        <f t="shared" si="15"/>
        <v>4.6853715844999995</v>
      </c>
      <c r="X107" s="9"/>
      <c r="Y107" s="21">
        <v>1.31149</v>
      </c>
      <c r="Z107" s="21">
        <v>443.28500000000003</v>
      </c>
      <c r="AA107" s="21">
        <v>-1.0903899999999999E-2</v>
      </c>
      <c r="AB107" s="21">
        <v>97</v>
      </c>
      <c r="AC107" s="21">
        <v>1.31073</v>
      </c>
      <c r="AD107">
        <f t="shared" si="16"/>
        <v>10.9039</v>
      </c>
      <c r="AE107">
        <f t="shared" si="17"/>
        <v>14.300355811000001</v>
      </c>
      <c r="AF107" s="9"/>
      <c r="AG107" s="21">
        <v>0.38848899999999997</v>
      </c>
      <c r="AH107" s="21">
        <v>499.96</v>
      </c>
      <c r="AI107" s="21">
        <v>-1.20911E-2</v>
      </c>
      <c r="AJ107" s="21">
        <v>97</v>
      </c>
      <c r="AK107" s="21">
        <v>0.388214</v>
      </c>
      <c r="AL107">
        <f t="shared" si="18"/>
        <v>12.091100000000001</v>
      </c>
      <c r="AM107">
        <f t="shared" si="19"/>
        <v>4.6972593479000002</v>
      </c>
      <c r="AP107" s="9"/>
      <c r="AQ107" s="21">
        <v>1.31149</v>
      </c>
      <c r="AR107" s="21">
        <v>656.649</v>
      </c>
      <c r="AS107" s="21">
        <v>-1.09833E-2</v>
      </c>
      <c r="AT107" s="21">
        <v>97</v>
      </c>
      <c r="AU107" s="21">
        <v>1.3104199999999999</v>
      </c>
      <c r="AV107">
        <f t="shared" si="20"/>
        <v>10.9833</v>
      </c>
      <c r="AW107">
        <f t="shared" si="21"/>
        <v>14.404488117</v>
      </c>
      <c r="AX107" s="9"/>
      <c r="AY107" s="21">
        <v>0.38848899999999997</v>
      </c>
      <c r="AZ107" s="21">
        <v>746.74400000000003</v>
      </c>
      <c r="BA107" s="21">
        <v>-1.23047E-2</v>
      </c>
      <c r="BB107" s="21">
        <v>97</v>
      </c>
      <c r="BC107" s="21">
        <v>0.38818399999999997</v>
      </c>
      <c r="BD107">
        <f t="shared" si="22"/>
        <v>12.3047</v>
      </c>
      <c r="BE107">
        <f t="shared" si="23"/>
        <v>4.7802405982999998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153.23400000000001</v>
      </c>
      <c r="I108" s="21">
        <v>-1.10443E-2</v>
      </c>
      <c r="J108" s="21">
        <v>98</v>
      </c>
      <c r="K108" s="21">
        <v>1.3055399999999999</v>
      </c>
      <c r="L108">
        <f t="shared" si="12"/>
        <v>11.0443</v>
      </c>
      <c r="M108">
        <f t="shared" si="13"/>
        <v>14.428936177999999</v>
      </c>
      <c r="N108" s="9"/>
      <c r="O108" s="21">
        <v>0.39352399999999998</v>
      </c>
      <c r="P108" s="21">
        <v>237.21799999999999</v>
      </c>
      <c r="Q108" s="21">
        <v>-1.20514E-2</v>
      </c>
      <c r="R108" s="21">
        <v>98</v>
      </c>
      <c r="S108" s="21">
        <v>0.39331100000000002</v>
      </c>
      <c r="T108">
        <f t="shared" si="14"/>
        <v>12.051400000000001</v>
      </c>
      <c r="U108">
        <f t="shared" si="15"/>
        <v>4.7425151336000004</v>
      </c>
      <c r="X108" s="9"/>
      <c r="Y108" s="21">
        <v>1.30646</v>
      </c>
      <c r="Z108" s="21">
        <v>443.38600000000002</v>
      </c>
      <c r="AA108" s="21">
        <v>-1.09009E-2</v>
      </c>
      <c r="AB108" s="21">
        <v>98</v>
      </c>
      <c r="AC108" s="21">
        <v>1.30585</v>
      </c>
      <c r="AD108">
        <f t="shared" si="16"/>
        <v>10.9009</v>
      </c>
      <c r="AE108">
        <f t="shared" si="17"/>
        <v>14.241589813999999</v>
      </c>
      <c r="AF108" s="9"/>
      <c r="AG108" s="21">
        <v>0.39352399999999998</v>
      </c>
      <c r="AH108" s="21">
        <v>500.06099999999998</v>
      </c>
      <c r="AI108" s="21">
        <v>-1.2088E-2</v>
      </c>
      <c r="AJ108" s="21">
        <v>98</v>
      </c>
      <c r="AK108" s="21">
        <v>0.39328000000000002</v>
      </c>
      <c r="AL108">
        <f t="shared" si="18"/>
        <v>12.087999999999999</v>
      </c>
      <c r="AM108">
        <f t="shared" si="19"/>
        <v>4.7569181119999993</v>
      </c>
      <c r="AP108" s="9"/>
      <c r="AQ108" s="21">
        <v>1.30646</v>
      </c>
      <c r="AR108" s="21">
        <v>656.75</v>
      </c>
      <c r="AS108" s="21">
        <v>-1.09894E-2</v>
      </c>
      <c r="AT108" s="21">
        <v>98</v>
      </c>
      <c r="AU108" s="21">
        <v>1.3055399999999999</v>
      </c>
      <c r="AV108">
        <f t="shared" si="20"/>
        <v>10.9894</v>
      </c>
      <c r="AW108">
        <f t="shared" si="21"/>
        <v>14.357211523999998</v>
      </c>
      <c r="AX108" s="9"/>
      <c r="AY108" s="21">
        <v>0.39352399999999998</v>
      </c>
      <c r="AZ108" s="21">
        <v>746.84500000000003</v>
      </c>
      <c r="BA108" s="21">
        <v>-1.23047E-2</v>
      </c>
      <c r="BB108" s="21">
        <v>98</v>
      </c>
      <c r="BC108" s="21">
        <v>0.393341</v>
      </c>
      <c r="BD108">
        <f t="shared" si="22"/>
        <v>12.3047</v>
      </c>
      <c r="BE108">
        <f t="shared" si="23"/>
        <v>4.8421947628000002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153.33500000000001</v>
      </c>
      <c r="I109" s="21">
        <v>-1.10443E-2</v>
      </c>
      <c r="J109" s="21">
        <v>99</v>
      </c>
      <c r="K109" s="21">
        <v>1.3009599999999999</v>
      </c>
      <c r="L109">
        <f t="shared" si="12"/>
        <v>11.0443</v>
      </c>
      <c r="M109">
        <f t="shared" si="13"/>
        <v>14.373272906</v>
      </c>
      <c r="N109" s="9"/>
      <c r="O109" s="21">
        <v>0.39856000000000003</v>
      </c>
      <c r="P109" s="21">
        <v>237.31899999999999</v>
      </c>
      <c r="Q109" s="21">
        <v>-1.20544E-2</v>
      </c>
      <c r="R109" s="21">
        <v>99</v>
      </c>
      <c r="S109" s="21">
        <v>0.398285</v>
      </c>
      <c r="T109">
        <f t="shared" si="14"/>
        <v>12.054399999999999</v>
      </c>
      <c r="U109">
        <f t="shared" si="15"/>
        <v>4.8044016640000002</v>
      </c>
      <c r="X109" s="9"/>
      <c r="Y109" s="21">
        <v>1.30142</v>
      </c>
      <c r="Z109" s="21">
        <v>443.48700000000002</v>
      </c>
      <c r="AA109" s="21">
        <v>-1.09161E-2</v>
      </c>
      <c r="AB109" s="21">
        <v>99</v>
      </c>
      <c r="AC109" s="21">
        <v>1.3009599999999999</v>
      </c>
      <c r="AD109">
        <f t="shared" si="16"/>
        <v>10.9161</v>
      </c>
      <c r="AE109">
        <f t="shared" si="17"/>
        <v>14.206430862000001</v>
      </c>
      <c r="AF109" s="9"/>
      <c r="AG109" s="21">
        <v>0.39856000000000003</v>
      </c>
      <c r="AH109" s="21">
        <v>500.16199999999998</v>
      </c>
      <c r="AI109" s="21">
        <v>-1.20789E-2</v>
      </c>
      <c r="AJ109" s="21">
        <v>99</v>
      </c>
      <c r="AK109" s="21">
        <v>0.39834599999999998</v>
      </c>
      <c r="AL109">
        <f t="shared" si="18"/>
        <v>12.078900000000001</v>
      </c>
      <c r="AM109">
        <f t="shared" si="19"/>
        <v>4.8141663840000009</v>
      </c>
      <c r="AP109" s="9"/>
      <c r="AQ109" s="21">
        <v>1.30142</v>
      </c>
      <c r="AR109" s="21">
        <v>656.85</v>
      </c>
      <c r="AS109" s="21">
        <v>-1.09985E-2</v>
      </c>
      <c r="AT109" s="21">
        <v>99</v>
      </c>
      <c r="AU109" s="21">
        <v>1.3006599999999999</v>
      </c>
      <c r="AV109">
        <f t="shared" si="20"/>
        <v>10.9985</v>
      </c>
      <c r="AW109">
        <f t="shared" si="21"/>
        <v>14.31366787</v>
      </c>
      <c r="AX109" s="9"/>
      <c r="AY109" s="21">
        <v>0.39856000000000003</v>
      </c>
      <c r="AZ109" s="21">
        <v>746.94600000000003</v>
      </c>
      <c r="BA109" s="21">
        <v>-1.2301599999999999E-2</v>
      </c>
      <c r="BB109" s="21">
        <v>99</v>
      </c>
      <c r="BC109" s="21">
        <v>0.398285</v>
      </c>
      <c r="BD109">
        <f t="shared" si="22"/>
        <v>12.301599999999999</v>
      </c>
      <c r="BE109">
        <f t="shared" si="23"/>
        <v>4.9029256959999996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153.435</v>
      </c>
      <c r="I110" s="21">
        <v>-1.10504E-2</v>
      </c>
      <c r="J110" s="21">
        <v>100</v>
      </c>
      <c r="K110" s="21">
        <v>1.2960799999999999</v>
      </c>
      <c r="L110">
        <f t="shared" si="12"/>
        <v>11.0504</v>
      </c>
      <c r="M110">
        <f t="shared" si="13"/>
        <v>14.325628055999999</v>
      </c>
      <c r="N110" s="9"/>
      <c r="O110" s="21">
        <v>0.40359499999999998</v>
      </c>
      <c r="P110" s="21">
        <v>237.42</v>
      </c>
      <c r="Q110" s="21">
        <v>-1.20483E-2</v>
      </c>
      <c r="R110" s="21">
        <v>100</v>
      </c>
      <c r="S110" s="21">
        <v>0.40335100000000002</v>
      </c>
      <c r="T110">
        <f t="shared" si="14"/>
        <v>12.048299999999999</v>
      </c>
      <c r="U110">
        <f t="shared" si="15"/>
        <v>4.8626336384999993</v>
      </c>
      <c r="X110" s="9"/>
      <c r="Y110" s="21">
        <v>1.2963899999999999</v>
      </c>
      <c r="Z110" s="21">
        <v>443.58699999999999</v>
      </c>
      <c r="AA110" s="21">
        <v>-1.09161E-2</v>
      </c>
      <c r="AB110" s="21">
        <v>100</v>
      </c>
      <c r="AC110" s="21">
        <v>1.2957799999999999</v>
      </c>
      <c r="AD110">
        <f t="shared" si="16"/>
        <v>10.9161</v>
      </c>
      <c r="AE110">
        <f t="shared" si="17"/>
        <v>14.151522879</v>
      </c>
      <c r="AF110" s="9"/>
      <c r="AG110" s="21">
        <v>0.40359499999999998</v>
      </c>
      <c r="AH110" s="21">
        <v>500.262</v>
      </c>
      <c r="AI110" s="21">
        <v>-1.20728E-2</v>
      </c>
      <c r="AJ110" s="21">
        <v>100</v>
      </c>
      <c r="AK110" s="21">
        <v>0.40335100000000002</v>
      </c>
      <c r="AL110">
        <f t="shared" si="18"/>
        <v>12.072799999999999</v>
      </c>
      <c r="AM110">
        <f t="shared" si="19"/>
        <v>4.8725217159999996</v>
      </c>
      <c r="AP110" s="9"/>
      <c r="AQ110" s="21">
        <v>1.2963899999999999</v>
      </c>
      <c r="AR110" s="21">
        <v>656.95100000000002</v>
      </c>
      <c r="AS110" s="21">
        <v>-1.10107E-2</v>
      </c>
      <c r="AT110" s="21">
        <v>100</v>
      </c>
      <c r="AU110" s="21">
        <v>1.2954699999999999</v>
      </c>
      <c r="AV110">
        <f t="shared" si="20"/>
        <v>11.0107</v>
      </c>
      <c r="AW110">
        <f t="shared" si="21"/>
        <v>14.274161372999998</v>
      </c>
      <c r="AX110" s="9"/>
      <c r="AY110" s="21">
        <v>0.40359499999999998</v>
      </c>
      <c r="AZ110" s="21">
        <v>747.04600000000005</v>
      </c>
      <c r="BA110" s="21">
        <v>-1.2289400000000001E-2</v>
      </c>
      <c r="BB110" s="21">
        <v>100</v>
      </c>
      <c r="BC110" s="21">
        <v>0.40325899999999998</v>
      </c>
      <c r="BD110">
        <f t="shared" si="22"/>
        <v>12.289400000000001</v>
      </c>
      <c r="BE110">
        <f t="shared" si="23"/>
        <v>4.9599403930000001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153.536</v>
      </c>
      <c r="I111" s="21">
        <v>-1.10565E-2</v>
      </c>
      <c r="J111" s="21">
        <v>101</v>
      </c>
      <c r="K111" s="21">
        <v>1.2908900000000001</v>
      </c>
      <c r="L111">
        <f t="shared" si="12"/>
        <v>11.0565</v>
      </c>
      <c r="M111">
        <f t="shared" si="13"/>
        <v>14.277811274999999</v>
      </c>
      <c r="N111" s="9"/>
      <c r="O111" s="21">
        <v>0.40862999999999999</v>
      </c>
      <c r="P111" s="21">
        <v>237.52</v>
      </c>
      <c r="Q111" s="21">
        <v>-1.20483E-2</v>
      </c>
      <c r="R111" s="21">
        <v>101</v>
      </c>
      <c r="S111" s="21">
        <v>0.40832499999999999</v>
      </c>
      <c r="T111">
        <f t="shared" si="14"/>
        <v>12.048299999999999</v>
      </c>
      <c r="U111">
        <f t="shared" si="15"/>
        <v>4.9232968289999999</v>
      </c>
      <c r="X111" s="9"/>
      <c r="Y111" s="21">
        <v>1.29135</v>
      </c>
      <c r="Z111" s="21">
        <v>443.68799999999999</v>
      </c>
      <c r="AA111" s="21">
        <v>-1.09192E-2</v>
      </c>
      <c r="AB111" s="21">
        <v>101</v>
      </c>
      <c r="AC111" s="21">
        <v>1.2908900000000001</v>
      </c>
      <c r="AD111">
        <f t="shared" si="16"/>
        <v>10.9192</v>
      </c>
      <c r="AE111">
        <f t="shared" si="17"/>
        <v>14.100508919999999</v>
      </c>
      <c r="AF111" s="9"/>
      <c r="AG111" s="21">
        <v>0.40862999999999999</v>
      </c>
      <c r="AH111" s="21">
        <v>500.363</v>
      </c>
      <c r="AI111" s="21">
        <v>-1.21338E-2</v>
      </c>
      <c r="AJ111" s="21">
        <v>101</v>
      </c>
      <c r="AK111" s="21">
        <v>0.40838600000000003</v>
      </c>
      <c r="AL111">
        <f t="shared" si="18"/>
        <v>12.133800000000001</v>
      </c>
      <c r="AM111">
        <f t="shared" si="19"/>
        <v>4.9582346940000006</v>
      </c>
      <c r="AP111" s="9"/>
      <c r="AQ111" s="21">
        <v>1.29135</v>
      </c>
      <c r="AR111" s="21">
        <v>657.05200000000002</v>
      </c>
      <c r="AS111" s="21">
        <v>-1.10168E-2</v>
      </c>
      <c r="AT111" s="21">
        <v>101</v>
      </c>
      <c r="AU111" s="21">
        <v>1.2908900000000001</v>
      </c>
      <c r="AV111">
        <f t="shared" si="20"/>
        <v>11.0168</v>
      </c>
      <c r="AW111">
        <f t="shared" si="21"/>
        <v>14.22654468</v>
      </c>
      <c r="AX111" s="9"/>
      <c r="AY111" s="21">
        <v>0.40862999999999999</v>
      </c>
      <c r="AZ111" s="21">
        <v>747.14700000000005</v>
      </c>
      <c r="BA111" s="21">
        <v>-1.22925E-2</v>
      </c>
      <c r="BB111" s="21">
        <v>101</v>
      </c>
      <c r="BC111" s="21">
        <v>0.40832499999999999</v>
      </c>
      <c r="BD111">
        <f t="shared" si="22"/>
        <v>12.2925</v>
      </c>
      <c r="BE111">
        <f t="shared" si="23"/>
        <v>5.0230842750000004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153.637</v>
      </c>
      <c r="I112" s="21">
        <v>-1.1053500000000001E-2</v>
      </c>
      <c r="J112" s="21">
        <v>102</v>
      </c>
      <c r="K112" s="21">
        <v>1.2854000000000001</v>
      </c>
      <c r="L112">
        <f t="shared" si="12"/>
        <v>11.053500000000001</v>
      </c>
      <c r="M112">
        <f t="shared" si="13"/>
        <v>14.21833812</v>
      </c>
      <c r="N112" s="9"/>
      <c r="O112" s="21">
        <v>0.41366599999999998</v>
      </c>
      <c r="P112" s="21">
        <v>237.62100000000001</v>
      </c>
      <c r="Q112" s="21">
        <v>-1.2036099999999999E-2</v>
      </c>
      <c r="R112" s="21">
        <v>102</v>
      </c>
      <c r="S112" s="21">
        <v>0.41342200000000001</v>
      </c>
      <c r="T112">
        <f t="shared" si="14"/>
        <v>12.036099999999999</v>
      </c>
      <c r="U112">
        <f t="shared" si="15"/>
        <v>4.9789253425999993</v>
      </c>
      <c r="X112" s="9"/>
      <c r="Y112" s="21">
        <v>1.2863199999999999</v>
      </c>
      <c r="Z112" s="21">
        <v>443.78899999999999</v>
      </c>
      <c r="AA112" s="21">
        <v>-1.09283E-2</v>
      </c>
      <c r="AB112" s="21">
        <v>102</v>
      </c>
      <c r="AC112" s="21">
        <v>1.2857099999999999</v>
      </c>
      <c r="AD112">
        <f t="shared" si="16"/>
        <v>10.9283</v>
      </c>
      <c r="AE112">
        <f t="shared" si="17"/>
        <v>14.057290856</v>
      </c>
      <c r="AF112" s="9"/>
      <c r="AG112" s="21">
        <v>0.41366599999999998</v>
      </c>
      <c r="AH112" s="21">
        <v>500.464</v>
      </c>
      <c r="AI112" s="21">
        <v>-1.20667E-2</v>
      </c>
      <c r="AJ112" s="21">
        <v>102</v>
      </c>
      <c r="AK112" s="21">
        <v>0.41336099999999998</v>
      </c>
      <c r="AL112">
        <f t="shared" si="18"/>
        <v>12.066699999999999</v>
      </c>
      <c r="AM112">
        <f t="shared" si="19"/>
        <v>4.9915835221999991</v>
      </c>
      <c r="AP112" s="9"/>
      <c r="AQ112" s="21">
        <v>1.2863199999999999</v>
      </c>
      <c r="AR112" s="21">
        <v>657.15200000000004</v>
      </c>
      <c r="AS112" s="21">
        <v>-1.10291E-2</v>
      </c>
      <c r="AT112" s="21">
        <v>102</v>
      </c>
      <c r="AU112" s="21">
        <v>1.2860100000000001</v>
      </c>
      <c r="AV112">
        <f t="shared" si="20"/>
        <v>11.0291</v>
      </c>
      <c r="AW112">
        <f t="shared" si="21"/>
        <v>14.186951911999998</v>
      </c>
      <c r="AX112" s="9"/>
      <c r="AY112" s="21">
        <v>0.41366599999999998</v>
      </c>
      <c r="AZ112" s="21">
        <v>747.24800000000005</v>
      </c>
      <c r="BA112" s="21">
        <v>-1.2286399999999999E-2</v>
      </c>
      <c r="BB112" s="21">
        <v>102</v>
      </c>
      <c r="BC112" s="21">
        <v>0.41342200000000001</v>
      </c>
      <c r="BD112">
        <f t="shared" si="22"/>
        <v>12.286399999999999</v>
      </c>
      <c r="BE112">
        <f t="shared" si="23"/>
        <v>5.0824659423999989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153.73699999999999</v>
      </c>
      <c r="I113" s="21">
        <v>-1.1065699999999999E-2</v>
      </c>
      <c r="J113" s="21">
        <v>103</v>
      </c>
      <c r="K113" s="21">
        <v>1.2802100000000001</v>
      </c>
      <c r="L113">
        <f t="shared" si="12"/>
        <v>11.0657</v>
      </c>
      <c r="M113">
        <f t="shared" si="13"/>
        <v>14.178260095999999</v>
      </c>
      <c r="N113" s="9"/>
      <c r="O113" s="21">
        <v>0.41870099999999999</v>
      </c>
      <c r="P113" s="21">
        <v>237.72200000000001</v>
      </c>
      <c r="Q113" s="21">
        <v>-1.2026999999999999E-2</v>
      </c>
      <c r="R113" s="21">
        <v>103</v>
      </c>
      <c r="S113" s="21">
        <v>0.41842699999999999</v>
      </c>
      <c r="T113">
        <f t="shared" si="14"/>
        <v>12.026999999999999</v>
      </c>
      <c r="U113">
        <f t="shared" si="15"/>
        <v>5.0357169269999993</v>
      </c>
      <c r="X113" s="9"/>
      <c r="Y113" s="21">
        <v>1.28128</v>
      </c>
      <c r="Z113" s="21">
        <v>443.88900000000001</v>
      </c>
      <c r="AA113" s="21">
        <v>-1.0931400000000001E-2</v>
      </c>
      <c r="AB113" s="21">
        <v>103</v>
      </c>
      <c r="AC113" s="21">
        <v>1.2802100000000001</v>
      </c>
      <c r="AD113">
        <f t="shared" si="16"/>
        <v>10.9314</v>
      </c>
      <c r="AE113">
        <f t="shared" si="17"/>
        <v>14.006184191999999</v>
      </c>
      <c r="AF113" s="9"/>
      <c r="AG113" s="21">
        <v>0.41870099999999999</v>
      </c>
      <c r="AH113" s="21">
        <v>500.56400000000002</v>
      </c>
      <c r="AI113" s="21">
        <v>-1.2063600000000001E-2</v>
      </c>
      <c r="AJ113" s="21">
        <v>103</v>
      </c>
      <c r="AK113" s="21">
        <v>0.41845700000000002</v>
      </c>
      <c r="AL113">
        <f t="shared" si="18"/>
        <v>12.063600000000001</v>
      </c>
      <c r="AM113">
        <f t="shared" si="19"/>
        <v>5.0510413836000003</v>
      </c>
      <c r="AP113" s="9"/>
      <c r="AQ113" s="21">
        <v>1.28128</v>
      </c>
      <c r="AR113" s="21">
        <v>657.25300000000004</v>
      </c>
      <c r="AS113" s="21">
        <v>-1.10321E-2</v>
      </c>
      <c r="AT113" s="21">
        <v>103</v>
      </c>
      <c r="AU113" s="21">
        <v>1.2802100000000001</v>
      </c>
      <c r="AV113">
        <f t="shared" si="20"/>
        <v>11.0321</v>
      </c>
      <c r="AW113">
        <f t="shared" si="21"/>
        <v>14.135209088</v>
      </c>
      <c r="AX113" s="9"/>
      <c r="AY113" s="21">
        <v>0.41870099999999999</v>
      </c>
      <c r="AZ113" s="21">
        <v>747.34900000000005</v>
      </c>
      <c r="BA113" s="21">
        <v>-1.22833E-2</v>
      </c>
      <c r="BB113" s="21">
        <v>103</v>
      </c>
      <c r="BC113" s="21">
        <v>0.41845700000000002</v>
      </c>
      <c r="BD113">
        <f t="shared" si="22"/>
        <v>12.283300000000001</v>
      </c>
      <c r="BE113">
        <f t="shared" si="23"/>
        <v>5.1430299932999999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153.83799999999999</v>
      </c>
      <c r="I114" s="21">
        <v>-1.11389E-2</v>
      </c>
      <c r="J114" s="21">
        <v>104</v>
      </c>
      <c r="K114" s="21">
        <v>1.2753300000000001</v>
      </c>
      <c r="L114">
        <f t="shared" si="12"/>
        <v>11.1389</v>
      </c>
      <c r="M114">
        <f t="shared" si="13"/>
        <v>14.216021125000001</v>
      </c>
      <c r="N114" s="9"/>
      <c r="O114" s="21">
        <v>0.42373699999999997</v>
      </c>
      <c r="P114" s="21">
        <v>237.82300000000001</v>
      </c>
      <c r="Q114" s="21">
        <v>-1.2026999999999999E-2</v>
      </c>
      <c r="R114" s="21">
        <v>104</v>
      </c>
      <c r="S114" s="21">
        <v>0.423431</v>
      </c>
      <c r="T114">
        <f t="shared" si="14"/>
        <v>12.026999999999999</v>
      </c>
      <c r="U114">
        <f t="shared" si="15"/>
        <v>5.0962848989999996</v>
      </c>
      <c r="X114" s="9"/>
      <c r="Y114" s="21">
        <v>1.2762500000000001</v>
      </c>
      <c r="Z114" s="21">
        <v>443.99</v>
      </c>
      <c r="AA114" s="21">
        <v>-1.0937499999999999E-2</v>
      </c>
      <c r="AB114" s="21">
        <v>104</v>
      </c>
      <c r="AC114" s="21">
        <v>1.2753300000000001</v>
      </c>
      <c r="AD114">
        <f t="shared" si="16"/>
        <v>10.9375</v>
      </c>
      <c r="AE114">
        <f t="shared" si="17"/>
        <v>13.958984375000002</v>
      </c>
      <c r="AF114" s="9"/>
      <c r="AG114" s="21">
        <v>0.42373699999999997</v>
      </c>
      <c r="AH114" s="21">
        <v>500.66500000000002</v>
      </c>
      <c r="AI114" s="21">
        <v>-1.2057500000000001E-2</v>
      </c>
      <c r="AJ114" s="21">
        <v>104</v>
      </c>
      <c r="AK114" s="21">
        <v>0.42340100000000003</v>
      </c>
      <c r="AL114">
        <f t="shared" si="18"/>
        <v>12.057500000000001</v>
      </c>
      <c r="AM114">
        <f t="shared" si="19"/>
        <v>5.1092088775000004</v>
      </c>
      <c r="AP114" s="9"/>
      <c r="AQ114" s="21">
        <v>1.2762500000000001</v>
      </c>
      <c r="AR114" s="21">
        <v>657.35400000000004</v>
      </c>
      <c r="AS114" s="21">
        <v>-1.1236599999999999E-2</v>
      </c>
      <c r="AT114" s="21">
        <v>104</v>
      </c>
      <c r="AU114" s="21">
        <v>1.27502</v>
      </c>
      <c r="AV114">
        <f t="shared" si="20"/>
        <v>11.236599999999999</v>
      </c>
      <c r="AW114">
        <f t="shared" si="21"/>
        <v>14.34071075</v>
      </c>
      <c r="AX114" s="9"/>
      <c r="AY114" s="21">
        <v>0.42373699999999997</v>
      </c>
      <c r="AZ114" s="21">
        <v>747.44899999999996</v>
      </c>
      <c r="BA114" s="21">
        <v>-1.22772E-2</v>
      </c>
      <c r="BB114" s="21">
        <v>104</v>
      </c>
      <c r="BC114" s="21">
        <v>0.42349199999999998</v>
      </c>
      <c r="BD114">
        <f t="shared" si="22"/>
        <v>12.277200000000001</v>
      </c>
      <c r="BE114">
        <f t="shared" si="23"/>
        <v>5.2023038964000001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153.93899999999999</v>
      </c>
      <c r="I115" s="21">
        <v>-1.11389E-2</v>
      </c>
      <c r="J115" s="21">
        <v>105</v>
      </c>
      <c r="K115" s="21">
        <v>1.2698400000000001</v>
      </c>
      <c r="L115">
        <f t="shared" si="12"/>
        <v>11.1389</v>
      </c>
      <c r="M115">
        <f t="shared" si="13"/>
        <v>14.159881068999999</v>
      </c>
      <c r="N115" s="9"/>
      <c r="O115" s="21">
        <v>0.42877199999999999</v>
      </c>
      <c r="P115" s="21">
        <v>237.923</v>
      </c>
      <c r="Q115" s="21">
        <v>-1.2020899999999999E-2</v>
      </c>
      <c r="R115" s="21">
        <v>105</v>
      </c>
      <c r="S115" s="21">
        <v>0.42852800000000002</v>
      </c>
      <c r="T115">
        <f t="shared" si="14"/>
        <v>12.020899999999999</v>
      </c>
      <c r="U115">
        <f t="shared" si="15"/>
        <v>5.1542253347999996</v>
      </c>
      <c r="X115" s="9"/>
      <c r="Y115" s="21">
        <v>1.27121</v>
      </c>
      <c r="Z115" s="21">
        <v>444.09100000000001</v>
      </c>
      <c r="AA115" s="21">
        <v>-1.09467E-2</v>
      </c>
      <c r="AB115" s="21">
        <v>105</v>
      </c>
      <c r="AC115" s="21">
        <v>1.27075</v>
      </c>
      <c r="AD115">
        <f t="shared" si="16"/>
        <v>10.9467</v>
      </c>
      <c r="AE115">
        <f t="shared" si="17"/>
        <v>13.915554507</v>
      </c>
      <c r="AF115" s="9"/>
      <c r="AG115" s="21">
        <v>0.42877199999999999</v>
      </c>
      <c r="AH115" s="21">
        <v>500.76600000000002</v>
      </c>
      <c r="AI115" s="21">
        <v>-1.20514E-2</v>
      </c>
      <c r="AJ115" s="21">
        <v>105</v>
      </c>
      <c r="AK115" s="21">
        <v>0.42852800000000002</v>
      </c>
      <c r="AL115">
        <f t="shared" si="18"/>
        <v>12.051400000000001</v>
      </c>
      <c r="AM115">
        <f t="shared" si="19"/>
        <v>5.1673028808000003</v>
      </c>
      <c r="AP115" s="9"/>
      <c r="AQ115" s="21">
        <v>1.27121</v>
      </c>
      <c r="AR115" s="21">
        <v>657.45500000000004</v>
      </c>
      <c r="AS115" s="21">
        <v>-1.11053E-2</v>
      </c>
      <c r="AT115" s="21">
        <v>105</v>
      </c>
      <c r="AU115" s="21">
        <v>1.27014</v>
      </c>
      <c r="AV115">
        <f t="shared" si="20"/>
        <v>11.1053</v>
      </c>
      <c r="AW115">
        <f t="shared" si="21"/>
        <v>14.117168413</v>
      </c>
      <c r="AX115" s="9"/>
      <c r="AY115" s="21">
        <v>0.42877199999999999</v>
      </c>
      <c r="AZ115" s="21">
        <v>747.55</v>
      </c>
      <c r="BA115" s="21">
        <v>-1.2280299999999999E-2</v>
      </c>
      <c r="BB115" s="21">
        <v>105</v>
      </c>
      <c r="BC115" s="21">
        <v>0.42852800000000002</v>
      </c>
      <c r="BD115">
        <f t="shared" si="22"/>
        <v>12.280299999999999</v>
      </c>
      <c r="BE115">
        <f t="shared" si="23"/>
        <v>5.265448791599999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154.04</v>
      </c>
      <c r="I116" s="21">
        <v>-1.1145E-2</v>
      </c>
      <c r="J116" s="21">
        <v>106</v>
      </c>
      <c r="K116" s="21">
        <v>1.26556</v>
      </c>
      <c r="L116">
        <f t="shared" si="12"/>
        <v>11.145</v>
      </c>
      <c r="M116">
        <f t="shared" si="13"/>
        <v>14.11146465</v>
      </c>
      <c r="N116" s="9"/>
      <c r="O116" s="21">
        <v>0.433807</v>
      </c>
      <c r="P116" s="21">
        <v>238.024</v>
      </c>
      <c r="Q116" s="21">
        <v>-1.20117E-2</v>
      </c>
      <c r="R116" s="21">
        <v>106</v>
      </c>
      <c r="S116" s="21">
        <v>0.43356299999999998</v>
      </c>
      <c r="T116">
        <f t="shared" si="14"/>
        <v>12.011699999999999</v>
      </c>
      <c r="U116">
        <f t="shared" si="15"/>
        <v>5.2107595418999999</v>
      </c>
      <c r="X116" s="9"/>
      <c r="Y116" s="21">
        <v>1.26617</v>
      </c>
      <c r="Z116" s="21">
        <v>444.19200000000001</v>
      </c>
      <c r="AA116" s="21">
        <v>-1.09467E-2</v>
      </c>
      <c r="AB116" s="21">
        <v>106</v>
      </c>
      <c r="AC116" s="21">
        <v>1.2652600000000001</v>
      </c>
      <c r="AD116">
        <f t="shared" si="16"/>
        <v>10.9467</v>
      </c>
      <c r="AE116">
        <f t="shared" si="17"/>
        <v>13.860383139</v>
      </c>
      <c r="AF116" s="9"/>
      <c r="AG116" s="21">
        <v>0.433807</v>
      </c>
      <c r="AH116" s="21">
        <v>500.86700000000002</v>
      </c>
      <c r="AI116" s="21">
        <v>-1.20453E-2</v>
      </c>
      <c r="AJ116" s="21">
        <v>106</v>
      </c>
      <c r="AK116" s="21">
        <v>0.433502</v>
      </c>
      <c r="AL116">
        <f t="shared" si="18"/>
        <v>12.045299999999999</v>
      </c>
      <c r="AM116">
        <f t="shared" si="19"/>
        <v>5.2253354570999999</v>
      </c>
      <c r="AP116" s="9"/>
      <c r="AQ116" s="21">
        <v>1.26617</v>
      </c>
      <c r="AR116" s="21">
        <v>657.55499999999995</v>
      </c>
      <c r="AS116" s="21">
        <v>-1.11053E-2</v>
      </c>
      <c r="AT116" s="21">
        <v>106</v>
      </c>
      <c r="AU116" s="21">
        <v>1.26556</v>
      </c>
      <c r="AV116">
        <f t="shared" si="20"/>
        <v>11.1053</v>
      </c>
      <c r="AW116">
        <f t="shared" si="21"/>
        <v>14.061197700999999</v>
      </c>
      <c r="AX116" s="9"/>
      <c r="AY116" s="21">
        <v>0.433807</v>
      </c>
      <c r="AZ116" s="21">
        <v>747.65099999999995</v>
      </c>
      <c r="BA116" s="21">
        <v>-1.2274200000000001E-2</v>
      </c>
      <c r="BB116" s="21">
        <v>106</v>
      </c>
      <c r="BC116" s="21">
        <v>0.433533</v>
      </c>
      <c r="BD116">
        <f t="shared" si="22"/>
        <v>12.2742</v>
      </c>
      <c r="BE116">
        <f t="shared" si="23"/>
        <v>5.3246338794000003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154.13999999999999</v>
      </c>
      <c r="I117" s="21">
        <v>-1.1151100000000001E-2</v>
      </c>
      <c r="J117" s="21">
        <v>107</v>
      </c>
      <c r="K117" s="21">
        <v>1.26068</v>
      </c>
      <c r="L117">
        <f t="shared" si="12"/>
        <v>11.151100000000001</v>
      </c>
      <c r="M117">
        <f t="shared" si="13"/>
        <v>14.063098254000002</v>
      </c>
      <c r="N117" s="9"/>
      <c r="O117" s="21">
        <v>0.43884299999999998</v>
      </c>
      <c r="P117" s="21">
        <v>238.125</v>
      </c>
      <c r="Q117" s="21">
        <v>-1.20026E-2</v>
      </c>
      <c r="R117" s="21">
        <v>107</v>
      </c>
      <c r="S117" s="21">
        <v>0.43853799999999998</v>
      </c>
      <c r="T117">
        <f t="shared" si="14"/>
        <v>12.002600000000001</v>
      </c>
      <c r="U117">
        <f t="shared" si="15"/>
        <v>5.2672569918000001</v>
      </c>
      <c r="X117" s="9"/>
      <c r="Y117" s="21">
        <v>1.2611399999999999</v>
      </c>
      <c r="Z117" s="21">
        <v>444.29199999999997</v>
      </c>
      <c r="AA117" s="21">
        <v>-1.09467E-2</v>
      </c>
      <c r="AB117" s="21">
        <v>107</v>
      </c>
      <c r="AC117" s="21">
        <v>1.2603800000000001</v>
      </c>
      <c r="AD117">
        <f t="shared" si="16"/>
        <v>10.9467</v>
      </c>
      <c r="AE117">
        <f t="shared" si="17"/>
        <v>13.805321237999999</v>
      </c>
      <c r="AF117" s="9"/>
      <c r="AG117" s="21">
        <v>0.43884299999999998</v>
      </c>
      <c r="AH117" s="21">
        <v>500.96699999999998</v>
      </c>
      <c r="AI117" s="21">
        <v>-1.2042199999999999E-2</v>
      </c>
      <c r="AJ117" s="21">
        <v>107</v>
      </c>
      <c r="AK117" s="21">
        <v>0.43862899999999999</v>
      </c>
      <c r="AL117">
        <f t="shared" si="18"/>
        <v>12.042199999999999</v>
      </c>
      <c r="AM117">
        <f t="shared" si="19"/>
        <v>5.2846351745999991</v>
      </c>
      <c r="AP117" s="9"/>
      <c r="AQ117" s="21">
        <v>1.2611399999999999</v>
      </c>
      <c r="AR117" s="21">
        <v>657.65599999999995</v>
      </c>
      <c r="AS117" s="21">
        <v>-1.1080899999999999E-2</v>
      </c>
      <c r="AT117" s="21">
        <v>107</v>
      </c>
      <c r="AU117" s="21">
        <v>1.26007</v>
      </c>
      <c r="AV117">
        <f t="shared" si="20"/>
        <v>11.0809</v>
      </c>
      <c r="AW117">
        <f t="shared" si="21"/>
        <v>13.974566225999999</v>
      </c>
      <c r="AX117" s="9"/>
      <c r="AY117" s="21">
        <v>0.43884299999999998</v>
      </c>
      <c r="AZ117" s="21">
        <v>747.75099999999998</v>
      </c>
      <c r="BA117" s="21">
        <v>-1.22589E-2</v>
      </c>
      <c r="BB117" s="21">
        <v>107</v>
      </c>
      <c r="BC117" s="21">
        <v>0.43847700000000001</v>
      </c>
      <c r="BD117">
        <f t="shared" si="22"/>
        <v>12.258899999999999</v>
      </c>
      <c r="BE117">
        <f t="shared" si="23"/>
        <v>5.379732452699999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154.24100000000001</v>
      </c>
      <c r="I118" s="21">
        <v>-1.1157200000000001E-2</v>
      </c>
      <c r="J118" s="21">
        <v>108</v>
      </c>
      <c r="K118" s="21">
        <v>1.25549</v>
      </c>
      <c r="L118">
        <f t="shared" si="12"/>
        <v>11.157200000000001</v>
      </c>
      <c r="M118">
        <f t="shared" si="13"/>
        <v>14.014558920000002</v>
      </c>
      <c r="N118" s="9"/>
      <c r="O118" s="21">
        <v>0.44387799999999999</v>
      </c>
      <c r="P118" s="21">
        <v>238.22499999999999</v>
      </c>
      <c r="Q118" s="21">
        <v>-1.19965E-2</v>
      </c>
      <c r="R118" s="21">
        <v>108</v>
      </c>
      <c r="S118" s="21">
        <v>0.44366499999999998</v>
      </c>
      <c r="T118">
        <f t="shared" si="14"/>
        <v>11.996500000000001</v>
      </c>
      <c r="U118">
        <f t="shared" si="15"/>
        <v>5.3249824270000001</v>
      </c>
      <c r="X118" s="9"/>
      <c r="Y118" s="21">
        <v>1.2561</v>
      </c>
      <c r="Z118" s="21">
        <v>444.39299999999997</v>
      </c>
      <c r="AA118" s="21">
        <v>-1.09497E-2</v>
      </c>
      <c r="AB118" s="21">
        <v>108</v>
      </c>
      <c r="AC118" s="21">
        <v>1.25519</v>
      </c>
      <c r="AD118">
        <f t="shared" si="16"/>
        <v>10.9497</v>
      </c>
      <c r="AE118">
        <f t="shared" si="17"/>
        <v>13.75391817</v>
      </c>
      <c r="AF118" s="9"/>
      <c r="AG118" s="21">
        <v>0.44387799999999999</v>
      </c>
      <c r="AH118" s="21">
        <v>501.06799999999998</v>
      </c>
      <c r="AI118" s="21">
        <v>-1.2026999999999999E-2</v>
      </c>
      <c r="AJ118" s="21">
        <v>108</v>
      </c>
      <c r="AK118" s="21">
        <v>0.44363399999999997</v>
      </c>
      <c r="AL118">
        <f t="shared" si="18"/>
        <v>12.026999999999999</v>
      </c>
      <c r="AM118">
        <f t="shared" si="19"/>
        <v>5.3385207059999997</v>
      </c>
      <c r="AP118" s="9"/>
      <c r="AQ118" s="21">
        <v>1.2561</v>
      </c>
      <c r="AR118" s="21">
        <v>657.75699999999995</v>
      </c>
      <c r="AS118" s="21">
        <v>-1.11755E-2</v>
      </c>
      <c r="AT118" s="21">
        <v>108</v>
      </c>
      <c r="AU118" s="21">
        <v>1.2558</v>
      </c>
      <c r="AV118">
        <f t="shared" si="20"/>
        <v>11.1755</v>
      </c>
      <c r="AW118">
        <f t="shared" si="21"/>
        <v>14.037545549999999</v>
      </c>
      <c r="AX118" s="9"/>
      <c r="AY118" s="21">
        <v>0.44387799999999999</v>
      </c>
      <c r="AZ118" s="21">
        <v>747.85199999999998</v>
      </c>
      <c r="BA118" s="21">
        <v>-1.2252799999999999E-2</v>
      </c>
      <c r="BB118" s="21">
        <v>108</v>
      </c>
      <c r="BC118" s="21">
        <v>0.443604</v>
      </c>
      <c r="BD118">
        <f t="shared" si="22"/>
        <v>12.252799999999999</v>
      </c>
      <c r="BE118">
        <f t="shared" si="23"/>
        <v>5.4387483583999998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154.34200000000001</v>
      </c>
      <c r="I119" s="21">
        <v>-1.11542E-2</v>
      </c>
      <c r="J119" s="21">
        <v>109</v>
      </c>
      <c r="K119" s="21">
        <v>1.25061</v>
      </c>
      <c r="L119">
        <f t="shared" si="12"/>
        <v>11.154199999999999</v>
      </c>
      <c r="M119">
        <f t="shared" si="13"/>
        <v>13.954684993999999</v>
      </c>
      <c r="N119" s="9"/>
      <c r="O119" s="21">
        <v>0.44891399999999998</v>
      </c>
      <c r="P119" s="21">
        <v>238.32599999999999</v>
      </c>
      <c r="Q119" s="21">
        <v>-1.1987299999999999E-2</v>
      </c>
      <c r="R119" s="21">
        <v>109</v>
      </c>
      <c r="S119" s="21">
        <v>0.44866899999999998</v>
      </c>
      <c r="T119">
        <f t="shared" si="14"/>
        <v>11.987299999999999</v>
      </c>
      <c r="U119">
        <f t="shared" si="15"/>
        <v>5.3812667921999999</v>
      </c>
      <c r="X119" s="9"/>
      <c r="Y119" s="21">
        <v>1.2510699999999999</v>
      </c>
      <c r="Z119" s="21">
        <v>444.49400000000003</v>
      </c>
      <c r="AA119" s="21">
        <v>-1.09619E-2</v>
      </c>
      <c r="AB119" s="21">
        <v>109</v>
      </c>
      <c r="AC119" s="21">
        <v>1.25031</v>
      </c>
      <c r="AD119">
        <f t="shared" si="16"/>
        <v>10.9619</v>
      </c>
      <c r="AE119">
        <f t="shared" si="17"/>
        <v>13.714104232999999</v>
      </c>
      <c r="AF119" s="9"/>
      <c r="AG119" s="21">
        <v>0.44891399999999998</v>
      </c>
      <c r="AH119" s="21">
        <v>501.16899999999998</v>
      </c>
      <c r="AI119" s="21">
        <v>-1.2026999999999999E-2</v>
      </c>
      <c r="AJ119" s="21">
        <v>109</v>
      </c>
      <c r="AK119" s="21">
        <v>0.44857799999999998</v>
      </c>
      <c r="AL119">
        <f t="shared" si="18"/>
        <v>12.026999999999999</v>
      </c>
      <c r="AM119">
        <f t="shared" si="19"/>
        <v>5.3990886779999991</v>
      </c>
      <c r="AP119" s="9"/>
      <c r="AQ119" s="21">
        <v>1.2510699999999999</v>
      </c>
      <c r="AR119" s="21">
        <v>657.85699999999997</v>
      </c>
      <c r="AS119" s="21">
        <v>-1.1145E-2</v>
      </c>
      <c r="AT119" s="21">
        <v>109</v>
      </c>
      <c r="AU119" s="21">
        <v>1.25031</v>
      </c>
      <c r="AV119">
        <f t="shared" si="20"/>
        <v>11.145</v>
      </c>
      <c r="AW119">
        <f t="shared" si="21"/>
        <v>13.943175149999998</v>
      </c>
      <c r="AX119" s="9"/>
      <c r="AY119" s="21">
        <v>0.44891399999999998</v>
      </c>
      <c r="AZ119" s="21">
        <v>747.95299999999997</v>
      </c>
      <c r="BA119" s="21">
        <v>-1.22498E-2</v>
      </c>
      <c r="BB119" s="21">
        <v>109</v>
      </c>
      <c r="BC119" s="21">
        <v>0.44866899999999998</v>
      </c>
      <c r="BD119">
        <f t="shared" si="22"/>
        <v>12.2498</v>
      </c>
      <c r="BE119">
        <f t="shared" si="23"/>
        <v>5.4991067172000001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154.44200000000001</v>
      </c>
      <c r="I120" s="21">
        <v>-1.11603E-2</v>
      </c>
      <c r="J120" s="21">
        <v>110</v>
      </c>
      <c r="K120" s="21">
        <v>1.24512</v>
      </c>
      <c r="L120">
        <f t="shared" si="12"/>
        <v>11.160299999999999</v>
      </c>
      <c r="M120">
        <f t="shared" si="13"/>
        <v>13.906068608999998</v>
      </c>
      <c r="N120" s="9"/>
      <c r="O120" s="21">
        <v>0.45394899999999999</v>
      </c>
      <c r="P120" s="21">
        <v>238.42699999999999</v>
      </c>
      <c r="Q120" s="21">
        <v>-1.1981199999999999E-2</v>
      </c>
      <c r="R120" s="21">
        <v>110</v>
      </c>
      <c r="S120" s="21">
        <v>0.453735</v>
      </c>
      <c r="T120">
        <f t="shared" si="14"/>
        <v>11.981199999999999</v>
      </c>
      <c r="U120">
        <f t="shared" si="15"/>
        <v>5.4388537587999997</v>
      </c>
      <c r="X120" s="9"/>
      <c r="Y120" s="21">
        <v>1.24603</v>
      </c>
      <c r="Z120" s="21">
        <v>444.59399999999999</v>
      </c>
      <c r="AA120" s="21">
        <v>-1.0968E-2</v>
      </c>
      <c r="AB120" s="21">
        <v>110</v>
      </c>
      <c r="AC120" s="21">
        <v>1.24573</v>
      </c>
      <c r="AD120">
        <f t="shared" si="16"/>
        <v>10.968</v>
      </c>
      <c r="AE120">
        <f t="shared" si="17"/>
        <v>13.666457039999999</v>
      </c>
      <c r="AF120" s="9"/>
      <c r="AG120" s="21">
        <v>0.45394899999999999</v>
      </c>
      <c r="AH120" s="21">
        <v>501.26900000000001</v>
      </c>
      <c r="AI120" s="21">
        <v>-1.2020899999999999E-2</v>
      </c>
      <c r="AJ120" s="21">
        <v>110</v>
      </c>
      <c r="AK120" s="21">
        <v>0.45364399999999999</v>
      </c>
      <c r="AL120">
        <f t="shared" si="18"/>
        <v>12.020899999999999</v>
      </c>
      <c r="AM120">
        <f t="shared" si="19"/>
        <v>5.4568755340999999</v>
      </c>
      <c r="AP120" s="9"/>
      <c r="AQ120" s="21">
        <v>1.24603</v>
      </c>
      <c r="AR120" s="21">
        <v>657.95799999999997</v>
      </c>
      <c r="AS120" s="21">
        <v>-1.11542E-2</v>
      </c>
      <c r="AT120" s="21">
        <v>110</v>
      </c>
      <c r="AU120" s="21">
        <v>1.24542</v>
      </c>
      <c r="AV120">
        <f t="shared" si="20"/>
        <v>11.154199999999999</v>
      </c>
      <c r="AW120">
        <f t="shared" si="21"/>
        <v>13.898467825999999</v>
      </c>
      <c r="AX120" s="9"/>
      <c r="AY120" s="21">
        <v>0.45394899999999999</v>
      </c>
      <c r="AZ120" s="21">
        <v>748.05399999999997</v>
      </c>
      <c r="BA120" s="21">
        <v>-1.22498E-2</v>
      </c>
      <c r="BB120" s="21">
        <v>110</v>
      </c>
      <c r="BC120" s="21">
        <v>0.45367400000000002</v>
      </c>
      <c r="BD120">
        <f t="shared" si="22"/>
        <v>12.2498</v>
      </c>
      <c r="BE120">
        <f t="shared" si="23"/>
        <v>5.5607844601999998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154.54300000000001</v>
      </c>
      <c r="I121" s="21">
        <v>-1.11542E-2</v>
      </c>
      <c r="J121" s="21">
        <v>111</v>
      </c>
      <c r="K121" s="21">
        <v>1.24054</v>
      </c>
      <c r="L121">
        <f t="shared" si="12"/>
        <v>11.154199999999999</v>
      </c>
      <c r="M121">
        <f t="shared" si="13"/>
        <v>13.8423622</v>
      </c>
      <c r="N121" s="9"/>
      <c r="O121" s="21">
        <v>0.458984</v>
      </c>
      <c r="P121" s="21">
        <v>238.52699999999999</v>
      </c>
      <c r="Q121" s="21">
        <v>-1.19843E-2</v>
      </c>
      <c r="R121" s="21">
        <v>111</v>
      </c>
      <c r="S121" s="21">
        <v>0.45873999999999998</v>
      </c>
      <c r="T121">
        <f t="shared" si="14"/>
        <v>11.984299999999999</v>
      </c>
      <c r="U121">
        <f t="shared" si="15"/>
        <v>5.5006019511999993</v>
      </c>
      <c r="X121" s="9"/>
      <c r="Y121" s="21">
        <v>1.2410000000000001</v>
      </c>
      <c r="Z121" s="21">
        <v>444.69499999999999</v>
      </c>
      <c r="AA121" s="21">
        <v>-1.0977199999999999E-2</v>
      </c>
      <c r="AB121" s="21">
        <v>111</v>
      </c>
      <c r="AC121" s="21">
        <v>1.24054</v>
      </c>
      <c r="AD121">
        <f t="shared" si="16"/>
        <v>10.9772</v>
      </c>
      <c r="AE121">
        <f t="shared" si="17"/>
        <v>13.6227052</v>
      </c>
      <c r="AF121" s="9"/>
      <c r="AG121" s="21">
        <v>0.458984</v>
      </c>
      <c r="AH121" s="21">
        <v>501.37</v>
      </c>
      <c r="AI121" s="21">
        <v>-1.2014800000000001E-2</v>
      </c>
      <c r="AJ121" s="21">
        <v>111</v>
      </c>
      <c r="AK121" s="21">
        <v>0.45873999999999998</v>
      </c>
      <c r="AL121">
        <f t="shared" si="18"/>
        <v>12.014800000000001</v>
      </c>
      <c r="AM121">
        <f t="shared" si="19"/>
        <v>5.5146009632000004</v>
      </c>
      <c r="AP121" s="9"/>
      <c r="AQ121" s="21">
        <v>1.2410000000000001</v>
      </c>
      <c r="AR121" s="21">
        <v>658.05899999999997</v>
      </c>
      <c r="AS121" s="21">
        <v>-1.1163299999999999E-2</v>
      </c>
      <c r="AT121" s="21">
        <v>111</v>
      </c>
      <c r="AU121" s="21">
        <v>1.2402299999999999</v>
      </c>
      <c r="AV121">
        <f t="shared" si="20"/>
        <v>11.1633</v>
      </c>
      <c r="AW121">
        <f t="shared" si="21"/>
        <v>13.8536553</v>
      </c>
      <c r="AX121" s="9"/>
      <c r="AY121" s="21">
        <v>0.458984</v>
      </c>
      <c r="AZ121" s="21">
        <v>748.154</v>
      </c>
      <c r="BA121" s="21">
        <v>-1.2240600000000001E-2</v>
      </c>
      <c r="BB121" s="21">
        <v>111</v>
      </c>
      <c r="BC121" s="21">
        <v>0.45864899999999997</v>
      </c>
      <c r="BD121">
        <f t="shared" si="22"/>
        <v>12.240600000000001</v>
      </c>
      <c r="BE121">
        <f t="shared" si="23"/>
        <v>5.6182395504000002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154.64400000000001</v>
      </c>
      <c r="I122" s="21">
        <v>-1.11603E-2</v>
      </c>
      <c r="J122" s="21">
        <v>112</v>
      </c>
      <c r="K122" s="21">
        <v>1.23505</v>
      </c>
      <c r="L122">
        <f t="shared" si="12"/>
        <v>11.160299999999999</v>
      </c>
      <c r="M122">
        <f t="shared" si="13"/>
        <v>13.793684387999999</v>
      </c>
      <c r="N122" s="9"/>
      <c r="O122" s="21">
        <v>0.46401999999999999</v>
      </c>
      <c r="P122" s="21">
        <v>238.62799999999999</v>
      </c>
      <c r="Q122" s="21">
        <v>-1.19843E-2</v>
      </c>
      <c r="R122" s="21">
        <v>112</v>
      </c>
      <c r="S122" s="21">
        <v>0.46377600000000002</v>
      </c>
      <c r="T122">
        <f t="shared" si="14"/>
        <v>11.984299999999999</v>
      </c>
      <c r="U122">
        <f t="shared" si="15"/>
        <v>5.5609548859999993</v>
      </c>
      <c r="X122" s="9"/>
      <c r="Y122" s="21">
        <v>1.2359599999999999</v>
      </c>
      <c r="Z122" s="21">
        <v>444.79599999999999</v>
      </c>
      <c r="AA122" s="21">
        <v>-1.0980200000000001E-2</v>
      </c>
      <c r="AB122" s="21">
        <v>112</v>
      </c>
      <c r="AC122" s="21">
        <v>1.23505</v>
      </c>
      <c r="AD122">
        <f t="shared" si="16"/>
        <v>10.9802</v>
      </c>
      <c r="AE122">
        <f t="shared" si="17"/>
        <v>13.571087991999999</v>
      </c>
      <c r="AF122" s="9"/>
      <c r="AG122" s="21">
        <v>0.46401999999999999</v>
      </c>
      <c r="AH122" s="21">
        <v>501.471</v>
      </c>
      <c r="AI122" s="21">
        <v>-1.2008700000000001E-2</v>
      </c>
      <c r="AJ122" s="21">
        <v>112</v>
      </c>
      <c r="AK122" s="21">
        <v>0.46374500000000002</v>
      </c>
      <c r="AL122">
        <f t="shared" si="18"/>
        <v>12.008700000000001</v>
      </c>
      <c r="AM122">
        <f t="shared" si="19"/>
        <v>5.5722769740000002</v>
      </c>
      <c r="AP122" s="9"/>
      <c r="AQ122" s="21">
        <v>1.2359599999999999</v>
      </c>
      <c r="AR122" s="21">
        <v>658.15899999999999</v>
      </c>
      <c r="AS122" s="21">
        <v>-1.11755E-2</v>
      </c>
      <c r="AT122" s="21">
        <v>112</v>
      </c>
      <c r="AU122" s="21">
        <v>1.2353499999999999</v>
      </c>
      <c r="AV122">
        <f t="shared" si="20"/>
        <v>11.1755</v>
      </c>
      <c r="AW122">
        <f t="shared" si="21"/>
        <v>13.812470979999999</v>
      </c>
      <c r="AX122" s="9"/>
      <c r="AY122" s="21">
        <v>0.46401999999999999</v>
      </c>
      <c r="AZ122" s="21">
        <v>748.255</v>
      </c>
      <c r="BA122" s="21">
        <v>-1.2234500000000001E-2</v>
      </c>
      <c r="BB122" s="21">
        <v>112</v>
      </c>
      <c r="BC122" s="21">
        <v>0.463806</v>
      </c>
      <c r="BD122">
        <f t="shared" si="22"/>
        <v>12.234500000000001</v>
      </c>
      <c r="BE122">
        <f t="shared" si="23"/>
        <v>5.67705269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154.745</v>
      </c>
      <c r="I123" s="21">
        <v>-1.11664E-2</v>
      </c>
      <c r="J123" s="21">
        <v>113</v>
      </c>
      <c r="K123" s="21">
        <v>1.2301599999999999</v>
      </c>
      <c r="L123">
        <f t="shared" si="12"/>
        <v>11.166399999999999</v>
      </c>
      <c r="M123">
        <f t="shared" si="13"/>
        <v>13.745056752</v>
      </c>
      <c r="N123" s="9"/>
      <c r="O123" s="21">
        <v>0.469055</v>
      </c>
      <c r="P123" s="21">
        <v>238.72900000000001</v>
      </c>
      <c r="Q123" s="21">
        <v>-1.1972E-2</v>
      </c>
      <c r="R123" s="21">
        <v>113</v>
      </c>
      <c r="S123" s="21">
        <v>0.46881099999999998</v>
      </c>
      <c r="T123">
        <f t="shared" si="14"/>
        <v>11.972</v>
      </c>
      <c r="U123">
        <f t="shared" si="15"/>
        <v>5.6155264599999999</v>
      </c>
      <c r="X123" s="9"/>
      <c r="Y123" s="21">
        <v>1.2309300000000001</v>
      </c>
      <c r="Z123" s="21">
        <v>444.89699999999999</v>
      </c>
      <c r="AA123" s="21">
        <v>-1.09894E-2</v>
      </c>
      <c r="AB123" s="21">
        <v>113</v>
      </c>
      <c r="AC123" s="21">
        <v>1.2301599999999999</v>
      </c>
      <c r="AD123">
        <f t="shared" si="16"/>
        <v>10.9894</v>
      </c>
      <c r="AE123">
        <f t="shared" si="17"/>
        <v>13.527182142000001</v>
      </c>
      <c r="AF123" s="9"/>
      <c r="AG123" s="21">
        <v>0.469055</v>
      </c>
      <c r="AH123" s="21">
        <v>501.57100000000003</v>
      </c>
      <c r="AI123" s="21">
        <v>-1.20056E-2</v>
      </c>
      <c r="AJ123" s="21">
        <v>113</v>
      </c>
      <c r="AK123" s="21">
        <v>0.46875</v>
      </c>
      <c r="AL123">
        <f t="shared" si="18"/>
        <v>12.005599999999999</v>
      </c>
      <c r="AM123">
        <f t="shared" si="19"/>
        <v>5.6312867079999993</v>
      </c>
      <c r="AP123" s="9"/>
      <c r="AQ123" s="21">
        <v>1.2309300000000001</v>
      </c>
      <c r="AR123" s="21">
        <v>658.26</v>
      </c>
      <c r="AS123" s="21">
        <v>-1.11755E-2</v>
      </c>
      <c r="AT123" s="21">
        <v>113</v>
      </c>
      <c r="AU123" s="21">
        <v>1.22986</v>
      </c>
      <c r="AV123">
        <f t="shared" si="20"/>
        <v>11.1755</v>
      </c>
      <c r="AW123">
        <f t="shared" si="21"/>
        <v>13.756258215000001</v>
      </c>
      <c r="AX123" s="9"/>
      <c r="AY123" s="21">
        <v>0.469055</v>
      </c>
      <c r="AZ123" s="21">
        <v>748.35599999999999</v>
      </c>
      <c r="BA123" s="21">
        <v>-1.2234500000000001E-2</v>
      </c>
      <c r="BB123" s="21">
        <v>113</v>
      </c>
      <c r="BC123" s="21">
        <v>0.468781</v>
      </c>
      <c r="BD123">
        <f t="shared" si="22"/>
        <v>12.234500000000001</v>
      </c>
      <c r="BE123">
        <f t="shared" si="23"/>
        <v>5.7386533975000003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154.845</v>
      </c>
      <c r="I124" s="21">
        <v>-1.11664E-2</v>
      </c>
      <c r="J124" s="21">
        <v>114</v>
      </c>
      <c r="K124" s="21">
        <v>1.2252799999999999</v>
      </c>
      <c r="L124">
        <f t="shared" si="12"/>
        <v>11.166399999999999</v>
      </c>
      <c r="M124">
        <f t="shared" si="13"/>
        <v>13.688778095999998</v>
      </c>
      <c r="N124" s="9"/>
      <c r="O124" s="21">
        <v>0.47409099999999998</v>
      </c>
      <c r="P124" s="21">
        <v>238.83</v>
      </c>
      <c r="Q124" s="21">
        <v>-1.1981199999999999E-2</v>
      </c>
      <c r="R124" s="21">
        <v>114</v>
      </c>
      <c r="S124" s="21">
        <v>0.47381600000000001</v>
      </c>
      <c r="T124">
        <f t="shared" si="14"/>
        <v>11.981199999999999</v>
      </c>
      <c r="U124">
        <f t="shared" si="15"/>
        <v>5.6801790891999993</v>
      </c>
      <c r="X124" s="9"/>
      <c r="Y124" s="21">
        <v>1.2258899999999999</v>
      </c>
      <c r="Z124" s="21">
        <v>444.99700000000001</v>
      </c>
      <c r="AA124" s="21">
        <v>-1.09985E-2</v>
      </c>
      <c r="AB124" s="21">
        <v>114</v>
      </c>
      <c r="AC124" s="21">
        <v>1.22498</v>
      </c>
      <c r="AD124">
        <f t="shared" si="16"/>
        <v>10.9985</v>
      </c>
      <c r="AE124">
        <f t="shared" si="17"/>
        <v>13.482951164999999</v>
      </c>
      <c r="AF124" s="9"/>
      <c r="AG124" s="21">
        <v>0.47409099999999998</v>
      </c>
      <c r="AH124" s="21">
        <v>501.67200000000003</v>
      </c>
      <c r="AI124" s="21">
        <v>-1.2008700000000001E-2</v>
      </c>
      <c r="AJ124" s="21">
        <v>114</v>
      </c>
      <c r="AK124" s="21">
        <v>0.47375499999999998</v>
      </c>
      <c r="AL124">
        <f t="shared" si="18"/>
        <v>12.008700000000001</v>
      </c>
      <c r="AM124">
        <f t="shared" si="19"/>
        <v>5.6932165917000006</v>
      </c>
      <c r="AP124" s="9"/>
      <c r="AQ124" s="21">
        <v>1.2258899999999999</v>
      </c>
      <c r="AR124" s="21">
        <v>658.36099999999999</v>
      </c>
      <c r="AS124" s="21">
        <v>-1.1190800000000001E-2</v>
      </c>
      <c r="AT124" s="21">
        <v>114</v>
      </c>
      <c r="AU124" s="21">
        <v>1.2246699999999999</v>
      </c>
      <c r="AV124">
        <f t="shared" si="20"/>
        <v>11.190800000000001</v>
      </c>
      <c r="AW124">
        <f t="shared" si="21"/>
        <v>13.718689812000001</v>
      </c>
      <c r="AX124" s="9"/>
      <c r="AY124" s="21">
        <v>0.47409099999999998</v>
      </c>
      <c r="AZ124" s="21">
        <v>748.45600000000002</v>
      </c>
      <c r="BA124" s="21">
        <v>-1.22253E-2</v>
      </c>
      <c r="BB124" s="21">
        <v>114</v>
      </c>
      <c r="BC124" s="21">
        <v>0.47381600000000001</v>
      </c>
      <c r="BD124">
        <f t="shared" si="22"/>
        <v>12.225299999999999</v>
      </c>
      <c r="BE124">
        <f t="shared" si="23"/>
        <v>5.7959047022999997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154.946</v>
      </c>
      <c r="I125" s="21">
        <v>-1.11755E-2</v>
      </c>
      <c r="J125" s="21">
        <v>115</v>
      </c>
      <c r="K125" s="21">
        <v>1.2194799999999999</v>
      </c>
      <c r="L125">
        <f t="shared" si="12"/>
        <v>11.1755</v>
      </c>
      <c r="M125">
        <f t="shared" si="13"/>
        <v>13.643720930000001</v>
      </c>
      <c r="N125" s="9"/>
      <c r="O125" s="21">
        <v>0.479126</v>
      </c>
      <c r="P125" s="21">
        <v>238.93</v>
      </c>
      <c r="Q125" s="21">
        <v>-1.1972E-2</v>
      </c>
      <c r="R125" s="21">
        <v>115</v>
      </c>
      <c r="S125" s="21">
        <v>0.47885100000000003</v>
      </c>
      <c r="T125">
        <f t="shared" si="14"/>
        <v>11.972</v>
      </c>
      <c r="U125">
        <f t="shared" si="15"/>
        <v>5.7360964719999998</v>
      </c>
      <c r="X125" s="9"/>
      <c r="Y125" s="21">
        <v>1.2208600000000001</v>
      </c>
      <c r="Z125" s="21">
        <v>445.09800000000001</v>
      </c>
      <c r="AA125" s="21">
        <v>-1.10016E-2</v>
      </c>
      <c r="AB125" s="21">
        <v>115</v>
      </c>
      <c r="AC125" s="21">
        <v>1.2200899999999999</v>
      </c>
      <c r="AD125">
        <f t="shared" si="16"/>
        <v>11.0016</v>
      </c>
      <c r="AE125">
        <f t="shared" si="17"/>
        <v>13.431413376</v>
      </c>
      <c r="AF125" s="9"/>
      <c r="AG125" s="21">
        <v>0.479126</v>
      </c>
      <c r="AH125" s="21">
        <v>501.77300000000002</v>
      </c>
      <c r="AI125" s="21">
        <v>-1.19965E-2</v>
      </c>
      <c r="AJ125" s="21">
        <v>115</v>
      </c>
      <c r="AK125" s="21">
        <v>0.47888199999999997</v>
      </c>
      <c r="AL125">
        <f t="shared" si="18"/>
        <v>11.996500000000001</v>
      </c>
      <c r="AM125">
        <f t="shared" si="19"/>
        <v>5.7478350590000007</v>
      </c>
      <c r="AP125" s="9"/>
      <c r="AQ125" s="21">
        <v>1.2208600000000001</v>
      </c>
      <c r="AR125" s="21">
        <v>658.46199999999999</v>
      </c>
      <c r="AS125" s="21">
        <v>-1.12274E-2</v>
      </c>
      <c r="AT125" s="21">
        <v>115</v>
      </c>
      <c r="AU125" s="21">
        <v>1.2200899999999999</v>
      </c>
      <c r="AV125">
        <f t="shared" si="20"/>
        <v>11.227399999999999</v>
      </c>
      <c r="AW125">
        <f t="shared" si="21"/>
        <v>13.707083563999999</v>
      </c>
      <c r="AX125" s="9"/>
      <c r="AY125" s="21">
        <v>0.479126</v>
      </c>
      <c r="AZ125" s="21">
        <v>748.55700000000002</v>
      </c>
      <c r="BA125" s="21">
        <v>-1.22192E-2</v>
      </c>
      <c r="BB125" s="21">
        <v>115</v>
      </c>
      <c r="BC125" s="21">
        <v>0.47872900000000002</v>
      </c>
      <c r="BD125">
        <f t="shared" si="22"/>
        <v>12.219199999999999</v>
      </c>
      <c r="BE125">
        <f t="shared" si="23"/>
        <v>5.8545364191999996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155.047</v>
      </c>
      <c r="I126" s="21">
        <v>-1.11755E-2</v>
      </c>
      <c r="J126" s="21">
        <v>116</v>
      </c>
      <c r="K126" s="21">
        <v>1.2142900000000001</v>
      </c>
      <c r="L126">
        <f t="shared" si="12"/>
        <v>11.1755</v>
      </c>
      <c r="M126">
        <f t="shared" si="13"/>
        <v>13.587396409999998</v>
      </c>
      <c r="N126" s="9"/>
      <c r="O126" s="21">
        <v>0.48416100000000001</v>
      </c>
      <c r="P126" s="21">
        <v>239.03100000000001</v>
      </c>
      <c r="Q126" s="21">
        <v>-1.19659E-2</v>
      </c>
      <c r="R126" s="21">
        <v>116</v>
      </c>
      <c r="S126" s="21">
        <v>0.48394799999999999</v>
      </c>
      <c r="T126">
        <f t="shared" si="14"/>
        <v>11.9659</v>
      </c>
      <c r="U126">
        <f t="shared" si="15"/>
        <v>5.7934221098999998</v>
      </c>
      <c r="X126" s="9"/>
      <c r="Y126" s="21">
        <v>1.2158199999999999</v>
      </c>
      <c r="Z126" s="21">
        <v>445.19900000000001</v>
      </c>
      <c r="AA126" s="21">
        <v>-1.10016E-2</v>
      </c>
      <c r="AB126" s="21">
        <v>116</v>
      </c>
      <c r="AC126" s="21">
        <v>1.2152099999999999</v>
      </c>
      <c r="AD126">
        <f t="shared" si="16"/>
        <v>11.0016</v>
      </c>
      <c r="AE126">
        <f t="shared" si="17"/>
        <v>13.375965311999998</v>
      </c>
      <c r="AF126" s="9"/>
      <c r="AG126" s="21">
        <v>0.48416100000000001</v>
      </c>
      <c r="AH126" s="21">
        <v>501.87400000000002</v>
      </c>
      <c r="AI126" s="21">
        <v>-1.19934E-2</v>
      </c>
      <c r="AJ126" s="21">
        <v>116</v>
      </c>
      <c r="AK126" s="21">
        <v>0.48385600000000001</v>
      </c>
      <c r="AL126">
        <f t="shared" si="18"/>
        <v>11.993399999999999</v>
      </c>
      <c r="AM126">
        <f t="shared" si="19"/>
        <v>5.8067365374</v>
      </c>
      <c r="AP126" s="9"/>
      <c r="AQ126" s="21">
        <v>1.2158199999999999</v>
      </c>
      <c r="AR126" s="21">
        <v>658.56200000000001</v>
      </c>
      <c r="AS126" s="21">
        <v>-1.12152E-2</v>
      </c>
      <c r="AT126" s="21">
        <v>116</v>
      </c>
      <c r="AU126" s="21">
        <v>1.2149000000000001</v>
      </c>
      <c r="AV126">
        <f t="shared" si="20"/>
        <v>11.215199999999999</v>
      </c>
      <c r="AW126">
        <f t="shared" si="21"/>
        <v>13.635664463999998</v>
      </c>
      <c r="AX126" s="9"/>
      <c r="AY126" s="21">
        <v>0.48416100000000001</v>
      </c>
      <c r="AZ126" s="21">
        <v>748.65800000000002</v>
      </c>
      <c r="BA126" s="21">
        <v>-1.22192E-2</v>
      </c>
      <c r="BB126" s="21">
        <v>116</v>
      </c>
      <c r="BC126" s="21">
        <v>0.483734</v>
      </c>
      <c r="BD126">
        <f t="shared" si="22"/>
        <v>12.219199999999999</v>
      </c>
      <c r="BE126">
        <f t="shared" si="23"/>
        <v>5.9160600911999994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155.14699999999999</v>
      </c>
      <c r="I127" s="21">
        <v>-1.11786E-2</v>
      </c>
      <c r="J127" s="21">
        <v>117</v>
      </c>
      <c r="K127" s="21">
        <v>1.2100200000000001</v>
      </c>
      <c r="L127">
        <f t="shared" si="12"/>
        <v>11.178600000000001</v>
      </c>
      <c r="M127">
        <f t="shared" si="13"/>
        <v>13.534825308</v>
      </c>
      <c r="N127" s="9"/>
      <c r="O127" s="21">
        <v>0.48919699999999999</v>
      </c>
      <c r="P127" s="21">
        <v>239.13200000000001</v>
      </c>
      <c r="Q127" s="21">
        <v>-1.19568E-2</v>
      </c>
      <c r="R127" s="21">
        <v>117</v>
      </c>
      <c r="S127" s="21">
        <v>0.48886099999999999</v>
      </c>
      <c r="T127">
        <f t="shared" si="14"/>
        <v>11.956799999999999</v>
      </c>
      <c r="U127">
        <f t="shared" si="15"/>
        <v>5.8492306895999997</v>
      </c>
      <c r="X127" s="9"/>
      <c r="Y127" s="21">
        <v>1.21078</v>
      </c>
      <c r="Z127" s="21">
        <v>445.29899999999998</v>
      </c>
      <c r="AA127" s="21">
        <v>-1.10107E-2</v>
      </c>
      <c r="AB127" s="21">
        <v>117</v>
      </c>
      <c r="AC127" s="21">
        <v>1.2100200000000001</v>
      </c>
      <c r="AD127">
        <f t="shared" si="16"/>
        <v>11.0107</v>
      </c>
      <c r="AE127">
        <f t="shared" si="17"/>
        <v>13.331535345999999</v>
      </c>
      <c r="AF127" s="9"/>
      <c r="AG127" s="21">
        <v>0.48919699999999999</v>
      </c>
      <c r="AH127" s="21">
        <v>501.97399999999999</v>
      </c>
      <c r="AI127" s="21">
        <v>-1.1987299999999999E-2</v>
      </c>
      <c r="AJ127" s="21">
        <v>117</v>
      </c>
      <c r="AK127" s="21">
        <v>0.48889199999999999</v>
      </c>
      <c r="AL127">
        <f t="shared" si="18"/>
        <v>11.987299999999999</v>
      </c>
      <c r="AM127">
        <f t="shared" si="19"/>
        <v>5.8641511980999992</v>
      </c>
      <c r="AP127" s="9"/>
      <c r="AQ127" s="21">
        <v>1.21078</v>
      </c>
      <c r="AR127" s="21">
        <v>658.66300000000001</v>
      </c>
      <c r="AS127" s="21">
        <v>-1.12183E-2</v>
      </c>
      <c r="AT127" s="21">
        <v>117</v>
      </c>
      <c r="AU127" s="21">
        <v>1.2100200000000001</v>
      </c>
      <c r="AV127">
        <f t="shared" si="20"/>
        <v>11.218300000000001</v>
      </c>
      <c r="AW127">
        <f t="shared" si="21"/>
        <v>13.582893274000002</v>
      </c>
      <c r="AX127" s="9"/>
      <c r="AY127" s="21">
        <v>0.48919699999999999</v>
      </c>
      <c r="AZ127" s="21">
        <v>748.75900000000001</v>
      </c>
      <c r="BA127" s="21">
        <v>-1.22101E-2</v>
      </c>
      <c r="BB127" s="21">
        <v>117</v>
      </c>
      <c r="BC127" s="21">
        <v>0.48892200000000002</v>
      </c>
      <c r="BD127">
        <f t="shared" si="22"/>
        <v>12.210100000000001</v>
      </c>
      <c r="BE127">
        <f t="shared" si="23"/>
        <v>5.9731442897000004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155.24799999999999</v>
      </c>
      <c r="I128" s="21">
        <v>-1.11603E-2</v>
      </c>
      <c r="J128" s="21">
        <v>118</v>
      </c>
      <c r="K128" s="21">
        <v>1.2048300000000001</v>
      </c>
      <c r="L128">
        <f t="shared" si="12"/>
        <v>11.160299999999999</v>
      </c>
      <c r="M128">
        <f t="shared" si="13"/>
        <v>13.456531725</v>
      </c>
      <c r="N128" s="9"/>
      <c r="O128" s="21">
        <v>0.494232</v>
      </c>
      <c r="P128" s="21">
        <v>239.232</v>
      </c>
      <c r="Q128" s="21">
        <v>-1.1953699999999999E-2</v>
      </c>
      <c r="R128" s="21">
        <v>118</v>
      </c>
      <c r="S128" s="21">
        <v>0.49383500000000002</v>
      </c>
      <c r="T128">
        <f t="shared" si="14"/>
        <v>11.9537</v>
      </c>
      <c r="U128">
        <f t="shared" si="15"/>
        <v>5.9079010584000002</v>
      </c>
      <c r="X128" s="9"/>
      <c r="Y128" s="21">
        <v>1.2057500000000001</v>
      </c>
      <c r="Z128" s="21">
        <v>445.4</v>
      </c>
      <c r="AA128" s="21">
        <v>-1.1019899999999999E-2</v>
      </c>
      <c r="AB128" s="21">
        <v>118</v>
      </c>
      <c r="AC128" s="21">
        <v>1.2045300000000001</v>
      </c>
      <c r="AD128">
        <f t="shared" si="16"/>
        <v>11.0199</v>
      </c>
      <c r="AE128">
        <f t="shared" si="17"/>
        <v>13.287244425000001</v>
      </c>
      <c r="AF128" s="9"/>
      <c r="AG128" s="21">
        <v>0.494232</v>
      </c>
      <c r="AH128" s="21">
        <v>502.07499999999999</v>
      </c>
      <c r="AI128" s="21">
        <v>-1.1975100000000001E-2</v>
      </c>
      <c r="AJ128" s="21">
        <v>118</v>
      </c>
      <c r="AK128" s="21">
        <v>0.49398799999999998</v>
      </c>
      <c r="AL128">
        <f t="shared" si="18"/>
        <v>11.975100000000001</v>
      </c>
      <c r="AM128">
        <f t="shared" si="19"/>
        <v>5.9184776232000003</v>
      </c>
      <c r="AP128" s="9"/>
      <c r="AQ128" s="21">
        <v>1.2057500000000001</v>
      </c>
      <c r="AR128" s="21">
        <v>658.76400000000001</v>
      </c>
      <c r="AS128" s="21">
        <v>-1.12213E-2</v>
      </c>
      <c r="AT128" s="21">
        <v>118</v>
      </c>
      <c r="AU128" s="21">
        <v>1.2048300000000001</v>
      </c>
      <c r="AV128">
        <f t="shared" si="20"/>
        <v>11.221299999999999</v>
      </c>
      <c r="AW128">
        <f t="shared" si="21"/>
        <v>13.530082475</v>
      </c>
      <c r="AX128" s="9"/>
      <c r="AY128" s="21">
        <v>0.494232</v>
      </c>
      <c r="AZ128" s="21">
        <v>748.85900000000004</v>
      </c>
      <c r="BA128" s="21">
        <v>-1.2204E-2</v>
      </c>
      <c r="BB128" s="21">
        <v>118</v>
      </c>
      <c r="BC128" s="21">
        <v>0.49386600000000003</v>
      </c>
      <c r="BD128">
        <f t="shared" si="22"/>
        <v>12.203999999999999</v>
      </c>
      <c r="BE128">
        <f t="shared" si="23"/>
        <v>6.0316073279999998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155.34899999999999</v>
      </c>
      <c r="I129" s="21">
        <v>-1.11755E-2</v>
      </c>
      <c r="J129" s="21">
        <v>119</v>
      </c>
      <c r="K129" s="21">
        <v>1.1993400000000001</v>
      </c>
      <c r="L129">
        <f t="shared" si="12"/>
        <v>11.1755</v>
      </c>
      <c r="M129">
        <f t="shared" si="13"/>
        <v>13.418534605</v>
      </c>
      <c r="N129" s="9"/>
      <c r="O129" s="21">
        <v>0.49926799999999999</v>
      </c>
      <c r="P129" s="21">
        <v>239.333</v>
      </c>
      <c r="Q129" s="21">
        <v>-1.1947599999999999E-2</v>
      </c>
      <c r="R129" s="21">
        <v>119</v>
      </c>
      <c r="S129" s="21">
        <v>0.49899300000000002</v>
      </c>
      <c r="T129">
        <f t="shared" si="14"/>
        <v>11.9476</v>
      </c>
      <c r="U129">
        <f t="shared" si="15"/>
        <v>5.9650543567999996</v>
      </c>
      <c r="X129" s="9"/>
      <c r="Y129" s="21">
        <v>1.2007099999999999</v>
      </c>
      <c r="Z129" s="21">
        <v>445.50099999999998</v>
      </c>
      <c r="AA129" s="21">
        <v>-1.10229E-2</v>
      </c>
      <c r="AB129" s="21">
        <v>119</v>
      </c>
      <c r="AC129" s="21">
        <v>1.1996500000000001</v>
      </c>
      <c r="AD129">
        <f t="shared" si="16"/>
        <v>11.0229</v>
      </c>
      <c r="AE129">
        <f t="shared" si="17"/>
        <v>13.235306259</v>
      </c>
      <c r="AF129" s="9"/>
      <c r="AG129" s="21">
        <v>0.49926799999999999</v>
      </c>
      <c r="AH129" s="21">
        <v>502.17599999999999</v>
      </c>
      <c r="AI129" s="21">
        <v>-1.1969E-2</v>
      </c>
      <c r="AJ129" s="21">
        <v>119</v>
      </c>
      <c r="AK129" s="21">
        <v>0.49899300000000002</v>
      </c>
      <c r="AL129">
        <f t="shared" si="18"/>
        <v>11.969000000000001</v>
      </c>
      <c r="AM129">
        <f t="shared" si="19"/>
        <v>5.9757386920000002</v>
      </c>
      <c r="AP129" s="9"/>
      <c r="AQ129" s="21">
        <v>1.2007099999999999</v>
      </c>
      <c r="AR129" s="21">
        <v>658.86400000000003</v>
      </c>
      <c r="AS129" s="21">
        <v>-1.1224400000000001E-2</v>
      </c>
      <c r="AT129" s="21">
        <v>119</v>
      </c>
      <c r="AU129" s="21">
        <v>1.1999500000000001</v>
      </c>
      <c r="AV129">
        <f t="shared" si="20"/>
        <v>11.224400000000001</v>
      </c>
      <c r="AW129">
        <f t="shared" si="21"/>
        <v>13.477249324000001</v>
      </c>
      <c r="AX129" s="9"/>
      <c r="AY129" s="21">
        <v>0.49926799999999999</v>
      </c>
      <c r="AZ129" s="21">
        <v>748.96</v>
      </c>
      <c r="BA129" s="21">
        <v>-1.2200900000000001E-2</v>
      </c>
      <c r="BB129" s="21">
        <v>119</v>
      </c>
      <c r="BC129" s="21">
        <v>0.49896200000000002</v>
      </c>
      <c r="BD129">
        <f t="shared" si="22"/>
        <v>12.200900000000001</v>
      </c>
      <c r="BE129">
        <f t="shared" si="23"/>
        <v>6.0915189412000004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155.44900000000001</v>
      </c>
      <c r="I130" s="21">
        <v>-1.1163299999999999E-2</v>
      </c>
      <c r="J130" s="21">
        <v>120</v>
      </c>
      <c r="K130" s="21">
        <v>1.19476</v>
      </c>
      <c r="L130">
        <f t="shared" si="12"/>
        <v>11.1633</v>
      </c>
      <c r="M130">
        <f t="shared" si="13"/>
        <v>13.347734544</v>
      </c>
      <c r="N130" s="9"/>
      <c r="O130" s="21">
        <v>0.50430299999999995</v>
      </c>
      <c r="P130" s="21">
        <v>239.434</v>
      </c>
      <c r="Q130" s="21">
        <v>-1.1935400000000001E-2</v>
      </c>
      <c r="R130" s="21">
        <v>120</v>
      </c>
      <c r="S130" s="21">
        <v>0.50402800000000003</v>
      </c>
      <c r="T130">
        <f t="shared" si="14"/>
        <v>11.935400000000001</v>
      </c>
      <c r="U130">
        <f t="shared" si="15"/>
        <v>6.0190580261999997</v>
      </c>
      <c r="X130" s="9"/>
      <c r="Y130" s="21">
        <v>1.1956800000000001</v>
      </c>
      <c r="Z130" s="21">
        <v>445.601</v>
      </c>
      <c r="AA130" s="21">
        <v>-1.10291E-2</v>
      </c>
      <c r="AB130" s="21">
        <v>120</v>
      </c>
      <c r="AC130" s="21">
        <v>1.19476</v>
      </c>
      <c r="AD130">
        <f t="shared" si="16"/>
        <v>11.0291</v>
      </c>
      <c r="AE130">
        <f t="shared" si="17"/>
        <v>13.187274288000001</v>
      </c>
      <c r="AF130" s="9"/>
      <c r="AG130" s="21">
        <v>0.50430299999999995</v>
      </c>
      <c r="AH130" s="21">
        <v>502.27600000000001</v>
      </c>
      <c r="AI130" s="21">
        <v>-1.19629E-2</v>
      </c>
      <c r="AJ130" s="21">
        <v>120</v>
      </c>
      <c r="AK130" s="21">
        <v>0.50396700000000005</v>
      </c>
      <c r="AL130">
        <f t="shared" si="18"/>
        <v>11.962899999999999</v>
      </c>
      <c r="AM130">
        <f t="shared" si="19"/>
        <v>6.0329263586999993</v>
      </c>
      <c r="AP130" s="9"/>
      <c r="AQ130" s="21">
        <v>1.1956800000000001</v>
      </c>
      <c r="AR130" s="21">
        <v>658.96500000000003</v>
      </c>
      <c r="AS130" s="21">
        <v>-1.12427E-2</v>
      </c>
      <c r="AT130" s="21">
        <v>120</v>
      </c>
      <c r="AU130" s="21">
        <v>1.19476</v>
      </c>
      <c r="AV130">
        <f t="shared" si="20"/>
        <v>11.242699999999999</v>
      </c>
      <c r="AW130">
        <f t="shared" si="21"/>
        <v>13.442671536000001</v>
      </c>
      <c r="AX130" s="9"/>
      <c r="AY130" s="21">
        <v>0.50430299999999995</v>
      </c>
      <c r="AZ130" s="21">
        <v>749.06100000000004</v>
      </c>
      <c r="BA130" s="21">
        <v>-1.21948E-2</v>
      </c>
      <c r="BB130" s="21">
        <v>120</v>
      </c>
      <c r="BC130" s="21">
        <v>0.50405900000000003</v>
      </c>
      <c r="BD130">
        <f t="shared" si="22"/>
        <v>12.194800000000001</v>
      </c>
      <c r="BE130">
        <f t="shared" si="23"/>
        <v>6.1498742243999995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155.55000000000001</v>
      </c>
      <c r="I131" s="21">
        <v>-1.11725E-2</v>
      </c>
      <c r="J131" s="21">
        <v>121</v>
      </c>
      <c r="K131" s="21">
        <v>1.18988</v>
      </c>
      <c r="L131">
        <f t="shared" si="12"/>
        <v>11.172499999999999</v>
      </c>
      <c r="M131">
        <f t="shared" si="13"/>
        <v>13.302425399999999</v>
      </c>
      <c r="N131" s="9"/>
      <c r="O131" s="21">
        <v>0.50933799999999996</v>
      </c>
      <c r="P131" s="21">
        <v>239.535</v>
      </c>
      <c r="Q131" s="21">
        <v>-1.1932399999999999E-2</v>
      </c>
      <c r="R131" s="21">
        <v>121</v>
      </c>
      <c r="S131" s="21">
        <v>0.50897199999999998</v>
      </c>
      <c r="T131">
        <f t="shared" si="14"/>
        <v>11.932399999999999</v>
      </c>
      <c r="U131">
        <f t="shared" si="15"/>
        <v>6.0776247511999992</v>
      </c>
      <c r="X131" s="9"/>
      <c r="Y131" s="21">
        <v>1.1906399999999999</v>
      </c>
      <c r="Z131" s="21">
        <v>445.702</v>
      </c>
      <c r="AA131" s="21">
        <v>-1.10413E-2</v>
      </c>
      <c r="AB131" s="21">
        <v>121</v>
      </c>
      <c r="AC131" s="21">
        <v>1.1895800000000001</v>
      </c>
      <c r="AD131">
        <f t="shared" si="16"/>
        <v>11.0413</v>
      </c>
      <c r="AE131">
        <f t="shared" si="17"/>
        <v>13.146213431999998</v>
      </c>
      <c r="AF131" s="9"/>
      <c r="AG131" s="21">
        <v>0.50933799999999996</v>
      </c>
      <c r="AH131" s="21">
        <v>502.37700000000001</v>
      </c>
      <c r="AI131" s="21">
        <v>-1.19659E-2</v>
      </c>
      <c r="AJ131" s="21">
        <v>121</v>
      </c>
      <c r="AK131" s="21">
        <v>0.50894200000000001</v>
      </c>
      <c r="AL131">
        <f t="shared" si="18"/>
        <v>11.9659</v>
      </c>
      <c r="AM131">
        <f t="shared" si="19"/>
        <v>6.0946875741999991</v>
      </c>
      <c r="AP131" s="9"/>
      <c r="AQ131" s="21">
        <v>1.1906399999999999</v>
      </c>
      <c r="AR131" s="21">
        <v>659.06600000000003</v>
      </c>
      <c r="AS131" s="21">
        <v>-1.12488E-2</v>
      </c>
      <c r="AT131" s="21">
        <v>121</v>
      </c>
      <c r="AU131" s="21">
        <v>1.18988</v>
      </c>
      <c r="AV131">
        <f t="shared" si="20"/>
        <v>11.248799999999999</v>
      </c>
      <c r="AW131">
        <f t="shared" si="21"/>
        <v>13.393271231999998</v>
      </c>
      <c r="AX131" s="9"/>
      <c r="AY131" s="21">
        <v>0.50933799999999996</v>
      </c>
      <c r="AZ131" s="21">
        <v>749.16099999999994</v>
      </c>
      <c r="BA131" s="21">
        <v>-1.2191799999999999E-2</v>
      </c>
      <c r="BB131" s="21">
        <v>121</v>
      </c>
      <c r="BC131" s="21">
        <v>0.50900299999999998</v>
      </c>
      <c r="BD131">
        <f t="shared" si="22"/>
        <v>12.191799999999999</v>
      </c>
      <c r="BE131">
        <f t="shared" si="23"/>
        <v>6.2097470283999989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155.65100000000001</v>
      </c>
      <c r="I132" s="21">
        <v>-1.11755E-2</v>
      </c>
      <c r="J132" s="21">
        <v>122</v>
      </c>
      <c r="K132" s="21">
        <v>1.18469</v>
      </c>
      <c r="L132">
        <f t="shared" si="12"/>
        <v>11.1755</v>
      </c>
      <c r="M132">
        <f t="shared" si="13"/>
        <v>13.249784555</v>
      </c>
      <c r="N132" s="9"/>
      <c r="O132" s="21">
        <v>0.514374</v>
      </c>
      <c r="P132" s="21">
        <v>239.63499999999999</v>
      </c>
      <c r="Q132" s="21">
        <v>-1.19293E-2</v>
      </c>
      <c r="R132" s="21">
        <v>122</v>
      </c>
      <c r="S132" s="21">
        <v>0.51400800000000002</v>
      </c>
      <c r="T132">
        <f t="shared" si="14"/>
        <v>11.9293</v>
      </c>
      <c r="U132">
        <f t="shared" si="15"/>
        <v>6.1361217581999998</v>
      </c>
      <c r="X132" s="9"/>
      <c r="Y132" s="21">
        <v>1.1856100000000001</v>
      </c>
      <c r="Z132" s="21">
        <v>445.803</v>
      </c>
      <c r="AA132" s="21">
        <v>-1.10291E-2</v>
      </c>
      <c r="AB132" s="21">
        <v>122</v>
      </c>
      <c r="AC132" s="21">
        <v>1.18408</v>
      </c>
      <c r="AD132">
        <f t="shared" si="16"/>
        <v>11.0291</v>
      </c>
      <c r="AE132">
        <f t="shared" si="17"/>
        <v>13.076211251</v>
      </c>
      <c r="AF132" s="9"/>
      <c r="AG132" s="21">
        <v>0.514374</v>
      </c>
      <c r="AH132" s="21">
        <v>502.47800000000001</v>
      </c>
      <c r="AI132" s="21">
        <v>-1.19659E-2</v>
      </c>
      <c r="AJ132" s="21">
        <v>122</v>
      </c>
      <c r="AK132" s="21">
        <v>0.51403799999999999</v>
      </c>
      <c r="AL132">
        <f t="shared" si="18"/>
        <v>11.9659</v>
      </c>
      <c r="AM132">
        <f t="shared" si="19"/>
        <v>6.1549478465999998</v>
      </c>
      <c r="AP132" s="9"/>
      <c r="AQ132" s="21">
        <v>1.1856100000000001</v>
      </c>
      <c r="AR132" s="21">
        <v>659.16700000000003</v>
      </c>
      <c r="AS132" s="21">
        <v>-1.12488E-2</v>
      </c>
      <c r="AT132" s="21">
        <v>122</v>
      </c>
      <c r="AU132" s="21">
        <v>1.18469</v>
      </c>
      <c r="AV132">
        <f t="shared" si="20"/>
        <v>11.248799999999999</v>
      </c>
      <c r="AW132">
        <f t="shared" si="21"/>
        <v>13.336689767999999</v>
      </c>
      <c r="AX132" s="9"/>
      <c r="AY132" s="21">
        <v>0.514374</v>
      </c>
      <c r="AZ132" s="21">
        <v>749.26199999999994</v>
      </c>
      <c r="BA132" s="21">
        <v>-1.21826E-2</v>
      </c>
      <c r="BB132" s="21">
        <v>122</v>
      </c>
      <c r="BC132" s="21">
        <v>0.51403799999999999</v>
      </c>
      <c r="BD132">
        <f t="shared" si="22"/>
        <v>12.182600000000001</v>
      </c>
      <c r="BE132">
        <f t="shared" si="23"/>
        <v>6.2664126924000003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155.75200000000001</v>
      </c>
      <c r="I133" s="21">
        <v>-1.11877E-2</v>
      </c>
      <c r="J133" s="21">
        <v>123</v>
      </c>
      <c r="K133" s="21">
        <v>1.17981</v>
      </c>
      <c r="L133">
        <f t="shared" si="12"/>
        <v>11.1877</v>
      </c>
      <c r="M133">
        <f t="shared" si="13"/>
        <v>13.207862988999999</v>
      </c>
      <c r="N133" s="9"/>
      <c r="O133" s="21">
        <v>0.51940900000000001</v>
      </c>
      <c r="P133" s="21">
        <v>239.73599999999999</v>
      </c>
      <c r="Q133" s="21">
        <v>-1.19293E-2</v>
      </c>
      <c r="R133" s="21">
        <v>123</v>
      </c>
      <c r="S133" s="21">
        <v>0.51907300000000001</v>
      </c>
      <c r="T133">
        <f t="shared" si="14"/>
        <v>11.9293</v>
      </c>
      <c r="U133">
        <f t="shared" si="15"/>
        <v>6.1961857836999998</v>
      </c>
      <c r="X133" s="9"/>
      <c r="Y133" s="21">
        <v>1.1805699999999999</v>
      </c>
      <c r="Z133" s="21">
        <v>445.904</v>
      </c>
      <c r="AA133" s="21">
        <v>-1.10382E-2</v>
      </c>
      <c r="AB133" s="21">
        <v>123</v>
      </c>
      <c r="AC133" s="21">
        <v>1.18011</v>
      </c>
      <c r="AD133">
        <f t="shared" si="16"/>
        <v>11.0382</v>
      </c>
      <c r="AE133">
        <f t="shared" si="17"/>
        <v>13.031367773999998</v>
      </c>
      <c r="AF133" s="9"/>
      <c r="AG133" s="21">
        <v>0.51940900000000001</v>
      </c>
      <c r="AH133" s="21">
        <v>502.57900000000001</v>
      </c>
      <c r="AI133" s="21">
        <v>-1.1975100000000001E-2</v>
      </c>
      <c r="AJ133" s="21">
        <v>123</v>
      </c>
      <c r="AK133" s="21">
        <v>0.51907300000000001</v>
      </c>
      <c r="AL133">
        <f t="shared" si="18"/>
        <v>11.975100000000001</v>
      </c>
      <c r="AM133">
        <f t="shared" si="19"/>
        <v>6.2199747159000012</v>
      </c>
      <c r="AP133" s="9"/>
      <c r="AQ133" s="21">
        <v>1.1805699999999999</v>
      </c>
      <c r="AR133" s="21">
        <v>659.26700000000005</v>
      </c>
      <c r="AS133" s="21">
        <v>-1.12579E-2</v>
      </c>
      <c r="AT133" s="21">
        <v>123</v>
      </c>
      <c r="AU133" s="21">
        <v>1.17981</v>
      </c>
      <c r="AV133">
        <f t="shared" si="20"/>
        <v>11.257899999999999</v>
      </c>
      <c r="AW133">
        <f t="shared" si="21"/>
        <v>13.290739002999999</v>
      </c>
      <c r="AX133" s="9"/>
      <c r="AY133" s="21">
        <v>0.51940900000000001</v>
      </c>
      <c r="AZ133" s="21">
        <v>749.36300000000006</v>
      </c>
      <c r="BA133" s="21">
        <v>-1.21765E-2</v>
      </c>
      <c r="BB133" s="21">
        <v>123</v>
      </c>
      <c r="BC133" s="21">
        <v>0.51895100000000005</v>
      </c>
      <c r="BD133">
        <f t="shared" si="22"/>
        <v>12.176499999999999</v>
      </c>
      <c r="BE133">
        <f t="shared" si="23"/>
        <v>6.3245836884999997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155.852</v>
      </c>
      <c r="I134" s="21">
        <v>-1.11938E-2</v>
      </c>
      <c r="J134" s="21">
        <v>124</v>
      </c>
      <c r="K134" s="21">
        <v>1.17523</v>
      </c>
      <c r="L134">
        <f t="shared" si="12"/>
        <v>11.1938</v>
      </c>
      <c r="M134">
        <f t="shared" si="13"/>
        <v>13.158759652000001</v>
      </c>
      <c r="N134" s="9"/>
      <c r="O134" s="21">
        <v>0.52444500000000005</v>
      </c>
      <c r="P134" s="21">
        <v>239.83699999999999</v>
      </c>
      <c r="Q134" s="21">
        <v>-1.19232E-2</v>
      </c>
      <c r="R134" s="21">
        <v>124</v>
      </c>
      <c r="S134" s="21">
        <v>0.52404799999999996</v>
      </c>
      <c r="T134">
        <f t="shared" si="14"/>
        <v>11.9232</v>
      </c>
      <c r="U134">
        <f t="shared" si="15"/>
        <v>6.253062624</v>
      </c>
      <c r="X134" s="9"/>
      <c r="Y134" s="21">
        <v>1.17554</v>
      </c>
      <c r="Z134" s="21">
        <v>446.00400000000002</v>
      </c>
      <c r="AA134" s="21">
        <v>-1.10443E-2</v>
      </c>
      <c r="AB134" s="21">
        <v>124</v>
      </c>
      <c r="AC134" s="21">
        <v>1.17493</v>
      </c>
      <c r="AD134">
        <f t="shared" si="16"/>
        <v>11.0443</v>
      </c>
      <c r="AE134">
        <f t="shared" si="17"/>
        <v>12.983016422</v>
      </c>
      <c r="AF134" s="9"/>
      <c r="AG134" s="21">
        <v>0.52444500000000005</v>
      </c>
      <c r="AH134" s="21">
        <v>502.67899999999997</v>
      </c>
      <c r="AI134" s="21">
        <v>-1.1969E-2</v>
      </c>
      <c r="AJ134" s="21">
        <v>124</v>
      </c>
      <c r="AK134" s="21">
        <v>0.52417000000000002</v>
      </c>
      <c r="AL134">
        <f t="shared" si="18"/>
        <v>11.969000000000001</v>
      </c>
      <c r="AM134">
        <f t="shared" si="19"/>
        <v>6.277082205000001</v>
      </c>
      <c r="AP134" s="9"/>
      <c r="AQ134" s="21">
        <v>1.17554</v>
      </c>
      <c r="AR134" s="21">
        <v>659.36800000000005</v>
      </c>
      <c r="AS134" s="21">
        <v>-1.12671E-2</v>
      </c>
      <c r="AT134" s="21">
        <v>124</v>
      </c>
      <c r="AU134" s="21">
        <v>1.17493</v>
      </c>
      <c r="AV134">
        <f t="shared" si="20"/>
        <v>11.267100000000001</v>
      </c>
      <c r="AW134">
        <f t="shared" si="21"/>
        <v>13.244926734000002</v>
      </c>
      <c r="AX134" s="9"/>
      <c r="AY134" s="21">
        <v>0.52444500000000005</v>
      </c>
      <c r="AZ134" s="21">
        <v>749.46299999999997</v>
      </c>
      <c r="BA134" s="21">
        <v>-1.21796E-2</v>
      </c>
      <c r="BB134" s="21">
        <v>124</v>
      </c>
      <c r="BC134" s="21">
        <v>0.5242</v>
      </c>
      <c r="BD134">
        <f t="shared" si="22"/>
        <v>12.179600000000001</v>
      </c>
      <c r="BE134">
        <f t="shared" si="23"/>
        <v>6.3875303220000008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155.953</v>
      </c>
      <c r="I135" s="21">
        <v>-1.11877E-2</v>
      </c>
      <c r="J135" s="21">
        <v>125</v>
      </c>
      <c r="K135" s="21">
        <v>1.16943</v>
      </c>
      <c r="L135">
        <f t="shared" si="12"/>
        <v>11.1877</v>
      </c>
      <c r="M135">
        <f t="shared" si="13"/>
        <v>13.09520285</v>
      </c>
      <c r="N135" s="9"/>
      <c r="O135" s="21">
        <v>0.52947999999999995</v>
      </c>
      <c r="P135" s="21">
        <v>239.93700000000001</v>
      </c>
      <c r="Q135" s="21">
        <v>-1.19232E-2</v>
      </c>
      <c r="R135" s="21">
        <v>125</v>
      </c>
      <c r="S135" s="21">
        <v>0.52908299999999997</v>
      </c>
      <c r="T135">
        <f t="shared" si="14"/>
        <v>11.9232</v>
      </c>
      <c r="U135">
        <f t="shared" si="15"/>
        <v>6.313095935999999</v>
      </c>
      <c r="X135" s="9"/>
      <c r="Y135" s="21">
        <v>1.1705000000000001</v>
      </c>
      <c r="Z135" s="21">
        <v>446.10500000000002</v>
      </c>
      <c r="AA135" s="21">
        <v>-1.10504E-2</v>
      </c>
      <c r="AB135" s="21">
        <v>125</v>
      </c>
      <c r="AC135" s="21">
        <v>1.16943</v>
      </c>
      <c r="AD135">
        <f t="shared" si="16"/>
        <v>11.0504</v>
      </c>
      <c r="AE135">
        <f t="shared" si="17"/>
        <v>12.9344932</v>
      </c>
      <c r="AF135" s="9"/>
      <c r="AG135" s="21">
        <v>0.52947999999999995</v>
      </c>
      <c r="AH135" s="21">
        <v>502.78</v>
      </c>
      <c r="AI135" s="21">
        <v>-1.19629E-2</v>
      </c>
      <c r="AJ135" s="21">
        <v>125</v>
      </c>
      <c r="AK135" s="21">
        <v>0.52917499999999995</v>
      </c>
      <c r="AL135">
        <f t="shared" si="18"/>
        <v>11.962899999999999</v>
      </c>
      <c r="AM135">
        <f t="shared" si="19"/>
        <v>6.3341162919999991</v>
      </c>
      <c r="AP135" s="9"/>
      <c r="AQ135" s="21">
        <v>1.1705000000000001</v>
      </c>
      <c r="AR135" s="21">
        <v>659.46900000000005</v>
      </c>
      <c r="AS135" s="21">
        <v>-1.1279300000000001E-2</v>
      </c>
      <c r="AT135" s="21">
        <v>125</v>
      </c>
      <c r="AU135" s="21">
        <v>1.16943</v>
      </c>
      <c r="AV135">
        <f t="shared" si="20"/>
        <v>11.279300000000001</v>
      </c>
      <c r="AW135">
        <f t="shared" si="21"/>
        <v>13.202420650000002</v>
      </c>
      <c r="AX135" s="9"/>
      <c r="AY135" s="21">
        <v>0.52947999999999995</v>
      </c>
      <c r="AZ135" s="21">
        <v>749.56399999999996</v>
      </c>
      <c r="BA135" s="21">
        <v>-1.21735E-2</v>
      </c>
      <c r="BB135" s="21">
        <v>125</v>
      </c>
      <c r="BC135" s="21">
        <v>0.52908299999999997</v>
      </c>
      <c r="BD135">
        <f t="shared" si="22"/>
        <v>12.173500000000001</v>
      </c>
      <c r="BE135">
        <f t="shared" si="23"/>
        <v>6.4456247800000002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156.054</v>
      </c>
      <c r="I136" s="21">
        <v>-1.1196899999999999E-2</v>
      </c>
      <c r="J136" s="21">
        <v>126</v>
      </c>
      <c r="K136" s="21">
        <v>1.16455</v>
      </c>
      <c r="L136">
        <f t="shared" si="12"/>
        <v>11.196899999999999</v>
      </c>
      <c r="M136">
        <f t="shared" si="13"/>
        <v>13.049651042999999</v>
      </c>
      <c r="N136" s="9"/>
      <c r="O136" s="21">
        <v>0.53451499999999996</v>
      </c>
      <c r="P136" s="21">
        <v>240.03800000000001</v>
      </c>
      <c r="Q136" s="21">
        <v>-1.19232E-2</v>
      </c>
      <c r="R136" s="21">
        <v>126</v>
      </c>
      <c r="S136" s="21">
        <v>0.53414899999999998</v>
      </c>
      <c r="T136">
        <f t="shared" si="14"/>
        <v>11.9232</v>
      </c>
      <c r="U136">
        <f t="shared" si="15"/>
        <v>6.3731292479999997</v>
      </c>
      <c r="X136" s="9"/>
      <c r="Y136" s="21">
        <v>1.16547</v>
      </c>
      <c r="Z136" s="21">
        <v>446.20600000000002</v>
      </c>
      <c r="AA136" s="21">
        <v>-1.10504E-2</v>
      </c>
      <c r="AB136" s="21">
        <v>126</v>
      </c>
      <c r="AC136" s="21">
        <v>1.16455</v>
      </c>
      <c r="AD136">
        <f t="shared" si="16"/>
        <v>11.0504</v>
      </c>
      <c r="AE136">
        <f t="shared" si="17"/>
        <v>12.878909688</v>
      </c>
      <c r="AF136" s="9"/>
      <c r="AG136" s="21">
        <v>0.53451499999999996</v>
      </c>
      <c r="AH136" s="21">
        <v>502.88099999999997</v>
      </c>
      <c r="AI136" s="21">
        <v>-1.1953699999999999E-2</v>
      </c>
      <c r="AJ136" s="21">
        <v>126</v>
      </c>
      <c r="AK136" s="21">
        <v>0.53420999999999996</v>
      </c>
      <c r="AL136">
        <f t="shared" si="18"/>
        <v>11.9537</v>
      </c>
      <c r="AM136">
        <f t="shared" si="19"/>
        <v>6.3894319554999992</v>
      </c>
      <c r="AP136" s="9"/>
      <c r="AQ136" s="21">
        <v>1.16547</v>
      </c>
      <c r="AR136" s="21">
        <v>659.56899999999996</v>
      </c>
      <c r="AS136" s="21">
        <v>-1.12762E-2</v>
      </c>
      <c r="AT136" s="21">
        <v>126</v>
      </c>
      <c r="AU136" s="21">
        <v>1.16425</v>
      </c>
      <c r="AV136">
        <f t="shared" si="20"/>
        <v>11.276199999999999</v>
      </c>
      <c r="AW136">
        <f t="shared" si="21"/>
        <v>13.142072813999999</v>
      </c>
      <c r="AX136" s="9"/>
      <c r="AY136" s="21">
        <v>0.53451499999999996</v>
      </c>
      <c r="AZ136" s="21">
        <v>749.66499999999996</v>
      </c>
      <c r="BA136" s="21">
        <v>-1.21735E-2</v>
      </c>
      <c r="BB136" s="21">
        <v>126</v>
      </c>
      <c r="BC136" s="21">
        <v>0.53417999999999999</v>
      </c>
      <c r="BD136">
        <f t="shared" si="22"/>
        <v>12.173500000000001</v>
      </c>
      <c r="BE136">
        <f t="shared" si="23"/>
        <v>6.5069183524999996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156.154</v>
      </c>
      <c r="I137" s="21">
        <v>-1.12E-2</v>
      </c>
      <c r="J137" s="21">
        <v>127</v>
      </c>
      <c r="K137" s="21">
        <v>1.15967</v>
      </c>
      <c r="L137">
        <f t="shared" si="12"/>
        <v>11.2</v>
      </c>
      <c r="M137">
        <f t="shared" si="13"/>
        <v>12.996816000000001</v>
      </c>
      <c r="N137" s="9"/>
      <c r="O137" s="21">
        <v>0.539551</v>
      </c>
      <c r="P137" s="21">
        <v>240.13900000000001</v>
      </c>
      <c r="Q137" s="21">
        <v>-1.19141E-2</v>
      </c>
      <c r="R137" s="21">
        <v>127</v>
      </c>
      <c r="S137" s="21">
        <v>0.53915400000000002</v>
      </c>
      <c r="T137">
        <f t="shared" si="14"/>
        <v>11.914100000000001</v>
      </c>
      <c r="U137">
        <f t="shared" si="15"/>
        <v>6.4282645691000004</v>
      </c>
      <c r="X137" s="9"/>
      <c r="Y137" s="21">
        <v>1.1604300000000001</v>
      </c>
      <c r="Z137" s="21">
        <v>446.30599999999998</v>
      </c>
      <c r="AA137" s="21">
        <v>-1.1059599999999999E-2</v>
      </c>
      <c r="AB137" s="21">
        <v>127</v>
      </c>
      <c r="AC137" s="21">
        <v>1.16028</v>
      </c>
      <c r="AD137">
        <f t="shared" si="16"/>
        <v>11.0596</v>
      </c>
      <c r="AE137">
        <f t="shared" si="17"/>
        <v>12.833891628</v>
      </c>
      <c r="AF137" s="9"/>
      <c r="AG137" s="21">
        <v>0.539551</v>
      </c>
      <c r="AH137" s="21">
        <v>502.98099999999999</v>
      </c>
      <c r="AI137" s="21">
        <v>-1.19446E-2</v>
      </c>
      <c r="AJ137" s="21">
        <v>127</v>
      </c>
      <c r="AK137" s="21">
        <v>0.53930699999999998</v>
      </c>
      <c r="AL137">
        <f t="shared" si="18"/>
        <v>11.944599999999999</v>
      </c>
      <c r="AM137">
        <f t="shared" si="19"/>
        <v>6.4447208745999998</v>
      </c>
      <c r="AP137" s="9"/>
      <c r="AQ137" s="21">
        <v>1.1604300000000001</v>
      </c>
      <c r="AR137" s="21">
        <v>659.67</v>
      </c>
      <c r="AS137" s="21">
        <v>-1.13007E-2</v>
      </c>
      <c r="AT137" s="21">
        <v>127</v>
      </c>
      <c r="AU137" s="21">
        <v>1.1599699999999999</v>
      </c>
      <c r="AV137">
        <f t="shared" si="20"/>
        <v>11.300700000000001</v>
      </c>
      <c r="AW137">
        <f t="shared" si="21"/>
        <v>13.113671301000002</v>
      </c>
      <c r="AX137" s="9"/>
      <c r="AY137" s="21">
        <v>0.539551</v>
      </c>
      <c r="AZ137" s="21">
        <v>749.76599999999996</v>
      </c>
      <c r="BA137" s="21">
        <v>-1.21735E-2</v>
      </c>
      <c r="BB137" s="21">
        <v>127</v>
      </c>
      <c r="BC137" s="21">
        <v>0.53915400000000002</v>
      </c>
      <c r="BD137">
        <f t="shared" si="22"/>
        <v>12.173500000000001</v>
      </c>
      <c r="BE137">
        <f t="shared" si="23"/>
        <v>6.5682240985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156.255</v>
      </c>
      <c r="I138" s="21">
        <v>-1.12122E-2</v>
      </c>
      <c r="J138" s="21">
        <v>128</v>
      </c>
      <c r="K138" s="21">
        <v>1.15448</v>
      </c>
      <c r="L138">
        <f t="shared" si="12"/>
        <v>11.212200000000001</v>
      </c>
      <c r="M138">
        <f t="shared" si="13"/>
        <v>12.95457588</v>
      </c>
      <c r="N138" s="9"/>
      <c r="O138" s="21">
        <v>0.54458600000000001</v>
      </c>
      <c r="P138" s="21">
        <v>240.24</v>
      </c>
      <c r="Q138" s="21">
        <v>-1.1911E-2</v>
      </c>
      <c r="R138" s="21">
        <v>128</v>
      </c>
      <c r="S138" s="21">
        <v>0.54418900000000003</v>
      </c>
      <c r="T138">
        <f t="shared" si="14"/>
        <v>11.911</v>
      </c>
      <c r="U138">
        <f t="shared" si="15"/>
        <v>6.4865638460000001</v>
      </c>
      <c r="X138" s="9"/>
      <c r="Y138" s="21">
        <v>1.1554</v>
      </c>
      <c r="Z138" s="21">
        <v>446.40699999999998</v>
      </c>
      <c r="AA138" s="21">
        <v>-1.1065699999999999E-2</v>
      </c>
      <c r="AB138" s="21">
        <v>128</v>
      </c>
      <c r="AC138" s="21">
        <v>1.15479</v>
      </c>
      <c r="AD138">
        <f t="shared" si="16"/>
        <v>11.0657</v>
      </c>
      <c r="AE138">
        <f t="shared" si="17"/>
        <v>12.785309779999999</v>
      </c>
      <c r="AF138" s="9"/>
      <c r="AG138" s="21">
        <v>0.54458600000000001</v>
      </c>
      <c r="AH138" s="21">
        <v>503.08199999999999</v>
      </c>
      <c r="AI138" s="21">
        <v>-1.1947599999999999E-2</v>
      </c>
      <c r="AJ138" s="21">
        <v>128</v>
      </c>
      <c r="AK138" s="21">
        <v>0.54425000000000001</v>
      </c>
      <c r="AL138">
        <f t="shared" si="18"/>
        <v>11.9476</v>
      </c>
      <c r="AM138">
        <f t="shared" si="19"/>
        <v>6.5064956935999998</v>
      </c>
      <c r="AP138" s="9"/>
      <c r="AQ138" s="21">
        <v>1.1554</v>
      </c>
      <c r="AR138" s="21">
        <v>659.77099999999996</v>
      </c>
      <c r="AS138" s="21">
        <v>-1.1306800000000001E-2</v>
      </c>
      <c r="AT138" s="21">
        <v>128</v>
      </c>
      <c r="AU138" s="21">
        <v>1.15448</v>
      </c>
      <c r="AV138">
        <f t="shared" si="20"/>
        <v>11.306800000000001</v>
      </c>
      <c r="AW138">
        <f t="shared" si="21"/>
        <v>13.063876720000001</v>
      </c>
      <c r="AX138" s="9"/>
      <c r="AY138" s="21">
        <v>0.54458600000000001</v>
      </c>
      <c r="AZ138" s="21">
        <v>749.86599999999999</v>
      </c>
      <c r="BA138" s="21">
        <v>-1.21704E-2</v>
      </c>
      <c r="BB138" s="21">
        <v>128</v>
      </c>
      <c r="BC138" s="21">
        <v>0.54418900000000003</v>
      </c>
      <c r="BD138">
        <f t="shared" si="22"/>
        <v>12.170399999999999</v>
      </c>
      <c r="BE138">
        <f t="shared" si="23"/>
        <v>6.6278294543999996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156.35599999999999</v>
      </c>
      <c r="I139" s="21">
        <v>-1.12122E-2</v>
      </c>
      <c r="J139" s="21">
        <v>129</v>
      </c>
      <c r="K139" s="21">
        <v>1.1496</v>
      </c>
      <c r="L139">
        <f t="shared" si="12"/>
        <v>11.212200000000001</v>
      </c>
      <c r="M139">
        <f t="shared" si="13"/>
        <v>12.898066392000002</v>
      </c>
      <c r="N139" s="9"/>
      <c r="O139" s="21">
        <v>0.54962200000000005</v>
      </c>
      <c r="P139" s="21">
        <v>240.34</v>
      </c>
      <c r="Q139" s="21">
        <v>-1.19049E-2</v>
      </c>
      <c r="R139" s="21">
        <v>129</v>
      </c>
      <c r="S139" s="21">
        <v>0.54943799999999998</v>
      </c>
      <c r="T139">
        <f t="shared" si="14"/>
        <v>11.9049</v>
      </c>
      <c r="U139">
        <f t="shared" si="15"/>
        <v>6.5431949478</v>
      </c>
      <c r="X139" s="9"/>
      <c r="Y139" s="21">
        <v>1.15036</v>
      </c>
      <c r="Z139" s="21">
        <v>446.50799999999998</v>
      </c>
      <c r="AA139" s="21">
        <v>-1.10718E-2</v>
      </c>
      <c r="AB139" s="21">
        <v>129</v>
      </c>
      <c r="AC139" s="21">
        <v>1.14899</v>
      </c>
      <c r="AD139">
        <f t="shared" si="16"/>
        <v>11.0718</v>
      </c>
      <c r="AE139">
        <f t="shared" si="17"/>
        <v>12.736555848</v>
      </c>
      <c r="AF139" s="9"/>
      <c r="AG139" s="21">
        <v>0.54962200000000005</v>
      </c>
      <c r="AH139" s="21">
        <v>503.18299999999999</v>
      </c>
      <c r="AI139" s="21">
        <v>-1.19446E-2</v>
      </c>
      <c r="AJ139" s="21">
        <v>129</v>
      </c>
      <c r="AK139" s="21">
        <v>0.54928600000000005</v>
      </c>
      <c r="AL139">
        <f t="shared" si="18"/>
        <v>11.944599999999999</v>
      </c>
      <c r="AM139">
        <f t="shared" si="19"/>
        <v>6.5650149412000003</v>
      </c>
      <c r="AP139" s="9"/>
      <c r="AQ139" s="21">
        <v>1.15036</v>
      </c>
      <c r="AR139" s="21">
        <v>659.87199999999996</v>
      </c>
      <c r="AS139" s="21">
        <v>-1.1312900000000001E-2</v>
      </c>
      <c r="AT139" s="21">
        <v>129</v>
      </c>
      <c r="AU139" s="21">
        <v>1.1498999999999999</v>
      </c>
      <c r="AV139">
        <f t="shared" si="20"/>
        <v>11.312900000000001</v>
      </c>
      <c r="AW139">
        <f t="shared" si="21"/>
        <v>13.013907644000001</v>
      </c>
      <c r="AX139" s="9"/>
      <c r="AY139" s="21">
        <v>0.54962200000000005</v>
      </c>
      <c r="AZ139" s="21">
        <v>749.96699999999998</v>
      </c>
      <c r="BA139" s="21">
        <v>-1.2164299999999999E-2</v>
      </c>
      <c r="BB139" s="21">
        <v>129</v>
      </c>
      <c r="BC139" s="21">
        <v>0.54925500000000005</v>
      </c>
      <c r="BD139">
        <f t="shared" si="22"/>
        <v>12.164299999999999</v>
      </c>
      <c r="BE139">
        <f t="shared" si="23"/>
        <v>6.6857668946000004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156.45699999999999</v>
      </c>
      <c r="I140" s="21">
        <v>-1.12213E-2</v>
      </c>
      <c r="J140" s="21">
        <v>130</v>
      </c>
      <c r="K140" s="21">
        <v>1.1444099999999999</v>
      </c>
      <c r="L140">
        <f t="shared" ref="L140:L203" si="24">-I140/$F$2*1000</f>
        <v>11.221299999999999</v>
      </c>
      <c r="M140">
        <f t="shared" ref="M140:M203" si="25">L140*G140</f>
        <v>12.851979315999998</v>
      </c>
      <c r="N140" s="9"/>
      <c r="O140" s="21">
        <v>0.55465699999999996</v>
      </c>
      <c r="P140" s="21">
        <v>240.441</v>
      </c>
      <c r="Q140" s="21">
        <v>-1.18958E-2</v>
      </c>
      <c r="R140" s="21">
        <v>130</v>
      </c>
      <c r="S140" s="21">
        <v>0.55432099999999995</v>
      </c>
      <c r="T140">
        <f t="shared" ref="T140:T203" si="26">-Q140/$F$2*1000</f>
        <v>11.895799999999999</v>
      </c>
      <c r="U140">
        <f t="shared" ref="U140:U203" si="27">T140*O140</f>
        <v>6.5980887405999988</v>
      </c>
      <c r="X140" s="9"/>
      <c r="Y140" s="21">
        <v>1.1453199999999999</v>
      </c>
      <c r="Z140" s="21">
        <v>446.60899999999998</v>
      </c>
      <c r="AA140" s="21">
        <v>-1.1084E-2</v>
      </c>
      <c r="AB140" s="21">
        <v>130</v>
      </c>
      <c r="AC140" s="21">
        <v>1.1447099999999999</v>
      </c>
      <c r="AD140">
        <f t="shared" ref="AD140:AD203" si="28">-AA140/$F$2*1000</f>
        <v>11.084</v>
      </c>
      <c r="AE140">
        <f t="shared" ref="AE140:AE203" si="29">AD140*Y140</f>
        <v>12.694726879999999</v>
      </c>
      <c r="AF140" s="9"/>
      <c r="AG140" s="21">
        <v>0.55465699999999996</v>
      </c>
      <c r="AH140" s="21">
        <v>503.28300000000002</v>
      </c>
      <c r="AI140" s="21">
        <v>-1.1941500000000001E-2</v>
      </c>
      <c r="AJ140" s="21">
        <v>130</v>
      </c>
      <c r="AK140" s="21">
        <v>0.55432099999999995</v>
      </c>
      <c r="AL140">
        <f t="shared" ref="AL140:AL203" si="30">-AI140/$F$2*1000</f>
        <v>11.941500000000001</v>
      </c>
      <c r="AM140">
        <f t="shared" ref="AM140:AM203" si="31">AL140*AG140</f>
        <v>6.6234365655000005</v>
      </c>
      <c r="AP140" s="9"/>
      <c r="AQ140" s="21">
        <v>1.1453199999999999</v>
      </c>
      <c r="AR140" s="21">
        <v>659.97199999999998</v>
      </c>
      <c r="AS140" s="21">
        <v>-1.1322E-2</v>
      </c>
      <c r="AT140" s="21">
        <v>130</v>
      </c>
      <c r="AU140" s="21">
        <v>1.1444099999999999</v>
      </c>
      <c r="AV140">
        <f t="shared" ref="AV140:AV203" si="32">-AS140/$F$2*1000</f>
        <v>11.322000000000001</v>
      </c>
      <c r="AW140">
        <f t="shared" ref="AW140:AW203" si="33">AV140*AQ140</f>
        <v>12.967313040000001</v>
      </c>
      <c r="AX140" s="9"/>
      <c r="AY140" s="21">
        <v>0.55465699999999996</v>
      </c>
      <c r="AZ140" s="21">
        <v>750.06799999999998</v>
      </c>
      <c r="BA140" s="21">
        <v>-1.21613E-2</v>
      </c>
      <c r="BB140" s="21">
        <v>130</v>
      </c>
      <c r="BC140" s="21">
        <v>0.55432099999999995</v>
      </c>
      <c r="BD140">
        <f t="shared" ref="BD140:BD203" si="34">-BA140/$F$2*1000</f>
        <v>12.161300000000001</v>
      </c>
      <c r="BE140">
        <f t="shared" ref="BE140:BE203" si="35">BD140*AY140</f>
        <v>6.7453501740999995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156.55699999999999</v>
      </c>
      <c r="I141" s="21">
        <v>-1.1230499999999999E-2</v>
      </c>
      <c r="J141" s="21">
        <v>131</v>
      </c>
      <c r="K141" s="21">
        <v>1.1395299999999999</v>
      </c>
      <c r="L141">
        <f t="shared" si="24"/>
        <v>11.230499999999999</v>
      </c>
      <c r="M141">
        <f t="shared" si="25"/>
        <v>12.806026845</v>
      </c>
      <c r="N141" s="9"/>
      <c r="O141" s="21">
        <v>0.55969199999999997</v>
      </c>
      <c r="P141" s="21">
        <v>240.542</v>
      </c>
      <c r="Q141" s="21">
        <v>-1.1892700000000001E-2</v>
      </c>
      <c r="R141" s="21">
        <v>131</v>
      </c>
      <c r="S141" s="21">
        <v>0.55932599999999999</v>
      </c>
      <c r="T141">
        <f t="shared" si="26"/>
        <v>11.892700000000001</v>
      </c>
      <c r="U141">
        <f t="shared" si="27"/>
        <v>6.6562490484000003</v>
      </c>
      <c r="X141" s="9"/>
      <c r="Y141" s="21">
        <v>1.14029</v>
      </c>
      <c r="Z141" s="21">
        <v>446.709</v>
      </c>
      <c r="AA141" s="21">
        <v>-1.10901E-2</v>
      </c>
      <c r="AB141" s="21">
        <v>131</v>
      </c>
      <c r="AC141" s="21">
        <v>1.1398299999999999</v>
      </c>
      <c r="AD141">
        <f t="shared" si="28"/>
        <v>11.0901</v>
      </c>
      <c r="AE141">
        <f t="shared" si="29"/>
        <v>12.645930129</v>
      </c>
      <c r="AF141" s="9"/>
      <c r="AG141" s="21">
        <v>0.55969199999999997</v>
      </c>
      <c r="AH141" s="21">
        <v>503.38400000000001</v>
      </c>
      <c r="AI141" s="21">
        <v>-1.1935400000000001E-2</v>
      </c>
      <c r="AJ141" s="21">
        <v>131</v>
      </c>
      <c r="AK141" s="21">
        <v>0.55938699999999997</v>
      </c>
      <c r="AL141">
        <f t="shared" si="30"/>
        <v>11.935400000000001</v>
      </c>
      <c r="AM141">
        <f t="shared" si="31"/>
        <v>6.6801478968000003</v>
      </c>
      <c r="AP141" s="9"/>
      <c r="AQ141" s="21">
        <v>1.14029</v>
      </c>
      <c r="AR141" s="21">
        <v>660.07299999999998</v>
      </c>
      <c r="AS141" s="21">
        <v>-1.1322E-2</v>
      </c>
      <c r="AT141" s="21">
        <v>131</v>
      </c>
      <c r="AU141" s="21">
        <v>1.1392199999999999</v>
      </c>
      <c r="AV141">
        <f t="shared" si="32"/>
        <v>11.322000000000001</v>
      </c>
      <c r="AW141">
        <f t="shared" si="33"/>
        <v>12.910363380000001</v>
      </c>
      <c r="AX141" s="9"/>
      <c r="AY141" s="21">
        <v>0.55969199999999997</v>
      </c>
      <c r="AZ141" s="21">
        <v>750.16800000000001</v>
      </c>
      <c r="BA141" s="21">
        <v>-1.2152100000000001E-2</v>
      </c>
      <c r="BB141" s="21">
        <v>131</v>
      </c>
      <c r="BC141" s="21">
        <v>0.55944799999999995</v>
      </c>
      <c r="BD141">
        <f t="shared" si="34"/>
        <v>12.152100000000001</v>
      </c>
      <c r="BE141">
        <f t="shared" si="35"/>
        <v>6.8014331531999996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156.65799999999999</v>
      </c>
      <c r="I142" s="21">
        <v>-1.12549E-2</v>
      </c>
      <c r="J142" s="21">
        <v>132</v>
      </c>
      <c r="K142" s="21">
        <v>1.1346400000000001</v>
      </c>
      <c r="L142">
        <f t="shared" si="24"/>
        <v>11.254899999999999</v>
      </c>
      <c r="M142">
        <f t="shared" si="25"/>
        <v>12.777125225000001</v>
      </c>
      <c r="N142" s="9"/>
      <c r="O142" s="21">
        <v>0.56472800000000001</v>
      </c>
      <c r="P142" s="21">
        <v>240.642</v>
      </c>
      <c r="Q142" s="21">
        <v>-1.1886600000000001E-2</v>
      </c>
      <c r="R142" s="21">
        <v>132</v>
      </c>
      <c r="S142" s="21">
        <v>0.564392</v>
      </c>
      <c r="T142">
        <f t="shared" si="26"/>
        <v>11.886600000000001</v>
      </c>
      <c r="U142">
        <f t="shared" si="27"/>
        <v>6.7126958448000007</v>
      </c>
      <c r="X142" s="9"/>
      <c r="Y142" s="21">
        <v>1.1352500000000001</v>
      </c>
      <c r="Z142" s="21">
        <v>446.81</v>
      </c>
      <c r="AA142" s="21">
        <v>-1.10931E-2</v>
      </c>
      <c r="AB142" s="21">
        <v>132</v>
      </c>
      <c r="AC142" s="21">
        <v>1.1346400000000001</v>
      </c>
      <c r="AD142">
        <f t="shared" si="28"/>
        <v>11.0931</v>
      </c>
      <c r="AE142">
        <f t="shared" si="29"/>
        <v>12.593441775000001</v>
      </c>
      <c r="AF142" s="9"/>
      <c r="AG142" s="21">
        <v>0.56472800000000001</v>
      </c>
      <c r="AH142" s="21">
        <v>503.48500000000001</v>
      </c>
      <c r="AI142" s="21">
        <v>-1.1926300000000001E-2</v>
      </c>
      <c r="AJ142" s="21">
        <v>132</v>
      </c>
      <c r="AK142" s="21">
        <v>0.56448399999999999</v>
      </c>
      <c r="AL142">
        <f t="shared" si="30"/>
        <v>11.926300000000001</v>
      </c>
      <c r="AM142">
        <f t="shared" si="31"/>
        <v>6.7351155464000012</v>
      </c>
      <c r="AP142" s="9"/>
      <c r="AQ142" s="21">
        <v>1.1352500000000001</v>
      </c>
      <c r="AR142" s="21">
        <v>660.17399999999998</v>
      </c>
      <c r="AS142" s="21">
        <v>-1.1334199999999999E-2</v>
      </c>
      <c r="AT142" s="21">
        <v>132</v>
      </c>
      <c r="AU142" s="21">
        <v>1.1349499999999999</v>
      </c>
      <c r="AV142">
        <f t="shared" si="32"/>
        <v>11.334199999999999</v>
      </c>
      <c r="AW142">
        <f t="shared" si="33"/>
        <v>12.86715055</v>
      </c>
      <c r="AX142" s="9"/>
      <c r="AY142" s="21">
        <v>0.56472800000000001</v>
      </c>
      <c r="AZ142" s="21">
        <v>750.26900000000001</v>
      </c>
      <c r="BA142" s="21">
        <v>-1.2149E-2</v>
      </c>
      <c r="BB142" s="21">
        <v>132</v>
      </c>
      <c r="BC142" s="21">
        <v>0.56442300000000001</v>
      </c>
      <c r="BD142">
        <f t="shared" si="34"/>
        <v>12.149000000000001</v>
      </c>
      <c r="BE142">
        <f t="shared" si="35"/>
        <v>6.8608804720000007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156.75899999999999</v>
      </c>
      <c r="I143" s="21">
        <v>-1.12427E-2</v>
      </c>
      <c r="J143" s="21">
        <v>133</v>
      </c>
      <c r="K143" s="21">
        <v>1.1285400000000001</v>
      </c>
      <c r="L143">
        <f t="shared" si="24"/>
        <v>11.242699999999999</v>
      </c>
      <c r="M143">
        <f t="shared" si="25"/>
        <v>12.706724393999998</v>
      </c>
      <c r="N143" s="9"/>
      <c r="O143" s="21">
        <v>0.56976300000000002</v>
      </c>
      <c r="P143" s="21">
        <v>240.74299999999999</v>
      </c>
      <c r="Q143" s="21">
        <v>-1.18805E-2</v>
      </c>
      <c r="R143" s="21">
        <v>133</v>
      </c>
      <c r="S143" s="21">
        <v>0.56936600000000004</v>
      </c>
      <c r="T143">
        <f t="shared" si="26"/>
        <v>11.8805</v>
      </c>
      <c r="U143">
        <f t="shared" si="27"/>
        <v>6.7690693215</v>
      </c>
      <c r="X143" s="9"/>
      <c r="Y143" s="21">
        <v>1.13022</v>
      </c>
      <c r="Z143" s="21">
        <v>446.911</v>
      </c>
      <c r="AA143" s="21">
        <v>-1.10992E-2</v>
      </c>
      <c r="AB143" s="21">
        <v>133</v>
      </c>
      <c r="AC143" s="21">
        <v>1.1294599999999999</v>
      </c>
      <c r="AD143">
        <f t="shared" si="28"/>
        <v>11.0992</v>
      </c>
      <c r="AE143">
        <f t="shared" si="29"/>
        <v>12.544537823999999</v>
      </c>
      <c r="AF143" s="9"/>
      <c r="AG143" s="21">
        <v>0.56976300000000002</v>
      </c>
      <c r="AH143" s="21">
        <v>503.58600000000001</v>
      </c>
      <c r="AI143" s="21">
        <v>-1.1920200000000001E-2</v>
      </c>
      <c r="AJ143" s="21">
        <v>133</v>
      </c>
      <c r="AK143" s="21">
        <v>0.56942700000000002</v>
      </c>
      <c r="AL143">
        <f t="shared" si="30"/>
        <v>11.920200000000001</v>
      </c>
      <c r="AM143">
        <f t="shared" si="31"/>
        <v>6.7916889126000006</v>
      </c>
      <c r="AP143" s="9"/>
      <c r="AQ143" s="21">
        <v>1.13022</v>
      </c>
      <c r="AR143" s="21">
        <v>660.274</v>
      </c>
      <c r="AS143" s="21">
        <v>-1.1340299999999999E-2</v>
      </c>
      <c r="AT143" s="21">
        <v>133</v>
      </c>
      <c r="AU143" s="21">
        <v>1.1297600000000001</v>
      </c>
      <c r="AV143">
        <f t="shared" si="32"/>
        <v>11.340299999999999</v>
      </c>
      <c r="AW143">
        <f t="shared" si="33"/>
        <v>12.817033865999999</v>
      </c>
      <c r="AX143" s="9"/>
      <c r="AY143" s="21">
        <v>0.56976300000000002</v>
      </c>
      <c r="AZ143" s="21">
        <v>750.37</v>
      </c>
      <c r="BA143" s="21">
        <v>-1.2146000000000001E-2</v>
      </c>
      <c r="BB143" s="21">
        <v>133</v>
      </c>
      <c r="BC143" s="21">
        <v>0.56948900000000002</v>
      </c>
      <c r="BD143">
        <f t="shared" si="34"/>
        <v>12.146000000000001</v>
      </c>
      <c r="BE143">
        <f t="shared" si="35"/>
        <v>6.9203413980000006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156.85900000000001</v>
      </c>
      <c r="I144" s="21">
        <v>-1.1239600000000001E-2</v>
      </c>
      <c r="J144" s="21">
        <v>134</v>
      </c>
      <c r="K144" s="21">
        <v>1.1242700000000001</v>
      </c>
      <c r="L144">
        <f t="shared" si="24"/>
        <v>11.239600000000001</v>
      </c>
      <c r="M144">
        <f t="shared" si="25"/>
        <v>12.646573128000002</v>
      </c>
      <c r="N144" s="9"/>
      <c r="O144" s="21">
        <v>0.57479899999999995</v>
      </c>
      <c r="P144" s="21">
        <v>240.84399999999999</v>
      </c>
      <c r="Q144" s="21">
        <v>-1.18774E-2</v>
      </c>
      <c r="R144" s="21">
        <v>134</v>
      </c>
      <c r="S144" s="21">
        <v>0.57443200000000005</v>
      </c>
      <c r="T144">
        <f t="shared" si="26"/>
        <v>11.8774</v>
      </c>
      <c r="U144">
        <f t="shared" si="27"/>
        <v>6.8271176425999993</v>
      </c>
      <c r="X144" s="9"/>
      <c r="Y144" s="21">
        <v>1.1251800000000001</v>
      </c>
      <c r="Z144" s="21">
        <v>447.01100000000002</v>
      </c>
      <c r="AA144" s="21">
        <v>-1.1102300000000001E-2</v>
      </c>
      <c r="AB144" s="21">
        <v>134</v>
      </c>
      <c r="AC144" s="21">
        <v>1.1245700000000001</v>
      </c>
      <c r="AD144">
        <f t="shared" si="28"/>
        <v>11.102300000000001</v>
      </c>
      <c r="AE144">
        <f t="shared" si="29"/>
        <v>12.492085914000002</v>
      </c>
      <c r="AF144" s="9"/>
      <c r="AG144" s="21">
        <v>0.57479899999999995</v>
      </c>
      <c r="AH144" s="21">
        <v>503.68599999999998</v>
      </c>
      <c r="AI144" s="21">
        <v>-1.1911E-2</v>
      </c>
      <c r="AJ144" s="21">
        <v>134</v>
      </c>
      <c r="AK144" s="21">
        <v>0.57452400000000003</v>
      </c>
      <c r="AL144">
        <f t="shared" si="30"/>
        <v>11.911</v>
      </c>
      <c r="AM144">
        <f t="shared" si="31"/>
        <v>6.8464308889999987</v>
      </c>
      <c r="AP144" s="9"/>
      <c r="AQ144" s="21">
        <v>1.1251800000000001</v>
      </c>
      <c r="AR144" s="21">
        <v>660.375</v>
      </c>
      <c r="AS144" s="21">
        <v>-1.13434E-2</v>
      </c>
      <c r="AT144" s="21">
        <v>134</v>
      </c>
      <c r="AU144" s="21">
        <v>1.1248800000000001</v>
      </c>
      <c r="AV144">
        <f t="shared" si="32"/>
        <v>11.343400000000001</v>
      </c>
      <c r="AW144">
        <f t="shared" si="33"/>
        <v>12.763366812000001</v>
      </c>
      <c r="AX144" s="9"/>
      <c r="AY144" s="21">
        <v>0.57479899999999995</v>
      </c>
      <c r="AZ144" s="21">
        <v>750.471</v>
      </c>
      <c r="BA144" s="21">
        <v>-1.21368E-2</v>
      </c>
      <c r="BB144" s="21">
        <v>134</v>
      </c>
      <c r="BC144" s="21">
        <v>0.57449300000000003</v>
      </c>
      <c r="BD144">
        <f t="shared" si="34"/>
        <v>12.136799999999999</v>
      </c>
      <c r="BE144">
        <f t="shared" si="35"/>
        <v>6.9762205031999986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156.96</v>
      </c>
      <c r="I145" s="21">
        <v>-1.12427E-2</v>
      </c>
      <c r="J145" s="21">
        <v>135</v>
      </c>
      <c r="K145" s="21">
        <v>1.1190800000000001</v>
      </c>
      <c r="L145">
        <f t="shared" si="24"/>
        <v>11.242699999999999</v>
      </c>
      <c r="M145">
        <f t="shared" si="25"/>
        <v>12.593510404999998</v>
      </c>
      <c r="N145" s="9"/>
      <c r="O145" s="21">
        <v>0.57983399999999996</v>
      </c>
      <c r="P145" s="21">
        <v>240.94399999999999</v>
      </c>
      <c r="Q145" s="21">
        <v>-1.18744E-2</v>
      </c>
      <c r="R145" s="21">
        <v>135</v>
      </c>
      <c r="S145" s="21">
        <v>0.57949799999999996</v>
      </c>
      <c r="T145">
        <f t="shared" si="26"/>
        <v>11.8744</v>
      </c>
      <c r="U145">
        <f t="shared" si="27"/>
        <v>6.8851808495999993</v>
      </c>
      <c r="X145" s="9"/>
      <c r="Y145" s="21">
        <v>1.12015</v>
      </c>
      <c r="Z145" s="21">
        <v>447.11200000000002</v>
      </c>
      <c r="AA145" s="21">
        <v>-1.1114499999999999E-2</v>
      </c>
      <c r="AB145" s="21">
        <v>135</v>
      </c>
      <c r="AC145" s="21">
        <v>1.1196900000000001</v>
      </c>
      <c r="AD145">
        <f t="shared" si="28"/>
        <v>11.1145</v>
      </c>
      <c r="AE145">
        <f t="shared" si="29"/>
        <v>12.449907175</v>
      </c>
      <c r="AF145" s="9"/>
      <c r="AG145" s="21">
        <v>0.57983399999999996</v>
      </c>
      <c r="AH145" s="21">
        <v>503.78699999999998</v>
      </c>
      <c r="AI145" s="21">
        <v>-1.19141E-2</v>
      </c>
      <c r="AJ145" s="21">
        <v>135</v>
      </c>
      <c r="AK145" s="21">
        <v>0.57943699999999998</v>
      </c>
      <c r="AL145">
        <f t="shared" si="30"/>
        <v>11.914100000000001</v>
      </c>
      <c r="AM145">
        <f t="shared" si="31"/>
        <v>6.9082002594</v>
      </c>
      <c r="AP145" s="9"/>
      <c r="AQ145" s="21">
        <v>1.12015</v>
      </c>
      <c r="AR145" s="21">
        <v>660.476</v>
      </c>
      <c r="AS145" s="21">
        <v>-1.13495E-2</v>
      </c>
      <c r="AT145" s="21">
        <v>135</v>
      </c>
      <c r="AU145" s="21">
        <v>1.1190800000000001</v>
      </c>
      <c r="AV145">
        <f t="shared" si="32"/>
        <v>11.349500000000001</v>
      </c>
      <c r="AW145">
        <f t="shared" si="33"/>
        <v>12.713142425000001</v>
      </c>
      <c r="AX145" s="9"/>
      <c r="AY145" s="21">
        <v>0.57983399999999996</v>
      </c>
      <c r="AZ145" s="21">
        <v>750.57100000000003</v>
      </c>
      <c r="BA145" s="21">
        <v>-1.21277E-2</v>
      </c>
      <c r="BB145" s="21">
        <v>135</v>
      </c>
      <c r="BC145" s="21">
        <v>0.57949799999999996</v>
      </c>
      <c r="BD145">
        <f t="shared" si="34"/>
        <v>12.127700000000001</v>
      </c>
      <c r="BE145">
        <f t="shared" si="35"/>
        <v>7.0320528017999999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157.06100000000001</v>
      </c>
      <c r="I146" s="21">
        <v>-1.12427E-2</v>
      </c>
      <c r="J146" s="21">
        <v>136</v>
      </c>
      <c r="K146" s="21">
        <v>1.1142000000000001</v>
      </c>
      <c r="L146">
        <f t="shared" si="24"/>
        <v>11.242699999999999</v>
      </c>
      <c r="M146">
        <f t="shared" si="25"/>
        <v>12.536847197</v>
      </c>
      <c r="N146" s="9"/>
      <c r="O146" s="21">
        <v>0.58486899999999997</v>
      </c>
      <c r="P146" s="21">
        <v>241.04499999999999</v>
      </c>
      <c r="Q146" s="21">
        <v>-1.1865199999999999E-2</v>
      </c>
      <c r="R146" s="21">
        <v>136</v>
      </c>
      <c r="S146" s="21">
        <v>0.58450299999999999</v>
      </c>
      <c r="T146">
        <f t="shared" si="26"/>
        <v>11.8652</v>
      </c>
      <c r="U146">
        <f t="shared" si="27"/>
        <v>6.9395876587999998</v>
      </c>
      <c r="X146" s="9"/>
      <c r="Y146" s="21">
        <v>1.11511</v>
      </c>
      <c r="Z146" s="21">
        <v>447.21300000000002</v>
      </c>
      <c r="AA146" s="21">
        <v>-1.11115E-2</v>
      </c>
      <c r="AB146" s="21">
        <v>136</v>
      </c>
      <c r="AC146" s="21">
        <v>1.1135900000000001</v>
      </c>
      <c r="AD146">
        <f t="shared" si="28"/>
        <v>11.111499999999999</v>
      </c>
      <c r="AE146">
        <f t="shared" si="29"/>
        <v>12.390544765</v>
      </c>
      <c r="AF146" s="9"/>
      <c r="AG146" s="21">
        <v>0.58486899999999997</v>
      </c>
      <c r="AH146" s="21">
        <v>503.88799999999998</v>
      </c>
      <c r="AI146" s="21">
        <v>-1.1908E-2</v>
      </c>
      <c r="AJ146" s="21">
        <v>136</v>
      </c>
      <c r="AK146" s="21">
        <v>0.58450299999999999</v>
      </c>
      <c r="AL146">
        <f t="shared" si="30"/>
        <v>11.907999999999999</v>
      </c>
      <c r="AM146">
        <f t="shared" si="31"/>
        <v>6.964620051999999</v>
      </c>
      <c r="AP146" s="9"/>
      <c r="AQ146" s="21">
        <v>1.11511</v>
      </c>
      <c r="AR146" s="21">
        <v>660.57600000000002</v>
      </c>
      <c r="AS146" s="21">
        <v>-1.1361700000000001E-2</v>
      </c>
      <c r="AT146" s="21">
        <v>136</v>
      </c>
      <c r="AU146" s="21">
        <v>1.1142000000000001</v>
      </c>
      <c r="AV146">
        <f t="shared" si="32"/>
        <v>11.361700000000001</v>
      </c>
      <c r="AW146">
        <f t="shared" si="33"/>
        <v>12.669545287000002</v>
      </c>
      <c r="AX146" s="9"/>
      <c r="AY146" s="21">
        <v>0.58486899999999997</v>
      </c>
      <c r="AZ146" s="21">
        <v>750.67200000000003</v>
      </c>
      <c r="BA146" s="21">
        <v>-1.2124599999999999E-2</v>
      </c>
      <c r="BB146" s="21">
        <v>136</v>
      </c>
      <c r="BC146" s="21">
        <v>0.58450299999999999</v>
      </c>
      <c r="BD146">
        <f t="shared" si="34"/>
        <v>12.124599999999999</v>
      </c>
      <c r="BE146">
        <f t="shared" si="35"/>
        <v>7.091302677399999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157.16200000000001</v>
      </c>
      <c r="I147" s="21">
        <v>-1.12488E-2</v>
      </c>
      <c r="J147" s="21">
        <v>137</v>
      </c>
      <c r="K147" s="21">
        <v>1.10931</v>
      </c>
      <c r="L147">
        <f t="shared" si="24"/>
        <v>11.248799999999999</v>
      </c>
      <c r="M147">
        <f t="shared" si="25"/>
        <v>12.487067903999998</v>
      </c>
      <c r="N147" s="9"/>
      <c r="O147" s="21">
        <v>0.58990500000000001</v>
      </c>
      <c r="P147" s="21">
        <v>241.14599999999999</v>
      </c>
      <c r="Q147" s="21">
        <v>-1.18561E-2</v>
      </c>
      <c r="R147" s="21">
        <v>137</v>
      </c>
      <c r="S147" s="21">
        <v>0.58956900000000001</v>
      </c>
      <c r="T147">
        <f t="shared" si="26"/>
        <v>11.8561</v>
      </c>
      <c r="U147">
        <f t="shared" si="27"/>
        <v>6.9939726704999998</v>
      </c>
      <c r="X147" s="9"/>
      <c r="Y147" s="21">
        <v>1.11008</v>
      </c>
      <c r="Z147" s="21">
        <v>447.31400000000002</v>
      </c>
      <c r="AA147" s="21">
        <v>-1.11176E-2</v>
      </c>
      <c r="AB147" s="21">
        <v>137</v>
      </c>
      <c r="AC147" s="21">
        <v>1.10992</v>
      </c>
      <c r="AD147">
        <f t="shared" si="28"/>
        <v>11.117599999999999</v>
      </c>
      <c r="AE147">
        <f t="shared" si="29"/>
        <v>12.341425407999999</v>
      </c>
      <c r="AF147" s="9"/>
      <c r="AG147" s="21">
        <v>0.58990500000000001</v>
      </c>
      <c r="AH147" s="21">
        <v>503.988</v>
      </c>
      <c r="AI147" s="21">
        <v>-1.19019E-2</v>
      </c>
      <c r="AJ147" s="21">
        <v>137</v>
      </c>
      <c r="AK147" s="21">
        <v>0.58969099999999997</v>
      </c>
      <c r="AL147">
        <f t="shared" si="30"/>
        <v>11.901899999999999</v>
      </c>
      <c r="AM147">
        <f t="shared" si="31"/>
        <v>7.0209903195000001</v>
      </c>
      <c r="AP147" s="9"/>
      <c r="AQ147" s="21">
        <v>1.11008</v>
      </c>
      <c r="AR147" s="21">
        <v>660.67700000000002</v>
      </c>
      <c r="AS147" s="21">
        <v>-1.1367800000000001E-2</v>
      </c>
      <c r="AT147" s="21">
        <v>137</v>
      </c>
      <c r="AU147" s="21">
        <v>1.10931</v>
      </c>
      <c r="AV147">
        <f t="shared" si="32"/>
        <v>11.367800000000001</v>
      </c>
      <c r="AW147">
        <f t="shared" si="33"/>
        <v>12.619167424</v>
      </c>
      <c r="AX147" s="9"/>
      <c r="AY147" s="21">
        <v>0.58990500000000001</v>
      </c>
      <c r="AZ147" s="21">
        <v>750.77300000000002</v>
      </c>
      <c r="BA147" s="21">
        <v>-1.2124599999999999E-2</v>
      </c>
      <c r="BB147" s="21">
        <v>137</v>
      </c>
      <c r="BC147" s="21">
        <v>0.58966099999999999</v>
      </c>
      <c r="BD147">
        <f t="shared" si="34"/>
        <v>12.124599999999999</v>
      </c>
      <c r="BE147">
        <f t="shared" si="35"/>
        <v>7.1523621629999994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157.262</v>
      </c>
      <c r="I148" s="21">
        <v>-1.1251799999999999E-2</v>
      </c>
      <c r="J148" s="21">
        <v>138</v>
      </c>
      <c r="K148" s="21">
        <v>1.1041300000000001</v>
      </c>
      <c r="L148">
        <f t="shared" si="24"/>
        <v>11.251799999999999</v>
      </c>
      <c r="M148">
        <f t="shared" si="25"/>
        <v>12.433689072</v>
      </c>
      <c r="N148" s="9"/>
      <c r="O148" s="21">
        <v>0.59494000000000002</v>
      </c>
      <c r="P148" s="21">
        <v>241.24700000000001</v>
      </c>
      <c r="Q148" s="21">
        <v>-1.1853000000000001E-2</v>
      </c>
      <c r="R148" s="21">
        <v>138</v>
      </c>
      <c r="S148" s="21">
        <v>0.59451299999999996</v>
      </c>
      <c r="T148">
        <f t="shared" si="26"/>
        <v>11.853000000000002</v>
      </c>
      <c r="U148">
        <f t="shared" si="27"/>
        <v>7.051823820000001</v>
      </c>
      <c r="X148" s="9"/>
      <c r="Y148" s="21">
        <v>1.10504</v>
      </c>
      <c r="Z148" s="21">
        <v>447.41399999999999</v>
      </c>
      <c r="AA148" s="21">
        <v>-1.11237E-2</v>
      </c>
      <c r="AB148" s="21">
        <v>138</v>
      </c>
      <c r="AC148" s="21">
        <v>1.10443</v>
      </c>
      <c r="AD148">
        <f t="shared" si="28"/>
        <v>11.123699999999999</v>
      </c>
      <c r="AE148">
        <f t="shared" si="29"/>
        <v>12.292133448</v>
      </c>
      <c r="AF148" s="9"/>
      <c r="AG148" s="21">
        <v>0.59494000000000002</v>
      </c>
      <c r="AH148" s="21">
        <v>504.089</v>
      </c>
      <c r="AI148" s="21">
        <v>-1.18958E-2</v>
      </c>
      <c r="AJ148" s="21">
        <v>138</v>
      </c>
      <c r="AK148" s="21">
        <v>0.59460400000000002</v>
      </c>
      <c r="AL148">
        <f t="shared" si="30"/>
        <v>11.895799999999999</v>
      </c>
      <c r="AM148">
        <f t="shared" si="31"/>
        <v>7.0772872519999996</v>
      </c>
      <c r="AP148" s="9"/>
      <c r="AQ148" s="21">
        <v>1.10504</v>
      </c>
      <c r="AR148" s="21">
        <v>660.77800000000002</v>
      </c>
      <c r="AS148" s="21">
        <v>-1.13708E-2</v>
      </c>
      <c r="AT148" s="21">
        <v>138</v>
      </c>
      <c r="AU148" s="21">
        <v>1.1041300000000001</v>
      </c>
      <c r="AV148">
        <f t="shared" si="32"/>
        <v>11.370800000000001</v>
      </c>
      <c r="AW148">
        <f t="shared" si="33"/>
        <v>12.565188832</v>
      </c>
      <c r="AX148" s="9"/>
      <c r="AY148" s="21">
        <v>0.59494000000000002</v>
      </c>
      <c r="AZ148" s="21">
        <v>750.87300000000005</v>
      </c>
      <c r="BA148" s="21">
        <v>-1.21216E-2</v>
      </c>
      <c r="BB148" s="21">
        <v>138</v>
      </c>
      <c r="BC148" s="21">
        <v>0.59460400000000002</v>
      </c>
      <c r="BD148">
        <f t="shared" si="34"/>
        <v>12.121599999999999</v>
      </c>
      <c r="BE148">
        <f t="shared" si="35"/>
        <v>7.2116247040000001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157.363</v>
      </c>
      <c r="I149" s="21">
        <v>-1.12549E-2</v>
      </c>
      <c r="J149" s="21">
        <v>139</v>
      </c>
      <c r="K149" s="21">
        <v>1.09924</v>
      </c>
      <c r="L149">
        <f t="shared" si="24"/>
        <v>11.254899999999999</v>
      </c>
      <c r="M149">
        <f t="shared" si="25"/>
        <v>12.380502548999999</v>
      </c>
      <c r="N149" s="9"/>
      <c r="O149" s="21">
        <v>0.59997599999999995</v>
      </c>
      <c r="P149" s="21">
        <v>241.34700000000001</v>
      </c>
      <c r="Q149" s="21">
        <v>-1.18408E-2</v>
      </c>
      <c r="R149" s="21">
        <v>139</v>
      </c>
      <c r="S149" s="21">
        <v>0.59960899999999995</v>
      </c>
      <c r="T149">
        <f t="shared" si="26"/>
        <v>11.8408</v>
      </c>
      <c r="U149">
        <f t="shared" si="27"/>
        <v>7.1041958207999993</v>
      </c>
      <c r="X149" s="9"/>
      <c r="Y149" s="21">
        <v>1.1000099999999999</v>
      </c>
      <c r="Z149" s="21">
        <v>447.51499999999999</v>
      </c>
      <c r="AA149" s="21">
        <v>-1.1135900000000001E-2</v>
      </c>
      <c r="AB149" s="21">
        <v>139</v>
      </c>
      <c r="AC149" s="21">
        <v>1.09924</v>
      </c>
      <c r="AD149">
        <f t="shared" si="28"/>
        <v>11.135900000000001</v>
      </c>
      <c r="AE149">
        <f t="shared" si="29"/>
        <v>12.249601359000001</v>
      </c>
      <c r="AF149" s="9"/>
      <c r="AG149" s="21">
        <v>0.59997599999999995</v>
      </c>
      <c r="AH149" s="21">
        <v>504.19</v>
      </c>
      <c r="AI149" s="21">
        <v>-1.18896E-2</v>
      </c>
      <c r="AJ149" s="21">
        <v>139</v>
      </c>
      <c r="AK149" s="21">
        <v>0.59976200000000002</v>
      </c>
      <c r="AL149">
        <f t="shared" si="30"/>
        <v>11.8896</v>
      </c>
      <c r="AM149">
        <f t="shared" si="31"/>
        <v>7.1334746495999992</v>
      </c>
      <c r="AP149" s="9"/>
      <c r="AQ149" s="21">
        <v>1.1000099999999999</v>
      </c>
      <c r="AR149" s="21">
        <v>660.87900000000002</v>
      </c>
      <c r="AS149" s="21">
        <v>-1.1428799999999999E-2</v>
      </c>
      <c r="AT149" s="21">
        <v>139</v>
      </c>
      <c r="AU149" s="21">
        <v>1.09955</v>
      </c>
      <c r="AV149">
        <f t="shared" si="32"/>
        <v>11.428799999999999</v>
      </c>
      <c r="AW149">
        <f t="shared" si="33"/>
        <v>12.571794287999998</v>
      </c>
      <c r="AX149" s="9"/>
      <c r="AY149" s="21">
        <v>0.59997599999999995</v>
      </c>
      <c r="AZ149" s="21">
        <v>750.97400000000005</v>
      </c>
      <c r="BA149" s="21">
        <v>-1.2112400000000001E-2</v>
      </c>
      <c r="BB149" s="21">
        <v>139</v>
      </c>
      <c r="BC149" s="21">
        <v>0.59963999999999995</v>
      </c>
      <c r="BD149">
        <f t="shared" si="34"/>
        <v>12.112400000000001</v>
      </c>
      <c r="BE149">
        <f t="shared" si="35"/>
        <v>7.2671493024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157.464</v>
      </c>
      <c r="I150" s="21">
        <v>-1.12762E-2</v>
      </c>
      <c r="J150" s="21">
        <v>140</v>
      </c>
      <c r="K150" s="21">
        <v>1.09497</v>
      </c>
      <c r="L150">
        <f t="shared" si="24"/>
        <v>11.276199999999999</v>
      </c>
      <c r="M150">
        <f t="shared" si="25"/>
        <v>12.347100714</v>
      </c>
      <c r="N150" s="9"/>
      <c r="O150" s="21">
        <v>0.60501099999999997</v>
      </c>
      <c r="P150" s="21">
        <v>241.44800000000001</v>
      </c>
      <c r="Q150" s="21">
        <v>-1.18408E-2</v>
      </c>
      <c r="R150" s="21">
        <v>140</v>
      </c>
      <c r="S150" s="21">
        <v>0.60470599999999997</v>
      </c>
      <c r="T150">
        <f t="shared" si="26"/>
        <v>11.8408</v>
      </c>
      <c r="U150">
        <f t="shared" si="27"/>
        <v>7.1638142487999996</v>
      </c>
      <c r="X150" s="9"/>
      <c r="Y150" s="21">
        <v>1.09497</v>
      </c>
      <c r="Z150" s="21">
        <v>447.61599999999999</v>
      </c>
      <c r="AA150" s="21">
        <v>-1.11389E-2</v>
      </c>
      <c r="AB150" s="21">
        <v>140</v>
      </c>
      <c r="AC150" s="21">
        <v>1.09467</v>
      </c>
      <c r="AD150">
        <f t="shared" si="28"/>
        <v>11.1389</v>
      </c>
      <c r="AE150">
        <f t="shared" si="29"/>
        <v>12.196761333</v>
      </c>
      <c r="AF150" s="9"/>
      <c r="AG150" s="21">
        <v>0.60501099999999997</v>
      </c>
      <c r="AH150" s="21">
        <v>504.291</v>
      </c>
      <c r="AI150" s="21">
        <v>-1.1886600000000001E-2</v>
      </c>
      <c r="AJ150" s="21">
        <v>140</v>
      </c>
      <c r="AK150" s="21">
        <v>0.60470599999999997</v>
      </c>
      <c r="AL150">
        <f t="shared" si="30"/>
        <v>11.886600000000001</v>
      </c>
      <c r="AM150">
        <f t="shared" si="31"/>
        <v>7.1915237526000002</v>
      </c>
      <c r="AP150" s="9"/>
      <c r="AQ150" s="21">
        <v>1.09497</v>
      </c>
      <c r="AR150" s="21">
        <v>660.97900000000004</v>
      </c>
      <c r="AS150" s="21">
        <v>-1.14868E-2</v>
      </c>
      <c r="AT150" s="21">
        <v>140</v>
      </c>
      <c r="AU150" s="21">
        <v>1.09436</v>
      </c>
      <c r="AV150">
        <f t="shared" si="32"/>
        <v>11.486800000000001</v>
      </c>
      <c r="AW150">
        <f t="shared" si="33"/>
        <v>12.577701396</v>
      </c>
      <c r="AX150" s="9"/>
      <c r="AY150" s="21">
        <v>0.60501099999999997</v>
      </c>
      <c r="AZ150" s="21">
        <v>751.07500000000005</v>
      </c>
      <c r="BA150" s="21">
        <v>-1.2103300000000001E-2</v>
      </c>
      <c r="BB150" s="21">
        <v>140</v>
      </c>
      <c r="BC150" s="21">
        <v>0.60470599999999997</v>
      </c>
      <c r="BD150">
        <f t="shared" si="34"/>
        <v>12.103300000000001</v>
      </c>
      <c r="BE150">
        <f t="shared" si="35"/>
        <v>7.3226296363000003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157.56399999999999</v>
      </c>
      <c r="I151" s="21">
        <v>-1.1279300000000001E-2</v>
      </c>
      <c r="J151" s="21">
        <v>141</v>
      </c>
      <c r="K151" s="21">
        <v>1.08887</v>
      </c>
      <c r="L151">
        <f t="shared" si="24"/>
        <v>11.279300000000001</v>
      </c>
      <c r="M151">
        <f t="shared" si="25"/>
        <v>12.293760241999999</v>
      </c>
      <c r="N151" s="9"/>
      <c r="O151" s="21">
        <v>0.61004599999999998</v>
      </c>
      <c r="P151" s="21">
        <v>241.54900000000001</v>
      </c>
      <c r="Q151" s="21">
        <v>-1.18347E-2</v>
      </c>
      <c r="R151" s="21">
        <v>141</v>
      </c>
      <c r="S151" s="21">
        <v>0.60974099999999998</v>
      </c>
      <c r="T151">
        <f t="shared" si="26"/>
        <v>11.8347</v>
      </c>
      <c r="U151">
        <f t="shared" si="27"/>
        <v>7.2197113961999992</v>
      </c>
      <c r="X151" s="9"/>
      <c r="Y151" s="21">
        <v>1.0899399999999999</v>
      </c>
      <c r="Z151" s="21">
        <v>447.71600000000001</v>
      </c>
      <c r="AA151" s="21">
        <v>-1.11328E-2</v>
      </c>
      <c r="AB151" s="21">
        <v>141</v>
      </c>
      <c r="AC151" s="21">
        <v>1.08978</v>
      </c>
      <c r="AD151">
        <f t="shared" si="28"/>
        <v>11.1328</v>
      </c>
      <c r="AE151">
        <f t="shared" si="29"/>
        <v>12.134084031999999</v>
      </c>
      <c r="AF151" s="9"/>
      <c r="AG151" s="21">
        <v>0.61004599999999998</v>
      </c>
      <c r="AH151" s="21">
        <v>504.39100000000002</v>
      </c>
      <c r="AI151" s="21">
        <v>-1.18774E-2</v>
      </c>
      <c r="AJ151" s="21">
        <v>141</v>
      </c>
      <c r="AK151" s="21">
        <v>0.60974099999999998</v>
      </c>
      <c r="AL151">
        <f t="shared" si="30"/>
        <v>11.8774</v>
      </c>
      <c r="AM151">
        <f t="shared" si="31"/>
        <v>7.2457603603999994</v>
      </c>
      <c r="AP151" s="9"/>
      <c r="AQ151" s="21">
        <v>1.0899399999999999</v>
      </c>
      <c r="AR151" s="21">
        <v>661.08</v>
      </c>
      <c r="AS151" s="21">
        <v>-1.14746E-2</v>
      </c>
      <c r="AT151" s="21">
        <v>141</v>
      </c>
      <c r="AU151" s="21">
        <v>1.08948</v>
      </c>
      <c r="AV151">
        <f t="shared" si="32"/>
        <v>11.474600000000001</v>
      </c>
      <c r="AW151">
        <f t="shared" si="33"/>
        <v>12.506625524</v>
      </c>
      <c r="AX151" s="9"/>
      <c r="AY151" s="21">
        <v>0.61004599999999998</v>
      </c>
      <c r="AZ151" s="21">
        <v>751.17600000000004</v>
      </c>
      <c r="BA151" s="21">
        <v>-1.21063E-2</v>
      </c>
      <c r="BB151" s="21">
        <v>141</v>
      </c>
      <c r="BC151" s="21">
        <v>0.60968</v>
      </c>
      <c r="BD151">
        <f t="shared" si="34"/>
        <v>12.106300000000001</v>
      </c>
      <c r="BE151">
        <f t="shared" si="35"/>
        <v>7.3853998898000004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157.66499999999999</v>
      </c>
      <c r="I152" s="21">
        <v>-1.12823E-2</v>
      </c>
      <c r="J152" s="21">
        <v>142</v>
      </c>
      <c r="K152" s="21">
        <v>1.08429</v>
      </c>
      <c r="L152">
        <f t="shared" si="24"/>
        <v>11.282300000000001</v>
      </c>
      <c r="M152">
        <f t="shared" si="25"/>
        <v>12.240167270000001</v>
      </c>
      <c r="N152" s="9"/>
      <c r="O152" s="21">
        <v>0.61508200000000002</v>
      </c>
      <c r="P152" s="21">
        <v>241.649</v>
      </c>
      <c r="Q152" s="21">
        <v>-1.1831700000000001E-2</v>
      </c>
      <c r="R152" s="21">
        <v>142</v>
      </c>
      <c r="S152" s="21">
        <v>0.61471600000000004</v>
      </c>
      <c r="T152">
        <f t="shared" si="26"/>
        <v>11.831700000000001</v>
      </c>
      <c r="U152">
        <f t="shared" si="27"/>
        <v>7.2774656994000013</v>
      </c>
      <c r="X152" s="9"/>
      <c r="Y152" s="21">
        <v>1.0849</v>
      </c>
      <c r="Z152" s="21">
        <v>447.81700000000001</v>
      </c>
      <c r="AA152" s="21">
        <v>-1.11389E-2</v>
      </c>
      <c r="AB152" s="21">
        <v>142</v>
      </c>
      <c r="AC152" s="21">
        <v>1.0845899999999999</v>
      </c>
      <c r="AD152">
        <f t="shared" si="28"/>
        <v>11.1389</v>
      </c>
      <c r="AE152">
        <f t="shared" si="29"/>
        <v>12.08459261</v>
      </c>
      <c r="AF152" s="9"/>
      <c r="AG152" s="21">
        <v>0.61508200000000002</v>
      </c>
      <c r="AH152" s="21">
        <v>504.49200000000002</v>
      </c>
      <c r="AI152" s="21">
        <v>-1.18683E-2</v>
      </c>
      <c r="AJ152" s="21">
        <v>142</v>
      </c>
      <c r="AK152" s="21">
        <v>0.61477700000000002</v>
      </c>
      <c r="AL152">
        <f t="shared" si="30"/>
        <v>11.8683</v>
      </c>
      <c r="AM152">
        <f t="shared" si="31"/>
        <v>7.2999777006000004</v>
      </c>
      <c r="AP152" s="9"/>
      <c r="AQ152" s="21">
        <v>1.0849</v>
      </c>
      <c r="AR152" s="21">
        <v>661.18100000000004</v>
      </c>
      <c r="AS152" s="21">
        <v>-1.14807E-2</v>
      </c>
      <c r="AT152" s="21">
        <v>142</v>
      </c>
      <c r="AU152" s="21">
        <v>1.0845899999999999</v>
      </c>
      <c r="AV152">
        <f t="shared" si="32"/>
        <v>11.480700000000001</v>
      </c>
      <c r="AW152">
        <f t="shared" si="33"/>
        <v>12.45541143</v>
      </c>
      <c r="AX152" s="9"/>
      <c r="AY152" s="21">
        <v>0.61508200000000002</v>
      </c>
      <c r="AZ152" s="21">
        <v>751.27599999999995</v>
      </c>
      <c r="BA152" s="21">
        <v>-1.2103300000000001E-2</v>
      </c>
      <c r="BB152" s="21">
        <v>142</v>
      </c>
      <c r="BC152" s="21">
        <v>0.61474600000000001</v>
      </c>
      <c r="BD152">
        <f t="shared" si="34"/>
        <v>12.103300000000001</v>
      </c>
      <c r="BE152">
        <f t="shared" si="35"/>
        <v>7.4445219706000003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157.76599999999999</v>
      </c>
      <c r="I153" s="21">
        <v>-1.12885E-2</v>
      </c>
      <c r="J153" s="21">
        <v>143</v>
      </c>
      <c r="K153" s="21">
        <v>1.0788</v>
      </c>
      <c r="L153">
        <f t="shared" si="24"/>
        <v>11.288499999999999</v>
      </c>
      <c r="M153">
        <f t="shared" si="25"/>
        <v>12.189999609999999</v>
      </c>
      <c r="N153" s="9"/>
      <c r="O153" s="21">
        <v>0.62011700000000003</v>
      </c>
      <c r="P153" s="21">
        <v>241.75</v>
      </c>
      <c r="Q153" s="21">
        <v>-1.18225E-2</v>
      </c>
      <c r="R153" s="21">
        <v>143</v>
      </c>
      <c r="S153" s="21">
        <v>0.61978100000000003</v>
      </c>
      <c r="T153">
        <f t="shared" si="26"/>
        <v>11.8225</v>
      </c>
      <c r="U153">
        <f t="shared" si="27"/>
        <v>7.3313332325000005</v>
      </c>
      <c r="X153" s="9"/>
      <c r="Y153" s="21">
        <v>1.07986</v>
      </c>
      <c r="Z153" s="21">
        <v>447.91800000000001</v>
      </c>
      <c r="AA153" s="21">
        <v>-1.11328E-2</v>
      </c>
      <c r="AB153" s="21">
        <v>143</v>
      </c>
      <c r="AC153" s="21">
        <v>1.07941</v>
      </c>
      <c r="AD153">
        <f t="shared" si="28"/>
        <v>11.1328</v>
      </c>
      <c r="AE153">
        <f t="shared" si="29"/>
        <v>12.021865408</v>
      </c>
      <c r="AF153" s="9"/>
      <c r="AG153" s="21">
        <v>0.62011700000000003</v>
      </c>
      <c r="AH153" s="21">
        <v>504.59300000000002</v>
      </c>
      <c r="AI153" s="21">
        <v>-1.18622E-2</v>
      </c>
      <c r="AJ153" s="21">
        <v>143</v>
      </c>
      <c r="AK153" s="21">
        <v>0.61972000000000005</v>
      </c>
      <c r="AL153">
        <f t="shared" si="30"/>
        <v>11.8622</v>
      </c>
      <c r="AM153">
        <f t="shared" si="31"/>
        <v>7.3559518773999999</v>
      </c>
      <c r="AP153" s="9"/>
      <c r="AQ153" s="21">
        <v>1.07986</v>
      </c>
      <c r="AR153" s="21">
        <v>661.28099999999995</v>
      </c>
      <c r="AS153" s="21">
        <v>-1.1495999999999999E-2</v>
      </c>
      <c r="AT153" s="21">
        <v>143</v>
      </c>
      <c r="AU153" s="21">
        <v>1.0790999999999999</v>
      </c>
      <c r="AV153">
        <f t="shared" si="32"/>
        <v>11.495999999999999</v>
      </c>
      <c r="AW153">
        <f t="shared" si="33"/>
        <v>12.414070559999999</v>
      </c>
      <c r="AX153" s="9"/>
      <c r="AY153" s="21">
        <v>0.62011700000000003</v>
      </c>
      <c r="AZ153" s="21">
        <v>751.37699999999995</v>
      </c>
      <c r="BA153" s="21">
        <v>-1.20941E-2</v>
      </c>
      <c r="BB153" s="21">
        <v>143</v>
      </c>
      <c r="BC153" s="21">
        <v>0.61968999999999996</v>
      </c>
      <c r="BD153">
        <f t="shared" si="34"/>
        <v>12.094099999999999</v>
      </c>
      <c r="BE153">
        <f t="shared" si="35"/>
        <v>7.4997570096999997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157.86600000000001</v>
      </c>
      <c r="I154" s="21">
        <v>-1.1291499999999999E-2</v>
      </c>
      <c r="J154" s="21">
        <v>144</v>
      </c>
      <c r="K154" s="21">
        <v>1.07422</v>
      </c>
      <c r="L154">
        <f t="shared" si="24"/>
        <v>11.291499999999999</v>
      </c>
      <c r="M154">
        <f t="shared" si="25"/>
        <v>12.136442944999999</v>
      </c>
      <c r="N154" s="9"/>
      <c r="O154" s="21">
        <v>0.62515299999999996</v>
      </c>
      <c r="P154" s="21">
        <v>241.851</v>
      </c>
      <c r="Q154" s="21">
        <v>-1.18195E-2</v>
      </c>
      <c r="R154" s="21">
        <v>144</v>
      </c>
      <c r="S154" s="21">
        <v>0.62481699999999996</v>
      </c>
      <c r="T154">
        <f t="shared" si="26"/>
        <v>11.8195</v>
      </c>
      <c r="U154">
        <f t="shared" si="27"/>
        <v>7.3889958834999989</v>
      </c>
      <c r="X154" s="9"/>
      <c r="Y154" s="21">
        <v>1.07483</v>
      </c>
      <c r="Z154" s="21">
        <v>448.01799999999997</v>
      </c>
      <c r="AA154" s="21">
        <v>-1.1145E-2</v>
      </c>
      <c r="AB154" s="21">
        <v>144</v>
      </c>
      <c r="AC154" s="21">
        <v>1.0745199999999999</v>
      </c>
      <c r="AD154">
        <f t="shared" si="28"/>
        <v>11.145</v>
      </c>
      <c r="AE154">
        <f t="shared" si="29"/>
        <v>11.978980349999999</v>
      </c>
      <c r="AF154" s="9"/>
      <c r="AG154" s="21">
        <v>0.62515299999999996</v>
      </c>
      <c r="AH154" s="21">
        <v>504.69299999999998</v>
      </c>
      <c r="AI154" s="21">
        <v>-1.1859099999999999E-2</v>
      </c>
      <c r="AJ154" s="21">
        <v>144</v>
      </c>
      <c r="AK154" s="21">
        <v>0.62478599999999995</v>
      </c>
      <c r="AL154">
        <f t="shared" si="30"/>
        <v>11.8591</v>
      </c>
      <c r="AM154">
        <f t="shared" si="31"/>
        <v>7.4137519422999993</v>
      </c>
      <c r="AP154" s="9"/>
      <c r="AQ154" s="21">
        <v>1.07483</v>
      </c>
      <c r="AR154" s="21">
        <v>661.38199999999995</v>
      </c>
      <c r="AS154" s="21">
        <v>-1.1495999999999999E-2</v>
      </c>
      <c r="AT154" s="21">
        <v>144</v>
      </c>
      <c r="AU154" s="21">
        <v>1.0745199999999999</v>
      </c>
      <c r="AV154">
        <f t="shared" si="32"/>
        <v>11.495999999999999</v>
      </c>
      <c r="AW154">
        <f t="shared" si="33"/>
        <v>12.356245679999999</v>
      </c>
      <c r="AX154" s="9"/>
      <c r="AY154" s="21">
        <v>0.62515299999999996</v>
      </c>
      <c r="AZ154" s="21">
        <v>751.47799999999995</v>
      </c>
      <c r="BA154" s="21">
        <v>-1.2085E-2</v>
      </c>
      <c r="BB154" s="21">
        <v>144</v>
      </c>
      <c r="BC154" s="21">
        <v>0.62484700000000004</v>
      </c>
      <c r="BD154">
        <f t="shared" si="34"/>
        <v>12.085000000000001</v>
      </c>
      <c r="BE154">
        <f t="shared" si="35"/>
        <v>7.554974005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157.96700000000001</v>
      </c>
      <c r="I155" s="21">
        <v>-1.1291499999999999E-2</v>
      </c>
      <c r="J155" s="21">
        <v>145</v>
      </c>
      <c r="K155" s="21">
        <v>1.0696399999999999</v>
      </c>
      <c r="L155">
        <f t="shared" si="24"/>
        <v>11.291499999999999</v>
      </c>
      <c r="M155">
        <f t="shared" si="25"/>
        <v>12.079533784999999</v>
      </c>
      <c r="N155" s="9"/>
      <c r="O155" s="21">
        <v>0.63018799999999997</v>
      </c>
      <c r="P155" s="21">
        <v>241.952</v>
      </c>
      <c r="Q155" s="21">
        <v>-1.18134E-2</v>
      </c>
      <c r="R155" s="21">
        <v>145</v>
      </c>
      <c r="S155" s="21">
        <v>0.62979099999999999</v>
      </c>
      <c r="T155">
        <f t="shared" si="26"/>
        <v>11.8134</v>
      </c>
      <c r="U155">
        <f t="shared" si="27"/>
        <v>7.4446629191999998</v>
      </c>
      <c r="X155" s="9"/>
      <c r="Y155" s="21">
        <v>1.06979</v>
      </c>
      <c r="Z155" s="21">
        <v>448.11900000000003</v>
      </c>
      <c r="AA155" s="21">
        <v>-1.1157200000000001E-2</v>
      </c>
      <c r="AB155" s="21">
        <v>145</v>
      </c>
      <c r="AC155" s="21">
        <v>1.0696399999999999</v>
      </c>
      <c r="AD155">
        <f t="shared" si="28"/>
        <v>11.157200000000001</v>
      </c>
      <c r="AE155">
        <f t="shared" si="29"/>
        <v>11.935860988000002</v>
      </c>
      <c r="AF155" s="9"/>
      <c r="AG155" s="21">
        <v>0.63018799999999997</v>
      </c>
      <c r="AH155" s="21">
        <v>504.79399999999998</v>
      </c>
      <c r="AI155" s="21">
        <v>-1.18561E-2</v>
      </c>
      <c r="AJ155" s="21">
        <v>145</v>
      </c>
      <c r="AK155" s="21">
        <v>0.62985199999999997</v>
      </c>
      <c r="AL155">
        <f t="shared" si="30"/>
        <v>11.8561</v>
      </c>
      <c r="AM155">
        <f t="shared" si="31"/>
        <v>7.4715719467999993</v>
      </c>
      <c r="AP155" s="9"/>
      <c r="AQ155" s="21">
        <v>1.06979</v>
      </c>
      <c r="AR155" s="21">
        <v>661.48299999999995</v>
      </c>
      <c r="AS155" s="21">
        <v>-1.1499000000000001E-2</v>
      </c>
      <c r="AT155" s="21">
        <v>145</v>
      </c>
      <c r="AU155" s="21">
        <v>1.0690299999999999</v>
      </c>
      <c r="AV155">
        <f t="shared" si="32"/>
        <v>11.499000000000001</v>
      </c>
      <c r="AW155">
        <f t="shared" si="33"/>
        <v>12.301515210000002</v>
      </c>
      <c r="AX155" s="9"/>
      <c r="AY155" s="21">
        <v>0.63018799999999997</v>
      </c>
      <c r="AZ155" s="21">
        <v>751.57799999999997</v>
      </c>
      <c r="BA155" s="21">
        <v>-1.2085E-2</v>
      </c>
      <c r="BB155" s="21">
        <v>145</v>
      </c>
      <c r="BC155" s="21">
        <v>0.62982199999999999</v>
      </c>
      <c r="BD155">
        <f t="shared" si="34"/>
        <v>12.085000000000001</v>
      </c>
      <c r="BE155">
        <f t="shared" si="35"/>
        <v>7.6158219799999998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158.06800000000001</v>
      </c>
      <c r="I156" s="21">
        <v>-1.12976E-2</v>
      </c>
      <c r="J156" s="21">
        <v>146</v>
      </c>
      <c r="K156" s="21">
        <v>1.0638399999999999</v>
      </c>
      <c r="L156">
        <f t="shared" si="24"/>
        <v>11.297599999999999</v>
      </c>
      <c r="M156">
        <f t="shared" si="25"/>
        <v>12.029232575999998</v>
      </c>
      <c r="N156" s="9"/>
      <c r="O156" s="21">
        <v>0.63522299999999998</v>
      </c>
      <c r="P156" s="21">
        <v>242.05199999999999</v>
      </c>
      <c r="Q156" s="21">
        <v>-1.18195E-2</v>
      </c>
      <c r="R156" s="21">
        <v>146</v>
      </c>
      <c r="S156" s="21">
        <v>0.634857</v>
      </c>
      <c r="T156">
        <f t="shared" si="26"/>
        <v>11.8195</v>
      </c>
      <c r="U156">
        <f t="shared" si="27"/>
        <v>7.5080182485</v>
      </c>
      <c r="X156" s="9"/>
      <c r="Y156" s="21">
        <v>1.0647599999999999</v>
      </c>
      <c r="Z156" s="21">
        <v>448.22</v>
      </c>
      <c r="AA156" s="21">
        <v>-1.1169399999999999E-2</v>
      </c>
      <c r="AB156" s="21">
        <v>146</v>
      </c>
      <c r="AC156" s="21">
        <v>1.0641499999999999</v>
      </c>
      <c r="AD156">
        <f t="shared" si="28"/>
        <v>11.1694</v>
      </c>
      <c r="AE156">
        <f t="shared" si="29"/>
        <v>11.892730343999999</v>
      </c>
      <c r="AF156" s="9"/>
      <c r="AG156" s="21">
        <v>0.63522299999999998</v>
      </c>
      <c r="AH156" s="21">
        <v>504.89499999999998</v>
      </c>
      <c r="AI156" s="21">
        <v>-1.18896E-2</v>
      </c>
      <c r="AJ156" s="21">
        <v>146</v>
      </c>
      <c r="AK156" s="21">
        <v>0.63491799999999998</v>
      </c>
      <c r="AL156">
        <f t="shared" si="30"/>
        <v>11.8896</v>
      </c>
      <c r="AM156">
        <f t="shared" si="31"/>
        <v>7.5525473807999992</v>
      </c>
      <c r="AP156" s="9"/>
      <c r="AQ156" s="21">
        <v>1.0647599999999999</v>
      </c>
      <c r="AR156" s="21">
        <v>661.58399999999995</v>
      </c>
      <c r="AS156" s="21">
        <v>-1.1505100000000001E-2</v>
      </c>
      <c r="AT156" s="21">
        <v>146</v>
      </c>
      <c r="AU156" s="21">
        <v>1.0638399999999999</v>
      </c>
      <c r="AV156">
        <f t="shared" si="32"/>
        <v>11.505100000000001</v>
      </c>
      <c r="AW156">
        <f t="shared" si="33"/>
        <v>12.250170276</v>
      </c>
      <c r="AX156" s="9"/>
      <c r="AY156" s="21">
        <v>0.63522299999999998</v>
      </c>
      <c r="AZ156" s="21">
        <v>751.67899999999997</v>
      </c>
      <c r="BA156" s="21">
        <v>-1.20789E-2</v>
      </c>
      <c r="BB156" s="21">
        <v>146</v>
      </c>
      <c r="BC156" s="21">
        <v>0.63488800000000001</v>
      </c>
      <c r="BD156">
        <f t="shared" si="34"/>
        <v>12.078900000000001</v>
      </c>
      <c r="BE156">
        <f t="shared" si="35"/>
        <v>7.6727950947000005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158.16900000000001</v>
      </c>
      <c r="I157" s="21">
        <v>-1.13007E-2</v>
      </c>
      <c r="J157" s="21">
        <v>147</v>
      </c>
      <c r="K157" s="21">
        <v>1.0592699999999999</v>
      </c>
      <c r="L157">
        <f t="shared" si="24"/>
        <v>11.300700000000001</v>
      </c>
      <c r="M157">
        <f t="shared" si="25"/>
        <v>11.975577804</v>
      </c>
      <c r="N157" s="9"/>
      <c r="O157" s="21">
        <v>0.64025900000000002</v>
      </c>
      <c r="P157" s="21">
        <v>242.15299999999999</v>
      </c>
      <c r="Q157" s="21">
        <v>-1.18073E-2</v>
      </c>
      <c r="R157" s="21">
        <v>147</v>
      </c>
      <c r="S157" s="21">
        <v>0.64004499999999998</v>
      </c>
      <c r="T157">
        <f t="shared" si="26"/>
        <v>11.8073</v>
      </c>
      <c r="U157">
        <f t="shared" si="27"/>
        <v>7.5597300907000005</v>
      </c>
      <c r="X157" s="9"/>
      <c r="Y157" s="21">
        <v>1.05972</v>
      </c>
      <c r="Z157" s="21">
        <v>448.32100000000003</v>
      </c>
      <c r="AA157" s="21">
        <v>-1.11786E-2</v>
      </c>
      <c r="AB157" s="21">
        <v>147</v>
      </c>
      <c r="AC157" s="21">
        <v>1.0589599999999999</v>
      </c>
      <c r="AD157">
        <f t="shared" si="28"/>
        <v>11.178600000000001</v>
      </c>
      <c r="AE157">
        <f t="shared" si="29"/>
        <v>11.846185992000001</v>
      </c>
      <c r="AF157" s="9"/>
      <c r="AG157" s="21">
        <v>0.64025900000000002</v>
      </c>
      <c r="AH157" s="21">
        <v>504.99599999999998</v>
      </c>
      <c r="AI157" s="21">
        <v>-1.18805E-2</v>
      </c>
      <c r="AJ157" s="21">
        <v>147</v>
      </c>
      <c r="AK157" s="21">
        <v>0.63995400000000002</v>
      </c>
      <c r="AL157">
        <f t="shared" si="30"/>
        <v>11.8805</v>
      </c>
      <c r="AM157">
        <f t="shared" si="31"/>
        <v>7.6065970495000004</v>
      </c>
      <c r="AP157" s="9"/>
      <c r="AQ157" s="21">
        <v>1.05972</v>
      </c>
      <c r="AR157" s="21">
        <v>661.68399999999997</v>
      </c>
      <c r="AS157" s="21">
        <v>-1.15265E-2</v>
      </c>
      <c r="AT157" s="21">
        <v>147</v>
      </c>
      <c r="AU157" s="21">
        <v>1.0592699999999999</v>
      </c>
      <c r="AV157">
        <f t="shared" si="32"/>
        <v>11.5265</v>
      </c>
      <c r="AW157">
        <f t="shared" si="33"/>
        <v>12.21486258</v>
      </c>
      <c r="AX157" s="9"/>
      <c r="AY157" s="21">
        <v>0.64025900000000002</v>
      </c>
      <c r="AZ157" s="21">
        <v>751.78</v>
      </c>
      <c r="BA157" s="21">
        <v>-1.20728E-2</v>
      </c>
      <c r="BB157" s="21">
        <v>147</v>
      </c>
      <c r="BC157" s="21">
        <v>0.63995400000000002</v>
      </c>
      <c r="BD157">
        <f t="shared" si="34"/>
        <v>12.072799999999999</v>
      </c>
      <c r="BE157">
        <f t="shared" si="35"/>
        <v>7.7297188551999998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158.26900000000001</v>
      </c>
      <c r="I158" s="21">
        <v>-1.1306800000000001E-2</v>
      </c>
      <c r="J158" s="21">
        <v>148</v>
      </c>
      <c r="K158" s="21">
        <v>1.0543800000000001</v>
      </c>
      <c r="L158">
        <f t="shared" si="24"/>
        <v>11.306800000000001</v>
      </c>
      <c r="M158">
        <f t="shared" si="25"/>
        <v>11.925168892</v>
      </c>
      <c r="N158" s="9"/>
      <c r="O158" s="21">
        <v>0.64529400000000003</v>
      </c>
      <c r="P158" s="21">
        <v>242.25399999999999</v>
      </c>
      <c r="Q158" s="21">
        <v>-1.1804200000000001E-2</v>
      </c>
      <c r="R158" s="21">
        <v>148</v>
      </c>
      <c r="S158" s="21">
        <v>0.64502000000000004</v>
      </c>
      <c r="T158">
        <f t="shared" si="26"/>
        <v>11.804200000000002</v>
      </c>
      <c r="U158">
        <f t="shared" si="27"/>
        <v>7.6171794348000015</v>
      </c>
      <c r="X158" s="9"/>
      <c r="Y158" s="21">
        <v>1.0546899999999999</v>
      </c>
      <c r="Z158" s="21">
        <v>448.42099999999999</v>
      </c>
      <c r="AA158" s="21">
        <v>-1.1184700000000001E-2</v>
      </c>
      <c r="AB158" s="21">
        <v>148</v>
      </c>
      <c r="AC158" s="21">
        <v>1.0540799999999999</v>
      </c>
      <c r="AD158">
        <f t="shared" si="28"/>
        <v>11.184700000000001</v>
      </c>
      <c r="AE158">
        <f t="shared" si="29"/>
        <v>11.796391243</v>
      </c>
      <c r="AF158" s="9"/>
      <c r="AG158" s="21">
        <v>0.64529400000000003</v>
      </c>
      <c r="AH158" s="21">
        <v>505.096</v>
      </c>
      <c r="AI158" s="21">
        <v>-1.18774E-2</v>
      </c>
      <c r="AJ158" s="21">
        <v>148</v>
      </c>
      <c r="AK158" s="21">
        <v>0.64498900000000003</v>
      </c>
      <c r="AL158">
        <f t="shared" si="30"/>
        <v>11.8774</v>
      </c>
      <c r="AM158">
        <f t="shared" si="31"/>
        <v>7.6644149555999999</v>
      </c>
      <c r="AP158" s="9"/>
      <c r="AQ158" s="21">
        <v>1.0546899999999999</v>
      </c>
      <c r="AR158" s="21">
        <v>661.78499999999997</v>
      </c>
      <c r="AS158" s="21">
        <v>-1.1538700000000001E-2</v>
      </c>
      <c r="AT158" s="21">
        <v>148</v>
      </c>
      <c r="AU158" s="21">
        <v>1.0537700000000001</v>
      </c>
      <c r="AV158">
        <f t="shared" si="32"/>
        <v>11.5387</v>
      </c>
      <c r="AW158">
        <f t="shared" si="33"/>
        <v>12.169751502999999</v>
      </c>
      <c r="AX158" s="9"/>
      <c r="AY158" s="21">
        <v>0.64529400000000003</v>
      </c>
      <c r="AZ158" s="21">
        <v>751.88</v>
      </c>
      <c r="BA158" s="21">
        <v>-1.20667E-2</v>
      </c>
      <c r="BB158" s="21">
        <v>148</v>
      </c>
      <c r="BC158" s="21">
        <v>0.64492799999999995</v>
      </c>
      <c r="BD158">
        <f t="shared" si="34"/>
        <v>12.066699999999999</v>
      </c>
      <c r="BE158">
        <f t="shared" si="35"/>
        <v>7.7865691097999994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158.37</v>
      </c>
      <c r="I159" s="21">
        <v>-1.13098E-2</v>
      </c>
      <c r="J159" s="21">
        <v>149</v>
      </c>
      <c r="K159" s="21">
        <v>1.0488900000000001</v>
      </c>
      <c r="L159">
        <f t="shared" si="24"/>
        <v>11.309799999999999</v>
      </c>
      <c r="M159">
        <f t="shared" si="25"/>
        <v>11.871331569999999</v>
      </c>
      <c r="N159" s="9"/>
      <c r="O159" s="21">
        <v>0.65032999999999996</v>
      </c>
      <c r="P159" s="21">
        <v>242.35400000000001</v>
      </c>
      <c r="Q159" s="21">
        <v>-1.1795E-2</v>
      </c>
      <c r="R159" s="21">
        <v>149</v>
      </c>
      <c r="S159" s="21">
        <v>0.64996299999999996</v>
      </c>
      <c r="T159">
        <f t="shared" si="26"/>
        <v>11.795</v>
      </c>
      <c r="U159">
        <f t="shared" si="27"/>
        <v>7.6706423499999996</v>
      </c>
      <c r="X159" s="9"/>
      <c r="Y159" s="21">
        <v>1.04965</v>
      </c>
      <c r="Z159" s="21">
        <v>448.52199999999999</v>
      </c>
      <c r="AA159" s="21">
        <v>-1.1196899999999999E-2</v>
      </c>
      <c r="AB159" s="21">
        <v>149</v>
      </c>
      <c r="AC159" s="21">
        <v>1.0488900000000001</v>
      </c>
      <c r="AD159">
        <f t="shared" si="28"/>
        <v>11.196899999999999</v>
      </c>
      <c r="AE159">
        <f t="shared" si="29"/>
        <v>11.752826084999999</v>
      </c>
      <c r="AF159" s="9"/>
      <c r="AG159" s="21">
        <v>0.65032999999999996</v>
      </c>
      <c r="AH159" s="21">
        <v>505.197</v>
      </c>
      <c r="AI159" s="21">
        <v>-1.18744E-2</v>
      </c>
      <c r="AJ159" s="21">
        <v>149</v>
      </c>
      <c r="AK159" s="21">
        <v>0.64996299999999996</v>
      </c>
      <c r="AL159">
        <f t="shared" si="30"/>
        <v>11.8744</v>
      </c>
      <c r="AM159">
        <f t="shared" si="31"/>
        <v>7.7222785519999997</v>
      </c>
      <c r="AP159" s="9"/>
      <c r="AQ159" s="21">
        <v>1.04965</v>
      </c>
      <c r="AR159" s="21">
        <v>661.88599999999997</v>
      </c>
      <c r="AS159" s="21">
        <v>-1.1416600000000001E-2</v>
      </c>
      <c r="AT159" s="21">
        <v>149</v>
      </c>
      <c r="AU159" s="21">
        <v>1.0491900000000001</v>
      </c>
      <c r="AV159">
        <f t="shared" si="32"/>
        <v>11.416600000000001</v>
      </c>
      <c r="AW159">
        <f t="shared" si="33"/>
        <v>11.983434190000001</v>
      </c>
      <c r="AX159" s="9"/>
      <c r="AY159" s="21">
        <v>0.65032999999999996</v>
      </c>
      <c r="AZ159" s="21">
        <v>751.98099999999999</v>
      </c>
      <c r="BA159" s="21">
        <v>-1.2063600000000001E-2</v>
      </c>
      <c r="BB159" s="21">
        <v>149</v>
      </c>
      <c r="BC159" s="21">
        <v>0.65005500000000005</v>
      </c>
      <c r="BD159">
        <f t="shared" si="34"/>
        <v>12.063600000000001</v>
      </c>
      <c r="BE159">
        <f t="shared" si="35"/>
        <v>7.8453209880000001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158.471</v>
      </c>
      <c r="I160" s="21">
        <v>-1.1312900000000001E-2</v>
      </c>
      <c r="J160" s="21">
        <v>150</v>
      </c>
      <c r="K160" s="21">
        <v>1.0437000000000001</v>
      </c>
      <c r="L160">
        <f t="shared" si="24"/>
        <v>11.312900000000001</v>
      </c>
      <c r="M160">
        <f t="shared" si="25"/>
        <v>11.817681598000002</v>
      </c>
      <c r="N160" s="9"/>
      <c r="O160" s="21">
        <v>0.65536499999999998</v>
      </c>
      <c r="P160" s="21">
        <v>242.45500000000001</v>
      </c>
      <c r="Q160" s="21">
        <v>-1.1795E-2</v>
      </c>
      <c r="R160" s="21">
        <v>150</v>
      </c>
      <c r="S160" s="21">
        <v>0.65505999999999998</v>
      </c>
      <c r="T160">
        <f t="shared" si="26"/>
        <v>11.795</v>
      </c>
      <c r="U160">
        <f t="shared" si="27"/>
        <v>7.7300301749999996</v>
      </c>
      <c r="X160" s="9"/>
      <c r="Y160" s="21">
        <v>1.0446200000000001</v>
      </c>
      <c r="Z160" s="21">
        <v>448.62299999999999</v>
      </c>
      <c r="AA160" s="21">
        <v>-1.1196899999999999E-2</v>
      </c>
      <c r="AB160" s="21">
        <v>150</v>
      </c>
      <c r="AC160" s="21">
        <v>1.0440100000000001</v>
      </c>
      <c r="AD160">
        <f t="shared" si="28"/>
        <v>11.196899999999999</v>
      </c>
      <c r="AE160">
        <f t="shared" si="29"/>
        <v>11.696505678000001</v>
      </c>
      <c r="AF160" s="9"/>
      <c r="AG160" s="21">
        <v>0.65536499999999998</v>
      </c>
      <c r="AH160" s="21">
        <v>505.298</v>
      </c>
      <c r="AI160" s="21">
        <v>-1.1865199999999999E-2</v>
      </c>
      <c r="AJ160" s="21">
        <v>150</v>
      </c>
      <c r="AK160" s="21">
        <v>0.65508999999999995</v>
      </c>
      <c r="AL160">
        <f t="shared" si="30"/>
        <v>11.8652</v>
      </c>
      <c r="AM160">
        <f t="shared" si="31"/>
        <v>7.7760367979999998</v>
      </c>
      <c r="AP160" s="9"/>
      <c r="AQ160" s="21">
        <v>1.0446200000000001</v>
      </c>
      <c r="AR160" s="21">
        <v>661.98599999999999</v>
      </c>
      <c r="AS160" s="21">
        <v>-1.1377E-2</v>
      </c>
      <c r="AT160" s="21">
        <v>150</v>
      </c>
      <c r="AU160" s="21">
        <v>1.0443100000000001</v>
      </c>
      <c r="AV160">
        <f t="shared" si="32"/>
        <v>11.377000000000001</v>
      </c>
      <c r="AW160">
        <f t="shared" si="33"/>
        <v>11.884641740000001</v>
      </c>
      <c r="AX160" s="9"/>
      <c r="AY160" s="21">
        <v>0.65536499999999998</v>
      </c>
      <c r="AZ160" s="21">
        <v>752.08199999999999</v>
      </c>
      <c r="BA160" s="21">
        <v>-1.2057500000000001E-2</v>
      </c>
      <c r="BB160" s="21">
        <v>150</v>
      </c>
      <c r="BC160" s="21">
        <v>0.65508999999999995</v>
      </c>
      <c r="BD160">
        <f t="shared" si="34"/>
        <v>12.057500000000001</v>
      </c>
      <c r="BE160">
        <f t="shared" si="35"/>
        <v>7.9020634875000004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158.571</v>
      </c>
      <c r="I161" s="21">
        <v>-1.1318999999999999E-2</v>
      </c>
      <c r="J161" s="21">
        <v>151</v>
      </c>
      <c r="K161" s="21">
        <v>1.03851</v>
      </c>
      <c r="L161">
        <f t="shared" si="24"/>
        <v>11.318999999999999</v>
      </c>
      <c r="M161">
        <f t="shared" si="25"/>
        <v>11.767006019999998</v>
      </c>
      <c r="N161" s="9"/>
      <c r="O161" s="21">
        <v>0.66039999999999999</v>
      </c>
      <c r="P161" s="21">
        <v>242.55600000000001</v>
      </c>
      <c r="Q161" s="21">
        <v>-1.17828E-2</v>
      </c>
      <c r="R161" s="21">
        <v>151</v>
      </c>
      <c r="S161" s="21">
        <v>0.66015599999999997</v>
      </c>
      <c r="T161">
        <f t="shared" si="26"/>
        <v>11.7828</v>
      </c>
      <c r="U161">
        <f t="shared" si="27"/>
        <v>7.7813611199999997</v>
      </c>
      <c r="X161" s="9"/>
      <c r="Y161" s="21">
        <v>1.0395799999999999</v>
      </c>
      <c r="Z161" s="21">
        <v>448.72300000000001</v>
      </c>
      <c r="AA161" s="21">
        <v>-1.1196899999999999E-2</v>
      </c>
      <c r="AB161" s="21">
        <v>151</v>
      </c>
      <c r="AC161" s="21">
        <v>1.03912</v>
      </c>
      <c r="AD161">
        <f t="shared" si="28"/>
        <v>11.196899999999999</v>
      </c>
      <c r="AE161">
        <f t="shared" si="29"/>
        <v>11.640073301999999</v>
      </c>
      <c r="AF161" s="9"/>
      <c r="AG161" s="21">
        <v>0.66039999999999999</v>
      </c>
      <c r="AH161" s="21">
        <v>505.39800000000002</v>
      </c>
      <c r="AI161" s="21">
        <v>-1.18622E-2</v>
      </c>
      <c r="AJ161" s="21">
        <v>151</v>
      </c>
      <c r="AK161" s="21">
        <v>0.66009499999999999</v>
      </c>
      <c r="AL161">
        <f t="shared" si="30"/>
        <v>11.8622</v>
      </c>
      <c r="AM161">
        <f t="shared" si="31"/>
        <v>7.8337968799999995</v>
      </c>
      <c r="AP161" s="9"/>
      <c r="AQ161" s="21">
        <v>1.0395799999999999</v>
      </c>
      <c r="AR161" s="21">
        <v>662.08699999999999</v>
      </c>
      <c r="AS161" s="21">
        <v>-1.1401400000000001E-2</v>
      </c>
      <c r="AT161" s="21">
        <v>151</v>
      </c>
      <c r="AU161" s="21">
        <v>1.03851</v>
      </c>
      <c r="AV161">
        <f t="shared" si="32"/>
        <v>11.401400000000001</v>
      </c>
      <c r="AW161">
        <f t="shared" si="33"/>
        <v>11.852667412000001</v>
      </c>
      <c r="AX161" s="9"/>
      <c r="AY161" s="21">
        <v>0.66039999999999999</v>
      </c>
      <c r="AZ161" s="21">
        <v>752.18299999999999</v>
      </c>
      <c r="BA161" s="21">
        <v>-1.20514E-2</v>
      </c>
      <c r="BB161" s="21">
        <v>151</v>
      </c>
      <c r="BC161" s="21">
        <v>0.66009499999999999</v>
      </c>
      <c r="BD161">
        <f t="shared" si="34"/>
        <v>12.051400000000001</v>
      </c>
      <c r="BE161">
        <f t="shared" si="35"/>
        <v>7.9587445600000004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158.672</v>
      </c>
      <c r="I162" s="21">
        <v>-1.1318999999999999E-2</v>
      </c>
      <c r="J162" s="21">
        <v>152</v>
      </c>
      <c r="K162" s="21">
        <v>1.03424</v>
      </c>
      <c r="L162">
        <f t="shared" si="24"/>
        <v>11.318999999999999</v>
      </c>
      <c r="M162">
        <f t="shared" si="25"/>
        <v>11.710071449999999</v>
      </c>
      <c r="N162" s="9"/>
      <c r="O162" s="21">
        <v>0.66543600000000003</v>
      </c>
      <c r="P162" s="21">
        <v>242.65700000000001</v>
      </c>
      <c r="Q162" s="21">
        <v>-1.17737E-2</v>
      </c>
      <c r="R162" s="21">
        <v>152</v>
      </c>
      <c r="S162" s="21">
        <v>0.66510000000000002</v>
      </c>
      <c r="T162">
        <f t="shared" si="26"/>
        <v>11.7737</v>
      </c>
      <c r="U162">
        <f t="shared" si="27"/>
        <v>7.8346438332000004</v>
      </c>
      <c r="X162" s="9"/>
      <c r="Y162" s="21">
        <v>1.0345500000000001</v>
      </c>
      <c r="Z162" s="21">
        <v>448.82400000000001</v>
      </c>
      <c r="AA162" s="21">
        <v>-1.1196899999999999E-2</v>
      </c>
      <c r="AB162" s="21">
        <v>152</v>
      </c>
      <c r="AC162" s="21">
        <v>1.03363</v>
      </c>
      <c r="AD162">
        <f t="shared" si="28"/>
        <v>11.196899999999999</v>
      </c>
      <c r="AE162">
        <f t="shared" si="29"/>
        <v>11.583752895</v>
      </c>
      <c r="AF162" s="9"/>
      <c r="AG162" s="21">
        <v>0.66543600000000003</v>
      </c>
      <c r="AH162" s="21">
        <v>505.49900000000002</v>
      </c>
      <c r="AI162" s="21">
        <v>-1.1849999999999999E-2</v>
      </c>
      <c r="AJ162" s="21">
        <v>152</v>
      </c>
      <c r="AK162" s="21">
        <v>0.66522199999999998</v>
      </c>
      <c r="AL162">
        <f t="shared" si="30"/>
        <v>11.85</v>
      </c>
      <c r="AM162">
        <f t="shared" si="31"/>
        <v>7.8854166000000001</v>
      </c>
      <c r="AP162" s="9"/>
      <c r="AQ162" s="21">
        <v>1.0345500000000001</v>
      </c>
      <c r="AR162" s="21">
        <v>662.18799999999999</v>
      </c>
      <c r="AS162" s="21">
        <v>-1.14044E-2</v>
      </c>
      <c r="AT162" s="21">
        <v>152</v>
      </c>
      <c r="AU162" s="21">
        <v>1.03363</v>
      </c>
      <c r="AV162">
        <f t="shared" si="32"/>
        <v>11.404400000000001</v>
      </c>
      <c r="AW162">
        <f t="shared" si="33"/>
        <v>11.798422020000002</v>
      </c>
      <c r="AX162" s="9"/>
      <c r="AY162" s="21">
        <v>0.66543600000000003</v>
      </c>
      <c r="AZ162" s="21">
        <v>752.28300000000002</v>
      </c>
      <c r="BA162" s="21">
        <v>-1.20453E-2</v>
      </c>
      <c r="BB162" s="21">
        <v>152</v>
      </c>
      <c r="BC162" s="21">
        <v>0.66507000000000005</v>
      </c>
      <c r="BD162">
        <f t="shared" si="34"/>
        <v>12.045299999999999</v>
      </c>
      <c r="BE162">
        <f t="shared" si="35"/>
        <v>8.0153762507999993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158.773</v>
      </c>
      <c r="I163" s="21">
        <v>-1.1325099999999999E-2</v>
      </c>
      <c r="J163" s="21">
        <v>153</v>
      </c>
      <c r="K163" s="21">
        <v>1.0293600000000001</v>
      </c>
      <c r="L163">
        <f t="shared" si="24"/>
        <v>11.325099999999999</v>
      </c>
      <c r="M163">
        <f t="shared" si="25"/>
        <v>11.659303700999999</v>
      </c>
      <c r="N163" s="9"/>
      <c r="O163" s="21">
        <v>0.67047100000000004</v>
      </c>
      <c r="P163" s="21">
        <v>242.75700000000001</v>
      </c>
      <c r="Q163" s="21">
        <v>-1.1770600000000001E-2</v>
      </c>
      <c r="R163" s="21">
        <v>153</v>
      </c>
      <c r="S163" s="21">
        <v>0.67022700000000002</v>
      </c>
      <c r="T163">
        <f t="shared" si="26"/>
        <v>11.770600000000002</v>
      </c>
      <c r="U163">
        <f t="shared" si="27"/>
        <v>7.8918459526000015</v>
      </c>
      <c r="X163" s="9"/>
      <c r="Y163" s="21">
        <v>1.0295099999999999</v>
      </c>
      <c r="Z163" s="21">
        <v>448.92500000000001</v>
      </c>
      <c r="AA163" s="21">
        <v>-1.12E-2</v>
      </c>
      <c r="AB163" s="21">
        <v>153</v>
      </c>
      <c r="AC163" s="21">
        <v>1.02844</v>
      </c>
      <c r="AD163">
        <f t="shared" si="28"/>
        <v>11.2</v>
      </c>
      <c r="AE163">
        <f t="shared" si="29"/>
        <v>11.530511999999998</v>
      </c>
      <c r="AF163" s="9"/>
      <c r="AG163" s="21">
        <v>0.67047100000000004</v>
      </c>
      <c r="AH163" s="21">
        <v>505.6</v>
      </c>
      <c r="AI163" s="21">
        <v>-1.1843899999999999E-2</v>
      </c>
      <c r="AJ163" s="21">
        <v>153</v>
      </c>
      <c r="AK163" s="21">
        <v>0.67007399999999995</v>
      </c>
      <c r="AL163">
        <f t="shared" si="30"/>
        <v>11.8439</v>
      </c>
      <c r="AM163">
        <f t="shared" si="31"/>
        <v>7.9409914768999998</v>
      </c>
      <c r="AP163" s="9"/>
      <c r="AQ163" s="21">
        <v>1.0295099999999999</v>
      </c>
      <c r="AR163" s="21">
        <v>662.28800000000001</v>
      </c>
      <c r="AS163" s="21">
        <v>-1.1483800000000001E-2</v>
      </c>
      <c r="AT163" s="21">
        <v>153</v>
      </c>
      <c r="AU163" s="21">
        <v>1.0287500000000001</v>
      </c>
      <c r="AV163">
        <f t="shared" si="32"/>
        <v>11.4838</v>
      </c>
      <c r="AW163">
        <f t="shared" si="33"/>
        <v>11.822686938</v>
      </c>
      <c r="AX163" s="9"/>
      <c r="AY163" s="21">
        <v>0.67047100000000004</v>
      </c>
      <c r="AZ163" s="21">
        <v>752.38400000000001</v>
      </c>
      <c r="BA163" s="21">
        <v>-1.20392E-2</v>
      </c>
      <c r="BB163" s="21">
        <v>153</v>
      </c>
      <c r="BC163" s="21">
        <v>0.67010499999999995</v>
      </c>
      <c r="BD163">
        <f t="shared" si="34"/>
        <v>12.039199999999999</v>
      </c>
      <c r="BE163">
        <f t="shared" si="35"/>
        <v>8.0719344631999999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158.874</v>
      </c>
      <c r="I164" s="21">
        <v>-1.1328100000000001E-2</v>
      </c>
      <c r="J164" s="21">
        <v>154</v>
      </c>
      <c r="K164" s="21">
        <v>1.02356</v>
      </c>
      <c r="L164">
        <f t="shared" si="24"/>
        <v>11.328100000000001</v>
      </c>
      <c r="M164">
        <f t="shared" si="25"/>
        <v>11.605411888000001</v>
      </c>
      <c r="N164" s="9"/>
      <c r="O164" s="21">
        <v>0.67550699999999997</v>
      </c>
      <c r="P164" s="21">
        <v>242.858</v>
      </c>
      <c r="Q164" s="21">
        <v>-1.17676E-2</v>
      </c>
      <c r="R164" s="21">
        <v>154</v>
      </c>
      <c r="S164" s="21">
        <v>0.67507899999999998</v>
      </c>
      <c r="T164">
        <f t="shared" si="26"/>
        <v>11.7676</v>
      </c>
      <c r="U164">
        <f t="shared" si="27"/>
        <v>7.9490961731999992</v>
      </c>
      <c r="X164" s="9"/>
      <c r="Y164" s="21">
        <v>1.0244800000000001</v>
      </c>
      <c r="Z164" s="21">
        <v>449.02600000000001</v>
      </c>
      <c r="AA164" s="21">
        <v>-1.12122E-2</v>
      </c>
      <c r="AB164" s="21">
        <v>154</v>
      </c>
      <c r="AC164" s="21">
        <v>1.02386</v>
      </c>
      <c r="AD164">
        <f t="shared" si="28"/>
        <v>11.212200000000001</v>
      </c>
      <c r="AE164">
        <f t="shared" si="29"/>
        <v>11.486674656000002</v>
      </c>
      <c r="AF164" s="9"/>
      <c r="AG164" s="21">
        <v>0.67550699999999997</v>
      </c>
      <c r="AH164" s="21">
        <v>505.7</v>
      </c>
      <c r="AI164" s="21">
        <v>-1.1837800000000001E-2</v>
      </c>
      <c r="AJ164" s="21">
        <v>154</v>
      </c>
      <c r="AK164" s="21">
        <v>0.67517099999999997</v>
      </c>
      <c r="AL164">
        <f t="shared" si="30"/>
        <v>11.837800000000001</v>
      </c>
      <c r="AM164">
        <f t="shared" si="31"/>
        <v>7.9965167646000008</v>
      </c>
      <c r="AP164" s="9"/>
      <c r="AQ164" s="21">
        <v>1.0244800000000001</v>
      </c>
      <c r="AR164" s="21">
        <v>662.38900000000001</v>
      </c>
      <c r="AS164" s="21">
        <v>-1.15234E-2</v>
      </c>
      <c r="AT164" s="21">
        <v>154</v>
      </c>
      <c r="AU164" s="21">
        <v>1.02356</v>
      </c>
      <c r="AV164">
        <f t="shared" si="32"/>
        <v>11.523399999999999</v>
      </c>
      <c r="AW164">
        <f t="shared" si="33"/>
        <v>11.805492831999999</v>
      </c>
      <c r="AX164" s="9"/>
      <c r="AY164" s="21">
        <v>0.67550699999999997</v>
      </c>
      <c r="AZ164" s="21">
        <v>752.48500000000001</v>
      </c>
      <c r="BA164" s="21">
        <v>-1.2030000000000001E-2</v>
      </c>
      <c r="BB164" s="21">
        <v>154</v>
      </c>
      <c r="BC164" s="21">
        <v>0.67517099999999997</v>
      </c>
      <c r="BD164">
        <f t="shared" si="34"/>
        <v>12.030000000000001</v>
      </c>
      <c r="BE164">
        <f t="shared" si="35"/>
        <v>8.1263492100000008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158.97399999999999</v>
      </c>
      <c r="I165" s="21">
        <v>-1.1334199999999999E-2</v>
      </c>
      <c r="J165" s="21">
        <v>155</v>
      </c>
      <c r="K165" s="21">
        <v>1.01868</v>
      </c>
      <c r="L165">
        <f t="shared" si="24"/>
        <v>11.334199999999999</v>
      </c>
      <c r="M165">
        <f t="shared" si="25"/>
        <v>11.554536847999998</v>
      </c>
      <c r="N165" s="9"/>
      <c r="O165" s="21">
        <v>0.68054199999999998</v>
      </c>
      <c r="P165" s="21">
        <v>242.959</v>
      </c>
      <c r="Q165" s="21">
        <v>-1.17523E-2</v>
      </c>
      <c r="R165" s="21">
        <v>155</v>
      </c>
      <c r="S165" s="21">
        <v>0.68020599999999998</v>
      </c>
      <c r="T165">
        <f t="shared" si="26"/>
        <v>11.7523</v>
      </c>
      <c r="U165">
        <f t="shared" si="27"/>
        <v>7.9979337465999993</v>
      </c>
      <c r="X165" s="9"/>
      <c r="Y165" s="21">
        <v>1.0194399999999999</v>
      </c>
      <c r="Z165" s="21">
        <v>449.12599999999998</v>
      </c>
      <c r="AA165" s="21">
        <v>-1.12152E-2</v>
      </c>
      <c r="AB165" s="21">
        <v>155</v>
      </c>
      <c r="AC165" s="21">
        <v>1.01929</v>
      </c>
      <c r="AD165">
        <f t="shared" si="28"/>
        <v>11.215199999999999</v>
      </c>
      <c r="AE165">
        <f t="shared" si="29"/>
        <v>11.433223487999998</v>
      </c>
      <c r="AF165" s="9"/>
      <c r="AG165" s="21">
        <v>0.68054199999999998</v>
      </c>
      <c r="AH165" s="21">
        <v>505.80099999999999</v>
      </c>
      <c r="AI165" s="21">
        <v>-1.1831700000000001E-2</v>
      </c>
      <c r="AJ165" s="21">
        <v>155</v>
      </c>
      <c r="AK165" s="21">
        <v>0.68023699999999998</v>
      </c>
      <c r="AL165">
        <f t="shared" si="30"/>
        <v>11.831700000000001</v>
      </c>
      <c r="AM165">
        <f t="shared" si="31"/>
        <v>8.0519687814000012</v>
      </c>
      <c r="AP165" s="9"/>
      <c r="AQ165" s="21">
        <v>1.0194399999999999</v>
      </c>
      <c r="AR165" s="21">
        <v>662.49</v>
      </c>
      <c r="AS165" s="21">
        <v>-1.15295E-2</v>
      </c>
      <c r="AT165" s="21">
        <v>155</v>
      </c>
      <c r="AU165" s="21">
        <v>1.01898</v>
      </c>
      <c r="AV165">
        <f t="shared" si="32"/>
        <v>11.529500000000001</v>
      </c>
      <c r="AW165">
        <f t="shared" si="33"/>
        <v>11.75363348</v>
      </c>
      <c r="AX165" s="9"/>
      <c r="AY165" s="21">
        <v>0.68054199999999998</v>
      </c>
      <c r="AZ165" s="21">
        <v>752.58500000000004</v>
      </c>
      <c r="BA165" s="21">
        <v>-1.2030000000000001E-2</v>
      </c>
      <c r="BB165" s="21">
        <v>155</v>
      </c>
      <c r="BC165" s="21">
        <v>0.680176</v>
      </c>
      <c r="BD165">
        <f t="shared" si="34"/>
        <v>12.030000000000001</v>
      </c>
      <c r="BE165">
        <f t="shared" si="35"/>
        <v>8.1869202600000008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159.07499999999999</v>
      </c>
      <c r="I166" s="21">
        <v>-1.13434E-2</v>
      </c>
      <c r="J166" s="21">
        <v>156</v>
      </c>
      <c r="K166" s="21">
        <v>1.01349</v>
      </c>
      <c r="L166">
        <f t="shared" si="24"/>
        <v>11.343400000000001</v>
      </c>
      <c r="M166">
        <f t="shared" si="25"/>
        <v>11.506744960000001</v>
      </c>
      <c r="N166" s="9"/>
      <c r="O166" s="21">
        <v>0.68557699999999999</v>
      </c>
      <c r="P166" s="21">
        <v>243.059</v>
      </c>
      <c r="Q166" s="21">
        <v>-1.1755399999999999E-2</v>
      </c>
      <c r="R166" s="21">
        <v>156</v>
      </c>
      <c r="S166" s="21">
        <v>0.68524200000000002</v>
      </c>
      <c r="T166">
        <f t="shared" si="26"/>
        <v>11.7554</v>
      </c>
      <c r="U166">
        <f t="shared" si="27"/>
        <v>8.0592318657999993</v>
      </c>
      <c r="X166" s="9"/>
      <c r="Y166" s="21">
        <v>1.0144</v>
      </c>
      <c r="Z166" s="21">
        <v>449.22699999999998</v>
      </c>
      <c r="AA166" s="21">
        <v>-1.12213E-2</v>
      </c>
      <c r="AB166" s="21">
        <v>156</v>
      </c>
      <c r="AC166" s="21">
        <v>1.0141</v>
      </c>
      <c r="AD166">
        <f t="shared" si="28"/>
        <v>11.221299999999999</v>
      </c>
      <c r="AE166">
        <f t="shared" si="29"/>
        <v>11.382886719999998</v>
      </c>
      <c r="AF166" s="9"/>
      <c r="AG166" s="21">
        <v>0.68557699999999999</v>
      </c>
      <c r="AH166" s="21">
        <v>505.90199999999999</v>
      </c>
      <c r="AI166" s="21">
        <v>-1.18286E-2</v>
      </c>
      <c r="AJ166" s="21">
        <v>156</v>
      </c>
      <c r="AK166" s="21">
        <v>0.68524200000000002</v>
      </c>
      <c r="AL166">
        <f t="shared" si="30"/>
        <v>11.8286</v>
      </c>
      <c r="AM166">
        <f t="shared" si="31"/>
        <v>8.1094161021999991</v>
      </c>
      <c r="AP166" s="9"/>
      <c r="AQ166" s="21">
        <v>1.0144</v>
      </c>
      <c r="AR166" s="21">
        <v>662.59100000000001</v>
      </c>
      <c r="AS166" s="21">
        <v>-1.15265E-2</v>
      </c>
      <c r="AT166" s="21">
        <v>156</v>
      </c>
      <c r="AU166" s="21">
        <v>1.01379</v>
      </c>
      <c r="AV166">
        <f t="shared" si="32"/>
        <v>11.5265</v>
      </c>
      <c r="AW166">
        <f t="shared" si="33"/>
        <v>11.692481600000001</v>
      </c>
      <c r="AX166" s="9"/>
      <c r="AY166" s="21">
        <v>0.68557699999999999</v>
      </c>
      <c r="AZ166" s="21">
        <v>752.68600000000004</v>
      </c>
      <c r="BA166" s="21">
        <v>-1.2026999999999999E-2</v>
      </c>
      <c r="BB166" s="21">
        <v>156</v>
      </c>
      <c r="BC166" s="21">
        <v>0.68527199999999999</v>
      </c>
      <c r="BD166">
        <f t="shared" si="34"/>
        <v>12.026999999999999</v>
      </c>
      <c r="BE166">
        <f t="shared" si="35"/>
        <v>8.2454345789999994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159.17599999999999</v>
      </c>
      <c r="I167" s="21">
        <v>-1.13464E-2</v>
      </c>
      <c r="J167" s="21">
        <v>157</v>
      </c>
      <c r="K167" s="21">
        <v>1.00891</v>
      </c>
      <c r="L167">
        <f t="shared" si="24"/>
        <v>11.346399999999999</v>
      </c>
      <c r="M167">
        <f t="shared" si="25"/>
        <v>11.452715768000001</v>
      </c>
      <c r="N167" s="9"/>
      <c r="O167" s="21">
        <v>0.69061300000000003</v>
      </c>
      <c r="P167" s="21">
        <v>243.16</v>
      </c>
      <c r="Q167" s="21">
        <v>-1.17523E-2</v>
      </c>
      <c r="R167" s="21">
        <v>157</v>
      </c>
      <c r="S167" s="21">
        <v>0.69024700000000005</v>
      </c>
      <c r="T167">
        <f t="shared" si="26"/>
        <v>11.7523</v>
      </c>
      <c r="U167">
        <f t="shared" si="27"/>
        <v>8.1162911599000012</v>
      </c>
      <c r="X167" s="9"/>
      <c r="Y167" s="21">
        <v>1.0093700000000001</v>
      </c>
      <c r="Z167" s="21">
        <v>449.32799999999997</v>
      </c>
      <c r="AA167" s="21">
        <v>-1.12152E-2</v>
      </c>
      <c r="AB167" s="21">
        <v>157</v>
      </c>
      <c r="AC167" s="21">
        <v>1.00861</v>
      </c>
      <c r="AD167">
        <f t="shared" si="28"/>
        <v>11.215199999999999</v>
      </c>
      <c r="AE167">
        <f t="shared" si="29"/>
        <v>11.320286424000001</v>
      </c>
      <c r="AF167" s="9"/>
      <c r="AG167" s="21">
        <v>0.69061300000000003</v>
      </c>
      <c r="AH167" s="21">
        <v>506.00299999999999</v>
      </c>
      <c r="AI167" s="21">
        <v>-1.18256E-2</v>
      </c>
      <c r="AJ167" s="21">
        <v>157</v>
      </c>
      <c r="AK167" s="21">
        <v>0.69021600000000005</v>
      </c>
      <c r="AL167">
        <f t="shared" si="30"/>
        <v>11.8256</v>
      </c>
      <c r="AM167">
        <f t="shared" si="31"/>
        <v>8.1669130927999998</v>
      </c>
      <c r="AP167" s="9"/>
      <c r="AQ167" s="21">
        <v>1.0093700000000001</v>
      </c>
      <c r="AR167" s="21">
        <v>662.69100000000003</v>
      </c>
      <c r="AS167" s="21">
        <v>-1.15234E-2</v>
      </c>
      <c r="AT167" s="21">
        <v>157</v>
      </c>
      <c r="AU167" s="21">
        <v>1.00861</v>
      </c>
      <c r="AV167">
        <f t="shared" si="32"/>
        <v>11.523399999999999</v>
      </c>
      <c r="AW167">
        <f t="shared" si="33"/>
        <v>11.631374257999999</v>
      </c>
      <c r="AX167" s="9"/>
      <c r="AY167" s="21">
        <v>0.69061300000000003</v>
      </c>
      <c r="AZ167" s="21">
        <v>752.78700000000003</v>
      </c>
      <c r="BA167" s="21">
        <v>-1.20178E-2</v>
      </c>
      <c r="BB167" s="21">
        <v>157</v>
      </c>
      <c r="BC167" s="21">
        <v>0.69024700000000005</v>
      </c>
      <c r="BD167">
        <f t="shared" si="34"/>
        <v>12.017800000000001</v>
      </c>
      <c r="BE167">
        <f t="shared" si="35"/>
        <v>8.299648911400002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159.27600000000001</v>
      </c>
      <c r="I168" s="21">
        <v>-1.13525E-2</v>
      </c>
      <c r="J168" s="21">
        <v>158</v>
      </c>
      <c r="K168" s="21">
        <v>1.0037199999999999</v>
      </c>
      <c r="L168">
        <f t="shared" si="24"/>
        <v>11.352499999999999</v>
      </c>
      <c r="M168">
        <f t="shared" si="25"/>
        <v>11.401656324999999</v>
      </c>
      <c r="N168" s="9"/>
      <c r="O168" s="21">
        <v>0.69564800000000004</v>
      </c>
      <c r="P168" s="21">
        <v>243.261</v>
      </c>
      <c r="Q168" s="21">
        <v>-1.17462E-2</v>
      </c>
      <c r="R168" s="21">
        <v>158</v>
      </c>
      <c r="S168" s="21">
        <v>0.69531299999999996</v>
      </c>
      <c r="T168">
        <f t="shared" si="26"/>
        <v>11.7462</v>
      </c>
      <c r="U168">
        <f t="shared" si="27"/>
        <v>8.1712205376</v>
      </c>
      <c r="X168" s="9"/>
      <c r="Y168" s="21">
        <v>1.0043299999999999</v>
      </c>
      <c r="Z168" s="21">
        <v>449.428</v>
      </c>
      <c r="AA168" s="21">
        <v>-1.12274E-2</v>
      </c>
      <c r="AB168" s="21">
        <v>158</v>
      </c>
      <c r="AC168" s="21">
        <v>1.00403</v>
      </c>
      <c r="AD168">
        <f t="shared" si="28"/>
        <v>11.227399999999999</v>
      </c>
      <c r="AE168">
        <f t="shared" si="29"/>
        <v>11.276014641999998</v>
      </c>
      <c r="AF168" s="9"/>
      <c r="AG168" s="21">
        <v>0.69564800000000004</v>
      </c>
      <c r="AH168" s="21">
        <v>506.10300000000001</v>
      </c>
      <c r="AI168" s="21">
        <v>-1.1816399999999999E-2</v>
      </c>
      <c r="AJ168" s="21">
        <v>158</v>
      </c>
      <c r="AK168" s="21">
        <v>0.69528199999999996</v>
      </c>
      <c r="AL168">
        <f t="shared" si="30"/>
        <v>11.8164</v>
      </c>
      <c r="AM168">
        <f t="shared" si="31"/>
        <v>8.2200550272000008</v>
      </c>
      <c r="AP168" s="9"/>
      <c r="AQ168" s="21">
        <v>1.0043299999999999</v>
      </c>
      <c r="AR168" s="21">
        <v>662.79200000000003</v>
      </c>
      <c r="AS168" s="21">
        <v>-1.15356E-2</v>
      </c>
      <c r="AT168" s="21">
        <v>158</v>
      </c>
      <c r="AU168" s="21">
        <v>1.00403</v>
      </c>
      <c r="AV168">
        <f t="shared" si="32"/>
        <v>11.535600000000001</v>
      </c>
      <c r="AW168">
        <f t="shared" si="33"/>
        <v>11.585549148</v>
      </c>
      <c r="AX168" s="9"/>
      <c r="AY168" s="21">
        <v>0.69564800000000004</v>
      </c>
      <c r="AZ168" s="21">
        <v>752.88800000000003</v>
      </c>
      <c r="BA168" s="21">
        <v>-1.2008700000000001E-2</v>
      </c>
      <c r="BB168" s="21">
        <v>158</v>
      </c>
      <c r="BC168" s="21">
        <v>0.69531299999999996</v>
      </c>
      <c r="BD168">
        <f t="shared" si="34"/>
        <v>12.008700000000001</v>
      </c>
      <c r="BE168">
        <f t="shared" si="35"/>
        <v>8.3538281376000008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159.37700000000001</v>
      </c>
      <c r="I169" s="21">
        <v>-1.13586E-2</v>
      </c>
      <c r="J169" s="21">
        <v>159</v>
      </c>
      <c r="K169" s="21">
        <v>0.99883999999999995</v>
      </c>
      <c r="L169">
        <f t="shared" si="24"/>
        <v>11.358599999999999</v>
      </c>
      <c r="M169">
        <f t="shared" si="25"/>
        <v>11.350626262799999</v>
      </c>
      <c r="N169" s="9"/>
      <c r="O169" s="21">
        <v>0.70068399999999997</v>
      </c>
      <c r="P169" s="21">
        <v>243.36099999999999</v>
      </c>
      <c r="Q169" s="21">
        <v>-1.17401E-2</v>
      </c>
      <c r="R169" s="21">
        <v>159</v>
      </c>
      <c r="S169" s="21">
        <v>0.70037799999999995</v>
      </c>
      <c r="T169">
        <f t="shared" si="26"/>
        <v>11.7401</v>
      </c>
      <c r="U169">
        <f t="shared" si="27"/>
        <v>8.2261002284</v>
      </c>
      <c r="X169" s="9"/>
      <c r="Y169" s="21">
        <v>0.99929800000000002</v>
      </c>
      <c r="Z169" s="21">
        <v>449.529</v>
      </c>
      <c r="AA169" s="21">
        <v>-1.1224400000000001E-2</v>
      </c>
      <c r="AB169" s="21">
        <v>159</v>
      </c>
      <c r="AC169" s="21">
        <v>0.99853499999999995</v>
      </c>
      <c r="AD169">
        <f t="shared" si="28"/>
        <v>11.224400000000001</v>
      </c>
      <c r="AE169">
        <f t="shared" si="29"/>
        <v>11.216520471200001</v>
      </c>
      <c r="AF169" s="9"/>
      <c r="AG169" s="21">
        <v>0.70068399999999997</v>
      </c>
      <c r="AH169" s="21">
        <v>506.20400000000001</v>
      </c>
      <c r="AI169" s="21">
        <v>-1.18134E-2</v>
      </c>
      <c r="AJ169" s="21">
        <v>159</v>
      </c>
      <c r="AK169" s="21">
        <v>0.70034799999999997</v>
      </c>
      <c r="AL169">
        <f t="shared" si="30"/>
        <v>11.8134</v>
      </c>
      <c r="AM169">
        <f t="shared" si="31"/>
        <v>8.2774603655999996</v>
      </c>
      <c r="AP169" s="9"/>
      <c r="AQ169" s="21">
        <v>0.99929800000000002</v>
      </c>
      <c r="AR169" s="21">
        <v>662.89300000000003</v>
      </c>
      <c r="AS169" s="21">
        <v>-1.1538700000000001E-2</v>
      </c>
      <c r="AT169" s="21">
        <v>159</v>
      </c>
      <c r="AU169" s="21">
        <v>0.99914599999999998</v>
      </c>
      <c r="AV169">
        <f t="shared" si="32"/>
        <v>11.5387</v>
      </c>
      <c r="AW169">
        <f t="shared" si="33"/>
        <v>11.5305998326</v>
      </c>
      <c r="AX169" s="9"/>
      <c r="AY169" s="21">
        <v>0.70068399999999997</v>
      </c>
      <c r="AZ169" s="21">
        <v>752.98800000000006</v>
      </c>
      <c r="BA169" s="21">
        <v>-1.2008700000000001E-2</v>
      </c>
      <c r="BB169" s="21">
        <v>159</v>
      </c>
      <c r="BC169" s="21">
        <v>0.70034799999999997</v>
      </c>
      <c r="BD169">
        <f t="shared" si="34"/>
        <v>12.008700000000001</v>
      </c>
      <c r="BE169">
        <f t="shared" si="35"/>
        <v>8.4143039508000008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159.47800000000001</v>
      </c>
      <c r="I170" s="21">
        <v>-1.13586E-2</v>
      </c>
      <c r="J170" s="21">
        <v>160</v>
      </c>
      <c r="K170" s="21">
        <v>0.99365199999999998</v>
      </c>
      <c r="L170">
        <f t="shared" si="24"/>
        <v>11.358599999999999</v>
      </c>
      <c r="M170">
        <f t="shared" si="25"/>
        <v>11.293435711799999</v>
      </c>
      <c r="N170" s="9"/>
      <c r="O170" s="21">
        <v>0.70571899999999999</v>
      </c>
      <c r="P170" s="21">
        <v>243.46199999999999</v>
      </c>
      <c r="Q170" s="21">
        <v>-1.1734E-2</v>
      </c>
      <c r="R170" s="21">
        <v>160</v>
      </c>
      <c r="S170" s="21">
        <v>0.70535300000000001</v>
      </c>
      <c r="T170">
        <f t="shared" si="26"/>
        <v>11.734</v>
      </c>
      <c r="U170">
        <f t="shared" si="27"/>
        <v>8.2809067459999994</v>
      </c>
      <c r="X170" s="9"/>
      <c r="Y170" s="21">
        <v>0.99426300000000001</v>
      </c>
      <c r="Z170" s="21">
        <v>449.63</v>
      </c>
      <c r="AA170" s="21">
        <v>-1.1239600000000001E-2</v>
      </c>
      <c r="AB170" s="21">
        <v>160</v>
      </c>
      <c r="AC170" s="21">
        <v>0.99365199999999998</v>
      </c>
      <c r="AD170">
        <f t="shared" si="28"/>
        <v>11.239600000000001</v>
      </c>
      <c r="AE170">
        <f t="shared" si="29"/>
        <v>11.175118414800002</v>
      </c>
      <c r="AF170" s="9"/>
      <c r="AG170" s="21">
        <v>0.70571899999999999</v>
      </c>
      <c r="AH170" s="21">
        <v>506.30500000000001</v>
      </c>
      <c r="AI170" s="21">
        <v>-1.1804200000000001E-2</v>
      </c>
      <c r="AJ170" s="21">
        <v>160</v>
      </c>
      <c r="AK170" s="21">
        <v>0.70538299999999998</v>
      </c>
      <c r="AL170">
        <f t="shared" si="30"/>
        <v>11.804200000000002</v>
      </c>
      <c r="AM170">
        <f t="shared" si="31"/>
        <v>8.3304482198000009</v>
      </c>
      <c r="AP170" s="9"/>
      <c r="AQ170" s="21">
        <v>0.99426300000000001</v>
      </c>
      <c r="AR170" s="21">
        <v>662.99300000000005</v>
      </c>
      <c r="AS170" s="21">
        <v>-1.1538700000000001E-2</v>
      </c>
      <c r="AT170" s="21">
        <v>160</v>
      </c>
      <c r="AU170" s="21">
        <v>0.99365199999999998</v>
      </c>
      <c r="AV170">
        <f t="shared" si="32"/>
        <v>11.5387</v>
      </c>
      <c r="AW170">
        <f t="shared" si="33"/>
        <v>11.472502478100001</v>
      </c>
      <c r="AX170" s="9"/>
      <c r="AY170" s="21">
        <v>0.70571899999999999</v>
      </c>
      <c r="AZ170" s="21">
        <v>753.08900000000006</v>
      </c>
      <c r="BA170" s="21">
        <v>-1.20026E-2</v>
      </c>
      <c r="BB170" s="21">
        <v>160</v>
      </c>
      <c r="BC170" s="21">
        <v>0.70544399999999996</v>
      </c>
      <c r="BD170">
        <f t="shared" si="34"/>
        <v>12.002600000000001</v>
      </c>
      <c r="BE170">
        <f t="shared" si="35"/>
        <v>8.4704628694000004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159.57900000000001</v>
      </c>
      <c r="I171" s="21">
        <v>-1.1373899999999999E-2</v>
      </c>
      <c r="J171" s="21">
        <v>161</v>
      </c>
      <c r="K171" s="21">
        <v>0.98877000000000004</v>
      </c>
      <c r="L171">
        <f t="shared" si="24"/>
        <v>11.373899999999999</v>
      </c>
      <c r="M171">
        <f t="shared" si="25"/>
        <v>11.251368975299998</v>
      </c>
      <c r="N171" s="9"/>
      <c r="O171" s="21">
        <v>0.710754</v>
      </c>
      <c r="P171" s="21">
        <v>243.56299999999999</v>
      </c>
      <c r="Q171" s="21">
        <v>-1.1721799999999999E-2</v>
      </c>
      <c r="R171" s="21">
        <v>161</v>
      </c>
      <c r="S171" s="21">
        <v>0.71032700000000004</v>
      </c>
      <c r="T171">
        <f t="shared" si="26"/>
        <v>11.7218</v>
      </c>
      <c r="U171">
        <f t="shared" si="27"/>
        <v>8.3313162371999994</v>
      </c>
      <c r="X171" s="9"/>
      <c r="Y171" s="21">
        <v>0.98922699999999997</v>
      </c>
      <c r="Z171" s="21">
        <v>449.73099999999999</v>
      </c>
      <c r="AA171" s="21">
        <v>-1.1245700000000001E-2</v>
      </c>
      <c r="AB171" s="21">
        <v>161</v>
      </c>
      <c r="AC171" s="21">
        <v>0.98907500000000004</v>
      </c>
      <c r="AD171">
        <f t="shared" si="28"/>
        <v>11.245700000000001</v>
      </c>
      <c r="AE171">
        <f t="shared" si="29"/>
        <v>11.1245500739</v>
      </c>
      <c r="AF171" s="9"/>
      <c r="AG171" s="21">
        <v>0.710754</v>
      </c>
      <c r="AH171" s="21">
        <v>506.40499999999997</v>
      </c>
      <c r="AI171" s="21">
        <v>-1.1795E-2</v>
      </c>
      <c r="AJ171" s="21">
        <v>161</v>
      </c>
      <c r="AK171" s="21">
        <v>0.71041900000000002</v>
      </c>
      <c r="AL171">
        <f t="shared" si="30"/>
        <v>11.795</v>
      </c>
      <c r="AM171">
        <f t="shared" si="31"/>
        <v>8.38334343</v>
      </c>
      <c r="AP171" s="9"/>
      <c r="AQ171" s="21">
        <v>0.98922699999999997</v>
      </c>
      <c r="AR171" s="21">
        <v>663.09400000000005</v>
      </c>
      <c r="AS171" s="21">
        <v>-1.1557E-2</v>
      </c>
      <c r="AT171" s="21">
        <v>161</v>
      </c>
      <c r="AU171" s="21">
        <v>0.98846400000000001</v>
      </c>
      <c r="AV171">
        <f t="shared" si="32"/>
        <v>11.557</v>
      </c>
      <c r="AW171">
        <f t="shared" si="33"/>
        <v>11.432496438999999</v>
      </c>
      <c r="AX171" s="9"/>
      <c r="AY171" s="21">
        <v>0.710754</v>
      </c>
      <c r="AZ171" s="21">
        <v>753.19</v>
      </c>
      <c r="BA171" s="21">
        <v>-1.19965E-2</v>
      </c>
      <c r="BB171" s="21">
        <v>161</v>
      </c>
      <c r="BC171" s="21">
        <v>0.71041900000000002</v>
      </c>
      <c r="BD171">
        <f t="shared" si="34"/>
        <v>11.996500000000001</v>
      </c>
      <c r="BE171">
        <f t="shared" si="35"/>
        <v>8.5265603610000014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159.679</v>
      </c>
      <c r="I172" s="21">
        <v>-1.13647E-2</v>
      </c>
      <c r="J172" s="21">
        <v>162</v>
      </c>
      <c r="K172" s="21">
        <v>0.98327600000000004</v>
      </c>
      <c r="L172">
        <f t="shared" si="24"/>
        <v>11.364700000000001</v>
      </c>
      <c r="M172">
        <f t="shared" si="25"/>
        <v>11.1850468224</v>
      </c>
      <c r="N172" s="9"/>
      <c r="O172" s="21">
        <v>0.71579000000000004</v>
      </c>
      <c r="P172" s="21">
        <v>243.66399999999999</v>
      </c>
      <c r="Q172" s="21">
        <v>-1.1715700000000001E-2</v>
      </c>
      <c r="R172" s="21">
        <v>162</v>
      </c>
      <c r="S172" s="21">
        <v>0.71557599999999999</v>
      </c>
      <c r="T172">
        <f t="shared" si="26"/>
        <v>11.7157</v>
      </c>
      <c r="U172">
        <f t="shared" si="27"/>
        <v>8.3859809030000001</v>
      </c>
      <c r="X172" s="9"/>
      <c r="Y172" s="21">
        <v>0.98419199999999996</v>
      </c>
      <c r="Z172" s="21">
        <v>449.83100000000002</v>
      </c>
      <c r="AA172" s="21">
        <v>-1.12488E-2</v>
      </c>
      <c r="AB172" s="21">
        <v>162</v>
      </c>
      <c r="AC172" s="21">
        <v>0.98358199999999996</v>
      </c>
      <c r="AD172">
        <f t="shared" si="28"/>
        <v>11.248799999999999</v>
      </c>
      <c r="AE172">
        <f t="shared" si="29"/>
        <v>11.070978969599999</v>
      </c>
      <c r="AF172" s="9"/>
      <c r="AG172" s="21">
        <v>0.71579000000000004</v>
      </c>
      <c r="AH172" s="21">
        <v>506.50599999999997</v>
      </c>
      <c r="AI172" s="21">
        <v>-1.1795E-2</v>
      </c>
      <c r="AJ172" s="21">
        <v>162</v>
      </c>
      <c r="AK172" s="21">
        <v>0.71545400000000003</v>
      </c>
      <c r="AL172">
        <f t="shared" si="30"/>
        <v>11.795</v>
      </c>
      <c r="AM172">
        <f t="shared" si="31"/>
        <v>8.4427430500000007</v>
      </c>
      <c r="AP172" s="9"/>
      <c r="AQ172" s="21">
        <v>0.98419199999999996</v>
      </c>
      <c r="AR172" s="21">
        <v>663.19500000000005</v>
      </c>
      <c r="AS172" s="21">
        <v>-1.15662E-2</v>
      </c>
      <c r="AT172" s="21">
        <v>162</v>
      </c>
      <c r="AU172" s="21">
        <v>0.98388699999999996</v>
      </c>
      <c r="AV172">
        <f t="shared" si="32"/>
        <v>11.5662</v>
      </c>
      <c r="AW172">
        <f t="shared" si="33"/>
        <v>11.3833615104</v>
      </c>
      <c r="AX172" s="9"/>
      <c r="AY172" s="21">
        <v>0.71579000000000004</v>
      </c>
      <c r="AZ172" s="21">
        <v>753.29</v>
      </c>
      <c r="BA172" s="21">
        <v>-1.19965E-2</v>
      </c>
      <c r="BB172" s="21">
        <v>162</v>
      </c>
      <c r="BC172" s="21">
        <v>0.71542399999999995</v>
      </c>
      <c r="BD172">
        <f t="shared" si="34"/>
        <v>11.996500000000001</v>
      </c>
      <c r="BE172">
        <f t="shared" si="35"/>
        <v>8.5869747350000019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159.78</v>
      </c>
      <c r="I173" s="21">
        <v>-1.13647E-2</v>
      </c>
      <c r="J173" s="21">
        <v>163</v>
      </c>
      <c r="K173" s="21">
        <v>0.97839399999999999</v>
      </c>
      <c r="L173">
        <f t="shared" si="24"/>
        <v>11.364700000000001</v>
      </c>
      <c r="M173">
        <f t="shared" si="25"/>
        <v>11.127814193200001</v>
      </c>
      <c r="N173" s="9"/>
      <c r="O173" s="21">
        <v>0.72082500000000005</v>
      </c>
      <c r="P173" s="21">
        <v>243.76400000000001</v>
      </c>
      <c r="Q173" s="21">
        <v>-1.17035E-2</v>
      </c>
      <c r="R173" s="21">
        <v>163</v>
      </c>
      <c r="S173" s="21">
        <v>0.72042799999999996</v>
      </c>
      <c r="T173">
        <f t="shared" si="26"/>
        <v>11.7035</v>
      </c>
      <c r="U173">
        <f t="shared" si="27"/>
        <v>8.4361753875000005</v>
      </c>
      <c r="X173" s="9"/>
      <c r="Y173" s="21">
        <v>0.97915600000000003</v>
      </c>
      <c r="Z173" s="21">
        <v>449.93200000000002</v>
      </c>
      <c r="AA173" s="21">
        <v>-1.12549E-2</v>
      </c>
      <c r="AB173" s="21">
        <v>163</v>
      </c>
      <c r="AC173" s="21">
        <v>0.97839399999999999</v>
      </c>
      <c r="AD173">
        <f t="shared" si="28"/>
        <v>11.254899999999999</v>
      </c>
      <c r="AE173">
        <f t="shared" si="29"/>
        <v>11.0203028644</v>
      </c>
      <c r="AF173" s="9"/>
      <c r="AG173" s="21">
        <v>0.72082500000000005</v>
      </c>
      <c r="AH173" s="21">
        <v>506.60700000000003</v>
      </c>
      <c r="AI173" s="21">
        <v>-1.17889E-2</v>
      </c>
      <c r="AJ173" s="21">
        <v>163</v>
      </c>
      <c r="AK173" s="21">
        <v>0.72042799999999996</v>
      </c>
      <c r="AL173">
        <f t="shared" si="30"/>
        <v>11.7889</v>
      </c>
      <c r="AM173">
        <f t="shared" si="31"/>
        <v>8.4977338425000006</v>
      </c>
      <c r="AP173" s="9"/>
      <c r="AQ173" s="21">
        <v>0.97915600000000003</v>
      </c>
      <c r="AR173" s="21">
        <v>663.29600000000005</v>
      </c>
      <c r="AS173" s="21">
        <v>-1.15631E-2</v>
      </c>
      <c r="AT173" s="21">
        <v>163</v>
      </c>
      <c r="AU173" s="21">
        <v>0.97930899999999999</v>
      </c>
      <c r="AV173">
        <f t="shared" si="32"/>
        <v>11.5631</v>
      </c>
      <c r="AW173">
        <f t="shared" si="33"/>
        <v>11.322078743600001</v>
      </c>
      <c r="AX173" s="9"/>
      <c r="AY173" s="21">
        <v>0.72082500000000005</v>
      </c>
      <c r="AZ173" s="21">
        <v>753.39099999999996</v>
      </c>
      <c r="BA173" s="21">
        <v>-1.1987299999999999E-2</v>
      </c>
      <c r="BB173" s="21">
        <v>163</v>
      </c>
      <c r="BC173" s="21">
        <v>0.72052000000000005</v>
      </c>
      <c r="BD173">
        <f t="shared" si="34"/>
        <v>11.987299999999999</v>
      </c>
      <c r="BE173">
        <f t="shared" si="35"/>
        <v>8.6407455224999996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159.881</v>
      </c>
      <c r="I174" s="21">
        <v>-1.13708E-2</v>
      </c>
      <c r="J174" s="21">
        <v>164</v>
      </c>
      <c r="K174" s="21">
        <v>0.97381600000000001</v>
      </c>
      <c r="L174">
        <f t="shared" si="24"/>
        <v>11.370800000000001</v>
      </c>
      <c r="M174">
        <f t="shared" si="25"/>
        <v>11.076535066800002</v>
      </c>
      <c r="N174" s="9"/>
      <c r="O174" s="21">
        <v>0.72586099999999998</v>
      </c>
      <c r="P174" s="21">
        <v>243.86500000000001</v>
      </c>
      <c r="Q174" s="21">
        <v>-1.17035E-2</v>
      </c>
      <c r="R174" s="21">
        <v>164</v>
      </c>
      <c r="S174" s="21">
        <v>0.72549399999999997</v>
      </c>
      <c r="T174">
        <f t="shared" si="26"/>
        <v>11.7035</v>
      </c>
      <c r="U174">
        <f t="shared" si="27"/>
        <v>8.4951142134999991</v>
      </c>
      <c r="X174" s="9"/>
      <c r="Y174" s="21">
        <v>0.97412100000000001</v>
      </c>
      <c r="Z174" s="21">
        <v>450.03300000000002</v>
      </c>
      <c r="AA174" s="21">
        <v>-1.1245700000000001E-2</v>
      </c>
      <c r="AB174" s="21">
        <v>164</v>
      </c>
      <c r="AC174" s="21">
        <v>0.97320600000000002</v>
      </c>
      <c r="AD174">
        <f t="shared" si="28"/>
        <v>11.245700000000001</v>
      </c>
      <c r="AE174">
        <f t="shared" si="29"/>
        <v>10.954672529700002</v>
      </c>
      <c r="AF174" s="9"/>
      <c r="AG174" s="21">
        <v>0.72586099999999998</v>
      </c>
      <c r="AH174" s="21">
        <v>506.70800000000003</v>
      </c>
      <c r="AI174" s="21">
        <v>-1.17859E-2</v>
      </c>
      <c r="AJ174" s="21">
        <v>164</v>
      </c>
      <c r="AK174" s="21">
        <v>0.72543299999999999</v>
      </c>
      <c r="AL174">
        <f t="shared" si="30"/>
        <v>11.7859</v>
      </c>
      <c r="AM174">
        <f t="shared" si="31"/>
        <v>8.5549251598999998</v>
      </c>
      <c r="AP174" s="9"/>
      <c r="AQ174" s="21">
        <v>0.97412100000000001</v>
      </c>
      <c r="AR174" s="21">
        <v>663.39599999999996</v>
      </c>
      <c r="AS174" s="21">
        <v>-1.1587500000000001E-2</v>
      </c>
      <c r="AT174" s="21">
        <v>164</v>
      </c>
      <c r="AU174" s="21">
        <v>0.97351100000000002</v>
      </c>
      <c r="AV174">
        <f t="shared" si="32"/>
        <v>11.5875</v>
      </c>
      <c r="AW174">
        <f t="shared" si="33"/>
        <v>11.287627087500001</v>
      </c>
      <c r="AX174" s="9"/>
      <c r="AY174" s="21">
        <v>0.72586099999999998</v>
      </c>
      <c r="AZ174" s="21">
        <v>753.49199999999996</v>
      </c>
      <c r="BA174" s="21">
        <v>-1.1987299999999999E-2</v>
      </c>
      <c r="BB174" s="21">
        <v>164</v>
      </c>
      <c r="BC174" s="21">
        <v>0.72549399999999997</v>
      </c>
      <c r="BD174">
        <f t="shared" si="34"/>
        <v>11.987299999999999</v>
      </c>
      <c r="BE174">
        <f t="shared" si="35"/>
        <v>8.7011135653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159.98099999999999</v>
      </c>
      <c r="I175" s="21">
        <v>-1.13708E-2</v>
      </c>
      <c r="J175" s="21">
        <v>165</v>
      </c>
      <c r="K175" s="21">
        <v>0.96832300000000004</v>
      </c>
      <c r="L175">
        <f t="shared" si="24"/>
        <v>11.370800000000001</v>
      </c>
      <c r="M175">
        <f t="shared" si="25"/>
        <v>11.019283088800002</v>
      </c>
      <c r="N175" s="9"/>
      <c r="O175" s="21">
        <v>0.73089599999999999</v>
      </c>
      <c r="P175" s="21">
        <v>243.96600000000001</v>
      </c>
      <c r="Q175" s="21">
        <v>-1.1694299999999999E-2</v>
      </c>
      <c r="R175" s="21">
        <v>165</v>
      </c>
      <c r="S175" s="21">
        <v>0.73053000000000001</v>
      </c>
      <c r="T175">
        <f t="shared" si="26"/>
        <v>11.6943</v>
      </c>
      <c r="U175">
        <f t="shared" si="27"/>
        <v>8.5473170928000002</v>
      </c>
      <c r="X175" s="9"/>
      <c r="Y175" s="21">
        <v>0.969086</v>
      </c>
      <c r="Z175" s="21">
        <v>450.13299999999998</v>
      </c>
      <c r="AA175" s="21">
        <v>-1.12488E-2</v>
      </c>
      <c r="AB175" s="21">
        <v>165</v>
      </c>
      <c r="AC175" s="21">
        <v>0.96832300000000004</v>
      </c>
      <c r="AD175">
        <f t="shared" si="28"/>
        <v>11.248799999999999</v>
      </c>
      <c r="AE175">
        <f t="shared" si="29"/>
        <v>10.9010545968</v>
      </c>
      <c r="AF175" s="9"/>
      <c r="AG175" s="21">
        <v>0.73089599999999999</v>
      </c>
      <c r="AH175" s="21">
        <v>506.80799999999999</v>
      </c>
      <c r="AI175" s="21">
        <v>-1.17828E-2</v>
      </c>
      <c r="AJ175" s="21">
        <v>165</v>
      </c>
      <c r="AK175" s="21">
        <v>0.73059099999999999</v>
      </c>
      <c r="AL175">
        <f t="shared" si="30"/>
        <v>11.7828</v>
      </c>
      <c r="AM175">
        <f t="shared" si="31"/>
        <v>8.6120013887999995</v>
      </c>
      <c r="AP175" s="9"/>
      <c r="AQ175" s="21">
        <v>0.969086</v>
      </c>
      <c r="AR175" s="21">
        <v>663.49699999999996</v>
      </c>
      <c r="AS175" s="21">
        <v>-1.1593600000000001E-2</v>
      </c>
      <c r="AT175" s="21">
        <v>165</v>
      </c>
      <c r="AU175" s="21">
        <v>0.96832300000000004</v>
      </c>
      <c r="AV175">
        <f t="shared" si="32"/>
        <v>11.5936</v>
      </c>
      <c r="AW175">
        <f t="shared" si="33"/>
        <v>11.235195449600001</v>
      </c>
      <c r="AX175" s="9"/>
      <c r="AY175" s="21">
        <v>0.73089599999999999</v>
      </c>
      <c r="AZ175" s="21">
        <v>753.59299999999996</v>
      </c>
      <c r="BA175" s="21">
        <v>-1.1975100000000001E-2</v>
      </c>
      <c r="BB175" s="21">
        <v>165</v>
      </c>
      <c r="BC175" s="21">
        <v>0.73053000000000001</v>
      </c>
      <c r="BD175">
        <f t="shared" si="34"/>
        <v>11.975100000000001</v>
      </c>
      <c r="BE175">
        <f t="shared" si="35"/>
        <v>8.7525526895999999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160.08199999999999</v>
      </c>
      <c r="I176" s="21">
        <v>-1.1377E-2</v>
      </c>
      <c r="J176" s="21">
        <v>166</v>
      </c>
      <c r="K176" s="21">
        <v>0.96343999999999996</v>
      </c>
      <c r="L176">
        <f t="shared" si="24"/>
        <v>11.377000000000001</v>
      </c>
      <c r="M176">
        <f t="shared" si="25"/>
        <v>10.96799685</v>
      </c>
      <c r="N176" s="9"/>
      <c r="O176" s="21">
        <v>0.735931</v>
      </c>
      <c r="P176" s="21">
        <v>244.066</v>
      </c>
      <c r="Q176" s="21">
        <v>-1.1682100000000001E-2</v>
      </c>
      <c r="R176" s="21">
        <v>166</v>
      </c>
      <c r="S176" s="21">
        <v>0.73559600000000003</v>
      </c>
      <c r="T176">
        <f t="shared" si="26"/>
        <v>11.6821</v>
      </c>
      <c r="U176">
        <f t="shared" si="27"/>
        <v>8.5972195351000007</v>
      </c>
      <c r="X176" s="9"/>
      <c r="Y176" s="21">
        <v>0.96404999999999996</v>
      </c>
      <c r="Z176" s="21">
        <v>450.23399999999998</v>
      </c>
      <c r="AA176" s="21">
        <v>-1.12579E-2</v>
      </c>
      <c r="AB176" s="21">
        <v>166</v>
      </c>
      <c r="AC176" s="21">
        <v>0.96313499999999996</v>
      </c>
      <c r="AD176">
        <f t="shared" si="28"/>
        <v>11.257899999999999</v>
      </c>
      <c r="AE176">
        <f t="shared" si="29"/>
        <v>10.853178494999998</v>
      </c>
      <c r="AF176" s="9"/>
      <c r="AG176" s="21">
        <v>0.735931</v>
      </c>
      <c r="AH176" s="21">
        <v>506.90899999999999</v>
      </c>
      <c r="AI176" s="21">
        <v>-1.17798E-2</v>
      </c>
      <c r="AJ176" s="21">
        <v>166</v>
      </c>
      <c r="AK176" s="21">
        <v>0.73559600000000003</v>
      </c>
      <c r="AL176">
        <f t="shared" si="30"/>
        <v>11.7798</v>
      </c>
      <c r="AM176">
        <f t="shared" si="31"/>
        <v>8.6691199938000008</v>
      </c>
      <c r="AP176" s="9"/>
      <c r="AQ176" s="21">
        <v>0.96404999999999996</v>
      </c>
      <c r="AR176" s="21">
        <v>663.59799999999996</v>
      </c>
      <c r="AS176" s="21">
        <v>-1.15906E-2</v>
      </c>
      <c r="AT176" s="21">
        <v>166</v>
      </c>
      <c r="AU176" s="21">
        <v>0.96313499999999996</v>
      </c>
      <c r="AV176">
        <f t="shared" si="32"/>
        <v>11.5906</v>
      </c>
      <c r="AW176">
        <f t="shared" si="33"/>
        <v>11.17391793</v>
      </c>
      <c r="AX176" s="9"/>
      <c r="AY176" s="21">
        <v>0.735931</v>
      </c>
      <c r="AZ176" s="21">
        <v>753.69299999999998</v>
      </c>
      <c r="BA176" s="21">
        <v>-1.1969E-2</v>
      </c>
      <c r="BB176" s="21">
        <v>166</v>
      </c>
      <c r="BC176" s="21">
        <v>0.73559600000000003</v>
      </c>
      <c r="BD176">
        <f t="shared" si="34"/>
        <v>11.969000000000001</v>
      </c>
      <c r="BE176">
        <f t="shared" si="35"/>
        <v>8.808358139000001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160.18299999999999</v>
      </c>
      <c r="I177" s="21">
        <v>-1.13922E-2</v>
      </c>
      <c r="J177" s="21">
        <v>167</v>
      </c>
      <c r="K177" s="21">
        <v>0.95794699999999999</v>
      </c>
      <c r="L177">
        <f t="shared" si="24"/>
        <v>11.392200000000001</v>
      </c>
      <c r="M177">
        <f t="shared" si="25"/>
        <v>10.925290683</v>
      </c>
      <c r="N177" s="9"/>
      <c r="O177" s="21">
        <v>0.74096700000000004</v>
      </c>
      <c r="P177" s="21">
        <v>244.167</v>
      </c>
      <c r="Q177" s="21">
        <v>-1.1682100000000001E-2</v>
      </c>
      <c r="R177" s="21">
        <v>167</v>
      </c>
      <c r="S177" s="21">
        <v>0.74069200000000002</v>
      </c>
      <c r="T177">
        <f t="shared" si="26"/>
        <v>11.6821</v>
      </c>
      <c r="U177">
        <f t="shared" si="27"/>
        <v>8.6560505907000014</v>
      </c>
      <c r="X177" s="9"/>
      <c r="Y177" s="21">
        <v>0.95901499999999995</v>
      </c>
      <c r="Z177" s="21">
        <v>450.33499999999998</v>
      </c>
      <c r="AA177" s="21">
        <v>-1.1264E-2</v>
      </c>
      <c r="AB177" s="21">
        <v>167</v>
      </c>
      <c r="AC177" s="21">
        <v>0.95855699999999999</v>
      </c>
      <c r="AD177">
        <f t="shared" si="28"/>
        <v>11.263999999999999</v>
      </c>
      <c r="AE177">
        <f t="shared" si="29"/>
        <v>10.802344959999999</v>
      </c>
      <c r="AF177" s="9"/>
      <c r="AG177" s="21">
        <v>0.74096700000000004</v>
      </c>
      <c r="AH177" s="21">
        <v>507.01</v>
      </c>
      <c r="AI177" s="21">
        <v>-1.17798E-2</v>
      </c>
      <c r="AJ177" s="21">
        <v>167</v>
      </c>
      <c r="AK177" s="21">
        <v>0.74066200000000004</v>
      </c>
      <c r="AL177">
        <f t="shared" si="30"/>
        <v>11.7798</v>
      </c>
      <c r="AM177">
        <f t="shared" si="31"/>
        <v>8.7284430666000006</v>
      </c>
      <c r="AP177" s="9"/>
      <c r="AQ177" s="21">
        <v>0.95901499999999995</v>
      </c>
      <c r="AR177" s="21">
        <v>663.69799999999998</v>
      </c>
      <c r="AS177" s="21">
        <v>-1.1587500000000001E-2</v>
      </c>
      <c r="AT177" s="21">
        <v>167</v>
      </c>
      <c r="AU177" s="21">
        <v>0.95825199999999999</v>
      </c>
      <c r="AV177">
        <f t="shared" si="32"/>
        <v>11.5875</v>
      </c>
      <c r="AW177">
        <f t="shared" si="33"/>
        <v>11.1125863125</v>
      </c>
      <c r="AX177" s="9"/>
      <c r="AY177" s="21">
        <v>0.74096700000000004</v>
      </c>
      <c r="AZ177" s="21">
        <v>753.79399999999998</v>
      </c>
      <c r="BA177" s="21">
        <v>-1.19629E-2</v>
      </c>
      <c r="BB177" s="21">
        <v>167</v>
      </c>
      <c r="BC177" s="21">
        <v>0.74056999999999995</v>
      </c>
      <c r="BD177">
        <f t="shared" si="34"/>
        <v>11.962899999999999</v>
      </c>
      <c r="BE177">
        <f t="shared" si="35"/>
        <v>8.8641141243000003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160.28299999999999</v>
      </c>
      <c r="I178" s="21">
        <v>-1.1401400000000001E-2</v>
      </c>
      <c r="J178" s="21">
        <v>168</v>
      </c>
      <c r="K178" s="21">
        <v>0.95275900000000002</v>
      </c>
      <c r="L178">
        <f t="shared" si="24"/>
        <v>11.401400000000001</v>
      </c>
      <c r="M178">
        <f t="shared" si="25"/>
        <v>10.876696170600001</v>
      </c>
      <c r="N178" s="9"/>
      <c r="O178" s="21">
        <v>0.74600200000000005</v>
      </c>
      <c r="P178" s="21">
        <v>244.268</v>
      </c>
      <c r="Q178" s="21">
        <v>-1.16791E-2</v>
      </c>
      <c r="R178" s="21">
        <v>168</v>
      </c>
      <c r="S178" s="21">
        <v>0.74569700000000005</v>
      </c>
      <c r="T178">
        <f t="shared" si="26"/>
        <v>11.6791</v>
      </c>
      <c r="U178">
        <f t="shared" si="27"/>
        <v>8.7126319582000011</v>
      </c>
      <c r="X178" s="9"/>
      <c r="Y178" s="21">
        <v>0.95397900000000002</v>
      </c>
      <c r="Z178" s="21">
        <v>450.435</v>
      </c>
      <c r="AA178" s="21">
        <v>-1.12701E-2</v>
      </c>
      <c r="AB178" s="21">
        <v>168</v>
      </c>
      <c r="AC178" s="21">
        <v>0.95336900000000002</v>
      </c>
      <c r="AD178">
        <f t="shared" si="28"/>
        <v>11.270099999999999</v>
      </c>
      <c r="AE178">
        <f t="shared" si="29"/>
        <v>10.7514387279</v>
      </c>
      <c r="AF178" s="9"/>
      <c r="AG178" s="21">
        <v>0.74600200000000005</v>
      </c>
      <c r="AH178" s="21">
        <v>507.11</v>
      </c>
      <c r="AI178" s="21">
        <v>-1.17737E-2</v>
      </c>
      <c r="AJ178" s="21">
        <v>168</v>
      </c>
      <c r="AK178" s="21">
        <v>0.74569700000000005</v>
      </c>
      <c r="AL178">
        <f t="shared" si="30"/>
        <v>11.7737</v>
      </c>
      <c r="AM178">
        <f t="shared" si="31"/>
        <v>8.7832037474</v>
      </c>
      <c r="AP178" s="9"/>
      <c r="AQ178" s="21">
        <v>0.95397900000000002</v>
      </c>
      <c r="AR178" s="21">
        <v>663.79899999999998</v>
      </c>
      <c r="AS178" s="21">
        <v>-1.1593600000000001E-2</v>
      </c>
      <c r="AT178" s="21">
        <v>168</v>
      </c>
      <c r="AU178" s="21">
        <v>0.95397900000000002</v>
      </c>
      <c r="AV178">
        <f t="shared" si="32"/>
        <v>11.5936</v>
      </c>
      <c r="AW178">
        <f t="shared" si="33"/>
        <v>11.060050934400001</v>
      </c>
      <c r="AX178" s="9"/>
      <c r="AY178" s="21">
        <v>0.74600200000000005</v>
      </c>
      <c r="AZ178" s="21">
        <v>753.89499999999998</v>
      </c>
      <c r="BA178" s="21">
        <v>-1.19568E-2</v>
      </c>
      <c r="BB178" s="21">
        <v>168</v>
      </c>
      <c r="BC178" s="21">
        <v>0.74563599999999997</v>
      </c>
      <c r="BD178">
        <f t="shared" si="34"/>
        <v>11.956799999999999</v>
      </c>
      <c r="BE178">
        <f t="shared" si="35"/>
        <v>8.9197967136000003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160.38399999999999</v>
      </c>
      <c r="I179" s="21">
        <v>-1.14197E-2</v>
      </c>
      <c r="J179" s="21">
        <v>169</v>
      </c>
      <c r="K179" s="21">
        <v>0.94879199999999997</v>
      </c>
      <c r="L179">
        <f t="shared" si="24"/>
        <v>11.419699999999999</v>
      </c>
      <c r="M179">
        <f t="shared" si="25"/>
        <v>10.836655796799999</v>
      </c>
      <c r="N179" s="9"/>
      <c r="O179" s="21">
        <v>0.75103799999999998</v>
      </c>
      <c r="P179" s="21">
        <v>244.369</v>
      </c>
      <c r="Q179" s="21">
        <v>-1.1676000000000001E-2</v>
      </c>
      <c r="R179" s="21">
        <v>169</v>
      </c>
      <c r="S179" s="21">
        <v>0.75070199999999998</v>
      </c>
      <c r="T179">
        <f t="shared" si="26"/>
        <v>11.676</v>
      </c>
      <c r="U179">
        <f t="shared" si="27"/>
        <v>8.769119688</v>
      </c>
      <c r="X179" s="9"/>
      <c r="Y179" s="21">
        <v>0.94894400000000001</v>
      </c>
      <c r="Z179" s="21">
        <v>450.536</v>
      </c>
      <c r="AA179" s="21">
        <v>-1.1273200000000001E-2</v>
      </c>
      <c r="AB179" s="21">
        <v>169</v>
      </c>
      <c r="AC179" s="21">
        <v>0.94848600000000005</v>
      </c>
      <c r="AD179">
        <f t="shared" si="28"/>
        <v>11.273200000000001</v>
      </c>
      <c r="AE179">
        <f t="shared" si="29"/>
        <v>10.697635500800001</v>
      </c>
      <c r="AF179" s="9"/>
      <c r="AG179" s="21">
        <v>0.75103799999999998</v>
      </c>
      <c r="AH179" s="21">
        <v>507.21100000000001</v>
      </c>
      <c r="AI179" s="21">
        <v>-1.1761499999999999E-2</v>
      </c>
      <c r="AJ179" s="21">
        <v>169</v>
      </c>
      <c r="AK179" s="21">
        <v>0.750641</v>
      </c>
      <c r="AL179">
        <f t="shared" si="30"/>
        <v>11.7615</v>
      </c>
      <c r="AM179">
        <f t="shared" si="31"/>
        <v>8.8333334370000003</v>
      </c>
      <c r="AP179" s="9"/>
      <c r="AQ179" s="21">
        <v>0.94894400000000001</v>
      </c>
      <c r="AR179" s="21">
        <v>663.9</v>
      </c>
      <c r="AS179" s="21">
        <v>-1.15967E-2</v>
      </c>
      <c r="AT179" s="21">
        <v>169</v>
      </c>
      <c r="AU179" s="21">
        <v>0.94818100000000005</v>
      </c>
      <c r="AV179">
        <f t="shared" si="32"/>
        <v>11.5967</v>
      </c>
      <c r="AW179">
        <f t="shared" si="33"/>
        <v>11.004618884800001</v>
      </c>
      <c r="AX179" s="9"/>
      <c r="AY179" s="21">
        <v>0.75103799999999998</v>
      </c>
      <c r="AZ179" s="21">
        <v>753.995</v>
      </c>
      <c r="BA179" s="21">
        <v>-1.1947599999999999E-2</v>
      </c>
      <c r="BB179" s="21">
        <v>169</v>
      </c>
      <c r="BC179" s="21">
        <v>0.750641</v>
      </c>
      <c r="BD179">
        <f t="shared" si="34"/>
        <v>11.9476</v>
      </c>
      <c r="BE179">
        <f t="shared" si="35"/>
        <v>8.9731016087999986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160.48500000000001</v>
      </c>
      <c r="I180" s="21">
        <v>-1.14044E-2</v>
      </c>
      <c r="J180" s="21">
        <v>170</v>
      </c>
      <c r="K180" s="21">
        <v>0.94299299999999997</v>
      </c>
      <c r="L180">
        <f t="shared" si="24"/>
        <v>11.404400000000001</v>
      </c>
      <c r="M180">
        <f t="shared" si="25"/>
        <v>10.764715799600001</v>
      </c>
      <c r="N180" s="9"/>
      <c r="O180" s="21">
        <v>0.756073</v>
      </c>
      <c r="P180" s="21">
        <v>244.46899999999999</v>
      </c>
      <c r="Q180" s="21">
        <v>-1.1666899999999999E-2</v>
      </c>
      <c r="R180" s="21">
        <v>170</v>
      </c>
      <c r="S180" s="21">
        <v>0.75561500000000004</v>
      </c>
      <c r="T180">
        <f t="shared" si="26"/>
        <v>11.666899999999998</v>
      </c>
      <c r="U180">
        <f t="shared" si="27"/>
        <v>8.8210280836999981</v>
      </c>
      <c r="X180" s="9"/>
      <c r="Y180" s="21">
        <v>0.943909</v>
      </c>
      <c r="Z180" s="21">
        <v>450.637</v>
      </c>
      <c r="AA180" s="21">
        <v>-1.12823E-2</v>
      </c>
      <c r="AB180" s="21">
        <v>170</v>
      </c>
      <c r="AC180" s="21">
        <v>0.943604</v>
      </c>
      <c r="AD180">
        <f t="shared" si="28"/>
        <v>11.282300000000001</v>
      </c>
      <c r="AE180">
        <f t="shared" si="29"/>
        <v>10.649464510700001</v>
      </c>
      <c r="AF180" s="9"/>
      <c r="AG180" s="21">
        <v>0.756073</v>
      </c>
      <c r="AH180" s="21">
        <v>507.31200000000001</v>
      </c>
      <c r="AI180" s="21">
        <v>-1.17584E-2</v>
      </c>
      <c r="AJ180" s="21">
        <v>170</v>
      </c>
      <c r="AK180" s="21">
        <v>0.75561500000000004</v>
      </c>
      <c r="AL180">
        <f t="shared" si="30"/>
        <v>11.7584</v>
      </c>
      <c r="AM180">
        <f t="shared" si="31"/>
        <v>8.8902087632000004</v>
      </c>
      <c r="AP180" s="9"/>
      <c r="AQ180" s="21">
        <v>0.943909</v>
      </c>
      <c r="AR180" s="21">
        <v>664.00099999999998</v>
      </c>
      <c r="AS180" s="21">
        <v>-1.1599699999999999E-2</v>
      </c>
      <c r="AT180" s="21">
        <v>170</v>
      </c>
      <c r="AU180" s="21">
        <v>0.94299299999999997</v>
      </c>
      <c r="AV180">
        <f t="shared" si="32"/>
        <v>11.599699999999999</v>
      </c>
      <c r="AW180">
        <f t="shared" si="33"/>
        <v>10.949061227299998</v>
      </c>
      <c r="AX180" s="9"/>
      <c r="AY180" s="21">
        <v>0.756073</v>
      </c>
      <c r="AZ180" s="21">
        <v>754.096</v>
      </c>
      <c r="BA180" s="21">
        <v>-1.19446E-2</v>
      </c>
      <c r="BB180" s="21">
        <v>170</v>
      </c>
      <c r="BC180" s="21">
        <v>0.75592000000000004</v>
      </c>
      <c r="BD180">
        <f t="shared" si="34"/>
        <v>11.944599999999999</v>
      </c>
      <c r="BE180">
        <f t="shared" si="35"/>
        <v>9.0309895557999997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160.58600000000001</v>
      </c>
      <c r="I181" s="21">
        <v>-1.14044E-2</v>
      </c>
      <c r="J181" s="21">
        <v>171</v>
      </c>
      <c r="K181" s="21">
        <v>0.937805</v>
      </c>
      <c r="L181">
        <f t="shared" si="24"/>
        <v>11.404400000000001</v>
      </c>
      <c r="M181">
        <f t="shared" si="25"/>
        <v>10.707283241200001</v>
      </c>
      <c r="N181" s="9"/>
      <c r="O181" s="21">
        <v>0.76110800000000001</v>
      </c>
      <c r="P181" s="21">
        <v>244.57</v>
      </c>
      <c r="Q181" s="21">
        <v>-1.16699E-2</v>
      </c>
      <c r="R181" s="21">
        <v>171</v>
      </c>
      <c r="S181" s="21">
        <v>0.76049800000000001</v>
      </c>
      <c r="T181">
        <f t="shared" si="26"/>
        <v>11.6699</v>
      </c>
      <c r="U181">
        <f t="shared" si="27"/>
        <v>8.8820542491999994</v>
      </c>
      <c r="X181" s="9"/>
      <c r="Y181" s="21">
        <v>0.93887299999999996</v>
      </c>
      <c r="Z181" s="21">
        <v>450.738</v>
      </c>
      <c r="AA181" s="21">
        <v>-1.12885E-2</v>
      </c>
      <c r="AB181" s="21">
        <v>171</v>
      </c>
      <c r="AC181" s="21">
        <v>0.937805</v>
      </c>
      <c r="AD181">
        <f t="shared" si="28"/>
        <v>11.288499999999999</v>
      </c>
      <c r="AE181">
        <f t="shared" si="29"/>
        <v>10.598467860499998</v>
      </c>
      <c r="AF181" s="9"/>
      <c r="AG181" s="21">
        <v>0.76110800000000001</v>
      </c>
      <c r="AH181" s="21">
        <v>507.41300000000001</v>
      </c>
      <c r="AI181" s="21">
        <v>-1.1761499999999999E-2</v>
      </c>
      <c r="AJ181" s="21">
        <v>171</v>
      </c>
      <c r="AK181" s="21">
        <v>0.76019300000000001</v>
      </c>
      <c r="AL181">
        <f t="shared" si="30"/>
        <v>11.7615</v>
      </c>
      <c r="AM181">
        <f t="shared" si="31"/>
        <v>8.951771742</v>
      </c>
      <c r="AP181" s="9"/>
      <c r="AQ181" s="21">
        <v>0.93887299999999996</v>
      </c>
      <c r="AR181" s="21">
        <v>664.101</v>
      </c>
      <c r="AS181" s="21">
        <v>-1.1605799999999999E-2</v>
      </c>
      <c r="AT181" s="21">
        <v>171</v>
      </c>
      <c r="AU181" s="21">
        <v>0.937805</v>
      </c>
      <c r="AV181">
        <f t="shared" si="32"/>
        <v>11.605799999999999</v>
      </c>
      <c r="AW181">
        <f t="shared" si="33"/>
        <v>10.896372263399998</v>
      </c>
      <c r="AX181" s="9"/>
      <c r="AY181" s="21">
        <v>0.76110800000000001</v>
      </c>
      <c r="AZ181" s="21">
        <v>754.197</v>
      </c>
      <c r="BA181" s="21">
        <v>-1.1938499999999999E-2</v>
      </c>
      <c r="BB181" s="21">
        <v>171</v>
      </c>
      <c r="BC181" s="21">
        <v>0.76080300000000001</v>
      </c>
      <c r="BD181">
        <f t="shared" si="34"/>
        <v>11.938499999999999</v>
      </c>
      <c r="BE181">
        <f t="shared" si="35"/>
        <v>9.0864878579999999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160.68600000000001</v>
      </c>
      <c r="I182" s="21">
        <v>-1.14044E-2</v>
      </c>
      <c r="J182" s="21">
        <v>172</v>
      </c>
      <c r="K182" s="21">
        <v>0.93322799999999995</v>
      </c>
      <c r="L182">
        <f t="shared" si="24"/>
        <v>11.404400000000001</v>
      </c>
      <c r="M182">
        <f t="shared" si="25"/>
        <v>10.649862087200001</v>
      </c>
      <c r="N182" s="9"/>
      <c r="O182" s="21">
        <v>0.76614400000000005</v>
      </c>
      <c r="P182" s="21">
        <v>244.67099999999999</v>
      </c>
      <c r="Q182" s="21">
        <v>-1.1666899999999999E-2</v>
      </c>
      <c r="R182" s="21">
        <v>172</v>
      </c>
      <c r="S182" s="21">
        <v>0.76568599999999998</v>
      </c>
      <c r="T182">
        <f t="shared" si="26"/>
        <v>11.666899999999998</v>
      </c>
      <c r="U182">
        <f t="shared" si="27"/>
        <v>8.9385254335999988</v>
      </c>
      <c r="X182" s="9"/>
      <c r="Y182" s="21">
        <v>0.93383799999999995</v>
      </c>
      <c r="Z182" s="21">
        <v>450.83800000000002</v>
      </c>
      <c r="AA182" s="21">
        <v>-1.12762E-2</v>
      </c>
      <c r="AB182" s="21">
        <v>172</v>
      </c>
      <c r="AC182" s="21">
        <v>0.93322799999999995</v>
      </c>
      <c r="AD182">
        <f t="shared" si="28"/>
        <v>11.276199999999999</v>
      </c>
      <c r="AE182">
        <f t="shared" si="29"/>
        <v>10.530144055599999</v>
      </c>
      <c r="AF182" s="9"/>
      <c r="AG182" s="21">
        <v>0.76614400000000005</v>
      </c>
      <c r="AH182" s="21">
        <v>507.51299999999998</v>
      </c>
      <c r="AI182" s="21">
        <v>-1.17523E-2</v>
      </c>
      <c r="AJ182" s="21">
        <v>172</v>
      </c>
      <c r="AK182" s="21">
        <v>0.76568599999999998</v>
      </c>
      <c r="AL182">
        <f t="shared" si="30"/>
        <v>11.7523</v>
      </c>
      <c r="AM182">
        <f t="shared" si="31"/>
        <v>9.0039541312000004</v>
      </c>
      <c r="AP182" s="9"/>
      <c r="AQ182" s="21">
        <v>0.93383799999999995</v>
      </c>
      <c r="AR182" s="21">
        <v>664.202</v>
      </c>
      <c r="AS182" s="21">
        <v>-1.1605799999999999E-2</v>
      </c>
      <c r="AT182" s="21">
        <v>172</v>
      </c>
      <c r="AU182" s="21">
        <v>0.93292200000000003</v>
      </c>
      <c r="AV182">
        <f t="shared" si="32"/>
        <v>11.605799999999999</v>
      </c>
      <c r="AW182">
        <f t="shared" si="33"/>
        <v>10.837937060399998</v>
      </c>
      <c r="AX182" s="9"/>
      <c r="AY182" s="21">
        <v>0.76614400000000005</v>
      </c>
      <c r="AZ182" s="21">
        <v>754.29700000000003</v>
      </c>
      <c r="BA182" s="21">
        <v>-1.1935400000000001E-2</v>
      </c>
      <c r="BB182" s="21">
        <v>172</v>
      </c>
      <c r="BC182" s="21">
        <v>0.76568599999999998</v>
      </c>
      <c r="BD182">
        <f t="shared" si="34"/>
        <v>11.935400000000001</v>
      </c>
      <c r="BE182">
        <f t="shared" si="35"/>
        <v>9.1442350976000011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160.78700000000001</v>
      </c>
      <c r="I183" s="21">
        <v>-1.1401400000000001E-2</v>
      </c>
      <c r="J183" s="21">
        <v>173</v>
      </c>
      <c r="K183" s="21">
        <v>0.92773399999999995</v>
      </c>
      <c r="L183">
        <f t="shared" si="24"/>
        <v>11.401400000000001</v>
      </c>
      <c r="M183">
        <f t="shared" si="25"/>
        <v>10.5896431228</v>
      </c>
      <c r="N183" s="9"/>
      <c r="O183" s="21">
        <v>0.77117899999999995</v>
      </c>
      <c r="P183" s="21">
        <v>244.77099999999999</v>
      </c>
      <c r="Q183" s="21">
        <v>-1.16577E-2</v>
      </c>
      <c r="R183" s="21">
        <v>173</v>
      </c>
      <c r="S183" s="21">
        <v>0.77087399999999995</v>
      </c>
      <c r="T183">
        <f t="shared" si="26"/>
        <v>11.6577</v>
      </c>
      <c r="U183">
        <f t="shared" si="27"/>
        <v>8.9901734283000003</v>
      </c>
      <c r="X183" s="9"/>
      <c r="Y183" s="21">
        <v>0.92880200000000002</v>
      </c>
      <c r="Z183" s="21">
        <v>450.93900000000002</v>
      </c>
      <c r="AA183" s="21">
        <v>-1.1279300000000001E-2</v>
      </c>
      <c r="AB183" s="21">
        <v>173</v>
      </c>
      <c r="AC183" s="21">
        <v>0.92803999999999998</v>
      </c>
      <c r="AD183">
        <f t="shared" si="28"/>
        <v>11.279300000000001</v>
      </c>
      <c r="AE183">
        <f t="shared" si="29"/>
        <v>10.476236398600001</v>
      </c>
      <c r="AF183" s="9"/>
      <c r="AG183" s="21">
        <v>0.77117899999999995</v>
      </c>
      <c r="AH183" s="21">
        <v>507.61399999999998</v>
      </c>
      <c r="AI183" s="21">
        <v>-1.1749300000000001E-2</v>
      </c>
      <c r="AJ183" s="21">
        <v>173</v>
      </c>
      <c r="AK183" s="21">
        <v>0.77087399999999995</v>
      </c>
      <c r="AL183">
        <f t="shared" si="30"/>
        <v>11.7493</v>
      </c>
      <c r="AM183">
        <f t="shared" si="31"/>
        <v>9.0608134246999992</v>
      </c>
      <c r="AP183" s="9"/>
      <c r="AQ183" s="21">
        <v>0.92880200000000002</v>
      </c>
      <c r="AR183" s="21">
        <v>664.303</v>
      </c>
      <c r="AS183" s="21">
        <v>-1.16241E-2</v>
      </c>
      <c r="AT183" s="21">
        <v>173</v>
      </c>
      <c r="AU183" s="21">
        <v>0.92803999999999998</v>
      </c>
      <c r="AV183">
        <f t="shared" si="32"/>
        <v>11.6241</v>
      </c>
      <c r="AW183">
        <f t="shared" si="33"/>
        <v>10.796487328200001</v>
      </c>
      <c r="AX183" s="9"/>
      <c r="AY183" s="21">
        <v>0.77117899999999995</v>
      </c>
      <c r="AZ183" s="21">
        <v>754.39800000000002</v>
      </c>
      <c r="BA183" s="21">
        <v>-1.19232E-2</v>
      </c>
      <c r="BB183" s="21">
        <v>173</v>
      </c>
      <c r="BC183" s="21">
        <v>0.77056899999999995</v>
      </c>
      <c r="BD183">
        <f t="shared" si="34"/>
        <v>11.9232</v>
      </c>
      <c r="BE183">
        <f t="shared" si="35"/>
        <v>9.1949214527999992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160.88800000000001</v>
      </c>
      <c r="I184" s="21">
        <v>-1.14044E-2</v>
      </c>
      <c r="J184" s="21">
        <v>174</v>
      </c>
      <c r="K184" s="21">
        <v>0.92346200000000001</v>
      </c>
      <c r="L184">
        <f t="shared" si="24"/>
        <v>11.404400000000001</v>
      </c>
      <c r="M184">
        <f t="shared" si="25"/>
        <v>10.5350083748</v>
      </c>
      <c r="N184" s="9"/>
      <c r="O184" s="21">
        <v>0.77621499999999999</v>
      </c>
      <c r="P184" s="21">
        <v>244.87200000000001</v>
      </c>
      <c r="Q184" s="21">
        <v>-1.16516E-2</v>
      </c>
      <c r="R184" s="21">
        <v>174</v>
      </c>
      <c r="S184" s="21">
        <v>0.775146</v>
      </c>
      <c r="T184">
        <f t="shared" si="26"/>
        <v>11.6516</v>
      </c>
      <c r="U184">
        <f t="shared" si="27"/>
        <v>9.0441466940000002</v>
      </c>
      <c r="X184" s="9"/>
      <c r="Y184" s="21">
        <v>0.923767</v>
      </c>
      <c r="Z184" s="21">
        <v>451.04</v>
      </c>
      <c r="AA184" s="21">
        <v>-1.12885E-2</v>
      </c>
      <c r="AB184" s="21">
        <v>174</v>
      </c>
      <c r="AC184" s="21">
        <v>0.92315700000000001</v>
      </c>
      <c r="AD184">
        <f t="shared" si="28"/>
        <v>11.288499999999999</v>
      </c>
      <c r="AE184">
        <f t="shared" si="29"/>
        <v>10.4279437795</v>
      </c>
      <c r="AF184" s="9"/>
      <c r="AG184" s="21">
        <v>0.77621499999999999</v>
      </c>
      <c r="AH184" s="21">
        <v>507.71499999999997</v>
      </c>
      <c r="AI184" s="21">
        <v>-1.1743200000000001E-2</v>
      </c>
      <c r="AJ184" s="21">
        <v>174</v>
      </c>
      <c r="AK184" s="21">
        <v>0.77545200000000003</v>
      </c>
      <c r="AL184">
        <f t="shared" si="30"/>
        <v>11.7432</v>
      </c>
      <c r="AM184">
        <f t="shared" si="31"/>
        <v>9.1152479880000001</v>
      </c>
      <c r="AP184" s="9"/>
      <c r="AQ184" s="21">
        <v>0.923767</v>
      </c>
      <c r="AR184" s="21">
        <v>664.40300000000002</v>
      </c>
      <c r="AS184" s="21">
        <v>-1.1621100000000001E-2</v>
      </c>
      <c r="AT184" s="21">
        <v>174</v>
      </c>
      <c r="AU184" s="21">
        <v>0.92315700000000001</v>
      </c>
      <c r="AV184">
        <f t="shared" si="32"/>
        <v>11.6211</v>
      </c>
      <c r="AW184">
        <f t="shared" si="33"/>
        <v>10.735188683700001</v>
      </c>
      <c r="AX184" s="9"/>
      <c r="AY184" s="21">
        <v>0.77621499999999999</v>
      </c>
      <c r="AZ184" s="21">
        <v>754.49900000000002</v>
      </c>
      <c r="BA184" s="21">
        <v>-1.19293E-2</v>
      </c>
      <c r="BB184" s="21">
        <v>174</v>
      </c>
      <c r="BC184" s="21">
        <v>0.77545200000000003</v>
      </c>
      <c r="BD184">
        <f t="shared" si="34"/>
        <v>11.9293</v>
      </c>
      <c r="BE184">
        <f t="shared" si="35"/>
        <v>9.2597015994999996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160.988</v>
      </c>
      <c r="I185" s="21">
        <v>-1.1410500000000001E-2</v>
      </c>
      <c r="J185" s="21">
        <v>175</v>
      </c>
      <c r="K185" s="21">
        <v>0.91857900000000003</v>
      </c>
      <c r="L185">
        <f t="shared" si="24"/>
        <v>11.410500000000001</v>
      </c>
      <c r="M185">
        <f t="shared" si="25"/>
        <v>10.483191486000001</v>
      </c>
      <c r="N185" s="9"/>
      <c r="O185" s="21">
        <v>0.78125</v>
      </c>
      <c r="P185" s="21">
        <v>244.97300000000001</v>
      </c>
      <c r="Q185" s="21">
        <v>-1.16486E-2</v>
      </c>
      <c r="R185" s="21">
        <v>175</v>
      </c>
      <c r="S185" s="21">
        <v>0.780945</v>
      </c>
      <c r="T185">
        <f t="shared" si="26"/>
        <v>11.6486</v>
      </c>
      <c r="U185">
        <f t="shared" si="27"/>
        <v>9.1004687499999992</v>
      </c>
      <c r="X185" s="9"/>
      <c r="Y185" s="21">
        <v>0.91873199999999999</v>
      </c>
      <c r="Z185" s="21">
        <v>451.14</v>
      </c>
      <c r="AA185" s="21">
        <v>-1.1291499999999999E-2</v>
      </c>
      <c r="AB185" s="21">
        <v>175</v>
      </c>
      <c r="AC185" s="21">
        <v>0.91796900000000003</v>
      </c>
      <c r="AD185">
        <f t="shared" si="28"/>
        <v>11.291499999999999</v>
      </c>
      <c r="AE185">
        <f t="shared" si="29"/>
        <v>10.373862377999998</v>
      </c>
      <c r="AF185" s="9"/>
      <c r="AG185" s="21">
        <v>0.78125</v>
      </c>
      <c r="AH185" s="21">
        <v>507.815</v>
      </c>
      <c r="AI185" s="21">
        <v>-1.17371E-2</v>
      </c>
      <c r="AJ185" s="21">
        <v>175</v>
      </c>
      <c r="AK185" s="21">
        <v>0.78033399999999997</v>
      </c>
      <c r="AL185">
        <f t="shared" si="30"/>
        <v>11.7371</v>
      </c>
      <c r="AM185">
        <f t="shared" si="31"/>
        <v>9.1696093750000003</v>
      </c>
      <c r="AP185" s="9"/>
      <c r="AQ185" s="21">
        <v>0.91873199999999999</v>
      </c>
      <c r="AR185" s="21">
        <v>664.50400000000002</v>
      </c>
      <c r="AS185" s="21">
        <v>-1.16241E-2</v>
      </c>
      <c r="AT185" s="21">
        <v>175</v>
      </c>
      <c r="AU185" s="21">
        <v>0.91888400000000003</v>
      </c>
      <c r="AV185">
        <f t="shared" si="32"/>
        <v>11.6241</v>
      </c>
      <c r="AW185">
        <f t="shared" si="33"/>
        <v>10.6794326412</v>
      </c>
      <c r="AX185" s="9"/>
      <c r="AY185" s="21">
        <v>0.78125</v>
      </c>
      <c r="AZ185" s="21">
        <v>754.6</v>
      </c>
      <c r="BA185" s="21">
        <v>-1.1926300000000001E-2</v>
      </c>
      <c r="BB185" s="21">
        <v>175</v>
      </c>
      <c r="BC185" s="21">
        <v>0.78125</v>
      </c>
      <c r="BD185">
        <f t="shared" si="34"/>
        <v>11.926300000000001</v>
      </c>
      <c r="BE185">
        <f t="shared" si="35"/>
        <v>9.3174218750000009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161.089</v>
      </c>
      <c r="I186" s="21">
        <v>-1.1413599999999999E-2</v>
      </c>
      <c r="J186" s="21">
        <v>176</v>
      </c>
      <c r="K186" s="21">
        <v>0.91308599999999995</v>
      </c>
      <c r="L186">
        <f t="shared" si="24"/>
        <v>11.413599999999999</v>
      </c>
      <c r="M186">
        <f t="shared" si="25"/>
        <v>10.428560665599999</v>
      </c>
      <c r="N186" s="9"/>
      <c r="O186" s="21">
        <v>0.78628500000000001</v>
      </c>
      <c r="P186" s="21">
        <v>245.07400000000001</v>
      </c>
      <c r="Q186" s="21">
        <v>-1.16486E-2</v>
      </c>
      <c r="R186" s="21">
        <v>176</v>
      </c>
      <c r="S186" s="21">
        <v>0.78552200000000005</v>
      </c>
      <c r="T186">
        <f t="shared" si="26"/>
        <v>11.6486</v>
      </c>
      <c r="U186">
        <f t="shared" si="27"/>
        <v>9.1591194510000005</v>
      </c>
      <c r="X186" s="9"/>
      <c r="Y186" s="21">
        <v>0.91369599999999995</v>
      </c>
      <c r="Z186" s="21">
        <v>451.24099999999999</v>
      </c>
      <c r="AA186" s="21">
        <v>-1.13007E-2</v>
      </c>
      <c r="AB186" s="21">
        <v>176</v>
      </c>
      <c r="AC186" s="21">
        <v>0.91339099999999995</v>
      </c>
      <c r="AD186">
        <f t="shared" si="28"/>
        <v>11.300700000000001</v>
      </c>
      <c r="AE186">
        <f t="shared" si="29"/>
        <v>10.325404387200001</v>
      </c>
      <c r="AF186" s="9"/>
      <c r="AG186" s="21">
        <v>0.78628500000000001</v>
      </c>
      <c r="AH186" s="21">
        <v>507.916</v>
      </c>
      <c r="AI186" s="21">
        <v>-1.1731E-2</v>
      </c>
      <c r="AJ186" s="21">
        <v>176</v>
      </c>
      <c r="AK186" s="21">
        <v>0.78613299999999997</v>
      </c>
      <c r="AL186">
        <f t="shared" si="30"/>
        <v>11.731</v>
      </c>
      <c r="AM186">
        <f t="shared" si="31"/>
        <v>9.2239093350000001</v>
      </c>
      <c r="AP186" s="9"/>
      <c r="AQ186" s="21">
        <v>0.91369599999999995</v>
      </c>
      <c r="AR186" s="21">
        <v>664.60500000000002</v>
      </c>
      <c r="AS186" s="21">
        <v>-1.16302E-2</v>
      </c>
      <c r="AT186" s="21">
        <v>176</v>
      </c>
      <c r="AU186" s="21">
        <v>0.91339099999999995</v>
      </c>
      <c r="AV186">
        <f t="shared" si="32"/>
        <v>11.6302</v>
      </c>
      <c r="AW186">
        <f t="shared" si="33"/>
        <v>10.6264672192</v>
      </c>
      <c r="AX186" s="9"/>
      <c r="AY186" s="21">
        <v>0.78628500000000001</v>
      </c>
      <c r="AZ186" s="21">
        <v>754.7</v>
      </c>
      <c r="BA186" s="21">
        <v>-1.19232E-2</v>
      </c>
      <c r="BB186" s="21">
        <v>176</v>
      </c>
      <c r="BC186" s="21">
        <v>0.78582799999999997</v>
      </c>
      <c r="BD186">
        <f t="shared" si="34"/>
        <v>11.9232</v>
      </c>
      <c r="BE186">
        <f t="shared" si="35"/>
        <v>9.3750333119999993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161.19</v>
      </c>
      <c r="I187" s="21">
        <v>-1.14197E-2</v>
      </c>
      <c r="J187" s="21">
        <v>177</v>
      </c>
      <c r="K187" s="21">
        <v>0.90759299999999998</v>
      </c>
      <c r="L187">
        <f t="shared" si="24"/>
        <v>11.419699999999999</v>
      </c>
      <c r="M187">
        <f t="shared" si="25"/>
        <v>10.3766360217</v>
      </c>
      <c r="N187" s="9"/>
      <c r="O187" s="21">
        <v>0.79132100000000005</v>
      </c>
      <c r="P187" s="21">
        <v>245.17400000000001</v>
      </c>
      <c r="Q187" s="21">
        <v>-1.16455E-2</v>
      </c>
      <c r="R187" s="21">
        <v>177</v>
      </c>
      <c r="S187" s="21">
        <v>0.79040500000000002</v>
      </c>
      <c r="T187">
        <f t="shared" si="26"/>
        <v>11.6455</v>
      </c>
      <c r="U187">
        <f t="shared" si="27"/>
        <v>9.215328705500001</v>
      </c>
      <c r="X187" s="9"/>
      <c r="Y187" s="21">
        <v>0.90866100000000005</v>
      </c>
      <c r="Z187" s="21">
        <v>451.34199999999998</v>
      </c>
      <c r="AA187" s="21">
        <v>-1.13007E-2</v>
      </c>
      <c r="AB187" s="21">
        <v>177</v>
      </c>
      <c r="AC187" s="21">
        <v>0.90789799999999998</v>
      </c>
      <c r="AD187">
        <f t="shared" si="28"/>
        <v>11.300700000000001</v>
      </c>
      <c r="AE187">
        <f t="shared" si="29"/>
        <v>10.268505362700001</v>
      </c>
      <c r="AF187" s="9"/>
      <c r="AG187" s="21">
        <v>0.79132100000000005</v>
      </c>
      <c r="AH187" s="21">
        <v>508.017</v>
      </c>
      <c r="AI187" s="21">
        <v>-1.1727899999999999E-2</v>
      </c>
      <c r="AJ187" s="21">
        <v>177</v>
      </c>
      <c r="AK187" s="21">
        <v>0.79132100000000005</v>
      </c>
      <c r="AL187">
        <f t="shared" si="30"/>
        <v>11.7279</v>
      </c>
      <c r="AM187">
        <f t="shared" si="31"/>
        <v>9.2805335559</v>
      </c>
      <c r="AP187" s="9"/>
      <c r="AQ187" s="21">
        <v>0.90866100000000005</v>
      </c>
      <c r="AR187" s="21">
        <v>664.70500000000004</v>
      </c>
      <c r="AS187" s="21">
        <v>-1.16486E-2</v>
      </c>
      <c r="AT187" s="21">
        <v>177</v>
      </c>
      <c r="AU187" s="21">
        <v>0.90850799999999998</v>
      </c>
      <c r="AV187">
        <f t="shared" si="32"/>
        <v>11.6486</v>
      </c>
      <c r="AW187">
        <f t="shared" si="33"/>
        <v>10.584628524600001</v>
      </c>
      <c r="AX187" s="9"/>
      <c r="AY187" s="21">
        <v>0.79132100000000005</v>
      </c>
      <c r="AZ187" s="21">
        <v>754.80100000000004</v>
      </c>
      <c r="BA187" s="21">
        <v>-1.19141E-2</v>
      </c>
      <c r="BB187" s="21">
        <v>177</v>
      </c>
      <c r="BC187" s="21">
        <v>0.79071000000000002</v>
      </c>
      <c r="BD187">
        <f t="shared" si="34"/>
        <v>11.914100000000001</v>
      </c>
      <c r="BE187">
        <f t="shared" si="35"/>
        <v>9.4278775261000014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161.291</v>
      </c>
      <c r="I188" s="21">
        <v>-1.1422699999999999E-2</v>
      </c>
      <c r="J188" s="21">
        <v>178</v>
      </c>
      <c r="K188" s="21">
        <v>0.90301500000000001</v>
      </c>
      <c r="L188">
        <f t="shared" si="24"/>
        <v>11.422699999999999</v>
      </c>
      <c r="M188">
        <f t="shared" si="25"/>
        <v>10.321837287499999</v>
      </c>
      <c r="N188" s="9"/>
      <c r="O188" s="21">
        <v>0.79635599999999995</v>
      </c>
      <c r="P188" s="21">
        <v>245.27500000000001</v>
      </c>
      <c r="Q188" s="21">
        <v>-1.16364E-2</v>
      </c>
      <c r="R188" s="21">
        <v>178</v>
      </c>
      <c r="S188" s="21">
        <v>0.79589799999999999</v>
      </c>
      <c r="T188">
        <f t="shared" si="26"/>
        <v>11.6364</v>
      </c>
      <c r="U188">
        <f t="shared" si="27"/>
        <v>9.2667169584</v>
      </c>
      <c r="X188" s="9"/>
      <c r="Y188" s="21">
        <v>0.90362500000000001</v>
      </c>
      <c r="Z188" s="21">
        <v>451.44299999999998</v>
      </c>
      <c r="AA188" s="21">
        <v>-1.13037E-2</v>
      </c>
      <c r="AB188" s="21">
        <v>178</v>
      </c>
      <c r="AC188" s="21">
        <v>0.90301500000000001</v>
      </c>
      <c r="AD188">
        <f t="shared" si="28"/>
        <v>11.303699999999999</v>
      </c>
      <c r="AE188">
        <f t="shared" si="29"/>
        <v>10.214305912499999</v>
      </c>
      <c r="AF188" s="9"/>
      <c r="AG188" s="21">
        <v>0.79635599999999995</v>
      </c>
      <c r="AH188" s="21">
        <v>508.11700000000002</v>
      </c>
      <c r="AI188" s="21">
        <v>-1.1721799999999999E-2</v>
      </c>
      <c r="AJ188" s="21">
        <v>178</v>
      </c>
      <c r="AK188" s="21">
        <v>0.79589799999999999</v>
      </c>
      <c r="AL188">
        <f t="shared" si="30"/>
        <v>11.7218</v>
      </c>
      <c r="AM188">
        <f t="shared" si="31"/>
        <v>9.3347257607999996</v>
      </c>
      <c r="AP188" s="9"/>
      <c r="AQ188" s="21">
        <v>0.90362500000000001</v>
      </c>
      <c r="AR188" s="21">
        <v>664.80600000000004</v>
      </c>
      <c r="AS188" s="21">
        <v>-1.16516E-2</v>
      </c>
      <c r="AT188" s="21">
        <v>178</v>
      </c>
      <c r="AU188" s="21">
        <v>0.90332000000000001</v>
      </c>
      <c r="AV188">
        <f t="shared" si="32"/>
        <v>11.6516</v>
      </c>
      <c r="AW188">
        <f t="shared" si="33"/>
        <v>10.528677050000001</v>
      </c>
      <c r="AX188" s="9"/>
      <c r="AY188" s="21">
        <v>0.79635599999999995</v>
      </c>
      <c r="AZ188" s="21">
        <v>754.90200000000004</v>
      </c>
      <c r="BA188" s="21">
        <v>-1.19049E-2</v>
      </c>
      <c r="BB188" s="21">
        <v>178</v>
      </c>
      <c r="BC188" s="21">
        <v>0.79620400000000002</v>
      </c>
      <c r="BD188">
        <f t="shared" si="34"/>
        <v>11.9049</v>
      </c>
      <c r="BE188">
        <f t="shared" si="35"/>
        <v>9.4805385443999999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161.39099999999999</v>
      </c>
      <c r="I189" s="21">
        <v>-1.14319E-2</v>
      </c>
      <c r="J189" s="21">
        <v>179</v>
      </c>
      <c r="K189" s="21">
        <v>0.89874299999999996</v>
      </c>
      <c r="L189">
        <f t="shared" si="24"/>
        <v>11.431900000000001</v>
      </c>
      <c r="M189">
        <f t="shared" si="25"/>
        <v>10.272591021</v>
      </c>
      <c r="N189" s="9"/>
      <c r="O189" s="21">
        <v>0.80139199999999999</v>
      </c>
      <c r="P189" s="21">
        <v>245.376</v>
      </c>
      <c r="Q189" s="21">
        <v>-1.1633299999999999E-2</v>
      </c>
      <c r="R189" s="21">
        <v>179</v>
      </c>
      <c r="S189" s="21">
        <v>0.80139199999999999</v>
      </c>
      <c r="T189">
        <f t="shared" si="26"/>
        <v>11.633299999999998</v>
      </c>
      <c r="U189">
        <f t="shared" si="27"/>
        <v>9.3228335535999989</v>
      </c>
      <c r="X189" s="9"/>
      <c r="Y189" s="21">
        <v>0.89859</v>
      </c>
      <c r="Z189" s="21">
        <v>451.54300000000001</v>
      </c>
      <c r="AA189" s="21">
        <v>-1.13098E-2</v>
      </c>
      <c r="AB189" s="21">
        <v>179</v>
      </c>
      <c r="AC189" s="21">
        <v>0.89782700000000004</v>
      </c>
      <c r="AD189">
        <f t="shared" si="28"/>
        <v>11.309799999999999</v>
      </c>
      <c r="AE189">
        <f t="shared" si="29"/>
        <v>10.162873181999998</v>
      </c>
      <c r="AF189" s="9"/>
      <c r="AG189" s="21">
        <v>0.80139199999999999</v>
      </c>
      <c r="AH189" s="21">
        <v>508.21800000000002</v>
      </c>
      <c r="AI189" s="21">
        <v>-1.1715700000000001E-2</v>
      </c>
      <c r="AJ189" s="21">
        <v>179</v>
      </c>
      <c r="AK189" s="21">
        <v>0.80047599999999997</v>
      </c>
      <c r="AL189">
        <f t="shared" si="30"/>
        <v>11.7157</v>
      </c>
      <c r="AM189">
        <f t="shared" si="31"/>
        <v>9.3888682544000002</v>
      </c>
      <c r="AP189" s="9"/>
      <c r="AQ189" s="21">
        <v>0.89859</v>
      </c>
      <c r="AR189" s="21">
        <v>664.90700000000004</v>
      </c>
      <c r="AS189" s="21">
        <v>-1.16577E-2</v>
      </c>
      <c r="AT189" s="21">
        <v>179</v>
      </c>
      <c r="AU189" s="21">
        <v>0.89813200000000004</v>
      </c>
      <c r="AV189">
        <f t="shared" si="32"/>
        <v>11.6577</v>
      </c>
      <c r="AW189">
        <f t="shared" si="33"/>
        <v>10.475492643000001</v>
      </c>
      <c r="AX189" s="9"/>
      <c r="AY189" s="21">
        <v>0.80139199999999999</v>
      </c>
      <c r="AZ189" s="21">
        <v>755.00199999999995</v>
      </c>
      <c r="BA189" s="21">
        <v>-1.19019E-2</v>
      </c>
      <c r="BB189" s="21">
        <v>179</v>
      </c>
      <c r="BC189" s="21">
        <v>0.80108599999999996</v>
      </c>
      <c r="BD189">
        <f t="shared" si="34"/>
        <v>11.901899999999999</v>
      </c>
      <c r="BE189">
        <f t="shared" si="35"/>
        <v>9.5380874448000004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161.49199999999999</v>
      </c>
      <c r="I190" s="21">
        <v>-1.14349E-2</v>
      </c>
      <c r="J190" s="21">
        <v>180</v>
      </c>
      <c r="K190" s="21">
        <v>0.89263899999999996</v>
      </c>
      <c r="L190">
        <f t="shared" si="24"/>
        <v>11.434899999999999</v>
      </c>
      <c r="M190">
        <f t="shared" si="25"/>
        <v>10.217712069499999</v>
      </c>
      <c r="N190" s="9"/>
      <c r="O190" s="21">
        <v>0.806427</v>
      </c>
      <c r="P190" s="21">
        <v>245.476</v>
      </c>
      <c r="Q190" s="21">
        <v>-1.1618E-2</v>
      </c>
      <c r="R190" s="21">
        <v>180</v>
      </c>
      <c r="S190" s="21">
        <v>0.80566400000000005</v>
      </c>
      <c r="T190">
        <f t="shared" si="26"/>
        <v>11.618</v>
      </c>
      <c r="U190">
        <f t="shared" si="27"/>
        <v>9.3690688860000009</v>
      </c>
      <c r="X190" s="9"/>
      <c r="Y190" s="21">
        <v>0.89355499999999999</v>
      </c>
      <c r="Z190" s="21">
        <v>451.64400000000001</v>
      </c>
      <c r="AA190" s="21">
        <v>-1.1318999999999999E-2</v>
      </c>
      <c r="AB190" s="21">
        <v>180</v>
      </c>
      <c r="AC190" s="21">
        <v>0.89294399999999996</v>
      </c>
      <c r="AD190">
        <f t="shared" si="28"/>
        <v>11.318999999999999</v>
      </c>
      <c r="AE190">
        <f t="shared" si="29"/>
        <v>10.114149045</v>
      </c>
      <c r="AF190" s="9"/>
      <c r="AG190" s="21">
        <v>0.806427</v>
      </c>
      <c r="AH190" s="21">
        <v>508.31900000000002</v>
      </c>
      <c r="AI190" s="21">
        <v>-1.17065E-2</v>
      </c>
      <c r="AJ190" s="21">
        <v>180</v>
      </c>
      <c r="AK190" s="21">
        <v>0.80596900000000005</v>
      </c>
      <c r="AL190">
        <f t="shared" si="30"/>
        <v>11.7065</v>
      </c>
      <c r="AM190">
        <f t="shared" si="31"/>
        <v>9.4404376755000001</v>
      </c>
      <c r="AP190" s="9"/>
      <c r="AQ190" s="21">
        <v>0.89355499999999999</v>
      </c>
      <c r="AR190" s="21">
        <v>665.00800000000004</v>
      </c>
      <c r="AS190" s="21">
        <v>-1.1660800000000001E-2</v>
      </c>
      <c r="AT190" s="21">
        <v>180</v>
      </c>
      <c r="AU190" s="21">
        <v>0.89263899999999996</v>
      </c>
      <c r="AV190">
        <f t="shared" si="32"/>
        <v>11.6608</v>
      </c>
      <c r="AW190">
        <f t="shared" si="33"/>
        <v>10.419566143999999</v>
      </c>
      <c r="AX190" s="9"/>
      <c r="AY190" s="21">
        <v>0.806427</v>
      </c>
      <c r="AZ190" s="21">
        <v>755.10299999999995</v>
      </c>
      <c r="BA190" s="21">
        <v>-1.1898799999999999E-2</v>
      </c>
      <c r="BB190" s="21">
        <v>180</v>
      </c>
      <c r="BC190" s="21">
        <v>0.80505400000000005</v>
      </c>
      <c r="BD190">
        <f t="shared" si="34"/>
        <v>11.8988</v>
      </c>
      <c r="BE190">
        <f t="shared" si="35"/>
        <v>9.5955135875999993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161.59299999999999</v>
      </c>
      <c r="I191" s="21">
        <v>-1.1438E-2</v>
      </c>
      <c r="J191" s="21">
        <v>181</v>
      </c>
      <c r="K191" s="21">
        <v>0.88806200000000002</v>
      </c>
      <c r="L191">
        <f t="shared" si="24"/>
        <v>11.438000000000001</v>
      </c>
      <c r="M191">
        <f t="shared" si="25"/>
        <v>10.162880321999999</v>
      </c>
      <c r="N191" s="9"/>
      <c r="O191" s="21">
        <v>0.81146200000000002</v>
      </c>
      <c r="P191" s="21">
        <v>245.577</v>
      </c>
      <c r="Q191" s="21">
        <v>-1.1615E-2</v>
      </c>
      <c r="R191" s="21">
        <v>181</v>
      </c>
      <c r="S191" s="21">
        <v>0.81054700000000002</v>
      </c>
      <c r="T191">
        <f t="shared" si="26"/>
        <v>11.615</v>
      </c>
      <c r="U191">
        <f t="shared" si="27"/>
        <v>9.4251311300000005</v>
      </c>
      <c r="X191" s="9"/>
      <c r="Y191" s="21">
        <v>0.88851899999999995</v>
      </c>
      <c r="Z191" s="21">
        <v>451.745</v>
      </c>
      <c r="AA191" s="21">
        <v>-1.13159E-2</v>
      </c>
      <c r="AB191" s="21">
        <v>181</v>
      </c>
      <c r="AC191" s="21">
        <v>0.88836700000000002</v>
      </c>
      <c r="AD191">
        <f t="shared" si="28"/>
        <v>11.315900000000001</v>
      </c>
      <c r="AE191">
        <f t="shared" si="29"/>
        <v>10.0543921521</v>
      </c>
      <c r="AF191" s="9"/>
      <c r="AG191" s="21">
        <v>0.81146200000000002</v>
      </c>
      <c r="AH191" s="21">
        <v>508.42</v>
      </c>
      <c r="AI191" s="21">
        <v>-1.17065E-2</v>
      </c>
      <c r="AJ191" s="21">
        <v>181</v>
      </c>
      <c r="AK191" s="21">
        <v>0.81115700000000002</v>
      </c>
      <c r="AL191">
        <f t="shared" si="30"/>
        <v>11.7065</v>
      </c>
      <c r="AM191">
        <f t="shared" si="31"/>
        <v>9.4993799029999995</v>
      </c>
      <c r="AP191" s="9"/>
      <c r="AQ191" s="21">
        <v>0.88851899999999995</v>
      </c>
      <c r="AR191" s="21">
        <v>665.10799999999995</v>
      </c>
      <c r="AS191" s="21">
        <v>-1.1672999999999999E-2</v>
      </c>
      <c r="AT191" s="21">
        <v>181</v>
      </c>
      <c r="AU191" s="21">
        <v>0.88745099999999999</v>
      </c>
      <c r="AV191">
        <f t="shared" si="32"/>
        <v>11.673</v>
      </c>
      <c r="AW191">
        <f t="shared" si="33"/>
        <v>10.371682286999999</v>
      </c>
      <c r="AX191" s="9"/>
      <c r="AY191" s="21">
        <v>0.81146200000000002</v>
      </c>
      <c r="AZ191" s="21">
        <v>755.20399999999995</v>
      </c>
      <c r="BA191" s="21">
        <v>-1.1898799999999999E-2</v>
      </c>
      <c r="BB191" s="21">
        <v>181</v>
      </c>
      <c r="BC191" s="21">
        <v>0.81115700000000002</v>
      </c>
      <c r="BD191">
        <f t="shared" si="34"/>
        <v>11.8988</v>
      </c>
      <c r="BE191">
        <f t="shared" si="35"/>
        <v>9.6554240456000002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161.69300000000001</v>
      </c>
      <c r="I192" s="21">
        <v>-1.1438E-2</v>
      </c>
      <c r="J192" s="21">
        <v>182</v>
      </c>
      <c r="K192" s="21">
        <v>0.88287400000000005</v>
      </c>
      <c r="L192">
        <f t="shared" si="24"/>
        <v>11.438000000000001</v>
      </c>
      <c r="M192">
        <f t="shared" si="25"/>
        <v>10.105289992000001</v>
      </c>
      <c r="N192" s="9"/>
      <c r="O192" s="21">
        <v>0.81649799999999995</v>
      </c>
      <c r="P192" s="21">
        <v>245.678</v>
      </c>
      <c r="Q192" s="21">
        <v>-1.1615E-2</v>
      </c>
      <c r="R192" s="21">
        <v>182</v>
      </c>
      <c r="S192" s="21">
        <v>0.81573499999999999</v>
      </c>
      <c r="T192">
        <f t="shared" si="26"/>
        <v>11.615</v>
      </c>
      <c r="U192">
        <f t="shared" si="27"/>
        <v>9.48362427</v>
      </c>
      <c r="X192" s="9"/>
      <c r="Y192" s="21">
        <v>0.88348400000000005</v>
      </c>
      <c r="Z192" s="21">
        <v>451.84500000000003</v>
      </c>
      <c r="AA192" s="21">
        <v>-1.1325099999999999E-2</v>
      </c>
      <c r="AB192" s="21">
        <v>182</v>
      </c>
      <c r="AC192" s="21">
        <v>0.88226300000000002</v>
      </c>
      <c r="AD192">
        <f t="shared" si="28"/>
        <v>11.325099999999999</v>
      </c>
      <c r="AE192">
        <f t="shared" si="29"/>
        <v>10.005544648399999</v>
      </c>
      <c r="AF192" s="9"/>
      <c r="AG192" s="21">
        <v>0.81649799999999995</v>
      </c>
      <c r="AH192" s="21">
        <v>508.52</v>
      </c>
      <c r="AI192" s="21">
        <v>-1.17035E-2</v>
      </c>
      <c r="AJ192" s="21">
        <v>182</v>
      </c>
      <c r="AK192" s="21">
        <v>0.81603999999999999</v>
      </c>
      <c r="AL192">
        <f t="shared" si="30"/>
        <v>11.7035</v>
      </c>
      <c r="AM192">
        <f t="shared" si="31"/>
        <v>9.5558843429999989</v>
      </c>
      <c r="AP192" s="9"/>
      <c r="AQ192" s="21">
        <v>0.88348400000000005</v>
      </c>
      <c r="AR192" s="21">
        <v>665.20899999999995</v>
      </c>
      <c r="AS192" s="21">
        <v>-1.16791E-2</v>
      </c>
      <c r="AT192" s="21">
        <v>182</v>
      </c>
      <c r="AU192" s="21">
        <v>0.88256800000000002</v>
      </c>
      <c r="AV192">
        <f t="shared" si="32"/>
        <v>11.6791</v>
      </c>
      <c r="AW192">
        <f t="shared" si="33"/>
        <v>10.318297984400001</v>
      </c>
      <c r="AX192" s="9"/>
      <c r="AY192" s="21">
        <v>0.81649799999999995</v>
      </c>
      <c r="AZ192" s="21">
        <v>755.30499999999995</v>
      </c>
      <c r="BA192" s="21">
        <v>-1.1892700000000001E-2</v>
      </c>
      <c r="BB192" s="21">
        <v>182</v>
      </c>
      <c r="BC192" s="21">
        <v>0.81634499999999999</v>
      </c>
      <c r="BD192">
        <f t="shared" si="34"/>
        <v>11.892700000000001</v>
      </c>
      <c r="BE192">
        <f t="shared" si="35"/>
        <v>9.7103657646000006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161.79400000000001</v>
      </c>
      <c r="I193" s="21">
        <v>-1.1441E-2</v>
      </c>
      <c r="J193" s="21">
        <v>183</v>
      </c>
      <c r="K193" s="21">
        <v>0.87799099999999997</v>
      </c>
      <c r="L193">
        <f t="shared" si="24"/>
        <v>11.440999999999999</v>
      </c>
      <c r="M193">
        <f t="shared" si="25"/>
        <v>10.050323568</v>
      </c>
      <c r="N193" s="9"/>
      <c r="O193" s="21">
        <v>0.82153299999999996</v>
      </c>
      <c r="P193" s="21">
        <v>245.77799999999999</v>
      </c>
      <c r="Q193" s="21">
        <v>-1.16089E-2</v>
      </c>
      <c r="R193" s="21">
        <v>183</v>
      </c>
      <c r="S193" s="21">
        <v>0.82153299999999996</v>
      </c>
      <c r="T193">
        <f t="shared" si="26"/>
        <v>11.6089</v>
      </c>
      <c r="U193">
        <f t="shared" si="27"/>
        <v>9.5370944436999991</v>
      </c>
      <c r="X193" s="9"/>
      <c r="Y193" s="21">
        <v>0.87844800000000001</v>
      </c>
      <c r="Z193" s="21">
        <v>451.94600000000003</v>
      </c>
      <c r="AA193" s="21">
        <v>-1.1325099999999999E-2</v>
      </c>
      <c r="AB193" s="21">
        <v>183</v>
      </c>
      <c r="AC193" s="21">
        <v>0.87799099999999997</v>
      </c>
      <c r="AD193">
        <f t="shared" si="28"/>
        <v>11.325099999999999</v>
      </c>
      <c r="AE193">
        <f t="shared" si="29"/>
        <v>9.9485114447999994</v>
      </c>
      <c r="AF193" s="9"/>
      <c r="AG193" s="21">
        <v>0.82153299999999996</v>
      </c>
      <c r="AH193" s="21">
        <v>508.62099999999998</v>
      </c>
      <c r="AI193" s="21">
        <v>-1.16974E-2</v>
      </c>
      <c r="AJ193" s="21">
        <v>183</v>
      </c>
      <c r="AK193" s="21">
        <v>0.82092299999999996</v>
      </c>
      <c r="AL193">
        <f t="shared" si="30"/>
        <v>11.6974</v>
      </c>
      <c r="AM193">
        <f t="shared" si="31"/>
        <v>9.6098001141999987</v>
      </c>
      <c r="AP193" s="9"/>
      <c r="AQ193" s="21">
        <v>0.87844800000000001</v>
      </c>
      <c r="AR193" s="21">
        <v>665.31</v>
      </c>
      <c r="AS193" s="21">
        <v>-1.1682100000000001E-2</v>
      </c>
      <c r="AT193" s="21">
        <v>183</v>
      </c>
      <c r="AU193" s="21">
        <v>0.87738000000000005</v>
      </c>
      <c r="AV193">
        <f t="shared" si="32"/>
        <v>11.6821</v>
      </c>
      <c r="AW193">
        <f t="shared" si="33"/>
        <v>10.262117380799999</v>
      </c>
      <c r="AX193" s="9"/>
      <c r="AY193" s="21">
        <v>0.82153299999999996</v>
      </c>
      <c r="AZ193" s="21">
        <v>755.40499999999997</v>
      </c>
      <c r="BA193" s="21">
        <v>-1.18805E-2</v>
      </c>
      <c r="BB193" s="21">
        <v>183</v>
      </c>
      <c r="BC193" s="21">
        <v>0.82122799999999996</v>
      </c>
      <c r="BD193">
        <f t="shared" si="34"/>
        <v>11.8805</v>
      </c>
      <c r="BE193">
        <f t="shared" si="35"/>
        <v>9.7602228064999998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161.89500000000001</v>
      </c>
      <c r="I194" s="21">
        <v>-1.14441E-2</v>
      </c>
      <c r="J194" s="21">
        <v>184</v>
      </c>
      <c r="K194" s="21">
        <v>0.872803</v>
      </c>
      <c r="L194">
        <f t="shared" si="24"/>
        <v>11.444100000000001</v>
      </c>
      <c r="M194">
        <f t="shared" si="25"/>
        <v>9.9954257133000013</v>
      </c>
      <c r="N194" s="9"/>
      <c r="O194" s="21">
        <v>0.826569</v>
      </c>
      <c r="P194" s="21">
        <v>245.87899999999999</v>
      </c>
      <c r="Q194" s="21">
        <v>-1.1605799999999999E-2</v>
      </c>
      <c r="R194" s="21">
        <v>184</v>
      </c>
      <c r="S194" s="21">
        <v>0.82611100000000004</v>
      </c>
      <c r="T194">
        <f t="shared" si="26"/>
        <v>11.605799999999999</v>
      </c>
      <c r="U194">
        <f t="shared" si="27"/>
        <v>9.5929945001999997</v>
      </c>
      <c r="X194" s="9"/>
      <c r="Y194" s="21">
        <v>0.87341299999999999</v>
      </c>
      <c r="Z194" s="21">
        <v>452.04700000000003</v>
      </c>
      <c r="AA194" s="21">
        <v>-1.1325099999999999E-2</v>
      </c>
      <c r="AB194" s="21">
        <v>184</v>
      </c>
      <c r="AC194" s="21">
        <v>0.873108</v>
      </c>
      <c r="AD194">
        <f t="shared" si="28"/>
        <v>11.325099999999999</v>
      </c>
      <c r="AE194">
        <f t="shared" si="29"/>
        <v>9.8914895662999989</v>
      </c>
      <c r="AF194" s="9"/>
      <c r="AG194" s="21">
        <v>0.826569</v>
      </c>
      <c r="AH194" s="21">
        <v>508.72199999999998</v>
      </c>
      <c r="AI194" s="21">
        <v>-1.17004E-2</v>
      </c>
      <c r="AJ194" s="21">
        <v>184</v>
      </c>
      <c r="AK194" s="21">
        <v>0.82580600000000004</v>
      </c>
      <c r="AL194">
        <f t="shared" si="30"/>
        <v>11.7004</v>
      </c>
      <c r="AM194">
        <f t="shared" si="31"/>
        <v>9.6711879276000001</v>
      </c>
      <c r="AP194" s="9"/>
      <c r="AQ194" s="21">
        <v>0.87341299999999999</v>
      </c>
      <c r="AR194" s="21">
        <v>665.41</v>
      </c>
      <c r="AS194" s="21">
        <v>-1.16913E-2</v>
      </c>
      <c r="AT194" s="21">
        <v>184</v>
      </c>
      <c r="AU194" s="21">
        <v>0.873108</v>
      </c>
      <c r="AV194">
        <f t="shared" si="32"/>
        <v>11.6913</v>
      </c>
      <c r="AW194">
        <f t="shared" si="33"/>
        <v>10.2113334069</v>
      </c>
      <c r="AX194" s="9"/>
      <c r="AY194" s="21">
        <v>0.826569</v>
      </c>
      <c r="AZ194" s="21">
        <v>755.50599999999997</v>
      </c>
      <c r="BA194" s="21">
        <v>-1.18774E-2</v>
      </c>
      <c r="BB194" s="21">
        <v>184</v>
      </c>
      <c r="BC194" s="21">
        <v>0.82641600000000004</v>
      </c>
      <c r="BD194">
        <f t="shared" si="34"/>
        <v>11.8774</v>
      </c>
      <c r="BE194">
        <f t="shared" si="35"/>
        <v>9.8174906405999991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161.995</v>
      </c>
      <c r="I195" s="21">
        <v>-1.14532E-2</v>
      </c>
      <c r="J195" s="21">
        <v>185</v>
      </c>
      <c r="K195" s="21">
        <v>0.86731000000000003</v>
      </c>
      <c r="L195">
        <f t="shared" si="24"/>
        <v>11.453200000000001</v>
      </c>
      <c r="M195">
        <f t="shared" si="25"/>
        <v>9.9457069096000001</v>
      </c>
      <c r="N195" s="9"/>
      <c r="O195" s="21">
        <v>0.83160400000000001</v>
      </c>
      <c r="P195" s="21">
        <v>245.98</v>
      </c>
      <c r="Q195" s="21">
        <v>-1.16028E-2</v>
      </c>
      <c r="R195" s="21">
        <v>185</v>
      </c>
      <c r="S195" s="21">
        <v>0.83129900000000001</v>
      </c>
      <c r="T195">
        <f t="shared" si="26"/>
        <v>11.6028</v>
      </c>
      <c r="U195">
        <f t="shared" si="27"/>
        <v>9.6489348911999997</v>
      </c>
      <c r="X195" s="9"/>
      <c r="Y195" s="21">
        <v>0.86837799999999998</v>
      </c>
      <c r="Z195" s="21">
        <v>452.14800000000002</v>
      </c>
      <c r="AA195" s="21">
        <v>-1.1328100000000001E-2</v>
      </c>
      <c r="AB195" s="21">
        <v>185</v>
      </c>
      <c r="AC195" s="21">
        <v>0.86761500000000003</v>
      </c>
      <c r="AD195">
        <f t="shared" si="28"/>
        <v>11.328100000000001</v>
      </c>
      <c r="AE195">
        <f t="shared" si="29"/>
        <v>9.8370728218000014</v>
      </c>
      <c r="AF195" s="9"/>
      <c r="AG195" s="21">
        <v>0.83160400000000001</v>
      </c>
      <c r="AH195" s="21">
        <v>508.822</v>
      </c>
      <c r="AI195" s="21">
        <v>-1.1694299999999999E-2</v>
      </c>
      <c r="AJ195" s="21">
        <v>185</v>
      </c>
      <c r="AK195" s="21">
        <v>0.83099400000000001</v>
      </c>
      <c r="AL195">
        <f t="shared" si="30"/>
        <v>11.6943</v>
      </c>
      <c r="AM195">
        <f t="shared" si="31"/>
        <v>9.7250266572000008</v>
      </c>
      <c r="AP195" s="9"/>
      <c r="AQ195" s="21">
        <v>0.86837799999999998</v>
      </c>
      <c r="AR195" s="21">
        <v>665.51099999999997</v>
      </c>
      <c r="AS195" s="21">
        <v>-1.1694299999999999E-2</v>
      </c>
      <c r="AT195" s="21">
        <v>185</v>
      </c>
      <c r="AU195" s="21">
        <v>0.86822500000000002</v>
      </c>
      <c r="AV195">
        <f t="shared" si="32"/>
        <v>11.6943</v>
      </c>
      <c r="AW195">
        <f t="shared" si="33"/>
        <v>10.155072845399999</v>
      </c>
      <c r="AX195" s="9"/>
      <c r="AY195" s="21">
        <v>0.83160400000000001</v>
      </c>
      <c r="AZ195" s="21">
        <v>755.60699999999997</v>
      </c>
      <c r="BA195" s="21">
        <v>-1.18683E-2</v>
      </c>
      <c r="BB195" s="21">
        <v>185</v>
      </c>
      <c r="BC195" s="21">
        <v>0.83099400000000001</v>
      </c>
      <c r="BD195">
        <f t="shared" si="34"/>
        <v>11.8683</v>
      </c>
      <c r="BE195">
        <f t="shared" si="35"/>
        <v>9.8697257531999991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162.096</v>
      </c>
      <c r="I196" s="21">
        <v>-1.1456300000000001E-2</v>
      </c>
      <c r="J196" s="21">
        <v>186</v>
      </c>
      <c r="K196" s="21">
        <v>0.86273200000000005</v>
      </c>
      <c r="L196">
        <f t="shared" si="24"/>
        <v>11.456300000000001</v>
      </c>
      <c r="M196">
        <f t="shared" si="25"/>
        <v>9.8907049546000003</v>
      </c>
      <c r="N196" s="9"/>
      <c r="O196" s="21">
        <v>0.83663900000000002</v>
      </c>
      <c r="P196" s="21">
        <v>246.08099999999999</v>
      </c>
      <c r="Q196" s="21">
        <v>-1.15906E-2</v>
      </c>
      <c r="R196" s="21">
        <v>186</v>
      </c>
      <c r="S196" s="21">
        <v>0.83618199999999998</v>
      </c>
      <c r="T196">
        <f t="shared" si="26"/>
        <v>11.5906</v>
      </c>
      <c r="U196">
        <f t="shared" si="27"/>
        <v>9.6971479933999998</v>
      </c>
      <c r="X196" s="9"/>
      <c r="Y196" s="21">
        <v>0.86334200000000005</v>
      </c>
      <c r="Z196" s="21">
        <v>452.24799999999999</v>
      </c>
      <c r="AA196" s="21">
        <v>-1.13464E-2</v>
      </c>
      <c r="AB196" s="21">
        <v>186</v>
      </c>
      <c r="AC196" s="21">
        <v>0.86242700000000005</v>
      </c>
      <c r="AD196">
        <f t="shared" si="28"/>
        <v>11.346399999999999</v>
      </c>
      <c r="AE196">
        <f t="shared" si="29"/>
        <v>9.7958236688000007</v>
      </c>
      <c r="AF196" s="9"/>
      <c r="AG196" s="21">
        <v>0.83663900000000002</v>
      </c>
      <c r="AH196" s="21">
        <v>508.923</v>
      </c>
      <c r="AI196" s="21">
        <v>-1.1688199999999999E-2</v>
      </c>
      <c r="AJ196" s="21">
        <v>186</v>
      </c>
      <c r="AK196" s="21">
        <v>0.83618199999999998</v>
      </c>
      <c r="AL196">
        <f t="shared" si="30"/>
        <v>11.6882</v>
      </c>
      <c r="AM196">
        <f t="shared" si="31"/>
        <v>9.7788039598000012</v>
      </c>
      <c r="AP196" s="9"/>
      <c r="AQ196" s="21">
        <v>0.86334200000000005</v>
      </c>
      <c r="AR196" s="21">
        <v>665.61199999999997</v>
      </c>
      <c r="AS196" s="21">
        <v>-1.17004E-2</v>
      </c>
      <c r="AT196" s="21">
        <v>186</v>
      </c>
      <c r="AU196" s="21">
        <v>0.86242700000000005</v>
      </c>
      <c r="AV196">
        <f t="shared" si="32"/>
        <v>11.7004</v>
      </c>
      <c r="AW196">
        <f t="shared" si="33"/>
        <v>10.101446736800002</v>
      </c>
      <c r="AX196" s="9"/>
      <c r="AY196" s="21">
        <v>0.83663900000000002</v>
      </c>
      <c r="AZ196" s="21">
        <v>755.70699999999999</v>
      </c>
      <c r="BA196" s="21">
        <v>-1.1865199999999999E-2</v>
      </c>
      <c r="BB196" s="21">
        <v>186</v>
      </c>
      <c r="BC196" s="21">
        <v>0.83587599999999995</v>
      </c>
      <c r="BD196">
        <f t="shared" si="34"/>
        <v>11.8652</v>
      </c>
      <c r="BE196">
        <f t="shared" si="35"/>
        <v>9.9268890628000008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162.197</v>
      </c>
      <c r="I197" s="21">
        <v>-1.14716E-2</v>
      </c>
      <c r="J197" s="21">
        <v>187</v>
      </c>
      <c r="K197" s="21">
        <v>0.85815399999999997</v>
      </c>
      <c r="L197">
        <f t="shared" si="24"/>
        <v>11.4716</v>
      </c>
      <c r="M197">
        <f t="shared" si="25"/>
        <v>9.8461545812000004</v>
      </c>
      <c r="N197" s="9"/>
      <c r="O197" s="21">
        <v>0.84167499999999995</v>
      </c>
      <c r="P197" s="21">
        <v>246.18100000000001</v>
      </c>
      <c r="Q197" s="21">
        <v>-1.1584499999999999E-2</v>
      </c>
      <c r="R197" s="21">
        <v>187</v>
      </c>
      <c r="S197" s="21">
        <v>0.84136999999999995</v>
      </c>
      <c r="T197">
        <f t="shared" si="26"/>
        <v>11.584499999999998</v>
      </c>
      <c r="U197">
        <f t="shared" si="27"/>
        <v>9.7503840374999982</v>
      </c>
      <c r="X197" s="9"/>
      <c r="Y197" s="21">
        <v>0.85830700000000004</v>
      </c>
      <c r="Z197" s="21">
        <v>452.34899999999999</v>
      </c>
      <c r="AA197" s="21">
        <v>-1.13495E-2</v>
      </c>
      <c r="AB197" s="21">
        <v>187</v>
      </c>
      <c r="AC197" s="21">
        <v>0.85754399999999997</v>
      </c>
      <c r="AD197">
        <f t="shared" si="28"/>
        <v>11.349500000000001</v>
      </c>
      <c r="AE197">
        <f t="shared" si="29"/>
        <v>9.7413552965000019</v>
      </c>
      <c r="AF197" s="9"/>
      <c r="AG197" s="21">
        <v>0.84167499999999995</v>
      </c>
      <c r="AH197" s="21">
        <v>509.024</v>
      </c>
      <c r="AI197" s="21">
        <v>-1.16852E-2</v>
      </c>
      <c r="AJ197" s="21">
        <v>187</v>
      </c>
      <c r="AK197" s="21">
        <v>0.84075900000000003</v>
      </c>
      <c r="AL197">
        <f t="shared" si="30"/>
        <v>11.6852</v>
      </c>
      <c r="AM197">
        <f t="shared" si="31"/>
        <v>9.8351407099999992</v>
      </c>
      <c r="AP197" s="9"/>
      <c r="AQ197" s="21">
        <v>0.85830700000000004</v>
      </c>
      <c r="AR197" s="21">
        <v>665.71299999999997</v>
      </c>
      <c r="AS197" s="21">
        <v>-1.16974E-2</v>
      </c>
      <c r="AT197" s="21">
        <v>187</v>
      </c>
      <c r="AU197" s="21">
        <v>0.85784899999999997</v>
      </c>
      <c r="AV197">
        <f t="shared" si="32"/>
        <v>11.6974</v>
      </c>
      <c r="AW197">
        <f t="shared" si="33"/>
        <v>10.039960301800001</v>
      </c>
      <c r="AX197" s="9"/>
      <c r="AY197" s="21">
        <v>0.84167499999999995</v>
      </c>
      <c r="AZ197" s="21">
        <v>755.80799999999999</v>
      </c>
      <c r="BA197" s="21">
        <v>-1.1865199999999999E-2</v>
      </c>
      <c r="BB197" s="21">
        <v>187</v>
      </c>
      <c r="BC197" s="21">
        <v>0.84106400000000003</v>
      </c>
      <c r="BD197">
        <f t="shared" si="34"/>
        <v>11.8652</v>
      </c>
      <c r="BE197">
        <f t="shared" si="35"/>
        <v>9.9866422099999994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162.298</v>
      </c>
      <c r="I198" s="21">
        <v>-1.14655E-2</v>
      </c>
      <c r="J198" s="21">
        <v>188</v>
      </c>
      <c r="K198" s="21">
        <v>0.852661</v>
      </c>
      <c r="L198">
        <f t="shared" si="24"/>
        <v>11.4655</v>
      </c>
      <c r="M198">
        <f t="shared" si="25"/>
        <v>9.7831786505</v>
      </c>
      <c r="N198" s="9"/>
      <c r="O198" s="21">
        <v>0.84670999999999996</v>
      </c>
      <c r="P198" s="21">
        <v>246.28200000000001</v>
      </c>
      <c r="Q198" s="21">
        <v>-1.15814E-2</v>
      </c>
      <c r="R198" s="21">
        <v>188</v>
      </c>
      <c r="S198" s="21">
        <v>0.845947</v>
      </c>
      <c r="T198">
        <f t="shared" si="26"/>
        <v>11.5814</v>
      </c>
      <c r="U198">
        <f t="shared" si="27"/>
        <v>9.8060871939999998</v>
      </c>
      <c r="X198" s="9"/>
      <c r="Y198" s="21">
        <v>0.853271</v>
      </c>
      <c r="Z198" s="21">
        <v>452.45</v>
      </c>
      <c r="AA198" s="21">
        <v>-1.13434E-2</v>
      </c>
      <c r="AB198" s="21">
        <v>188</v>
      </c>
      <c r="AC198" s="21">
        <v>0.852966</v>
      </c>
      <c r="AD198">
        <f t="shared" si="28"/>
        <v>11.343400000000001</v>
      </c>
      <c r="AE198">
        <f t="shared" si="29"/>
        <v>9.6789942614000015</v>
      </c>
      <c r="AF198" s="9"/>
      <c r="AG198" s="21">
        <v>0.84670999999999996</v>
      </c>
      <c r="AH198" s="21">
        <v>509.125</v>
      </c>
      <c r="AI198" s="21">
        <v>-1.16791E-2</v>
      </c>
      <c r="AJ198" s="21">
        <v>188</v>
      </c>
      <c r="AK198" s="21">
        <v>0.84655800000000003</v>
      </c>
      <c r="AL198">
        <f t="shared" si="30"/>
        <v>11.6791</v>
      </c>
      <c r="AM198">
        <f t="shared" si="31"/>
        <v>9.8888107610000002</v>
      </c>
      <c r="AP198" s="9"/>
      <c r="AQ198" s="21">
        <v>0.853271</v>
      </c>
      <c r="AR198" s="21">
        <v>665.81299999999999</v>
      </c>
      <c r="AS198" s="21">
        <v>-1.17035E-2</v>
      </c>
      <c r="AT198" s="21">
        <v>188</v>
      </c>
      <c r="AU198" s="21">
        <v>0.852356</v>
      </c>
      <c r="AV198">
        <f t="shared" si="32"/>
        <v>11.7035</v>
      </c>
      <c r="AW198">
        <f t="shared" si="33"/>
        <v>9.9862571485</v>
      </c>
      <c r="AX198" s="9"/>
      <c r="AY198" s="21">
        <v>0.84670999999999996</v>
      </c>
      <c r="AZ198" s="21">
        <v>755.90899999999999</v>
      </c>
      <c r="BA198" s="21">
        <v>-1.18561E-2</v>
      </c>
      <c r="BB198" s="21">
        <v>188</v>
      </c>
      <c r="BC198" s="21">
        <v>0.845947</v>
      </c>
      <c r="BD198">
        <f t="shared" si="34"/>
        <v>11.8561</v>
      </c>
      <c r="BE198">
        <f t="shared" si="35"/>
        <v>10.038678430999999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162.398</v>
      </c>
      <c r="I199" s="21">
        <v>-1.14746E-2</v>
      </c>
      <c r="J199" s="21">
        <v>189</v>
      </c>
      <c r="K199" s="21">
        <v>0.84777800000000003</v>
      </c>
      <c r="L199">
        <f t="shared" si="24"/>
        <v>11.474600000000001</v>
      </c>
      <c r="M199">
        <f t="shared" si="25"/>
        <v>9.7331688056000001</v>
      </c>
      <c r="N199" s="9"/>
      <c r="O199" s="21">
        <v>0.851746</v>
      </c>
      <c r="P199" s="21">
        <v>246.38300000000001</v>
      </c>
      <c r="Q199" s="21">
        <v>-1.15692E-2</v>
      </c>
      <c r="R199" s="21">
        <v>189</v>
      </c>
      <c r="S199" s="21">
        <v>0.85082999999999998</v>
      </c>
      <c r="T199">
        <f t="shared" si="26"/>
        <v>11.5692</v>
      </c>
      <c r="U199">
        <f t="shared" si="27"/>
        <v>9.8540198231999998</v>
      </c>
      <c r="X199" s="9"/>
      <c r="Y199" s="21">
        <v>0.84823599999999999</v>
      </c>
      <c r="Z199" s="21">
        <v>452.55</v>
      </c>
      <c r="AA199" s="21">
        <v>-1.13464E-2</v>
      </c>
      <c r="AB199" s="21">
        <v>189</v>
      </c>
      <c r="AC199" s="21">
        <v>0.84777800000000003</v>
      </c>
      <c r="AD199">
        <f t="shared" si="28"/>
        <v>11.346399999999999</v>
      </c>
      <c r="AE199">
        <f t="shared" si="29"/>
        <v>9.6244249503999999</v>
      </c>
      <c r="AF199" s="9"/>
      <c r="AG199" s="21">
        <v>0.851746</v>
      </c>
      <c r="AH199" s="21">
        <v>509.22500000000002</v>
      </c>
      <c r="AI199" s="21">
        <v>-1.1676000000000001E-2</v>
      </c>
      <c r="AJ199" s="21">
        <v>189</v>
      </c>
      <c r="AK199" s="21">
        <v>0.85082999999999998</v>
      </c>
      <c r="AL199">
        <f t="shared" si="30"/>
        <v>11.676</v>
      </c>
      <c r="AM199">
        <f t="shared" si="31"/>
        <v>9.9449862959999997</v>
      </c>
      <c r="AP199" s="9"/>
      <c r="AQ199" s="21">
        <v>0.84823599999999999</v>
      </c>
      <c r="AR199" s="21">
        <v>665.91399999999999</v>
      </c>
      <c r="AS199" s="21">
        <v>-1.17065E-2</v>
      </c>
      <c r="AT199" s="21">
        <v>189</v>
      </c>
      <c r="AU199" s="21">
        <v>0.84808300000000003</v>
      </c>
      <c r="AV199">
        <f t="shared" si="32"/>
        <v>11.7065</v>
      </c>
      <c r="AW199">
        <f t="shared" si="33"/>
        <v>9.9298747340000002</v>
      </c>
      <c r="AX199" s="9"/>
      <c r="AY199" s="21">
        <v>0.851746</v>
      </c>
      <c r="AZ199" s="21">
        <v>756.00900000000001</v>
      </c>
      <c r="BA199" s="21">
        <v>-1.1849999999999999E-2</v>
      </c>
      <c r="BB199" s="21">
        <v>189</v>
      </c>
      <c r="BC199" s="21">
        <v>0.85143999999999997</v>
      </c>
      <c r="BD199">
        <f t="shared" si="34"/>
        <v>11.85</v>
      </c>
      <c r="BE199">
        <f t="shared" si="35"/>
        <v>10.093190099999999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162.499</v>
      </c>
      <c r="I200" s="21">
        <v>-1.1489900000000001E-2</v>
      </c>
      <c r="J200" s="21">
        <v>190</v>
      </c>
      <c r="K200" s="21">
        <v>0.84258999999999995</v>
      </c>
      <c r="L200">
        <f t="shared" si="24"/>
        <v>11.4899</v>
      </c>
      <c r="M200">
        <f t="shared" si="25"/>
        <v>9.6882951698999999</v>
      </c>
      <c r="N200" s="9"/>
      <c r="O200" s="21">
        <v>0.85678100000000001</v>
      </c>
      <c r="P200" s="21">
        <v>246.483</v>
      </c>
      <c r="Q200" s="21">
        <v>-1.15631E-2</v>
      </c>
      <c r="R200" s="21">
        <v>190</v>
      </c>
      <c r="S200" s="21">
        <v>0.85632299999999995</v>
      </c>
      <c r="T200">
        <f t="shared" si="26"/>
        <v>11.5631</v>
      </c>
      <c r="U200">
        <f t="shared" si="27"/>
        <v>9.9070443811000004</v>
      </c>
      <c r="X200" s="9"/>
      <c r="Y200" s="21">
        <v>0.84320099999999998</v>
      </c>
      <c r="Z200" s="21">
        <v>452.65100000000001</v>
      </c>
      <c r="AA200" s="21">
        <v>-1.13525E-2</v>
      </c>
      <c r="AB200" s="21">
        <v>190</v>
      </c>
      <c r="AC200" s="21">
        <v>0.84258999999999995</v>
      </c>
      <c r="AD200">
        <f t="shared" si="28"/>
        <v>11.352499999999999</v>
      </c>
      <c r="AE200">
        <f t="shared" si="29"/>
        <v>9.5724393524999982</v>
      </c>
      <c r="AF200" s="9"/>
      <c r="AG200" s="21">
        <v>0.85678100000000001</v>
      </c>
      <c r="AH200" s="21">
        <v>509.32600000000002</v>
      </c>
      <c r="AI200" s="21">
        <v>-1.16699E-2</v>
      </c>
      <c r="AJ200" s="21">
        <v>190</v>
      </c>
      <c r="AK200" s="21">
        <v>0.85632299999999995</v>
      </c>
      <c r="AL200">
        <f t="shared" si="30"/>
        <v>11.6699</v>
      </c>
      <c r="AM200">
        <f t="shared" si="31"/>
        <v>9.9985485919000006</v>
      </c>
      <c r="AP200" s="9"/>
      <c r="AQ200" s="21">
        <v>0.84320099999999998</v>
      </c>
      <c r="AR200" s="21">
        <v>666.01499999999999</v>
      </c>
      <c r="AS200" s="21">
        <v>-1.17126E-2</v>
      </c>
      <c r="AT200" s="21">
        <v>190</v>
      </c>
      <c r="AU200" s="21">
        <v>0.84228499999999995</v>
      </c>
      <c r="AV200">
        <f t="shared" si="32"/>
        <v>11.7126</v>
      </c>
      <c r="AW200">
        <f t="shared" si="33"/>
        <v>9.8760760326000003</v>
      </c>
      <c r="AX200" s="9"/>
      <c r="AY200" s="21">
        <v>0.85678100000000001</v>
      </c>
      <c r="AZ200" s="21">
        <v>756.11</v>
      </c>
      <c r="BA200" s="21">
        <v>-1.1843899999999999E-2</v>
      </c>
      <c r="BB200" s="21">
        <v>190</v>
      </c>
      <c r="BC200" s="21">
        <v>0.85662799999999995</v>
      </c>
      <c r="BD200">
        <f t="shared" si="34"/>
        <v>11.8439</v>
      </c>
      <c r="BE200">
        <f t="shared" si="35"/>
        <v>10.1476284859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162.6</v>
      </c>
      <c r="I201" s="21">
        <v>-1.1489900000000001E-2</v>
      </c>
      <c r="J201" s="21">
        <v>191</v>
      </c>
      <c r="K201" s="21">
        <v>0.83740199999999998</v>
      </c>
      <c r="L201">
        <f t="shared" si="24"/>
        <v>11.4899</v>
      </c>
      <c r="M201">
        <f t="shared" si="25"/>
        <v>9.6304320335000018</v>
      </c>
      <c r="N201" s="9"/>
      <c r="O201" s="21">
        <v>0.86181600000000003</v>
      </c>
      <c r="P201" s="21">
        <v>246.584</v>
      </c>
      <c r="Q201" s="21">
        <v>-1.1557E-2</v>
      </c>
      <c r="R201" s="21">
        <v>191</v>
      </c>
      <c r="S201" s="21">
        <v>0.86181600000000003</v>
      </c>
      <c r="T201">
        <f t="shared" si="26"/>
        <v>11.557</v>
      </c>
      <c r="U201">
        <f t="shared" si="27"/>
        <v>9.9600075120000007</v>
      </c>
      <c r="X201" s="9"/>
      <c r="Y201" s="21">
        <v>0.83816500000000005</v>
      </c>
      <c r="Z201" s="21">
        <v>452.75200000000001</v>
      </c>
      <c r="AA201" s="21">
        <v>-1.13556E-2</v>
      </c>
      <c r="AB201" s="21">
        <v>191</v>
      </c>
      <c r="AC201" s="21">
        <v>0.83770800000000001</v>
      </c>
      <c r="AD201">
        <f t="shared" si="28"/>
        <v>11.355600000000001</v>
      </c>
      <c r="AE201">
        <f t="shared" si="29"/>
        <v>9.5178664740000016</v>
      </c>
      <c r="AF201" s="9"/>
      <c r="AG201" s="21">
        <v>0.86181600000000003</v>
      </c>
      <c r="AH201" s="21">
        <v>509.42700000000002</v>
      </c>
      <c r="AI201" s="21">
        <v>-1.1660800000000001E-2</v>
      </c>
      <c r="AJ201" s="21">
        <v>191</v>
      </c>
      <c r="AK201" s="21">
        <v>0.86120600000000003</v>
      </c>
      <c r="AL201">
        <f t="shared" si="30"/>
        <v>11.6608</v>
      </c>
      <c r="AM201">
        <f t="shared" si="31"/>
        <v>10.0494640128</v>
      </c>
      <c r="AP201" s="9"/>
      <c r="AQ201" s="21">
        <v>0.83816500000000005</v>
      </c>
      <c r="AR201" s="21">
        <v>666.11500000000001</v>
      </c>
      <c r="AS201" s="21">
        <v>-1.17035E-2</v>
      </c>
      <c r="AT201" s="21">
        <v>191</v>
      </c>
      <c r="AU201" s="21">
        <v>0.83770800000000001</v>
      </c>
      <c r="AV201">
        <f t="shared" si="32"/>
        <v>11.7035</v>
      </c>
      <c r="AW201">
        <f t="shared" si="33"/>
        <v>9.8094640775000013</v>
      </c>
      <c r="AX201" s="9"/>
      <c r="AY201" s="21">
        <v>0.86181600000000003</v>
      </c>
      <c r="AZ201" s="21">
        <v>756.21100000000001</v>
      </c>
      <c r="BA201" s="21">
        <v>-1.18469E-2</v>
      </c>
      <c r="BB201" s="21">
        <v>191</v>
      </c>
      <c r="BC201" s="21">
        <v>0.86151100000000003</v>
      </c>
      <c r="BD201">
        <f t="shared" si="34"/>
        <v>11.8469</v>
      </c>
      <c r="BE201">
        <f t="shared" si="35"/>
        <v>10.2098479704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162.69999999999999</v>
      </c>
      <c r="I202" s="21">
        <v>-1.15143E-2</v>
      </c>
      <c r="J202" s="21">
        <v>192</v>
      </c>
      <c r="K202" s="21">
        <v>0.83252000000000004</v>
      </c>
      <c r="L202">
        <f t="shared" si="24"/>
        <v>11.5143</v>
      </c>
      <c r="M202">
        <f t="shared" si="25"/>
        <v>9.5929087590000002</v>
      </c>
      <c r="N202" s="9"/>
      <c r="O202" s="21">
        <v>0.86685199999999996</v>
      </c>
      <c r="P202" s="21">
        <v>246.685</v>
      </c>
      <c r="Q202" s="21">
        <v>-1.1554E-2</v>
      </c>
      <c r="R202" s="21">
        <v>192</v>
      </c>
      <c r="S202" s="21">
        <v>0.866394</v>
      </c>
      <c r="T202">
        <f t="shared" si="26"/>
        <v>11.554</v>
      </c>
      <c r="U202">
        <f t="shared" si="27"/>
        <v>10.015608007999999</v>
      </c>
      <c r="X202" s="9"/>
      <c r="Y202" s="21">
        <v>0.83313000000000004</v>
      </c>
      <c r="Z202" s="21">
        <v>452.85199999999998</v>
      </c>
      <c r="AA202" s="21">
        <v>-1.13556E-2</v>
      </c>
      <c r="AB202" s="21">
        <v>192</v>
      </c>
      <c r="AC202" s="21">
        <v>0.83282500000000004</v>
      </c>
      <c r="AD202">
        <f t="shared" si="28"/>
        <v>11.355600000000001</v>
      </c>
      <c r="AE202">
        <f t="shared" si="29"/>
        <v>9.4606910280000012</v>
      </c>
      <c r="AF202" s="9"/>
      <c r="AG202" s="21">
        <v>0.86685199999999996</v>
      </c>
      <c r="AH202" s="21">
        <v>509.52699999999999</v>
      </c>
      <c r="AI202" s="21">
        <v>-1.16547E-2</v>
      </c>
      <c r="AJ202" s="21">
        <v>192</v>
      </c>
      <c r="AK202" s="21">
        <v>0.865784</v>
      </c>
      <c r="AL202">
        <f t="shared" si="30"/>
        <v>11.6547</v>
      </c>
      <c r="AM202">
        <f t="shared" si="31"/>
        <v>10.1029000044</v>
      </c>
      <c r="AP202" s="9"/>
      <c r="AQ202" s="21">
        <v>0.83313000000000004</v>
      </c>
      <c r="AR202" s="21">
        <v>666.21600000000001</v>
      </c>
      <c r="AS202" s="21">
        <v>-1.1715700000000001E-2</v>
      </c>
      <c r="AT202" s="21">
        <v>192</v>
      </c>
      <c r="AU202" s="21">
        <v>0.83252000000000004</v>
      </c>
      <c r="AV202">
        <f t="shared" si="32"/>
        <v>11.7157</v>
      </c>
      <c r="AW202">
        <f t="shared" si="33"/>
        <v>9.7607011410000002</v>
      </c>
      <c r="AX202" s="9"/>
      <c r="AY202" s="21">
        <v>0.86685199999999996</v>
      </c>
      <c r="AZ202" s="21">
        <v>756.31200000000001</v>
      </c>
      <c r="BA202" s="21">
        <v>-1.18347E-2</v>
      </c>
      <c r="BB202" s="21">
        <v>192</v>
      </c>
      <c r="BC202" s="21">
        <v>0.866394</v>
      </c>
      <c r="BD202">
        <f t="shared" si="34"/>
        <v>11.8347</v>
      </c>
      <c r="BE202">
        <f t="shared" si="35"/>
        <v>10.258933364399999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162.80099999999999</v>
      </c>
      <c r="I203" s="21">
        <v>-1.1499000000000001E-2</v>
      </c>
      <c r="J203" s="21">
        <v>193</v>
      </c>
      <c r="K203" s="21">
        <v>0.82763699999999996</v>
      </c>
      <c r="L203">
        <f t="shared" si="24"/>
        <v>11.499000000000001</v>
      </c>
      <c r="M203">
        <f t="shared" si="25"/>
        <v>9.5222529060000003</v>
      </c>
      <c r="N203" s="9"/>
      <c r="O203" s="21">
        <v>0.87188699999999997</v>
      </c>
      <c r="P203" s="21">
        <v>246.786</v>
      </c>
      <c r="Q203" s="21">
        <v>-1.1554E-2</v>
      </c>
      <c r="R203" s="21">
        <v>193</v>
      </c>
      <c r="S203" s="21">
        <v>0.87097199999999997</v>
      </c>
      <c r="T203">
        <f t="shared" si="26"/>
        <v>11.554</v>
      </c>
      <c r="U203">
        <f t="shared" si="27"/>
        <v>10.073782398000001</v>
      </c>
      <c r="X203" s="9"/>
      <c r="Y203" s="21">
        <v>0.828094</v>
      </c>
      <c r="Z203" s="21">
        <v>452.95299999999997</v>
      </c>
      <c r="AA203" s="21">
        <v>-1.13586E-2</v>
      </c>
      <c r="AB203" s="21">
        <v>193</v>
      </c>
      <c r="AC203" s="21">
        <v>0.82855199999999996</v>
      </c>
      <c r="AD203">
        <f t="shared" si="28"/>
        <v>11.358599999999999</v>
      </c>
      <c r="AE203">
        <f t="shared" si="29"/>
        <v>9.4059885084000001</v>
      </c>
      <c r="AF203" s="9"/>
      <c r="AG203" s="21">
        <v>0.87188699999999997</v>
      </c>
      <c r="AH203" s="21">
        <v>509.62799999999999</v>
      </c>
      <c r="AI203" s="21">
        <v>-1.16486E-2</v>
      </c>
      <c r="AJ203" s="21">
        <v>193</v>
      </c>
      <c r="AK203" s="21">
        <v>0.87097199999999997</v>
      </c>
      <c r="AL203">
        <f t="shared" si="30"/>
        <v>11.6486</v>
      </c>
      <c r="AM203">
        <f t="shared" si="31"/>
        <v>10.1562629082</v>
      </c>
      <c r="AP203" s="9"/>
      <c r="AQ203" s="21">
        <v>0.828094</v>
      </c>
      <c r="AR203" s="21">
        <v>666.31700000000001</v>
      </c>
      <c r="AS203" s="21">
        <v>-1.1715700000000001E-2</v>
      </c>
      <c r="AT203" s="21">
        <v>193</v>
      </c>
      <c r="AU203" s="21">
        <v>0.82763699999999996</v>
      </c>
      <c r="AV203">
        <f t="shared" si="32"/>
        <v>11.7157</v>
      </c>
      <c r="AW203">
        <f t="shared" si="33"/>
        <v>9.7017008758000003</v>
      </c>
      <c r="AX203" s="9"/>
      <c r="AY203" s="21">
        <v>0.87188699999999997</v>
      </c>
      <c r="AZ203" s="21">
        <v>756.41200000000003</v>
      </c>
      <c r="BA203" s="21">
        <v>-1.18286E-2</v>
      </c>
      <c r="BB203" s="21">
        <v>193</v>
      </c>
      <c r="BC203" s="21">
        <v>0.87127699999999997</v>
      </c>
      <c r="BD203">
        <f t="shared" si="34"/>
        <v>11.8286</v>
      </c>
      <c r="BE203">
        <f t="shared" si="35"/>
        <v>10.313202568199999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162.90199999999999</v>
      </c>
      <c r="I204" s="21">
        <v>-1.1505100000000001E-2</v>
      </c>
      <c r="J204" s="21">
        <v>194</v>
      </c>
      <c r="K204" s="21">
        <v>0.82275399999999999</v>
      </c>
      <c r="L204">
        <f t="shared" ref="L204:L267" si="36">-I204/$F$2*1000</f>
        <v>11.505100000000001</v>
      </c>
      <c r="M204">
        <f t="shared" ref="M204:M267" si="37">L204*G204</f>
        <v>9.4693761008999999</v>
      </c>
      <c r="N204" s="9"/>
      <c r="O204" s="21">
        <v>0.87692300000000001</v>
      </c>
      <c r="P204" s="21">
        <v>246.886</v>
      </c>
      <c r="Q204" s="21">
        <v>-1.1544799999999999E-2</v>
      </c>
      <c r="R204" s="21">
        <v>194</v>
      </c>
      <c r="S204" s="21">
        <v>0.87616000000000005</v>
      </c>
      <c r="T204">
        <f t="shared" ref="T204:T267" si="38">-Q204/$F$2*1000</f>
        <v>11.544799999999999</v>
      </c>
      <c r="U204">
        <f t="shared" ref="U204:U267" si="39">T204*O204</f>
        <v>10.1239006504</v>
      </c>
      <c r="X204" s="9"/>
      <c r="Y204" s="21">
        <v>0.82305899999999999</v>
      </c>
      <c r="Z204" s="21">
        <v>453.05399999999997</v>
      </c>
      <c r="AA204" s="21">
        <v>-1.1367800000000001E-2</v>
      </c>
      <c r="AB204" s="21">
        <v>194</v>
      </c>
      <c r="AC204" s="21">
        <v>0.82214399999999999</v>
      </c>
      <c r="AD204">
        <f t="shared" ref="AD204:AD267" si="40">-AA204/$F$2*1000</f>
        <v>11.367800000000001</v>
      </c>
      <c r="AE204">
        <f t="shared" ref="AE204:AE267" si="41">AD204*Y204</f>
        <v>9.3563701002000013</v>
      </c>
      <c r="AF204" s="9"/>
      <c r="AG204" s="21">
        <v>0.87692300000000001</v>
      </c>
      <c r="AH204" s="21">
        <v>509.72899999999998</v>
      </c>
      <c r="AI204" s="21">
        <v>-1.16425E-2</v>
      </c>
      <c r="AJ204" s="21">
        <v>194</v>
      </c>
      <c r="AK204" s="21">
        <v>0.87646500000000005</v>
      </c>
      <c r="AL204">
        <f t="shared" ref="AL204:AL267" si="42">-AI204/$F$2*1000</f>
        <v>11.6425</v>
      </c>
      <c r="AM204">
        <f t="shared" ref="AM204:AM267" si="43">AL204*AG204</f>
        <v>10.209576027500001</v>
      </c>
      <c r="AP204" s="9"/>
      <c r="AQ204" s="21">
        <v>0.82305899999999999</v>
      </c>
      <c r="AR204" s="21">
        <v>666.41800000000001</v>
      </c>
      <c r="AS204" s="21">
        <v>-1.17371E-2</v>
      </c>
      <c r="AT204" s="21">
        <v>194</v>
      </c>
      <c r="AU204" s="21">
        <v>0.82275399999999999</v>
      </c>
      <c r="AV204">
        <f t="shared" ref="AV204:AV267" si="44">-AS204/$F$2*1000</f>
        <v>11.7371</v>
      </c>
      <c r="AW204">
        <f t="shared" ref="AW204:AW267" si="45">AV204*AQ204</f>
        <v>9.6603257888999998</v>
      </c>
      <c r="AX204" s="9"/>
      <c r="AY204" s="21">
        <v>0.87692300000000001</v>
      </c>
      <c r="AZ204" s="21">
        <v>756.51300000000003</v>
      </c>
      <c r="BA204" s="21">
        <v>-1.18225E-2</v>
      </c>
      <c r="BB204" s="21">
        <v>194</v>
      </c>
      <c r="BC204" s="21">
        <v>0.87677000000000005</v>
      </c>
      <c r="BD204">
        <f t="shared" ref="BD204:BD267" si="46">-BA204/$F$2*1000</f>
        <v>11.8225</v>
      </c>
      <c r="BE204">
        <f t="shared" ref="BE204:BE267" si="47">BD204*AY204</f>
        <v>10.367422167499999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163.00299999999999</v>
      </c>
      <c r="I205" s="21">
        <v>-1.15326E-2</v>
      </c>
      <c r="J205" s="21">
        <v>195</v>
      </c>
      <c r="K205" s="21">
        <v>0.81756600000000001</v>
      </c>
      <c r="L205">
        <f t="shared" si="36"/>
        <v>11.5326</v>
      </c>
      <c r="M205">
        <f t="shared" si="37"/>
        <v>9.4339435823999995</v>
      </c>
      <c r="N205" s="9"/>
      <c r="O205" s="21">
        <v>0.88195800000000002</v>
      </c>
      <c r="P205" s="21">
        <v>246.98699999999999</v>
      </c>
      <c r="Q205" s="21">
        <v>-1.15356E-2</v>
      </c>
      <c r="R205" s="21">
        <v>195</v>
      </c>
      <c r="S205" s="21">
        <v>0.88165300000000002</v>
      </c>
      <c r="T205">
        <f t="shared" si="38"/>
        <v>11.535600000000001</v>
      </c>
      <c r="U205">
        <f t="shared" si="39"/>
        <v>10.173914704800001</v>
      </c>
      <c r="X205" s="9"/>
      <c r="Y205" s="21">
        <v>0.81802399999999997</v>
      </c>
      <c r="Z205" s="21">
        <v>453.15499999999997</v>
      </c>
      <c r="AA205" s="21">
        <v>-1.1373899999999999E-2</v>
      </c>
      <c r="AB205" s="21">
        <v>195</v>
      </c>
      <c r="AC205" s="21">
        <v>0.81726100000000002</v>
      </c>
      <c r="AD205">
        <f t="shared" si="40"/>
        <v>11.373899999999999</v>
      </c>
      <c r="AE205">
        <f t="shared" si="41"/>
        <v>9.304123173599999</v>
      </c>
      <c r="AF205" s="9"/>
      <c r="AG205" s="21">
        <v>0.88195800000000002</v>
      </c>
      <c r="AH205" s="21">
        <v>509.83</v>
      </c>
      <c r="AI205" s="21">
        <v>-1.16364E-2</v>
      </c>
      <c r="AJ205" s="21">
        <v>195</v>
      </c>
      <c r="AK205" s="21">
        <v>0.88104199999999999</v>
      </c>
      <c r="AL205">
        <f t="shared" si="42"/>
        <v>11.6364</v>
      </c>
      <c r="AM205">
        <f t="shared" si="43"/>
        <v>10.2628160712</v>
      </c>
      <c r="AP205" s="9"/>
      <c r="AQ205" s="21">
        <v>0.81802399999999997</v>
      </c>
      <c r="AR205" s="21">
        <v>666.51800000000003</v>
      </c>
      <c r="AS205" s="21">
        <v>-1.1731E-2</v>
      </c>
      <c r="AT205" s="21">
        <v>195</v>
      </c>
      <c r="AU205" s="21">
        <v>0.81695600000000002</v>
      </c>
      <c r="AV205">
        <f t="shared" si="44"/>
        <v>11.731</v>
      </c>
      <c r="AW205">
        <f t="shared" si="45"/>
        <v>9.5962395439999995</v>
      </c>
      <c r="AX205" s="9"/>
      <c r="AY205" s="21">
        <v>0.88195800000000002</v>
      </c>
      <c r="AZ205" s="21">
        <v>756.61400000000003</v>
      </c>
      <c r="BA205" s="21">
        <v>-1.18134E-2</v>
      </c>
      <c r="BB205" s="21">
        <v>195</v>
      </c>
      <c r="BC205" s="21">
        <v>0.88134800000000002</v>
      </c>
      <c r="BD205">
        <f t="shared" si="46"/>
        <v>11.8134</v>
      </c>
      <c r="BE205">
        <f t="shared" si="47"/>
        <v>10.4189226372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163.10300000000001</v>
      </c>
      <c r="I206" s="21">
        <v>-1.15631E-2</v>
      </c>
      <c r="J206" s="21">
        <v>196</v>
      </c>
      <c r="K206" s="21">
        <v>0.81207300000000004</v>
      </c>
      <c r="L206">
        <f t="shared" si="36"/>
        <v>11.5631</v>
      </c>
      <c r="M206">
        <f t="shared" si="37"/>
        <v>9.4006615428</v>
      </c>
      <c r="N206" s="9"/>
      <c r="O206" s="21">
        <v>0.88699300000000003</v>
      </c>
      <c r="P206" s="21">
        <v>247.08799999999999</v>
      </c>
      <c r="Q206" s="21">
        <v>-1.1544799999999999E-2</v>
      </c>
      <c r="R206" s="21">
        <v>196</v>
      </c>
      <c r="S206" s="21">
        <v>0.88653599999999999</v>
      </c>
      <c r="T206">
        <f t="shared" si="38"/>
        <v>11.544799999999999</v>
      </c>
      <c r="U206">
        <f t="shared" si="39"/>
        <v>10.240156786399998</v>
      </c>
      <c r="X206" s="9"/>
      <c r="Y206" s="21">
        <v>0.81298800000000004</v>
      </c>
      <c r="Z206" s="21">
        <v>453.255</v>
      </c>
      <c r="AA206" s="21">
        <v>-1.1377E-2</v>
      </c>
      <c r="AB206" s="21">
        <v>196</v>
      </c>
      <c r="AC206" s="21">
        <v>0.81268300000000004</v>
      </c>
      <c r="AD206">
        <f t="shared" si="40"/>
        <v>11.377000000000001</v>
      </c>
      <c r="AE206">
        <f t="shared" si="41"/>
        <v>9.2493644760000002</v>
      </c>
      <c r="AF206" s="9"/>
      <c r="AG206" s="21">
        <v>0.88699300000000003</v>
      </c>
      <c r="AH206" s="21">
        <v>509.93</v>
      </c>
      <c r="AI206" s="21">
        <v>-1.16302E-2</v>
      </c>
      <c r="AJ206" s="21">
        <v>196</v>
      </c>
      <c r="AK206" s="21">
        <v>0.88653599999999999</v>
      </c>
      <c r="AL206">
        <f t="shared" si="42"/>
        <v>11.6302</v>
      </c>
      <c r="AM206">
        <f t="shared" si="43"/>
        <v>10.315905988600001</v>
      </c>
      <c r="AP206" s="9"/>
      <c r="AQ206" s="21">
        <v>0.81298800000000004</v>
      </c>
      <c r="AR206" s="21">
        <v>666.61900000000003</v>
      </c>
      <c r="AS206" s="21">
        <v>-1.17126E-2</v>
      </c>
      <c r="AT206" s="21">
        <v>196</v>
      </c>
      <c r="AU206" s="21">
        <v>0.81237800000000004</v>
      </c>
      <c r="AV206">
        <f t="shared" si="44"/>
        <v>11.7126</v>
      </c>
      <c r="AW206">
        <f t="shared" si="45"/>
        <v>9.5222032488000004</v>
      </c>
      <c r="AX206" s="9"/>
      <c r="AY206" s="21">
        <v>0.88699300000000003</v>
      </c>
      <c r="AZ206" s="21">
        <v>756.71400000000006</v>
      </c>
      <c r="BA206" s="21">
        <v>-1.1810299999999999E-2</v>
      </c>
      <c r="BB206" s="21">
        <v>196</v>
      </c>
      <c r="BC206" s="21">
        <v>0.88653599999999999</v>
      </c>
      <c r="BD206">
        <f t="shared" si="46"/>
        <v>11.8103</v>
      </c>
      <c r="BE206">
        <f t="shared" si="47"/>
        <v>10.475653427899999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163.20400000000001</v>
      </c>
      <c r="I207" s="21">
        <v>-1.1544799999999999E-2</v>
      </c>
      <c r="J207" s="21">
        <v>197</v>
      </c>
      <c r="K207" s="21">
        <v>0.80779999999999996</v>
      </c>
      <c r="L207">
        <f t="shared" si="36"/>
        <v>11.544799999999999</v>
      </c>
      <c r="M207">
        <f t="shared" si="37"/>
        <v>9.3276557944</v>
      </c>
      <c r="N207" s="9"/>
      <c r="O207" s="21">
        <v>0.89202899999999996</v>
      </c>
      <c r="P207" s="21">
        <v>247.18799999999999</v>
      </c>
      <c r="Q207" s="21">
        <v>-1.15234E-2</v>
      </c>
      <c r="R207" s="21">
        <v>197</v>
      </c>
      <c r="S207" s="21">
        <v>0.89141800000000004</v>
      </c>
      <c r="T207">
        <f t="shared" si="38"/>
        <v>11.523399999999999</v>
      </c>
      <c r="U207">
        <f t="shared" si="39"/>
        <v>10.279206978599998</v>
      </c>
      <c r="X207" s="9"/>
      <c r="Y207" s="21">
        <v>0.80795300000000003</v>
      </c>
      <c r="Z207" s="21">
        <v>453.35599999999999</v>
      </c>
      <c r="AA207" s="21">
        <v>-1.13831E-2</v>
      </c>
      <c r="AB207" s="21">
        <v>197</v>
      </c>
      <c r="AC207" s="21">
        <v>0.80718999999999996</v>
      </c>
      <c r="AD207">
        <f t="shared" si="40"/>
        <v>11.383100000000001</v>
      </c>
      <c r="AE207">
        <f t="shared" si="41"/>
        <v>9.1970097943000013</v>
      </c>
      <c r="AF207" s="9"/>
      <c r="AG207" s="21">
        <v>0.89202899999999996</v>
      </c>
      <c r="AH207" s="21">
        <v>510.03100000000001</v>
      </c>
      <c r="AI207" s="21">
        <v>-1.1627200000000001E-2</v>
      </c>
      <c r="AJ207" s="21">
        <v>197</v>
      </c>
      <c r="AK207" s="21">
        <v>0.89233399999999996</v>
      </c>
      <c r="AL207">
        <f t="shared" si="42"/>
        <v>11.6272</v>
      </c>
      <c r="AM207">
        <f t="shared" si="43"/>
        <v>10.3717995888</v>
      </c>
      <c r="AP207" s="9"/>
      <c r="AQ207" s="21">
        <v>0.80795300000000003</v>
      </c>
      <c r="AR207" s="21">
        <v>666.72</v>
      </c>
      <c r="AS207" s="21">
        <v>-1.17188E-2</v>
      </c>
      <c r="AT207" s="21">
        <v>197</v>
      </c>
      <c r="AU207" s="21">
        <v>0.80779999999999996</v>
      </c>
      <c r="AV207">
        <f t="shared" si="44"/>
        <v>11.7188</v>
      </c>
      <c r="AW207">
        <f t="shared" si="45"/>
        <v>9.4682396164</v>
      </c>
      <c r="AX207" s="9"/>
      <c r="AY207" s="21">
        <v>0.89202899999999996</v>
      </c>
      <c r="AZ207" s="21">
        <v>756.81500000000005</v>
      </c>
      <c r="BA207" s="21">
        <v>-1.1804200000000001E-2</v>
      </c>
      <c r="BB207" s="21">
        <v>197</v>
      </c>
      <c r="BC207" s="21">
        <v>0.89141800000000004</v>
      </c>
      <c r="BD207">
        <f t="shared" si="46"/>
        <v>11.804200000000002</v>
      </c>
      <c r="BE207">
        <f t="shared" si="47"/>
        <v>10.529688721800001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163.30500000000001</v>
      </c>
      <c r="I208" s="21">
        <v>-1.15265E-2</v>
      </c>
      <c r="J208" s="21">
        <v>198</v>
      </c>
      <c r="K208" s="21">
        <v>0.80230699999999999</v>
      </c>
      <c r="L208">
        <f t="shared" si="36"/>
        <v>11.5265</v>
      </c>
      <c r="M208">
        <f t="shared" si="37"/>
        <v>9.2548228004999995</v>
      </c>
      <c r="N208" s="9"/>
      <c r="O208" s="21">
        <v>0.89706399999999997</v>
      </c>
      <c r="P208" s="21">
        <v>247.28899999999999</v>
      </c>
      <c r="Q208" s="21">
        <v>-1.15204E-2</v>
      </c>
      <c r="R208" s="21">
        <v>198</v>
      </c>
      <c r="S208" s="21">
        <v>0.89660600000000001</v>
      </c>
      <c r="T208">
        <f t="shared" si="38"/>
        <v>11.5204</v>
      </c>
      <c r="U208">
        <f t="shared" si="39"/>
        <v>10.3345361056</v>
      </c>
      <c r="X208" s="9"/>
      <c r="Y208" s="21">
        <v>0.80291699999999999</v>
      </c>
      <c r="Z208" s="21">
        <v>453.45699999999999</v>
      </c>
      <c r="AA208" s="21">
        <v>-1.13922E-2</v>
      </c>
      <c r="AB208" s="21">
        <v>198</v>
      </c>
      <c r="AC208" s="21">
        <v>0.80230699999999999</v>
      </c>
      <c r="AD208">
        <f t="shared" si="40"/>
        <v>11.392200000000001</v>
      </c>
      <c r="AE208">
        <f t="shared" si="41"/>
        <v>9.1469910474000002</v>
      </c>
      <c r="AF208" s="9"/>
      <c r="AG208" s="21">
        <v>0.89706399999999997</v>
      </c>
      <c r="AH208" s="21">
        <v>510.13200000000001</v>
      </c>
      <c r="AI208" s="21">
        <v>-1.1621100000000001E-2</v>
      </c>
      <c r="AJ208" s="21">
        <v>198</v>
      </c>
      <c r="AK208" s="21">
        <v>0.89630100000000001</v>
      </c>
      <c r="AL208">
        <f t="shared" si="42"/>
        <v>11.6211</v>
      </c>
      <c r="AM208">
        <f t="shared" si="43"/>
        <v>10.4248704504</v>
      </c>
      <c r="AP208" s="9"/>
      <c r="AQ208" s="21">
        <v>0.80291699999999999</v>
      </c>
      <c r="AR208" s="21">
        <v>666.82</v>
      </c>
      <c r="AS208" s="21">
        <v>-1.1721799999999999E-2</v>
      </c>
      <c r="AT208" s="21">
        <v>198</v>
      </c>
      <c r="AU208" s="21">
        <v>0.80230699999999999</v>
      </c>
      <c r="AV208">
        <f t="shared" si="44"/>
        <v>11.7218</v>
      </c>
      <c r="AW208">
        <f t="shared" si="45"/>
        <v>9.4116324906000006</v>
      </c>
      <c r="AX208" s="9"/>
      <c r="AY208" s="21">
        <v>0.89706399999999997</v>
      </c>
      <c r="AZ208" s="21">
        <v>756.91600000000005</v>
      </c>
      <c r="BA208" s="21">
        <v>-1.1798100000000001E-2</v>
      </c>
      <c r="BB208" s="21">
        <v>198</v>
      </c>
      <c r="BC208" s="21">
        <v>0.89691200000000004</v>
      </c>
      <c r="BD208">
        <f t="shared" si="46"/>
        <v>11.7981</v>
      </c>
      <c r="BE208">
        <f t="shared" si="47"/>
        <v>10.583650778399999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163.405</v>
      </c>
      <c r="I209" s="21">
        <v>-1.1615E-2</v>
      </c>
      <c r="J209" s="21">
        <v>199</v>
      </c>
      <c r="K209" s="21">
        <v>0.79681400000000002</v>
      </c>
      <c r="L209">
        <f t="shared" si="36"/>
        <v>11.615</v>
      </c>
      <c r="M209">
        <f t="shared" si="37"/>
        <v>9.2673994299999993</v>
      </c>
      <c r="N209" s="9"/>
      <c r="O209" s="21">
        <v>0.90210000000000001</v>
      </c>
      <c r="P209" s="21">
        <v>247.39</v>
      </c>
      <c r="Q209" s="21">
        <v>-1.1511199999999999E-2</v>
      </c>
      <c r="R209" s="21">
        <v>199</v>
      </c>
      <c r="S209" s="21">
        <v>0.90179399999999998</v>
      </c>
      <c r="T209">
        <f t="shared" si="38"/>
        <v>11.511199999999999</v>
      </c>
      <c r="U209">
        <f t="shared" si="39"/>
        <v>10.38425352</v>
      </c>
      <c r="X209" s="9"/>
      <c r="Y209" s="21">
        <v>0.79788199999999998</v>
      </c>
      <c r="Z209" s="21">
        <v>453.55700000000002</v>
      </c>
      <c r="AA209" s="21">
        <v>-1.13892E-2</v>
      </c>
      <c r="AB209" s="21">
        <v>199</v>
      </c>
      <c r="AC209" s="21">
        <v>0.79742400000000002</v>
      </c>
      <c r="AD209">
        <f t="shared" si="40"/>
        <v>11.389200000000001</v>
      </c>
      <c r="AE209">
        <f t="shared" si="41"/>
        <v>9.0872376744000007</v>
      </c>
      <c r="AF209" s="9"/>
      <c r="AG209" s="21">
        <v>0.90210000000000001</v>
      </c>
      <c r="AH209" s="21">
        <v>510.23200000000003</v>
      </c>
      <c r="AI209" s="21">
        <v>-1.16119E-2</v>
      </c>
      <c r="AJ209" s="21">
        <v>199</v>
      </c>
      <c r="AK209" s="21">
        <v>0.90148899999999998</v>
      </c>
      <c r="AL209">
        <f t="shared" si="42"/>
        <v>11.6119</v>
      </c>
      <c r="AM209">
        <f t="shared" si="43"/>
        <v>10.475094990000001</v>
      </c>
      <c r="AP209" s="9"/>
      <c r="AQ209" s="21">
        <v>0.79788199999999998</v>
      </c>
      <c r="AR209" s="21">
        <v>666.92100000000005</v>
      </c>
      <c r="AS209" s="21">
        <v>-1.1727899999999999E-2</v>
      </c>
      <c r="AT209" s="21">
        <v>199</v>
      </c>
      <c r="AU209" s="21">
        <v>0.79711900000000002</v>
      </c>
      <c r="AV209">
        <f t="shared" si="44"/>
        <v>11.7279</v>
      </c>
      <c r="AW209">
        <f t="shared" si="45"/>
        <v>9.3574803077999995</v>
      </c>
      <c r="AX209" s="9"/>
      <c r="AY209" s="21">
        <v>0.90210000000000001</v>
      </c>
      <c r="AZ209" s="21">
        <v>757.01700000000005</v>
      </c>
      <c r="BA209" s="21">
        <v>-1.1798100000000001E-2</v>
      </c>
      <c r="BB209" s="21">
        <v>199</v>
      </c>
      <c r="BC209" s="21">
        <v>0.90148899999999998</v>
      </c>
      <c r="BD209">
        <f t="shared" si="46"/>
        <v>11.7981</v>
      </c>
      <c r="BE209">
        <f t="shared" si="47"/>
        <v>10.64306601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163.506</v>
      </c>
      <c r="I210" s="21">
        <v>-1.15906E-2</v>
      </c>
      <c r="J210" s="21">
        <v>200</v>
      </c>
      <c r="K210" s="21">
        <v>0.79254199999999997</v>
      </c>
      <c r="L210">
        <f t="shared" si="36"/>
        <v>11.5906</v>
      </c>
      <c r="M210">
        <f t="shared" si="37"/>
        <v>9.189572438199999</v>
      </c>
      <c r="N210" s="9"/>
      <c r="O210" s="21">
        <v>0.90713500000000002</v>
      </c>
      <c r="P210" s="21">
        <v>247.49100000000001</v>
      </c>
      <c r="Q210" s="21">
        <v>-1.1502099999999999E-2</v>
      </c>
      <c r="R210" s="21">
        <v>200</v>
      </c>
      <c r="S210" s="21">
        <v>0.90667699999999996</v>
      </c>
      <c r="T210">
        <f t="shared" si="38"/>
        <v>11.502099999999999</v>
      </c>
      <c r="U210">
        <f t="shared" si="39"/>
        <v>10.433957483499999</v>
      </c>
      <c r="X210" s="9"/>
      <c r="Y210" s="21">
        <v>0.79284699999999997</v>
      </c>
      <c r="Z210" s="21">
        <v>453.65800000000002</v>
      </c>
      <c r="AA210" s="21">
        <v>-1.13892E-2</v>
      </c>
      <c r="AB210" s="21">
        <v>200</v>
      </c>
      <c r="AC210" s="21">
        <v>0.79223600000000005</v>
      </c>
      <c r="AD210">
        <f t="shared" si="40"/>
        <v>11.389200000000001</v>
      </c>
      <c r="AE210">
        <f t="shared" si="41"/>
        <v>9.0298930524000003</v>
      </c>
      <c r="AF210" s="9"/>
      <c r="AG210" s="21">
        <v>0.90713500000000002</v>
      </c>
      <c r="AH210" s="21">
        <v>510.33300000000003</v>
      </c>
      <c r="AI210" s="21">
        <v>-1.1615E-2</v>
      </c>
      <c r="AJ210" s="21">
        <v>200</v>
      </c>
      <c r="AK210" s="21">
        <v>0.90698199999999995</v>
      </c>
      <c r="AL210">
        <f t="shared" si="42"/>
        <v>11.615</v>
      </c>
      <c r="AM210">
        <f t="shared" si="43"/>
        <v>10.536373025</v>
      </c>
      <c r="AP210" s="9"/>
      <c r="AQ210" s="21">
        <v>0.79284699999999997</v>
      </c>
      <c r="AR210" s="21">
        <v>667.02200000000005</v>
      </c>
      <c r="AS210" s="21">
        <v>-1.1727899999999999E-2</v>
      </c>
      <c r="AT210" s="21">
        <v>200</v>
      </c>
      <c r="AU210" s="21">
        <v>0.79284699999999997</v>
      </c>
      <c r="AV210">
        <f t="shared" si="44"/>
        <v>11.7279</v>
      </c>
      <c r="AW210">
        <f t="shared" si="45"/>
        <v>9.2984303312999987</v>
      </c>
      <c r="AX210" s="9"/>
      <c r="AY210" s="21">
        <v>0.90713500000000002</v>
      </c>
      <c r="AZ210" s="21">
        <v>757.11699999999996</v>
      </c>
      <c r="BA210" s="21">
        <v>-1.18011E-2</v>
      </c>
      <c r="BB210" s="21">
        <v>200</v>
      </c>
      <c r="BC210" s="21">
        <v>0.90667699999999996</v>
      </c>
      <c r="BD210">
        <f t="shared" si="46"/>
        <v>11.8011</v>
      </c>
      <c r="BE210">
        <f t="shared" si="47"/>
        <v>10.705190848500001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163.607</v>
      </c>
      <c r="I211" s="21">
        <v>-1.1599699999999999E-2</v>
      </c>
      <c r="J211" s="21">
        <v>201</v>
      </c>
      <c r="K211" s="21">
        <v>0.78704799999999997</v>
      </c>
      <c r="L211">
        <f t="shared" si="36"/>
        <v>11.599699999999999</v>
      </c>
      <c r="M211">
        <f t="shared" si="37"/>
        <v>9.1383712566999993</v>
      </c>
      <c r="N211" s="9"/>
      <c r="O211" s="21">
        <v>0.91217000000000004</v>
      </c>
      <c r="P211" s="21">
        <v>247.59100000000001</v>
      </c>
      <c r="Q211" s="21">
        <v>-1.1489900000000001E-2</v>
      </c>
      <c r="R211" s="21">
        <v>201</v>
      </c>
      <c r="S211" s="21">
        <v>0.91156000000000004</v>
      </c>
      <c r="T211">
        <f t="shared" si="38"/>
        <v>11.4899</v>
      </c>
      <c r="U211">
        <f t="shared" si="39"/>
        <v>10.480742083000001</v>
      </c>
      <c r="X211" s="9"/>
      <c r="Y211" s="21">
        <v>0.78781100000000004</v>
      </c>
      <c r="Z211" s="21">
        <v>453.75900000000001</v>
      </c>
      <c r="AA211" s="21">
        <v>-1.1395300000000001E-2</v>
      </c>
      <c r="AB211" s="21">
        <v>201</v>
      </c>
      <c r="AC211" s="21">
        <v>0.787659</v>
      </c>
      <c r="AD211">
        <f t="shared" si="40"/>
        <v>11.395300000000001</v>
      </c>
      <c r="AE211">
        <f t="shared" si="41"/>
        <v>8.9773426883000003</v>
      </c>
      <c r="AF211" s="9"/>
      <c r="AG211" s="21">
        <v>0.91217000000000004</v>
      </c>
      <c r="AH211" s="21">
        <v>510.43400000000003</v>
      </c>
      <c r="AI211" s="21">
        <v>-1.16089E-2</v>
      </c>
      <c r="AJ211" s="21">
        <v>201</v>
      </c>
      <c r="AK211" s="21">
        <v>0.91217000000000004</v>
      </c>
      <c r="AL211">
        <f t="shared" si="42"/>
        <v>11.6089</v>
      </c>
      <c r="AM211">
        <f t="shared" si="43"/>
        <v>10.589290313000001</v>
      </c>
      <c r="AP211" s="9"/>
      <c r="AQ211" s="21">
        <v>0.78781100000000004</v>
      </c>
      <c r="AR211" s="21">
        <v>667.12199999999996</v>
      </c>
      <c r="AS211" s="21">
        <v>-1.1734E-2</v>
      </c>
      <c r="AT211" s="21">
        <v>201</v>
      </c>
      <c r="AU211" s="21">
        <v>0.787354</v>
      </c>
      <c r="AV211">
        <f t="shared" si="44"/>
        <v>11.734</v>
      </c>
      <c r="AW211">
        <f t="shared" si="45"/>
        <v>9.2441742740000006</v>
      </c>
      <c r="AX211" s="9"/>
      <c r="AY211" s="21">
        <v>0.91217000000000004</v>
      </c>
      <c r="AZ211" s="21">
        <v>757.21799999999996</v>
      </c>
      <c r="BA211" s="21">
        <v>-1.17859E-2</v>
      </c>
      <c r="BB211" s="21">
        <v>201</v>
      </c>
      <c r="BC211" s="21">
        <v>0.91125500000000004</v>
      </c>
      <c r="BD211">
        <f t="shared" si="46"/>
        <v>11.7859</v>
      </c>
      <c r="BE211">
        <f t="shared" si="47"/>
        <v>10.750744403000001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163.708</v>
      </c>
      <c r="I212" s="21">
        <v>-1.16089E-2</v>
      </c>
      <c r="J212" s="21">
        <v>202</v>
      </c>
      <c r="K212" s="21">
        <v>0.78277600000000003</v>
      </c>
      <c r="L212">
        <f t="shared" si="36"/>
        <v>11.6089</v>
      </c>
      <c r="M212">
        <f t="shared" si="37"/>
        <v>9.0871683064000006</v>
      </c>
      <c r="N212" s="9"/>
      <c r="O212" s="21">
        <v>0.91720599999999997</v>
      </c>
      <c r="P212" s="21">
        <v>247.69200000000001</v>
      </c>
      <c r="Q212" s="21">
        <v>-1.1483800000000001E-2</v>
      </c>
      <c r="R212" s="21">
        <v>202</v>
      </c>
      <c r="S212" s="21">
        <v>0.91705300000000001</v>
      </c>
      <c r="T212">
        <f t="shared" si="38"/>
        <v>11.4838</v>
      </c>
      <c r="U212">
        <f t="shared" si="39"/>
        <v>10.5330102628</v>
      </c>
      <c r="X212" s="9"/>
      <c r="Y212" s="21">
        <v>0.78277600000000003</v>
      </c>
      <c r="Z212" s="21">
        <v>453.86</v>
      </c>
      <c r="AA212" s="21">
        <v>-1.1395300000000001E-2</v>
      </c>
      <c r="AB212" s="21">
        <v>202</v>
      </c>
      <c r="AC212" s="21">
        <v>0.78216600000000003</v>
      </c>
      <c r="AD212">
        <f t="shared" si="40"/>
        <v>11.395300000000001</v>
      </c>
      <c r="AE212">
        <f t="shared" si="41"/>
        <v>8.9199673528000005</v>
      </c>
      <c r="AF212" s="9"/>
      <c r="AG212" s="21">
        <v>0.91720599999999997</v>
      </c>
      <c r="AH212" s="21">
        <v>510.53399999999999</v>
      </c>
      <c r="AI212" s="21">
        <v>-1.16089E-2</v>
      </c>
      <c r="AJ212" s="21">
        <v>202</v>
      </c>
      <c r="AK212" s="21">
        <v>0.91613800000000001</v>
      </c>
      <c r="AL212">
        <f t="shared" si="42"/>
        <v>11.6089</v>
      </c>
      <c r="AM212">
        <f t="shared" si="43"/>
        <v>10.647752733399999</v>
      </c>
      <c r="AP212" s="9"/>
      <c r="AQ212" s="21">
        <v>0.78277600000000003</v>
      </c>
      <c r="AR212" s="21">
        <v>667.22299999999996</v>
      </c>
      <c r="AS212" s="21">
        <v>-1.17401E-2</v>
      </c>
      <c r="AT212" s="21">
        <v>202</v>
      </c>
      <c r="AU212" s="21">
        <v>0.78216600000000003</v>
      </c>
      <c r="AV212">
        <f t="shared" si="44"/>
        <v>11.7401</v>
      </c>
      <c r="AW212">
        <f t="shared" si="45"/>
        <v>9.1898685176000008</v>
      </c>
      <c r="AX212" s="9"/>
      <c r="AY212" s="21">
        <v>0.91720599999999997</v>
      </c>
      <c r="AZ212" s="21">
        <v>757.31899999999996</v>
      </c>
      <c r="BA212" s="21">
        <v>-1.17889E-2</v>
      </c>
      <c r="BB212" s="21">
        <v>202</v>
      </c>
      <c r="BC212" s="21">
        <v>0.91674800000000001</v>
      </c>
      <c r="BD212">
        <f t="shared" si="46"/>
        <v>11.7889</v>
      </c>
      <c r="BE212">
        <f t="shared" si="47"/>
        <v>10.8128498134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163.80799999999999</v>
      </c>
      <c r="I213" s="21">
        <v>-1.16089E-2</v>
      </c>
      <c r="J213" s="21">
        <v>203</v>
      </c>
      <c r="K213" s="21">
        <v>0.77728299999999995</v>
      </c>
      <c r="L213">
        <f t="shared" si="36"/>
        <v>11.6089</v>
      </c>
      <c r="M213">
        <f t="shared" si="37"/>
        <v>9.0287058860000009</v>
      </c>
      <c r="N213" s="9"/>
      <c r="O213" s="21">
        <v>0.92224099999999998</v>
      </c>
      <c r="P213" s="21">
        <v>247.79300000000001</v>
      </c>
      <c r="Q213" s="21">
        <v>-1.14807E-2</v>
      </c>
      <c r="R213" s="21">
        <v>203</v>
      </c>
      <c r="S213" s="21">
        <v>0.92132599999999998</v>
      </c>
      <c r="T213">
        <f t="shared" si="38"/>
        <v>11.480700000000001</v>
      </c>
      <c r="U213">
        <f t="shared" si="39"/>
        <v>10.5879722487</v>
      </c>
      <c r="X213" s="9"/>
      <c r="Y213" s="21">
        <v>0.77773999999999999</v>
      </c>
      <c r="Z213" s="21">
        <v>453.96</v>
      </c>
      <c r="AA213" s="21">
        <v>-1.1401400000000001E-2</v>
      </c>
      <c r="AB213" s="21">
        <v>203</v>
      </c>
      <c r="AC213" s="21">
        <v>0.77728299999999995</v>
      </c>
      <c r="AD213">
        <f t="shared" si="40"/>
        <v>11.401400000000001</v>
      </c>
      <c r="AE213">
        <f t="shared" si="41"/>
        <v>8.8673248359999999</v>
      </c>
      <c r="AF213" s="9"/>
      <c r="AG213" s="21">
        <v>0.92224099999999998</v>
      </c>
      <c r="AH213" s="21">
        <v>510.63499999999999</v>
      </c>
      <c r="AI213" s="21">
        <v>-1.16119E-2</v>
      </c>
      <c r="AJ213" s="21">
        <v>203</v>
      </c>
      <c r="AK213" s="21">
        <v>0.92163099999999998</v>
      </c>
      <c r="AL213">
        <f t="shared" si="42"/>
        <v>11.6119</v>
      </c>
      <c r="AM213">
        <f t="shared" si="43"/>
        <v>10.7089702679</v>
      </c>
      <c r="AP213" s="9"/>
      <c r="AQ213" s="21">
        <v>0.77773999999999999</v>
      </c>
      <c r="AR213" s="21">
        <v>667.32399999999996</v>
      </c>
      <c r="AS213" s="21">
        <v>-1.17401E-2</v>
      </c>
      <c r="AT213" s="21">
        <v>203</v>
      </c>
      <c r="AU213" s="21">
        <v>0.77728299999999995</v>
      </c>
      <c r="AV213">
        <f t="shared" si="44"/>
        <v>11.7401</v>
      </c>
      <c r="AW213">
        <f t="shared" si="45"/>
        <v>9.130745374</v>
      </c>
      <c r="AX213" s="9"/>
      <c r="AY213" s="21">
        <v>0.92224099999999998</v>
      </c>
      <c r="AZ213" s="21">
        <v>757.41899999999998</v>
      </c>
      <c r="BA213" s="21">
        <v>-1.1776699999999999E-2</v>
      </c>
      <c r="BB213" s="21">
        <v>203</v>
      </c>
      <c r="BC213" s="21">
        <v>0.92163099999999998</v>
      </c>
      <c r="BD213">
        <f t="shared" si="46"/>
        <v>11.7767</v>
      </c>
      <c r="BE213">
        <f t="shared" si="47"/>
        <v>10.860955584699999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163.90899999999999</v>
      </c>
      <c r="I214" s="21">
        <v>-1.16119E-2</v>
      </c>
      <c r="J214" s="21">
        <v>204</v>
      </c>
      <c r="K214" s="21">
        <v>0.77178999999999998</v>
      </c>
      <c r="L214">
        <f t="shared" si="36"/>
        <v>11.6119</v>
      </c>
      <c r="M214">
        <f t="shared" si="37"/>
        <v>8.9725731895000003</v>
      </c>
      <c r="N214" s="9"/>
      <c r="O214" s="21">
        <v>0.92727700000000002</v>
      </c>
      <c r="P214" s="21">
        <v>247.893</v>
      </c>
      <c r="Q214" s="21">
        <v>-1.14807E-2</v>
      </c>
      <c r="R214" s="21">
        <v>204</v>
      </c>
      <c r="S214" s="21">
        <v>0.92681899999999995</v>
      </c>
      <c r="T214">
        <f t="shared" si="38"/>
        <v>11.480700000000001</v>
      </c>
      <c r="U214">
        <f t="shared" si="39"/>
        <v>10.645789053900002</v>
      </c>
      <c r="X214" s="9"/>
      <c r="Y214" s="21">
        <v>0.77270499999999998</v>
      </c>
      <c r="Z214" s="21">
        <v>454.06099999999998</v>
      </c>
      <c r="AA214" s="21">
        <v>-1.1407499999999999E-2</v>
      </c>
      <c r="AB214" s="21">
        <v>204</v>
      </c>
      <c r="AC214" s="21">
        <v>0.77178999999999998</v>
      </c>
      <c r="AD214">
        <f t="shared" si="40"/>
        <v>11.407499999999999</v>
      </c>
      <c r="AE214">
        <f t="shared" si="41"/>
        <v>8.8146322874999985</v>
      </c>
      <c r="AF214" s="9"/>
      <c r="AG214" s="21">
        <v>0.92727700000000002</v>
      </c>
      <c r="AH214" s="21">
        <v>510.73599999999999</v>
      </c>
      <c r="AI214" s="21">
        <v>-1.15967E-2</v>
      </c>
      <c r="AJ214" s="21">
        <v>204</v>
      </c>
      <c r="AK214" s="21">
        <v>0.92681899999999995</v>
      </c>
      <c r="AL214">
        <f t="shared" si="42"/>
        <v>11.5967</v>
      </c>
      <c r="AM214">
        <f t="shared" si="43"/>
        <v>10.7533531859</v>
      </c>
      <c r="AP214" s="9"/>
      <c r="AQ214" s="21">
        <v>0.77270499999999998</v>
      </c>
      <c r="AR214" s="21">
        <v>667.42499999999995</v>
      </c>
      <c r="AS214" s="21">
        <v>-1.1731E-2</v>
      </c>
      <c r="AT214" s="21">
        <v>204</v>
      </c>
      <c r="AU214" s="21">
        <v>0.77209499999999998</v>
      </c>
      <c r="AV214">
        <f t="shared" si="44"/>
        <v>11.731</v>
      </c>
      <c r="AW214">
        <f t="shared" si="45"/>
        <v>9.0646023549999999</v>
      </c>
      <c r="AX214" s="9"/>
      <c r="AY214" s="21">
        <v>0.92727700000000002</v>
      </c>
      <c r="AZ214" s="21">
        <v>757.52</v>
      </c>
      <c r="BA214" s="21">
        <v>-1.1764500000000001E-2</v>
      </c>
      <c r="BB214" s="21">
        <v>204</v>
      </c>
      <c r="BC214" s="21">
        <v>0.92712399999999995</v>
      </c>
      <c r="BD214">
        <f t="shared" si="46"/>
        <v>11.7645</v>
      </c>
      <c r="BE214">
        <f t="shared" si="47"/>
        <v>10.9089502665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164.01</v>
      </c>
      <c r="I215" s="21">
        <v>-1.1615E-2</v>
      </c>
      <c r="J215" s="21">
        <v>205</v>
      </c>
      <c r="K215" s="21">
        <v>0.76721200000000001</v>
      </c>
      <c r="L215">
        <f t="shared" si="36"/>
        <v>11.615</v>
      </c>
      <c r="M215">
        <f t="shared" si="37"/>
        <v>8.9164870499999989</v>
      </c>
      <c r="N215" s="9"/>
      <c r="O215" s="21">
        <v>0.93231200000000003</v>
      </c>
      <c r="P215" s="21">
        <v>247.994</v>
      </c>
      <c r="Q215" s="21">
        <v>-1.14685E-2</v>
      </c>
      <c r="R215" s="21">
        <v>205</v>
      </c>
      <c r="S215" s="21">
        <v>0.93170200000000003</v>
      </c>
      <c r="T215">
        <f t="shared" si="38"/>
        <v>11.468499999999999</v>
      </c>
      <c r="U215">
        <f t="shared" si="39"/>
        <v>10.692220171999999</v>
      </c>
      <c r="X215" s="9"/>
      <c r="Y215" s="21">
        <v>0.76766999999999996</v>
      </c>
      <c r="Z215" s="21">
        <v>454.16199999999998</v>
      </c>
      <c r="AA215" s="21">
        <v>-1.1413599999999999E-2</v>
      </c>
      <c r="AB215" s="21">
        <v>205</v>
      </c>
      <c r="AC215" s="21">
        <v>0.76721200000000001</v>
      </c>
      <c r="AD215">
        <f t="shared" si="40"/>
        <v>11.413599999999999</v>
      </c>
      <c r="AE215">
        <f t="shared" si="41"/>
        <v>8.7618783119999986</v>
      </c>
      <c r="AF215" s="9"/>
      <c r="AG215" s="21">
        <v>0.93231200000000003</v>
      </c>
      <c r="AH215" s="21">
        <v>510.83699999999999</v>
      </c>
      <c r="AI215" s="21">
        <v>-1.15967E-2</v>
      </c>
      <c r="AJ215" s="21">
        <v>205</v>
      </c>
      <c r="AK215" s="21">
        <v>0.93170200000000003</v>
      </c>
      <c r="AL215">
        <f t="shared" si="42"/>
        <v>11.5967</v>
      </c>
      <c r="AM215">
        <f t="shared" si="43"/>
        <v>10.8117425704</v>
      </c>
      <c r="AP215" s="9"/>
      <c r="AQ215" s="21">
        <v>0.76766999999999996</v>
      </c>
      <c r="AR215" s="21">
        <v>667.52499999999998</v>
      </c>
      <c r="AS215" s="21">
        <v>-1.17584E-2</v>
      </c>
      <c r="AT215" s="21">
        <v>205</v>
      </c>
      <c r="AU215" s="21">
        <v>0.76721200000000001</v>
      </c>
      <c r="AV215">
        <f t="shared" si="44"/>
        <v>11.7584</v>
      </c>
      <c r="AW215">
        <f t="shared" si="45"/>
        <v>9.0265709279999999</v>
      </c>
      <c r="AX215" s="9"/>
      <c r="AY215" s="21">
        <v>0.93231200000000003</v>
      </c>
      <c r="AZ215" s="21">
        <v>757.62099999999998</v>
      </c>
      <c r="BA215" s="21">
        <v>-1.1761499999999999E-2</v>
      </c>
      <c r="BB215" s="21">
        <v>205</v>
      </c>
      <c r="BC215" s="21">
        <v>0.93170200000000003</v>
      </c>
      <c r="BD215">
        <f t="shared" si="46"/>
        <v>11.7615</v>
      </c>
      <c r="BE215">
        <f t="shared" si="47"/>
        <v>10.965387588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164.11</v>
      </c>
      <c r="I216" s="21">
        <v>-1.1618E-2</v>
      </c>
      <c r="J216" s="21">
        <v>206</v>
      </c>
      <c r="K216" s="21">
        <v>0.76141400000000004</v>
      </c>
      <c r="L216">
        <f t="shared" si="36"/>
        <v>11.618</v>
      </c>
      <c r="M216">
        <f t="shared" si="37"/>
        <v>8.8602818120000002</v>
      </c>
      <c r="N216" s="9"/>
      <c r="O216" s="21">
        <v>0.93734700000000004</v>
      </c>
      <c r="P216" s="21">
        <v>248.095</v>
      </c>
      <c r="Q216" s="21">
        <v>-1.1462399999999999E-2</v>
      </c>
      <c r="R216" s="21">
        <v>206</v>
      </c>
      <c r="S216" s="21">
        <v>0.937195</v>
      </c>
      <c r="T216">
        <f t="shared" si="38"/>
        <v>11.462399999999999</v>
      </c>
      <c r="U216">
        <f t="shared" si="39"/>
        <v>10.7442462528</v>
      </c>
      <c r="X216" s="9"/>
      <c r="Y216" s="21">
        <v>0.76263400000000003</v>
      </c>
      <c r="Z216" s="21">
        <v>454.262</v>
      </c>
      <c r="AA216" s="21">
        <v>-1.1422699999999999E-2</v>
      </c>
      <c r="AB216" s="21">
        <v>206</v>
      </c>
      <c r="AC216" s="21">
        <v>0.76141400000000004</v>
      </c>
      <c r="AD216">
        <f t="shared" si="40"/>
        <v>11.422699999999999</v>
      </c>
      <c r="AE216">
        <f t="shared" si="41"/>
        <v>8.7113393917999993</v>
      </c>
      <c r="AF216" s="9"/>
      <c r="AG216" s="21">
        <v>0.93734700000000004</v>
      </c>
      <c r="AH216" s="21">
        <v>510.93700000000001</v>
      </c>
      <c r="AI216" s="21">
        <v>-1.15906E-2</v>
      </c>
      <c r="AJ216" s="21">
        <v>206</v>
      </c>
      <c r="AK216" s="21">
        <v>0.937195</v>
      </c>
      <c r="AL216">
        <f t="shared" si="42"/>
        <v>11.5906</v>
      </c>
      <c r="AM216">
        <f t="shared" si="43"/>
        <v>10.864414138200001</v>
      </c>
      <c r="AP216" s="9"/>
      <c r="AQ216" s="21">
        <v>0.76263400000000003</v>
      </c>
      <c r="AR216" s="21">
        <v>667.62599999999998</v>
      </c>
      <c r="AS216" s="21">
        <v>-1.1764500000000001E-2</v>
      </c>
      <c r="AT216" s="21">
        <v>206</v>
      </c>
      <c r="AU216" s="21">
        <v>0.76232900000000003</v>
      </c>
      <c r="AV216">
        <f t="shared" si="44"/>
        <v>11.7645</v>
      </c>
      <c r="AW216">
        <f t="shared" si="45"/>
        <v>8.9720076930000001</v>
      </c>
      <c r="AX216" s="9"/>
      <c r="AY216" s="21">
        <v>0.93734700000000004</v>
      </c>
      <c r="AZ216" s="21">
        <v>757.72199999999998</v>
      </c>
      <c r="BA216" s="21">
        <v>-1.1749300000000001E-2</v>
      </c>
      <c r="BB216" s="21">
        <v>206</v>
      </c>
      <c r="BC216" s="21">
        <v>0.93597399999999997</v>
      </c>
      <c r="BD216">
        <f t="shared" si="46"/>
        <v>11.7493</v>
      </c>
      <c r="BE216">
        <f t="shared" si="47"/>
        <v>11.0131711071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164.21100000000001</v>
      </c>
      <c r="I217" s="21">
        <v>-1.16241E-2</v>
      </c>
      <c r="J217" s="21">
        <v>207</v>
      </c>
      <c r="K217" s="21">
        <v>0.75653099999999995</v>
      </c>
      <c r="L217">
        <f t="shared" si="36"/>
        <v>11.6241</v>
      </c>
      <c r="M217">
        <f t="shared" si="37"/>
        <v>8.8064065359000008</v>
      </c>
      <c r="N217" s="9"/>
      <c r="O217" s="21">
        <v>0.94238299999999997</v>
      </c>
      <c r="P217" s="21">
        <v>248.19499999999999</v>
      </c>
      <c r="Q217" s="21">
        <v>-1.14594E-2</v>
      </c>
      <c r="R217" s="21">
        <v>207</v>
      </c>
      <c r="S217" s="21">
        <v>0.94238299999999997</v>
      </c>
      <c r="T217">
        <f t="shared" si="38"/>
        <v>11.4594</v>
      </c>
      <c r="U217">
        <f t="shared" si="39"/>
        <v>10.799143750200001</v>
      </c>
      <c r="X217" s="9"/>
      <c r="Y217" s="21">
        <v>0.75759900000000002</v>
      </c>
      <c r="Z217" s="21">
        <v>454.363</v>
      </c>
      <c r="AA217" s="21">
        <v>-1.1428799999999999E-2</v>
      </c>
      <c r="AB217" s="21">
        <v>207</v>
      </c>
      <c r="AC217" s="21">
        <v>0.75714099999999995</v>
      </c>
      <c r="AD217">
        <f t="shared" si="40"/>
        <v>11.428799999999999</v>
      </c>
      <c r="AE217">
        <f t="shared" si="41"/>
        <v>8.6584474511999989</v>
      </c>
      <c r="AF217" s="9"/>
      <c r="AG217" s="21">
        <v>0.94238299999999997</v>
      </c>
      <c r="AH217" s="21">
        <v>511.03800000000001</v>
      </c>
      <c r="AI217" s="21">
        <v>-1.1587500000000001E-2</v>
      </c>
      <c r="AJ217" s="21">
        <v>207</v>
      </c>
      <c r="AK217" s="21">
        <v>0.94177200000000005</v>
      </c>
      <c r="AL217">
        <f t="shared" si="42"/>
        <v>11.5875</v>
      </c>
      <c r="AM217">
        <f t="shared" si="43"/>
        <v>10.9198630125</v>
      </c>
      <c r="AP217" s="9"/>
      <c r="AQ217" s="21">
        <v>0.75759900000000002</v>
      </c>
      <c r="AR217" s="21">
        <v>667.72699999999998</v>
      </c>
      <c r="AS217" s="21">
        <v>-1.1764500000000001E-2</v>
      </c>
      <c r="AT217" s="21">
        <v>207</v>
      </c>
      <c r="AU217" s="21">
        <v>0.75683599999999995</v>
      </c>
      <c r="AV217">
        <f t="shared" si="44"/>
        <v>11.7645</v>
      </c>
      <c r="AW217">
        <f t="shared" si="45"/>
        <v>8.9127734355000001</v>
      </c>
      <c r="AX217" s="9"/>
      <c r="AY217" s="21">
        <v>0.94238299999999997</v>
      </c>
      <c r="AZ217" s="21">
        <v>757.822</v>
      </c>
      <c r="BA217" s="21">
        <v>-1.17371E-2</v>
      </c>
      <c r="BB217" s="21">
        <v>207</v>
      </c>
      <c r="BC217" s="21">
        <v>0.94177200000000005</v>
      </c>
      <c r="BD217">
        <f t="shared" si="46"/>
        <v>11.7371</v>
      </c>
      <c r="BE217">
        <f t="shared" si="47"/>
        <v>11.0608435093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164.31200000000001</v>
      </c>
      <c r="I218" s="21">
        <v>-1.16302E-2</v>
      </c>
      <c r="J218" s="21">
        <v>208</v>
      </c>
      <c r="K218" s="21">
        <v>0.75225799999999998</v>
      </c>
      <c r="L218">
        <f t="shared" si="36"/>
        <v>11.6302</v>
      </c>
      <c r="M218">
        <f t="shared" si="37"/>
        <v>8.7524582025999997</v>
      </c>
      <c r="N218" s="9"/>
      <c r="O218" s="21">
        <v>0.94741799999999998</v>
      </c>
      <c r="P218" s="21">
        <v>248.29599999999999</v>
      </c>
      <c r="Q218" s="21">
        <v>-1.1456300000000001E-2</v>
      </c>
      <c r="R218" s="21">
        <v>208</v>
      </c>
      <c r="S218" s="21">
        <v>0.94604500000000002</v>
      </c>
      <c r="T218">
        <f t="shared" si="38"/>
        <v>11.456300000000001</v>
      </c>
      <c r="U218">
        <f t="shared" si="39"/>
        <v>10.8539048334</v>
      </c>
      <c r="X218" s="9"/>
      <c r="Y218" s="21">
        <v>0.75256299999999998</v>
      </c>
      <c r="Z218" s="21">
        <v>454.464</v>
      </c>
      <c r="AA218" s="21">
        <v>-1.1428799999999999E-2</v>
      </c>
      <c r="AB218" s="21">
        <v>208</v>
      </c>
      <c r="AC218" s="21">
        <v>0.75225799999999998</v>
      </c>
      <c r="AD218">
        <f t="shared" si="40"/>
        <v>11.428799999999999</v>
      </c>
      <c r="AE218">
        <f t="shared" si="41"/>
        <v>8.6008920143999994</v>
      </c>
      <c r="AF218" s="9"/>
      <c r="AG218" s="21">
        <v>0.94741799999999998</v>
      </c>
      <c r="AH218" s="21">
        <v>511.13900000000001</v>
      </c>
      <c r="AI218" s="21">
        <v>-1.1578400000000001E-2</v>
      </c>
      <c r="AJ218" s="21">
        <v>208</v>
      </c>
      <c r="AK218" s="21">
        <v>0.94665500000000002</v>
      </c>
      <c r="AL218">
        <f t="shared" si="42"/>
        <v>11.5784</v>
      </c>
      <c r="AM218">
        <f t="shared" si="43"/>
        <v>10.9695845712</v>
      </c>
      <c r="AP218" s="9"/>
      <c r="AQ218" s="21">
        <v>0.75256299999999998</v>
      </c>
      <c r="AR218" s="21">
        <v>667.827</v>
      </c>
      <c r="AS218" s="21">
        <v>-1.17676E-2</v>
      </c>
      <c r="AT218" s="21">
        <v>208</v>
      </c>
      <c r="AU218" s="21">
        <v>0.75195299999999998</v>
      </c>
      <c r="AV218">
        <f t="shared" si="44"/>
        <v>11.7676</v>
      </c>
      <c r="AW218">
        <f t="shared" si="45"/>
        <v>8.8558603587999993</v>
      </c>
      <c r="AX218" s="9"/>
      <c r="AY218" s="21">
        <v>0.94741799999999998</v>
      </c>
      <c r="AZ218" s="21">
        <v>757.923</v>
      </c>
      <c r="BA218" s="21">
        <v>-1.1731E-2</v>
      </c>
      <c r="BB218" s="21">
        <v>208</v>
      </c>
      <c r="BC218" s="21">
        <v>0.94635000000000002</v>
      </c>
      <c r="BD218">
        <f t="shared" si="46"/>
        <v>11.731</v>
      </c>
      <c r="BE218">
        <f t="shared" si="47"/>
        <v>11.114160558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164.41200000000001</v>
      </c>
      <c r="I219" s="21">
        <v>-1.1621100000000001E-2</v>
      </c>
      <c r="J219" s="21">
        <v>209</v>
      </c>
      <c r="K219" s="21">
        <v>0.74713099999999999</v>
      </c>
      <c r="L219">
        <f t="shared" si="36"/>
        <v>11.6211</v>
      </c>
      <c r="M219">
        <f t="shared" si="37"/>
        <v>8.6870976407999994</v>
      </c>
      <c r="N219" s="9"/>
      <c r="O219" s="21">
        <v>0.95245400000000002</v>
      </c>
      <c r="P219" s="21">
        <v>248.39699999999999</v>
      </c>
      <c r="Q219" s="21">
        <v>-1.14441E-2</v>
      </c>
      <c r="R219" s="21">
        <v>209</v>
      </c>
      <c r="S219" s="21">
        <v>0.95153799999999999</v>
      </c>
      <c r="T219">
        <f t="shared" si="38"/>
        <v>11.444100000000001</v>
      </c>
      <c r="U219">
        <f t="shared" si="39"/>
        <v>10.899978821400001</v>
      </c>
      <c r="X219" s="9"/>
      <c r="Y219" s="21">
        <v>0.74752799999999997</v>
      </c>
      <c r="Z219" s="21">
        <v>454.565</v>
      </c>
      <c r="AA219" s="21">
        <v>-1.14258E-2</v>
      </c>
      <c r="AB219" s="21">
        <v>209</v>
      </c>
      <c r="AC219" s="21">
        <v>0.74713099999999999</v>
      </c>
      <c r="AD219">
        <f t="shared" si="40"/>
        <v>11.425800000000001</v>
      </c>
      <c r="AE219">
        <f t="shared" si="41"/>
        <v>8.5411054223999994</v>
      </c>
      <c r="AF219" s="9"/>
      <c r="AG219" s="21">
        <v>0.95245400000000002</v>
      </c>
      <c r="AH219" s="21">
        <v>511.23899999999998</v>
      </c>
      <c r="AI219" s="21">
        <v>-1.1572300000000001E-2</v>
      </c>
      <c r="AJ219" s="21">
        <v>209</v>
      </c>
      <c r="AK219" s="21">
        <v>0.95184299999999999</v>
      </c>
      <c r="AL219">
        <f t="shared" si="42"/>
        <v>11.5723</v>
      </c>
      <c r="AM219">
        <f t="shared" si="43"/>
        <v>11.0220834242</v>
      </c>
      <c r="AP219" s="9"/>
      <c r="AQ219" s="21">
        <v>0.74752799999999997</v>
      </c>
      <c r="AR219" s="21">
        <v>667.928</v>
      </c>
      <c r="AS219" s="21">
        <v>-1.1770600000000001E-2</v>
      </c>
      <c r="AT219" s="21">
        <v>209</v>
      </c>
      <c r="AU219" s="21">
        <v>0.74707000000000001</v>
      </c>
      <c r="AV219">
        <f t="shared" si="44"/>
        <v>11.770600000000002</v>
      </c>
      <c r="AW219">
        <f t="shared" si="45"/>
        <v>8.7988530768000004</v>
      </c>
      <c r="AX219" s="9"/>
      <c r="AY219" s="21">
        <v>0.95245400000000002</v>
      </c>
      <c r="AZ219" s="21">
        <v>758.024</v>
      </c>
      <c r="BA219" s="21">
        <v>-1.17249E-2</v>
      </c>
      <c r="BB219" s="21">
        <v>209</v>
      </c>
      <c r="BC219" s="21">
        <v>0.95184299999999999</v>
      </c>
      <c r="BD219">
        <f t="shared" si="46"/>
        <v>11.7249</v>
      </c>
      <c r="BE219">
        <f t="shared" si="47"/>
        <v>11.1674279046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164.51300000000001</v>
      </c>
      <c r="I220" s="21">
        <v>-1.16241E-2</v>
      </c>
      <c r="J220" s="21">
        <v>210</v>
      </c>
      <c r="K220" s="21">
        <v>0.74209599999999998</v>
      </c>
      <c r="L220">
        <f t="shared" si="36"/>
        <v>11.6241</v>
      </c>
      <c r="M220">
        <f t="shared" si="37"/>
        <v>8.6308128812999989</v>
      </c>
      <c r="N220" s="9"/>
      <c r="O220" s="21">
        <v>0.95748900000000003</v>
      </c>
      <c r="P220" s="21">
        <v>248.49799999999999</v>
      </c>
      <c r="Q220" s="21">
        <v>-1.1438E-2</v>
      </c>
      <c r="R220" s="21">
        <v>210</v>
      </c>
      <c r="S220" s="21">
        <v>0.95672599999999997</v>
      </c>
      <c r="T220">
        <f t="shared" si="38"/>
        <v>11.438000000000001</v>
      </c>
      <c r="U220">
        <f t="shared" si="39"/>
        <v>10.951759182000002</v>
      </c>
      <c r="X220" s="9"/>
      <c r="Y220" s="21">
        <v>0.74249299999999996</v>
      </c>
      <c r="Z220" s="21">
        <v>454.66500000000002</v>
      </c>
      <c r="AA220" s="21">
        <v>-1.1441E-2</v>
      </c>
      <c r="AB220" s="21">
        <v>210</v>
      </c>
      <c r="AC220" s="21">
        <v>0.74212599999999995</v>
      </c>
      <c r="AD220">
        <f t="shared" si="40"/>
        <v>11.440999999999999</v>
      </c>
      <c r="AE220">
        <f t="shared" si="41"/>
        <v>8.4948624129999981</v>
      </c>
      <c r="AF220" s="9"/>
      <c r="AG220" s="21">
        <v>0.95748900000000003</v>
      </c>
      <c r="AH220" s="21">
        <v>511.34</v>
      </c>
      <c r="AI220" s="21">
        <v>-1.15662E-2</v>
      </c>
      <c r="AJ220" s="21">
        <v>210</v>
      </c>
      <c r="AK220" s="21">
        <v>0.95672599999999997</v>
      </c>
      <c r="AL220">
        <f t="shared" si="42"/>
        <v>11.5662</v>
      </c>
      <c r="AM220">
        <f t="shared" si="43"/>
        <v>11.0745092718</v>
      </c>
      <c r="AP220" s="9"/>
      <c r="AQ220" s="21">
        <v>0.74249299999999996</v>
      </c>
      <c r="AR220" s="21">
        <v>668.029</v>
      </c>
      <c r="AS220" s="21">
        <v>-1.17737E-2</v>
      </c>
      <c r="AT220" s="21">
        <v>210</v>
      </c>
      <c r="AU220" s="21">
        <v>0.74209599999999998</v>
      </c>
      <c r="AV220">
        <f t="shared" si="44"/>
        <v>11.7737</v>
      </c>
      <c r="AW220">
        <f t="shared" si="45"/>
        <v>8.7418898341000002</v>
      </c>
      <c r="AX220" s="9"/>
      <c r="AY220" s="21">
        <v>0.95748900000000003</v>
      </c>
      <c r="AZ220" s="21">
        <v>758.12400000000002</v>
      </c>
      <c r="BA220" s="21">
        <v>-1.1727899999999999E-2</v>
      </c>
      <c r="BB220" s="21">
        <v>210</v>
      </c>
      <c r="BC220" s="21">
        <v>0.95642099999999997</v>
      </c>
      <c r="BD220">
        <f t="shared" si="46"/>
        <v>11.7279</v>
      </c>
      <c r="BE220">
        <f t="shared" si="47"/>
        <v>11.2293352431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164.614</v>
      </c>
      <c r="I221" s="21">
        <v>-1.16241E-2</v>
      </c>
      <c r="J221" s="21">
        <v>211</v>
      </c>
      <c r="K221" s="21">
        <v>0.73712200000000005</v>
      </c>
      <c r="L221">
        <f t="shared" si="36"/>
        <v>11.6241</v>
      </c>
      <c r="M221">
        <f t="shared" si="37"/>
        <v>8.5722739137000001</v>
      </c>
      <c r="N221" s="9"/>
      <c r="O221" s="21">
        <v>0.96252400000000005</v>
      </c>
      <c r="P221" s="21">
        <v>248.59800000000001</v>
      </c>
      <c r="Q221" s="21">
        <v>-1.14349E-2</v>
      </c>
      <c r="R221" s="21">
        <v>211</v>
      </c>
      <c r="S221" s="21">
        <v>0.96191400000000005</v>
      </c>
      <c r="T221">
        <f t="shared" si="38"/>
        <v>11.434899999999999</v>
      </c>
      <c r="U221">
        <f t="shared" si="39"/>
        <v>11.006365687599999</v>
      </c>
      <c r="X221" s="9"/>
      <c r="Y221" s="21">
        <v>0.73745700000000003</v>
      </c>
      <c r="Z221" s="21">
        <v>454.76600000000002</v>
      </c>
      <c r="AA221" s="21">
        <v>-1.14471E-2</v>
      </c>
      <c r="AB221" s="21">
        <v>211</v>
      </c>
      <c r="AC221" s="21">
        <v>0.73702999999999996</v>
      </c>
      <c r="AD221">
        <f t="shared" si="40"/>
        <v>11.447100000000001</v>
      </c>
      <c r="AE221">
        <f t="shared" si="41"/>
        <v>8.4417440247000002</v>
      </c>
      <c r="AF221" s="9"/>
      <c r="AG221" s="21">
        <v>0.96252400000000005</v>
      </c>
      <c r="AH221" s="21">
        <v>511.44099999999997</v>
      </c>
      <c r="AI221" s="21">
        <v>-1.1578400000000001E-2</v>
      </c>
      <c r="AJ221" s="21">
        <v>211</v>
      </c>
      <c r="AK221" s="21">
        <v>0.96221900000000005</v>
      </c>
      <c r="AL221">
        <f t="shared" si="42"/>
        <v>11.5784</v>
      </c>
      <c r="AM221">
        <f t="shared" si="43"/>
        <v>11.1444878816</v>
      </c>
      <c r="AP221" s="9"/>
      <c r="AQ221" s="21">
        <v>0.73745700000000003</v>
      </c>
      <c r="AR221" s="21">
        <v>668.13</v>
      </c>
      <c r="AS221" s="21">
        <v>-1.17889E-2</v>
      </c>
      <c r="AT221" s="21">
        <v>211</v>
      </c>
      <c r="AU221" s="21">
        <v>0.73715200000000003</v>
      </c>
      <c r="AV221">
        <f t="shared" si="44"/>
        <v>11.7889</v>
      </c>
      <c r="AW221">
        <f t="shared" si="45"/>
        <v>8.6938068272999995</v>
      </c>
      <c r="AX221" s="9"/>
      <c r="AY221" s="21">
        <v>0.96252400000000005</v>
      </c>
      <c r="AZ221" s="21">
        <v>758.22500000000002</v>
      </c>
      <c r="BA221" s="21">
        <v>-1.1715700000000001E-2</v>
      </c>
      <c r="BB221" s="21">
        <v>211</v>
      </c>
      <c r="BC221" s="21">
        <v>0.96160900000000005</v>
      </c>
      <c r="BD221">
        <f t="shared" si="46"/>
        <v>11.7157</v>
      </c>
      <c r="BE221">
        <f t="shared" si="47"/>
        <v>11.276642426800001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164.715</v>
      </c>
      <c r="I222" s="21">
        <v>-1.1627200000000001E-2</v>
      </c>
      <c r="J222" s="21">
        <v>212</v>
      </c>
      <c r="K222" s="21">
        <v>0.73202500000000004</v>
      </c>
      <c r="L222">
        <f t="shared" si="36"/>
        <v>11.6272</v>
      </c>
      <c r="M222">
        <f t="shared" si="37"/>
        <v>8.5160170784000009</v>
      </c>
      <c r="N222" s="9"/>
      <c r="O222" s="21">
        <v>0.96755999999999998</v>
      </c>
      <c r="P222" s="21">
        <v>248.69900000000001</v>
      </c>
      <c r="Q222" s="21">
        <v>-1.14258E-2</v>
      </c>
      <c r="R222" s="21">
        <v>212</v>
      </c>
      <c r="S222" s="21">
        <v>0.96618700000000002</v>
      </c>
      <c r="T222">
        <f t="shared" si="38"/>
        <v>11.425800000000001</v>
      </c>
      <c r="U222">
        <f t="shared" si="39"/>
        <v>11.055147048</v>
      </c>
      <c r="X222" s="9"/>
      <c r="Y222" s="21">
        <v>0.73242200000000002</v>
      </c>
      <c r="Z222" s="21">
        <v>454.86700000000002</v>
      </c>
      <c r="AA222" s="21">
        <v>-1.14471E-2</v>
      </c>
      <c r="AB222" s="21">
        <v>212</v>
      </c>
      <c r="AC222" s="21">
        <v>0.73208600000000001</v>
      </c>
      <c r="AD222">
        <f t="shared" si="40"/>
        <v>11.447100000000001</v>
      </c>
      <c r="AE222">
        <f t="shared" si="41"/>
        <v>8.3841078761999999</v>
      </c>
      <c r="AF222" s="9"/>
      <c r="AG222" s="21">
        <v>0.96755999999999998</v>
      </c>
      <c r="AH222" s="21">
        <v>511.54199999999997</v>
      </c>
      <c r="AI222" s="21">
        <v>-1.1557E-2</v>
      </c>
      <c r="AJ222" s="21">
        <v>212</v>
      </c>
      <c r="AK222" s="21">
        <v>0.96710200000000002</v>
      </c>
      <c r="AL222">
        <f t="shared" si="42"/>
        <v>11.557</v>
      </c>
      <c r="AM222">
        <f t="shared" si="43"/>
        <v>11.18209092</v>
      </c>
      <c r="AP222" s="9"/>
      <c r="AQ222" s="21">
        <v>0.73242200000000002</v>
      </c>
      <c r="AR222" s="21">
        <v>668.23</v>
      </c>
      <c r="AS222" s="21">
        <v>-1.1798100000000001E-2</v>
      </c>
      <c r="AT222" s="21">
        <v>212</v>
      </c>
      <c r="AU222" s="21">
        <v>0.73205600000000004</v>
      </c>
      <c r="AV222">
        <f t="shared" si="44"/>
        <v>11.7981</v>
      </c>
      <c r="AW222">
        <f t="shared" si="45"/>
        <v>8.6411879981999995</v>
      </c>
      <c r="AX222" s="9"/>
      <c r="AY222" s="21">
        <v>0.96755999999999998</v>
      </c>
      <c r="AZ222" s="21">
        <v>758.32600000000002</v>
      </c>
      <c r="BA222" s="21">
        <v>-1.17065E-2</v>
      </c>
      <c r="BB222" s="21">
        <v>212</v>
      </c>
      <c r="BC222" s="21">
        <v>0.96679700000000002</v>
      </c>
      <c r="BD222">
        <f t="shared" si="46"/>
        <v>11.7065</v>
      </c>
      <c r="BE222">
        <f t="shared" si="47"/>
        <v>11.326741139999999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164.815</v>
      </c>
      <c r="I223" s="21">
        <v>-1.16364E-2</v>
      </c>
      <c r="J223" s="21">
        <v>213</v>
      </c>
      <c r="K223" s="21">
        <v>0.727051</v>
      </c>
      <c r="L223">
        <f t="shared" si="36"/>
        <v>11.6364</v>
      </c>
      <c r="M223">
        <f t="shared" si="37"/>
        <v>8.4641544504000006</v>
      </c>
      <c r="N223" s="9"/>
      <c r="O223" s="21">
        <v>0.97259499999999999</v>
      </c>
      <c r="P223" s="21">
        <v>248.8</v>
      </c>
      <c r="Q223" s="21">
        <v>-1.14197E-2</v>
      </c>
      <c r="R223" s="21">
        <v>213</v>
      </c>
      <c r="S223" s="21">
        <v>0.97167999999999999</v>
      </c>
      <c r="T223">
        <f t="shared" si="38"/>
        <v>11.419699999999999</v>
      </c>
      <c r="U223">
        <f t="shared" si="39"/>
        <v>11.106743121499999</v>
      </c>
      <c r="X223" s="9"/>
      <c r="Y223" s="21">
        <v>0.72738599999999998</v>
      </c>
      <c r="Z223" s="21">
        <v>454.96699999999998</v>
      </c>
      <c r="AA223" s="21">
        <v>-1.1441E-2</v>
      </c>
      <c r="AB223" s="21">
        <v>213</v>
      </c>
      <c r="AC223" s="21">
        <v>0.72702</v>
      </c>
      <c r="AD223">
        <f t="shared" si="40"/>
        <v>11.440999999999999</v>
      </c>
      <c r="AE223">
        <f t="shared" si="41"/>
        <v>8.3220232259999989</v>
      </c>
      <c r="AF223" s="9"/>
      <c r="AG223" s="21">
        <v>0.97259499999999999</v>
      </c>
      <c r="AH223" s="21">
        <v>511.642</v>
      </c>
      <c r="AI223" s="21">
        <v>-1.1554E-2</v>
      </c>
      <c r="AJ223" s="21">
        <v>213</v>
      </c>
      <c r="AK223" s="21">
        <v>0.97137499999999999</v>
      </c>
      <c r="AL223">
        <f t="shared" si="42"/>
        <v>11.554</v>
      </c>
      <c r="AM223">
        <f t="shared" si="43"/>
        <v>11.23736263</v>
      </c>
      <c r="AP223" s="9"/>
      <c r="AQ223" s="21">
        <v>0.72738599999999998</v>
      </c>
      <c r="AR223" s="21">
        <v>668.33100000000002</v>
      </c>
      <c r="AS223" s="21">
        <v>-1.1804200000000001E-2</v>
      </c>
      <c r="AT223" s="21">
        <v>213</v>
      </c>
      <c r="AU223" s="21">
        <v>0.72689800000000004</v>
      </c>
      <c r="AV223">
        <f t="shared" si="44"/>
        <v>11.804200000000002</v>
      </c>
      <c r="AW223">
        <f t="shared" si="45"/>
        <v>8.5862098212000006</v>
      </c>
      <c r="AX223" s="9"/>
      <c r="AY223" s="21">
        <v>0.97259499999999999</v>
      </c>
      <c r="AZ223" s="21">
        <v>758.42600000000004</v>
      </c>
      <c r="BA223" s="21">
        <v>-1.17004E-2</v>
      </c>
      <c r="BB223" s="21">
        <v>213</v>
      </c>
      <c r="BC223" s="21">
        <v>0.97198499999999999</v>
      </c>
      <c r="BD223">
        <f t="shared" si="46"/>
        <v>11.7004</v>
      </c>
      <c r="BE223">
        <f t="shared" si="47"/>
        <v>11.379750538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164.916</v>
      </c>
      <c r="I224" s="21">
        <v>-1.16455E-2</v>
      </c>
      <c r="J224" s="21">
        <v>214</v>
      </c>
      <c r="K224" s="21">
        <v>0.72198499999999999</v>
      </c>
      <c r="L224">
        <f t="shared" si="36"/>
        <v>11.6455</v>
      </c>
      <c r="M224">
        <f t="shared" si="37"/>
        <v>8.4121385704999998</v>
      </c>
      <c r="N224" s="9"/>
      <c r="O224" s="21">
        <v>0.97763100000000003</v>
      </c>
      <c r="P224" s="21">
        <v>248.9</v>
      </c>
      <c r="Q224" s="21">
        <v>-1.1416600000000001E-2</v>
      </c>
      <c r="R224" s="21">
        <v>214</v>
      </c>
      <c r="S224" s="21">
        <v>0.97717299999999996</v>
      </c>
      <c r="T224">
        <f t="shared" si="38"/>
        <v>11.416600000000001</v>
      </c>
      <c r="U224">
        <f t="shared" si="39"/>
        <v>11.161222074600001</v>
      </c>
      <c r="X224" s="9"/>
      <c r="Y224" s="21">
        <v>0.72235099999999997</v>
      </c>
      <c r="Z224" s="21">
        <v>455.06799999999998</v>
      </c>
      <c r="AA224" s="21">
        <v>-1.1450200000000001E-2</v>
      </c>
      <c r="AB224" s="21">
        <v>214</v>
      </c>
      <c r="AC224" s="21">
        <v>0.72204599999999997</v>
      </c>
      <c r="AD224">
        <f t="shared" si="40"/>
        <v>11.450200000000001</v>
      </c>
      <c r="AE224">
        <f t="shared" si="41"/>
        <v>8.2710634202000008</v>
      </c>
      <c r="AF224" s="9"/>
      <c r="AG224" s="21">
        <v>0.97763100000000003</v>
      </c>
      <c r="AH224" s="21">
        <v>511.74299999999999</v>
      </c>
      <c r="AI224" s="21">
        <v>-1.1554E-2</v>
      </c>
      <c r="AJ224" s="21">
        <v>214</v>
      </c>
      <c r="AK224" s="21">
        <v>0.97717299999999996</v>
      </c>
      <c r="AL224">
        <f t="shared" si="42"/>
        <v>11.554</v>
      </c>
      <c r="AM224">
        <f t="shared" si="43"/>
        <v>11.295548574000001</v>
      </c>
      <c r="AP224" s="9"/>
      <c r="AQ224" s="21">
        <v>0.72235099999999997</v>
      </c>
      <c r="AR224" s="21">
        <v>668.43200000000002</v>
      </c>
      <c r="AS224" s="21">
        <v>-1.18134E-2</v>
      </c>
      <c r="AT224" s="21">
        <v>214</v>
      </c>
      <c r="AU224" s="21">
        <v>0.72201499999999996</v>
      </c>
      <c r="AV224">
        <f t="shared" si="44"/>
        <v>11.8134</v>
      </c>
      <c r="AW224">
        <f t="shared" si="45"/>
        <v>8.533421303399999</v>
      </c>
      <c r="AX224" s="9"/>
      <c r="AY224" s="21">
        <v>0.97763100000000003</v>
      </c>
      <c r="AZ224" s="21">
        <v>758.52700000000004</v>
      </c>
      <c r="BA224" s="21">
        <v>-1.16913E-2</v>
      </c>
      <c r="BB224" s="21">
        <v>214</v>
      </c>
      <c r="BC224" s="21">
        <v>0.97686799999999996</v>
      </c>
      <c r="BD224">
        <f t="shared" si="46"/>
        <v>11.6913</v>
      </c>
      <c r="BE224">
        <f t="shared" si="47"/>
        <v>11.4297773103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165.017</v>
      </c>
      <c r="I225" s="21">
        <v>-1.16547E-2</v>
      </c>
      <c r="J225" s="21">
        <v>215</v>
      </c>
      <c r="K225" s="21">
        <v>0.71694899999999995</v>
      </c>
      <c r="L225">
        <f t="shared" si="36"/>
        <v>11.6547</v>
      </c>
      <c r="M225">
        <f t="shared" si="37"/>
        <v>8.3601027851999987</v>
      </c>
      <c r="N225" s="9"/>
      <c r="O225" s="21">
        <v>0.98266600000000004</v>
      </c>
      <c r="P225" s="21">
        <v>249.001</v>
      </c>
      <c r="Q225" s="21">
        <v>-1.1410500000000001E-2</v>
      </c>
      <c r="R225" s="21">
        <v>215</v>
      </c>
      <c r="S225" s="21">
        <v>0.98144500000000001</v>
      </c>
      <c r="T225">
        <f t="shared" si="38"/>
        <v>11.410500000000001</v>
      </c>
      <c r="U225">
        <f t="shared" si="39"/>
        <v>11.212710393000002</v>
      </c>
      <c r="X225" s="9"/>
      <c r="Y225" s="21">
        <v>0.71731599999999995</v>
      </c>
      <c r="Z225" s="21">
        <v>455.16899999999998</v>
      </c>
      <c r="AA225" s="21">
        <v>-1.14471E-2</v>
      </c>
      <c r="AB225" s="21">
        <v>215</v>
      </c>
      <c r="AC225" s="21">
        <v>0.71704100000000004</v>
      </c>
      <c r="AD225">
        <f t="shared" si="40"/>
        <v>11.447100000000001</v>
      </c>
      <c r="AE225">
        <f t="shared" si="41"/>
        <v>8.2111879836000004</v>
      </c>
      <c r="AF225" s="9"/>
      <c r="AG225" s="21">
        <v>0.98266600000000004</v>
      </c>
      <c r="AH225" s="21">
        <v>511.84399999999999</v>
      </c>
      <c r="AI225" s="21">
        <v>-1.15417E-2</v>
      </c>
      <c r="AJ225" s="21">
        <v>215</v>
      </c>
      <c r="AK225" s="21">
        <v>0.98236100000000004</v>
      </c>
      <c r="AL225">
        <f t="shared" si="42"/>
        <v>11.541700000000001</v>
      </c>
      <c r="AM225">
        <f t="shared" si="43"/>
        <v>11.341636172200001</v>
      </c>
      <c r="AP225" s="9"/>
      <c r="AQ225" s="21">
        <v>0.71731599999999995</v>
      </c>
      <c r="AR225" s="21">
        <v>668.53200000000004</v>
      </c>
      <c r="AS225" s="21">
        <v>-1.18195E-2</v>
      </c>
      <c r="AT225" s="21">
        <v>215</v>
      </c>
      <c r="AU225" s="21">
        <v>0.71694899999999995</v>
      </c>
      <c r="AV225">
        <f t="shared" si="44"/>
        <v>11.8195</v>
      </c>
      <c r="AW225">
        <f t="shared" si="45"/>
        <v>8.4783164619999987</v>
      </c>
      <c r="AX225" s="9"/>
      <c r="AY225" s="21">
        <v>0.98266600000000004</v>
      </c>
      <c r="AZ225" s="21">
        <v>758.62800000000004</v>
      </c>
      <c r="BA225" s="21">
        <v>-1.1688199999999999E-2</v>
      </c>
      <c r="BB225" s="21">
        <v>215</v>
      </c>
      <c r="BC225" s="21">
        <v>0.98175000000000001</v>
      </c>
      <c r="BD225">
        <f t="shared" si="46"/>
        <v>11.6882</v>
      </c>
      <c r="BE225">
        <f t="shared" si="47"/>
        <v>11.4855967412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165.11699999999999</v>
      </c>
      <c r="I226" s="21">
        <v>-1.16577E-2</v>
      </c>
      <c r="J226" s="21">
        <v>216</v>
      </c>
      <c r="K226" s="21">
        <v>0.71194500000000005</v>
      </c>
      <c r="L226">
        <f t="shared" si="36"/>
        <v>11.6577</v>
      </c>
      <c r="M226">
        <f t="shared" si="37"/>
        <v>8.3035465560000006</v>
      </c>
      <c r="N226" s="9"/>
      <c r="O226" s="21">
        <v>0.98770100000000005</v>
      </c>
      <c r="P226" s="21">
        <v>249.102</v>
      </c>
      <c r="Q226" s="21">
        <v>-1.14044E-2</v>
      </c>
      <c r="R226" s="21">
        <v>216</v>
      </c>
      <c r="S226" s="21">
        <v>0.98724400000000001</v>
      </c>
      <c r="T226">
        <f t="shared" si="38"/>
        <v>11.404400000000001</v>
      </c>
      <c r="U226">
        <f t="shared" si="39"/>
        <v>11.264137284400002</v>
      </c>
      <c r="X226" s="9"/>
      <c r="Y226" s="21">
        <v>0.71228000000000002</v>
      </c>
      <c r="Z226" s="21">
        <v>455.26900000000001</v>
      </c>
      <c r="AA226" s="21">
        <v>-1.14532E-2</v>
      </c>
      <c r="AB226" s="21">
        <v>216</v>
      </c>
      <c r="AC226" s="21">
        <v>0.712036</v>
      </c>
      <c r="AD226">
        <f t="shared" si="40"/>
        <v>11.453200000000001</v>
      </c>
      <c r="AE226">
        <f t="shared" si="41"/>
        <v>8.1578852959999999</v>
      </c>
      <c r="AF226" s="9"/>
      <c r="AG226" s="21">
        <v>0.98770100000000005</v>
      </c>
      <c r="AH226" s="21">
        <v>511.94400000000002</v>
      </c>
      <c r="AI226" s="21">
        <v>-1.15326E-2</v>
      </c>
      <c r="AJ226" s="21">
        <v>216</v>
      </c>
      <c r="AK226" s="21">
        <v>0.98693799999999998</v>
      </c>
      <c r="AL226">
        <f t="shared" si="42"/>
        <v>11.5326</v>
      </c>
      <c r="AM226">
        <f t="shared" si="43"/>
        <v>11.390760552600002</v>
      </c>
      <c r="AP226" s="9"/>
      <c r="AQ226" s="21">
        <v>0.71228000000000002</v>
      </c>
      <c r="AR226" s="21">
        <v>668.63300000000004</v>
      </c>
      <c r="AS226" s="21">
        <v>-1.18256E-2</v>
      </c>
      <c r="AT226" s="21">
        <v>216</v>
      </c>
      <c r="AU226" s="21">
        <v>0.71197500000000002</v>
      </c>
      <c r="AV226">
        <f t="shared" si="44"/>
        <v>11.8256</v>
      </c>
      <c r="AW226">
        <f t="shared" si="45"/>
        <v>8.423138368</v>
      </c>
      <c r="AX226" s="9"/>
      <c r="AY226" s="21">
        <v>0.98770100000000005</v>
      </c>
      <c r="AZ226" s="21">
        <v>758.72900000000004</v>
      </c>
      <c r="BA226" s="21">
        <v>-1.16852E-2</v>
      </c>
      <c r="BB226" s="21">
        <v>216</v>
      </c>
      <c r="BC226" s="21">
        <v>0.98724400000000001</v>
      </c>
      <c r="BD226">
        <f t="shared" si="46"/>
        <v>11.6852</v>
      </c>
      <c r="BE226">
        <f t="shared" si="47"/>
        <v>11.541483725200001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165.21799999999999</v>
      </c>
      <c r="I227" s="21">
        <v>-1.16547E-2</v>
      </c>
      <c r="J227" s="21">
        <v>217</v>
      </c>
      <c r="K227" s="21">
        <v>0.70694000000000001</v>
      </c>
      <c r="L227">
        <f t="shared" si="36"/>
        <v>11.6547</v>
      </c>
      <c r="M227">
        <f t="shared" si="37"/>
        <v>8.2427283014999997</v>
      </c>
      <c r="N227" s="9"/>
      <c r="O227" s="21">
        <v>0.99273699999999998</v>
      </c>
      <c r="P227" s="21">
        <v>249.203</v>
      </c>
      <c r="Q227" s="21">
        <v>-1.13983E-2</v>
      </c>
      <c r="R227" s="21">
        <v>217</v>
      </c>
      <c r="S227" s="21">
        <v>0.99212599999999995</v>
      </c>
      <c r="T227">
        <f t="shared" si="38"/>
        <v>11.398300000000001</v>
      </c>
      <c r="U227">
        <f t="shared" si="39"/>
        <v>11.3155141471</v>
      </c>
      <c r="X227" s="9"/>
      <c r="Y227" s="21">
        <v>0.70724500000000001</v>
      </c>
      <c r="Z227" s="21">
        <v>455.37</v>
      </c>
      <c r="AA227" s="21">
        <v>-1.1462399999999999E-2</v>
      </c>
      <c r="AB227" s="21">
        <v>217</v>
      </c>
      <c r="AC227" s="21">
        <v>0.70700099999999999</v>
      </c>
      <c r="AD227">
        <f t="shared" si="40"/>
        <v>11.462399999999999</v>
      </c>
      <c r="AE227">
        <f t="shared" si="41"/>
        <v>8.1067250879999992</v>
      </c>
      <c r="AF227" s="9"/>
      <c r="AG227" s="21">
        <v>0.99273699999999998</v>
      </c>
      <c r="AH227" s="21">
        <v>512.04499999999996</v>
      </c>
      <c r="AI227" s="21">
        <v>-1.15265E-2</v>
      </c>
      <c r="AJ227" s="21">
        <v>217</v>
      </c>
      <c r="AK227" s="21">
        <v>0.99182099999999995</v>
      </c>
      <c r="AL227">
        <f t="shared" si="42"/>
        <v>11.5265</v>
      </c>
      <c r="AM227">
        <f t="shared" si="43"/>
        <v>11.442783030499999</v>
      </c>
      <c r="AP227" s="9"/>
      <c r="AQ227" s="21">
        <v>0.70724500000000001</v>
      </c>
      <c r="AR227" s="21">
        <v>668.73400000000004</v>
      </c>
      <c r="AS227" s="21">
        <v>-1.18256E-2</v>
      </c>
      <c r="AT227" s="21">
        <v>217</v>
      </c>
      <c r="AU227" s="21">
        <v>0.70696999999999999</v>
      </c>
      <c r="AV227">
        <f t="shared" si="44"/>
        <v>11.8256</v>
      </c>
      <c r="AW227">
        <f t="shared" si="45"/>
        <v>8.3635964719999993</v>
      </c>
      <c r="AX227" s="9"/>
      <c r="AY227" s="21">
        <v>0.99273699999999998</v>
      </c>
      <c r="AZ227" s="21">
        <v>758.82899999999995</v>
      </c>
      <c r="BA227" s="21">
        <v>-1.1682100000000001E-2</v>
      </c>
      <c r="BB227" s="21">
        <v>217</v>
      </c>
      <c r="BC227" s="21">
        <v>0.99212599999999995</v>
      </c>
      <c r="BD227">
        <f t="shared" si="46"/>
        <v>11.6821</v>
      </c>
      <c r="BE227">
        <f t="shared" si="47"/>
        <v>11.5972529077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165.31899999999999</v>
      </c>
      <c r="I228" s="21">
        <v>-1.16547E-2</v>
      </c>
      <c r="J228" s="21">
        <v>218</v>
      </c>
      <c r="K228" s="21">
        <v>0.70184299999999999</v>
      </c>
      <c r="L228">
        <f t="shared" si="36"/>
        <v>11.6547</v>
      </c>
      <c r="M228">
        <f t="shared" si="37"/>
        <v>8.1840352322999994</v>
      </c>
      <c r="N228" s="9"/>
      <c r="O228" s="21">
        <v>0.99777199999999999</v>
      </c>
      <c r="P228" s="21">
        <v>249.303</v>
      </c>
      <c r="Q228" s="21">
        <v>-1.13922E-2</v>
      </c>
      <c r="R228" s="21">
        <v>218</v>
      </c>
      <c r="S228" s="21">
        <v>0.99731400000000003</v>
      </c>
      <c r="T228">
        <f t="shared" si="38"/>
        <v>11.392200000000001</v>
      </c>
      <c r="U228">
        <f t="shared" si="39"/>
        <v>11.366818178400001</v>
      </c>
      <c r="X228" s="9"/>
      <c r="Y228" s="21">
        <v>0.70220899999999997</v>
      </c>
      <c r="Z228" s="21">
        <v>455.471</v>
      </c>
      <c r="AA228" s="21">
        <v>-1.14685E-2</v>
      </c>
      <c r="AB228" s="21">
        <v>218</v>
      </c>
      <c r="AC228" s="21">
        <v>0.701874</v>
      </c>
      <c r="AD228">
        <f t="shared" si="40"/>
        <v>11.468499999999999</v>
      </c>
      <c r="AE228">
        <f t="shared" si="41"/>
        <v>8.0532839164999981</v>
      </c>
      <c r="AF228" s="9"/>
      <c r="AG228" s="21">
        <v>0.99777199999999999</v>
      </c>
      <c r="AH228" s="21">
        <v>512.14599999999996</v>
      </c>
      <c r="AI228" s="21">
        <v>-1.15204E-2</v>
      </c>
      <c r="AJ228" s="21">
        <v>218</v>
      </c>
      <c r="AK228" s="21">
        <v>0.99670400000000003</v>
      </c>
      <c r="AL228">
        <f t="shared" si="42"/>
        <v>11.5204</v>
      </c>
      <c r="AM228">
        <f t="shared" si="43"/>
        <v>11.4947325488</v>
      </c>
      <c r="AP228" s="9"/>
      <c r="AQ228" s="21">
        <v>0.70220899999999997</v>
      </c>
      <c r="AR228" s="21">
        <v>668.83500000000004</v>
      </c>
      <c r="AS228" s="21">
        <v>-1.18256E-2</v>
      </c>
      <c r="AT228" s="21">
        <v>218</v>
      </c>
      <c r="AU228" s="21">
        <v>0.70184299999999999</v>
      </c>
      <c r="AV228">
        <f t="shared" si="44"/>
        <v>11.8256</v>
      </c>
      <c r="AW228">
        <f t="shared" si="45"/>
        <v>8.304042750399999</v>
      </c>
      <c r="AX228" s="9"/>
      <c r="AY228" s="21">
        <v>0.99777199999999999</v>
      </c>
      <c r="AZ228" s="21">
        <v>758.93</v>
      </c>
      <c r="BA228" s="21">
        <v>-1.1676000000000001E-2</v>
      </c>
      <c r="BB228" s="21">
        <v>218</v>
      </c>
      <c r="BC228" s="21">
        <v>0.99670400000000003</v>
      </c>
      <c r="BD228">
        <f t="shared" si="46"/>
        <v>11.676</v>
      </c>
      <c r="BE228">
        <f t="shared" si="47"/>
        <v>11.649985872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165.42</v>
      </c>
      <c r="I229" s="21">
        <v>-1.16577E-2</v>
      </c>
      <c r="J229" s="21">
        <v>219</v>
      </c>
      <c r="K229" s="21">
        <v>0.69680799999999998</v>
      </c>
      <c r="L229">
        <f t="shared" si="36"/>
        <v>11.6577</v>
      </c>
      <c r="M229">
        <f t="shared" si="37"/>
        <v>8.1274453397999995</v>
      </c>
      <c r="N229" s="9"/>
      <c r="O229" s="21">
        <v>1.00281</v>
      </c>
      <c r="P229" s="21">
        <v>249.404</v>
      </c>
      <c r="Q229" s="21">
        <v>-1.13892E-2</v>
      </c>
      <c r="R229" s="21">
        <v>219</v>
      </c>
      <c r="S229" s="21">
        <v>1.0018899999999999</v>
      </c>
      <c r="T229">
        <f t="shared" si="38"/>
        <v>11.389200000000001</v>
      </c>
      <c r="U229">
        <f t="shared" si="39"/>
        <v>11.421203652000001</v>
      </c>
      <c r="X229" s="9"/>
      <c r="Y229" s="21">
        <v>0.69717399999999996</v>
      </c>
      <c r="Z229" s="21">
        <v>455.572</v>
      </c>
      <c r="AA229" s="21">
        <v>-1.14655E-2</v>
      </c>
      <c r="AB229" s="21">
        <v>219</v>
      </c>
      <c r="AC229" s="21">
        <v>0.69680799999999998</v>
      </c>
      <c r="AD229">
        <f t="shared" si="40"/>
        <v>11.4655</v>
      </c>
      <c r="AE229">
        <f t="shared" si="41"/>
        <v>7.9934484970000002</v>
      </c>
      <c r="AF229" s="9"/>
      <c r="AG229" s="21">
        <v>1.00281</v>
      </c>
      <c r="AH229" s="21">
        <v>512.24699999999996</v>
      </c>
      <c r="AI229" s="21">
        <v>-1.15204E-2</v>
      </c>
      <c r="AJ229" s="21">
        <v>219</v>
      </c>
      <c r="AK229" s="21">
        <v>1.0024999999999999</v>
      </c>
      <c r="AL229">
        <f t="shared" si="42"/>
        <v>11.5204</v>
      </c>
      <c r="AM229">
        <f t="shared" si="43"/>
        <v>11.552772323999999</v>
      </c>
      <c r="AP229" s="9"/>
      <c r="AQ229" s="21">
        <v>0.69717399999999996</v>
      </c>
      <c r="AR229" s="21">
        <v>668.93499999999995</v>
      </c>
      <c r="AS229" s="21">
        <v>-1.18225E-2</v>
      </c>
      <c r="AT229" s="21">
        <v>219</v>
      </c>
      <c r="AU229" s="21">
        <v>0.69686899999999996</v>
      </c>
      <c r="AV229">
        <f t="shared" si="44"/>
        <v>11.8225</v>
      </c>
      <c r="AW229">
        <f t="shared" si="45"/>
        <v>8.2423396149999988</v>
      </c>
      <c r="AX229" s="9"/>
      <c r="AY229" s="21">
        <v>1.00281</v>
      </c>
      <c r="AZ229" s="21">
        <v>759.03099999999995</v>
      </c>
      <c r="BA229" s="21">
        <v>-1.16699E-2</v>
      </c>
      <c r="BB229" s="21">
        <v>219</v>
      </c>
      <c r="BC229" s="21">
        <v>1.0024999999999999</v>
      </c>
      <c r="BD229">
        <f t="shared" si="46"/>
        <v>11.6699</v>
      </c>
      <c r="BE229">
        <f t="shared" si="47"/>
        <v>11.702692419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165.52</v>
      </c>
      <c r="I230" s="21">
        <v>-1.16547E-2</v>
      </c>
      <c r="J230" s="21">
        <v>220</v>
      </c>
      <c r="K230" s="21">
        <v>0.69183300000000003</v>
      </c>
      <c r="L230">
        <f t="shared" si="36"/>
        <v>11.6547</v>
      </c>
      <c r="M230">
        <f t="shared" si="37"/>
        <v>8.0666724033000001</v>
      </c>
      <c r="N230" s="9"/>
      <c r="O230" s="21">
        <v>1.0078400000000001</v>
      </c>
      <c r="P230" s="21">
        <v>249.505</v>
      </c>
      <c r="Q230" s="21">
        <v>-1.1379999999999999E-2</v>
      </c>
      <c r="R230" s="21">
        <v>220</v>
      </c>
      <c r="S230" s="21">
        <v>1.00739</v>
      </c>
      <c r="T230">
        <f t="shared" si="38"/>
        <v>11.379999999999999</v>
      </c>
      <c r="U230">
        <f t="shared" si="39"/>
        <v>11.4692192</v>
      </c>
      <c r="X230" s="9"/>
      <c r="Y230" s="21">
        <v>0.69213899999999995</v>
      </c>
      <c r="Z230" s="21">
        <v>455.67200000000003</v>
      </c>
      <c r="AA230" s="21">
        <v>-1.14746E-2</v>
      </c>
      <c r="AB230" s="21">
        <v>220</v>
      </c>
      <c r="AC230" s="21">
        <v>0.69183300000000003</v>
      </c>
      <c r="AD230">
        <f t="shared" si="40"/>
        <v>11.474600000000001</v>
      </c>
      <c r="AE230">
        <f t="shared" si="41"/>
        <v>7.9420181693999998</v>
      </c>
      <c r="AF230" s="9"/>
      <c r="AG230" s="21">
        <v>1.0078400000000001</v>
      </c>
      <c r="AH230" s="21">
        <v>512.34699999999998</v>
      </c>
      <c r="AI230" s="21">
        <v>-1.1511199999999999E-2</v>
      </c>
      <c r="AJ230" s="21">
        <v>220</v>
      </c>
      <c r="AK230" s="21">
        <v>1.00739</v>
      </c>
      <c r="AL230">
        <f t="shared" si="42"/>
        <v>11.511199999999999</v>
      </c>
      <c r="AM230">
        <f t="shared" si="43"/>
        <v>11.601447808</v>
      </c>
      <c r="AP230" s="9"/>
      <c r="AQ230" s="21">
        <v>0.69213899999999995</v>
      </c>
      <c r="AR230" s="21">
        <v>669.03599999999994</v>
      </c>
      <c r="AS230" s="21">
        <v>-1.18256E-2</v>
      </c>
      <c r="AT230" s="21">
        <v>220</v>
      </c>
      <c r="AU230" s="21">
        <v>0.69180299999999995</v>
      </c>
      <c r="AV230">
        <f t="shared" si="44"/>
        <v>11.8256</v>
      </c>
      <c r="AW230">
        <f t="shared" si="45"/>
        <v>8.1849589583999993</v>
      </c>
      <c r="AX230" s="9"/>
      <c r="AY230" s="21">
        <v>1.0078400000000001</v>
      </c>
      <c r="AZ230" s="21">
        <v>759.13099999999997</v>
      </c>
      <c r="BA230" s="21">
        <v>-1.16638E-2</v>
      </c>
      <c r="BB230" s="21">
        <v>220</v>
      </c>
      <c r="BC230" s="21">
        <v>1.00739</v>
      </c>
      <c r="BD230">
        <f t="shared" si="46"/>
        <v>11.6638</v>
      </c>
      <c r="BE230">
        <f t="shared" si="47"/>
        <v>11.755244192000001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165.62100000000001</v>
      </c>
      <c r="I231" s="21">
        <v>-1.16638E-2</v>
      </c>
      <c r="J231" s="21">
        <v>221</v>
      </c>
      <c r="K231" s="21">
        <v>0.68670699999999996</v>
      </c>
      <c r="L231">
        <f t="shared" si="36"/>
        <v>11.6638</v>
      </c>
      <c r="M231">
        <f t="shared" si="37"/>
        <v>8.014231971400001</v>
      </c>
      <c r="N231" s="9"/>
      <c r="O231" s="21">
        <v>1.01288</v>
      </c>
      <c r="P231" s="21">
        <v>249.60499999999999</v>
      </c>
      <c r="Q231" s="21">
        <v>-1.13708E-2</v>
      </c>
      <c r="R231" s="21">
        <v>221</v>
      </c>
      <c r="S231" s="21">
        <v>1.01166</v>
      </c>
      <c r="T231">
        <f t="shared" si="38"/>
        <v>11.370800000000001</v>
      </c>
      <c r="U231">
        <f t="shared" si="39"/>
        <v>11.517255904000001</v>
      </c>
      <c r="X231" s="9"/>
      <c r="Y231" s="21">
        <v>0.68710300000000002</v>
      </c>
      <c r="Z231" s="21">
        <v>455.77300000000002</v>
      </c>
      <c r="AA231" s="21">
        <v>-1.14777E-2</v>
      </c>
      <c r="AB231" s="21">
        <v>221</v>
      </c>
      <c r="AC231" s="21">
        <v>0.68667599999999995</v>
      </c>
      <c r="AD231">
        <f t="shared" si="40"/>
        <v>11.4777</v>
      </c>
      <c r="AE231">
        <f t="shared" si="41"/>
        <v>7.8863621031000006</v>
      </c>
      <c r="AF231" s="9"/>
      <c r="AG231" s="21">
        <v>1.01288</v>
      </c>
      <c r="AH231" s="21">
        <v>512.44799999999998</v>
      </c>
      <c r="AI231" s="21">
        <v>-1.1505100000000001E-2</v>
      </c>
      <c r="AJ231" s="21">
        <v>221</v>
      </c>
      <c r="AK231" s="21">
        <v>1.01257</v>
      </c>
      <c r="AL231">
        <f t="shared" si="42"/>
        <v>11.505100000000001</v>
      </c>
      <c r="AM231">
        <f t="shared" si="43"/>
        <v>11.653285688</v>
      </c>
      <c r="AP231" s="9"/>
      <c r="AQ231" s="21">
        <v>0.68710300000000002</v>
      </c>
      <c r="AR231" s="21">
        <v>669.13699999999994</v>
      </c>
      <c r="AS231" s="21">
        <v>-1.1831700000000001E-2</v>
      </c>
      <c r="AT231" s="21">
        <v>221</v>
      </c>
      <c r="AU231" s="21">
        <v>0.68670699999999996</v>
      </c>
      <c r="AV231">
        <f t="shared" si="44"/>
        <v>11.831700000000001</v>
      </c>
      <c r="AW231">
        <f t="shared" si="45"/>
        <v>8.1295965651000017</v>
      </c>
      <c r="AX231" s="9"/>
      <c r="AY231" s="21">
        <v>1.01288</v>
      </c>
      <c r="AZ231" s="21">
        <v>759.23199999999997</v>
      </c>
      <c r="BA231" s="21">
        <v>-1.1660800000000001E-2</v>
      </c>
      <c r="BB231" s="21">
        <v>221</v>
      </c>
      <c r="BC231" s="21">
        <v>1.01227</v>
      </c>
      <c r="BD231">
        <f t="shared" si="46"/>
        <v>11.6608</v>
      </c>
      <c r="BE231">
        <f t="shared" si="47"/>
        <v>11.810991103999999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165.72200000000001</v>
      </c>
      <c r="I232" s="21">
        <v>-1.16638E-2</v>
      </c>
      <c r="J232" s="21">
        <v>222</v>
      </c>
      <c r="K232" s="21">
        <v>0.68170200000000003</v>
      </c>
      <c r="L232">
        <f t="shared" si="36"/>
        <v>11.6638</v>
      </c>
      <c r="M232">
        <f t="shared" si="37"/>
        <v>7.9555047384000002</v>
      </c>
      <c r="N232" s="9"/>
      <c r="O232" s="21">
        <v>1.0179100000000001</v>
      </c>
      <c r="P232" s="21">
        <v>249.70599999999999</v>
      </c>
      <c r="Q232" s="21">
        <v>-1.1361700000000001E-2</v>
      </c>
      <c r="R232" s="21">
        <v>222</v>
      </c>
      <c r="S232" s="21">
        <v>1.01685</v>
      </c>
      <c r="T232">
        <f t="shared" si="38"/>
        <v>11.361700000000001</v>
      </c>
      <c r="U232">
        <f t="shared" si="39"/>
        <v>11.565188047000001</v>
      </c>
      <c r="X232" s="9"/>
      <c r="Y232" s="21">
        <v>0.68206800000000001</v>
      </c>
      <c r="Z232" s="21">
        <v>455.87400000000002</v>
      </c>
      <c r="AA232" s="21">
        <v>-1.14807E-2</v>
      </c>
      <c r="AB232" s="21">
        <v>222</v>
      </c>
      <c r="AC232" s="21">
        <v>0.681732</v>
      </c>
      <c r="AD232">
        <f t="shared" si="40"/>
        <v>11.480700000000001</v>
      </c>
      <c r="AE232">
        <f t="shared" si="41"/>
        <v>7.8306180876000004</v>
      </c>
      <c r="AF232" s="9"/>
      <c r="AG232" s="21">
        <v>1.0179100000000001</v>
      </c>
      <c r="AH232" s="21">
        <v>512.54899999999998</v>
      </c>
      <c r="AI232" s="21">
        <v>-1.1505100000000001E-2</v>
      </c>
      <c r="AJ232" s="21">
        <v>222</v>
      </c>
      <c r="AK232" s="21">
        <v>1.01715</v>
      </c>
      <c r="AL232">
        <f t="shared" si="42"/>
        <v>11.505100000000001</v>
      </c>
      <c r="AM232">
        <f t="shared" si="43"/>
        <v>11.711156341000002</v>
      </c>
      <c r="AP232" s="9"/>
      <c r="AQ232" s="21">
        <v>0.68206800000000001</v>
      </c>
      <c r="AR232" s="21">
        <v>669.23699999999997</v>
      </c>
      <c r="AS232" s="21">
        <v>-1.1837800000000001E-2</v>
      </c>
      <c r="AT232" s="21">
        <v>222</v>
      </c>
      <c r="AU232" s="21">
        <v>0.68170200000000003</v>
      </c>
      <c r="AV232">
        <f t="shared" si="44"/>
        <v>11.837800000000001</v>
      </c>
      <c r="AW232">
        <f t="shared" si="45"/>
        <v>8.0741845704000017</v>
      </c>
      <c r="AX232" s="9"/>
      <c r="AY232" s="21">
        <v>1.0179100000000001</v>
      </c>
      <c r="AZ232" s="21">
        <v>759.33299999999997</v>
      </c>
      <c r="BA232" s="21">
        <v>-1.16577E-2</v>
      </c>
      <c r="BB232" s="21">
        <v>222</v>
      </c>
      <c r="BC232" s="21">
        <v>1.01746</v>
      </c>
      <c r="BD232">
        <f t="shared" si="46"/>
        <v>11.6577</v>
      </c>
      <c r="BE232">
        <f t="shared" si="47"/>
        <v>11.866489407000001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165.822</v>
      </c>
      <c r="I233" s="21">
        <v>-1.1672999999999999E-2</v>
      </c>
      <c r="J233" s="21">
        <v>223</v>
      </c>
      <c r="K233" s="21">
        <v>0.67675799999999997</v>
      </c>
      <c r="L233">
        <f t="shared" si="36"/>
        <v>11.673</v>
      </c>
      <c r="M233">
        <f t="shared" si="37"/>
        <v>7.9029945359999996</v>
      </c>
      <c r="N233" s="9"/>
      <c r="O233" s="21">
        <v>1.02295</v>
      </c>
      <c r="P233" s="21">
        <v>249.80699999999999</v>
      </c>
      <c r="Q233" s="21">
        <v>-1.13556E-2</v>
      </c>
      <c r="R233" s="21">
        <v>223</v>
      </c>
      <c r="S233" s="21">
        <v>1.02234</v>
      </c>
      <c r="T233">
        <f t="shared" si="38"/>
        <v>11.355600000000001</v>
      </c>
      <c r="U233">
        <f t="shared" si="39"/>
        <v>11.616211020000001</v>
      </c>
      <c r="X233" s="9"/>
      <c r="Y233" s="21">
        <v>0.67703199999999997</v>
      </c>
      <c r="Z233" s="21">
        <v>455.97399999999999</v>
      </c>
      <c r="AA233" s="21">
        <v>-1.14868E-2</v>
      </c>
      <c r="AB233" s="21">
        <v>223</v>
      </c>
      <c r="AC233" s="21">
        <v>0.67678799999999995</v>
      </c>
      <c r="AD233">
        <f t="shared" si="40"/>
        <v>11.486800000000001</v>
      </c>
      <c r="AE233">
        <f t="shared" si="41"/>
        <v>7.7769311775999999</v>
      </c>
      <c r="AF233" s="9"/>
      <c r="AG233" s="21">
        <v>1.02295</v>
      </c>
      <c r="AH233" s="21">
        <v>512.649</v>
      </c>
      <c r="AI233" s="21">
        <v>-1.1499000000000001E-2</v>
      </c>
      <c r="AJ233" s="21">
        <v>223</v>
      </c>
      <c r="AK233" s="21">
        <v>1.02234</v>
      </c>
      <c r="AL233">
        <f t="shared" si="42"/>
        <v>11.499000000000001</v>
      </c>
      <c r="AM233">
        <f t="shared" si="43"/>
        <v>11.762902050000001</v>
      </c>
      <c r="AP233" s="9"/>
      <c r="AQ233" s="21">
        <v>0.67703199999999997</v>
      </c>
      <c r="AR233" s="21">
        <v>669.33799999999997</v>
      </c>
      <c r="AS233" s="21">
        <v>-1.1843899999999999E-2</v>
      </c>
      <c r="AT233" s="21">
        <v>223</v>
      </c>
      <c r="AU233" s="21">
        <v>0.67678799999999995</v>
      </c>
      <c r="AV233">
        <f t="shared" si="44"/>
        <v>11.8439</v>
      </c>
      <c r="AW233">
        <f t="shared" si="45"/>
        <v>8.0186993048000001</v>
      </c>
      <c r="AX233" s="9"/>
      <c r="AY233" s="21">
        <v>1.02295</v>
      </c>
      <c r="AZ233" s="21">
        <v>759.43399999999997</v>
      </c>
      <c r="BA233" s="21">
        <v>-1.16547E-2</v>
      </c>
      <c r="BB233" s="21">
        <v>223</v>
      </c>
      <c r="BC233" s="21">
        <v>1.02203</v>
      </c>
      <c r="BD233">
        <f t="shared" si="46"/>
        <v>11.6547</v>
      </c>
      <c r="BE233">
        <f t="shared" si="47"/>
        <v>11.922175365000001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165.923</v>
      </c>
      <c r="I234" s="21">
        <v>-1.16852E-2</v>
      </c>
      <c r="J234" s="21">
        <v>224</v>
      </c>
      <c r="K234" s="21">
        <v>0.67172200000000004</v>
      </c>
      <c r="L234">
        <f t="shared" si="36"/>
        <v>11.6852</v>
      </c>
      <c r="M234">
        <f t="shared" si="37"/>
        <v>7.8524193443999994</v>
      </c>
      <c r="N234" s="9"/>
      <c r="O234" s="21">
        <v>1.0279799999999999</v>
      </c>
      <c r="P234" s="21">
        <v>249.90700000000001</v>
      </c>
      <c r="Q234" s="21">
        <v>-1.13556E-2</v>
      </c>
      <c r="R234" s="21">
        <v>224</v>
      </c>
      <c r="S234" s="21">
        <v>1.0269200000000001</v>
      </c>
      <c r="T234">
        <f t="shared" si="38"/>
        <v>11.355600000000001</v>
      </c>
      <c r="U234">
        <f t="shared" si="39"/>
        <v>11.673329687999999</v>
      </c>
      <c r="X234" s="9"/>
      <c r="Y234" s="21">
        <v>0.67199699999999996</v>
      </c>
      <c r="Z234" s="21">
        <v>456.07499999999999</v>
      </c>
      <c r="AA234" s="21">
        <v>-1.14929E-2</v>
      </c>
      <c r="AB234" s="21">
        <v>224</v>
      </c>
      <c r="AC234" s="21">
        <v>0.67169199999999996</v>
      </c>
      <c r="AD234">
        <f t="shared" si="40"/>
        <v>11.492900000000001</v>
      </c>
      <c r="AE234">
        <f t="shared" si="41"/>
        <v>7.7231943213000003</v>
      </c>
      <c r="AF234" s="9"/>
      <c r="AG234" s="21">
        <v>1.0279799999999999</v>
      </c>
      <c r="AH234" s="21">
        <v>512.75</v>
      </c>
      <c r="AI234" s="21">
        <v>-1.1489900000000001E-2</v>
      </c>
      <c r="AJ234" s="21">
        <v>224</v>
      </c>
      <c r="AK234" s="21">
        <v>1.0269200000000001</v>
      </c>
      <c r="AL234">
        <f t="shared" si="42"/>
        <v>11.4899</v>
      </c>
      <c r="AM234">
        <f t="shared" si="43"/>
        <v>11.811387401999999</v>
      </c>
      <c r="AP234" s="9"/>
      <c r="AQ234" s="21">
        <v>0.67199699999999996</v>
      </c>
      <c r="AR234" s="21">
        <v>669.43899999999996</v>
      </c>
      <c r="AS234" s="21">
        <v>-1.1853000000000001E-2</v>
      </c>
      <c r="AT234" s="21">
        <v>224</v>
      </c>
      <c r="AU234" s="21">
        <v>0.67172200000000004</v>
      </c>
      <c r="AV234">
        <f t="shared" si="44"/>
        <v>11.853000000000002</v>
      </c>
      <c r="AW234">
        <f t="shared" si="45"/>
        <v>7.9651804410000002</v>
      </c>
      <c r="AX234" s="9"/>
      <c r="AY234" s="21">
        <v>1.0279799999999999</v>
      </c>
      <c r="AZ234" s="21">
        <v>759.53399999999999</v>
      </c>
      <c r="BA234" s="21">
        <v>-1.16486E-2</v>
      </c>
      <c r="BB234" s="21">
        <v>224</v>
      </c>
      <c r="BC234" s="21">
        <v>1.02722</v>
      </c>
      <c r="BD234">
        <f t="shared" si="46"/>
        <v>11.6486</v>
      </c>
      <c r="BE234">
        <f t="shared" si="47"/>
        <v>11.974527827999999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166.024</v>
      </c>
      <c r="I235" s="21">
        <v>-1.16913E-2</v>
      </c>
      <c r="J235" s="21">
        <v>225</v>
      </c>
      <c r="K235" s="21">
        <v>0.66665600000000003</v>
      </c>
      <c r="L235">
        <f t="shared" si="36"/>
        <v>11.6913</v>
      </c>
      <c r="M235">
        <f t="shared" si="37"/>
        <v>7.7976528306000006</v>
      </c>
      <c r="N235" s="9"/>
      <c r="O235" s="21">
        <v>1.03302</v>
      </c>
      <c r="P235" s="21">
        <v>250.00800000000001</v>
      </c>
      <c r="Q235" s="21">
        <v>-1.13495E-2</v>
      </c>
      <c r="R235" s="21">
        <v>225</v>
      </c>
      <c r="S235" s="21">
        <v>1.03271</v>
      </c>
      <c r="T235">
        <f t="shared" si="38"/>
        <v>11.349500000000001</v>
      </c>
      <c r="U235">
        <f t="shared" si="39"/>
        <v>11.724260490000001</v>
      </c>
      <c r="X235" s="9"/>
      <c r="Y235" s="21">
        <v>0.66696200000000005</v>
      </c>
      <c r="Z235" s="21">
        <v>456.17599999999999</v>
      </c>
      <c r="AA235" s="21">
        <v>-1.1495999999999999E-2</v>
      </c>
      <c r="AB235" s="21">
        <v>225</v>
      </c>
      <c r="AC235" s="21">
        <v>0.66665600000000003</v>
      </c>
      <c r="AD235">
        <f t="shared" si="40"/>
        <v>11.495999999999999</v>
      </c>
      <c r="AE235">
        <f t="shared" si="41"/>
        <v>7.6673951520000001</v>
      </c>
      <c r="AF235" s="9"/>
      <c r="AG235" s="21">
        <v>1.03302</v>
      </c>
      <c r="AH235" s="21">
        <v>512.851</v>
      </c>
      <c r="AI235" s="21">
        <v>-1.1483800000000001E-2</v>
      </c>
      <c r="AJ235" s="21">
        <v>225</v>
      </c>
      <c r="AK235" s="21">
        <v>1.0321</v>
      </c>
      <c r="AL235">
        <f t="shared" si="42"/>
        <v>11.4838</v>
      </c>
      <c r="AM235">
        <f t="shared" si="43"/>
        <v>11.862995076000001</v>
      </c>
      <c r="AP235" s="9"/>
      <c r="AQ235" s="21">
        <v>0.66696200000000005</v>
      </c>
      <c r="AR235" s="21">
        <v>669.53899999999999</v>
      </c>
      <c r="AS235" s="21">
        <v>-1.18561E-2</v>
      </c>
      <c r="AT235" s="21">
        <v>225</v>
      </c>
      <c r="AU235" s="21">
        <v>0.66668700000000003</v>
      </c>
      <c r="AV235">
        <f t="shared" si="44"/>
        <v>11.8561</v>
      </c>
      <c r="AW235">
        <f t="shared" si="45"/>
        <v>7.9075681682000001</v>
      </c>
      <c r="AX235" s="9"/>
      <c r="AY235" s="21">
        <v>1.03302</v>
      </c>
      <c r="AZ235" s="21">
        <v>759.63499999999999</v>
      </c>
      <c r="BA235" s="21">
        <v>-1.1639399999999999E-2</v>
      </c>
      <c r="BB235" s="21">
        <v>225</v>
      </c>
      <c r="BC235" s="21">
        <v>1.03271</v>
      </c>
      <c r="BD235">
        <f t="shared" si="46"/>
        <v>11.6394</v>
      </c>
      <c r="BE235">
        <f t="shared" si="47"/>
        <v>12.023732988000001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166.125</v>
      </c>
      <c r="I236" s="21">
        <v>-1.1694299999999999E-2</v>
      </c>
      <c r="J236" s="21">
        <v>226</v>
      </c>
      <c r="K236" s="21">
        <v>0.66165200000000002</v>
      </c>
      <c r="L236">
        <f t="shared" si="36"/>
        <v>11.6943</v>
      </c>
      <c r="M236">
        <f t="shared" si="37"/>
        <v>7.7407612218000006</v>
      </c>
      <c r="N236" s="9"/>
      <c r="O236" s="21">
        <v>1.03806</v>
      </c>
      <c r="P236" s="21">
        <v>250.10900000000001</v>
      </c>
      <c r="Q236" s="21">
        <v>-1.13464E-2</v>
      </c>
      <c r="R236" s="21">
        <v>226</v>
      </c>
      <c r="S236" s="21">
        <v>1.03729</v>
      </c>
      <c r="T236">
        <f t="shared" si="38"/>
        <v>11.346399999999999</v>
      </c>
      <c r="U236">
        <f t="shared" si="39"/>
        <v>11.778243984</v>
      </c>
      <c r="X236" s="9"/>
      <c r="Y236" s="21">
        <v>0.66192600000000001</v>
      </c>
      <c r="Z236" s="21">
        <v>456.27699999999999</v>
      </c>
      <c r="AA236" s="21">
        <v>-1.1502099999999999E-2</v>
      </c>
      <c r="AB236" s="21">
        <v>226</v>
      </c>
      <c r="AC236" s="21">
        <v>0.66152999999999995</v>
      </c>
      <c r="AD236">
        <f t="shared" si="40"/>
        <v>11.502099999999999</v>
      </c>
      <c r="AE236">
        <f t="shared" si="41"/>
        <v>7.6135390445999995</v>
      </c>
      <c r="AF236" s="9"/>
      <c r="AG236" s="21">
        <v>1.03806</v>
      </c>
      <c r="AH236" s="21">
        <v>512.95100000000002</v>
      </c>
      <c r="AI236" s="21">
        <v>-1.14746E-2</v>
      </c>
      <c r="AJ236" s="21">
        <v>226</v>
      </c>
      <c r="AK236" s="21">
        <v>1.03668</v>
      </c>
      <c r="AL236">
        <f t="shared" si="42"/>
        <v>11.474600000000001</v>
      </c>
      <c r="AM236">
        <f t="shared" si="43"/>
        <v>11.911323276000001</v>
      </c>
      <c r="AP236" s="9"/>
      <c r="AQ236" s="21">
        <v>0.66192600000000001</v>
      </c>
      <c r="AR236" s="21">
        <v>669.64</v>
      </c>
      <c r="AS236" s="21">
        <v>-1.1859099999999999E-2</v>
      </c>
      <c r="AT236" s="21">
        <v>226</v>
      </c>
      <c r="AU236" s="21">
        <v>0.66165200000000002</v>
      </c>
      <c r="AV236">
        <f t="shared" si="44"/>
        <v>11.8591</v>
      </c>
      <c r="AW236">
        <f t="shared" si="45"/>
        <v>7.8498466265999998</v>
      </c>
      <c r="AX236" s="9"/>
      <c r="AY236" s="21">
        <v>1.03806</v>
      </c>
      <c r="AZ236" s="21">
        <v>759.73599999999999</v>
      </c>
      <c r="BA236" s="21">
        <v>-1.1633299999999999E-2</v>
      </c>
      <c r="BB236" s="21">
        <v>226</v>
      </c>
      <c r="BC236" s="21">
        <v>1.0369900000000001</v>
      </c>
      <c r="BD236">
        <f t="shared" si="46"/>
        <v>11.633299999999998</v>
      </c>
      <c r="BE236">
        <f t="shared" si="47"/>
        <v>12.076063397999999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166.22499999999999</v>
      </c>
      <c r="I237" s="21">
        <v>-1.1694299999999999E-2</v>
      </c>
      <c r="J237" s="21">
        <v>227</v>
      </c>
      <c r="K237" s="21">
        <v>0.65652500000000003</v>
      </c>
      <c r="L237">
        <f t="shared" si="36"/>
        <v>11.6943</v>
      </c>
      <c r="M237">
        <f t="shared" si="37"/>
        <v>7.6818804212999998</v>
      </c>
      <c r="N237" s="9"/>
      <c r="O237" s="21">
        <v>1.0430900000000001</v>
      </c>
      <c r="P237" s="21">
        <v>250.21</v>
      </c>
      <c r="Q237" s="21">
        <v>-1.1340299999999999E-2</v>
      </c>
      <c r="R237" s="21">
        <v>227</v>
      </c>
      <c r="S237" s="21">
        <v>1.0421800000000001</v>
      </c>
      <c r="T237">
        <f t="shared" si="38"/>
        <v>11.340299999999999</v>
      </c>
      <c r="U237">
        <f t="shared" si="39"/>
        <v>11.828953526999999</v>
      </c>
      <c r="X237" s="9"/>
      <c r="Y237" s="21">
        <v>0.656891</v>
      </c>
      <c r="Z237" s="21">
        <v>456.37700000000001</v>
      </c>
      <c r="AA237" s="21">
        <v>-1.1495999999999999E-2</v>
      </c>
      <c r="AB237" s="21">
        <v>227</v>
      </c>
      <c r="AC237" s="21">
        <v>0.65649400000000002</v>
      </c>
      <c r="AD237">
        <f t="shared" si="40"/>
        <v>11.495999999999999</v>
      </c>
      <c r="AE237">
        <f t="shared" si="41"/>
        <v>7.5516189359999988</v>
      </c>
      <c r="AF237" s="9"/>
      <c r="AG237" s="21">
        <v>1.0430900000000001</v>
      </c>
      <c r="AH237" s="21">
        <v>513.05200000000002</v>
      </c>
      <c r="AI237" s="21">
        <v>-1.14716E-2</v>
      </c>
      <c r="AJ237" s="21">
        <v>227</v>
      </c>
      <c r="AK237" s="21">
        <v>1.0424800000000001</v>
      </c>
      <c r="AL237">
        <f t="shared" si="42"/>
        <v>11.4716</v>
      </c>
      <c r="AM237">
        <f t="shared" si="43"/>
        <v>11.965911244000001</v>
      </c>
      <c r="AP237" s="9"/>
      <c r="AQ237" s="21">
        <v>0.656891</v>
      </c>
      <c r="AR237" s="21">
        <v>669.74099999999999</v>
      </c>
      <c r="AS237" s="21">
        <v>-1.1865199999999999E-2</v>
      </c>
      <c r="AT237" s="21">
        <v>227</v>
      </c>
      <c r="AU237" s="21">
        <v>0.656586</v>
      </c>
      <c r="AV237">
        <f t="shared" si="44"/>
        <v>11.8652</v>
      </c>
      <c r="AW237">
        <f t="shared" si="45"/>
        <v>7.7941430931999998</v>
      </c>
      <c r="AX237" s="9"/>
      <c r="AY237" s="21">
        <v>1.0430900000000001</v>
      </c>
      <c r="AZ237" s="21">
        <v>759.83600000000001</v>
      </c>
      <c r="BA237" s="21">
        <v>-1.16241E-2</v>
      </c>
      <c r="BB237" s="21">
        <v>227</v>
      </c>
      <c r="BC237" s="21">
        <v>1.0427900000000001</v>
      </c>
      <c r="BD237">
        <f t="shared" si="46"/>
        <v>11.6241</v>
      </c>
      <c r="BE237">
        <f t="shared" si="47"/>
        <v>12.124982469000001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166.32599999999999</v>
      </c>
      <c r="I238" s="21">
        <v>-1.17004E-2</v>
      </c>
      <c r="J238" s="21">
        <v>228</v>
      </c>
      <c r="K238" s="21">
        <v>0.65145900000000001</v>
      </c>
      <c r="L238">
        <f t="shared" si="36"/>
        <v>11.7004</v>
      </c>
      <c r="M238">
        <f t="shared" si="37"/>
        <v>7.6269642419999997</v>
      </c>
      <c r="N238" s="9"/>
      <c r="O238" s="21">
        <v>1.04813</v>
      </c>
      <c r="P238" s="21">
        <v>250.31</v>
      </c>
      <c r="Q238" s="21">
        <v>-1.13312E-2</v>
      </c>
      <c r="R238" s="21">
        <v>228</v>
      </c>
      <c r="S238" s="21">
        <v>1.0473600000000001</v>
      </c>
      <c r="T238">
        <f t="shared" si="38"/>
        <v>11.331199999999999</v>
      </c>
      <c r="U238">
        <f t="shared" si="39"/>
        <v>11.876570655999998</v>
      </c>
      <c r="X238" s="9"/>
      <c r="Y238" s="21">
        <v>0.65185499999999996</v>
      </c>
      <c r="Z238" s="21">
        <v>456.47800000000001</v>
      </c>
      <c r="AA238" s="21">
        <v>-1.1499000000000001E-2</v>
      </c>
      <c r="AB238" s="21">
        <v>228</v>
      </c>
      <c r="AC238" s="21">
        <v>0.65151999999999999</v>
      </c>
      <c r="AD238">
        <f t="shared" si="40"/>
        <v>11.499000000000001</v>
      </c>
      <c r="AE238">
        <f t="shared" si="41"/>
        <v>7.4956806450000002</v>
      </c>
      <c r="AF238" s="9"/>
      <c r="AG238" s="21">
        <v>1.04813</v>
      </c>
      <c r="AH238" s="21">
        <v>513.15300000000002</v>
      </c>
      <c r="AI238" s="21">
        <v>-1.14655E-2</v>
      </c>
      <c r="AJ238" s="21">
        <v>228</v>
      </c>
      <c r="AK238" s="21">
        <v>1.0476700000000001</v>
      </c>
      <c r="AL238">
        <f t="shared" si="42"/>
        <v>11.4655</v>
      </c>
      <c r="AM238">
        <f t="shared" si="43"/>
        <v>12.017334515</v>
      </c>
      <c r="AP238" s="9"/>
      <c r="AQ238" s="21">
        <v>0.65185499999999996</v>
      </c>
      <c r="AR238" s="21">
        <v>669.84199999999998</v>
      </c>
      <c r="AS238" s="21">
        <v>-1.18713E-2</v>
      </c>
      <c r="AT238" s="21">
        <v>228</v>
      </c>
      <c r="AU238" s="21">
        <v>0.65148899999999998</v>
      </c>
      <c r="AV238">
        <f t="shared" si="44"/>
        <v>11.8713</v>
      </c>
      <c r="AW238">
        <f t="shared" si="45"/>
        <v>7.7383662614999995</v>
      </c>
      <c r="AX238" s="9"/>
      <c r="AY238" s="21">
        <v>1.04813</v>
      </c>
      <c r="AZ238" s="21">
        <v>759.93700000000001</v>
      </c>
      <c r="BA238" s="21">
        <v>-1.1618E-2</v>
      </c>
      <c r="BB238" s="21">
        <v>228</v>
      </c>
      <c r="BC238" s="21">
        <v>1.0473600000000001</v>
      </c>
      <c r="BD238">
        <f t="shared" si="46"/>
        <v>11.618</v>
      </c>
      <c r="BE238">
        <f t="shared" si="47"/>
        <v>12.177174340000001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166.42699999999999</v>
      </c>
      <c r="I239" s="21">
        <v>-1.16974E-2</v>
      </c>
      <c r="J239" s="21">
        <v>229</v>
      </c>
      <c r="K239" s="21">
        <v>0.64651499999999995</v>
      </c>
      <c r="L239">
        <f t="shared" si="36"/>
        <v>11.6974</v>
      </c>
      <c r="M239">
        <f t="shared" si="37"/>
        <v>7.5661122679999995</v>
      </c>
      <c r="N239" s="9"/>
      <c r="O239" s="21">
        <v>1.0531600000000001</v>
      </c>
      <c r="P239" s="21">
        <v>250.411</v>
      </c>
      <c r="Q239" s="21">
        <v>-1.1322E-2</v>
      </c>
      <c r="R239" s="21">
        <v>229</v>
      </c>
      <c r="S239" s="21">
        <v>1.0522499999999999</v>
      </c>
      <c r="T239">
        <f t="shared" si="38"/>
        <v>11.322000000000001</v>
      </c>
      <c r="U239">
        <f t="shared" si="39"/>
        <v>11.923877520000001</v>
      </c>
      <c r="X239" s="9"/>
      <c r="Y239" s="21">
        <v>0.64681999999999995</v>
      </c>
      <c r="Z239" s="21">
        <v>456.57900000000001</v>
      </c>
      <c r="AA239" s="21">
        <v>-1.1511199999999999E-2</v>
      </c>
      <c r="AB239" s="21">
        <v>229</v>
      </c>
      <c r="AC239" s="21">
        <v>0.64651499999999995</v>
      </c>
      <c r="AD239">
        <f t="shared" si="40"/>
        <v>11.511199999999999</v>
      </c>
      <c r="AE239">
        <f t="shared" si="41"/>
        <v>7.4456743839999984</v>
      </c>
      <c r="AF239" s="9"/>
      <c r="AG239" s="21">
        <v>1.0531600000000001</v>
      </c>
      <c r="AH239" s="21">
        <v>513.25400000000002</v>
      </c>
      <c r="AI239" s="21">
        <v>-1.1456300000000001E-2</v>
      </c>
      <c r="AJ239" s="21">
        <v>229</v>
      </c>
      <c r="AK239" s="21">
        <v>1.0522499999999999</v>
      </c>
      <c r="AL239">
        <f t="shared" si="42"/>
        <v>11.456300000000001</v>
      </c>
      <c r="AM239">
        <f t="shared" si="43"/>
        <v>12.065316908000002</v>
      </c>
      <c r="AP239" s="9"/>
      <c r="AQ239" s="21">
        <v>0.64681999999999995</v>
      </c>
      <c r="AR239" s="21">
        <v>669.94200000000001</v>
      </c>
      <c r="AS239" s="21">
        <v>-1.18774E-2</v>
      </c>
      <c r="AT239" s="21">
        <v>229</v>
      </c>
      <c r="AU239" s="21">
        <v>0.64651499999999995</v>
      </c>
      <c r="AV239">
        <f t="shared" si="44"/>
        <v>11.8774</v>
      </c>
      <c r="AW239">
        <f t="shared" si="45"/>
        <v>7.6825398679999992</v>
      </c>
      <c r="AX239" s="9"/>
      <c r="AY239" s="21">
        <v>1.0531600000000001</v>
      </c>
      <c r="AZ239" s="21">
        <v>760.03800000000001</v>
      </c>
      <c r="BA239" s="21">
        <v>-1.1615E-2</v>
      </c>
      <c r="BB239" s="21">
        <v>229</v>
      </c>
      <c r="BC239" s="21">
        <v>1.0525500000000001</v>
      </c>
      <c r="BD239">
        <f t="shared" si="46"/>
        <v>11.615</v>
      </c>
      <c r="BE239">
        <f t="shared" si="47"/>
        <v>12.232453400000001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166.52699999999999</v>
      </c>
      <c r="I240" s="21">
        <v>-1.17004E-2</v>
      </c>
      <c r="J240" s="21">
        <v>230</v>
      </c>
      <c r="K240" s="21">
        <v>0.64141800000000004</v>
      </c>
      <c r="L240">
        <f t="shared" si="36"/>
        <v>11.7004</v>
      </c>
      <c r="M240">
        <f t="shared" si="37"/>
        <v>7.5091412140000005</v>
      </c>
      <c r="N240" s="9"/>
      <c r="O240" s="21">
        <v>1.0582</v>
      </c>
      <c r="P240" s="21">
        <v>250.512</v>
      </c>
      <c r="Q240" s="21">
        <v>-1.1318999999999999E-2</v>
      </c>
      <c r="R240" s="21">
        <v>230</v>
      </c>
      <c r="S240" s="21">
        <v>1.0574300000000001</v>
      </c>
      <c r="T240">
        <f t="shared" si="38"/>
        <v>11.318999999999999</v>
      </c>
      <c r="U240">
        <f t="shared" si="39"/>
        <v>11.977765799999998</v>
      </c>
      <c r="X240" s="9"/>
      <c r="Y240" s="21">
        <v>0.64178500000000005</v>
      </c>
      <c r="Z240" s="21">
        <v>456.67899999999997</v>
      </c>
      <c r="AA240" s="21">
        <v>-1.15082E-2</v>
      </c>
      <c r="AB240" s="21">
        <v>230</v>
      </c>
      <c r="AC240" s="21">
        <v>0.64147900000000002</v>
      </c>
      <c r="AD240">
        <f t="shared" si="40"/>
        <v>11.5082</v>
      </c>
      <c r="AE240">
        <f t="shared" si="41"/>
        <v>7.3857901370000008</v>
      </c>
      <c r="AF240" s="9"/>
      <c r="AG240" s="21">
        <v>1.0582</v>
      </c>
      <c r="AH240" s="21">
        <v>513.35400000000004</v>
      </c>
      <c r="AI240" s="21">
        <v>-1.14716E-2</v>
      </c>
      <c r="AJ240" s="21">
        <v>230</v>
      </c>
      <c r="AK240" s="21">
        <v>1.0580400000000001</v>
      </c>
      <c r="AL240">
        <f t="shared" si="42"/>
        <v>11.4716</v>
      </c>
      <c r="AM240">
        <f t="shared" si="43"/>
        <v>12.13924712</v>
      </c>
      <c r="AP240" s="9"/>
      <c r="AQ240" s="21">
        <v>0.64178500000000005</v>
      </c>
      <c r="AR240" s="21">
        <v>670.04300000000001</v>
      </c>
      <c r="AS240" s="21">
        <v>-1.18835E-2</v>
      </c>
      <c r="AT240" s="21">
        <v>230</v>
      </c>
      <c r="AU240" s="21">
        <v>0.64141800000000004</v>
      </c>
      <c r="AV240">
        <f t="shared" si="44"/>
        <v>11.8835</v>
      </c>
      <c r="AW240">
        <f t="shared" si="45"/>
        <v>7.6266520475000004</v>
      </c>
      <c r="AX240" s="9"/>
      <c r="AY240" s="21">
        <v>1.0582</v>
      </c>
      <c r="AZ240" s="21">
        <v>760.13900000000001</v>
      </c>
      <c r="BA240" s="21">
        <v>-1.1615E-2</v>
      </c>
      <c r="BB240" s="21">
        <v>230</v>
      </c>
      <c r="BC240" s="21">
        <v>1.0577399999999999</v>
      </c>
      <c r="BD240">
        <f t="shared" si="46"/>
        <v>11.615</v>
      </c>
      <c r="BE240">
        <f t="shared" si="47"/>
        <v>12.290993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166.62799999999999</v>
      </c>
      <c r="I241" s="21">
        <v>-1.17065E-2</v>
      </c>
      <c r="J241" s="21">
        <v>231</v>
      </c>
      <c r="K241" s="21">
        <v>0.63644400000000001</v>
      </c>
      <c r="L241">
        <f t="shared" si="36"/>
        <v>11.7065</v>
      </c>
      <c r="M241">
        <f t="shared" si="37"/>
        <v>7.4541021685000004</v>
      </c>
      <c r="N241" s="9"/>
      <c r="O241" s="21">
        <v>1.0632299999999999</v>
      </c>
      <c r="P241" s="21">
        <v>250.61199999999999</v>
      </c>
      <c r="Q241" s="21">
        <v>-1.13098E-2</v>
      </c>
      <c r="R241" s="21">
        <v>231</v>
      </c>
      <c r="S241" s="21">
        <v>1.0635399999999999</v>
      </c>
      <c r="T241">
        <f t="shared" si="38"/>
        <v>11.309799999999999</v>
      </c>
      <c r="U241">
        <f t="shared" si="39"/>
        <v>12.024918653999999</v>
      </c>
      <c r="X241" s="9"/>
      <c r="Y241" s="21">
        <v>0.63674900000000001</v>
      </c>
      <c r="Z241" s="21">
        <v>456.78</v>
      </c>
      <c r="AA241" s="21">
        <v>-1.15234E-2</v>
      </c>
      <c r="AB241" s="21">
        <v>231</v>
      </c>
      <c r="AC241" s="21">
        <v>0.63635299999999995</v>
      </c>
      <c r="AD241">
        <f t="shared" si="40"/>
        <v>11.523399999999999</v>
      </c>
      <c r="AE241">
        <f t="shared" si="41"/>
        <v>7.3375134265999993</v>
      </c>
      <c r="AF241" s="9"/>
      <c r="AG241" s="21">
        <v>1.0632299999999999</v>
      </c>
      <c r="AH241" s="21">
        <v>513.45500000000004</v>
      </c>
      <c r="AI241" s="21">
        <v>-1.14655E-2</v>
      </c>
      <c r="AJ241" s="21">
        <v>231</v>
      </c>
      <c r="AK241" s="21">
        <v>1.0629299999999999</v>
      </c>
      <c r="AL241">
        <f t="shared" si="42"/>
        <v>11.4655</v>
      </c>
      <c r="AM241">
        <f t="shared" si="43"/>
        <v>12.190463565</v>
      </c>
      <c r="AP241" s="9"/>
      <c r="AQ241" s="21">
        <v>0.63674900000000001</v>
      </c>
      <c r="AR241" s="21">
        <v>670.14400000000001</v>
      </c>
      <c r="AS241" s="21">
        <v>-1.1886600000000001E-2</v>
      </c>
      <c r="AT241" s="21">
        <v>231</v>
      </c>
      <c r="AU241" s="21">
        <v>0.63638300000000003</v>
      </c>
      <c r="AV241">
        <f t="shared" si="44"/>
        <v>11.886600000000001</v>
      </c>
      <c r="AW241">
        <f t="shared" si="45"/>
        <v>7.568780663400001</v>
      </c>
      <c r="AX241" s="9"/>
      <c r="AY241" s="21">
        <v>1.0632299999999999</v>
      </c>
      <c r="AZ241" s="21">
        <v>760.23900000000003</v>
      </c>
      <c r="BA241" s="21">
        <v>-1.16089E-2</v>
      </c>
      <c r="BB241" s="21">
        <v>231</v>
      </c>
      <c r="BC241" s="21">
        <v>1.0623199999999999</v>
      </c>
      <c r="BD241">
        <f t="shared" si="46"/>
        <v>11.6089</v>
      </c>
      <c r="BE241">
        <f t="shared" si="47"/>
        <v>12.342930746999999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166.72900000000001</v>
      </c>
      <c r="I242" s="21">
        <v>-1.17126E-2</v>
      </c>
      <c r="J242" s="21">
        <v>232</v>
      </c>
      <c r="K242" s="21">
        <v>0.63143899999999997</v>
      </c>
      <c r="L242">
        <f t="shared" si="36"/>
        <v>11.7126</v>
      </c>
      <c r="M242">
        <f t="shared" si="37"/>
        <v>7.3990133964</v>
      </c>
      <c r="N242" s="9"/>
      <c r="O242" s="21">
        <v>1.0682700000000001</v>
      </c>
      <c r="P242" s="21">
        <v>250.71299999999999</v>
      </c>
      <c r="Q242" s="21">
        <v>-1.13007E-2</v>
      </c>
      <c r="R242" s="21">
        <v>232</v>
      </c>
      <c r="S242" s="21">
        <v>1.06812</v>
      </c>
      <c r="T242">
        <f t="shared" si="38"/>
        <v>11.300700000000001</v>
      </c>
      <c r="U242">
        <f t="shared" si="39"/>
        <v>12.072198789000002</v>
      </c>
      <c r="X242" s="9"/>
      <c r="Y242" s="21">
        <v>0.631714</v>
      </c>
      <c r="Z242" s="21">
        <v>456.88099999999997</v>
      </c>
      <c r="AA242" s="21">
        <v>-1.15326E-2</v>
      </c>
      <c r="AB242" s="21">
        <v>232</v>
      </c>
      <c r="AC242" s="21">
        <v>0.63131700000000002</v>
      </c>
      <c r="AD242">
        <f t="shared" si="40"/>
        <v>11.5326</v>
      </c>
      <c r="AE242">
        <f t="shared" si="41"/>
        <v>7.2853048764000006</v>
      </c>
      <c r="AF242" s="9"/>
      <c r="AG242" s="21">
        <v>1.0682700000000001</v>
      </c>
      <c r="AH242" s="21">
        <v>513.55600000000004</v>
      </c>
      <c r="AI242" s="21">
        <v>-1.14594E-2</v>
      </c>
      <c r="AJ242" s="21">
        <v>232</v>
      </c>
      <c r="AK242" s="21">
        <v>1.0671999999999999</v>
      </c>
      <c r="AL242">
        <f t="shared" si="42"/>
        <v>11.4594</v>
      </c>
      <c r="AM242">
        <f t="shared" si="43"/>
        <v>12.241733238000002</v>
      </c>
      <c r="AP242" s="9"/>
      <c r="AQ242" s="21">
        <v>0.631714</v>
      </c>
      <c r="AR242" s="21">
        <v>670.24400000000003</v>
      </c>
      <c r="AS242" s="21">
        <v>-1.1898799999999999E-2</v>
      </c>
      <c r="AT242" s="21">
        <v>232</v>
      </c>
      <c r="AU242" s="21">
        <v>0.631409</v>
      </c>
      <c r="AV242">
        <f t="shared" si="44"/>
        <v>11.8988</v>
      </c>
      <c r="AW242">
        <f t="shared" si="45"/>
        <v>7.5166385432</v>
      </c>
      <c r="AX242" s="9"/>
      <c r="AY242" s="21">
        <v>1.0682700000000001</v>
      </c>
      <c r="AZ242" s="21">
        <v>760.34</v>
      </c>
      <c r="BA242" s="21">
        <v>-1.1605799999999999E-2</v>
      </c>
      <c r="BB242" s="21">
        <v>232</v>
      </c>
      <c r="BC242" s="21">
        <v>1.0678099999999999</v>
      </c>
      <c r="BD242">
        <f t="shared" si="46"/>
        <v>11.605799999999999</v>
      </c>
      <c r="BE242">
        <f t="shared" si="47"/>
        <v>12.398127965999999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166.82900000000001</v>
      </c>
      <c r="I243" s="21">
        <v>-1.1715700000000001E-2</v>
      </c>
      <c r="J243" s="21">
        <v>233</v>
      </c>
      <c r="K243" s="21">
        <v>0.62637299999999996</v>
      </c>
      <c r="L243">
        <f t="shared" si="36"/>
        <v>11.7157</v>
      </c>
      <c r="M243">
        <f t="shared" si="37"/>
        <v>7.3419714445999995</v>
      </c>
      <c r="N243" s="9"/>
      <c r="O243" s="21">
        <v>1.0732999999999999</v>
      </c>
      <c r="P243" s="21">
        <v>250.81399999999999</v>
      </c>
      <c r="Q243" s="21">
        <v>-1.1291499999999999E-2</v>
      </c>
      <c r="R243" s="21">
        <v>233</v>
      </c>
      <c r="S243" s="21">
        <v>1.0726899999999999</v>
      </c>
      <c r="T243">
        <f t="shared" si="38"/>
        <v>11.291499999999999</v>
      </c>
      <c r="U243">
        <f t="shared" si="39"/>
        <v>12.119166949999999</v>
      </c>
      <c r="X243" s="9"/>
      <c r="Y243" s="21">
        <v>0.62667799999999996</v>
      </c>
      <c r="Z243" s="21">
        <v>456.98099999999999</v>
      </c>
      <c r="AA243" s="21">
        <v>-1.15417E-2</v>
      </c>
      <c r="AB243" s="21">
        <v>233</v>
      </c>
      <c r="AC243" s="21">
        <v>0.62631199999999998</v>
      </c>
      <c r="AD243">
        <f t="shared" si="40"/>
        <v>11.541700000000001</v>
      </c>
      <c r="AE243">
        <f t="shared" si="41"/>
        <v>7.2329294725999995</v>
      </c>
      <c r="AF243" s="9"/>
      <c r="AG243" s="21">
        <v>1.0732999999999999</v>
      </c>
      <c r="AH243" s="21">
        <v>513.65599999999995</v>
      </c>
      <c r="AI243" s="21">
        <v>-1.14594E-2</v>
      </c>
      <c r="AJ243" s="21">
        <v>233</v>
      </c>
      <c r="AK243" s="21">
        <v>1.07239</v>
      </c>
      <c r="AL243">
        <f t="shared" si="42"/>
        <v>11.4594</v>
      </c>
      <c r="AM243">
        <f t="shared" si="43"/>
        <v>12.29937402</v>
      </c>
      <c r="AP243" s="9"/>
      <c r="AQ243" s="21">
        <v>0.62667799999999996</v>
      </c>
      <c r="AR243" s="21">
        <v>670.34500000000003</v>
      </c>
      <c r="AS243" s="21">
        <v>-1.1898799999999999E-2</v>
      </c>
      <c r="AT243" s="21">
        <v>233</v>
      </c>
      <c r="AU243" s="21">
        <v>0.62646500000000005</v>
      </c>
      <c r="AV243">
        <f t="shared" si="44"/>
        <v>11.8988</v>
      </c>
      <c r="AW243">
        <f t="shared" si="45"/>
        <v>7.4567161863999996</v>
      </c>
      <c r="AX243" s="9"/>
      <c r="AY243" s="21">
        <v>1.0732999999999999</v>
      </c>
      <c r="AZ243" s="21">
        <v>760.44100000000003</v>
      </c>
      <c r="BA243" s="21">
        <v>-1.1605799999999999E-2</v>
      </c>
      <c r="BB243" s="21">
        <v>233</v>
      </c>
      <c r="BC243" s="21">
        <v>1.07239</v>
      </c>
      <c r="BD243">
        <f t="shared" si="46"/>
        <v>11.605799999999999</v>
      </c>
      <c r="BE243">
        <f t="shared" si="47"/>
        <v>12.456505139999997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166.93</v>
      </c>
      <c r="I244" s="21">
        <v>-1.17249E-2</v>
      </c>
      <c r="J244" s="21">
        <v>234</v>
      </c>
      <c r="K244" s="21">
        <v>0.62133799999999995</v>
      </c>
      <c r="L244">
        <f t="shared" si="36"/>
        <v>11.7249</v>
      </c>
      <c r="M244">
        <f t="shared" si="37"/>
        <v>7.2887020106999989</v>
      </c>
      <c r="N244" s="9"/>
      <c r="O244" s="21">
        <v>1.0783400000000001</v>
      </c>
      <c r="P244" s="21">
        <v>250.91499999999999</v>
      </c>
      <c r="Q244" s="21">
        <v>-1.1285399999999999E-2</v>
      </c>
      <c r="R244" s="21">
        <v>234</v>
      </c>
      <c r="S244" s="21">
        <v>1.07697</v>
      </c>
      <c r="T244">
        <f t="shared" si="38"/>
        <v>11.285399999999999</v>
      </c>
      <c r="U244">
        <f t="shared" si="39"/>
        <v>12.169498236000001</v>
      </c>
      <c r="X244" s="9"/>
      <c r="Y244" s="21">
        <v>0.62164299999999995</v>
      </c>
      <c r="Z244" s="21">
        <v>457.08199999999999</v>
      </c>
      <c r="AA244" s="21">
        <v>-1.1544799999999999E-2</v>
      </c>
      <c r="AB244" s="21">
        <v>234</v>
      </c>
      <c r="AC244" s="21">
        <v>0.62130700000000005</v>
      </c>
      <c r="AD244">
        <f t="shared" si="40"/>
        <v>11.544799999999999</v>
      </c>
      <c r="AE244">
        <f t="shared" si="41"/>
        <v>7.1767441063999984</v>
      </c>
      <c r="AF244" s="9"/>
      <c r="AG244" s="21">
        <v>1.0783400000000001</v>
      </c>
      <c r="AH244" s="21">
        <v>513.75699999999995</v>
      </c>
      <c r="AI244" s="21">
        <v>-1.1450200000000001E-2</v>
      </c>
      <c r="AJ244" s="21">
        <v>234</v>
      </c>
      <c r="AK244" s="21">
        <v>1.07758</v>
      </c>
      <c r="AL244">
        <f t="shared" si="42"/>
        <v>11.450200000000001</v>
      </c>
      <c r="AM244">
        <f t="shared" si="43"/>
        <v>12.347208668000002</v>
      </c>
      <c r="AP244" s="9"/>
      <c r="AQ244" s="21">
        <v>0.62164299999999995</v>
      </c>
      <c r="AR244" s="21">
        <v>670.44600000000003</v>
      </c>
      <c r="AS244" s="21">
        <v>-1.1908E-2</v>
      </c>
      <c r="AT244" s="21">
        <v>234</v>
      </c>
      <c r="AU244" s="21">
        <v>0.62130700000000005</v>
      </c>
      <c r="AV244">
        <f t="shared" si="44"/>
        <v>11.907999999999999</v>
      </c>
      <c r="AW244">
        <f t="shared" si="45"/>
        <v>7.4025248439999993</v>
      </c>
      <c r="AX244" s="9"/>
      <c r="AY244" s="21">
        <v>1.0783400000000001</v>
      </c>
      <c r="AZ244" s="21">
        <v>760.54100000000005</v>
      </c>
      <c r="BA244" s="21">
        <v>-1.1599699999999999E-2</v>
      </c>
      <c r="BB244" s="21">
        <v>234</v>
      </c>
      <c r="BC244" s="21">
        <v>1.0772699999999999</v>
      </c>
      <c r="BD244">
        <f t="shared" si="46"/>
        <v>11.599699999999999</v>
      </c>
      <c r="BE244">
        <f t="shared" si="47"/>
        <v>12.508420498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167.03100000000001</v>
      </c>
      <c r="I245" s="21">
        <v>-1.17188E-2</v>
      </c>
      <c r="J245" s="21">
        <v>235</v>
      </c>
      <c r="K245" s="21">
        <v>0.61630200000000002</v>
      </c>
      <c r="L245">
        <f t="shared" si="36"/>
        <v>11.7188</v>
      </c>
      <c r="M245">
        <f t="shared" si="37"/>
        <v>7.2259058304000003</v>
      </c>
      <c r="N245" s="9"/>
      <c r="O245" s="21">
        <v>1.0833699999999999</v>
      </c>
      <c r="P245" s="21">
        <v>251.01499999999999</v>
      </c>
      <c r="Q245" s="21">
        <v>-1.1279300000000001E-2</v>
      </c>
      <c r="R245" s="21">
        <v>235</v>
      </c>
      <c r="S245" s="21">
        <v>1.0827599999999999</v>
      </c>
      <c r="T245">
        <f t="shared" si="38"/>
        <v>11.279300000000001</v>
      </c>
      <c r="U245">
        <f t="shared" si="39"/>
        <v>12.219655241</v>
      </c>
      <c r="X245" s="9"/>
      <c r="Y245" s="21">
        <v>0.61660800000000004</v>
      </c>
      <c r="Z245" s="21">
        <v>457.18299999999999</v>
      </c>
      <c r="AA245" s="21">
        <v>-1.15631E-2</v>
      </c>
      <c r="AB245" s="21">
        <v>235</v>
      </c>
      <c r="AC245" s="21">
        <v>0.61633300000000002</v>
      </c>
      <c r="AD245">
        <f t="shared" si="40"/>
        <v>11.5631</v>
      </c>
      <c r="AE245">
        <f t="shared" si="41"/>
        <v>7.1298999648000008</v>
      </c>
      <c r="AF245" s="9"/>
      <c r="AG245" s="21">
        <v>1.0833699999999999</v>
      </c>
      <c r="AH245" s="21">
        <v>513.85799999999995</v>
      </c>
      <c r="AI245" s="21">
        <v>-1.1450200000000001E-2</v>
      </c>
      <c r="AJ245" s="21">
        <v>235</v>
      </c>
      <c r="AK245" s="21">
        <v>1.08246</v>
      </c>
      <c r="AL245">
        <f t="shared" si="42"/>
        <v>11.450200000000001</v>
      </c>
      <c r="AM245">
        <f t="shared" si="43"/>
        <v>12.404803174</v>
      </c>
      <c r="AP245" s="9"/>
      <c r="AQ245" s="21">
        <v>0.61660800000000004</v>
      </c>
      <c r="AR245" s="21">
        <v>670.54700000000003</v>
      </c>
      <c r="AS245" s="21">
        <v>-1.19019E-2</v>
      </c>
      <c r="AT245" s="21">
        <v>235</v>
      </c>
      <c r="AU245" s="21">
        <v>0.616394</v>
      </c>
      <c r="AV245">
        <f t="shared" si="44"/>
        <v>11.901899999999999</v>
      </c>
      <c r="AW245">
        <f t="shared" si="45"/>
        <v>7.3388067552000003</v>
      </c>
      <c r="AX245" s="9"/>
      <c r="AY245" s="21">
        <v>1.0833699999999999</v>
      </c>
      <c r="AZ245" s="21">
        <v>760.64200000000005</v>
      </c>
      <c r="BA245" s="21">
        <v>-1.15967E-2</v>
      </c>
      <c r="BB245" s="21">
        <v>235</v>
      </c>
      <c r="BC245" s="21">
        <v>1.0833699999999999</v>
      </c>
      <c r="BD245">
        <f t="shared" si="46"/>
        <v>11.5967</v>
      </c>
      <c r="BE245">
        <f t="shared" si="47"/>
        <v>12.563516879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167.13200000000001</v>
      </c>
      <c r="I246" s="21">
        <v>-1.17188E-2</v>
      </c>
      <c r="J246" s="21">
        <v>236</v>
      </c>
      <c r="K246" s="21">
        <v>0.61120600000000003</v>
      </c>
      <c r="L246">
        <f t="shared" si="36"/>
        <v>11.7188</v>
      </c>
      <c r="M246">
        <f t="shared" si="37"/>
        <v>7.1668899536000001</v>
      </c>
      <c r="N246" s="9"/>
      <c r="O246" s="21">
        <v>1.0884100000000001</v>
      </c>
      <c r="P246" s="21">
        <v>251.11600000000001</v>
      </c>
      <c r="Q246" s="21">
        <v>-1.12762E-2</v>
      </c>
      <c r="R246" s="21">
        <v>236</v>
      </c>
      <c r="S246" s="21">
        <v>1.08734</v>
      </c>
      <c r="T246">
        <f t="shared" si="38"/>
        <v>11.276199999999999</v>
      </c>
      <c r="U246">
        <f t="shared" si="39"/>
        <v>12.273128842</v>
      </c>
      <c r="X246" s="9"/>
      <c r="Y246" s="21">
        <v>0.611572</v>
      </c>
      <c r="Z246" s="21">
        <v>457.28399999999999</v>
      </c>
      <c r="AA246" s="21">
        <v>-1.15631E-2</v>
      </c>
      <c r="AB246" s="21">
        <v>236</v>
      </c>
      <c r="AC246" s="21">
        <v>0.61123700000000003</v>
      </c>
      <c r="AD246">
        <f t="shared" si="40"/>
        <v>11.5631</v>
      </c>
      <c r="AE246">
        <f t="shared" si="41"/>
        <v>7.0716681931999998</v>
      </c>
      <c r="AF246" s="9"/>
      <c r="AG246" s="21">
        <v>1.0884100000000001</v>
      </c>
      <c r="AH246" s="21">
        <v>513.95899999999995</v>
      </c>
      <c r="AI246" s="21">
        <v>-1.14441E-2</v>
      </c>
      <c r="AJ246" s="21">
        <v>236</v>
      </c>
      <c r="AK246" s="21">
        <v>1.08765</v>
      </c>
      <c r="AL246">
        <f t="shared" si="42"/>
        <v>11.444100000000001</v>
      </c>
      <c r="AM246">
        <f t="shared" si="43"/>
        <v>12.455872881000001</v>
      </c>
      <c r="AP246" s="9"/>
      <c r="AQ246" s="21">
        <v>0.611572</v>
      </c>
      <c r="AR246" s="21">
        <v>670.64700000000005</v>
      </c>
      <c r="AS246" s="21">
        <v>-1.19019E-2</v>
      </c>
      <c r="AT246" s="21">
        <v>236</v>
      </c>
      <c r="AU246" s="21">
        <v>0.611267</v>
      </c>
      <c r="AV246">
        <f t="shared" si="44"/>
        <v>11.901899999999999</v>
      </c>
      <c r="AW246">
        <f t="shared" si="45"/>
        <v>7.2788687867999995</v>
      </c>
      <c r="AX246" s="9"/>
      <c r="AY246" s="21">
        <v>1.0884100000000001</v>
      </c>
      <c r="AZ246" s="21">
        <v>760.74300000000005</v>
      </c>
      <c r="BA246" s="21">
        <v>-1.1587500000000001E-2</v>
      </c>
      <c r="BB246" s="21">
        <v>236</v>
      </c>
      <c r="BC246" s="21">
        <v>1.08826</v>
      </c>
      <c r="BD246">
        <f t="shared" si="46"/>
        <v>11.5875</v>
      </c>
      <c r="BE246">
        <f t="shared" si="47"/>
        <v>12.611950875000002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167.232</v>
      </c>
      <c r="I247" s="21">
        <v>-1.17249E-2</v>
      </c>
      <c r="J247" s="21">
        <v>237</v>
      </c>
      <c r="K247" s="21">
        <v>0.60611000000000004</v>
      </c>
      <c r="L247">
        <f t="shared" si="36"/>
        <v>11.7249</v>
      </c>
      <c r="M247">
        <f t="shared" si="37"/>
        <v>7.1115856712999994</v>
      </c>
      <c r="N247" s="9"/>
      <c r="O247" s="21">
        <v>1.09344</v>
      </c>
      <c r="P247" s="21">
        <v>251.21700000000001</v>
      </c>
      <c r="Q247" s="21">
        <v>-1.12671E-2</v>
      </c>
      <c r="R247" s="21">
        <v>237</v>
      </c>
      <c r="S247" s="21">
        <v>1.09283</v>
      </c>
      <c r="T247">
        <f t="shared" si="38"/>
        <v>11.267100000000001</v>
      </c>
      <c r="U247">
        <f t="shared" si="39"/>
        <v>12.319897824</v>
      </c>
      <c r="X247" s="9"/>
      <c r="Y247" s="21">
        <v>0.60653699999999999</v>
      </c>
      <c r="Z247" s="21">
        <v>457.38400000000001</v>
      </c>
      <c r="AA247" s="21">
        <v>-1.15692E-2</v>
      </c>
      <c r="AB247" s="21">
        <v>237</v>
      </c>
      <c r="AC247" s="21">
        <v>0.60629299999999997</v>
      </c>
      <c r="AD247">
        <f t="shared" si="40"/>
        <v>11.5692</v>
      </c>
      <c r="AE247">
        <f t="shared" si="41"/>
        <v>7.0171478603999997</v>
      </c>
      <c r="AF247" s="9"/>
      <c r="AG247" s="21">
        <v>1.09344</v>
      </c>
      <c r="AH247" s="21">
        <v>514.05899999999997</v>
      </c>
      <c r="AI247" s="21">
        <v>-1.1438E-2</v>
      </c>
      <c r="AJ247" s="21">
        <v>237</v>
      </c>
      <c r="AK247" s="21">
        <v>1.09253</v>
      </c>
      <c r="AL247">
        <f t="shared" si="42"/>
        <v>11.438000000000001</v>
      </c>
      <c r="AM247">
        <f t="shared" si="43"/>
        <v>12.50676672</v>
      </c>
      <c r="AP247" s="9"/>
      <c r="AQ247" s="21">
        <v>0.60653699999999999</v>
      </c>
      <c r="AR247" s="21">
        <v>670.74800000000005</v>
      </c>
      <c r="AS247" s="21">
        <v>-1.1908E-2</v>
      </c>
      <c r="AT247" s="21">
        <v>237</v>
      </c>
      <c r="AU247" s="21">
        <v>0.60620099999999999</v>
      </c>
      <c r="AV247">
        <f t="shared" si="44"/>
        <v>11.907999999999999</v>
      </c>
      <c r="AW247">
        <f t="shared" si="45"/>
        <v>7.222642596</v>
      </c>
      <c r="AX247" s="9"/>
      <c r="AY247" s="21">
        <v>1.09344</v>
      </c>
      <c r="AZ247" s="21">
        <v>760.84299999999996</v>
      </c>
      <c r="BA247" s="21">
        <v>-1.1578400000000001E-2</v>
      </c>
      <c r="BB247" s="21">
        <v>237</v>
      </c>
      <c r="BC247" s="21">
        <v>1.09283</v>
      </c>
      <c r="BD247">
        <f t="shared" si="46"/>
        <v>11.5784</v>
      </c>
      <c r="BE247">
        <f t="shared" si="47"/>
        <v>12.660285696000001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167.333</v>
      </c>
      <c r="I248" s="21">
        <v>-1.17188E-2</v>
      </c>
      <c r="J248" s="21">
        <v>238</v>
      </c>
      <c r="K248" s="21">
        <v>0.60113499999999997</v>
      </c>
      <c r="L248">
        <f t="shared" si="36"/>
        <v>11.7188</v>
      </c>
      <c r="M248">
        <f t="shared" si="37"/>
        <v>7.0488699187999995</v>
      </c>
      <c r="N248" s="9"/>
      <c r="O248" s="21">
        <v>1.0984799999999999</v>
      </c>
      <c r="P248" s="21">
        <v>251.31700000000001</v>
      </c>
      <c r="Q248" s="21">
        <v>-1.12579E-2</v>
      </c>
      <c r="R248" s="21">
        <v>238</v>
      </c>
      <c r="S248" s="21">
        <v>1.09772</v>
      </c>
      <c r="T248">
        <f t="shared" si="38"/>
        <v>11.257899999999999</v>
      </c>
      <c r="U248">
        <f t="shared" si="39"/>
        <v>12.366577991999998</v>
      </c>
      <c r="X248" s="9"/>
      <c r="Y248" s="21">
        <v>0.60150099999999995</v>
      </c>
      <c r="Z248" s="21">
        <v>457.48500000000001</v>
      </c>
      <c r="AA248" s="21">
        <v>-1.1572300000000001E-2</v>
      </c>
      <c r="AB248" s="21">
        <v>238</v>
      </c>
      <c r="AC248" s="21">
        <v>0.60116599999999998</v>
      </c>
      <c r="AD248">
        <f t="shared" si="40"/>
        <v>11.5723</v>
      </c>
      <c r="AE248">
        <f t="shared" si="41"/>
        <v>6.9607500222999992</v>
      </c>
      <c r="AF248" s="9"/>
      <c r="AG248" s="21">
        <v>1.0984799999999999</v>
      </c>
      <c r="AH248" s="21">
        <v>514.16</v>
      </c>
      <c r="AI248" s="21">
        <v>-1.14349E-2</v>
      </c>
      <c r="AJ248" s="21">
        <v>238</v>
      </c>
      <c r="AK248" s="21">
        <v>1.09711</v>
      </c>
      <c r="AL248">
        <f t="shared" si="42"/>
        <v>11.434899999999999</v>
      </c>
      <c r="AM248">
        <f t="shared" si="43"/>
        <v>12.561008951999998</v>
      </c>
      <c r="AP248" s="9"/>
      <c r="AQ248" s="21">
        <v>0.60150099999999995</v>
      </c>
      <c r="AR248" s="21">
        <v>670.84900000000005</v>
      </c>
      <c r="AS248" s="21">
        <v>-1.18835E-2</v>
      </c>
      <c r="AT248" s="21">
        <v>238</v>
      </c>
      <c r="AU248" s="21">
        <v>0.60122699999999996</v>
      </c>
      <c r="AV248">
        <f t="shared" si="44"/>
        <v>11.8835</v>
      </c>
      <c r="AW248">
        <f t="shared" si="45"/>
        <v>7.1479371334999993</v>
      </c>
      <c r="AX248" s="9"/>
      <c r="AY248" s="21">
        <v>1.0984799999999999</v>
      </c>
      <c r="AZ248" s="21">
        <v>760.94399999999996</v>
      </c>
      <c r="BA248" s="21">
        <v>-1.15692E-2</v>
      </c>
      <c r="BB248" s="21">
        <v>238</v>
      </c>
      <c r="BC248" s="21">
        <v>1.09772</v>
      </c>
      <c r="BD248">
        <f t="shared" si="46"/>
        <v>11.5692</v>
      </c>
      <c r="BE248">
        <f t="shared" si="47"/>
        <v>12.708534815999998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167.434</v>
      </c>
      <c r="I249" s="21">
        <v>-1.1721799999999999E-2</v>
      </c>
      <c r="J249" s="21">
        <v>239</v>
      </c>
      <c r="K249" s="21">
        <v>0.59613000000000005</v>
      </c>
      <c r="L249">
        <f t="shared" si="36"/>
        <v>11.7218</v>
      </c>
      <c r="M249">
        <f t="shared" si="37"/>
        <v>6.9916551588000004</v>
      </c>
      <c r="N249" s="9"/>
      <c r="O249" s="21">
        <v>1.1035200000000001</v>
      </c>
      <c r="P249" s="21">
        <v>251.41800000000001</v>
      </c>
      <c r="Q249" s="21">
        <v>-1.12549E-2</v>
      </c>
      <c r="R249" s="21">
        <v>239</v>
      </c>
      <c r="S249" s="21">
        <v>1.1026</v>
      </c>
      <c r="T249">
        <f t="shared" si="38"/>
        <v>11.254899999999999</v>
      </c>
      <c r="U249">
        <f t="shared" si="39"/>
        <v>12.420007247999999</v>
      </c>
      <c r="X249" s="9"/>
      <c r="Y249" s="21">
        <v>0.59646600000000005</v>
      </c>
      <c r="Z249" s="21">
        <v>457.58600000000001</v>
      </c>
      <c r="AA249" s="21">
        <v>-1.1572300000000001E-2</v>
      </c>
      <c r="AB249" s="21">
        <v>239</v>
      </c>
      <c r="AC249" s="21">
        <v>0.59613000000000005</v>
      </c>
      <c r="AD249">
        <f t="shared" si="40"/>
        <v>11.5723</v>
      </c>
      <c r="AE249">
        <f t="shared" si="41"/>
        <v>6.9024834918000009</v>
      </c>
      <c r="AF249" s="9"/>
      <c r="AG249" s="21">
        <v>1.1035200000000001</v>
      </c>
      <c r="AH249" s="21">
        <v>514.26099999999997</v>
      </c>
      <c r="AI249" s="21">
        <v>-1.14319E-2</v>
      </c>
      <c r="AJ249" s="21">
        <v>239</v>
      </c>
      <c r="AK249" s="21">
        <v>1.1029100000000001</v>
      </c>
      <c r="AL249">
        <f t="shared" si="42"/>
        <v>11.431900000000001</v>
      </c>
      <c r="AM249">
        <f t="shared" si="43"/>
        <v>12.615330288000001</v>
      </c>
      <c r="AP249" s="9"/>
      <c r="AQ249" s="21">
        <v>0.59646600000000005</v>
      </c>
      <c r="AR249" s="21">
        <v>670.94899999999996</v>
      </c>
      <c r="AS249" s="21">
        <v>-1.18408E-2</v>
      </c>
      <c r="AT249" s="21">
        <v>239</v>
      </c>
      <c r="AU249" s="21">
        <v>0.59616100000000005</v>
      </c>
      <c r="AV249">
        <f t="shared" si="44"/>
        <v>11.8408</v>
      </c>
      <c r="AW249">
        <f t="shared" si="45"/>
        <v>7.0626346128000002</v>
      </c>
      <c r="AX249" s="9"/>
      <c r="AY249" s="21">
        <v>1.1035200000000001</v>
      </c>
      <c r="AZ249" s="21">
        <v>761.04499999999996</v>
      </c>
      <c r="BA249" s="21">
        <v>-1.15692E-2</v>
      </c>
      <c r="BB249" s="21">
        <v>239</v>
      </c>
      <c r="BC249" s="21">
        <v>1.10321</v>
      </c>
      <c r="BD249">
        <f t="shared" si="46"/>
        <v>11.5692</v>
      </c>
      <c r="BE249">
        <f t="shared" si="47"/>
        <v>12.766843584000002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167.53399999999999</v>
      </c>
      <c r="I250" s="21">
        <v>-1.1734E-2</v>
      </c>
      <c r="J250" s="21">
        <v>240</v>
      </c>
      <c r="K250" s="21">
        <v>0.59106400000000003</v>
      </c>
      <c r="L250">
        <f t="shared" si="36"/>
        <v>11.734</v>
      </c>
      <c r="M250">
        <f t="shared" si="37"/>
        <v>6.9398513540000009</v>
      </c>
      <c r="N250" s="9"/>
      <c r="O250" s="21">
        <v>1.1085499999999999</v>
      </c>
      <c r="P250" s="21">
        <v>251.51900000000001</v>
      </c>
      <c r="Q250" s="21">
        <v>-1.12488E-2</v>
      </c>
      <c r="R250" s="21">
        <v>240</v>
      </c>
      <c r="S250" s="21">
        <v>1.1077900000000001</v>
      </c>
      <c r="T250">
        <f t="shared" si="38"/>
        <v>11.248799999999999</v>
      </c>
      <c r="U250">
        <f t="shared" si="39"/>
        <v>12.469857239999998</v>
      </c>
      <c r="X250" s="9"/>
      <c r="Y250" s="21">
        <v>0.59143100000000004</v>
      </c>
      <c r="Z250" s="21">
        <v>457.68599999999998</v>
      </c>
      <c r="AA250" s="21">
        <v>-1.1587500000000001E-2</v>
      </c>
      <c r="AB250" s="21">
        <v>240</v>
      </c>
      <c r="AC250" s="21">
        <v>0.59106400000000003</v>
      </c>
      <c r="AD250">
        <f t="shared" si="40"/>
        <v>11.5875</v>
      </c>
      <c r="AE250">
        <f t="shared" si="41"/>
        <v>6.8532067125000005</v>
      </c>
      <c r="AF250" s="9"/>
      <c r="AG250" s="21">
        <v>1.1085499999999999</v>
      </c>
      <c r="AH250" s="21">
        <v>514.36099999999999</v>
      </c>
      <c r="AI250" s="21">
        <v>-1.1428799999999999E-2</v>
      </c>
      <c r="AJ250" s="21">
        <v>240</v>
      </c>
      <c r="AK250" s="21">
        <v>1.1077900000000001</v>
      </c>
      <c r="AL250">
        <f t="shared" si="42"/>
        <v>11.428799999999999</v>
      </c>
      <c r="AM250">
        <f t="shared" si="43"/>
        <v>12.669396239999998</v>
      </c>
      <c r="AP250" s="9"/>
      <c r="AQ250" s="21">
        <v>0.59143100000000004</v>
      </c>
      <c r="AR250" s="21">
        <v>671.05</v>
      </c>
      <c r="AS250" s="21">
        <v>-1.1859099999999999E-2</v>
      </c>
      <c r="AT250" s="21">
        <v>240</v>
      </c>
      <c r="AU250" s="21">
        <v>0.59112500000000001</v>
      </c>
      <c r="AV250">
        <f t="shared" si="44"/>
        <v>11.8591</v>
      </c>
      <c r="AW250">
        <f t="shared" si="45"/>
        <v>7.0138393721000005</v>
      </c>
      <c r="AX250" s="9"/>
      <c r="AY250" s="21">
        <v>1.1085499999999999</v>
      </c>
      <c r="AZ250" s="21">
        <v>761.14599999999996</v>
      </c>
      <c r="BA250" s="21">
        <v>-1.15631E-2</v>
      </c>
      <c r="BB250" s="21">
        <v>240</v>
      </c>
      <c r="BC250" s="21">
        <v>1.10809</v>
      </c>
      <c r="BD250">
        <f t="shared" si="46"/>
        <v>11.5631</v>
      </c>
      <c r="BE250">
        <f t="shared" si="47"/>
        <v>12.818274505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167.63499999999999</v>
      </c>
      <c r="I251" s="21">
        <v>-1.1734E-2</v>
      </c>
      <c r="J251" s="21">
        <v>241</v>
      </c>
      <c r="K251" s="21">
        <v>0.58602900000000002</v>
      </c>
      <c r="L251">
        <f t="shared" si="36"/>
        <v>11.734</v>
      </c>
      <c r="M251">
        <f t="shared" si="37"/>
        <v>6.8807589299999998</v>
      </c>
      <c r="N251" s="9"/>
      <c r="O251" s="21">
        <v>1.1135900000000001</v>
      </c>
      <c r="P251" s="21">
        <v>251.62</v>
      </c>
      <c r="Q251" s="21">
        <v>-1.1239600000000001E-2</v>
      </c>
      <c r="R251" s="21">
        <v>241</v>
      </c>
      <c r="S251" s="21">
        <v>1.11267</v>
      </c>
      <c r="T251">
        <f t="shared" si="38"/>
        <v>11.239600000000001</v>
      </c>
      <c r="U251">
        <f t="shared" si="39"/>
        <v>12.516306164000001</v>
      </c>
      <c r="X251" s="9"/>
      <c r="Y251" s="21">
        <v>0.586395</v>
      </c>
      <c r="Z251" s="21">
        <v>457.78699999999998</v>
      </c>
      <c r="AA251" s="21">
        <v>-1.1584499999999999E-2</v>
      </c>
      <c r="AB251" s="21">
        <v>241</v>
      </c>
      <c r="AC251" s="21">
        <v>0.58599900000000005</v>
      </c>
      <c r="AD251">
        <f t="shared" si="40"/>
        <v>11.584499999999998</v>
      </c>
      <c r="AE251">
        <f t="shared" si="41"/>
        <v>6.7930928774999995</v>
      </c>
      <c r="AF251" s="9"/>
      <c r="AG251" s="21">
        <v>1.1135900000000001</v>
      </c>
      <c r="AH251" s="21">
        <v>514.46199999999999</v>
      </c>
      <c r="AI251" s="21">
        <v>-1.14197E-2</v>
      </c>
      <c r="AJ251" s="21">
        <v>241</v>
      </c>
      <c r="AK251" s="21">
        <v>1.11267</v>
      </c>
      <c r="AL251">
        <f t="shared" si="42"/>
        <v>11.419699999999999</v>
      </c>
      <c r="AM251">
        <f t="shared" si="43"/>
        <v>12.716863722999999</v>
      </c>
      <c r="AP251" s="9"/>
      <c r="AQ251" s="21">
        <v>0.586395</v>
      </c>
      <c r="AR251" s="21">
        <v>671.15099999999995</v>
      </c>
      <c r="AS251" s="21">
        <v>-1.1859099999999999E-2</v>
      </c>
      <c r="AT251" s="21">
        <v>241</v>
      </c>
      <c r="AU251" s="21">
        <v>0.58599900000000005</v>
      </c>
      <c r="AV251">
        <f t="shared" si="44"/>
        <v>11.8591</v>
      </c>
      <c r="AW251">
        <f t="shared" si="45"/>
        <v>6.9541169445</v>
      </c>
      <c r="AX251" s="9"/>
      <c r="AY251" s="21">
        <v>1.1135900000000001</v>
      </c>
      <c r="AZ251" s="21">
        <v>761.24599999999998</v>
      </c>
      <c r="BA251" s="21">
        <v>-1.1557E-2</v>
      </c>
      <c r="BB251" s="21">
        <v>241</v>
      </c>
      <c r="BC251" s="21">
        <v>1.1123700000000001</v>
      </c>
      <c r="BD251">
        <f t="shared" si="46"/>
        <v>11.557</v>
      </c>
      <c r="BE251">
        <f t="shared" si="47"/>
        <v>12.869759630000001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167.73599999999999</v>
      </c>
      <c r="I252" s="21">
        <v>-1.17401E-2</v>
      </c>
      <c r="J252" s="21">
        <v>242</v>
      </c>
      <c r="K252" s="21">
        <v>0.58099400000000001</v>
      </c>
      <c r="L252">
        <f t="shared" si="36"/>
        <v>11.7401</v>
      </c>
      <c r="M252">
        <f t="shared" si="37"/>
        <v>6.8252245359999995</v>
      </c>
      <c r="N252" s="9"/>
      <c r="O252" s="21">
        <v>1.1186199999999999</v>
      </c>
      <c r="P252" s="21">
        <v>251.72</v>
      </c>
      <c r="Q252" s="21">
        <v>-1.1230499999999999E-2</v>
      </c>
      <c r="R252" s="21">
        <v>242</v>
      </c>
      <c r="S252" s="21">
        <v>1.11755</v>
      </c>
      <c r="T252">
        <f t="shared" si="38"/>
        <v>11.230499999999999</v>
      </c>
      <c r="U252">
        <f t="shared" si="39"/>
        <v>12.562661909999999</v>
      </c>
      <c r="X252" s="9"/>
      <c r="Y252" s="21">
        <v>0.58135999999999999</v>
      </c>
      <c r="Z252" s="21">
        <v>457.88799999999998</v>
      </c>
      <c r="AA252" s="21">
        <v>-1.15906E-2</v>
      </c>
      <c r="AB252" s="21">
        <v>242</v>
      </c>
      <c r="AC252" s="21">
        <v>0.58105499999999999</v>
      </c>
      <c r="AD252">
        <f t="shared" si="40"/>
        <v>11.5906</v>
      </c>
      <c r="AE252">
        <f t="shared" si="41"/>
        <v>6.7383112159999996</v>
      </c>
      <c r="AF252" s="9"/>
      <c r="AG252" s="21">
        <v>1.1186199999999999</v>
      </c>
      <c r="AH252" s="21">
        <v>514.56299999999999</v>
      </c>
      <c r="AI252" s="21">
        <v>-1.1416600000000001E-2</v>
      </c>
      <c r="AJ252" s="21">
        <v>242</v>
      </c>
      <c r="AK252" s="21">
        <v>1.11755</v>
      </c>
      <c r="AL252">
        <f t="shared" si="42"/>
        <v>11.416600000000001</v>
      </c>
      <c r="AM252">
        <f t="shared" si="43"/>
        <v>12.770837092000001</v>
      </c>
      <c r="AP252" s="9"/>
      <c r="AQ252" s="21">
        <v>0.58135999999999999</v>
      </c>
      <c r="AR252" s="21">
        <v>671.25199999999995</v>
      </c>
      <c r="AS252" s="21">
        <v>-1.1843899999999999E-2</v>
      </c>
      <c r="AT252" s="21">
        <v>242</v>
      </c>
      <c r="AU252" s="21">
        <v>0.58102399999999998</v>
      </c>
      <c r="AV252">
        <f t="shared" si="44"/>
        <v>11.8439</v>
      </c>
      <c r="AW252">
        <f t="shared" si="45"/>
        <v>6.8855697039999999</v>
      </c>
      <c r="AX252" s="9"/>
      <c r="AY252" s="21">
        <v>1.1186199999999999</v>
      </c>
      <c r="AZ252" s="21">
        <v>761.34699999999998</v>
      </c>
      <c r="BA252" s="21">
        <v>-1.1550899999999999E-2</v>
      </c>
      <c r="BB252" s="21">
        <v>242</v>
      </c>
      <c r="BC252" s="21">
        <v>1.11755</v>
      </c>
      <c r="BD252">
        <f t="shared" si="46"/>
        <v>11.550899999999999</v>
      </c>
      <c r="BE252">
        <f t="shared" si="47"/>
        <v>12.921067757999998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167.83699999999999</v>
      </c>
      <c r="I253" s="21">
        <v>-1.1743200000000001E-2</v>
      </c>
      <c r="J253" s="21">
        <v>243</v>
      </c>
      <c r="K253" s="21">
        <v>0.57589699999999999</v>
      </c>
      <c r="L253">
        <f t="shared" si="36"/>
        <v>11.7432</v>
      </c>
      <c r="M253">
        <f t="shared" si="37"/>
        <v>6.767887996799999</v>
      </c>
      <c r="N253" s="9"/>
      <c r="O253" s="21">
        <v>1.1236600000000001</v>
      </c>
      <c r="P253" s="21">
        <v>251.821</v>
      </c>
      <c r="Q253" s="21">
        <v>-1.12274E-2</v>
      </c>
      <c r="R253" s="21">
        <v>243</v>
      </c>
      <c r="S253" s="21">
        <v>1.1230500000000001</v>
      </c>
      <c r="T253">
        <f t="shared" si="38"/>
        <v>11.227399999999999</v>
      </c>
      <c r="U253">
        <f t="shared" si="39"/>
        <v>12.615780284000001</v>
      </c>
      <c r="X253" s="9"/>
      <c r="Y253" s="21">
        <v>0.57632399999999995</v>
      </c>
      <c r="Z253" s="21">
        <v>457.98899999999998</v>
      </c>
      <c r="AA253" s="21">
        <v>-1.1593600000000001E-2</v>
      </c>
      <c r="AB253" s="21">
        <v>243</v>
      </c>
      <c r="AC253" s="21">
        <v>0.57604999999999995</v>
      </c>
      <c r="AD253">
        <f t="shared" si="40"/>
        <v>11.5936</v>
      </c>
      <c r="AE253">
        <f t="shared" si="41"/>
        <v>6.6816699263999997</v>
      </c>
      <c r="AF253" s="9"/>
      <c r="AG253" s="21">
        <v>1.1236600000000001</v>
      </c>
      <c r="AH253" s="21">
        <v>514.66399999999999</v>
      </c>
      <c r="AI253" s="21">
        <v>-1.1413599999999999E-2</v>
      </c>
      <c r="AJ253" s="21">
        <v>243</v>
      </c>
      <c r="AK253" s="21">
        <v>1.1227400000000001</v>
      </c>
      <c r="AL253">
        <f t="shared" si="42"/>
        <v>11.413599999999999</v>
      </c>
      <c r="AM253">
        <f t="shared" si="43"/>
        <v>12.825005775999999</v>
      </c>
      <c r="AP253" s="9"/>
      <c r="AQ253" s="21">
        <v>0.57632399999999995</v>
      </c>
      <c r="AR253" s="21">
        <v>671.35199999999998</v>
      </c>
      <c r="AS253" s="21">
        <v>-1.18408E-2</v>
      </c>
      <c r="AT253" s="21">
        <v>243</v>
      </c>
      <c r="AU253" s="21">
        <v>0.57598899999999997</v>
      </c>
      <c r="AV253">
        <f t="shared" si="44"/>
        <v>11.8408</v>
      </c>
      <c r="AW253">
        <f t="shared" si="45"/>
        <v>6.8241372191999989</v>
      </c>
      <c r="AX253" s="9"/>
      <c r="AY253" s="21">
        <v>1.1236600000000001</v>
      </c>
      <c r="AZ253" s="21">
        <v>761.44799999999998</v>
      </c>
      <c r="BA253" s="21">
        <v>-1.15479E-2</v>
      </c>
      <c r="BB253" s="21">
        <v>243</v>
      </c>
      <c r="BC253" s="21">
        <v>1.1230500000000001</v>
      </c>
      <c r="BD253">
        <f t="shared" si="46"/>
        <v>11.5479</v>
      </c>
      <c r="BE253">
        <f t="shared" si="47"/>
        <v>12.975913314000001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167.93700000000001</v>
      </c>
      <c r="I254" s="21">
        <v>-1.1743200000000001E-2</v>
      </c>
      <c r="J254" s="21">
        <v>244</v>
      </c>
      <c r="K254" s="21">
        <v>0.57098400000000005</v>
      </c>
      <c r="L254">
        <f t="shared" si="36"/>
        <v>11.7432</v>
      </c>
      <c r="M254">
        <f t="shared" si="37"/>
        <v>6.7087609848000005</v>
      </c>
      <c r="N254" s="9"/>
      <c r="O254" s="21">
        <v>1.12869</v>
      </c>
      <c r="P254" s="21">
        <v>251.922</v>
      </c>
      <c r="Q254" s="21">
        <v>-1.12213E-2</v>
      </c>
      <c r="R254" s="21">
        <v>244</v>
      </c>
      <c r="S254" s="21">
        <v>1.1282300000000001</v>
      </c>
      <c r="T254">
        <f t="shared" si="38"/>
        <v>11.221299999999999</v>
      </c>
      <c r="U254">
        <f t="shared" si="39"/>
        <v>12.665369096999999</v>
      </c>
      <c r="X254" s="9"/>
      <c r="Y254" s="21">
        <v>0.57128900000000005</v>
      </c>
      <c r="Z254" s="21">
        <v>458.089</v>
      </c>
      <c r="AA254" s="21">
        <v>-1.1605799999999999E-2</v>
      </c>
      <c r="AB254" s="21">
        <v>244</v>
      </c>
      <c r="AC254" s="21">
        <v>0.57101400000000002</v>
      </c>
      <c r="AD254">
        <f t="shared" si="40"/>
        <v>11.605799999999999</v>
      </c>
      <c r="AE254">
        <f t="shared" si="41"/>
        <v>6.6302658761999993</v>
      </c>
      <c r="AF254" s="9"/>
      <c r="AG254" s="21">
        <v>1.12869</v>
      </c>
      <c r="AH254" s="21">
        <v>514.76400000000001</v>
      </c>
      <c r="AI254" s="21">
        <v>-1.14044E-2</v>
      </c>
      <c r="AJ254" s="21">
        <v>244</v>
      </c>
      <c r="AK254" s="21">
        <v>1.1279300000000001</v>
      </c>
      <c r="AL254">
        <f t="shared" si="42"/>
        <v>11.404400000000001</v>
      </c>
      <c r="AM254">
        <f t="shared" si="43"/>
        <v>12.872032236000001</v>
      </c>
      <c r="AP254" s="9"/>
      <c r="AQ254" s="21">
        <v>0.57128900000000005</v>
      </c>
      <c r="AR254" s="21">
        <v>671.45299999999997</v>
      </c>
      <c r="AS254" s="21">
        <v>-1.18713E-2</v>
      </c>
      <c r="AT254" s="21">
        <v>244</v>
      </c>
      <c r="AU254" s="21">
        <v>0.57092299999999996</v>
      </c>
      <c r="AV254">
        <f t="shared" si="44"/>
        <v>11.8713</v>
      </c>
      <c r="AW254">
        <f t="shared" si="45"/>
        <v>6.7819431057000008</v>
      </c>
      <c r="AX254" s="9"/>
      <c r="AY254" s="21">
        <v>1.12869</v>
      </c>
      <c r="AZ254" s="21">
        <v>761.548</v>
      </c>
      <c r="BA254" s="21">
        <v>-1.15417E-2</v>
      </c>
      <c r="BB254" s="21">
        <v>244</v>
      </c>
      <c r="BC254" s="21">
        <v>1.1285400000000001</v>
      </c>
      <c r="BD254">
        <f t="shared" si="46"/>
        <v>11.541700000000001</v>
      </c>
      <c r="BE254">
        <f t="shared" si="47"/>
        <v>13.027001373000001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168.03800000000001</v>
      </c>
      <c r="I255" s="21">
        <v>-1.1749300000000001E-2</v>
      </c>
      <c r="J255" s="21">
        <v>245</v>
      </c>
      <c r="K255" s="21">
        <v>0.56591800000000003</v>
      </c>
      <c r="L255">
        <f t="shared" si="36"/>
        <v>11.7493</v>
      </c>
      <c r="M255">
        <f t="shared" si="37"/>
        <v>6.6530881222000007</v>
      </c>
      <c r="N255" s="9"/>
      <c r="O255" s="21">
        <v>1.1337299999999999</v>
      </c>
      <c r="P255" s="21">
        <v>252.02199999999999</v>
      </c>
      <c r="Q255" s="21">
        <v>-1.12152E-2</v>
      </c>
      <c r="R255" s="21">
        <v>245</v>
      </c>
      <c r="S255" s="21">
        <v>1.1331199999999999</v>
      </c>
      <c r="T255">
        <f t="shared" si="38"/>
        <v>11.215199999999999</v>
      </c>
      <c r="U255">
        <f t="shared" si="39"/>
        <v>12.715008695999998</v>
      </c>
      <c r="X255" s="9"/>
      <c r="Y255" s="21">
        <v>0.56625400000000004</v>
      </c>
      <c r="Z255" s="21">
        <v>458.19</v>
      </c>
      <c r="AA255" s="21">
        <v>-1.16119E-2</v>
      </c>
      <c r="AB255" s="21">
        <v>245</v>
      </c>
      <c r="AC255" s="21">
        <v>0.56588700000000003</v>
      </c>
      <c r="AD255">
        <f t="shared" si="40"/>
        <v>11.6119</v>
      </c>
      <c r="AE255">
        <f t="shared" si="41"/>
        <v>6.5752848226000005</v>
      </c>
      <c r="AF255" s="9"/>
      <c r="AG255" s="21">
        <v>1.1337299999999999</v>
      </c>
      <c r="AH255" s="21">
        <v>514.86500000000001</v>
      </c>
      <c r="AI255" s="21">
        <v>-1.13983E-2</v>
      </c>
      <c r="AJ255" s="21">
        <v>245</v>
      </c>
      <c r="AK255" s="21">
        <v>1.1328100000000001</v>
      </c>
      <c r="AL255">
        <f t="shared" si="42"/>
        <v>11.398300000000001</v>
      </c>
      <c r="AM255">
        <f t="shared" si="43"/>
        <v>12.922594659</v>
      </c>
      <c r="AP255" s="9"/>
      <c r="AQ255" s="21">
        <v>0.56625400000000004</v>
      </c>
      <c r="AR255" s="21">
        <v>671.55399999999997</v>
      </c>
      <c r="AS255" s="21">
        <v>-1.18774E-2</v>
      </c>
      <c r="AT255" s="21">
        <v>245</v>
      </c>
      <c r="AU255" s="21">
        <v>0.56579599999999997</v>
      </c>
      <c r="AV255">
        <f t="shared" si="44"/>
        <v>11.8774</v>
      </c>
      <c r="AW255">
        <f t="shared" si="45"/>
        <v>6.7256252596000001</v>
      </c>
      <c r="AX255" s="9"/>
      <c r="AY255" s="21">
        <v>1.1337299999999999</v>
      </c>
      <c r="AZ255" s="21">
        <v>761.649</v>
      </c>
      <c r="BA255" s="21">
        <v>-1.15356E-2</v>
      </c>
      <c r="BB255" s="21">
        <v>245</v>
      </c>
      <c r="BC255" s="21">
        <v>1.1328100000000001</v>
      </c>
      <c r="BD255">
        <f t="shared" si="46"/>
        <v>11.535600000000001</v>
      </c>
      <c r="BE255">
        <f t="shared" si="47"/>
        <v>13.078255788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168.13900000000001</v>
      </c>
      <c r="I256" s="21">
        <v>-1.1755399999999999E-2</v>
      </c>
      <c r="J256" s="21">
        <v>246</v>
      </c>
      <c r="K256" s="21">
        <v>0.56082200000000004</v>
      </c>
      <c r="L256">
        <f t="shared" si="36"/>
        <v>11.7554</v>
      </c>
      <c r="M256">
        <f t="shared" si="37"/>
        <v>6.5973420771999995</v>
      </c>
      <c r="N256" s="9"/>
      <c r="O256" s="21">
        <v>1.13876</v>
      </c>
      <c r="P256" s="21">
        <v>252.12299999999999</v>
      </c>
      <c r="Q256" s="21">
        <v>-1.12122E-2</v>
      </c>
      <c r="R256" s="21">
        <v>246</v>
      </c>
      <c r="S256" s="21">
        <v>1.1373899999999999</v>
      </c>
      <c r="T256">
        <f t="shared" si="38"/>
        <v>11.212200000000001</v>
      </c>
      <c r="U256">
        <f t="shared" si="39"/>
        <v>12.768004872000001</v>
      </c>
      <c r="X256" s="9"/>
      <c r="Y256" s="21">
        <v>0.56121799999999999</v>
      </c>
      <c r="Z256" s="21">
        <v>458.291</v>
      </c>
      <c r="AA256" s="21">
        <v>-1.1615E-2</v>
      </c>
      <c r="AB256" s="21">
        <v>246</v>
      </c>
      <c r="AC256" s="21">
        <v>0.56103499999999995</v>
      </c>
      <c r="AD256">
        <f t="shared" si="40"/>
        <v>11.615</v>
      </c>
      <c r="AE256">
        <f t="shared" si="41"/>
        <v>6.5185470700000003</v>
      </c>
      <c r="AF256" s="9"/>
      <c r="AG256" s="21">
        <v>1.13876</v>
      </c>
      <c r="AH256" s="21">
        <v>514.96600000000001</v>
      </c>
      <c r="AI256" s="21">
        <v>-1.1395300000000001E-2</v>
      </c>
      <c r="AJ256" s="21">
        <v>246</v>
      </c>
      <c r="AK256" s="21">
        <v>1.1376999999999999</v>
      </c>
      <c r="AL256">
        <f t="shared" si="42"/>
        <v>11.395300000000001</v>
      </c>
      <c r="AM256">
        <f t="shared" si="43"/>
        <v>12.976511828000001</v>
      </c>
      <c r="AP256" s="9"/>
      <c r="AQ256" s="21">
        <v>0.56121799999999999</v>
      </c>
      <c r="AR256" s="21">
        <v>671.654</v>
      </c>
      <c r="AS256" s="21">
        <v>-1.18896E-2</v>
      </c>
      <c r="AT256" s="21">
        <v>246</v>
      </c>
      <c r="AU256" s="21">
        <v>0.56091299999999999</v>
      </c>
      <c r="AV256">
        <f t="shared" si="44"/>
        <v>11.8896</v>
      </c>
      <c r="AW256">
        <f t="shared" si="45"/>
        <v>6.6726575327999997</v>
      </c>
      <c r="AX256" s="9"/>
      <c r="AY256" s="21">
        <v>1.13876</v>
      </c>
      <c r="AZ256" s="21">
        <v>761.75</v>
      </c>
      <c r="BA256" s="21">
        <v>-1.15265E-2</v>
      </c>
      <c r="BB256" s="21">
        <v>246</v>
      </c>
      <c r="BC256" s="21">
        <v>1.1376999999999999</v>
      </c>
      <c r="BD256">
        <f t="shared" si="46"/>
        <v>11.5265</v>
      </c>
      <c r="BE256">
        <f t="shared" si="47"/>
        <v>13.12591714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168.239</v>
      </c>
      <c r="I257" s="21">
        <v>-1.17523E-2</v>
      </c>
      <c r="J257" s="21">
        <v>247</v>
      </c>
      <c r="K257" s="21">
        <v>0.55584699999999998</v>
      </c>
      <c r="L257">
        <f t="shared" si="36"/>
        <v>11.7523</v>
      </c>
      <c r="M257">
        <f t="shared" si="37"/>
        <v>6.5364294708999999</v>
      </c>
      <c r="N257" s="9"/>
      <c r="O257" s="21">
        <v>1.1437999999999999</v>
      </c>
      <c r="P257" s="21">
        <v>252.22399999999999</v>
      </c>
      <c r="Q257" s="21">
        <v>-1.12E-2</v>
      </c>
      <c r="R257" s="21">
        <v>247</v>
      </c>
      <c r="S257" s="21">
        <v>1.1428799999999999</v>
      </c>
      <c r="T257">
        <f t="shared" si="38"/>
        <v>11.2</v>
      </c>
      <c r="U257">
        <f t="shared" si="39"/>
        <v>12.810559999999999</v>
      </c>
      <c r="X257" s="9"/>
      <c r="Y257" s="21">
        <v>0.55618299999999998</v>
      </c>
      <c r="Z257" s="21">
        <v>458.39100000000002</v>
      </c>
      <c r="AA257" s="21">
        <v>-1.16089E-2</v>
      </c>
      <c r="AB257" s="21">
        <v>247</v>
      </c>
      <c r="AC257" s="21">
        <v>0.55584699999999998</v>
      </c>
      <c r="AD257">
        <f t="shared" si="40"/>
        <v>11.6089</v>
      </c>
      <c r="AE257">
        <f t="shared" si="41"/>
        <v>6.4566728287000004</v>
      </c>
      <c r="AF257" s="9"/>
      <c r="AG257" s="21">
        <v>1.1437999999999999</v>
      </c>
      <c r="AH257" s="21">
        <v>515.06600000000003</v>
      </c>
      <c r="AI257" s="21">
        <v>-1.13892E-2</v>
      </c>
      <c r="AJ257" s="21">
        <v>247</v>
      </c>
      <c r="AK257" s="21">
        <v>1.1431899999999999</v>
      </c>
      <c r="AL257">
        <f t="shared" si="42"/>
        <v>11.389200000000001</v>
      </c>
      <c r="AM257">
        <f t="shared" si="43"/>
        <v>13.026966959999999</v>
      </c>
      <c r="AP257" s="9"/>
      <c r="AQ257" s="21">
        <v>0.55618299999999998</v>
      </c>
      <c r="AR257" s="21">
        <v>671.755</v>
      </c>
      <c r="AS257" s="21">
        <v>-1.18958E-2</v>
      </c>
      <c r="AT257" s="21">
        <v>247</v>
      </c>
      <c r="AU257" s="21">
        <v>0.55581700000000001</v>
      </c>
      <c r="AV257">
        <f t="shared" si="44"/>
        <v>11.895799999999999</v>
      </c>
      <c r="AW257">
        <f t="shared" si="45"/>
        <v>6.6162417313999997</v>
      </c>
      <c r="AX257" s="9"/>
      <c r="AY257" s="21">
        <v>1.1437999999999999</v>
      </c>
      <c r="AZ257" s="21">
        <v>761.851</v>
      </c>
      <c r="BA257" s="21">
        <v>-1.15204E-2</v>
      </c>
      <c r="BB257" s="21">
        <v>247</v>
      </c>
      <c r="BC257" s="21">
        <v>1.1428799999999999</v>
      </c>
      <c r="BD257">
        <f t="shared" si="46"/>
        <v>11.5204</v>
      </c>
      <c r="BE257">
        <f t="shared" si="47"/>
        <v>13.17703352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168.34</v>
      </c>
      <c r="I258" s="21">
        <v>-1.17584E-2</v>
      </c>
      <c r="J258" s="21">
        <v>248</v>
      </c>
      <c r="K258" s="21">
        <v>0.55096400000000001</v>
      </c>
      <c r="L258">
        <f t="shared" si="36"/>
        <v>11.7584</v>
      </c>
      <c r="M258">
        <f t="shared" si="37"/>
        <v>6.4806068848000002</v>
      </c>
      <c r="N258" s="9"/>
      <c r="O258" s="21">
        <v>1.14883</v>
      </c>
      <c r="P258" s="21">
        <v>252.32400000000001</v>
      </c>
      <c r="Q258" s="21">
        <v>-1.11938E-2</v>
      </c>
      <c r="R258" s="21">
        <v>248</v>
      </c>
      <c r="S258" s="21">
        <v>1.1480699999999999</v>
      </c>
      <c r="T258">
        <f t="shared" si="38"/>
        <v>11.1938</v>
      </c>
      <c r="U258">
        <f t="shared" si="39"/>
        <v>12.859773254</v>
      </c>
      <c r="X258" s="9"/>
      <c r="Y258" s="21">
        <v>0.55114700000000005</v>
      </c>
      <c r="Z258" s="21">
        <v>458.49200000000002</v>
      </c>
      <c r="AA258" s="21">
        <v>-1.1615E-2</v>
      </c>
      <c r="AB258" s="21">
        <v>248</v>
      </c>
      <c r="AC258" s="21">
        <v>0.55078099999999997</v>
      </c>
      <c r="AD258">
        <f t="shared" si="40"/>
        <v>11.615</v>
      </c>
      <c r="AE258">
        <f t="shared" si="41"/>
        <v>6.4015724050000005</v>
      </c>
      <c r="AF258" s="9"/>
      <c r="AG258" s="21">
        <v>1.14883</v>
      </c>
      <c r="AH258" s="21">
        <v>515.16700000000003</v>
      </c>
      <c r="AI258" s="21">
        <v>-1.13861E-2</v>
      </c>
      <c r="AJ258" s="21">
        <v>248</v>
      </c>
      <c r="AK258" s="21">
        <v>1.1480699999999999</v>
      </c>
      <c r="AL258">
        <f t="shared" si="42"/>
        <v>11.386099999999999</v>
      </c>
      <c r="AM258">
        <f t="shared" si="43"/>
        <v>13.080693262999999</v>
      </c>
      <c r="AP258" s="9"/>
      <c r="AQ258" s="21">
        <v>0.55114700000000005</v>
      </c>
      <c r="AR258" s="21">
        <v>671.85599999999999</v>
      </c>
      <c r="AS258" s="21">
        <v>-1.1892700000000001E-2</v>
      </c>
      <c r="AT258" s="21">
        <v>248</v>
      </c>
      <c r="AU258" s="21">
        <v>0.55087299999999995</v>
      </c>
      <c r="AV258">
        <f t="shared" si="44"/>
        <v>11.892700000000001</v>
      </c>
      <c r="AW258">
        <f t="shared" si="45"/>
        <v>6.5546259269000018</v>
      </c>
      <c r="AX258" s="9"/>
      <c r="AY258" s="21">
        <v>1.14883</v>
      </c>
      <c r="AZ258" s="21">
        <v>761.95100000000002</v>
      </c>
      <c r="BA258" s="21">
        <v>-1.15143E-2</v>
      </c>
      <c r="BB258" s="21">
        <v>248</v>
      </c>
      <c r="BC258" s="21">
        <v>1.14838</v>
      </c>
      <c r="BD258">
        <f t="shared" si="46"/>
        <v>11.5143</v>
      </c>
      <c r="BE258">
        <f t="shared" si="47"/>
        <v>13.227973269000001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168.441</v>
      </c>
      <c r="I259" s="21">
        <v>-1.1764500000000001E-2</v>
      </c>
      <c r="J259" s="21">
        <v>249</v>
      </c>
      <c r="K259" s="21">
        <v>0.54577600000000004</v>
      </c>
      <c r="L259">
        <f t="shared" si="36"/>
        <v>11.7645</v>
      </c>
      <c r="M259">
        <f t="shared" si="37"/>
        <v>6.4247346240000001</v>
      </c>
      <c r="N259" s="9"/>
      <c r="O259" s="21">
        <v>1.15387</v>
      </c>
      <c r="P259" s="21">
        <v>252.42500000000001</v>
      </c>
      <c r="Q259" s="21">
        <v>-1.11877E-2</v>
      </c>
      <c r="R259" s="21">
        <v>249</v>
      </c>
      <c r="S259" s="21">
        <v>1.1523399999999999</v>
      </c>
      <c r="T259">
        <f t="shared" si="38"/>
        <v>11.1877</v>
      </c>
      <c r="U259">
        <f t="shared" si="39"/>
        <v>12.909151398999999</v>
      </c>
      <c r="X259" s="9"/>
      <c r="Y259" s="21">
        <v>0.54611200000000004</v>
      </c>
      <c r="Z259" s="21">
        <v>458.59300000000002</v>
      </c>
      <c r="AA259" s="21">
        <v>-1.1615E-2</v>
      </c>
      <c r="AB259" s="21">
        <v>249</v>
      </c>
      <c r="AC259" s="21">
        <v>0.54577600000000004</v>
      </c>
      <c r="AD259">
        <f t="shared" si="40"/>
        <v>11.615</v>
      </c>
      <c r="AE259">
        <f t="shared" si="41"/>
        <v>6.343090880000001</v>
      </c>
      <c r="AF259" s="9"/>
      <c r="AG259" s="21">
        <v>1.15387</v>
      </c>
      <c r="AH259" s="21">
        <v>515.26800000000003</v>
      </c>
      <c r="AI259" s="21">
        <v>-1.13831E-2</v>
      </c>
      <c r="AJ259" s="21">
        <v>249</v>
      </c>
      <c r="AK259" s="21">
        <v>1.15265</v>
      </c>
      <c r="AL259">
        <f t="shared" si="42"/>
        <v>11.383100000000001</v>
      </c>
      <c r="AM259">
        <f t="shared" si="43"/>
        <v>13.134617597</v>
      </c>
      <c r="AP259" s="9"/>
      <c r="AQ259" s="21">
        <v>0.54611200000000004</v>
      </c>
      <c r="AR259" s="21">
        <v>671.95600000000002</v>
      </c>
      <c r="AS259" s="21">
        <v>-1.18958E-2</v>
      </c>
      <c r="AT259" s="21">
        <v>249</v>
      </c>
      <c r="AU259" s="21">
        <v>0.54574599999999995</v>
      </c>
      <c r="AV259">
        <f t="shared" si="44"/>
        <v>11.895799999999999</v>
      </c>
      <c r="AW259">
        <f t="shared" si="45"/>
        <v>6.4964391296000006</v>
      </c>
      <c r="AX259" s="9"/>
      <c r="AY259" s="21">
        <v>1.15387</v>
      </c>
      <c r="AZ259" s="21">
        <v>762.05200000000002</v>
      </c>
      <c r="BA259" s="21">
        <v>-1.1511199999999999E-2</v>
      </c>
      <c r="BB259" s="21">
        <v>249</v>
      </c>
      <c r="BC259" s="21">
        <v>1.15326</v>
      </c>
      <c r="BD259">
        <f t="shared" si="46"/>
        <v>11.511199999999999</v>
      </c>
      <c r="BE259">
        <f t="shared" si="47"/>
        <v>13.282428343999998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168.542</v>
      </c>
      <c r="I260" s="21">
        <v>-1.1761499999999999E-2</v>
      </c>
      <c r="J260" s="21">
        <v>250</v>
      </c>
      <c r="K260" s="21">
        <v>0.54064900000000005</v>
      </c>
      <c r="L260">
        <f t="shared" si="36"/>
        <v>11.7615</v>
      </c>
      <c r="M260">
        <f t="shared" si="37"/>
        <v>6.3638771355000001</v>
      </c>
      <c r="N260" s="9"/>
      <c r="O260" s="21">
        <v>1.1589100000000001</v>
      </c>
      <c r="P260" s="21">
        <v>252.52600000000001</v>
      </c>
      <c r="Q260" s="21">
        <v>-1.11755E-2</v>
      </c>
      <c r="R260" s="21">
        <v>250</v>
      </c>
      <c r="S260" s="21">
        <v>1.15784</v>
      </c>
      <c r="T260">
        <f t="shared" si="38"/>
        <v>11.1755</v>
      </c>
      <c r="U260">
        <f t="shared" si="39"/>
        <v>12.951398705000001</v>
      </c>
      <c r="X260" s="9"/>
      <c r="Y260" s="21">
        <v>0.54107700000000003</v>
      </c>
      <c r="Z260" s="21">
        <v>458.69400000000002</v>
      </c>
      <c r="AA260" s="21">
        <v>-1.1621100000000001E-2</v>
      </c>
      <c r="AB260" s="21">
        <v>250</v>
      </c>
      <c r="AC260" s="21">
        <v>0.54071000000000002</v>
      </c>
      <c r="AD260">
        <f t="shared" si="40"/>
        <v>11.6211</v>
      </c>
      <c r="AE260">
        <f t="shared" si="41"/>
        <v>6.2879099247000001</v>
      </c>
      <c r="AF260" s="9"/>
      <c r="AG260" s="21">
        <v>1.1589100000000001</v>
      </c>
      <c r="AH260" s="21">
        <v>515.36800000000005</v>
      </c>
      <c r="AI260" s="21">
        <v>-1.1379999999999999E-2</v>
      </c>
      <c r="AJ260" s="21">
        <v>250</v>
      </c>
      <c r="AK260" s="21">
        <v>1.1581399999999999</v>
      </c>
      <c r="AL260">
        <f t="shared" si="42"/>
        <v>11.379999999999999</v>
      </c>
      <c r="AM260">
        <f t="shared" si="43"/>
        <v>13.1883958</v>
      </c>
      <c r="AP260" s="9"/>
      <c r="AQ260" s="21">
        <v>0.54107700000000003</v>
      </c>
      <c r="AR260" s="21">
        <v>672.05700000000002</v>
      </c>
      <c r="AS260" s="21">
        <v>-1.18958E-2</v>
      </c>
      <c r="AT260" s="21">
        <v>250</v>
      </c>
      <c r="AU260" s="21">
        <v>0.54074100000000003</v>
      </c>
      <c r="AV260">
        <f t="shared" si="44"/>
        <v>11.895799999999999</v>
      </c>
      <c r="AW260">
        <f t="shared" si="45"/>
        <v>6.4365437765999998</v>
      </c>
      <c r="AX260" s="9"/>
      <c r="AY260" s="21">
        <v>1.1589100000000001</v>
      </c>
      <c r="AZ260" s="21">
        <v>762.15300000000002</v>
      </c>
      <c r="BA260" s="21">
        <v>-1.1511199999999999E-2</v>
      </c>
      <c r="BB260" s="21">
        <v>250</v>
      </c>
      <c r="BC260" s="21">
        <v>1.15784</v>
      </c>
      <c r="BD260">
        <f t="shared" si="46"/>
        <v>11.511199999999999</v>
      </c>
      <c r="BE260">
        <f t="shared" si="47"/>
        <v>13.340444792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168.642</v>
      </c>
      <c r="I261" s="21">
        <v>-1.1764500000000001E-2</v>
      </c>
      <c r="J261" s="21">
        <v>251</v>
      </c>
      <c r="K261" s="21">
        <v>0.53582799999999997</v>
      </c>
      <c r="L261">
        <f t="shared" si="36"/>
        <v>11.7645</v>
      </c>
      <c r="M261">
        <f t="shared" si="37"/>
        <v>6.3062543445000001</v>
      </c>
      <c r="N261" s="9"/>
      <c r="O261" s="21">
        <v>1.16394</v>
      </c>
      <c r="P261" s="21">
        <v>252.62700000000001</v>
      </c>
      <c r="Q261" s="21">
        <v>-1.1169399999999999E-2</v>
      </c>
      <c r="R261" s="21">
        <v>251</v>
      </c>
      <c r="S261" s="21">
        <v>1.1630199999999999</v>
      </c>
      <c r="T261">
        <f t="shared" si="38"/>
        <v>11.1694</v>
      </c>
      <c r="U261">
        <f t="shared" si="39"/>
        <v>13.000511436</v>
      </c>
      <c r="X261" s="9"/>
      <c r="Y261" s="21">
        <v>0.53604099999999999</v>
      </c>
      <c r="Z261" s="21">
        <v>458.79399999999998</v>
      </c>
      <c r="AA261" s="21">
        <v>-1.16241E-2</v>
      </c>
      <c r="AB261" s="21">
        <v>251</v>
      </c>
      <c r="AC261" s="21">
        <v>0.53576699999999999</v>
      </c>
      <c r="AD261">
        <f t="shared" si="40"/>
        <v>11.6241</v>
      </c>
      <c r="AE261">
        <f t="shared" si="41"/>
        <v>6.2309941881000004</v>
      </c>
      <c r="AF261" s="9"/>
      <c r="AG261" s="21">
        <v>1.16394</v>
      </c>
      <c r="AH261" s="21">
        <v>515.46900000000005</v>
      </c>
      <c r="AI261" s="21">
        <v>-1.13708E-2</v>
      </c>
      <c r="AJ261" s="21">
        <v>251</v>
      </c>
      <c r="AK261" s="21">
        <v>1.1630199999999999</v>
      </c>
      <c r="AL261">
        <f t="shared" si="42"/>
        <v>11.370800000000001</v>
      </c>
      <c r="AM261">
        <f t="shared" si="43"/>
        <v>13.234928952000001</v>
      </c>
      <c r="AP261" s="9"/>
      <c r="AQ261" s="21">
        <v>0.53604099999999999</v>
      </c>
      <c r="AR261" s="21">
        <v>672.15800000000002</v>
      </c>
      <c r="AS261" s="21">
        <v>-1.18896E-2</v>
      </c>
      <c r="AT261" s="21">
        <v>251</v>
      </c>
      <c r="AU261" s="21">
        <v>0.53570600000000002</v>
      </c>
      <c r="AV261">
        <f t="shared" si="44"/>
        <v>11.8896</v>
      </c>
      <c r="AW261">
        <f t="shared" si="45"/>
        <v>6.3733130735999994</v>
      </c>
      <c r="AX261" s="9"/>
      <c r="AY261" s="21">
        <v>1.16394</v>
      </c>
      <c r="AZ261" s="21">
        <v>762.25300000000004</v>
      </c>
      <c r="BA261" s="21">
        <v>-1.1511199999999999E-2</v>
      </c>
      <c r="BB261" s="21">
        <v>251</v>
      </c>
      <c r="BC261" s="21">
        <v>1.16333</v>
      </c>
      <c r="BD261">
        <f t="shared" si="46"/>
        <v>11.511199999999999</v>
      </c>
      <c r="BE261">
        <f t="shared" si="47"/>
        <v>13.398346127999998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168.74299999999999</v>
      </c>
      <c r="I262" s="21">
        <v>-1.17676E-2</v>
      </c>
      <c r="J262" s="21">
        <v>252</v>
      </c>
      <c r="K262" s="21">
        <v>0.53054800000000002</v>
      </c>
      <c r="L262">
        <f t="shared" si="36"/>
        <v>11.7676</v>
      </c>
      <c r="M262">
        <f t="shared" si="37"/>
        <v>6.2486662055999993</v>
      </c>
      <c r="N262" s="9"/>
      <c r="O262" s="21">
        <v>1.1689799999999999</v>
      </c>
      <c r="P262" s="21">
        <v>252.727</v>
      </c>
      <c r="Q262" s="21">
        <v>-1.11664E-2</v>
      </c>
      <c r="R262" s="21">
        <v>252</v>
      </c>
      <c r="S262" s="21">
        <v>1.16821</v>
      </c>
      <c r="T262">
        <f t="shared" si="38"/>
        <v>11.166399999999999</v>
      </c>
      <c r="U262">
        <f t="shared" si="39"/>
        <v>13.053298271999997</v>
      </c>
      <c r="X262" s="9"/>
      <c r="Y262" s="21">
        <v>0.53100599999999998</v>
      </c>
      <c r="Z262" s="21">
        <v>458.89499999999998</v>
      </c>
      <c r="AA262" s="21">
        <v>-1.1627200000000001E-2</v>
      </c>
      <c r="AB262" s="21">
        <v>252</v>
      </c>
      <c r="AC262" s="21">
        <v>0.53073099999999995</v>
      </c>
      <c r="AD262">
        <f t="shared" si="40"/>
        <v>11.6272</v>
      </c>
      <c r="AE262">
        <f t="shared" si="41"/>
        <v>6.1741129631999998</v>
      </c>
      <c r="AF262" s="9"/>
      <c r="AG262" s="21">
        <v>1.1689799999999999</v>
      </c>
      <c r="AH262" s="21">
        <v>515.57000000000005</v>
      </c>
      <c r="AI262" s="21">
        <v>-1.1361700000000001E-2</v>
      </c>
      <c r="AJ262" s="21">
        <v>252</v>
      </c>
      <c r="AK262" s="21">
        <v>1.16791</v>
      </c>
      <c r="AL262">
        <f t="shared" si="42"/>
        <v>11.361700000000001</v>
      </c>
      <c r="AM262">
        <f t="shared" si="43"/>
        <v>13.281600065999999</v>
      </c>
      <c r="AP262" s="9"/>
      <c r="AQ262" s="21">
        <v>0.53100599999999998</v>
      </c>
      <c r="AR262" s="21">
        <v>672.25900000000001</v>
      </c>
      <c r="AS262" s="21">
        <v>-1.18896E-2</v>
      </c>
      <c r="AT262" s="21">
        <v>252</v>
      </c>
      <c r="AU262" s="21">
        <v>0.53064</v>
      </c>
      <c r="AV262">
        <f t="shared" si="44"/>
        <v>11.8896</v>
      </c>
      <c r="AW262">
        <f t="shared" si="45"/>
        <v>6.3134489375999996</v>
      </c>
      <c r="AX262" s="9"/>
      <c r="AY262" s="21">
        <v>1.1689799999999999</v>
      </c>
      <c r="AZ262" s="21">
        <v>762.35400000000004</v>
      </c>
      <c r="BA262" s="21">
        <v>-1.1499000000000001E-2</v>
      </c>
      <c r="BB262" s="21">
        <v>252</v>
      </c>
      <c r="BC262" s="21">
        <v>1.16791</v>
      </c>
      <c r="BD262">
        <f t="shared" si="46"/>
        <v>11.499000000000001</v>
      </c>
      <c r="BE262">
        <f t="shared" si="47"/>
        <v>13.442101019999999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168.84399999999999</v>
      </c>
      <c r="I263" s="21">
        <v>-1.1770600000000001E-2</v>
      </c>
      <c r="J263" s="21">
        <v>253</v>
      </c>
      <c r="K263" s="21">
        <v>0.52569600000000005</v>
      </c>
      <c r="L263">
        <f t="shared" si="36"/>
        <v>11.770600000000002</v>
      </c>
      <c r="M263">
        <f t="shared" si="37"/>
        <v>6.1909824820000017</v>
      </c>
      <c r="N263" s="9"/>
      <c r="O263" s="21">
        <v>1.17401</v>
      </c>
      <c r="P263" s="21">
        <v>252.828</v>
      </c>
      <c r="Q263" s="21">
        <v>-1.1163299999999999E-2</v>
      </c>
      <c r="R263" s="21">
        <v>253</v>
      </c>
      <c r="S263" s="21">
        <v>1.1731</v>
      </c>
      <c r="T263">
        <f t="shared" si="38"/>
        <v>11.1633</v>
      </c>
      <c r="U263">
        <f t="shared" si="39"/>
        <v>13.105825832999999</v>
      </c>
      <c r="X263" s="9"/>
      <c r="Y263" s="21">
        <v>0.52597000000000005</v>
      </c>
      <c r="Z263" s="21">
        <v>458.99599999999998</v>
      </c>
      <c r="AA263" s="21">
        <v>-1.16364E-2</v>
      </c>
      <c r="AB263" s="21">
        <v>253</v>
      </c>
      <c r="AC263" s="21">
        <v>0.52557399999999999</v>
      </c>
      <c r="AD263">
        <f t="shared" si="40"/>
        <v>11.6364</v>
      </c>
      <c r="AE263">
        <f t="shared" si="41"/>
        <v>6.1203973080000003</v>
      </c>
      <c r="AF263" s="9"/>
      <c r="AG263" s="21">
        <v>1.17401</v>
      </c>
      <c r="AH263" s="21">
        <v>515.67100000000005</v>
      </c>
      <c r="AI263" s="21">
        <v>-1.1361700000000001E-2</v>
      </c>
      <c r="AJ263" s="21">
        <v>253</v>
      </c>
      <c r="AK263" s="21">
        <v>1.17279</v>
      </c>
      <c r="AL263">
        <f t="shared" si="42"/>
        <v>11.361700000000001</v>
      </c>
      <c r="AM263">
        <f t="shared" si="43"/>
        <v>13.338749417000001</v>
      </c>
      <c r="AP263" s="9"/>
      <c r="AQ263" s="21">
        <v>0.52597000000000005</v>
      </c>
      <c r="AR263" s="21">
        <v>672.35900000000004</v>
      </c>
      <c r="AS263" s="21">
        <v>-1.19019E-2</v>
      </c>
      <c r="AT263" s="21">
        <v>253</v>
      </c>
      <c r="AU263" s="21">
        <v>0.52551300000000001</v>
      </c>
      <c r="AV263">
        <f t="shared" si="44"/>
        <v>11.901899999999999</v>
      </c>
      <c r="AW263">
        <f t="shared" si="45"/>
        <v>6.2600423430000003</v>
      </c>
      <c r="AX263" s="9"/>
      <c r="AY263" s="21">
        <v>1.17401</v>
      </c>
      <c r="AZ263" s="21">
        <v>762.45500000000004</v>
      </c>
      <c r="BA263" s="21">
        <v>-1.14929E-2</v>
      </c>
      <c r="BB263" s="21">
        <v>253</v>
      </c>
      <c r="BC263" s="21">
        <v>1.1731</v>
      </c>
      <c r="BD263">
        <f t="shared" si="46"/>
        <v>11.492900000000001</v>
      </c>
      <c r="BE263">
        <f t="shared" si="47"/>
        <v>13.492779529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168.94399999999999</v>
      </c>
      <c r="I264" s="21">
        <v>-1.17676E-2</v>
      </c>
      <c r="J264" s="21">
        <v>254</v>
      </c>
      <c r="K264" s="21">
        <v>0.52069100000000001</v>
      </c>
      <c r="L264">
        <f t="shared" si="36"/>
        <v>11.7676</v>
      </c>
      <c r="M264">
        <f t="shared" si="37"/>
        <v>6.1301547060000008</v>
      </c>
      <c r="N264" s="9"/>
      <c r="O264" s="21">
        <v>1.1790499999999999</v>
      </c>
      <c r="P264" s="21">
        <v>252.929</v>
      </c>
      <c r="Q264" s="21">
        <v>-1.11542E-2</v>
      </c>
      <c r="R264" s="21">
        <v>254</v>
      </c>
      <c r="S264" s="21">
        <v>1.17828</v>
      </c>
      <c r="T264">
        <f t="shared" si="38"/>
        <v>11.154199999999999</v>
      </c>
      <c r="U264">
        <f t="shared" si="39"/>
        <v>13.151359509999999</v>
      </c>
      <c r="X264" s="9"/>
      <c r="Y264" s="21">
        <v>0.52093500000000004</v>
      </c>
      <c r="Z264" s="21">
        <v>459.096</v>
      </c>
      <c r="AA264" s="21">
        <v>-1.16364E-2</v>
      </c>
      <c r="AB264" s="21">
        <v>254</v>
      </c>
      <c r="AC264" s="21">
        <v>0.52072099999999999</v>
      </c>
      <c r="AD264">
        <f t="shared" si="40"/>
        <v>11.6364</v>
      </c>
      <c r="AE264">
        <f t="shared" si="41"/>
        <v>6.0618080340000002</v>
      </c>
      <c r="AF264" s="9"/>
      <c r="AG264" s="21">
        <v>1.1790499999999999</v>
      </c>
      <c r="AH264" s="21">
        <v>515.77099999999996</v>
      </c>
      <c r="AI264" s="21">
        <v>-1.13556E-2</v>
      </c>
      <c r="AJ264" s="21">
        <v>254</v>
      </c>
      <c r="AK264" s="21">
        <v>1.17828</v>
      </c>
      <c r="AL264">
        <f t="shared" si="42"/>
        <v>11.355600000000001</v>
      </c>
      <c r="AM264">
        <f t="shared" si="43"/>
        <v>13.38882018</v>
      </c>
      <c r="AP264" s="9"/>
      <c r="AQ264" s="21">
        <v>0.52093500000000004</v>
      </c>
      <c r="AR264" s="21">
        <v>672.46</v>
      </c>
      <c r="AS264" s="21">
        <v>-1.1908E-2</v>
      </c>
      <c r="AT264" s="21">
        <v>254</v>
      </c>
      <c r="AU264" s="21">
        <v>0.52063000000000004</v>
      </c>
      <c r="AV264">
        <f t="shared" si="44"/>
        <v>11.907999999999999</v>
      </c>
      <c r="AW264">
        <f t="shared" si="45"/>
        <v>6.2032939799999998</v>
      </c>
      <c r="AX264" s="9"/>
      <c r="AY264" s="21">
        <v>1.1790499999999999</v>
      </c>
      <c r="AZ264" s="21">
        <v>762.55600000000004</v>
      </c>
      <c r="BA264" s="21">
        <v>-1.14868E-2</v>
      </c>
      <c r="BB264" s="21">
        <v>254</v>
      </c>
      <c r="BC264" s="21">
        <v>1.17828</v>
      </c>
      <c r="BD264">
        <f t="shared" si="46"/>
        <v>11.486800000000001</v>
      </c>
      <c r="BE264">
        <f t="shared" si="47"/>
        <v>13.543511539999999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169.04499999999999</v>
      </c>
      <c r="I265" s="21">
        <v>-1.17828E-2</v>
      </c>
      <c r="J265" s="21">
        <v>255</v>
      </c>
      <c r="K265" s="21">
        <v>0.51556400000000002</v>
      </c>
      <c r="L265">
        <f t="shared" si="36"/>
        <v>11.7828</v>
      </c>
      <c r="M265">
        <f t="shared" si="37"/>
        <v>6.0787465200000002</v>
      </c>
      <c r="N265" s="9"/>
      <c r="O265" s="21">
        <v>1.18408</v>
      </c>
      <c r="P265" s="21">
        <v>253.029</v>
      </c>
      <c r="Q265" s="21">
        <v>-1.11542E-2</v>
      </c>
      <c r="R265" s="21">
        <v>255</v>
      </c>
      <c r="S265" s="21">
        <v>1.18286</v>
      </c>
      <c r="T265">
        <f t="shared" si="38"/>
        <v>11.154199999999999</v>
      </c>
      <c r="U265">
        <f t="shared" si="39"/>
        <v>13.207465136</v>
      </c>
      <c r="X265" s="9"/>
      <c r="Y265" s="21">
        <v>0.51590000000000003</v>
      </c>
      <c r="Z265" s="21">
        <v>459.197</v>
      </c>
      <c r="AA265" s="21">
        <v>-1.16425E-2</v>
      </c>
      <c r="AB265" s="21">
        <v>255</v>
      </c>
      <c r="AC265" s="21">
        <v>0.51553300000000002</v>
      </c>
      <c r="AD265">
        <f t="shared" si="40"/>
        <v>11.6425</v>
      </c>
      <c r="AE265">
        <f t="shared" si="41"/>
        <v>6.0063657500000005</v>
      </c>
      <c r="AF265" s="9"/>
      <c r="AG265" s="21">
        <v>1.18408</v>
      </c>
      <c r="AH265" s="21">
        <v>515.87199999999996</v>
      </c>
      <c r="AI265" s="21">
        <v>-1.13464E-2</v>
      </c>
      <c r="AJ265" s="21">
        <v>255</v>
      </c>
      <c r="AK265" s="21">
        <v>1.1831700000000001</v>
      </c>
      <c r="AL265">
        <f t="shared" si="42"/>
        <v>11.346399999999999</v>
      </c>
      <c r="AM265">
        <f t="shared" si="43"/>
        <v>13.435045312</v>
      </c>
      <c r="AP265" s="9"/>
      <c r="AQ265" s="21">
        <v>0.51590000000000003</v>
      </c>
      <c r="AR265" s="21">
        <v>672.56100000000004</v>
      </c>
      <c r="AS265" s="21">
        <v>-1.18958E-2</v>
      </c>
      <c r="AT265" s="21">
        <v>255</v>
      </c>
      <c r="AU265" s="21">
        <v>0.51553300000000002</v>
      </c>
      <c r="AV265">
        <f t="shared" si="44"/>
        <v>11.895799999999999</v>
      </c>
      <c r="AW265">
        <f t="shared" si="45"/>
        <v>6.1370432199999998</v>
      </c>
      <c r="AX265" s="9"/>
      <c r="AY265" s="21">
        <v>1.18408</v>
      </c>
      <c r="AZ265" s="21">
        <v>762.65599999999995</v>
      </c>
      <c r="BA265" s="21">
        <v>-1.14777E-2</v>
      </c>
      <c r="BB265" s="21">
        <v>255</v>
      </c>
      <c r="BC265" s="21">
        <v>1.18347</v>
      </c>
      <c r="BD265">
        <f t="shared" si="46"/>
        <v>11.4777</v>
      </c>
      <c r="BE265">
        <f t="shared" si="47"/>
        <v>13.590515016000001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169.14599999999999</v>
      </c>
      <c r="I266" s="21">
        <v>-1.17798E-2</v>
      </c>
      <c r="J266" s="21">
        <v>256</v>
      </c>
      <c r="K266" s="21">
        <v>0.51052900000000001</v>
      </c>
      <c r="L266">
        <f t="shared" si="36"/>
        <v>11.7798</v>
      </c>
      <c r="M266">
        <f t="shared" si="37"/>
        <v>6.0178757471999997</v>
      </c>
      <c r="N266" s="9"/>
      <c r="O266" s="21">
        <v>1.18912</v>
      </c>
      <c r="P266" s="21">
        <v>253.13</v>
      </c>
      <c r="Q266" s="21">
        <v>-1.1157200000000001E-2</v>
      </c>
      <c r="R266" s="21">
        <v>256</v>
      </c>
      <c r="S266" s="21">
        <v>1.1880500000000001</v>
      </c>
      <c r="T266">
        <f t="shared" si="38"/>
        <v>11.157200000000001</v>
      </c>
      <c r="U266">
        <f t="shared" si="39"/>
        <v>13.267249664000001</v>
      </c>
      <c r="X266" s="9"/>
      <c r="Y266" s="21">
        <v>0.51086399999999998</v>
      </c>
      <c r="Z266" s="21">
        <v>459.298</v>
      </c>
      <c r="AA266" s="21">
        <v>-1.16486E-2</v>
      </c>
      <c r="AB266" s="21">
        <v>256</v>
      </c>
      <c r="AC266" s="21">
        <v>0.51061999999999996</v>
      </c>
      <c r="AD266">
        <f t="shared" si="40"/>
        <v>11.6486</v>
      </c>
      <c r="AE266">
        <f t="shared" si="41"/>
        <v>5.9508503903999994</v>
      </c>
      <c r="AF266" s="9"/>
      <c r="AG266" s="21">
        <v>1.18912</v>
      </c>
      <c r="AH266" s="21">
        <v>515.97299999999996</v>
      </c>
      <c r="AI266" s="21">
        <v>-1.13464E-2</v>
      </c>
      <c r="AJ266" s="21">
        <v>256</v>
      </c>
      <c r="AK266" s="21">
        <v>1.18866</v>
      </c>
      <c r="AL266">
        <f t="shared" si="42"/>
        <v>11.346399999999999</v>
      </c>
      <c r="AM266">
        <f t="shared" si="43"/>
        <v>13.492231167999998</v>
      </c>
      <c r="AP266" s="9"/>
      <c r="AQ266" s="21">
        <v>0.51086399999999998</v>
      </c>
      <c r="AR266" s="21">
        <v>672.66099999999994</v>
      </c>
      <c r="AS266" s="21">
        <v>-1.19171E-2</v>
      </c>
      <c r="AT266" s="21">
        <v>256</v>
      </c>
      <c r="AU266" s="21">
        <v>0.51055899999999999</v>
      </c>
      <c r="AV266">
        <f t="shared" si="44"/>
        <v>11.9171</v>
      </c>
      <c r="AW266">
        <f t="shared" si="45"/>
        <v>6.0880173743999997</v>
      </c>
      <c r="AX266" s="9"/>
      <c r="AY266" s="21">
        <v>1.18912</v>
      </c>
      <c r="AZ266" s="21">
        <v>762.75699999999995</v>
      </c>
      <c r="BA266" s="21">
        <v>-1.14716E-2</v>
      </c>
      <c r="BB266" s="21">
        <v>256</v>
      </c>
      <c r="BC266" s="21">
        <v>1.18866</v>
      </c>
      <c r="BD266">
        <f t="shared" si="46"/>
        <v>11.4716</v>
      </c>
      <c r="BE266">
        <f t="shared" si="47"/>
        <v>13.641108991999999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169.24600000000001</v>
      </c>
      <c r="I267" s="21">
        <v>-1.1776699999999999E-2</v>
      </c>
      <c r="J267" s="21">
        <v>257</v>
      </c>
      <c r="K267" s="21">
        <v>0.50555399999999995</v>
      </c>
      <c r="L267">
        <f t="shared" si="36"/>
        <v>11.7767</v>
      </c>
      <c r="M267">
        <f t="shared" si="37"/>
        <v>5.9569963843</v>
      </c>
      <c r="N267" s="9"/>
      <c r="O267" s="21">
        <v>1.19415</v>
      </c>
      <c r="P267" s="21">
        <v>253.23099999999999</v>
      </c>
      <c r="Q267" s="21">
        <v>-1.1151100000000001E-2</v>
      </c>
      <c r="R267" s="21">
        <v>257</v>
      </c>
      <c r="S267" s="21">
        <v>1.1932400000000001</v>
      </c>
      <c r="T267">
        <f t="shared" si="38"/>
        <v>11.151100000000001</v>
      </c>
      <c r="U267">
        <f t="shared" si="39"/>
        <v>13.316086065000002</v>
      </c>
      <c r="X267" s="9"/>
      <c r="Y267" s="21">
        <v>0.50582899999999997</v>
      </c>
      <c r="Z267" s="21">
        <v>459.39800000000002</v>
      </c>
      <c r="AA267" s="21">
        <v>-1.16455E-2</v>
      </c>
      <c r="AB267" s="21">
        <v>257</v>
      </c>
      <c r="AC267" s="21">
        <v>0.50552399999999997</v>
      </c>
      <c r="AD267">
        <f t="shared" si="40"/>
        <v>11.6455</v>
      </c>
      <c r="AE267">
        <f t="shared" si="41"/>
        <v>5.8906316194999997</v>
      </c>
      <c r="AF267" s="9"/>
      <c r="AG267" s="21">
        <v>1.19415</v>
      </c>
      <c r="AH267" s="21">
        <v>516.07299999999998</v>
      </c>
      <c r="AI267" s="21">
        <v>-1.1340299999999999E-2</v>
      </c>
      <c r="AJ267" s="21">
        <v>257</v>
      </c>
      <c r="AK267" s="21">
        <v>1.19293</v>
      </c>
      <c r="AL267">
        <f t="shared" si="42"/>
        <v>11.340299999999999</v>
      </c>
      <c r="AM267">
        <f t="shared" si="43"/>
        <v>13.542019244999999</v>
      </c>
      <c r="AP267" s="9"/>
      <c r="AQ267" s="21">
        <v>0.50582899999999997</v>
      </c>
      <c r="AR267" s="21">
        <v>672.76199999999994</v>
      </c>
      <c r="AS267" s="21">
        <v>-1.1935400000000001E-2</v>
      </c>
      <c r="AT267" s="21">
        <v>257</v>
      </c>
      <c r="AU267" s="21">
        <v>0.50552399999999997</v>
      </c>
      <c r="AV267">
        <f t="shared" si="44"/>
        <v>11.935400000000001</v>
      </c>
      <c r="AW267">
        <f t="shared" si="45"/>
        <v>6.0372714466000001</v>
      </c>
      <c r="AX267" s="9"/>
      <c r="AY267" s="21">
        <v>1.19415</v>
      </c>
      <c r="AZ267" s="21">
        <v>762.85799999999995</v>
      </c>
      <c r="BA267" s="21">
        <v>-1.14685E-2</v>
      </c>
      <c r="BB267" s="21">
        <v>257</v>
      </c>
      <c r="BC267" s="21">
        <v>1.19293</v>
      </c>
      <c r="BD267">
        <f t="shared" si="46"/>
        <v>11.468499999999999</v>
      </c>
      <c r="BE267">
        <f t="shared" si="47"/>
        <v>13.695109274999998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169.34700000000001</v>
      </c>
      <c r="I268" s="21">
        <v>-1.1761499999999999E-2</v>
      </c>
      <c r="J268" s="21">
        <v>258</v>
      </c>
      <c r="K268" s="21">
        <v>0.50051900000000005</v>
      </c>
      <c r="L268">
        <f t="shared" ref="L268:L331" si="48">-I268/$F$2*1000</f>
        <v>11.7615</v>
      </c>
      <c r="M268">
        <f t="shared" ref="M268:M331" si="49">L268*G268</f>
        <v>5.8900768695000005</v>
      </c>
      <c r="N268" s="9"/>
      <c r="O268" s="21">
        <v>1.19919</v>
      </c>
      <c r="P268" s="21">
        <v>253.33199999999999</v>
      </c>
      <c r="Q268" s="21">
        <v>-1.1142000000000001E-2</v>
      </c>
      <c r="R268" s="21">
        <v>258</v>
      </c>
      <c r="S268" s="21">
        <v>1.1990400000000001</v>
      </c>
      <c r="T268">
        <f t="shared" ref="T268:T331" si="50">-Q268/$F$2*1000</f>
        <v>11.142000000000001</v>
      </c>
      <c r="U268">
        <f t="shared" ref="U268:U331" si="51">T268*O268</f>
        <v>13.361374980000001</v>
      </c>
      <c r="X268" s="9"/>
      <c r="Y268" s="21">
        <v>0.50079300000000004</v>
      </c>
      <c r="Z268" s="21">
        <v>459.49900000000002</v>
      </c>
      <c r="AA268" s="21">
        <v>-1.16455E-2</v>
      </c>
      <c r="AB268" s="21">
        <v>258</v>
      </c>
      <c r="AC268" s="21">
        <v>0.50042699999999996</v>
      </c>
      <c r="AD268">
        <f t="shared" ref="AD268:AD331" si="52">-AA268/$F$2*1000</f>
        <v>11.6455</v>
      </c>
      <c r="AE268">
        <f t="shared" ref="AE268:AE331" si="53">AD268*Y268</f>
        <v>5.8319848815000004</v>
      </c>
      <c r="AF268" s="9"/>
      <c r="AG268" s="21">
        <v>1.19919</v>
      </c>
      <c r="AH268" s="21">
        <v>516.17399999999998</v>
      </c>
      <c r="AI268" s="21">
        <v>-1.13373E-2</v>
      </c>
      <c r="AJ268" s="21">
        <v>258</v>
      </c>
      <c r="AK268" s="21">
        <v>1.1984300000000001</v>
      </c>
      <c r="AL268">
        <f t="shared" ref="AL268:AL331" si="54">-AI268/$F$2*1000</f>
        <v>11.337299999999999</v>
      </c>
      <c r="AM268">
        <f t="shared" ref="AM268:AM331" si="55">AL268*AG268</f>
        <v>13.595576786999999</v>
      </c>
      <c r="AP268" s="9"/>
      <c r="AQ268" s="21">
        <v>0.50079300000000004</v>
      </c>
      <c r="AR268" s="21">
        <v>672.86300000000006</v>
      </c>
      <c r="AS268" s="21">
        <v>-1.19232E-2</v>
      </c>
      <c r="AT268" s="21">
        <v>258</v>
      </c>
      <c r="AU268" s="21">
        <v>0.50048800000000004</v>
      </c>
      <c r="AV268">
        <f t="shared" ref="AV268:AV331" si="56">-AS268/$F$2*1000</f>
        <v>11.9232</v>
      </c>
      <c r="AW268">
        <f t="shared" ref="AW268:AW331" si="57">AV268*AQ268</f>
        <v>5.9710550976000007</v>
      </c>
      <c r="AX268" s="9"/>
      <c r="AY268" s="21">
        <v>1.19919</v>
      </c>
      <c r="AZ268" s="21">
        <v>762.95799999999997</v>
      </c>
      <c r="BA268" s="21">
        <v>-1.14655E-2</v>
      </c>
      <c r="BB268" s="21">
        <v>258</v>
      </c>
      <c r="BC268" s="21">
        <v>1.1981200000000001</v>
      </c>
      <c r="BD268">
        <f t="shared" ref="BD268:BD331" si="58">-BA268/$F$2*1000</f>
        <v>11.4655</v>
      </c>
      <c r="BE268">
        <f t="shared" ref="BE268:BE331" si="59">BD268*AY268</f>
        <v>13.749312945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169.44800000000001</v>
      </c>
      <c r="I269" s="21">
        <v>-1.1764500000000001E-2</v>
      </c>
      <c r="J269" s="21">
        <v>259</v>
      </c>
      <c r="K269" s="21">
        <v>0.49545299999999998</v>
      </c>
      <c r="L269">
        <f t="shared" si="48"/>
        <v>11.7645</v>
      </c>
      <c r="M269">
        <f t="shared" si="49"/>
        <v>5.8323449909999994</v>
      </c>
      <c r="N269" s="9"/>
      <c r="O269" s="21">
        <v>1.2042200000000001</v>
      </c>
      <c r="P269" s="21">
        <v>253.43199999999999</v>
      </c>
      <c r="Q269" s="21">
        <v>-1.11328E-2</v>
      </c>
      <c r="R269" s="21">
        <v>259</v>
      </c>
      <c r="S269" s="21">
        <v>1.2033100000000001</v>
      </c>
      <c r="T269">
        <f t="shared" si="50"/>
        <v>11.1328</v>
      </c>
      <c r="U269">
        <f t="shared" si="51"/>
        <v>13.406340416000001</v>
      </c>
      <c r="X269" s="9"/>
      <c r="Y269" s="21">
        <v>0.49575799999999998</v>
      </c>
      <c r="Z269" s="21">
        <v>459.6</v>
      </c>
      <c r="AA269" s="21">
        <v>-1.16547E-2</v>
      </c>
      <c r="AB269" s="21">
        <v>259</v>
      </c>
      <c r="AC269" s="21">
        <v>0.49545299999999998</v>
      </c>
      <c r="AD269">
        <f t="shared" si="52"/>
        <v>11.6547</v>
      </c>
      <c r="AE269">
        <f t="shared" si="53"/>
        <v>5.7779107625999995</v>
      </c>
      <c r="AF269" s="9"/>
      <c r="AG269" s="21">
        <v>1.2042200000000001</v>
      </c>
      <c r="AH269" s="21">
        <v>516.27499999999998</v>
      </c>
      <c r="AI269" s="21">
        <v>-1.1334199999999999E-2</v>
      </c>
      <c r="AJ269" s="21">
        <v>259</v>
      </c>
      <c r="AK269" s="21">
        <v>1.2036100000000001</v>
      </c>
      <c r="AL269">
        <f t="shared" si="54"/>
        <v>11.334199999999999</v>
      </c>
      <c r="AM269">
        <f t="shared" si="55"/>
        <v>13.648870323999999</v>
      </c>
      <c r="AP269" s="9"/>
      <c r="AQ269" s="21">
        <v>0.49575799999999998</v>
      </c>
      <c r="AR269" s="21">
        <v>672.96400000000006</v>
      </c>
      <c r="AS269" s="21">
        <v>-1.19446E-2</v>
      </c>
      <c r="AT269" s="21">
        <v>259</v>
      </c>
      <c r="AU269" s="21">
        <v>0.495392</v>
      </c>
      <c r="AV269">
        <f t="shared" si="56"/>
        <v>11.944599999999999</v>
      </c>
      <c r="AW269">
        <f t="shared" si="57"/>
        <v>5.9216310067999993</v>
      </c>
      <c r="AX269" s="9"/>
      <c r="AY269" s="21">
        <v>1.2042200000000001</v>
      </c>
      <c r="AZ269" s="21">
        <v>763.05899999999997</v>
      </c>
      <c r="BA269" s="21">
        <v>-1.14594E-2</v>
      </c>
      <c r="BB269" s="21">
        <v>259</v>
      </c>
      <c r="BC269" s="21">
        <v>1.2033100000000001</v>
      </c>
      <c r="BD269">
        <f t="shared" si="58"/>
        <v>11.4594</v>
      </c>
      <c r="BE269">
        <f t="shared" si="59"/>
        <v>13.799638668000002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169.54900000000001</v>
      </c>
      <c r="I270" s="21">
        <v>-1.1764500000000001E-2</v>
      </c>
      <c r="J270" s="21">
        <v>260</v>
      </c>
      <c r="K270" s="21">
        <v>0.490479</v>
      </c>
      <c r="L270">
        <f t="shared" si="48"/>
        <v>11.7645</v>
      </c>
      <c r="M270">
        <f t="shared" si="49"/>
        <v>5.7731107335000003</v>
      </c>
      <c r="N270" s="9"/>
      <c r="O270" s="21">
        <v>1.20926</v>
      </c>
      <c r="P270" s="21">
        <v>253.53299999999999</v>
      </c>
      <c r="Q270" s="21">
        <v>-1.11237E-2</v>
      </c>
      <c r="R270" s="21">
        <v>260</v>
      </c>
      <c r="S270" s="21">
        <v>1.2084999999999999</v>
      </c>
      <c r="T270">
        <f t="shared" si="50"/>
        <v>11.123699999999999</v>
      </c>
      <c r="U270">
        <f t="shared" si="51"/>
        <v>13.451445461999999</v>
      </c>
      <c r="X270" s="9"/>
      <c r="Y270" s="21">
        <v>0.49072300000000002</v>
      </c>
      <c r="Z270" s="21">
        <v>459.70100000000002</v>
      </c>
      <c r="AA270" s="21">
        <v>-1.16547E-2</v>
      </c>
      <c r="AB270" s="21">
        <v>260</v>
      </c>
      <c r="AC270" s="21">
        <v>0.490479</v>
      </c>
      <c r="AD270">
        <f t="shared" si="52"/>
        <v>11.6547</v>
      </c>
      <c r="AE270">
        <f t="shared" si="53"/>
        <v>5.7192293480999998</v>
      </c>
      <c r="AF270" s="9"/>
      <c r="AG270" s="21">
        <v>1.20926</v>
      </c>
      <c r="AH270" s="21">
        <v>516.37599999999998</v>
      </c>
      <c r="AI270" s="21">
        <v>-1.1328100000000001E-2</v>
      </c>
      <c r="AJ270" s="21">
        <v>260</v>
      </c>
      <c r="AK270" s="21">
        <v>1.2088000000000001</v>
      </c>
      <c r="AL270">
        <f t="shared" si="54"/>
        <v>11.328100000000001</v>
      </c>
      <c r="AM270">
        <f t="shared" si="55"/>
        <v>13.698618206000001</v>
      </c>
      <c r="AP270" s="9"/>
      <c r="AQ270" s="21">
        <v>0.49072300000000002</v>
      </c>
      <c r="AR270" s="21">
        <v>673.06399999999996</v>
      </c>
      <c r="AS270" s="21">
        <v>-1.1947599999999999E-2</v>
      </c>
      <c r="AT270" s="21">
        <v>260</v>
      </c>
      <c r="AU270" s="21">
        <v>0.49041699999999999</v>
      </c>
      <c r="AV270">
        <f t="shared" si="56"/>
        <v>11.9476</v>
      </c>
      <c r="AW270">
        <f t="shared" si="57"/>
        <v>5.8629621148000002</v>
      </c>
      <c r="AX270" s="9"/>
      <c r="AY270" s="21">
        <v>1.20926</v>
      </c>
      <c r="AZ270" s="21">
        <v>763.16</v>
      </c>
      <c r="BA270" s="21">
        <v>-1.1456300000000001E-2</v>
      </c>
      <c r="BB270" s="21">
        <v>260</v>
      </c>
      <c r="BC270" s="21">
        <v>1.2084999999999999</v>
      </c>
      <c r="BD270">
        <f t="shared" si="58"/>
        <v>11.456300000000001</v>
      </c>
      <c r="BE270">
        <f t="shared" si="59"/>
        <v>13.853645338000002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169.649</v>
      </c>
      <c r="I271" s="21">
        <v>-1.17584E-2</v>
      </c>
      <c r="J271" s="21">
        <v>261</v>
      </c>
      <c r="K271" s="21">
        <v>0.48544300000000001</v>
      </c>
      <c r="L271">
        <f t="shared" si="48"/>
        <v>11.7584</v>
      </c>
      <c r="M271">
        <f t="shared" si="49"/>
        <v>5.7109020207999999</v>
      </c>
      <c r="N271" s="9"/>
      <c r="O271" s="21">
        <v>1.2142900000000001</v>
      </c>
      <c r="P271" s="21">
        <v>253.63399999999999</v>
      </c>
      <c r="Q271" s="21">
        <v>-1.1114499999999999E-2</v>
      </c>
      <c r="R271" s="21">
        <v>261</v>
      </c>
      <c r="S271" s="21">
        <v>1.2136800000000001</v>
      </c>
      <c r="T271">
        <f t="shared" si="50"/>
        <v>11.1145</v>
      </c>
      <c r="U271">
        <f t="shared" si="51"/>
        <v>13.496226205000001</v>
      </c>
      <c r="X271" s="9"/>
      <c r="Y271" s="21">
        <v>0.48568699999999998</v>
      </c>
      <c r="Z271" s="21">
        <v>459.80099999999999</v>
      </c>
      <c r="AA271" s="21">
        <v>-1.1660800000000001E-2</v>
      </c>
      <c r="AB271" s="21">
        <v>261</v>
      </c>
      <c r="AC271" s="21">
        <v>0.48544300000000001</v>
      </c>
      <c r="AD271">
        <f t="shared" si="52"/>
        <v>11.6608</v>
      </c>
      <c r="AE271">
        <f t="shared" si="53"/>
        <v>5.6634989696</v>
      </c>
      <c r="AF271" s="9"/>
      <c r="AG271" s="21">
        <v>1.2142900000000001</v>
      </c>
      <c r="AH271" s="21">
        <v>516.476</v>
      </c>
      <c r="AI271" s="21">
        <v>-1.1322E-2</v>
      </c>
      <c r="AJ271" s="21">
        <v>261</v>
      </c>
      <c r="AK271" s="21">
        <v>1.2133799999999999</v>
      </c>
      <c r="AL271">
        <f t="shared" si="54"/>
        <v>11.322000000000001</v>
      </c>
      <c r="AM271">
        <f t="shared" si="55"/>
        <v>13.748191380000002</v>
      </c>
      <c r="AP271" s="9"/>
      <c r="AQ271" s="21">
        <v>0.48568699999999998</v>
      </c>
      <c r="AR271" s="21">
        <v>673.16499999999996</v>
      </c>
      <c r="AS271" s="21">
        <v>-1.1953699999999999E-2</v>
      </c>
      <c r="AT271" s="21">
        <v>261</v>
      </c>
      <c r="AU271" s="21">
        <v>0.48538199999999998</v>
      </c>
      <c r="AV271">
        <f t="shared" si="56"/>
        <v>11.9537</v>
      </c>
      <c r="AW271">
        <f t="shared" si="57"/>
        <v>5.8057566918999992</v>
      </c>
      <c r="AX271" s="9"/>
      <c r="AY271" s="21">
        <v>1.2142900000000001</v>
      </c>
      <c r="AZ271" s="21">
        <v>763.26</v>
      </c>
      <c r="BA271" s="21">
        <v>-1.14471E-2</v>
      </c>
      <c r="BB271" s="21">
        <v>261</v>
      </c>
      <c r="BC271" s="21">
        <v>1.2133799999999999</v>
      </c>
      <c r="BD271">
        <f t="shared" si="58"/>
        <v>11.447100000000001</v>
      </c>
      <c r="BE271">
        <f t="shared" si="59"/>
        <v>13.900099059000002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169.75</v>
      </c>
      <c r="I272" s="21">
        <v>-1.1764500000000001E-2</v>
      </c>
      <c r="J272" s="21">
        <v>262</v>
      </c>
      <c r="K272" s="21">
        <v>0.48043799999999998</v>
      </c>
      <c r="L272">
        <f t="shared" si="48"/>
        <v>11.7645</v>
      </c>
      <c r="M272">
        <f t="shared" si="49"/>
        <v>5.6546304540000003</v>
      </c>
      <c r="N272" s="9"/>
      <c r="O272" s="21">
        <v>1.21933</v>
      </c>
      <c r="P272" s="21">
        <v>253.73400000000001</v>
      </c>
      <c r="Q272" s="21">
        <v>-1.11053E-2</v>
      </c>
      <c r="R272" s="21">
        <v>262</v>
      </c>
      <c r="S272" s="21">
        <v>1.2182599999999999</v>
      </c>
      <c r="T272">
        <f t="shared" si="50"/>
        <v>11.1053</v>
      </c>
      <c r="U272">
        <f t="shared" si="51"/>
        <v>13.541025448999999</v>
      </c>
      <c r="X272" s="9"/>
      <c r="Y272" s="21">
        <v>0.48065200000000002</v>
      </c>
      <c r="Z272" s="21">
        <v>459.90199999999999</v>
      </c>
      <c r="AA272" s="21">
        <v>-1.1672999999999999E-2</v>
      </c>
      <c r="AB272" s="21">
        <v>262</v>
      </c>
      <c r="AC272" s="21">
        <v>0.48034700000000002</v>
      </c>
      <c r="AD272">
        <f t="shared" si="52"/>
        <v>11.673</v>
      </c>
      <c r="AE272">
        <f t="shared" si="53"/>
        <v>5.6106507960000007</v>
      </c>
      <c r="AF272" s="9"/>
      <c r="AG272" s="21">
        <v>1.21933</v>
      </c>
      <c r="AH272" s="21">
        <v>516.577</v>
      </c>
      <c r="AI272" s="21">
        <v>-1.13159E-2</v>
      </c>
      <c r="AJ272" s="21">
        <v>262</v>
      </c>
      <c r="AK272" s="21">
        <v>1.2182599999999999</v>
      </c>
      <c r="AL272">
        <f t="shared" si="54"/>
        <v>11.315900000000001</v>
      </c>
      <c r="AM272">
        <f t="shared" si="55"/>
        <v>13.797816347000001</v>
      </c>
      <c r="AP272" s="9"/>
      <c r="AQ272" s="21">
        <v>0.48065200000000002</v>
      </c>
      <c r="AR272" s="21">
        <v>673.26599999999996</v>
      </c>
      <c r="AS272" s="21">
        <v>-1.19598E-2</v>
      </c>
      <c r="AT272" s="21">
        <v>262</v>
      </c>
      <c r="AU272" s="21">
        <v>0.48031600000000002</v>
      </c>
      <c r="AV272">
        <f t="shared" si="56"/>
        <v>11.9598</v>
      </c>
      <c r="AW272">
        <f t="shared" si="57"/>
        <v>5.7485017895999997</v>
      </c>
      <c r="AX272" s="9"/>
      <c r="AY272" s="21">
        <v>1.21933</v>
      </c>
      <c r="AZ272" s="21">
        <v>763.36099999999999</v>
      </c>
      <c r="BA272" s="21">
        <v>-1.1438E-2</v>
      </c>
      <c r="BB272" s="21">
        <v>262</v>
      </c>
      <c r="BC272" s="21">
        <v>1.2179599999999999</v>
      </c>
      <c r="BD272">
        <f t="shared" si="58"/>
        <v>11.438000000000001</v>
      </c>
      <c r="BE272">
        <f t="shared" si="59"/>
        <v>13.946696540000001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169.851</v>
      </c>
      <c r="I273" s="21">
        <v>-1.18073E-2</v>
      </c>
      <c r="J273" s="21">
        <v>263</v>
      </c>
      <c r="K273" s="21">
        <v>0.47534199999999999</v>
      </c>
      <c r="L273">
        <f t="shared" si="48"/>
        <v>11.8073</v>
      </c>
      <c r="M273">
        <f t="shared" si="49"/>
        <v>5.6157407967999999</v>
      </c>
      <c r="N273" s="9"/>
      <c r="O273" s="21">
        <v>1.22437</v>
      </c>
      <c r="P273" s="21">
        <v>253.83500000000001</v>
      </c>
      <c r="Q273" s="21">
        <v>-1.10931E-2</v>
      </c>
      <c r="R273" s="21">
        <v>263</v>
      </c>
      <c r="S273" s="21">
        <v>1.2234499999999999</v>
      </c>
      <c r="T273">
        <f t="shared" si="50"/>
        <v>11.0931</v>
      </c>
      <c r="U273">
        <f t="shared" si="51"/>
        <v>13.582058846999999</v>
      </c>
      <c r="X273" s="9"/>
      <c r="Y273" s="21">
        <v>0.47561599999999998</v>
      </c>
      <c r="Z273" s="21">
        <v>460.00299999999999</v>
      </c>
      <c r="AA273" s="21">
        <v>-1.1688199999999999E-2</v>
      </c>
      <c r="AB273" s="21">
        <v>263</v>
      </c>
      <c r="AC273" s="21">
        <v>0.47534199999999999</v>
      </c>
      <c r="AD273">
        <f t="shared" si="52"/>
        <v>11.6882</v>
      </c>
      <c r="AE273">
        <f t="shared" si="53"/>
        <v>5.5590949311999998</v>
      </c>
      <c r="AF273" s="9"/>
      <c r="AG273" s="21">
        <v>1.22437</v>
      </c>
      <c r="AH273" s="21">
        <v>516.678</v>
      </c>
      <c r="AI273" s="21">
        <v>-1.13098E-2</v>
      </c>
      <c r="AJ273" s="21">
        <v>263</v>
      </c>
      <c r="AK273" s="21">
        <v>1.2234499999999999</v>
      </c>
      <c r="AL273">
        <f t="shared" si="54"/>
        <v>11.309799999999999</v>
      </c>
      <c r="AM273">
        <f t="shared" si="55"/>
        <v>13.847379825999999</v>
      </c>
      <c r="AP273" s="9"/>
      <c r="AQ273" s="21">
        <v>0.47561599999999998</v>
      </c>
      <c r="AR273" s="21">
        <v>673.36599999999999</v>
      </c>
      <c r="AS273" s="21">
        <v>-1.19659E-2</v>
      </c>
      <c r="AT273" s="21">
        <v>263</v>
      </c>
      <c r="AU273" s="21">
        <v>0.47531099999999998</v>
      </c>
      <c r="AV273">
        <f t="shared" si="56"/>
        <v>11.9659</v>
      </c>
      <c r="AW273">
        <f t="shared" si="57"/>
        <v>5.6911734943999992</v>
      </c>
      <c r="AX273" s="9"/>
      <c r="AY273" s="21">
        <v>1.22437</v>
      </c>
      <c r="AZ273" s="21">
        <v>763.46199999999999</v>
      </c>
      <c r="BA273" s="21">
        <v>-1.14349E-2</v>
      </c>
      <c r="BB273" s="21">
        <v>263</v>
      </c>
      <c r="BC273" s="21">
        <v>1.2234499999999999</v>
      </c>
      <c r="BD273">
        <f t="shared" si="58"/>
        <v>11.434899999999999</v>
      </c>
      <c r="BE273">
        <f t="shared" si="59"/>
        <v>14.000548512999998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169.95099999999999</v>
      </c>
      <c r="I274" s="21">
        <v>-1.1798100000000001E-2</v>
      </c>
      <c r="J274" s="21">
        <v>264</v>
      </c>
      <c r="K274" s="21">
        <v>0.47024500000000002</v>
      </c>
      <c r="L274">
        <f t="shared" si="48"/>
        <v>11.7981</v>
      </c>
      <c r="M274">
        <f t="shared" si="49"/>
        <v>5.5519616961000002</v>
      </c>
      <c r="N274" s="9"/>
      <c r="O274" s="21">
        <v>1.2294</v>
      </c>
      <c r="P274" s="21">
        <v>253.93600000000001</v>
      </c>
      <c r="Q274" s="21">
        <v>-1.1084E-2</v>
      </c>
      <c r="R274" s="21">
        <v>264</v>
      </c>
      <c r="S274" s="21">
        <v>1.22803</v>
      </c>
      <c r="T274">
        <f t="shared" si="50"/>
        <v>11.084</v>
      </c>
      <c r="U274">
        <f t="shared" si="51"/>
        <v>13.6266696</v>
      </c>
      <c r="X274" s="9"/>
      <c r="Y274" s="21">
        <v>0.47058100000000003</v>
      </c>
      <c r="Z274" s="21">
        <v>460.10300000000001</v>
      </c>
      <c r="AA274" s="21">
        <v>-1.1676000000000001E-2</v>
      </c>
      <c r="AB274" s="21">
        <v>264</v>
      </c>
      <c r="AC274" s="21">
        <v>0.47027600000000003</v>
      </c>
      <c r="AD274">
        <f t="shared" si="52"/>
        <v>11.676</v>
      </c>
      <c r="AE274">
        <f t="shared" si="53"/>
        <v>5.4945037560000003</v>
      </c>
      <c r="AF274" s="9"/>
      <c r="AG274" s="21">
        <v>1.2294</v>
      </c>
      <c r="AH274" s="21">
        <v>516.77800000000002</v>
      </c>
      <c r="AI274" s="21">
        <v>-1.1306800000000001E-2</v>
      </c>
      <c r="AJ274" s="21">
        <v>264</v>
      </c>
      <c r="AK274" s="21">
        <v>1.22864</v>
      </c>
      <c r="AL274">
        <f t="shared" si="54"/>
        <v>11.306800000000001</v>
      </c>
      <c r="AM274">
        <f t="shared" si="55"/>
        <v>13.900579920000002</v>
      </c>
      <c r="AP274" s="9"/>
      <c r="AQ274" s="21">
        <v>0.47058100000000003</v>
      </c>
      <c r="AR274" s="21">
        <v>673.46699999999998</v>
      </c>
      <c r="AS274" s="21">
        <v>-1.1972E-2</v>
      </c>
      <c r="AT274" s="21">
        <v>264</v>
      </c>
      <c r="AU274" s="21">
        <v>0.47027600000000003</v>
      </c>
      <c r="AV274">
        <f t="shared" si="56"/>
        <v>11.972</v>
      </c>
      <c r="AW274">
        <f t="shared" si="57"/>
        <v>5.6337957320000003</v>
      </c>
      <c r="AX274" s="9"/>
      <c r="AY274" s="21">
        <v>1.2294</v>
      </c>
      <c r="AZ274" s="21">
        <v>763.56299999999999</v>
      </c>
      <c r="BA274" s="21">
        <v>-1.1428799999999999E-2</v>
      </c>
      <c r="BB274" s="21">
        <v>264</v>
      </c>
      <c r="BC274" s="21">
        <v>1.2283299999999999</v>
      </c>
      <c r="BD274">
        <f t="shared" si="58"/>
        <v>11.428799999999999</v>
      </c>
      <c r="BE274">
        <f t="shared" si="59"/>
        <v>14.050566719999999</v>
      </c>
    </row>
    <row r="275" spans="6:101" x14ac:dyDescent="0.25">
      <c r="F275" s="9"/>
      <c r="G275" s="21">
        <v>0.46554600000000002</v>
      </c>
      <c r="H275" s="21">
        <v>170.05199999999999</v>
      </c>
      <c r="I275" s="21">
        <v>-1.1810299999999999E-2</v>
      </c>
      <c r="J275" s="21">
        <v>265</v>
      </c>
      <c r="K275" s="21">
        <v>0.46533200000000002</v>
      </c>
      <c r="L275">
        <f t="shared" si="48"/>
        <v>11.8103</v>
      </c>
      <c r="M275">
        <f t="shared" si="49"/>
        <v>5.4982379237999996</v>
      </c>
      <c r="N275" s="9"/>
      <c r="O275" s="21">
        <v>1.23444</v>
      </c>
      <c r="P275" s="21">
        <v>254.03700000000001</v>
      </c>
      <c r="Q275" s="21">
        <v>-1.10779E-2</v>
      </c>
      <c r="R275" s="21">
        <v>265</v>
      </c>
      <c r="S275" s="21">
        <v>1.23383</v>
      </c>
      <c r="T275">
        <f t="shared" si="50"/>
        <v>11.0779</v>
      </c>
      <c r="U275">
        <f t="shared" si="51"/>
        <v>13.675002875999999</v>
      </c>
      <c r="X275" s="9"/>
      <c r="Y275" s="21">
        <v>0.46554600000000002</v>
      </c>
      <c r="Z275" s="21">
        <v>460.20400000000001</v>
      </c>
      <c r="AA275" s="21">
        <v>-1.1682100000000001E-2</v>
      </c>
      <c r="AB275" s="21">
        <v>265</v>
      </c>
      <c r="AC275" s="21">
        <v>0.46523999999999999</v>
      </c>
      <c r="AD275">
        <f t="shared" si="52"/>
        <v>11.6821</v>
      </c>
      <c r="AE275">
        <f t="shared" si="53"/>
        <v>5.4385549266000002</v>
      </c>
      <c r="AF275" s="9"/>
      <c r="AG275" s="21">
        <v>1.23444</v>
      </c>
      <c r="AH275" s="21">
        <v>516.87900000000002</v>
      </c>
      <c r="AI275" s="21">
        <v>-1.13007E-2</v>
      </c>
      <c r="AJ275" s="21">
        <v>265</v>
      </c>
      <c r="AK275" s="21">
        <v>1.23383</v>
      </c>
      <c r="AL275">
        <f t="shared" si="54"/>
        <v>11.300700000000001</v>
      </c>
      <c r="AM275">
        <f t="shared" si="55"/>
        <v>13.950036108000001</v>
      </c>
      <c r="AP275" s="9"/>
      <c r="AQ275" s="21">
        <v>0.46554600000000002</v>
      </c>
      <c r="AR275" s="21">
        <v>673.56799999999998</v>
      </c>
      <c r="AS275" s="21">
        <v>-1.1972E-2</v>
      </c>
      <c r="AT275" s="21">
        <v>265</v>
      </c>
      <c r="AU275" s="21">
        <v>0.46523999999999999</v>
      </c>
      <c r="AV275">
        <f t="shared" si="56"/>
        <v>11.972</v>
      </c>
      <c r="AW275">
        <f t="shared" si="57"/>
        <v>5.573516712</v>
      </c>
      <c r="AX275" s="9"/>
      <c r="AY275" s="21">
        <v>1.23444</v>
      </c>
      <c r="AZ275" s="21">
        <v>763.66300000000001</v>
      </c>
      <c r="BA275" s="21">
        <v>-1.1422699999999999E-2</v>
      </c>
      <c r="BB275" s="21">
        <v>265</v>
      </c>
      <c r="BC275" s="21">
        <v>1.23444</v>
      </c>
      <c r="BD275">
        <f t="shared" si="58"/>
        <v>11.422699999999999</v>
      </c>
      <c r="BE275">
        <f t="shared" si="59"/>
        <v>14.100637787999998</v>
      </c>
    </row>
    <row r="276" spans="6:101" x14ac:dyDescent="0.25">
      <c r="F276" s="9"/>
      <c r="G276" s="21">
        <v>0.46050999999999997</v>
      </c>
      <c r="H276" s="21">
        <v>170.15299999999999</v>
      </c>
      <c r="I276" s="21">
        <v>-1.1795E-2</v>
      </c>
      <c r="J276" s="21">
        <v>266</v>
      </c>
      <c r="K276" s="21">
        <v>0.46023599999999998</v>
      </c>
      <c r="L276">
        <f t="shared" si="48"/>
        <v>11.795</v>
      </c>
      <c r="M276">
        <f t="shared" si="49"/>
        <v>5.4317154499999996</v>
      </c>
      <c r="N276" s="9"/>
      <c r="O276" s="21">
        <v>1.2394700000000001</v>
      </c>
      <c r="P276" s="21">
        <v>254.137</v>
      </c>
      <c r="Q276" s="21">
        <v>-1.10718E-2</v>
      </c>
      <c r="R276" s="21">
        <v>266</v>
      </c>
      <c r="S276" s="21">
        <v>1.2390099999999999</v>
      </c>
      <c r="T276">
        <f t="shared" si="50"/>
        <v>11.0718</v>
      </c>
      <c r="U276">
        <f t="shared" si="51"/>
        <v>13.723163946</v>
      </c>
      <c r="X276" s="9"/>
      <c r="Y276" s="21">
        <v>0.46050999999999997</v>
      </c>
      <c r="Z276" s="21">
        <v>460.30500000000001</v>
      </c>
      <c r="AA276" s="21">
        <v>-1.16791E-2</v>
      </c>
      <c r="AB276" s="21">
        <v>266</v>
      </c>
      <c r="AC276" s="21">
        <v>0.46020499999999998</v>
      </c>
      <c r="AD276">
        <f t="shared" si="52"/>
        <v>11.6791</v>
      </c>
      <c r="AE276">
        <f t="shared" si="53"/>
        <v>5.3783423409999997</v>
      </c>
      <c r="AF276" s="9"/>
      <c r="AG276" s="21">
        <v>1.2394700000000001</v>
      </c>
      <c r="AH276" s="21">
        <v>516.98</v>
      </c>
      <c r="AI276" s="21">
        <v>-1.12976E-2</v>
      </c>
      <c r="AJ276" s="21">
        <v>266</v>
      </c>
      <c r="AK276" s="21">
        <v>1.23871</v>
      </c>
      <c r="AL276">
        <f t="shared" si="54"/>
        <v>11.297599999999999</v>
      </c>
      <c r="AM276">
        <f t="shared" si="55"/>
        <v>14.003036271999999</v>
      </c>
      <c r="AP276" s="9"/>
      <c r="AQ276" s="21">
        <v>0.46050999999999997</v>
      </c>
      <c r="AR276" s="21">
        <v>673.66899999999998</v>
      </c>
      <c r="AS276" s="21">
        <v>-1.1972E-2</v>
      </c>
      <c r="AT276" s="21">
        <v>266</v>
      </c>
      <c r="AU276" s="21">
        <v>0.46029700000000001</v>
      </c>
      <c r="AV276">
        <f t="shared" si="56"/>
        <v>11.972</v>
      </c>
      <c r="AW276">
        <f t="shared" si="57"/>
        <v>5.5132257199999994</v>
      </c>
      <c r="AX276" s="9"/>
      <c r="AY276" s="21">
        <v>1.2394700000000001</v>
      </c>
      <c r="AZ276" s="21">
        <v>763.76400000000001</v>
      </c>
      <c r="BA276" s="21">
        <v>-1.1416600000000001E-2</v>
      </c>
      <c r="BB276" s="21">
        <v>266</v>
      </c>
      <c r="BC276" s="21">
        <v>1.23871</v>
      </c>
      <c r="BD276">
        <f t="shared" si="58"/>
        <v>11.416600000000001</v>
      </c>
      <c r="BE276">
        <f t="shared" si="59"/>
        <v>14.150533202000002</v>
      </c>
    </row>
    <row r="277" spans="6:101" x14ac:dyDescent="0.25">
      <c r="F277" s="9"/>
      <c r="G277" s="21">
        <v>0.45547500000000002</v>
      </c>
      <c r="H277" s="21">
        <v>170.25399999999999</v>
      </c>
      <c r="I277" s="21">
        <v>-1.1804200000000001E-2</v>
      </c>
      <c r="J277" s="21">
        <v>267</v>
      </c>
      <c r="K277" s="21">
        <v>0.45517000000000002</v>
      </c>
      <c r="L277">
        <f t="shared" si="48"/>
        <v>11.804200000000002</v>
      </c>
      <c r="M277">
        <f t="shared" si="49"/>
        <v>5.3765179950000013</v>
      </c>
      <c r="N277" s="9"/>
      <c r="O277" s="21">
        <v>1.24451</v>
      </c>
      <c r="P277" s="21">
        <v>254.238</v>
      </c>
      <c r="Q277" s="21">
        <v>-1.1068700000000001E-2</v>
      </c>
      <c r="R277" s="21">
        <v>267</v>
      </c>
      <c r="S277" s="21">
        <v>1.24359</v>
      </c>
      <c r="T277">
        <f t="shared" si="50"/>
        <v>11.068700000000002</v>
      </c>
      <c r="U277">
        <f t="shared" si="51"/>
        <v>13.775107837000002</v>
      </c>
      <c r="X277" s="9"/>
      <c r="Y277" s="21">
        <v>0.45547500000000002</v>
      </c>
      <c r="Z277" s="21">
        <v>460.40600000000001</v>
      </c>
      <c r="AA277" s="21">
        <v>-1.1688199999999999E-2</v>
      </c>
      <c r="AB277" s="21">
        <v>267</v>
      </c>
      <c r="AC277" s="21">
        <v>0.45529199999999997</v>
      </c>
      <c r="AD277">
        <f t="shared" si="52"/>
        <v>11.6882</v>
      </c>
      <c r="AE277">
        <f t="shared" si="53"/>
        <v>5.3236828950000001</v>
      </c>
      <c r="AF277" s="9"/>
      <c r="AG277" s="21">
        <v>1.24451</v>
      </c>
      <c r="AH277" s="21">
        <v>517.08000000000004</v>
      </c>
      <c r="AI277" s="21">
        <v>-1.12885E-2</v>
      </c>
      <c r="AJ277" s="21">
        <v>267</v>
      </c>
      <c r="AK277" s="21">
        <v>1.24329</v>
      </c>
      <c r="AL277">
        <f t="shared" si="54"/>
        <v>11.288499999999999</v>
      </c>
      <c r="AM277">
        <f t="shared" si="55"/>
        <v>14.048651134999998</v>
      </c>
      <c r="AP277" s="9"/>
      <c r="AQ277" s="21">
        <v>0.45547500000000002</v>
      </c>
      <c r="AR277" s="21">
        <v>673.76900000000001</v>
      </c>
      <c r="AS277" s="21">
        <v>-1.19781E-2</v>
      </c>
      <c r="AT277" s="21">
        <v>267</v>
      </c>
      <c r="AU277" s="21">
        <v>0.45517000000000002</v>
      </c>
      <c r="AV277">
        <f t="shared" si="56"/>
        <v>11.9781</v>
      </c>
      <c r="AW277">
        <f t="shared" si="57"/>
        <v>5.4557250975000002</v>
      </c>
      <c r="AX277" s="9"/>
      <c r="AY277" s="21">
        <v>1.24451</v>
      </c>
      <c r="AZ277" s="21">
        <v>763.86500000000001</v>
      </c>
      <c r="BA277" s="21">
        <v>-1.1413599999999999E-2</v>
      </c>
      <c r="BB277" s="21">
        <v>267</v>
      </c>
      <c r="BC277" s="21">
        <v>1.24359</v>
      </c>
      <c r="BD277">
        <f t="shared" si="58"/>
        <v>11.413599999999999</v>
      </c>
      <c r="BE277">
        <f t="shared" si="59"/>
        <v>14.204339335999999</v>
      </c>
    </row>
    <row r="278" spans="6:101" x14ac:dyDescent="0.25">
      <c r="F278" s="9"/>
      <c r="G278" s="21">
        <v>0.45043899999999998</v>
      </c>
      <c r="H278" s="21">
        <v>170.35400000000001</v>
      </c>
      <c r="I278" s="21">
        <v>-1.1804200000000001E-2</v>
      </c>
      <c r="J278" s="21">
        <v>268</v>
      </c>
      <c r="K278" s="21">
        <v>0.450104</v>
      </c>
      <c r="L278">
        <f t="shared" si="48"/>
        <v>11.804200000000002</v>
      </c>
      <c r="M278">
        <f t="shared" si="49"/>
        <v>5.3170720438000005</v>
      </c>
      <c r="N278" s="9"/>
      <c r="O278" s="21">
        <v>1.2495400000000001</v>
      </c>
      <c r="P278" s="21">
        <v>254.339</v>
      </c>
      <c r="Q278" s="21">
        <v>-1.10565E-2</v>
      </c>
      <c r="R278" s="21">
        <v>268</v>
      </c>
      <c r="S278" s="21">
        <v>1.24969</v>
      </c>
      <c r="T278">
        <f t="shared" si="50"/>
        <v>11.0565</v>
      </c>
      <c r="U278">
        <f t="shared" si="51"/>
        <v>13.81553901</v>
      </c>
      <c r="X278" s="9"/>
      <c r="Y278" s="21">
        <v>0.45043899999999998</v>
      </c>
      <c r="Z278" s="21">
        <v>460.50599999999997</v>
      </c>
      <c r="AA278" s="21">
        <v>-1.16913E-2</v>
      </c>
      <c r="AB278" s="21">
        <v>268</v>
      </c>
      <c r="AC278" s="21">
        <v>0.45016499999999998</v>
      </c>
      <c r="AD278">
        <f t="shared" si="52"/>
        <v>11.6913</v>
      </c>
      <c r="AE278">
        <f t="shared" si="53"/>
        <v>5.2662174807</v>
      </c>
      <c r="AF278" s="9"/>
      <c r="AG278" s="21">
        <v>1.2495400000000001</v>
      </c>
      <c r="AH278" s="21">
        <v>517.18100000000004</v>
      </c>
      <c r="AI278" s="21">
        <v>-1.1285399999999999E-2</v>
      </c>
      <c r="AJ278" s="21">
        <v>268</v>
      </c>
      <c r="AK278" s="21">
        <v>1.24817</v>
      </c>
      <c r="AL278">
        <f t="shared" si="54"/>
        <v>11.285399999999999</v>
      </c>
      <c r="AM278">
        <f t="shared" si="55"/>
        <v>14.101558716</v>
      </c>
      <c r="AP278" s="9"/>
      <c r="AQ278" s="21">
        <v>0.45043899999999998</v>
      </c>
      <c r="AR278" s="21">
        <v>673.87</v>
      </c>
      <c r="AS278" s="21">
        <v>-1.1987299999999999E-2</v>
      </c>
      <c r="AT278" s="21">
        <v>268</v>
      </c>
      <c r="AU278" s="21">
        <v>0.45016499999999998</v>
      </c>
      <c r="AV278">
        <f t="shared" si="56"/>
        <v>11.987299999999999</v>
      </c>
      <c r="AW278">
        <f t="shared" si="57"/>
        <v>5.3995474246999997</v>
      </c>
      <c r="AX278" s="9"/>
      <c r="AY278" s="21">
        <v>1.2495400000000001</v>
      </c>
      <c r="AZ278" s="21">
        <v>763.96500000000003</v>
      </c>
      <c r="BA278" s="21">
        <v>-1.1407499999999999E-2</v>
      </c>
      <c r="BB278" s="21">
        <v>268</v>
      </c>
      <c r="BC278" s="21">
        <v>1.24817</v>
      </c>
      <c r="BD278">
        <f t="shared" si="58"/>
        <v>11.407499999999999</v>
      </c>
      <c r="BE278">
        <f t="shared" si="59"/>
        <v>14.25412755</v>
      </c>
    </row>
    <row r="279" spans="6:101" x14ac:dyDescent="0.25">
      <c r="F279" s="9"/>
      <c r="G279" s="21">
        <v>0.44540400000000002</v>
      </c>
      <c r="H279" s="21">
        <v>170.45500000000001</v>
      </c>
      <c r="I279" s="21">
        <v>-1.1804200000000001E-2</v>
      </c>
      <c r="J279" s="21">
        <v>269</v>
      </c>
      <c r="K279" s="21">
        <v>0.44509900000000002</v>
      </c>
      <c r="L279">
        <f t="shared" si="48"/>
        <v>11.804200000000002</v>
      </c>
      <c r="M279">
        <f t="shared" si="49"/>
        <v>5.2576378968000013</v>
      </c>
      <c r="N279" s="9"/>
      <c r="O279" s="21">
        <v>1.25458</v>
      </c>
      <c r="P279" s="21">
        <v>254.43899999999999</v>
      </c>
      <c r="Q279" s="21">
        <v>-1.10504E-2</v>
      </c>
      <c r="R279" s="21">
        <v>269</v>
      </c>
      <c r="S279" s="21">
        <v>1.25427</v>
      </c>
      <c r="T279">
        <f t="shared" si="50"/>
        <v>11.0504</v>
      </c>
      <c r="U279">
        <f t="shared" si="51"/>
        <v>13.863610832000001</v>
      </c>
      <c r="X279" s="9"/>
      <c r="Y279" s="21">
        <v>0.44540400000000002</v>
      </c>
      <c r="Z279" s="21">
        <v>460.60700000000003</v>
      </c>
      <c r="AA279" s="21">
        <v>-1.16974E-2</v>
      </c>
      <c r="AB279" s="21">
        <v>269</v>
      </c>
      <c r="AC279" s="21">
        <v>0.445129</v>
      </c>
      <c r="AD279">
        <f t="shared" si="52"/>
        <v>11.6974</v>
      </c>
      <c r="AE279">
        <f t="shared" si="53"/>
        <v>5.2100687496000004</v>
      </c>
      <c r="AF279" s="9"/>
      <c r="AG279" s="21">
        <v>1.25458</v>
      </c>
      <c r="AH279" s="21">
        <v>517.28200000000004</v>
      </c>
      <c r="AI279" s="21">
        <v>-1.1279300000000001E-2</v>
      </c>
      <c r="AJ279" s="21">
        <v>269</v>
      </c>
      <c r="AK279" s="21">
        <v>1.25397</v>
      </c>
      <c r="AL279">
        <f t="shared" si="54"/>
        <v>11.279300000000001</v>
      </c>
      <c r="AM279">
        <f t="shared" si="55"/>
        <v>14.150784194000002</v>
      </c>
      <c r="AP279" s="9"/>
      <c r="AQ279" s="21">
        <v>0.44540400000000002</v>
      </c>
      <c r="AR279" s="21">
        <v>673.971</v>
      </c>
      <c r="AS279" s="21">
        <v>-1.20026E-2</v>
      </c>
      <c r="AT279" s="21">
        <v>269</v>
      </c>
      <c r="AU279" s="21">
        <v>0.44516</v>
      </c>
      <c r="AV279">
        <f t="shared" si="56"/>
        <v>12.002600000000001</v>
      </c>
      <c r="AW279">
        <f t="shared" si="57"/>
        <v>5.3460060504000007</v>
      </c>
      <c r="AX279" s="9"/>
      <c r="AY279" s="21">
        <v>1.25458</v>
      </c>
      <c r="AZ279" s="21">
        <v>764.06600000000003</v>
      </c>
      <c r="BA279" s="21">
        <v>-1.1401400000000001E-2</v>
      </c>
      <c r="BB279" s="21">
        <v>269</v>
      </c>
      <c r="BC279" s="21">
        <v>1.25336</v>
      </c>
      <c r="BD279">
        <f t="shared" si="58"/>
        <v>11.401400000000001</v>
      </c>
      <c r="BE279">
        <f t="shared" si="59"/>
        <v>14.303968412000001</v>
      </c>
    </row>
    <row r="280" spans="6:101" x14ac:dyDescent="0.25">
      <c r="F280" s="9"/>
      <c r="G280" s="21">
        <v>0.44036900000000001</v>
      </c>
      <c r="H280" s="21">
        <v>170.55600000000001</v>
      </c>
      <c r="I280" s="21">
        <v>-1.1798100000000001E-2</v>
      </c>
      <c r="J280" s="21">
        <v>270</v>
      </c>
      <c r="K280" s="21">
        <v>0.44003300000000001</v>
      </c>
      <c r="L280">
        <f t="shared" si="48"/>
        <v>11.7981</v>
      </c>
      <c r="M280">
        <f t="shared" si="49"/>
        <v>5.1955174989000001</v>
      </c>
      <c r="N280" s="9"/>
      <c r="O280" s="21">
        <v>1.2596099999999999</v>
      </c>
      <c r="P280" s="21">
        <v>254.54</v>
      </c>
      <c r="Q280" s="21">
        <v>-1.10413E-2</v>
      </c>
      <c r="R280" s="21">
        <v>270</v>
      </c>
      <c r="S280" s="21">
        <v>1.2591600000000001</v>
      </c>
      <c r="T280">
        <f t="shared" si="50"/>
        <v>11.0413</v>
      </c>
      <c r="U280">
        <f t="shared" si="51"/>
        <v>13.907731892999998</v>
      </c>
      <c r="X280" s="9"/>
      <c r="Y280" s="21">
        <v>0.44036900000000001</v>
      </c>
      <c r="Z280" s="21">
        <v>460.70800000000003</v>
      </c>
      <c r="AA280" s="21">
        <v>-1.1676000000000001E-2</v>
      </c>
      <c r="AB280" s="21">
        <v>270</v>
      </c>
      <c r="AC280" s="21">
        <v>0.44006299999999998</v>
      </c>
      <c r="AD280">
        <f t="shared" si="52"/>
        <v>11.676</v>
      </c>
      <c r="AE280">
        <f t="shared" si="53"/>
        <v>5.1417484440000001</v>
      </c>
      <c r="AF280" s="9"/>
      <c r="AG280" s="21">
        <v>1.2596099999999999</v>
      </c>
      <c r="AH280" s="21">
        <v>517.38300000000004</v>
      </c>
      <c r="AI280" s="21">
        <v>-1.1273200000000001E-2</v>
      </c>
      <c r="AJ280" s="21">
        <v>270</v>
      </c>
      <c r="AK280" s="21">
        <v>1.2591600000000001</v>
      </c>
      <c r="AL280">
        <f t="shared" si="54"/>
        <v>11.273200000000001</v>
      </c>
      <c r="AM280">
        <f t="shared" si="55"/>
        <v>14.199835452</v>
      </c>
      <c r="AP280" s="9"/>
      <c r="AQ280" s="21">
        <v>0.44036900000000001</v>
      </c>
      <c r="AR280" s="21">
        <v>674.07100000000003</v>
      </c>
      <c r="AS280" s="21">
        <v>-1.2014800000000001E-2</v>
      </c>
      <c r="AT280" s="21">
        <v>270</v>
      </c>
      <c r="AU280" s="21">
        <v>0.44003300000000001</v>
      </c>
      <c r="AV280">
        <f t="shared" si="56"/>
        <v>12.014800000000001</v>
      </c>
      <c r="AW280">
        <f t="shared" si="57"/>
        <v>5.2909454612000006</v>
      </c>
      <c r="AX280" s="9"/>
      <c r="AY280" s="21">
        <v>1.2596099999999999</v>
      </c>
      <c r="AZ280" s="21">
        <v>764.16700000000003</v>
      </c>
      <c r="BA280" s="21">
        <v>-1.13983E-2</v>
      </c>
      <c r="BB280" s="21">
        <v>270</v>
      </c>
      <c r="BC280" s="21">
        <v>1.25885</v>
      </c>
      <c r="BD280">
        <f t="shared" si="58"/>
        <v>11.398300000000001</v>
      </c>
      <c r="BE280">
        <f t="shared" si="59"/>
        <v>14.357412663</v>
      </c>
    </row>
    <row r="281" spans="6:101" x14ac:dyDescent="0.25">
      <c r="F281" s="9"/>
      <c r="G281" s="21">
        <v>0.43533300000000003</v>
      </c>
      <c r="H281" s="21">
        <v>170.65600000000001</v>
      </c>
      <c r="I281" s="21">
        <v>-1.1798100000000001E-2</v>
      </c>
      <c r="J281" s="21">
        <v>271</v>
      </c>
      <c r="K281" s="21">
        <v>0.43512000000000001</v>
      </c>
      <c r="L281">
        <f t="shared" si="48"/>
        <v>11.7981</v>
      </c>
      <c r="M281">
        <f t="shared" si="49"/>
        <v>5.1361022673000001</v>
      </c>
      <c r="N281" s="9"/>
      <c r="O281" s="21">
        <v>1.2646500000000001</v>
      </c>
      <c r="P281" s="21">
        <v>254.64099999999999</v>
      </c>
      <c r="Q281" s="21">
        <v>-1.10382E-2</v>
      </c>
      <c r="R281" s="21">
        <v>271</v>
      </c>
      <c r="S281" s="21">
        <v>1.26434</v>
      </c>
      <c r="T281">
        <f t="shared" si="50"/>
        <v>11.0382</v>
      </c>
      <c r="U281">
        <f t="shared" si="51"/>
        <v>13.95945963</v>
      </c>
      <c r="X281" s="9"/>
      <c r="Y281" s="21">
        <v>0.43533300000000003</v>
      </c>
      <c r="Z281" s="21">
        <v>460.80799999999999</v>
      </c>
      <c r="AA281" s="21">
        <v>-1.1682100000000001E-2</v>
      </c>
      <c r="AB281" s="21">
        <v>271</v>
      </c>
      <c r="AC281" s="21">
        <v>0.435089</v>
      </c>
      <c r="AD281">
        <f t="shared" si="52"/>
        <v>11.6821</v>
      </c>
      <c r="AE281">
        <f t="shared" si="53"/>
        <v>5.0856036393000004</v>
      </c>
      <c r="AF281" s="9"/>
      <c r="AG281" s="21">
        <v>1.2646500000000001</v>
      </c>
      <c r="AH281" s="21">
        <v>517.48299999999995</v>
      </c>
      <c r="AI281" s="21">
        <v>-1.12671E-2</v>
      </c>
      <c r="AJ281" s="21">
        <v>271</v>
      </c>
      <c r="AK281" s="21">
        <v>1.2640400000000001</v>
      </c>
      <c r="AL281">
        <f t="shared" si="54"/>
        <v>11.267100000000001</v>
      </c>
      <c r="AM281">
        <f t="shared" si="55"/>
        <v>14.248938015000002</v>
      </c>
      <c r="AP281" s="9"/>
      <c r="AQ281" s="21">
        <v>0.43533300000000003</v>
      </c>
      <c r="AR281" s="21">
        <v>674.17200000000003</v>
      </c>
      <c r="AS281" s="21">
        <v>-1.20117E-2</v>
      </c>
      <c r="AT281" s="21">
        <v>271</v>
      </c>
      <c r="AU281" s="21">
        <v>0.43512000000000001</v>
      </c>
      <c r="AV281">
        <f t="shared" si="56"/>
        <v>12.011699999999999</v>
      </c>
      <c r="AW281">
        <f t="shared" si="57"/>
        <v>5.2290893961</v>
      </c>
      <c r="AX281" s="9"/>
      <c r="AY281" s="21">
        <v>1.2646500000000001</v>
      </c>
      <c r="AZ281" s="21">
        <v>764.26800000000003</v>
      </c>
      <c r="BA281" s="21">
        <v>-1.13983E-2</v>
      </c>
      <c r="BB281" s="21">
        <v>271</v>
      </c>
      <c r="BC281" s="21">
        <v>1.26434</v>
      </c>
      <c r="BD281">
        <f t="shared" si="58"/>
        <v>11.398300000000001</v>
      </c>
      <c r="BE281">
        <f t="shared" si="59"/>
        <v>14.414860095000002</v>
      </c>
    </row>
    <row r="282" spans="6:101" x14ac:dyDescent="0.25">
      <c r="F282" s="9"/>
      <c r="G282" s="21">
        <v>0.43029800000000001</v>
      </c>
      <c r="H282" s="21">
        <v>170.75700000000001</v>
      </c>
      <c r="I282" s="21">
        <v>-1.1810299999999999E-2</v>
      </c>
      <c r="J282" s="21">
        <v>272</v>
      </c>
      <c r="K282" s="21">
        <v>0.43002299999999999</v>
      </c>
      <c r="L282">
        <f t="shared" si="48"/>
        <v>11.8103</v>
      </c>
      <c r="M282">
        <f t="shared" si="49"/>
        <v>5.0819484694000003</v>
      </c>
      <c r="N282" s="9"/>
      <c r="O282" s="21">
        <v>1.2696799999999999</v>
      </c>
      <c r="P282" s="21">
        <v>254.74100000000001</v>
      </c>
      <c r="Q282" s="21">
        <v>-1.10382E-2</v>
      </c>
      <c r="R282" s="21">
        <v>272</v>
      </c>
      <c r="S282" s="21">
        <v>1.2692300000000001</v>
      </c>
      <c r="T282">
        <f t="shared" si="50"/>
        <v>11.0382</v>
      </c>
      <c r="U282">
        <f t="shared" si="51"/>
        <v>14.014981775999999</v>
      </c>
      <c r="X282" s="9"/>
      <c r="Y282" s="21">
        <v>0.43029800000000001</v>
      </c>
      <c r="Z282" s="21">
        <v>460.90899999999999</v>
      </c>
      <c r="AA282" s="21">
        <v>-1.1694299999999999E-2</v>
      </c>
      <c r="AB282" s="21">
        <v>272</v>
      </c>
      <c r="AC282" s="21">
        <v>0.43005399999999999</v>
      </c>
      <c r="AD282">
        <f t="shared" si="52"/>
        <v>11.6943</v>
      </c>
      <c r="AE282">
        <f t="shared" si="53"/>
        <v>5.0320339014000002</v>
      </c>
      <c r="AF282" s="9"/>
      <c r="AG282" s="21">
        <v>1.2696799999999999</v>
      </c>
      <c r="AH282" s="21">
        <v>517.58399999999995</v>
      </c>
      <c r="AI282" s="21">
        <v>-1.1261E-2</v>
      </c>
      <c r="AJ282" s="21">
        <v>272</v>
      </c>
      <c r="AK282" s="21">
        <v>1.26953</v>
      </c>
      <c r="AL282">
        <f t="shared" si="54"/>
        <v>11.261000000000001</v>
      </c>
      <c r="AM282">
        <f t="shared" si="55"/>
        <v>14.29786648</v>
      </c>
      <c r="AP282" s="9"/>
      <c r="AQ282" s="21">
        <v>0.43029800000000001</v>
      </c>
      <c r="AR282" s="21">
        <v>674.27300000000002</v>
      </c>
      <c r="AS282" s="21">
        <v>-1.2008700000000001E-2</v>
      </c>
      <c r="AT282" s="21">
        <v>272</v>
      </c>
      <c r="AU282" s="21">
        <v>0.43005399999999999</v>
      </c>
      <c r="AV282">
        <f t="shared" si="56"/>
        <v>12.008700000000001</v>
      </c>
      <c r="AW282">
        <f t="shared" si="57"/>
        <v>5.1673195926000002</v>
      </c>
      <c r="AX282" s="9"/>
      <c r="AY282" s="21">
        <v>1.2696799999999999</v>
      </c>
      <c r="AZ282" s="21">
        <v>764.36800000000005</v>
      </c>
      <c r="BA282" s="21">
        <v>-1.13861E-2</v>
      </c>
      <c r="BB282" s="21">
        <v>272</v>
      </c>
      <c r="BC282" s="21">
        <v>1.2686200000000001</v>
      </c>
      <c r="BD282">
        <f t="shared" si="58"/>
        <v>11.386099999999999</v>
      </c>
      <c r="BE282">
        <f t="shared" si="59"/>
        <v>14.456703447999997</v>
      </c>
    </row>
    <row r="283" spans="6:101" x14ac:dyDescent="0.25">
      <c r="F283" s="9"/>
      <c r="G283" s="21">
        <v>0.42526199999999997</v>
      </c>
      <c r="H283" s="21">
        <v>170.858</v>
      </c>
      <c r="I283" s="21">
        <v>-1.18195E-2</v>
      </c>
      <c r="J283" s="21">
        <v>273</v>
      </c>
      <c r="K283" s="21">
        <v>0.42498799999999998</v>
      </c>
      <c r="L283">
        <f t="shared" si="48"/>
        <v>11.8195</v>
      </c>
      <c r="M283">
        <f t="shared" si="49"/>
        <v>5.0263842089999997</v>
      </c>
      <c r="N283" s="9"/>
      <c r="O283" s="21">
        <v>1.2747200000000001</v>
      </c>
      <c r="P283" s="21">
        <v>254.84200000000001</v>
      </c>
      <c r="Q283" s="21">
        <v>-1.10382E-2</v>
      </c>
      <c r="R283" s="21">
        <v>273</v>
      </c>
      <c r="S283" s="21">
        <v>1.2741100000000001</v>
      </c>
      <c r="T283">
        <f t="shared" si="50"/>
        <v>11.0382</v>
      </c>
      <c r="U283">
        <f t="shared" si="51"/>
        <v>14.070614304000001</v>
      </c>
      <c r="X283" s="9"/>
      <c r="Y283" s="21">
        <v>0.42526199999999997</v>
      </c>
      <c r="Z283" s="21">
        <v>461.01</v>
      </c>
      <c r="AA283" s="21">
        <v>-1.16974E-2</v>
      </c>
      <c r="AB283" s="21">
        <v>273</v>
      </c>
      <c r="AC283" s="21">
        <v>0.424927</v>
      </c>
      <c r="AD283">
        <f t="shared" si="52"/>
        <v>11.6974</v>
      </c>
      <c r="AE283">
        <f t="shared" si="53"/>
        <v>4.9744597187999995</v>
      </c>
      <c r="AF283" s="9"/>
      <c r="AG283" s="21">
        <v>1.2747200000000001</v>
      </c>
      <c r="AH283" s="21">
        <v>517.68499999999995</v>
      </c>
      <c r="AI283" s="21">
        <v>-1.1251799999999999E-2</v>
      </c>
      <c r="AJ283" s="21">
        <v>273</v>
      </c>
      <c r="AK283" s="21">
        <v>1.27441</v>
      </c>
      <c r="AL283">
        <f t="shared" si="54"/>
        <v>11.251799999999999</v>
      </c>
      <c r="AM283">
        <f t="shared" si="55"/>
        <v>14.342894496</v>
      </c>
      <c r="AP283" s="9"/>
      <c r="AQ283" s="21">
        <v>0.42526199999999997</v>
      </c>
      <c r="AR283" s="21">
        <v>674.37300000000005</v>
      </c>
      <c r="AS283" s="21">
        <v>-1.20331E-2</v>
      </c>
      <c r="AT283" s="21">
        <v>273</v>
      </c>
      <c r="AU283" s="21">
        <v>0.42495699999999997</v>
      </c>
      <c r="AV283">
        <f t="shared" si="56"/>
        <v>12.033099999999999</v>
      </c>
      <c r="AW283">
        <f t="shared" si="57"/>
        <v>5.1172201721999997</v>
      </c>
      <c r="AX283" s="9"/>
      <c r="AY283" s="21">
        <v>1.2747200000000001</v>
      </c>
      <c r="AZ283" s="21">
        <v>764.46900000000005</v>
      </c>
      <c r="BA283" s="21">
        <v>-1.1379999999999999E-2</v>
      </c>
      <c r="BB283" s="21">
        <v>273</v>
      </c>
      <c r="BC283" s="21">
        <v>1.2741100000000001</v>
      </c>
      <c r="BD283">
        <f t="shared" si="58"/>
        <v>11.379999999999999</v>
      </c>
      <c r="BE283">
        <f t="shared" si="59"/>
        <v>14.5063136</v>
      </c>
    </row>
    <row r="284" spans="6:101" x14ac:dyDescent="0.25">
      <c r="F284" s="9"/>
      <c r="G284" s="21">
        <v>0.42022700000000002</v>
      </c>
      <c r="H284" s="21">
        <v>170.959</v>
      </c>
      <c r="I284" s="21">
        <v>-1.1810299999999999E-2</v>
      </c>
      <c r="J284" s="21">
        <v>274</v>
      </c>
      <c r="K284" s="21">
        <v>0.419983</v>
      </c>
      <c r="L284">
        <f t="shared" si="48"/>
        <v>11.8103</v>
      </c>
      <c r="M284">
        <f t="shared" si="49"/>
        <v>4.9630069381000004</v>
      </c>
      <c r="N284" s="9"/>
      <c r="O284" s="21">
        <v>1.2797499999999999</v>
      </c>
      <c r="P284" s="21">
        <v>254.94300000000001</v>
      </c>
      <c r="Q284" s="21">
        <v>-1.10291E-2</v>
      </c>
      <c r="R284" s="21">
        <v>274</v>
      </c>
      <c r="S284" s="21">
        <v>1.2786900000000001</v>
      </c>
      <c r="T284">
        <f t="shared" si="50"/>
        <v>11.0291</v>
      </c>
      <c r="U284">
        <f t="shared" si="51"/>
        <v>14.114490725</v>
      </c>
      <c r="X284" s="9"/>
      <c r="Y284" s="21">
        <v>0.42022700000000002</v>
      </c>
      <c r="Z284" s="21">
        <v>461.11099999999999</v>
      </c>
      <c r="AA284" s="21">
        <v>-1.16974E-2</v>
      </c>
      <c r="AB284" s="21">
        <v>274</v>
      </c>
      <c r="AC284" s="21">
        <v>0.419983</v>
      </c>
      <c r="AD284">
        <f t="shared" si="52"/>
        <v>11.6974</v>
      </c>
      <c r="AE284">
        <f t="shared" si="53"/>
        <v>4.9155633098000004</v>
      </c>
      <c r="AF284" s="9"/>
      <c r="AG284" s="21">
        <v>1.2797499999999999</v>
      </c>
      <c r="AH284" s="21">
        <v>517.78499999999997</v>
      </c>
      <c r="AI284" s="21">
        <v>-1.12488E-2</v>
      </c>
      <c r="AJ284" s="21">
        <v>274</v>
      </c>
      <c r="AK284" s="21">
        <v>1.2789900000000001</v>
      </c>
      <c r="AL284">
        <f t="shared" si="54"/>
        <v>11.248799999999999</v>
      </c>
      <c r="AM284">
        <f t="shared" si="55"/>
        <v>14.395651799999998</v>
      </c>
      <c r="AP284" s="9"/>
      <c r="AQ284" s="21">
        <v>0.42022700000000002</v>
      </c>
      <c r="AR284" s="21">
        <v>674.47400000000005</v>
      </c>
      <c r="AS284" s="21">
        <v>-1.2036099999999999E-2</v>
      </c>
      <c r="AT284" s="21">
        <v>274</v>
      </c>
      <c r="AU284" s="21">
        <v>0.41995199999999999</v>
      </c>
      <c r="AV284">
        <f t="shared" si="56"/>
        <v>12.036099999999999</v>
      </c>
      <c r="AW284">
        <f t="shared" si="57"/>
        <v>5.0578941947000002</v>
      </c>
      <c r="AX284" s="9"/>
      <c r="AY284" s="21">
        <v>1.2797499999999999</v>
      </c>
      <c r="AZ284" s="21">
        <v>764.57</v>
      </c>
      <c r="BA284" s="21">
        <v>-1.13831E-2</v>
      </c>
      <c r="BB284" s="21">
        <v>274</v>
      </c>
      <c r="BC284" s="21">
        <v>1.2786900000000001</v>
      </c>
      <c r="BD284">
        <f t="shared" si="58"/>
        <v>11.383100000000001</v>
      </c>
      <c r="BE284">
        <f t="shared" si="59"/>
        <v>14.567522224999999</v>
      </c>
    </row>
    <row r="285" spans="6:101" x14ac:dyDescent="0.25">
      <c r="F285" s="9"/>
      <c r="G285" s="21">
        <v>0.41519200000000001</v>
      </c>
      <c r="H285" s="21">
        <v>171.059</v>
      </c>
      <c r="I285" s="21">
        <v>-1.18469E-2</v>
      </c>
      <c r="J285" s="21">
        <v>275</v>
      </c>
      <c r="K285" s="21">
        <v>0.41494799999999998</v>
      </c>
      <c r="L285">
        <f t="shared" si="48"/>
        <v>11.8469</v>
      </c>
      <c r="M285">
        <f t="shared" si="49"/>
        <v>4.9187381048000001</v>
      </c>
      <c r="N285" s="9"/>
      <c r="O285" s="21">
        <v>1.2847900000000001</v>
      </c>
      <c r="P285" s="21">
        <v>255.04400000000001</v>
      </c>
      <c r="Q285" s="21">
        <v>-1.10229E-2</v>
      </c>
      <c r="R285" s="21">
        <v>275</v>
      </c>
      <c r="S285" s="21">
        <v>1.2841800000000001</v>
      </c>
      <c r="T285">
        <f t="shared" si="50"/>
        <v>11.0229</v>
      </c>
      <c r="U285">
        <f t="shared" si="51"/>
        <v>14.162111691000002</v>
      </c>
      <c r="X285" s="9"/>
      <c r="Y285" s="21">
        <v>0.41519200000000001</v>
      </c>
      <c r="Z285" s="21">
        <v>461.21100000000001</v>
      </c>
      <c r="AA285" s="21">
        <v>-1.17004E-2</v>
      </c>
      <c r="AB285" s="21">
        <v>275</v>
      </c>
      <c r="AC285" s="21">
        <v>0.41479500000000002</v>
      </c>
      <c r="AD285">
        <f t="shared" si="52"/>
        <v>11.7004</v>
      </c>
      <c r="AE285">
        <f t="shared" si="53"/>
        <v>4.8579124768000002</v>
      </c>
      <c r="AF285" s="9"/>
      <c r="AG285" s="21">
        <v>1.2847900000000001</v>
      </c>
      <c r="AH285" s="21">
        <v>517.88599999999997</v>
      </c>
      <c r="AI285" s="21">
        <v>-1.1239600000000001E-2</v>
      </c>
      <c r="AJ285" s="21">
        <v>275</v>
      </c>
      <c r="AK285" s="21">
        <v>1.2841800000000001</v>
      </c>
      <c r="AL285">
        <f t="shared" si="54"/>
        <v>11.239600000000001</v>
      </c>
      <c r="AM285">
        <f t="shared" si="55"/>
        <v>14.440525684000002</v>
      </c>
      <c r="AP285" s="9"/>
      <c r="AQ285" s="21">
        <v>0.41519200000000001</v>
      </c>
      <c r="AR285" s="21">
        <v>674.57500000000005</v>
      </c>
      <c r="AS285" s="21">
        <v>-1.20453E-2</v>
      </c>
      <c r="AT285" s="21">
        <v>275</v>
      </c>
      <c r="AU285" s="21">
        <v>0.414856</v>
      </c>
      <c r="AV285">
        <f t="shared" si="56"/>
        <v>12.045299999999999</v>
      </c>
      <c r="AW285">
        <f t="shared" si="57"/>
        <v>5.0011121975999995</v>
      </c>
      <c r="AX285" s="9"/>
      <c r="AY285" s="21">
        <v>1.2847900000000001</v>
      </c>
      <c r="AZ285" s="21">
        <v>764.67</v>
      </c>
      <c r="BA285" s="21">
        <v>-1.13708E-2</v>
      </c>
      <c r="BB285" s="21">
        <v>275</v>
      </c>
      <c r="BC285" s="21">
        <v>1.2838700000000001</v>
      </c>
      <c r="BD285">
        <f t="shared" si="58"/>
        <v>11.370800000000001</v>
      </c>
      <c r="BE285">
        <f t="shared" si="59"/>
        <v>14.609090132000002</v>
      </c>
    </row>
    <row r="286" spans="6:101" x14ac:dyDescent="0.25">
      <c r="F286" s="9"/>
      <c r="G286" s="21">
        <v>0.41015600000000002</v>
      </c>
      <c r="H286" s="21">
        <v>171.16</v>
      </c>
      <c r="I286" s="21">
        <v>-1.1837800000000001E-2</v>
      </c>
      <c r="J286" s="21">
        <v>276</v>
      </c>
      <c r="K286" s="21">
        <v>0.409912</v>
      </c>
      <c r="L286">
        <f t="shared" si="48"/>
        <v>11.837800000000001</v>
      </c>
      <c r="M286">
        <f t="shared" si="49"/>
        <v>4.8553446968000005</v>
      </c>
      <c r="N286" s="9"/>
      <c r="O286" s="21">
        <v>1.28983</v>
      </c>
      <c r="P286" s="21">
        <v>255.14400000000001</v>
      </c>
      <c r="Q286" s="21">
        <v>-1.1019899999999999E-2</v>
      </c>
      <c r="R286" s="21">
        <v>276</v>
      </c>
      <c r="S286" s="21">
        <v>1.2890600000000001</v>
      </c>
      <c r="T286">
        <f t="shared" si="50"/>
        <v>11.0199</v>
      </c>
      <c r="U286">
        <f t="shared" si="51"/>
        <v>14.213797617000001</v>
      </c>
      <c r="X286" s="9"/>
      <c r="Y286" s="21">
        <v>0.41015600000000002</v>
      </c>
      <c r="Z286" s="21">
        <v>461.31200000000001</v>
      </c>
      <c r="AA286" s="21">
        <v>-1.1694299999999999E-2</v>
      </c>
      <c r="AB286" s="21">
        <v>276</v>
      </c>
      <c r="AC286" s="21">
        <v>0.409912</v>
      </c>
      <c r="AD286">
        <f t="shared" si="52"/>
        <v>11.6943</v>
      </c>
      <c r="AE286">
        <f t="shared" si="53"/>
        <v>4.7964873107999999</v>
      </c>
      <c r="AF286" s="9"/>
      <c r="AG286" s="21">
        <v>1.28983</v>
      </c>
      <c r="AH286" s="21">
        <v>517.98699999999997</v>
      </c>
      <c r="AI286" s="21">
        <v>-1.12335E-2</v>
      </c>
      <c r="AJ286" s="21">
        <v>276</v>
      </c>
      <c r="AK286" s="21">
        <v>1.2887599999999999</v>
      </c>
      <c r="AL286">
        <f t="shared" si="54"/>
        <v>11.233500000000001</v>
      </c>
      <c r="AM286">
        <f t="shared" si="55"/>
        <v>14.489305305000002</v>
      </c>
      <c r="AP286" s="9"/>
      <c r="AQ286" s="21">
        <v>0.41015600000000002</v>
      </c>
      <c r="AR286" s="21">
        <v>674.67600000000004</v>
      </c>
      <c r="AS286" s="21">
        <v>-1.20544E-2</v>
      </c>
      <c r="AT286" s="21">
        <v>276</v>
      </c>
      <c r="AU286" s="21">
        <v>0.40982099999999999</v>
      </c>
      <c r="AV286">
        <f t="shared" si="56"/>
        <v>12.054399999999999</v>
      </c>
      <c r="AW286">
        <f t="shared" si="57"/>
        <v>4.9441844864000002</v>
      </c>
      <c r="AX286" s="9"/>
      <c r="AY286" s="21">
        <v>1.28983</v>
      </c>
      <c r="AZ286" s="21">
        <v>764.77099999999996</v>
      </c>
      <c r="BA286" s="21">
        <v>-1.1361700000000001E-2</v>
      </c>
      <c r="BB286" s="21">
        <v>276</v>
      </c>
      <c r="BC286" s="21">
        <v>1.2890600000000001</v>
      </c>
      <c r="BD286">
        <f t="shared" si="58"/>
        <v>11.361700000000001</v>
      </c>
      <c r="BE286">
        <f t="shared" si="59"/>
        <v>14.654661511000002</v>
      </c>
    </row>
    <row r="287" spans="6:101" x14ac:dyDescent="0.25">
      <c r="F287" s="9"/>
      <c r="G287" s="21">
        <v>0.40512100000000001</v>
      </c>
      <c r="H287" s="21">
        <v>171.261</v>
      </c>
      <c r="I287" s="21">
        <v>-1.1865199999999999E-2</v>
      </c>
      <c r="J287" s="21">
        <v>277</v>
      </c>
      <c r="K287" s="21">
        <v>0.40481600000000001</v>
      </c>
      <c r="L287">
        <f t="shared" si="48"/>
        <v>11.8652</v>
      </c>
      <c r="M287">
        <f t="shared" si="49"/>
        <v>4.8068416891999997</v>
      </c>
      <c r="N287" s="9"/>
      <c r="O287" s="21">
        <v>1.2948599999999999</v>
      </c>
      <c r="P287" s="21">
        <v>255.245</v>
      </c>
      <c r="Q287" s="21">
        <v>-1.1013800000000001E-2</v>
      </c>
      <c r="R287" s="21">
        <v>277</v>
      </c>
      <c r="S287" s="21">
        <v>1.2942499999999999</v>
      </c>
      <c r="T287">
        <f t="shared" si="50"/>
        <v>11.0138</v>
      </c>
      <c r="U287">
        <f t="shared" si="51"/>
        <v>14.261329067999998</v>
      </c>
      <c r="X287" s="9"/>
      <c r="Y287" s="21">
        <v>0.40512100000000001</v>
      </c>
      <c r="Z287" s="21">
        <v>461.41300000000001</v>
      </c>
      <c r="AA287" s="21">
        <v>-1.17004E-2</v>
      </c>
      <c r="AB287" s="21">
        <v>277</v>
      </c>
      <c r="AC287" s="21">
        <v>0.40502899999999997</v>
      </c>
      <c r="AD287">
        <f t="shared" si="52"/>
        <v>11.7004</v>
      </c>
      <c r="AE287">
        <f t="shared" si="53"/>
        <v>4.7400777484000001</v>
      </c>
      <c r="AF287" s="9"/>
      <c r="AG287" s="21">
        <v>1.2948599999999999</v>
      </c>
      <c r="AH287" s="21">
        <v>518.08799999999997</v>
      </c>
      <c r="AI287" s="21">
        <v>-1.12274E-2</v>
      </c>
      <c r="AJ287" s="21">
        <v>277</v>
      </c>
      <c r="AK287" s="21">
        <v>1.2936399999999999</v>
      </c>
      <c r="AL287">
        <f t="shared" si="54"/>
        <v>11.227399999999999</v>
      </c>
      <c r="AM287">
        <f t="shared" si="55"/>
        <v>14.537911163999999</v>
      </c>
      <c r="AP287" s="9"/>
      <c r="AQ287" s="21">
        <v>0.40512100000000001</v>
      </c>
      <c r="AR287" s="21">
        <v>674.77599999999995</v>
      </c>
      <c r="AS287" s="21">
        <v>-1.20544E-2</v>
      </c>
      <c r="AT287" s="21">
        <v>277</v>
      </c>
      <c r="AU287" s="21">
        <v>0.40484599999999998</v>
      </c>
      <c r="AV287">
        <f t="shared" si="56"/>
        <v>12.054399999999999</v>
      </c>
      <c r="AW287">
        <f t="shared" si="57"/>
        <v>4.8834905823999994</v>
      </c>
      <c r="AX287" s="9"/>
      <c r="AY287" s="21">
        <v>1.2948599999999999</v>
      </c>
      <c r="AZ287" s="21">
        <v>764.87199999999996</v>
      </c>
      <c r="BA287" s="21">
        <v>-1.13586E-2</v>
      </c>
      <c r="BB287" s="21">
        <v>277</v>
      </c>
      <c r="BC287" s="21">
        <v>1.2945599999999999</v>
      </c>
      <c r="BD287">
        <f t="shared" si="58"/>
        <v>11.358599999999999</v>
      </c>
      <c r="BE287">
        <f t="shared" si="59"/>
        <v>14.707796795999998</v>
      </c>
    </row>
    <row r="288" spans="6:101" x14ac:dyDescent="0.25">
      <c r="F288" s="9"/>
      <c r="G288" s="21">
        <v>0.40008500000000002</v>
      </c>
      <c r="H288" s="21">
        <v>171.36099999999999</v>
      </c>
      <c r="I288" s="21">
        <v>-1.18561E-2</v>
      </c>
      <c r="J288" s="21">
        <v>278</v>
      </c>
      <c r="K288" s="21">
        <v>0.39987200000000001</v>
      </c>
      <c r="L288">
        <f t="shared" si="48"/>
        <v>11.8561</v>
      </c>
      <c r="M288">
        <f t="shared" si="49"/>
        <v>4.7434477685000003</v>
      </c>
      <c r="N288" s="9"/>
      <c r="O288" s="21">
        <v>1.2999000000000001</v>
      </c>
      <c r="P288" s="21">
        <v>255.346</v>
      </c>
      <c r="Q288" s="21">
        <v>-1.10077E-2</v>
      </c>
      <c r="R288" s="21">
        <v>278</v>
      </c>
      <c r="S288" s="21">
        <v>1.2991299999999999</v>
      </c>
      <c r="T288">
        <f t="shared" si="50"/>
        <v>11.0077</v>
      </c>
      <c r="U288">
        <f t="shared" si="51"/>
        <v>14.308909230000001</v>
      </c>
      <c r="X288" s="9"/>
      <c r="Y288" s="21">
        <v>0.40008500000000002</v>
      </c>
      <c r="Z288" s="21">
        <v>461.51299999999998</v>
      </c>
      <c r="AA288" s="21">
        <v>-1.17035E-2</v>
      </c>
      <c r="AB288" s="21">
        <v>278</v>
      </c>
      <c r="AC288" s="21">
        <v>0.399841</v>
      </c>
      <c r="AD288">
        <f t="shared" si="52"/>
        <v>11.7035</v>
      </c>
      <c r="AE288">
        <f t="shared" si="53"/>
        <v>4.6823947975000006</v>
      </c>
      <c r="AF288" s="9"/>
      <c r="AG288" s="21">
        <v>1.2999000000000001</v>
      </c>
      <c r="AH288" s="21">
        <v>518.18799999999999</v>
      </c>
      <c r="AI288" s="21">
        <v>-1.12213E-2</v>
      </c>
      <c r="AJ288" s="21">
        <v>278</v>
      </c>
      <c r="AK288" s="21">
        <v>1.2991299999999999</v>
      </c>
      <c r="AL288">
        <f t="shared" si="54"/>
        <v>11.221299999999999</v>
      </c>
      <c r="AM288">
        <f t="shared" si="55"/>
        <v>14.58656787</v>
      </c>
      <c r="AP288" s="9"/>
      <c r="AQ288" s="21">
        <v>0.40008500000000002</v>
      </c>
      <c r="AR288" s="21">
        <v>674.87699999999995</v>
      </c>
      <c r="AS288" s="21">
        <v>-1.20483E-2</v>
      </c>
      <c r="AT288" s="21">
        <v>278</v>
      </c>
      <c r="AU288" s="21">
        <v>0.39971899999999999</v>
      </c>
      <c r="AV288">
        <f t="shared" si="56"/>
        <v>12.048299999999999</v>
      </c>
      <c r="AW288">
        <f t="shared" si="57"/>
        <v>4.8203441055000003</v>
      </c>
      <c r="AX288" s="9"/>
      <c r="AY288" s="21">
        <v>1.2999000000000001</v>
      </c>
      <c r="AZ288" s="21">
        <v>764.97299999999996</v>
      </c>
      <c r="BA288" s="21">
        <v>-1.13495E-2</v>
      </c>
      <c r="BB288" s="21">
        <v>278</v>
      </c>
      <c r="BC288" s="21">
        <v>1.2991299999999999</v>
      </c>
      <c r="BD288">
        <f t="shared" si="58"/>
        <v>11.349500000000001</v>
      </c>
      <c r="BE288">
        <f t="shared" si="59"/>
        <v>14.753215050000001</v>
      </c>
    </row>
    <row r="289" spans="6:57" x14ac:dyDescent="0.25">
      <c r="F289" s="9"/>
      <c r="G289" s="21">
        <v>0.39505000000000001</v>
      </c>
      <c r="H289" s="21">
        <v>171.46199999999999</v>
      </c>
      <c r="I289" s="21">
        <v>-1.1859099999999999E-2</v>
      </c>
      <c r="J289" s="21">
        <v>279</v>
      </c>
      <c r="K289" s="21">
        <v>0.39483600000000002</v>
      </c>
      <c r="L289">
        <f t="shared" si="48"/>
        <v>11.8591</v>
      </c>
      <c r="M289">
        <f t="shared" si="49"/>
        <v>4.684937455</v>
      </c>
      <c r="N289" s="9"/>
      <c r="O289" s="21">
        <v>1.3049299999999999</v>
      </c>
      <c r="P289" s="21">
        <v>255.446</v>
      </c>
      <c r="Q289" s="21">
        <v>-1.09955E-2</v>
      </c>
      <c r="R289" s="21">
        <v>279</v>
      </c>
      <c r="S289" s="21">
        <v>1.3043199999999999</v>
      </c>
      <c r="T289">
        <f t="shared" si="50"/>
        <v>10.9955</v>
      </c>
      <c r="U289">
        <f t="shared" si="51"/>
        <v>14.348357814999998</v>
      </c>
      <c r="X289" s="9"/>
      <c r="Y289" s="21">
        <v>0.39505000000000001</v>
      </c>
      <c r="Z289" s="21">
        <v>461.61399999999998</v>
      </c>
      <c r="AA289" s="21">
        <v>-1.17065E-2</v>
      </c>
      <c r="AB289" s="21">
        <v>279</v>
      </c>
      <c r="AC289" s="21">
        <v>0.39483600000000002</v>
      </c>
      <c r="AD289">
        <f t="shared" si="52"/>
        <v>11.7065</v>
      </c>
      <c r="AE289">
        <f t="shared" si="53"/>
        <v>4.6246528250000001</v>
      </c>
      <c r="AF289" s="9"/>
      <c r="AG289" s="21">
        <v>1.3049299999999999</v>
      </c>
      <c r="AH289" s="21">
        <v>518.28899999999999</v>
      </c>
      <c r="AI289" s="21">
        <v>-1.12183E-2</v>
      </c>
      <c r="AJ289" s="21">
        <v>279</v>
      </c>
      <c r="AK289" s="21">
        <v>1.3043199999999999</v>
      </c>
      <c r="AL289">
        <f t="shared" si="54"/>
        <v>11.218300000000001</v>
      </c>
      <c r="AM289">
        <f t="shared" si="55"/>
        <v>14.639096219000001</v>
      </c>
      <c r="AP289" s="9"/>
      <c r="AQ289" s="21">
        <v>0.39505000000000001</v>
      </c>
      <c r="AR289" s="21">
        <v>674.97799999999995</v>
      </c>
      <c r="AS289" s="21">
        <v>-1.20514E-2</v>
      </c>
      <c r="AT289" s="21">
        <v>279</v>
      </c>
      <c r="AU289" s="21">
        <v>0.39477499999999999</v>
      </c>
      <c r="AV289">
        <f t="shared" si="56"/>
        <v>12.051400000000001</v>
      </c>
      <c r="AW289">
        <f t="shared" si="57"/>
        <v>4.7609055700000003</v>
      </c>
      <c r="AX289" s="9"/>
      <c r="AY289" s="21">
        <v>1.3049299999999999</v>
      </c>
      <c r="AZ289" s="21">
        <v>765.07299999999998</v>
      </c>
      <c r="BA289" s="21">
        <v>-1.13434E-2</v>
      </c>
      <c r="BB289" s="21">
        <v>279</v>
      </c>
      <c r="BC289" s="21">
        <v>1.30402</v>
      </c>
      <c r="BD289">
        <f t="shared" si="58"/>
        <v>11.343400000000001</v>
      </c>
      <c r="BE289">
        <f t="shared" si="59"/>
        <v>14.802342962000001</v>
      </c>
    </row>
    <row r="290" spans="6:57" x14ac:dyDescent="0.25">
      <c r="F290" s="9"/>
      <c r="G290" s="21">
        <v>0.390015</v>
      </c>
      <c r="H290" s="21">
        <v>171.56299999999999</v>
      </c>
      <c r="I290" s="21">
        <v>-1.1865199999999999E-2</v>
      </c>
      <c r="J290" s="21">
        <v>280</v>
      </c>
      <c r="K290" s="21">
        <v>0.38977099999999998</v>
      </c>
      <c r="L290">
        <f t="shared" si="48"/>
        <v>11.8652</v>
      </c>
      <c r="M290">
        <f t="shared" si="49"/>
        <v>4.6276059780000001</v>
      </c>
      <c r="N290" s="9"/>
      <c r="O290" s="21">
        <v>1.3099700000000001</v>
      </c>
      <c r="P290" s="21">
        <v>255.547</v>
      </c>
      <c r="Q290" s="21">
        <v>-1.0992399999999999E-2</v>
      </c>
      <c r="R290" s="21">
        <v>280</v>
      </c>
      <c r="S290" s="21">
        <v>1.3091999999999999</v>
      </c>
      <c r="T290">
        <f t="shared" si="50"/>
        <v>10.9924</v>
      </c>
      <c r="U290">
        <f t="shared" si="51"/>
        <v>14.399714228000001</v>
      </c>
      <c r="X290" s="9"/>
      <c r="Y290" s="21">
        <v>0.390015</v>
      </c>
      <c r="Z290" s="21">
        <v>461.71499999999997</v>
      </c>
      <c r="AA290" s="21">
        <v>-1.17126E-2</v>
      </c>
      <c r="AB290" s="21">
        <v>280</v>
      </c>
      <c r="AC290" s="21">
        <v>0.38970900000000003</v>
      </c>
      <c r="AD290">
        <f t="shared" si="52"/>
        <v>11.7126</v>
      </c>
      <c r="AE290">
        <f t="shared" si="53"/>
        <v>4.5680896889999998</v>
      </c>
      <c r="AF290" s="9"/>
      <c r="AG290" s="21">
        <v>1.3099700000000001</v>
      </c>
      <c r="AH290" s="21">
        <v>518.39</v>
      </c>
      <c r="AI290" s="21">
        <v>-1.12122E-2</v>
      </c>
      <c r="AJ290" s="21">
        <v>280</v>
      </c>
      <c r="AK290" s="21">
        <v>1.3091999999999999</v>
      </c>
      <c r="AL290">
        <f t="shared" si="54"/>
        <v>11.212200000000001</v>
      </c>
      <c r="AM290">
        <f t="shared" si="55"/>
        <v>14.687645634000003</v>
      </c>
      <c r="AP290" s="9"/>
      <c r="AQ290" s="21">
        <v>0.390015</v>
      </c>
      <c r="AR290" s="21">
        <v>675.07799999999997</v>
      </c>
      <c r="AS290" s="21">
        <v>-1.2057500000000001E-2</v>
      </c>
      <c r="AT290" s="21">
        <v>280</v>
      </c>
      <c r="AU290" s="21">
        <v>0.38983200000000001</v>
      </c>
      <c r="AV290">
        <f t="shared" si="56"/>
        <v>12.057500000000001</v>
      </c>
      <c r="AW290">
        <f t="shared" si="57"/>
        <v>4.7026058625000005</v>
      </c>
      <c r="AX290" s="9"/>
      <c r="AY290" s="21">
        <v>1.3099700000000001</v>
      </c>
      <c r="AZ290" s="21">
        <v>765.17399999999998</v>
      </c>
      <c r="BA290" s="21">
        <v>-1.1340299999999999E-2</v>
      </c>
      <c r="BB290" s="21">
        <v>280</v>
      </c>
      <c r="BC290" s="21">
        <v>1.30951</v>
      </c>
      <c r="BD290">
        <f t="shared" si="58"/>
        <v>11.340299999999999</v>
      </c>
      <c r="BE290">
        <f t="shared" si="59"/>
        <v>14.855452790999999</v>
      </c>
    </row>
    <row r="291" spans="6:57" x14ac:dyDescent="0.25">
      <c r="F291" s="9"/>
      <c r="G291" s="21">
        <v>0.38497900000000002</v>
      </c>
      <c r="H291" s="21">
        <v>171.66300000000001</v>
      </c>
      <c r="I291" s="21">
        <v>-1.18744E-2</v>
      </c>
      <c r="J291" s="21">
        <v>281</v>
      </c>
      <c r="K291" s="21">
        <v>0.38473499999999999</v>
      </c>
      <c r="L291">
        <f t="shared" si="48"/>
        <v>11.8744</v>
      </c>
      <c r="M291">
        <f t="shared" si="49"/>
        <v>4.5713946376000001</v>
      </c>
      <c r="N291" s="9"/>
      <c r="O291" s="21">
        <v>1.3149999999999999</v>
      </c>
      <c r="P291" s="21">
        <v>255.648</v>
      </c>
      <c r="Q291" s="21">
        <v>-1.0980200000000001E-2</v>
      </c>
      <c r="R291" s="21">
        <v>281</v>
      </c>
      <c r="S291" s="21">
        <v>1.31409</v>
      </c>
      <c r="T291">
        <f t="shared" si="50"/>
        <v>10.9802</v>
      </c>
      <c r="U291">
        <f t="shared" si="51"/>
        <v>14.438962999999999</v>
      </c>
      <c r="X291" s="9"/>
      <c r="Y291" s="21">
        <v>0.38497900000000002</v>
      </c>
      <c r="Z291" s="21">
        <v>461.815</v>
      </c>
      <c r="AA291" s="21">
        <v>-1.1721799999999999E-2</v>
      </c>
      <c r="AB291" s="21">
        <v>281</v>
      </c>
      <c r="AC291" s="21">
        <v>0.38470500000000002</v>
      </c>
      <c r="AD291">
        <f t="shared" si="52"/>
        <v>11.7218</v>
      </c>
      <c r="AE291">
        <f t="shared" si="53"/>
        <v>4.5126468422000006</v>
      </c>
      <c r="AF291" s="9"/>
      <c r="AG291" s="21">
        <v>1.3149999999999999</v>
      </c>
      <c r="AH291" s="21">
        <v>518.49</v>
      </c>
      <c r="AI291" s="21">
        <v>-1.12091E-2</v>
      </c>
      <c r="AJ291" s="21">
        <v>281</v>
      </c>
      <c r="AK291" s="21">
        <v>1.3143899999999999</v>
      </c>
      <c r="AL291">
        <f t="shared" si="54"/>
        <v>11.209099999999999</v>
      </c>
      <c r="AM291">
        <f t="shared" si="55"/>
        <v>14.739966499999998</v>
      </c>
      <c r="AP291" s="9"/>
      <c r="AQ291" s="21">
        <v>0.38497900000000002</v>
      </c>
      <c r="AR291" s="21">
        <v>675.17899999999997</v>
      </c>
      <c r="AS291" s="21">
        <v>-1.2063600000000001E-2</v>
      </c>
      <c r="AT291" s="21">
        <v>281</v>
      </c>
      <c r="AU291" s="21">
        <v>0.38461299999999998</v>
      </c>
      <c r="AV291">
        <f t="shared" si="56"/>
        <v>12.063600000000001</v>
      </c>
      <c r="AW291">
        <f t="shared" si="57"/>
        <v>4.6442326644000005</v>
      </c>
      <c r="AX291" s="9"/>
      <c r="AY291" s="21">
        <v>1.3149999999999999</v>
      </c>
      <c r="AZ291" s="21">
        <v>765.27499999999998</v>
      </c>
      <c r="BA291" s="21">
        <v>-1.1328100000000001E-2</v>
      </c>
      <c r="BB291" s="21">
        <v>281</v>
      </c>
      <c r="BC291" s="21">
        <v>1.3147</v>
      </c>
      <c r="BD291">
        <f t="shared" si="58"/>
        <v>11.328100000000001</v>
      </c>
      <c r="BE291">
        <f t="shared" si="59"/>
        <v>14.896451500000001</v>
      </c>
    </row>
    <row r="292" spans="6:57" x14ac:dyDescent="0.25">
      <c r="F292" s="9"/>
      <c r="G292" s="21">
        <v>0.379944</v>
      </c>
      <c r="H292" s="21">
        <v>171.76400000000001</v>
      </c>
      <c r="I292" s="21">
        <v>-1.18744E-2</v>
      </c>
      <c r="J292" s="21">
        <v>282</v>
      </c>
      <c r="K292" s="21">
        <v>0.37976100000000002</v>
      </c>
      <c r="L292">
        <f t="shared" si="48"/>
        <v>11.8744</v>
      </c>
      <c r="M292">
        <f t="shared" si="49"/>
        <v>4.5116070335999998</v>
      </c>
      <c r="N292" s="9"/>
      <c r="O292" s="21">
        <v>1.3200400000000001</v>
      </c>
      <c r="P292" s="21">
        <v>255.749</v>
      </c>
      <c r="Q292" s="21">
        <v>-1.0977199999999999E-2</v>
      </c>
      <c r="R292" s="21">
        <v>282</v>
      </c>
      <c r="S292" s="21">
        <v>1.31897</v>
      </c>
      <c r="T292">
        <f t="shared" si="50"/>
        <v>10.9772</v>
      </c>
      <c r="U292">
        <f t="shared" si="51"/>
        <v>14.490343088000001</v>
      </c>
      <c r="X292" s="9"/>
      <c r="Y292" s="21">
        <v>0.379944</v>
      </c>
      <c r="Z292" s="21">
        <v>461.916</v>
      </c>
      <c r="AA292" s="21">
        <v>-1.1731E-2</v>
      </c>
      <c r="AB292" s="21">
        <v>282</v>
      </c>
      <c r="AC292" s="21">
        <v>0.37969999999999998</v>
      </c>
      <c r="AD292">
        <f t="shared" si="52"/>
        <v>11.731</v>
      </c>
      <c r="AE292">
        <f t="shared" si="53"/>
        <v>4.4571230640000001</v>
      </c>
      <c r="AF292" s="9"/>
      <c r="AG292" s="21">
        <v>1.3200400000000001</v>
      </c>
      <c r="AH292" s="21">
        <v>518.59100000000001</v>
      </c>
      <c r="AI292" s="21">
        <v>-1.1202999999999999E-2</v>
      </c>
      <c r="AJ292" s="21">
        <v>282</v>
      </c>
      <c r="AK292" s="21">
        <v>1.31958</v>
      </c>
      <c r="AL292">
        <f t="shared" si="54"/>
        <v>11.202999999999999</v>
      </c>
      <c r="AM292">
        <f t="shared" si="55"/>
        <v>14.78840812</v>
      </c>
      <c r="AP292" s="9"/>
      <c r="AQ292" s="21">
        <v>0.379944</v>
      </c>
      <c r="AR292" s="21">
        <v>675.28</v>
      </c>
      <c r="AS292" s="21">
        <v>-1.2063600000000001E-2</v>
      </c>
      <c r="AT292" s="21">
        <v>282</v>
      </c>
      <c r="AU292" s="21">
        <v>0.37976100000000002</v>
      </c>
      <c r="AV292">
        <f t="shared" si="56"/>
        <v>12.063600000000001</v>
      </c>
      <c r="AW292">
        <f t="shared" si="57"/>
        <v>4.5834924384000004</v>
      </c>
      <c r="AX292" s="9"/>
      <c r="AY292" s="21">
        <v>1.3200400000000001</v>
      </c>
      <c r="AZ292" s="21">
        <v>765.375</v>
      </c>
      <c r="BA292" s="21">
        <v>-1.13312E-2</v>
      </c>
      <c r="BB292" s="21">
        <v>282</v>
      </c>
      <c r="BC292" s="21">
        <v>1.31989</v>
      </c>
      <c r="BD292">
        <f t="shared" si="58"/>
        <v>11.331199999999999</v>
      </c>
      <c r="BE292">
        <f t="shared" si="59"/>
        <v>14.957637247999999</v>
      </c>
    </row>
    <row r="293" spans="6:57" x14ac:dyDescent="0.25">
      <c r="F293" s="9"/>
      <c r="G293" s="21">
        <v>0.37490800000000002</v>
      </c>
      <c r="H293" s="21">
        <v>171.86500000000001</v>
      </c>
      <c r="I293" s="21">
        <v>-1.18774E-2</v>
      </c>
      <c r="J293" s="21">
        <v>283</v>
      </c>
      <c r="K293" s="21">
        <v>0.37463400000000002</v>
      </c>
      <c r="L293">
        <f t="shared" si="48"/>
        <v>11.8774</v>
      </c>
      <c r="M293">
        <f t="shared" si="49"/>
        <v>4.4529322792000006</v>
      </c>
      <c r="N293" s="9"/>
      <c r="O293" s="21">
        <v>1.32507</v>
      </c>
      <c r="P293" s="21">
        <v>255.84899999999999</v>
      </c>
      <c r="Q293" s="21">
        <v>-1.0971099999999999E-2</v>
      </c>
      <c r="R293" s="21">
        <v>283</v>
      </c>
      <c r="S293" s="21">
        <v>1.32416</v>
      </c>
      <c r="T293">
        <f t="shared" si="50"/>
        <v>10.9711</v>
      </c>
      <c r="U293">
        <f t="shared" si="51"/>
        <v>14.537475476999999</v>
      </c>
      <c r="X293" s="9"/>
      <c r="Y293" s="21">
        <v>0.37490800000000002</v>
      </c>
      <c r="Z293" s="21">
        <v>462.017</v>
      </c>
      <c r="AA293" s="21">
        <v>-1.1727899999999999E-2</v>
      </c>
      <c r="AB293" s="21">
        <v>283</v>
      </c>
      <c r="AC293" s="21">
        <v>0.37460300000000002</v>
      </c>
      <c r="AD293">
        <f t="shared" si="52"/>
        <v>11.7279</v>
      </c>
      <c r="AE293">
        <f t="shared" si="53"/>
        <v>4.3968835332000005</v>
      </c>
      <c r="AF293" s="9"/>
      <c r="AG293" s="21">
        <v>1.32507</v>
      </c>
      <c r="AH293" s="21">
        <v>518.69200000000001</v>
      </c>
      <c r="AI293" s="21">
        <v>-1.12E-2</v>
      </c>
      <c r="AJ293" s="21">
        <v>283</v>
      </c>
      <c r="AK293" s="21">
        <v>1.32446</v>
      </c>
      <c r="AL293">
        <f t="shared" si="54"/>
        <v>11.2</v>
      </c>
      <c r="AM293">
        <f t="shared" si="55"/>
        <v>14.840783999999999</v>
      </c>
      <c r="AP293" s="9"/>
      <c r="AQ293" s="21">
        <v>0.37490800000000002</v>
      </c>
      <c r="AR293" s="21">
        <v>675.38099999999997</v>
      </c>
      <c r="AS293" s="21">
        <v>-1.20667E-2</v>
      </c>
      <c r="AT293" s="21">
        <v>283</v>
      </c>
      <c r="AU293" s="21">
        <v>0.37460300000000002</v>
      </c>
      <c r="AV293">
        <f t="shared" si="56"/>
        <v>12.066699999999999</v>
      </c>
      <c r="AW293">
        <f t="shared" si="57"/>
        <v>4.5239023635999995</v>
      </c>
      <c r="AX293" s="9"/>
      <c r="AY293" s="21">
        <v>1.32507</v>
      </c>
      <c r="AZ293" s="21">
        <v>765.476</v>
      </c>
      <c r="BA293" s="21">
        <v>-1.1322E-2</v>
      </c>
      <c r="BB293" s="21">
        <v>283</v>
      </c>
      <c r="BC293" s="21">
        <v>1.32446</v>
      </c>
      <c r="BD293">
        <f t="shared" si="58"/>
        <v>11.322000000000001</v>
      </c>
      <c r="BE293">
        <f t="shared" si="59"/>
        <v>15.002442540000001</v>
      </c>
    </row>
    <row r="294" spans="6:57" x14ac:dyDescent="0.25">
      <c r="F294" s="9"/>
      <c r="G294" s="21">
        <v>0.36987300000000001</v>
      </c>
      <c r="H294" s="21">
        <v>171.96600000000001</v>
      </c>
      <c r="I294" s="21">
        <v>-1.18713E-2</v>
      </c>
      <c r="J294" s="21">
        <v>284</v>
      </c>
      <c r="K294" s="21">
        <v>0.36965900000000002</v>
      </c>
      <c r="L294">
        <f t="shared" si="48"/>
        <v>11.8713</v>
      </c>
      <c r="M294">
        <f t="shared" si="49"/>
        <v>4.3908733449000001</v>
      </c>
      <c r="N294" s="9"/>
      <c r="O294" s="21">
        <v>1.3301099999999999</v>
      </c>
      <c r="P294" s="21">
        <v>255.95</v>
      </c>
      <c r="Q294" s="21">
        <v>-1.0968E-2</v>
      </c>
      <c r="R294" s="21">
        <v>284</v>
      </c>
      <c r="S294" s="21">
        <v>1.32965</v>
      </c>
      <c r="T294">
        <f t="shared" si="50"/>
        <v>10.968</v>
      </c>
      <c r="U294">
        <f t="shared" si="51"/>
        <v>14.58864648</v>
      </c>
      <c r="X294" s="9"/>
      <c r="Y294" s="21">
        <v>0.36987300000000001</v>
      </c>
      <c r="Z294" s="21">
        <v>462.11799999999999</v>
      </c>
      <c r="AA294" s="21">
        <v>-1.1731E-2</v>
      </c>
      <c r="AB294" s="21">
        <v>284</v>
      </c>
      <c r="AC294" s="21">
        <v>0.36959799999999998</v>
      </c>
      <c r="AD294">
        <f t="shared" si="52"/>
        <v>11.731</v>
      </c>
      <c r="AE294">
        <f t="shared" si="53"/>
        <v>4.3389801630000004</v>
      </c>
      <c r="AF294" s="9"/>
      <c r="AG294" s="21">
        <v>1.3301099999999999</v>
      </c>
      <c r="AH294" s="21">
        <v>518.79300000000001</v>
      </c>
      <c r="AI294" s="21">
        <v>-1.1196899999999999E-2</v>
      </c>
      <c r="AJ294" s="21">
        <v>284</v>
      </c>
      <c r="AK294" s="21">
        <v>1.32965</v>
      </c>
      <c r="AL294">
        <f t="shared" si="54"/>
        <v>11.196899999999999</v>
      </c>
      <c r="AM294">
        <f t="shared" si="55"/>
        <v>14.893108658999997</v>
      </c>
      <c r="AP294" s="9"/>
      <c r="AQ294" s="21">
        <v>0.36987300000000001</v>
      </c>
      <c r="AR294" s="21">
        <v>675.48099999999999</v>
      </c>
      <c r="AS294" s="21">
        <v>-1.2069699999999999E-2</v>
      </c>
      <c r="AT294" s="21">
        <v>284</v>
      </c>
      <c r="AU294" s="21">
        <v>0.36956800000000001</v>
      </c>
      <c r="AV294">
        <f t="shared" si="56"/>
        <v>12.069699999999999</v>
      </c>
      <c r="AW294">
        <f t="shared" si="57"/>
        <v>4.4642561480999996</v>
      </c>
      <c r="AX294" s="9"/>
      <c r="AY294" s="21">
        <v>1.3301099999999999</v>
      </c>
      <c r="AZ294" s="21">
        <v>765.577</v>
      </c>
      <c r="BA294" s="21">
        <v>-1.13098E-2</v>
      </c>
      <c r="BB294" s="21">
        <v>284</v>
      </c>
      <c r="BC294" s="21">
        <v>1.32965</v>
      </c>
      <c r="BD294">
        <f t="shared" si="58"/>
        <v>11.309799999999999</v>
      </c>
      <c r="BE294">
        <f t="shared" si="59"/>
        <v>15.043278077999998</v>
      </c>
    </row>
    <row r="295" spans="6:57" x14ac:dyDescent="0.25">
      <c r="F295" s="9"/>
      <c r="G295" s="21">
        <v>0.364838</v>
      </c>
      <c r="H295" s="21">
        <v>172.066</v>
      </c>
      <c r="I295" s="21">
        <v>-1.18835E-2</v>
      </c>
      <c r="J295" s="21">
        <v>285</v>
      </c>
      <c r="K295" s="21">
        <v>0.36456300000000003</v>
      </c>
      <c r="L295">
        <f t="shared" si="48"/>
        <v>11.8835</v>
      </c>
      <c r="M295">
        <f t="shared" si="49"/>
        <v>4.3355523729999996</v>
      </c>
      <c r="N295" s="9"/>
      <c r="O295" s="21">
        <v>1.33514</v>
      </c>
      <c r="P295" s="21">
        <v>256.05099999999999</v>
      </c>
      <c r="Q295" s="21">
        <v>-1.0958900000000001E-2</v>
      </c>
      <c r="R295" s="21">
        <v>285</v>
      </c>
      <c r="S295" s="21">
        <v>1.33514</v>
      </c>
      <c r="T295">
        <f t="shared" si="50"/>
        <v>10.9589</v>
      </c>
      <c r="U295">
        <f t="shared" si="51"/>
        <v>14.631665745999999</v>
      </c>
      <c r="X295" s="9"/>
      <c r="Y295" s="21">
        <v>0.364838</v>
      </c>
      <c r="Z295" s="21">
        <v>462.21800000000002</v>
      </c>
      <c r="AA295" s="21">
        <v>-1.1727899999999999E-2</v>
      </c>
      <c r="AB295" s="21">
        <v>285</v>
      </c>
      <c r="AC295" s="21">
        <v>0.36459399999999997</v>
      </c>
      <c r="AD295">
        <f t="shared" si="52"/>
        <v>11.7279</v>
      </c>
      <c r="AE295">
        <f t="shared" si="53"/>
        <v>4.2787835801999998</v>
      </c>
      <c r="AF295" s="9"/>
      <c r="AG295" s="21">
        <v>1.33514</v>
      </c>
      <c r="AH295" s="21">
        <v>518.89300000000003</v>
      </c>
      <c r="AI295" s="21">
        <v>-1.1196899999999999E-2</v>
      </c>
      <c r="AJ295" s="21">
        <v>285</v>
      </c>
      <c r="AK295" s="21">
        <v>1.33484</v>
      </c>
      <c r="AL295">
        <f t="shared" si="54"/>
        <v>11.196899999999999</v>
      </c>
      <c r="AM295">
        <f t="shared" si="55"/>
        <v>14.949429065999999</v>
      </c>
      <c r="AP295" s="9"/>
      <c r="AQ295" s="21">
        <v>0.364838</v>
      </c>
      <c r="AR295" s="21">
        <v>675.58199999999999</v>
      </c>
      <c r="AS295" s="21">
        <v>-1.2069699999999999E-2</v>
      </c>
      <c r="AT295" s="21">
        <v>285</v>
      </c>
      <c r="AU295" s="21">
        <v>0.36453200000000002</v>
      </c>
      <c r="AV295">
        <f t="shared" si="56"/>
        <v>12.069699999999999</v>
      </c>
      <c r="AW295">
        <f t="shared" si="57"/>
        <v>4.4034852085999994</v>
      </c>
      <c r="AX295" s="9"/>
      <c r="AY295" s="21">
        <v>1.33514</v>
      </c>
      <c r="AZ295" s="21">
        <v>765.67700000000002</v>
      </c>
      <c r="BA295" s="21">
        <v>-1.13037E-2</v>
      </c>
      <c r="BB295" s="21">
        <v>285</v>
      </c>
      <c r="BC295" s="21">
        <v>1.33423</v>
      </c>
      <c r="BD295">
        <f t="shared" si="58"/>
        <v>11.303699999999999</v>
      </c>
      <c r="BE295">
        <f t="shared" si="59"/>
        <v>15.092022017999998</v>
      </c>
    </row>
    <row r="296" spans="6:57" x14ac:dyDescent="0.25">
      <c r="F296" s="9"/>
      <c r="G296" s="21">
        <v>0.35980200000000001</v>
      </c>
      <c r="H296" s="21">
        <v>172.167</v>
      </c>
      <c r="I296" s="21">
        <v>-1.1886600000000001E-2</v>
      </c>
      <c r="J296" s="21">
        <v>286</v>
      </c>
      <c r="K296" s="21">
        <v>0.35952800000000001</v>
      </c>
      <c r="L296">
        <f t="shared" si="48"/>
        <v>11.886600000000001</v>
      </c>
      <c r="M296">
        <f t="shared" si="49"/>
        <v>4.2768224532000003</v>
      </c>
      <c r="N296" s="9"/>
      <c r="O296" s="21">
        <v>1.3401799999999999</v>
      </c>
      <c r="P296" s="21">
        <v>256.15100000000001</v>
      </c>
      <c r="Q296" s="21">
        <v>-1.09558E-2</v>
      </c>
      <c r="R296" s="21">
        <v>286</v>
      </c>
      <c r="S296" s="21">
        <v>1.3394200000000001</v>
      </c>
      <c r="T296">
        <f t="shared" si="50"/>
        <v>10.9558</v>
      </c>
      <c r="U296">
        <f t="shared" si="51"/>
        <v>14.682744044</v>
      </c>
      <c r="X296" s="9"/>
      <c r="Y296" s="21">
        <v>0.35980200000000001</v>
      </c>
      <c r="Z296" s="21">
        <v>462.31900000000002</v>
      </c>
      <c r="AA296" s="21">
        <v>-1.1734E-2</v>
      </c>
      <c r="AB296" s="21">
        <v>286</v>
      </c>
      <c r="AC296" s="21">
        <v>0.35958899999999999</v>
      </c>
      <c r="AD296">
        <f t="shared" si="52"/>
        <v>11.734</v>
      </c>
      <c r="AE296">
        <f t="shared" si="53"/>
        <v>4.2219166680000004</v>
      </c>
      <c r="AF296" s="9"/>
      <c r="AG296" s="21">
        <v>1.3401799999999999</v>
      </c>
      <c r="AH296" s="21">
        <v>518.99400000000003</v>
      </c>
      <c r="AI296" s="21">
        <v>-1.11877E-2</v>
      </c>
      <c r="AJ296" s="21">
        <v>286</v>
      </c>
      <c r="AK296" s="21">
        <v>1.3400300000000001</v>
      </c>
      <c r="AL296">
        <f t="shared" si="54"/>
        <v>11.1877</v>
      </c>
      <c r="AM296">
        <f t="shared" si="55"/>
        <v>14.993531785999998</v>
      </c>
      <c r="AP296" s="9"/>
      <c r="AQ296" s="21">
        <v>0.35980200000000001</v>
      </c>
      <c r="AR296" s="21">
        <v>675.68299999999999</v>
      </c>
      <c r="AS296" s="21">
        <v>-1.2075799999999999E-2</v>
      </c>
      <c r="AT296" s="21">
        <v>286</v>
      </c>
      <c r="AU296" s="21">
        <v>0.35946699999999998</v>
      </c>
      <c r="AV296">
        <f t="shared" si="56"/>
        <v>12.075799999999999</v>
      </c>
      <c r="AW296">
        <f t="shared" si="57"/>
        <v>4.3448969915999998</v>
      </c>
      <c r="AX296" s="9"/>
      <c r="AY296" s="21">
        <v>1.3401799999999999</v>
      </c>
      <c r="AZ296" s="21">
        <v>765.77800000000002</v>
      </c>
      <c r="BA296" s="21">
        <v>-1.13007E-2</v>
      </c>
      <c r="BB296" s="21">
        <v>286</v>
      </c>
      <c r="BC296" s="21">
        <v>1.3394200000000001</v>
      </c>
      <c r="BD296">
        <f t="shared" si="58"/>
        <v>11.300700000000001</v>
      </c>
      <c r="BE296">
        <f t="shared" si="59"/>
        <v>15.144972126000001</v>
      </c>
    </row>
    <row r="297" spans="6:57" x14ac:dyDescent="0.25">
      <c r="F297" s="9"/>
      <c r="G297" s="21">
        <v>0.354767</v>
      </c>
      <c r="H297" s="21">
        <v>172.268</v>
      </c>
      <c r="I297" s="21">
        <v>-1.18958E-2</v>
      </c>
      <c r="J297" s="21">
        <v>287</v>
      </c>
      <c r="K297" s="21">
        <v>0.35455300000000001</v>
      </c>
      <c r="L297">
        <f t="shared" si="48"/>
        <v>11.895799999999999</v>
      </c>
      <c r="M297">
        <f t="shared" si="49"/>
        <v>4.2202372786</v>
      </c>
      <c r="N297" s="9"/>
      <c r="O297" s="21">
        <v>1.34521</v>
      </c>
      <c r="P297" s="21">
        <v>256.25200000000001</v>
      </c>
      <c r="Q297" s="21">
        <v>-1.09467E-2</v>
      </c>
      <c r="R297" s="21">
        <v>287</v>
      </c>
      <c r="S297" s="21">
        <v>1.3443000000000001</v>
      </c>
      <c r="T297">
        <f t="shared" si="50"/>
        <v>10.9467</v>
      </c>
      <c r="U297">
        <f t="shared" si="51"/>
        <v>14.725610307</v>
      </c>
      <c r="X297" s="9"/>
      <c r="Y297" s="21">
        <v>0.354767</v>
      </c>
      <c r="Z297" s="21">
        <v>462.42</v>
      </c>
      <c r="AA297" s="21">
        <v>-1.17523E-2</v>
      </c>
      <c r="AB297" s="21">
        <v>287</v>
      </c>
      <c r="AC297" s="21">
        <v>0.35452299999999998</v>
      </c>
      <c r="AD297">
        <f t="shared" si="52"/>
        <v>11.7523</v>
      </c>
      <c r="AE297">
        <f t="shared" si="53"/>
        <v>4.1693282141000001</v>
      </c>
      <c r="AF297" s="9"/>
      <c r="AG297" s="21">
        <v>1.34521</v>
      </c>
      <c r="AH297" s="21">
        <v>519.09500000000003</v>
      </c>
      <c r="AI297" s="21">
        <v>-1.11755E-2</v>
      </c>
      <c r="AJ297" s="21">
        <v>287</v>
      </c>
      <c r="AK297" s="21">
        <v>1.3446</v>
      </c>
      <c r="AL297">
        <f t="shared" si="54"/>
        <v>11.1755</v>
      </c>
      <c r="AM297">
        <f t="shared" si="55"/>
        <v>15.033394355</v>
      </c>
      <c r="AP297" s="9"/>
      <c r="AQ297" s="21">
        <v>0.354767</v>
      </c>
      <c r="AR297" s="21">
        <v>675.78300000000002</v>
      </c>
      <c r="AS297" s="21">
        <v>-1.20789E-2</v>
      </c>
      <c r="AT297" s="21">
        <v>287</v>
      </c>
      <c r="AU297" s="21">
        <v>0.35458400000000001</v>
      </c>
      <c r="AV297">
        <f t="shared" si="56"/>
        <v>12.078900000000001</v>
      </c>
      <c r="AW297">
        <f t="shared" si="57"/>
        <v>4.2851951163000006</v>
      </c>
      <c r="AX297" s="9"/>
      <c r="AY297" s="21">
        <v>1.34521</v>
      </c>
      <c r="AZ297" s="21">
        <v>765.87900000000002</v>
      </c>
      <c r="BA297" s="21">
        <v>-1.12946E-2</v>
      </c>
      <c r="BB297" s="21">
        <v>287</v>
      </c>
      <c r="BC297" s="21">
        <v>1.3446</v>
      </c>
      <c r="BD297">
        <f t="shared" si="58"/>
        <v>11.294600000000001</v>
      </c>
      <c r="BE297">
        <f t="shared" si="59"/>
        <v>15.193608866000002</v>
      </c>
    </row>
    <row r="298" spans="6:57" x14ac:dyDescent="0.25">
      <c r="F298" s="9"/>
      <c r="G298" s="21">
        <v>0.34973100000000001</v>
      </c>
      <c r="H298" s="21">
        <v>172.36799999999999</v>
      </c>
      <c r="I298" s="21">
        <v>-1.18896E-2</v>
      </c>
      <c r="J298" s="21">
        <v>288</v>
      </c>
      <c r="K298" s="21">
        <v>0.34945700000000002</v>
      </c>
      <c r="L298">
        <f t="shared" si="48"/>
        <v>11.8896</v>
      </c>
      <c r="M298">
        <f t="shared" si="49"/>
        <v>4.1581616975999998</v>
      </c>
      <c r="N298" s="9"/>
      <c r="O298" s="21">
        <v>1.35025</v>
      </c>
      <c r="P298" s="21">
        <v>256.35300000000001</v>
      </c>
      <c r="Q298" s="21">
        <v>-1.09344E-2</v>
      </c>
      <c r="R298" s="21">
        <v>288</v>
      </c>
      <c r="S298" s="21">
        <v>1.3494900000000001</v>
      </c>
      <c r="T298">
        <f t="shared" si="50"/>
        <v>10.9344</v>
      </c>
      <c r="U298">
        <f t="shared" si="51"/>
        <v>14.764173599999999</v>
      </c>
      <c r="X298" s="9"/>
      <c r="Y298" s="21">
        <v>0.34973100000000001</v>
      </c>
      <c r="Z298" s="21">
        <v>462.52</v>
      </c>
      <c r="AA298" s="21">
        <v>-1.17523E-2</v>
      </c>
      <c r="AB298" s="21">
        <v>288</v>
      </c>
      <c r="AC298" s="21">
        <v>0.349518</v>
      </c>
      <c r="AD298">
        <f t="shared" si="52"/>
        <v>11.7523</v>
      </c>
      <c r="AE298">
        <f t="shared" si="53"/>
        <v>4.1101436312999997</v>
      </c>
      <c r="AF298" s="9"/>
      <c r="AG298" s="21">
        <v>1.35025</v>
      </c>
      <c r="AH298" s="21">
        <v>519.19500000000005</v>
      </c>
      <c r="AI298" s="21">
        <v>-1.1169399999999999E-2</v>
      </c>
      <c r="AJ298" s="21">
        <v>288</v>
      </c>
      <c r="AK298" s="21">
        <v>1.3494900000000001</v>
      </c>
      <c r="AL298">
        <f t="shared" si="54"/>
        <v>11.1694</v>
      </c>
      <c r="AM298">
        <f t="shared" si="55"/>
        <v>15.081482349999998</v>
      </c>
      <c r="AP298" s="9"/>
      <c r="AQ298" s="21">
        <v>0.34973100000000001</v>
      </c>
      <c r="AR298" s="21">
        <v>675.88400000000001</v>
      </c>
      <c r="AS298" s="21">
        <v>-1.2085E-2</v>
      </c>
      <c r="AT298" s="21">
        <v>288</v>
      </c>
      <c r="AU298" s="21">
        <v>0.34954800000000003</v>
      </c>
      <c r="AV298">
        <f t="shared" si="56"/>
        <v>12.085000000000001</v>
      </c>
      <c r="AW298">
        <f t="shared" si="57"/>
        <v>4.2264991350000001</v>
      </c>
      <c r="AX298" s="9"/>
      <c r="AY298" s="21">
        <v>1.35025</v>
      </c>
      <c r="AZ298" s="21">
        <v>765.98</v>
      </c>
      <c r="BA298" s="21">
        <v>-1.12885E-2</v>
      </c>
      <c r="BB298" s="21">
        <v>288</v>
      </c>
      <c r="BC298" s="21">
        <v>1.3494900000000001</v>
      </c>
      <c r="BD298">
        <f t="shared" si="58"/>
        <v>11.288499999999999</v>
      </c>
      <c r="BE298">
        <f t="shared" si="59"/>
        <v>15.242297124999999</v>
      </c>
    </row>
    <row r="299" spans="6:57" x14ac:dyDescent="0.25">
      <c r="F299" s="9"/>
      <c r="G299" s="21">
        <v>0.344696</v>
      </c>
      <c r="H299" s="21">
        <v>172.46899999999999</v>
      </c>
      <c r="I299" s="21">
        <v>-1.1886600000000001E-2</v>
      </c>
      <c r="J299" s="21">
        <v>289</v>
      </c>
      <c r="K299" s="21">
        <v>0.34429900000000002</v>
      </c>
      <c r="L299">
        <f t="shared" si="48"/>
        <v>11.886600000000001</v>
      </c>
      <c r="M299">
        <f t="shared" si="49"/>
        <v>4.0972634736000009</v>
      </c>
      <c r="N299" s="9"/>
      <c r="O299" s="21">
        <v>1.3552900000000001</v>
      </c>
      <c r="P299" s="21">
        <v>256.45400000000001</v>
      </c>
      <c r="Q299" s="21">
        <v>-1.09283E-2</v>
      </c>
      <c r="R299" s="21">
        <v>289</v>
      </c>
      <c r="S299" s="21">
        <v>1.3546800000000001</v>
      </c>
      <c r="T299">
        <f t="shared" si="50"/>
        <v>10.9283</v>
      </c>
      <c r="U299">
        <f t="shared" si="51"/>
        <v>14.811015707000001</v>
      </c>
      <c r="X299" s="9"/>
      <c r="Y299" s="21">
        <v>0.344696</v>
      </c>
      <c r="Z299" s="21">
        <v>462.62099999999998</v>
      </c>
      <c r="AA299" s="21">
        <v>-1.1755399999999999E-2</v>
      </c>
      <c r="AB299" s="21">
        <v>289</v>
      </c>
      <c r="AC299" s="21">
        <v>0.34436</v>
      </c>
      <c r="AD299">
        <f t="shared" si="52"/>
        <v>11.7554</v>
      </c>
      <c r="AE299">
        <f t="shared" si="53"/>
        <v>4.0520393584000001</v>
      </c>
      <c r="AF299" s="9"/>
      <c r="AG299" s="21">
        <v>1.3552900000000001</v>
      </c>
      <c r="AH299" s="21">
        <v>519.29600000000005</v>
      </c>
      <c r="AI299" s="21">
        <v>-1.11603E-2</v>
      </c>
      <c r="AJ299" s="21">
        <v>289</v>
      </c>
      <c r="AK299" s="21">
        <v>1.3546800000000001</v>
      </c>
      <c r="AL299">
        <f t="shared" si="54"/>
        <v>11.160299999999999</v>
      </c>
      <c r="AM299">
        <f t="shared" si="55"/>
        <v>15.125442987</v>
      </c>
      <c r="AP299" s="9"/>
      <c r="AQ299" s="21">
        <v>0.344696</v>
      </c>
      <c r="AR299" s="21">
        <v>675.98500000000001</v>
      </c>
      <c r="AS299" s="21">
        <v>-1.2112400000000001E-2</v>
      </c>
      <c r="AT299" s="21">
        <v>289</v>
      </c>
      <c r="AU299" s="21">
        <v>0.34448200000000001</v>
      </c>
      <c r="AV299">
        <f t="shared" si="56"/>
        <v>12.112400000000001</v>
      </c>
      <c r="AW299">
        <f t="shared" si="57"/>
        <v>4.1750958304000001</v>
      </c>
      <c r="AX299" s="9"/>
      <c r="AY299" s="21">
        <v>1.3552900000000001</v>
      </c>
      <c r="AZ299" s="21">
        <v>766.08</v>
      </c>
      <c r="BA299" s="21">
        <v>-1.1285399999999999E-2</v>
      </c>
      <c r="BB299" s="21">
        <v>289</v>
      </c>
      <c r="BC299" s="21">
        <v>1.3546800000000001</v>
      </c>
      <c r="BD299">
        <f t="shared" si="58"/>
        <v>11.285399999999999</v>
      </c>
      <c r="BE299">
        <f t="shared" si="59"/>
        <v>15.294989766</v>
      </c>
    </row>
    <row r="300" spans="6:57" x14ac:dyDescent="0.25">
      <c r="F300" s="9"/>
      <c r="G300" s="21">
        <v>0.33966099999999999</v>
      </c>
      <c r="H300" s="21">
        <v>172.57</v>
      </c>
      <c r="I300" s="21">
        <v>-1.1898799999999999E-2</v>
      </c>
      <c r="J300" s="21">
        <v>290</v>
      </c>
      <c r="K300" s="21">
        <v>0.33938600000000002</v>
      </c>
      <c r="L300">
        <f t="shared" si="48"/>
        <v>11.8988</v>
      </c>
      <c r="M300">
        <f t="shared" si="49"/>
        <v>4.0415583067999998</v>
      </c>
      <c r="N300" s="9"/>
      <c r="O300" s="21">
        <v>1.36032</v>
      </c>
      <c r="P300" s="21">
        <v>256.55399999999997</v>
      </c>
      <c r="Q300" s="21">
        <v>-1.0925300000000001E-2</v>
      </c>
      <c r="R300" s="21">
        <v>290</v>
      </c>
      <c r="S300" s="21">
        <v>1.3595600000000001</v>
      </c>
      <c r="T300">
        <f t="shared" si="50"/>
        <v>10.9253</v>
      </c>
      <c r="U300">
        <f t="shared" si="51"/>
        <v>14.861904096</v>
      </c>
      <c r="X300" s="9"/>
      <c r="Y300" s="21">
        <v>0.33966099999999999</v>
      </c>
      <c r="Z300" s="21">
        <v>462.72199999999998</v>
      </c>
      <c r="AA300" s="21">
        <v>-1.17584E-2</v>
      </c>
      <c r="AB300" s="21">
        <v>290</v>
      </c>
      <c r="AC300" s="21">
        <v>0.33941700000000002</v>
      </c>
      <c r="AD300">
        <f t="shared" si="52"/>
        <v>11.7584</v>
      </c>
      <c r="AE300">
        <f t="shared" si="53"/>
        <v>3.9938699023999997</v>
      </c>
      <c r="AF300" s="9"/>
      <c r="AG300" s="21">
        <v>1.36032</v>
      </c>
      <c r="AH300" s="21">
        <v>519.39700000000005</v>
      </c>
      <c r="AI300" s="21">
        <v>-1.1157200000000001E-2</v>
      </c>
      <c r="AJ300" s="21">
        <v>290</v>
      </c>
      <c r="AK300" s="21">
        <v>1.3589500000000001</v>
      </c>
      <c r="AL300">
        <f t="shared" si="54"/>
        <v>11.157200000000001</v>
      </c>
      <c r="AM300">
        <f t="shared" si="55"/>
        <v>15.177362304000001</v>
      </c>
      <c r="AP300" s="9"/>
      <c r="AQ300" s="21">
        <v>0.33966099999999999</v>
      </c>
      <c r="AR300" s="21">
        <v>676.08500000000004</v>
      </c>
      <c r="AS300" s="21">
        <v>-1.21155E-2</v>
      </c>
      <c r="AT300" s="21">
        <v>290</v>
      </c>
      <c r="AU300" s="21">
        <v>0.33929399999999998</v>
      </c>
      <c r="AV300">
        <f t="shared" si="56"/>
        <v>12.115499999999999</v>
      </c>
      <c r="AW300">
        <f t="shared" si="57"/>
        <v>4.1151628454999996</v>
      </c>
      <c r="AX300" s="9"/>
      <c r="AY300" s="21">
        <v>1.36032</v>
      </c>
      <c r="AZ300" s="21">
        <v>766.18100000000004</v>
      </c>
      <c r="BA300" s="21">
        <v>-1.1285399999999999E-2</v>
      </c>
      <c r="BB300" s="21">
        <v>290</v>
      </c>
      <c r="BC300" s="21">
        <v>1.3592500000000001</v>
      </c>
      <c r="BD300">
        <f t="shared" si="58"/>
        <v>11.285399999999999</v>
      </c>
      <c r="BE300">
        <f t="shared" si="59"/>
        <v>15.351755327999999</v>
      </c>
    </row>
    <row r="301" spans="6:57" x14ac:dyDescent="0.25">
      <c r="F301" s="9"/>
      <c r="G301" s="21">
        <v>0.33462500000000001</v>
      </c>
      <c r="H301" s="21">
        <v>172.67099999999999</v>
      </c>
      <c r="I301" s="21">
        <v>-1.1892700000000001E-2</v>
      </c>
      <c r="J301" s="21">
        <v>291</v>
      </c>
      <c r="K301" s="21">
        <v>0.33435100000000001</v>
      </c>
      <c r="L301">
        <f t="shared" si="48"/>
        <v>11.892700000000001</v>
      </c>
      <c r="M301">
        <f t="shared" si="49"/>
        <v>3.9795947375000007</v>
      </c>
      <c r="N301" s="9"/>
      <c r="O301" s="21">
        <v>1.3653599999999999</v>
      </c>
      <c r="P301" s="21">
        <v>256.65499999999997</v>
      </c>
      <c r="Q301" s="21">
        <v>-1.09161E-2</v>
      </c>
      <c r="R301" s="21">
        <v>291</v>
      </c>
      <c r="S301" s="21">
        <v>1.3647499999999999</v>
      </c>
      <c r="T301">
        <f t="shared" si="50"/>
        <v>10.9161</v>
      </c>
      <c r="U301">
        <f t="shared" si="51"/>
        <v>14.904406295999999</v>
      </c>
      <c r="X301" s="9"/>
      <c r="Y301" s="21">
        <v>0.33462500000000001</v>
      </c>
      <c r="Z301" s="21">
        <v>462.82299999999998</v>
      </c>
      <c r="AA301" s="21">
        <v>-1.17584E-2</v>
      </c>
      <c r="AB301" s="21">
        <v>291</v>
      </c>
      <c r="AC301" s="21">
        <v>0.33435100000000001</v>
      </c>
      <c r="AD301">
        <f t="shared" si="52"/>
        <v>11.7584</v>
      </c>
      <c r="AE301">
        <f t="shared" si="53"/>
        <v>3.9346546</v>
      </c>
      <c r="AF301" s="9"/>
      <c r="AG301" s="21">
        <v>1.3653599999999999</v>
      </c>
      <c r="AH301" s="21">
        <v>519.49699999999996</v>
      </c>
      <c r="AI301" s="21">
        <v>-1.11542E-2</v>
      </c>
      <c r="AJ301" s="21">
        <v>291</v>
      </c>
      <c r="AK301" s="21">
        <v>1.3644400000000001</v>
      </c>
      <c r="AL301">
        <f t="shared" si="54"/>
        <v>11.154199999999999</v>
      </c>
      <c r="AM301">
        <f t="shared" si="55"/>
        <v>15.229498511999997</v>
      </c>
      <c r="AP301" s="9"/>
      <c r="AQ301" s="21">
        <v>0.33462500000000001</v>
      </c>
      <c r="AR301" s="21">
        <v>676.18600000000004</v>
      </c>
      <c r="AS301" s="21">
        <v>-1.21063E-2</v>
      </c>
      <c r="AT301" s="21">
        <v>291</v>
      </c>
      <c r="AU301" s="21">
        <v>0.33435100000000001</v>
      </c>
      <c r="AV301">
        <f t="shared" si="56"/>
        <v>12.106300000000001</v>
      </c>
      <c r="AW301">
        <f t="shared" si="57"/>
        <v>4.0510706375000005</v>
      </c>
      <c r="AX301" s="9"/>
      <c r="AY301" s="21">
        <v>1.3653599999999999</v>
      </c>
      <c r="AZ301" s="21">
        <v>766.28200000000004</v>
      </c>
      <c r="BA301" s="21">
        <v>-1.12762E-2</v>
      </c>
      <c r="BB301" s="21">
        <v>291</v>
      </c>
      <c r="BC301" s="21">
        <v>1.3647499999999999</v>
      </c>
      <c r="BD301">
        <f t="shared" si="58"/>
        <v>11.276199999999999</v>
      </c>
      <c r="BE301">
        <f t="shared" si="59"/>
        <v>15.396072431999999</v>
      </c>
    </row>
    <row r="302" spans="6:57" x14ac:dyDescent="0.25">
      <c r="F302" s="9"/>
      <c r="G302" s="21">
        <v>0.32958999999999999</v>
      </c>
      <c r="H302" s="21">
        <v>172.77099999999999</v>
      </c>
      <c r="I302" s="21">
        <v>-1.1908E-2</v>
      </c>
      <c r="J302" s="21">
        <v>292</v>
      </c>
      <c r="K302" s="21">
        <v>0.32934600000000003</v>
      </c>
      <c r="L302">
        <f t="shared" si="48"/>
        <v>11.907999999999999</v>
      </c>
      <c r="M302">
        <f t="shared" si="49"/>
        <v>3.9247577199999997</v>
      </c>
      <c r="N302" s="9"/>
      <c r="O302" s="21">
        <v>1.37039</v>
      </c>
      <c r="P302" s="21">
        <v>256.75599999999997</v>
      </c>
      <c r="Q302" s="21">
        <v>-1.09131E-2</v>
      </c>
      <c r="R302" s="21">
        <v>292</v>
      </c>
      <c r="S302" s="21">
        <v>1.3696299999999999</v>
      </c>
      <c r="T302">
        <f t="shared" si="50"/>
        <v>10.9131</v>
      </c>
      <c r="U302">
        <f t="shared" si="51"/>
        <v>14.955203108999999</v>
      </c>
      <c r="X302" s="9"/>
      <c r="Y302" s="21">
        <v>0.32958999999999999</v>
      </c>
      <c r="Z302" s="21">
        <v>462.923</v>
      </c>
      <c r="AA302" s="21">
        <v>-1.1764500000000001E-2</v>
      </c>
      <c r="AB302" s="21">
        <v>292</v>
      </c>
      <c r="AC302" s="21">
        <v>0.32931500000000002</v>
      </c>
      <c r="AD302">
        <f t="shared" si="52"/>
        <v>11.7645</v>
      </c>
      <c r="AE302">
        <f t="shared" si="53"/>
        <v>3.877461555</v>
      </c>
      <c r="AF302" s="9"/>
      <c r="AG302" s="21">
        <v>1.37039</v>
      </c>
      <c r="AH302" s="21">
        <v>519.59799999999996</v>
      </c>
      <c r="AI302" s="21">
        <v>-1.1145E-2</v>
      </c>
      <c r="AJ302" s="21">
        <v>292</v>
      </c>
      <c r="AK302" s="21">
        <v>1.3702399999999999</v>
      </c>
      <c r="AL302">
        <f t="shared" si="54"/>
        <v>11.145</v>
      </c>
      <c r="AM302">
        <f t="shared" si="55"/>
        <v>15.27299655</v>
      </c>
      <c r="AP302" s="9"/>
      <c r="AQ302" s="21">
        <v>0.32958999999999999</v>
      </c>
      <c r="AR302" s="21">
        <v>676.28700000000003</v>
      </c>
      <c r="AS302" s="21">
        <v>-1.2130699999999999E-2</v>
      </c>
      <c r="AT302" s="21">
        <v>292</v>
      </c>
      <c r="AU302" s="21">
        <v>0.32931500000000002</v>
      </c>
      <c r="AV302">
        <f t="shared" si="56"/>
        <v>12.130699999999999</v>
      </c>
      <c r="AW302">
        <f t="shared" si="57"/>
        <v>3.9981574129999995</v>
      </c>
      <c r="AX302" s="9"/>
      <c r="AY302" s="21">
        <v>1.37039</v>
      </c>
      <c r="AZ302" s="21">
        <v>766.38199999999995</v>
      </c>
      <c r="BA302" s="21">
        <v>-1.12762E-2</v>
      </c>
      <c r="BB302" s="21">
        <v>292</v>
      </c>
      <c r="BC302" s="21">
        <v>1.3699300000000001</v>
      </c>
      <c r="BD302">
        <f t="shared" si="58"/>
        <v>11.276199999999999</v>
      </c>
      <c r="BE302">
        <f t="shared" si="59"/>
        <v>15.452791717999999</v>
      </c>
    </row>
    <row r="303" spans="6:57" x14ac:dyDescent="0.25">
      <c r="F303" s="9"/>
      <c r="G303" s="21">
        <v>0.32455400000000001</v>
      </c>
      <c r="H303" s="21">
        <v>172.87200000000001</v>
      </c>
      <c r="I303" s="21">
        <v>-1.1947599999999999E-2</v>
      </c>
      <c r="J303" s="21">
        <v>293</v>
      </c>
      <c r="K303" s="21">
        <v>0.32430999999999999</v>
      </c>
      <c r="L303">
        <f t="shared" si="48"/>
        <v>11.9476</v>
      </c>
      <c r="M303">
        <f t="shared" si="49"/>
        <v>3.8776413704000001</v>
      </c>
      <c r="N303" s="9"/>
      <c r="O303" s="21">
        <v>1.3754299999999999</v>
      </c>
      <c r="P303" s="21">
        <v>256.85599999999999</v>
      </c>
      <c r="Q303" s="21">
        <v>-1.091E-2</v>
      </c>
      <c r="R303" s="21">
        <v>293</v>
      </c>
      <c r="S303" s="21">
        <v>1.3748199999999999</v>
      </c>
      <c r="T303">
        <f t="shared" si="50"/>
        <v>10.91</v>
      </c>
      <c r="U303">
        <f t="shared" si="51"/>
        <v>15.0059413</v>
      </c>
      <c r="X303" s="9"/>
      <c r="Y303" s="21">
        <v>0.32455400000000001</v>
      </c>
      <c r="Z303" s="21">
        <v>463.024</v>
      </c>
      <c r="AA303" s="21">
        <v>-1.1764500000000001E-2</v>
      </c>
      <c r="AB303" s="21">
        <v>293</v>
      </c>
      <c r="AC303" s="21">
        <v>0.32437100000000002</v>
      </c>
      <c r="AD303">
        <f t="shared" si="52"/>
        <v>11.7645</v>
      </c>
      <c r="AE303">
        <f t="shared" si="53"/>
        <v>3.8182155330000001</v>
      </c>
      <c r="AF303" s="9"/>
      <c r="AG303" s="21">
        <v>1.3754299999999999</v>
      </c>
      <c r="AH303" s="21">
        <v>519.69899999999996</v>
      </c>
      <c r="AI303" s="21">
        <v>-1.1142000000000001E-2</v>
      </c>
      <c r="AJ303" s="21">
        <v>293</v>
      </c>
      <c r="AK303" s="21">
        <v>1.3748199999999999</v>
      </c>
      <c r="AL303">
        <f t="shared" si="54"/>
        <v>11.142000000000001</v>
      </c>
      <c r="AM303">
        <f t="shared" si="55"/>
        <v>15.32504106</v>
      </c>
      <c r="AP303" s="9"/>
      <c r="AQ303" s="21">
        <v>0.32455400000000001</v>
      </c>
      <c r="AR303" s="21">
        <v>676.38800000000003</v>
      </c>
      <c r="AS303" s="21">
        <v>-1.21368E-2</v>
      </c>
      <c r="AT303" s="21">
        <v>293</v>
      </c>
      <c r="AU303" s="21">
        <v>0.32428000000000001</v>
      </c>
      <c r="AV303">
        <f t="shared" si="56"/>
        <v>12.136799999999999</v>
      </c>
      <c r="AW303">
        <f t="shared" si="57"/>
        <v>3.9390469871999998</v>
      </c>
      <c r="AX303" s="9"/>
      <c r="AY303" s="21">
        <v>1.3754299999999999</v>
      </c>
      <c r="AZ303" s="21">
        <v>766.48299999999995</v>
      </c>
      <c r="BA303" s="21">
        <v>-1.12671E-2</v>
      </c>
      <c r="BB303" s="21">
        <v>293</v>
      </c>
      <c r="BC303" s="21">
        <v>1.3742099999999999</v>
      </c>
      <c r="BD303">
        <f t="shared" si="58"/>
        <v>11.267100000000001</v>
      </c>
      <c r="BE303">
        <f t="shared" si="59"/>
        <v>15.497107353000001</v>
      </c>
    </row>
    <row r="304" spans="6:57" x14ac:dyDescent="0.25">
      <c r="F304" s="9"/>
      <c r="G304" s="21">
        <v>0.319519</v>
      </c>
      <c r="H304" s="21">
        <v>172.97300000000001</v>
      </c>
      <c r="I304" s="21">
        <v>-1.1935400000000001E-2</v>
      </c>
      <c r="J304" s="21">
        <v>294</v>
      </c>
      <c r="K304" s="21">
        <v>0.319214</v>
      </c>
      <c r="L304">
        <f t="shared" si="48"/>
        <v>11.935400000000001</v>
      </c>
      <c r="M304">
        <f t="shared" si="49"/>
        <v>3.8135870726000003</v>
      </c>
      <c r="N304" s="9"/>
      <c r="O304" s="21">
        <v>1.38046</v>
      </c>
      <c r="P304" s="21">
        <v>256.95699999999999</v>
      </c>
      <c r="Q304" s="21">
        <v>-1.0903899999999999E-2</v>
      </c>
      <c r="R304" s="21">
        <v>294</v>
      </c>
      <c r="S304" s="21">
        <v>1.38</v>
      </c>
      <c r="T304">
        <f t="shared" si="50"/>
        <v>10.9039</v>
      </c>
      <c r="U304">
        <f t="shared" si="51"/>
        <v>15.052397794000001</v>
      </c>
      <c r="X304" s="9"/>
      <c r="Y304" s="21">
        <v>0.319519</v>
      </c>
      <c r="Z304" s="21">
        <v>463.125</v>
      </c>
      <c r="AA304" s="21">
        <v>-1.1776699999999999E-2</v>
      </c>
      <c r="AB304" s="21">
        <v>294</v>
      </c>
      <c r="AC304" s="21">
        <v>0.319214</v>
      </c>
      <c r="AD304">
        <f t="shared" si="52"/>
        <v>11.7767</v>
      </c>
      <c r="AE304">
        <f t="shared" si="53"/>
        <v>3.7628794072999998</v>
      </c>
      <c r="AF304" s="9"/>
      <c r="AG304" s="21">
        <v>1.38046</v>
      </c>
      <c r="AH304" s="21">
        <v>519.79999999999995</v>
      </c>
      <c r="AI304" s="21">
        <v>-1.1135900000000001E-2</v>
      </c>
      <c r="AJ304" s="21">
        <v>294</v>
      </c>
      <c r="AK304" s="21">
        <v>1.3796999999999999</v>
      </c>
      <c r="AL304">
        <f t="shared" si="54"/>
        <v>11.135900000000001</v>
      </c>
      <c r="AM304">
        <f t="shared" si="55"/>
        <v>15.372664514000002</v>
      </c>
      <c r="AP304" s="9"/>
      <c r="AQ304" s="21">
        <v>0.319519</v>
      </c>
      <c r="AR304" s="21">
        <v>676.48800000000006</v>
      </c>
      <c r="AS304" s="21">
        <v>-1.2146000000000001E-2</v>
      </c>
      <c r="AT304" s="21">
        <v>294</v>
      </c>
      <c r="AU304" s="21">
        <v>0.31927499999999998</v>
      </c>
      <c r="AV304">
        <f t="shared" si="56"/>
        <v>12.146000000000001</v>
      </c>
      <c r="AW304">
        <f t="shared" si="57"/>
        <v>3.880877774</v>
      </c>
      <c r="AX304" s="9"/>
      <c r="AY304" s="21">
        <v>1.38046</v>
      </c>
      <c r="AZ304" s="21">
        <v>766.58399999999995</v>
      </c>
      <c r="BA304" s="21">
        <v>-1.12579E-2</v>
      </c>
      <c r="BB304" s="21">
        <v>294</v>
      </c>
      <c r="BC304" s="21">
        <v>1.3803099999999999</v>
      </c>
      <c r="BD304">
        <f t="shared" si="58"/>
        <v>11.257899999999999</v>
      </c>
      <c r="BE304">
        <f t="shared" si="59"/>
        <v>15.541080634</v>
      </c>
    </row>
    <row r="305" spans="6:57" x14ac:dyDescent="0.25">
      <c r="F305" s="9"/>
      <c r="G305" s="21">
        <v>0.31448399999999999</v>
      </c>
      <c r="H305" s="21">
        <v>173.07300000000001</v>
      </c>
      <c r="I305" s="21">
        <v>-1.1932399999999999E-2</v>
      </c>
      <c r="J305" s="21">
        <v>295</v>
      </c>
      <c r="K305" s="21">
        <v>0.31417800000000001</v>
      </c>
      <c r="L305">
        <f t="shared" si="48"/>
        <v>11.932399999999999</v>
      </c>
      <c r="M305">
        <f t="shared" si="49"/>
        <v>3.7525488815999997</v>
      </c>
      <c r="N305" s="9"/>
      <c r="O305" s="21">
        <v>1.3855</v>
      </c>
      <c r="P305" s="21">
        <v>257.05799999999999</v>
      </c>
      <c r="Q305" s="21">
        <v>-1.09009E-2</v>
      </c>
      <c r="R305" s="21">
        <v>295</v>
      </c>
      <c r="S305" s="21">
        <v>1.38489</v>
      </c>
      <c r="T305">
        <f t="shared" si="50"/>
        <v>10.9009</v>
      </c>
      <c r="U305">
        <f t="shared" si="51"/>
        <v>15.103196949999999</v>
      </c>
      <c r="X305" s="9"/>
      <c r="Y305" s="21">
        <v>0.31448399999999999</v>
      </c>
      <c r="Z305" s="21">
        <v>463.22500000000002</v>
      </c>
      <c r="AA305" s="21">
        <v>-1.17737E-2</v>
      </c>
      <c r="AB305" s="21">
        <v>295</v>
      </c>
      <c r="AC305" s="21">
        <v>0.31417800000000001</v>
      </c>
      <c r="AD305">
        <f t="shared" si="52"/>
        <v>11.7737</v>
      </c>
      <c r="AE305">
        <f t="shared" si="53"/>
        <v>3.7026402707999999</v>
      </c>
      <c r="AF305" s="9"/>
      <c r="AG305" s="21">
        <v>1.3855</v>
      </c>
      <c r="AH305" s="21">
        <v>519.9</v>
      </c>
      <c r="AI305" s="21">
        <v>-1.11328E-2</v>
      </c>
      <c r="AJ305" s="21">
        <v>295</v>
      </c>
      <c r="AK305" s="21">
        <v>1.38489</v>
      </c>
      <c r="AL305">
        <f t="shared" si="54"/>
        <v>11.1328</v>
      </c>
      <c r="AM305">
        <f t="shared" si="55"/>
        <v>15.424494399999999</v>
      </c>
      <c r="AP305" s="9"/>
      <c r="AQ305" s="21">
        <v>0.31448399999999999</v>
      </c>
      <c r="AR305" s="21">
        <v>676.58900000000006</v>
      </c>
      <c r="AS305" s="21">
        <v>-1.2146000000000001E-2</v>
      </c>
      <c r="AT305" s="21">
        <v>295</v>
      </c>
      <c r="AU305" s="21">
        <v>0.31424000000000002</v>
      </c>
      <c r="AV305">
        <f t="shared" si="56"/>
        <v>12.146000000000001</v>
      </c>
      <c r="AW305">
        <f t="shared" si="57"/>
        <v>3.8197226639999999</v>
      </c>
      <c r="AX305" s="9"/>
      <c r="AY305" s="21">
        <v>1.3855</v>
      </c>
      <c r="AZ305" s="21">
        <v>766.68499999999995</v>
      </c>
      <c r="BA305" s="21">
        <v>-1.12579E-2</v>
      </c>
      <c r="BB305" s="21">
        <v>295</v>
      </c>
      <c r="BC305" s="21">
        <v>1.38489</v>
      </c>
      <c r="BD305">
        <f t="shared" si="58"/>
        <v>11.257899999999999</v>
      </c>
      <c r="BE305">
        <f t="shared" si="59"/>
        <v>15.597820449999999</v>
      </c>
    </row>
    <row r="306" spans="6:57" x14ac:dyDescent="0.25">
      <c r="F306" s="9"/>
      <c r="G306" s="21">
        <v>0.309448</v>
      </c>
      <c r="H306" s="21">
        <v>173.17400000000001</v>
      </c>
      <c r="I306" s="21">
        <v>-1.19629E-2</v>
      </c>
      <c r="J306" s="21">
        <v>296</v>
      </c>
      <c r="K306" s="21">
        <v>0.30923499999999998</v>
      </c>
      <c r="L306">
        <f t="shared" si="48"/>
        <v>11.962899999999999</v>
      </c>
      <c r="M306">
        <f t="shared" si="49"/>
        <v>3.7018954791999996</v>
      </c>
      <c r="N306" s="9"/>
      <c r="O306" s="21">
        <v>1.39053</v>
      </c>
      <c r="P306" s="21">
        <v>257.15800000000002</v>
      </c>
      <c r="Q306" s="21">
        <v>-1.0888699999999999E-2</v>
      </c>
      <c r="R306" s="21">
        <v>296</v>
      </c>
      <c r="S306" s="21">
        <v>1.3897699999999999</v>
      </c>
      <c r="T306">
        <f t="shared" si="50"/>
        <v>10.8887</v>
      </c>
      <c r="U306">
        <f t="shared" si="51"/>
        <v>15.141064011000001</v>
      </c>
      <c r="X306" s="9"/>
      <c r="Y306" s="21">
        <v>0.309448</v>
      </c>
      <c r="Z306" s="21">
        <v>463.32600000000002</v>
      </c>
      <c r="AA306" s="21">
        <v>-1.1776699999999999E-2</v>
      </c>
      <c r="AB306" s="21">
        <v>296</v>
      </c>
      <c r="AC306" s="21">
        <v>0.309174</v>
      </c>
      <c r="AD306">
        <f t="shared" si="52"/>
        <v>11.7767</v>
      </c>
      <c r="AE306">
        <f t="shared" si="53"/>
        <v>3.6442762616</v>
      </c>
      <c r="AF306" s="9"/>
      <c r="AG306" s="21">
        <v>1.39053</v>
      </c>
      <c r="AH306" s="21">
        <v>520.00099999999998</v>
      </c>
      <c r="AI306" s="21">
        <v>-1.11267E-2</v>
      </c>
      <c r="AJ306" s="21">
        <v>296</v>
      </c>
      <c r="AK306" s="21">
        <v>1.3897699999999999</v>
      </c>
      <c r="AL306">
        <f t="shared" si="54"/>
        <v>11.1267</v>
      </c>
      <c r="AM306">
        <f t="shared" si="55"/>
        <v>15.472010150999999</v>
      </c>
      <c r="AP306" s="9"/>
      <c r="AQ306" s="21">
        <v>0.309448</v>
      </c>
      <c r="AR306" s="21">
        <v>676.69</v>
      </c>
      <c r="AS306" s="21">
        <v>-1.2149E-2</v>
      </c>
      <c r="AT306" s="21">
        <v>296</v>
      </c>
      <c r="AU306" s="21">
        <v>0.30920399999999998</v>
      </c>
      <c r="AV306">
        <f t="shared" si="56"/>
        <v>12.149000000000001</v>
      </c>
      <c r="AW306">
        <f t="shared" si="57"/>
        <v>3.7594837520000004</v>
      </c>
      <c r="AX306" s="9"/>
      <c r="AY306" s="21">
        <v>1.39053</v>
      </c>
      <c r="AZ306" s="21">
        <v>766.78499999999997</v>
      </c>
      <c r="BA306" s="21">
        <v>-1.12579E-2</v>
      </c>
      <c r="BB306" s="21">
        <v>296</v>
      </c>
      <c r="BC306" s="21">
        <v>1.3897699999999999</v>
      </c>
      <c r="BD306">
        <f t="shared" si="58"/>
        <v>11.257899999999999</v>
      </c>
      <c r="BE306">
        <f t="shared" si="59"/>
        <v>15.654447686999999</v>
      </c>
    </row>
    <row r="307" spans="6:57" x14ac:dyDescent="0.25">
      <c r="F307" s="9"/>
      <c r="G307" s="21">
        <v>0.30441299999999999</v>
      </c>
      <c r="H307" s="21">
        <v>173.27500000000001</v>
      </c>
      <c r="I307" s="21">
        <v>-1.1953699999999999E-2</v>
      </c>
      <c r="J307" s="21">
        <v>297</v>
      </c>
      <c r="K307" s="21">
        <v>0.30413800000000002</v>
      </c>
      <c r="L307">
        <f t="shared" si="48"/>
        <v>11.9537</v>
      </c>
      <c r="M307">
        <f t="shared" si="49"/>
        <v>3.6388616780999996</v>
      </c>
      <c r="N307" s="9"/>
      <c r="O307" s="21">
        <v>1.39557</v>
      </c>
      <c r="P307" s="21">
        <v>257.25900000000001</v>
      </c>
      <c r="Q307" s="21">
        <v>-1.0882599999999999E-2</v>
      </c>
      <c r="R307" s="21">
        <v>297</v>
      </c>
      <c r="S307" s="21">
        <v>1.39496</v>
      </c>
      <c r="T307">
        <f t="shared" si="50"/>
        <v>10.8826</v>
      </c>
      <c r="U307">
        <f t="shared" si="51"/>
        <v>15.187430082000001</v>
      </c>
      <c r="X307" s="9"/>
      <c r="Y307" s="21">
        <v>0.30441299999999999</v>
      </c>
      <c r="Z307" s="21">
        <v>463.42700000000002</v>
      </c>
      <c r="AA307" s="21">
        <v>-1.1770600000000001E-2</v>
      </c>
      <c r="AB307" s="21">
        <v>297</v>
      </c>
      <c r="AC307" s="21">
        <v>0.30416900000000002</v>
      </c>
      <c r="AD307">
        <f t="shared" si="52"/>
        <v>11.770600000000002</v>
      </c>
      <c r="AE307">
        <f t="shared" si="53"/>
        <v>3.5831236578000003</v>
      </c>
      <c r="AF307" s="9"/>
      <c r="AG307" s="21">
        <v>1.39557</v>
      </c>
      <c r="AH307" s="21">
        <v>520.10199999999998</v>
      </c>
      <c r="AI307" s="21">
        <v>-1.11206E-2</v>
      </c>
      <c r="AJ307" s="21">
        <v>297</v>
      </c>
      <c r="AK307" s="21">
        <v>1.39496</v>
      </c>
      <c r="AL307">
        <f t="shared" si="54"/>
        <v>11.1206</v>
      </c>
      <c r="AM307">
        <f t="shared" si="55"/>
        <v>15.519575741999999</v>
      </c>
      <c r="AP307" s="9"/>
      <c r="AQ307" s="21">
        <v>0.30441299999999999</v>
      </c>
      <c r="AR307" s="21">
        <v>676.79</v>
      </c>
      <c r="AS307" s="21">
        <v>-1.21552E-2</v>
      </c>
      <c r="AT307" s="21">
        <v>297</v>
      </c>
      <c r="AU307" s="21">
        <v>0.30413800000000002</v>
      </c>
      <c r="AV307">
        <f t="shared" si="56"/>
        <v>12.155199999999999</v>
      </c>
      <c r="AW307">
        <f t="shared" si="57"/>
        <v>3.7002008975999994</v>
      </c>
      <c r="AX307" s="9"/>
      <c r="AY307" s="21">
        <v>1.39557</v>
      </c>
      <c r="AZ307" s="21">
        <v>766.88599999999997</v>
      </c>
      <c r="BA307" s="21">
        <v>-1.1245700000000001E-2</v>
      </c>
      <c r="BB307" s="21">
        <v>297</v>
      </c>
      <c r="BC307" s="21">
        <v>1.39496</v>
      </c>
      <c r="BD307">
        <f t="shared" si="58"/>
        <v>11.245700000000001</v>
      </c>
      <c r="BE307">
        <f t="shared" si="59"/>
        <v>15.694161549000002</v>
      </c>
    </row>
    <row r="308" spans="6:57" x14ac:dyDescent="0.25">
      <c r="F308" s="9"/>
      <c r="G308" s="21">
        <v>0.299377</v>
      </c>
      <c r="H308" s="21">
        <v>173.376</v>
      </c>
      <c r="I308" s="21">
        <v>-1.19568E-2</v>
      </c>
      <c r="J308" s="21">
        <v>298</v>
      </c>
      <c r="K308" s="21">
        <v>0.29913299999999998</v>
      </c>
      <c r="L308">
        <f t="shared" si="48"/>
        <v>11.956799999999999</v>
      </c>
      <c r="M308">
        <f t="shared" si="49"/>
        <v>3.5795909135999997</v>
      </c>
      <c r="N308" s="9"/>
      <c r="O308" s="21">
        <v>1.4006000000000001</v>
      </c>
      <c r="P308" s="21">
        <v>257.36</v>
      </c>
      <c r="Q308" s="21">
        <v>-1.0876500000000001E-2</v>
      </c>
      <c r="R308" s="21">
        <v>298</v>
      </c>
      <c r="S308" s="21">
        <v>1.40015</v>
      </c>
      <c r="T308">
        <f t="shared" si="50"/>
        <v>10.8765</v>
      </c>
      <c r="U308">
        <f t="shared" si="51"/>
        <v>15.233625900000002</v>
      </c>
      <c r="X308" s="9"/>
      <c r="Y308" s="21">
        <v>0.299377</v>
      </c>
      <c r="Z308" s="21">
        <v>463.52800000000002</v>
      </c>
      <c r="AA308" s="21">
        <v>-1.17737E-2</v>
      </c>
      <c r="AB308" s="21">
        <v>298</v>
      </c>
      <c r="AC308" s="21">
        <v>0.29913299999999998</v>
      </c>
      <c r="AD308">
        <f t="shared" si="52"/>
        <v>11.7737</v>
      </c>
      <c r="AE308">
        <f t="shared" si="53"/>
        <v>3.5247749849000001</v>
      </c>
      <c r="AF308" s="9"/>
      <c r="AG308" s="21">
        <v>1.4006000000000001</v>
      </c>
      <c r="AH308" s="21">
        <v>520.202</v>
      </c>
      <c r="AI308" s="21">
        <v>-1.1114499999999999E-2</v>
      </c>
      <c r="AJ308" s="21">
        <v>298</v>
      </c>
      <c r="AK308" s="21">
        <v>1.40045</v>
      </c>
      <c r="AL308">
        <f t="shared" si="54"/>
        <v>11.1145</v>
      </c>
      <c r="AM308">
        <f t="shared" si="55"/>
        <v>15.5669687</v>
      </c>
      <c r="AP308" s="9"/>
      <c r="AQ308" s="21">
        <v>0.299377</v>
      </c>
      <c r="AR308" s="21">
        <v>676.89099999999996</v>
      </c>
      <c r="AS308" s="21">
        <v>-1.21552E-2</v>
      </c>
      <c r="AT308" s="21">
        <v>298</v>
      </c>
      <c r="AU308" s="21">
        <v>0.29910300000000001</v>
      </c>
      <c r="AV308">
        <f t="shared" si="56"/>
        <v>12.155199999999999</v>
      </c>
      <c r="AW308">
        <f t="shared" si="57"/>
        <v>3.6389873103999997</v>
      </c>
      <c r="AX308" s="9"/>
      <c r="AY308" s="21">
        <v>1.4006000000000001</v>
      </c>
      <c r="AZ308" s="21">
        <v>766.98699999999997</v>
      </c>
      <c r="BA308" s="21">
        <v>-1.1239600000000001E-2</v>
      </c>
      <c r="BB308" s="21">
        <v>298</v>
      </c>
      <c r="BC308" s="21">
        <v>1.40015</v>
      </c>
      <c r="BD308">
        <f t="shared" si="58"/>
        <v>11.239600000000001</v>
      </c>
      <c r="BE308">
        <f t="shared" si="59"/>
        <v>15.742183760000003</v>
      </c>
    </row>
    <row r="309" spans="6:57" x14ac:dyDescent="0.25">
      <c r="F309" s="9"/>
      <c r="G309" s="21">
        <v>0.29434199999999999</v>
      </c>
      <c r="H309" s="21">
        <v>173.476</v>
      </c>
      <c r="I309" s="21">
        <v>-1.19568E-2</v>
      </c>
      <c r="J309" s="21">
        <v>299</v>
      </c>
      <c r="K309" s="21">
        <v>0.294128</v>
      </c>
      <c r="L309">
        <f t="shared" si="48"/>
        <v>11.956799999999999</v>
      </c>
      <c r="M309">
        <f t="shared" si="49"/>
        <v>3.5193884255999999</v>
      </c>
      <c r="N309" s="9"/>
      <c r="O309" s="21">
        <v>1.40564</v>
      </c>
      <c r="P309" s="21">
        <v>257.46100000000001</v>
      </c>
      <c r="Q309" s="21">
        <v>-1.08734E-2</v>
      </c>
      <c r="R309" s="21">
        <v>299</v>
      </c>
      <c r="S309" s="21">
        <v>1.40533</v>
      </c>
      <c r="T309">
        <f t="shared" si="50"/>
        <v>10.8734</v>
      </c>
      <c r="U309">
        <f t="shared" si="51"/>
        <v>15.284085976</v>
      </c>
      <c r="X309" s="9"/>
      <c r="Y309" s="21">
        <v>0.29434199999999999</v>
      </c>
      <c r="Z309" s="21">
        <v>463.62799999999999</v>
      </c>
      <c r="AA309" s="21">
        <v>-1.17798E-2</v>
      </c>
      <c r="AB309" s="21">
        <v>299</v>
      </c>
      <c r="AC309" s="21">
        <v>0.294159</v>
      </c>
      <c r="AD309">
        <f t="shared" si="52"/>
        <v>11.7798</v>
      </c>
      <c r="AE309">
        <f t="shared" si="53"/>
        <v>3.4672898915999997</v>
      </c>
      <c r="AF309" s="9"/>
      <c r="AG309" s="21">
        <v>1.40564</v>
      </c>
      <c r="AH309" s="21">
        <v>520.303</v>
      </c>
      <c r="AI309" s="21">
        <v>-1.11115E-2</v>
      </c>
      <c r="AJ309" s="21">
        <v>299</v>
      </c>
      <c r="AK309" s="21">
        <v>1.40503</v>
      </c>
      <c r="AL309">
        <f t="shared" si="54"/>
        <v>11.111499999999999</v>
      </c>
      <c r="AM309">
        <f t="shared" si="55"/>
        <v>15.618768859999999</v>
      </c>
      <c r="AP309" s="9"/>
      <c r="AQ309" s="21">
        <v>0.29434199999999999</v>
      </c>
      <c r="AR309" s="21">
        <v>676.99199999999996</v>
      </c>
      <c r="AS309" s="21">
        <v>-1.2158199999999999E-2</v>
      </c>
      <c r="AT309" s="21">
        <v>299</v>
      </c>
      <c r="AU309" s="21">
        <v>0.29409800000000003</v>
      </c>
      <c r="AV309">
        <f t="shared" si="56"/>
        <v>12.158199999999999</v>
      </c>
      <c r="AW309">
        <f t="shared" si="57"/>
        <v>3.5786689043999997</v>
      </c>
      <c r="AX309" s="9"/>
      <c r="AY309" s="21">
        <v>1.40564</v>
      </c>
      <c r="AZ309" s="21">
        <v>767.08699999999999</v>
      </c>
      <c r="BA309" s="21">
        <v>-1.12335E-2</v>
      </c>
      <c r="BB309" s="21">
        <v>299</v>
      </c>
      <c r="BC309" s="21">
        <v>1.40503</v>
      </c>
      <c r="BD309">
        <f t="shared" si="58"/>
        <v>11.233500000000001</v>
      </c>
      <c r="BE309">
        <f t="shared" si="59"/>
        <v>15.790256940000001</v>
      </c>
    </row>
    <row r="310" spans="6:57" x14ac:dyDescent="0.25">
      <c r="F310" s="9"/>
      <c r="G310" s="21">
        <v>0.28930699999999998</v>
      </c>
      <c r="H310" s="21">
        <v>173.577</v>
      </c>
      <c r="I310" s="21">
        <v>-1.19904E-2</v>
      </c>
      <c r="J310" s="21">
        <v>300</v>
      </c>
      <c r="K310" s="21">
        <v>0.28909299999999999</v>
      </c>
      <c r="L310">
        <f t="shared" si="48"/>
        <v>11.990399999999999</v>
      </c>
      <c r="M310">
        <f t="shared" si="49"/>
        <v>3.4689066527999994</v>
      </c>
      <c r="N310" s="9"/>
      <c r="O310" s="21">
        <v>1.4106799999999999</v>
      </c>
      <c r="P310" s="21">
        <v>257.56099999999998</v>
      </c>
      <c r="Q310" s="21">
        <v>-1.0870400000000001E-2</v>
      </c>
      <c r="R310" s="21">
        <v>300</v>
      </c>
      <c r="S310" s="21">
        <v>1.41022</v>
      </c>
      <c r="T310">
        <f t="shared" si="50"/>
        <v>10.8704</v>
      </c>
      <c r="U310">
        <f t="shared" si="51"/>
        <v>15.334655871999999</v>
      </c>
      <c r="X310" s="9"/>
      <c r="Y310" s="21">
        <v>0.28930699999999998</v>
      </c>
      <c r="Z310" s="21">
        <v>463.72899999999998</v>
      </c>
      <c r="AA310" s="21">
        <v>-1.17859E-2</v>
      </c>
      <c r="AB310" s="21">
        <v>300</v>
      </c>
      <c r="AC310" s="21">
        <v>0.28900100000000001</v>
      </c>
      <c r="AD310">
        <f t="shared" si="52"/>
        <v>11.7859</v>
      </c>
      <c r="AE310">
        <f t="shared" si="53"/>
        <v>3.4097433712999998</v>
      </c>
      <c r="AF310" s="9"/>
      <c r="AG310" s="21">
        <v>1.4106799999999999</v>
      </c>
      <c r="AH310" s="21">
        <v>520.404</v>
      </c>
      <c r="AI310" s="21">
        <v>-1.1102300000000001E-2</v>
      </c>
      <c r="AJ310" s="21">
        <v>300</v>
      </c>
      <c r="AK310" s="21">
        <v>1.40991</v>
      </c>
      <c r="AL310">
        <f t="shared" si="54"/>
        <v>11.102300000000001</v>
      </c>
      <c r="AM310">
        <f t="shared" si="55"/>
        <v>15.661792564000001</v>
      </c>
      <c r="AP310" s="9"/>
      <c r="AQ310" s="21">
        <v>0.28930699999999998</v>
      </c>
      <c r="AR310" s="21">
        <v>677.09299999999996</v>
      </c>
      <c r="AS310" s="21">
        <v>-1.21552E-2</v>
      </c>
      <c r="AT310" s="21">
        <v>300</v>
      </c>
      <c r="AU310" s="21">
        <v>0.28906300000000001</v>
      </c>
      <c r="AV310">
        <f t="shared" si="56"/>
        <v>12.155199999999999</v>
      </c>
      <c r="AW310">
        <f t="shared" si="57"/>
        <v>3.5165844463999996</v>
      </c>
      <c r="AX310" s="9"/>
      <c r="AY310" s="21">
        <v>1.4106799999999999</v>
      </c>
      <c r="AZ310" s="21">
        <v>767.18799999999999</v>
      </c>
      <c r="BA310" s="21">
        <v>-1.1230499999999999E-2</v>
      </c>
      <c r="BB310" s="21">
        <v>300</v>
      </c>
      <c r="BC310" s="21">
        <v>1.40991</v>
      </c>
      <c r="BD310">
        <f t="shared" si="58"/>
        <v>11.230499999999999</v>
      </c>
      <c r="BE310">
        <f t="shared" si="59"/>
        <v>15.842641739999998</v>
      </c>
    </row>
    <row r="311" spans="6:57" x14ac:dyDescent="0.25">
      <c r="F311" s="9"/>
      <c r="G311" s="21">
        <v>0.284271</v>
      </c>
      <c r="H311" s="21">
        <v>173.678</v>
      </c>
      <c r="I311" s="21">
        <v>-1.2020899999999999E-2</v>
      </c>
      <c r="J311" s="21">
        <v>301</v>
      </c>
      <c r="K311" s="21">
        <v>0.283997</v>
      </c>
      <c r="L311">
        <f t="shared" si="48"/>
        <v>12.020899999999999</v>
      </c>
      <c r="M311">
        <f t="shared" si="49"/>
        <v>3.4171932638999998</v>
      </c>
      <c r="N311" s="9"/>
      <c r="O311" s="21">
        <v>1.41571</v>
      </c>
      <c r="P311" s="21">
        <v>257.66199999999998</v>
      </c>
      <c r="Q311" s="21">
        <v>-1.08612E-2</v>
      </c>
      <c r="R311" s="21">
        <v>301</v>
      </c>
      <c r="S311" s="21">
        <v>1.4151</v>
      </c>
      <c r="T311">
        <f t="shared" si="50"/>
        <v>10.8612</v>
      </c>
      <c r="U311">
        <f t="shared" si="51"/>
        <v>15.376309452000001</v>
      </c>
      <c r="X311" s="9"/>
      <c r="Y311" s="21">
        <v>0.284271</v>
      </c>
      <c r="Z311" s="21">
        <v>463.83</v>
      </c>
      <c r="AA311" s="21">
        <v>-1.1795E-2</v>
      </c>
      <c r="AB311" s="21">
        <v>301</v>
      </c>
      <c r="AC311" s="21">
        <v>0.28405799999999998</v>
      </c>
      <c r="AD311">
        <f t="shared" si="52"/>
        <v>11.795</v>
      </c>
      <c r="AE311">
        <f t="shared" si="53"/>
        <v>3.3529764449999999</v>
      </c>
      <c r="AF311" s="9"/>
      <c r="AG311" s="21">
        <v>1.41571</v>
      </c>
      <c r="AH311" s="21">
        <v>520.505</v>
      </c>
      <c r="AI311" s="21">
        <v>-1.1102300000000001E-2</v>
      </c>
      <c r="AJ311" s="21">
        <v>301</v>
      </c>
      <c r="AK311" s="21">
        <v>1.4151</v>
      </c>
      <c r="AL311">
        <f t="shared" si="54"/>
        <v>11.102300000000001</v>
      </c>
      <c r="AM311">
        <f t="shared" si="55"/>
        <v>15.717637133000002</v>
      </c>
      <c r="AP311" s="9"/>
      <c r="AQ311" s="21">
        <v>0.284271</v>
      </c>
      <c r="AR311" s="21">
        <v>677.19299999999998</v>
      </c>
      <c r="AS311" s="21">
        <v>-1.21216E-2</v>
      </c>
      <c r="AT311" s="21">
        <v>301</v>
      </c>
      <c r="AU311" s="21">
        <v>0.28405799999999998</v>
      </c>
      <c r="AV311">
        <f t="shared" si="56"/>
        <v>12.121599999999999</v>
      </c>
      <c r="AW311">
        <f t="shared" si="57"/>
        <v>3.4458193535999997</v>
      </c>
      <c r="AX311" s="9"/>
      <c r="AY311" s="21">
        <v>1.41571</v>
      </c>
      <c r="AZ311" s="21">
        <v>767.28899999999999</v>
      </c>
      <c r="BA311" s="21">
        <v>-1.12213E-2</v>
      </c>
      <c r="BB311" s="21">
        <v>301</v>
      </c>
      <c r="BC311" s="21">
        <v>1.41479</v>
      </c>
      <c r="BD311">
        <f t="shared" si="58"/>
        <v>11.221299999999999</v>
      </c>
      <c r="BE311">
        <f t="shared" si="59"/>
        <v>15.886106623</v>
      </c>
    </row>
    <row r="312" spans="6:57" x14ac:dyDescent="0.25">
      <c r="F312" s="9"/>
      <c r="G312" s="21">
        <v>0.27923599999999998</v>
      </c>
      <c r="H312" s="21">
        <v>173.77799999999999</v>
      </c>
      <c r="I312" s="21">
        <v>-1.20331E-2</v>
      </c>
      <c r="J312" s="21">
        <v>302</v>
      </c>
      <c r="K312" s="21">
        <v>0.27893099999999998</v>
      </c>
      <c r="L312">
        <f t="shared" si="48"/>
        <v>12.033099999999999</v>
      </c>
      <c r="M312">
        <f t="shared" si="49"/>
        <v>3.3600747115999998</v>
      </c>
      <c r="N312" s="9"/>
      <c r="O312" s="21">
        <v>1.42075</v>
      </c>
      <c r="P312" s="21">
        <v>257.76299999999998</v>
      </c>
      <c r="Q312" s="21">
        <v>-1.08521E-2</v>
      </c>
      <c r="R312" s="21">
        <v>302</v>
      </c>
      <c r="S312" s="21">
        <v>1.41998</v>
      </c>
      <c r="T312">
        <f t="shared" si="50"/>
        <v>10.8521</v>
      </c>
      <c r="U312">
        <f t="shared" si="51"/>
        <v>15.418121075</v>
      </c>
      <c r="X312" s="9"/>
      <c r="Y312" s="21">
        <v>0.27923599999999998</v>
      </c>
      <c r="Z312" s="21">
        <v>463.93</v>
      </c>
      <c r="AA312" s="21">
        <v>-1.1798100000000001E-2</v>
      </c>
      <c r="AB312" s="21">
        <v>302</v>
      </c>
      <c r="AC312" s="21">
        <v>0.27899200000000002</v>
      </c>
      <c r="AD312">
        <f t="shared" si="52"/>
        <v>11.7981</v>
      </c>
      <c r="AE312">
        <f t="shared" si="53"/>
        <v>3.2944542515999999</v>
      </c>
      <c r="AF312" s="9"/>
      <c r="AG312" s="21">
        <v>1.42075</v>
      </c>
      <c r="AH312" s="21">
        <v>520.60500000000002</v>
      </c>
      <c r="AI312" s="21">
        <v>-1.10992E-2</v>
      </c>
      <c r="AJ312" s="21">
        <v>302</v>
      </c>
      <c r="AK312" s="21">
        <v>1.4202900000000001</v>
      </c>
      <c r="AL312">
        <f t="shared" si="54"/>
        <v>11.0992</v>
      </c>
      <c r="AM312">
        <f t="shared" si="55"/>
        <v>15.769188399999999</v>
      </c>
      <c r="AP312" s="9"/>
      <c r="AQ312" s="21">
        <v>0.27923599999999998</v>
      </c>
      <c r="AR312" s="21">
        <v>677.29399999999998</v>
      </c>
      <c r="AS312" s="21">
        <v>-1.21155E-2</v>
      </c>
      <c r="AT312" s="21">
        <v>302</v>
      </c>
      <c r="AU312" s="21">
        <v>0.27896100000000001</v>
      </c>
      <c r="AV312">
        <f t="shared" si="56"/>
        <v>12.115499999999999</v>
      </c>
      <c r="AW312">
        <f t="shared" si="57"/>
        <v>3.3830837579999997</v>
      </c>
      <c r="AX312" s="9"/>
      <c r="AY312" s="21">
        <v>1.42075</v>
      </c>
      <c r="AZ312" s="21">
        <v>767.38900000000001</v>
      </c>
      <c r="BA312" s="21">
        <v>-1.12213E-2</v>
      </c>
      <c r="BB312" s="21">
        <v>302</v>
      </c>
      <c r="BC312" s="21">
        <v>1.41937</v>
      </c>
      <c r="BD312">
        <f t="shared" si="58"/>
        <v>11.221299999999999</v>
      </c>
      <c r="BE312">
        <f t="shared" si="59"/>
        <v>15.942661974999998</v>
      </c>
    </row>
    <row r="313" spans="6:57" x14ac:dyDescent="0.25">
      <c r="F313" s="9"/>
      <c r="G313" s="21">
        <v>0.2742</v>
      </c>
      <c r="H313" s="21">
        <v>173.87899999999999</v>
      </c>
      <c r="I313" s="21">
        <v>-1.2042199999999999E-2</v>
      </c>
      <c r="J313" s="21">
        <v>303</v>
      </c>
      <c r="K313" s="21">
        <v>0.27398699999999998</v>
      </c>
      <c r="L313">
        <f t="shared" si="48"/>
        <v>12.042199999999999</v>
      </c>
      <c r="M313">
        <f t="shared" si="49"/>
        <v>3.3019712399999999</v>
      </c>
      <c r="N313" s="9"/>
      <c r="O313" s="21">
        <v>1.42578</v>
      </c>
      <c r="P313" s="21">
        <v>257.863</v>
      </c>
      <c r="Q313" s="21">
        <v>-1.08459E-2</v>
      </c>
      <c r="R313" s="21">
        <v>303</v>
      </c>
      <c r="S313" s="21">
        <v>1.42578</v>
      </c>
      <c r="T313">
        <f t="shared" si="50"/>
        <v>10.8459</v>
      </c>
      <c r="U313">
        <f t="shared" si="51"/>
        <v>15.463867302000001</v>
      </c>
      <c r="X313" s="9"/>
      <c r="Y313" s="21">
        <v>0.2742</v>
      </c>
      <c r="Z313" s="21">
        <v>464.03100000000001</v>
      </c>
      <c r="AA313" s="21">
        <v>-1.18011E-2</v>
      </c>
      <c r="AB313" s="21">
        <v>303</v>
      </c>
      <c r="AC313" s="21">
        <v>0.27407799999999999</v>
      </c>
      <c r="AD313">
        <f t="shared" si="52"/>
        <v>11.8011</v>
      </c>
      <c r="AE313">
        <f t="shared" si="53"/>
        <v>3.2358616200000001</v>
      </c>
      <c r="AF313" s="9"/>
      <c r="AG313" s="21">
        <v>1.42578</v>
      </c>
      <c r="AH313" s="21">
        <v>520.70600000000002</v>
      </c>
      <c r="AI313" s="21">
        <v>-1.1087E-2</v>
      </c>
      <c r="AJ313" s="21">
        <v>303</v>
      </c>
      <c r="AK313" s="21">
        <v>1.42578</v>
      </c>
      <c r="AL313">
        <f t="shared" si="54"/>
        <v>11.087</v>
      </c>
      <c r="AM313">
        <f t="shared" si="55"/>
        <v>15.80762286</v>
      </c>
      <c r="AP313" s="9"/>
      <c r="AQ313" s="21">
        <v>0.2742</v>
      </c>
      <c r="AR313" s="21">
        <v>677.39499999999998</v>
      </c>
      <c r="AS313" s="21">
        <v>-1.2124599999999999E-2</v>
      </c>
      <c r="AT313" s="21">
        <v>303</v>
      </c>
      <c r="AU313" s="21">
        <v>0.27401700000000001</v>
      </c>
      <c r="AV313">
        <f t="shared" si="56"/>
        <v>12.124599999999999</v>
      </c>
      <c r="AW313">
        <f t="shared" si="57"/>
        <v>3.3245653199999996</v>
      </c>
      <c r="AX313" s="9"/>
      <c r="AY313" s="21">
        <v>1.42578</v>
      </c>
      <c r="AZ313" s="21">
        <v>767.49</v>
      </c>
      <c r="BA313" s="21">
        <v>-1.12122E-2</v>
      </c>
      <c r="BB313" s="21">
        <v>303</v>
      </c>
      <c r="BC313" s="21">
        <v>1.4248700000000001</v>
      </c>
      <c r="BD313">
        <f t="shared" si="58"/>
        <v>11.212200000000001</v>
      </c>
      <c r="BE313">
        <f t="shared" si="59"/>
        <v>15.986130516000003</v>
      </c>
    </row>
    <row r="314" spans="6:57" x14ac:dyDescent="0.25">
      <c r="F314" s="9"/>
      <c r="G314" s="21">
        <v>0.26916499999999999</v>
      </c>
      <c r="H314" s="21">
        <v>173.98</v>
      </c>
      <c r="I314" s="21">
        <v>-1.2036099999999999E-2</v>
      </c>
      <c r="J314" s="21">
        <v>304</v>
      </c>
      <c r="K314" s="21">
        <v>0.268982</v>
      </c>
      <c r="L314">
        <f t="shared" si="48"/>
        <v>12.036099999999999</v>
      </c>
      <c r="M314">
        <f t="shared" si="49"/>
        <v>3.2396968564999997</v>
      </c>
      <c r="N314" s="9"/>
      <c r="O314" s="21">
        <v>1.43082</v>
      </c>
      <c r="P314" s="21">
        <v>257.964</v>
      </c>
      <c r="Q314" s="21">
        <v>-1.08337E-2</v>
      </c>
      <c r="R314" s="21">
        <v>304</v>
      </c>
      <c r="S314" s="21">
        <v>1.4303600000000001</v>
      </c>
      <c r="T314">
        <f t="shared" si="50"/>
        <v>10.8337</v>
      </c>
      <c r="U314">
        <f t="shared" si="51"/>
        <v>15.501074634</v>
      </c>
      <c r="X314" s="9"/>
      <c r="Y314" s="21">
        <v>0.26916499999999999</v>
      </c>
      <c r="Z314" s="21">
        <v>464.13200000000001</v>
      </c>
      <c r="AA314" s="21">
        <v>-1.18134E-2</v>
      </c>
      <c r="AB314" s="21">
        <v>304</v>
      </c>
      <c r="AC314" s="21">
        <v>0.268951</v>
      </c>
      <c r="AD314">
        <f t="shared" si="52"/>
        <v>11.8134</v>
      </c>
      <c r="AE314">
        <f t="shared" si="53"/>
        <v>3.1797538109999999</v>
      </c>
      <c r="AF314" s="9"/>
      <c r="AG314" s="21">
        <v>1.43082</v>
      </c>
      <c r="AH314" s="21">
        <v>520.80700000000002</v>
      </c>
      <c r="AI314" s="21">
        <v>-1.1084E-2</v>
      </c>
      <c r="AJ314" s="21">
        <v>304</v>
      </c>
      <c r="AK314" s="21">
        <v>1.43066</v>
      </c>
      <c r="AL314">
        <f t="shared" si="54"/>
        <v>11.084</v>
      </c>
      <c r="AM314">
        <f t="shared" si="55"/>
        <v>15.859208879999999</v>
      </c>
      <c r="AP314" s="9"/>
      <c r="AQ314" s="21">
        <v>0.26916499999999999</v>
      </c>
      <c r="AR314" s="21">
        <v>677.495</v>
      </c>
      <c r="AS314" s="21">
        <v>-1.2118500000000001E-2</v>
      </c>
      <c r="AT314" s="21">
        <v>304</v>
      </c>
      <c r="AU314" s="21">
        <v>0.268982</v>
      </c>
      <c r="AV314">
        <f t="shared" si="56"/>
        <v>12.118500000000001</v>
      </c>
      <c r="AW314">
        <f t="shared" si="57"/>
        <v>3.2618760524999999</v>
      </c>
      <c r="AX314" s="9"/>
      <c r="AY314" s="21">
        <v>1.43082</v>
      </c>
      <c r="AZ314" s="21">
        <v>767.59100000000001</v>
      </c>
      <c r="BA314" s="21">
        <v>-1.12091E-2</v>
      </c>
      <c r="BB314" s="21">
        <v>304</v>
      </c>
      <c r="BC314" s="21">
        <v>1.4303600000000001</v>
      </c>
      <c r="BD314">
        <f t="shared" si="58"/>
        <v>11.209099999999999</v>
      </c>
      <c r="BE314">
        <f t="shared" si="59"/>
        <v>16.038204461999999</v>
      </c>
    </row>
    <row r="315" spans="6:57" x14ac:dyDescent="0.25">
      <c r="F315" s="9"/>
      <c r="G315" s="21">
        <v>0.26412999999999998</v>
      </c>
      <c r="H315" s="21">
        <v>174.08</v>
      </c>
      <c r="I315" s="21">
        <v>-1.2042199999999999E-2</v>
      </c>
      <c r="J315" s="21">
        <v>305</v>
      </c>
      <c r="K315" s="21">
        <v>0.26388499999999998</v>
      </c>
      <c r="L315">
        <f t="shared" si="48"/>
        <v>12.042199999999999</v>
      </c>
      <c r="M315">
        <f t="shared" si="49"/>
        <v>3.1807062859999995</v>
      </c>
      <c r="N315" s="9"/>
      <c r="O315" s="21">
        <v>1.4358500000000001</v>
      </c>
      <c r="P315" s="21">
        <v>258.065</v>
      </c>
      <c r="Q315" s="21">
        <v>-1.08276E-2</v>
      </c>
      <c r="R315" s="21">
        <v>305</v>
      </c>
      <c r="S315" s="21">
        <v>1.4352400000000001</v>
      </c>
      <c r="T315">
        <f t="shared" si="50"/>
        <v>10.8276</v>
      </c>
      <c r="U315">
        <f t="shared" si="51"/>
        <v>15.54680946</v>
      </c>
      <c r="X315" s="9"/>
      <c r="Y315" s="21">
        <v>0.26412999999999998</v>
      </c>
      <c r="Z315" s="21">
        <v>464.23200000000003</v>
      </c>
      <c r="AA315" s="21">
        <v>-1.18134E-2</v>
      </c>
      <c r="AB315" s="21">
        <v>305</v>
      </c>
      <c r="AC315" s="21">
        <v>0.26385500000000001</v>
      </c>
      <c r="AD315">
        <f t="shared" si="52"/>
        <v>11.8134</v>
      </c>
      <c r="AE315">
        <f t="shared" si="53"/>
        <v>3.1202733419999995</v>
      </c>
      <c r="AF315" s="9"/>
      <c r="AG315" s="21">
        <v>1.4358500000000001</v>
      </c>
      <c r="AH315" s="21">
        <v>520.90700000000004</v>
      </c>
      <c r="AI315" s="21">
        <v>-1.1068700000000001E-2</v>
      </c>
      <c r="AJ315" s="21">
        <v>305</v>
      </c>
      <c r="AK315" s="21">
        <v>1.4355500000000001</v>
      </c>
      <c r="AL315">
        <f t="shared" si="54"/>
        <v>11.068700000000002</v>
      </c>
      <c r="AM315">
        <f t="shared" si="55"/>
        <v>15.892992895000003</v>
      </c>
      <c r="AP315" s="9"/>
      <c r="AQ315" s="21">
        <v>0.26412999999999998</v>
      </c>
      <c r="AR315" s="21">
        <v>677.596</v>
      </c>
      <c r="AS315" s="21">
        <v>-1.2118500000000001E-2</v>
      </c>
      <c r="AT315" s="21">
        <v>305</v>
      </c>
      <c r="AU315" s="21">
        <v>0.26385500000000001</v>
      </c>
      <c r="AV315">
        <f t="shared" si="56"/>
        <v>12.118500000000001</v>
      </c>
      <c r="AW315">
        <f t="shared" si="57"/>
        <v>3.2008594050000001</v>
      </c>
      <c r="AX315" s="9"/>
      <c r="AY315" s="21">
        <v>1.4358500000000001</v>
      </c>
      <c r="AZ315" s="21">
        <v>767.69200000000001</v>
      </c>
      <c r="BA315" s="21">
        <v>-1.12061E-2</v>
      </c>
      <c r="BB315" s="21">
        <v>305</v>
      </c>
      <c r="BC315" s="21">
        <v>1.4349400000000001</v>
      </c>
      <c r="BD315">
        <f t="shared" si="58"/>
        <v>11.206099999999999</v>
      </c>
      <c r="BE315">
        <f t="shared" si="59"/>
        <v>16.090278685000001</v>
      </c>
    </row>
    <row r="316" spans="6:57" x14ac:dyDescent="0.25">
      <c r="F316" s="9"/>
      <c r="G316" s="21">
        <v>0.25909399999999999</v>
      </c>
      <c r="H316" s="21">
        <v>174.18100000000001</v>
      </c>
      <c r="I316" s="21">
        <v>-1.20514E-2</v>
      </c>
      <c r="J316" s="21">
        <v>306</v>
      </c>
      <c r="K316" s="21">
        <v>0.25878899999999999</v>
      </c>
      <c r="L316">
        <f t="shared" si="48"/>
        <v>12.051400000000001</v>
      </c>
      <c r="M316">
        <f t="shared" si="49"/>
        <v>3.1224454316000001</v>
      </c>
      <c r="N316" s="9"/>
      <c r="O316" s="21">
        <v>1.44089</v>
      </c>
      <c r="P316" s="21">
        <v>258.166</v>
      </c>
      <c r="Q316" s="21">
        <v>-1.08215E-2</v>
      </c>
      <c r="R316" s="21">
        <v>306</v>
      </c>
      <c r="S316" s="21">
        <v>1.4401200000000001</v>
      </c>
      <c r="T316">
        <f t="shared" si="50"/>
        <v>10.8215</v>
      </c>
      <c r="U316">
        <f t="shared" si="51"/>
        <v>15.592591135000001</v>
      </c>
      <c r="X316" s="9"/>
      <c r="Y316" s="21">
        <v>0.25909399999999999</v>
      </c>
      <c r="Z316" s="21">
        <v>464.33300000000003</v>
      </c>
      <c r="AA316" s="21">
        <v>-1.18134E-2</v>
      </c>
      <c r="AB316" s="21">
        <v>306</v>
      </c>
      <c r="AC316" s="21">
        <v>0.25875900000000002</v>
      </c>
      <c r="AD316">
        <f t="shared" si="52"/>
        <v>11.8134</v>
      </c>
      <c r="AE316">
        <f t="shared" si="53"/>
        <v>3.0607810596</v>
      </c>
      <c r="AF316" s="9"/>
      <c r="AG316" s="21">
        <v>1.44089</v>
      </c>
      <c r="AH316" s="21">
        <v>521.00800000000004</v>
      </c>
      <c r="AI316" s="21">
        <v>-1.1065699999999999E-2</v>
      </c>
      <c r="AJ316" s="21">
        <v>306</v>
      </c>
      <c r="AK316" s="21">
        <v>1.4401200000000001</v>
      </c>
      <c r="AL316">
        <f t="shared" si="54"/>
        <v>11.0657</v>
      </c>
      <c r="AM316">
        <f t="shared" si="55"/>
        <v>15.944456472999999</v>
      </c>
      <c r="AP316" s="9"/>
      <c r="AQ316" s="21">
        <v>0.25909399999999999</v>
      </c>
      <c r="AR316" s="21">
        <v>677.697</v>
      </c>
      <c r="AS316" s="21">
        <v>-1.21338E-2</v>
      </c>
      <c r="AT316" s="21">
        <v>306</v>
      </c>
      <c r="AU316" s="21">
        <v>0.25878899999999999</v>
      </c>
      <c r="AV316">
        <f t="shared" si="56"/>
        <v>12.133800000000001</v>
      </c>
      <c r="AW316">
        <f t="shared" si="57"/>
        <v>3.1437947772000001</v>
      </c>
      <c r="AX316" s="9"/>
      <c r="AY316" s="21">
        <v>1.44089</v>
      </c>
      <c r="AZ316" s="21">
        <v>767.79200000000003</v>
      </c>
      <c r="BA316" s="21">
        <v>-1.12E-2</v>
      </c>
      <c r="BB316" s="21">
        <v>306</v>
      </c>
      <c r="BC316" s="21">
        <v>1.4401200000000001</v>
      </c>
      <c r="BD316">
        <f t="shared" si="58"/>
        <v>11.2</v>
      </c>
      <c r="BE316">
        <f t="shared" si="59"/>
        <v>16.137968000000001</v>
      </c>
    </row>
    <row r="317" spans="6:57" x14ac:dyDescent="0.25">
      <c r="F317" s="9"/>
      <c r="G317" s="21">
        <v>0.25405899999999998</v>
      </c>
      <c r="H317" s="21">
        <v>174.28200000000001</v>
      </c>
      <c r="I317" s="21">
        <v>-1.20483E-2</v>
      </c>
      <c r="J317" s="21">
        <v>307</v>
      </c>
      <c r="K317" s="21">
        <v>0.25384499999999999</v>
      </c>
      <c r="L317">
        <f t="shared" si="48"/>
        <v>12.048299999999999</v>
      </c>
      <c r="M317">
        <f t="shared" si="49"/>
        <v>3.0609790496999998</v>
      </c>
      <c r="N317" s="9"/>
      <c r="O317" s="21">
        <v>1.4459200000000001</v>
      </c>
      <c r="P317" s="21">
        <v>258.26600000000002</v>
      </c>
      <c r="Q317" s="21">
        <v>-1.08124E-2</v>
      </c>
      <c r="R317" s="21">
        <v>307</v>
      </c>
      <c r="S317" s="21">
        <v>1.4450099999999999</v>
      </c>
      <c r="T317">
        <f t="shared" si="50"/>
        <v>10.8124</v>
      </c>
      <c r="U317">
        <f t="shared" si="51"/>
        <v>15.633865408000002</v>
      </c>
      <c r="X317" s="9"/>
      <c r="Y317" s="21">
        <v>0.25405899999999998</v>
      </c>
      <c r="Z317" s="21">
        <v>464.43400000000003</v>
      </c>
      <c r="AA317" s="21">
        <v>-1.18286E-2</v>
      </c>
      <c r="AB317" s="21">
        <v>307</v>
      </c>
      <c r="AC317" s="21">
        <v>0.253693</v>
      </c>
      <c r="AD317">
        <f t="shared" si="52"/>
        <v>11.8286</v>
      </c>
      <c r="AE317">
        <f t="shared" si="53"/>
        <v>3.0051622873999997</v>
      </c>
      <c r="AF317" s="9"/>
      <c r="AG317" s="21">
        <v>1.4459200000000001</v>
      </c>
      <c r="AH317" s="21">
        <v>521.10900000000004</v>
      </c>
      <c r="AI317" s="21">
        <v>-1.1059599999999999E-2</v>
      </c>
      <c r="AJ317" s="21">
        <v>307</v>
      </c>
      <c r="AK317" s="21">
        <v>1.4447000000000001</v>
      </c>
      <c r="AL317">
        <f t="shared" si="54"/>
        <v>11.0596</v>
      </c>
      <c r="AM317">
        <f t="shared" si="55"/>
        <v>15.991296832</v>
      </c>
      <c r="AP317" s="9"/>
      <c r="AQ317" s="21">
        <v>0.25405899999999998</v>
      </c>
      <c r="AR317" s="21">
        <v>677.798</v>
      </c>
      <c r="AS317" s="21">
        <v>-1.2146000000000001E-2</v>
      </c>
      <c r="AT317" s="21">
        <v>307</v>
      </c>
      <c r="AU317" s="21">
        <v>0.25387599999999999</v>
      </c>
      <c r="AV317">
        <f t="shared" si="56"/>
        <v>12.146000000000001</v>
      </c>
      <c r="AW317">
        <f t="shared" si="57"/>
        <v>3.0858006140000001</v>
      </c>
      <c r="AX317" s="9"/>
      <c r="AY317" s="21">
        <v>1.4459200000000001</v>
      </c>
      <c r="AZ317" s="21">
        <v>767.89300000000003</v>
      </c>
      <c r="BA317" s="21">
        <v>-1.11938E-2</v>
      </c>
      <c r="BB317" s="21">
        <v>307</v>
      </c>
      <c r="BC317" s="21">
        <v>1.4453100000000001</v>
      </c>
      <c r="BD317">
        <f t="shared" si="58"/>
        <v>11.1938</v>
      </c>
      <c r="BE317">
        <f t="shared" si="59"/>
        <v>16.185339295999999</v>
      </c>
    </row>
    <row r="318" spans="6:57" x14ac:dyDescent="0.25">
      <c r="F318" s="9"/>
      <c r="G318" s="21">
        <v>0.24902299999999999</v>
      </c>
      <c r="H318" s="21">
        <v>174.38300000000001</v>
      </c>
      <c r="I318" s="21">
        <v>-1.20605E-2</v>
      </c>
      <c r="J318" s="21">
        <v>308</v>
      </c>
      <c r="K318" s="21">
        <v>0.248779</v>
      </c>
      <c r="L318">
        <f t="shared" si="48"/>
        <v>12.060499999999999</v>
      </c>
      <c r="M318">
        <f t="shared" si="49"/>
        <v>3.0033418914999999</v>
      </c>
      <c r="N318" s="9"/>
      <c r="O318" s="21">
        <v>1.45096</v>
      </c>
      <c r="P318" s="21">
        <v>258.36700000000002</v>
      </c>
      <c r="Q318" s="21">
        <v>-1.0809300000000001E-2</v>
      </c>
      <c r="R318" s="21">
        <v>308</v>
      </c>
      <c r="S318" s="21">
        <v>1.4508099999999999</v>
      </c>
      <c r="T318">
        <f t="shared" si="50"/>
        <v>10.8093</v>
      </c>
      <c r="U318">
        <f t="shared" si="51"/>
        <v>15.683861928000001</v>
      </c>
      <c r="X318" s="9"/>
      <c r="Y318" s="21">
        <v>0.24902299999999999</v>
      </c>
      <c r="Z318" s="21">
        <v>464.53500000000003</v>
      </c>
      <c r="AA318" s="21">
        <v>-1.18286E-2</v>
      </c>
      <c r="AB318" s="21">
        <v>308</v>
      </c>
      <c r="AC318" s="21">
        <v>0.24881</v>
      </c>
      <c r="AD318">
        <f t="shared" si="52"/>
        <v>11.8286</v>
      </c>
      <c r="AE318">
        <f t="shared" si="53"/>
        <v>2.9455934577999998</v>
      </c>
      <c r="AF318" s="9"/>
      <c r="AG318" s="21">
        <v>1.45096</v>
      </c>
      <c r="AH318" s="21">
        <v>521.21</v>
      </c>
      <c r="AI318" s="21">
        <v>-1.1053500000000001E-2</v>
      </c>
      <c r="AJ318" s="21">
        <v>308</v>
      </c>
      <c r="AK318" s="21">
        <v>1.4508099999999999</v>
      </c>
      <c r="AL318">
        <f t="shared" si="54"/>
        <v>11.053500000000001</v>
      </c>
      <c r="AM318">
        <f t="shared" si="55"/>
        <v>16.038186360000001</v>
      </c>
      <c r="AP318" s="9"/>
      <c r="AQ318" s="21">
        <v>0.24902299999999999</v>
      </c>
      <c r="AR318" s="21">
        <v>677.89800000000002</v>
      </c>
      <c r="AS318" s="21">
        <v>-1.21399E-2</v>
      </c>
      <c r="AT318" s="21">
        <v>308</v>
      </c>
      <c r="AU318" s="21">
        <v>0.248779</v>
      </c>
      <c r="AV318">
        <f t="shared" si="56"/>
        <v>12.139900000000001</v>
      </c>
      <c r="AW318">
        <f t="shared" si="57"/>
        <v>3.0231143177000002</v>
      </c>
      <c r="AX318" s="9"/>
      <c r="AY318" s="21">
        <v>1.45096</v>
      </c>
      <c r="AZ318" s="21">
        <v>767.99400000000003</v>
      </c>
      <c r="BA318" s="21">
        <v>-1.11938E-2</v>
      </c>
      <c r="BB318" s="21">
        <v>308</v>
      </c>
      <c r="BC318" s="21">
        <v>1.4501999999999999</v>
      </c>
      <c r="BD318">
        <f t="shared" si="58"/>
        <v>11.1938</v>
      </c>
      <c r="BE318">
        <f t="shared" si="59"/>
        <v>16.241756047999999</v>
      </c>
    </row>
    <row r="319" spans="6:57" x14ac:dyDescent="0.25">
      <c r="F319" s="9"/>
      <c r="G319" s="21">
        <v>0.24398800000000001</v>
      </c>
      <c r="H319" s="21">
        <v>174.483</v>
      </c>
      <c r="I319" s="21">
        <v>-1.20605E-2</v>
      </c>
      <c r="J319" s="21">
        <v>309</v>
      </c>
      <c r="K319" s="21">
        <v>0.24380499999999999</v>
      </c>
      <c r="L319">
        <f t="shared" si="48"/>
        <v>12.060499999999999</v>
      </c>
      <c r="M319">
        <f t="shared" si="49"/>
        <v>2.9426172739999998</v>
      </c>
      <c r="N319" s="9"/>
      <c r="O319" s="21">
        <v>1.4559899999999999</v>
      </c>
      <c r="P319" s="21">
        <v>258.46800000000002</v>
      </c>
      <c r="Q319" s="21">
        <v>-1.0800199999999999E-2</v>
      </c>
      <c r="R319" s="21">
        <v>309</v>
      </c>
      <c r="S319" s="21">
        <v>1.4556899999999999</v>
      </c>
      <c r="T319">
        <f t="shared" si="50"/>
        <v>10.8002</v>
      </c>
      <c r="U319">
        <f t="shared" si="51"/>
        <v>15.724983197999999</v>
      </c>
      <c r="X319" s="9"/>
      <c r="Y319" s="21">
        <v>0.24398800000000001</v>
      </c>
      <c r="Z319" s="21">
        <v>464.63499999999999</v>
      </c>
      <c r="AA319" s="21">
        <v>-1.18286E-2</v>
      </c>
      <c r="AB319" s="21">
        <v>309</v>
      </c>
      <c r="AC319" s="21">
        <v>0.243835</v>
      </c>
      <c r="AD319">
        <f t="shared" si="52"/>
        <v>11.8286</v>
      </c>
      <c r="AE319">
        <f t="shared" si="53"/>
        <v>2.8860364567999999</v>
      </c>
      <c r="AF319" s="9"/>
      <c r="AG319" s="21">
        <v>1.4559899999999999</v>
      </c>
      <c r="AH319" s="21">
        <v>521.30999999999995</v>
      </c>
      <c r="AI319" s="21">
        <v>-1.1053500000000001E-2</v>
      </c>
      <c r="AJ319" s="21">
        <v>309</v>
      </c>
      <c r="AK319" s="21">
        <v>1.4556899999999999</v>
      </c>
      <c r="AL319">
        <f t="shared" si="54"/>
        <v>11.053500000000001</v>
      </c>
      <c r="AM319">
        <f t="shared" si="55"/>
        <v>16.093785465</v>
      </c>
      <c r="AP319" s="9"/>
      <c r="AQ319" s="21">
        <v>0.24398800000000001</v>
      </c>
      <c r="AR319" s="21">
        <v>677.99900000000002</v>
      </c>
      <c r="AS319" s="21">
        <v>-1.2191799999999999E-2</v>
      </c>
      <c r="AT319" s="21">
        <v>309</v>
      </c>
      <c r="AU319" s="21">
        <v>0.24371300000000001</v>
      </c>
      <c r="AV319">
        <f t="shared" si="56"/>
        <v>12.191799999999999</v>
      </c>
      <c r="AW319">
        <f t="shared" si="57"/>
        <v>2.9746528984</v>
      </c>
      <c r="AX319" s="9"/>
      <c r="AY319" s="21">
        <v>1.4559899999999999</v>
      </c>
      <c r="AZ319" s="21">
        <v>768.09400000000005</v>
      </c>
      <c r="BA319" s="21">
        <v>-1.1184700000000001E-2</v>
      </c>
      <c r="BB319" s="21">
        <v>309</v>
      </c>
      <c r="BC319" s="21">
        <v>1.4553799999999999</v>
      </c>
      <c r="BD319">
        <f t="shared" si="58"/>
        <v>11.184700000000001</v>
      </c>
      <c r="BE319">
        <f t="shared" si="59"/>
        <v>16.284811353000002</v>
      </c>
    </row>
    <row r="320" spans="6:57" x14ac:dyDescent="0.25">
      <c r="F320" s="9"/>
      <c r="G320" s="21">
        <v>0.238953</v>
      </c>
      <c r="H320" s="21">
        <v>174.584</v>
      </c>
      <c r="I320" s="21">
        <v>-1.20605E-2</v>
      </c>
      <c r="J320" s="21">
        <v>310</v>
      </c>
      <c r="K320" s="21">
        <v>0.23880000000000001</v>
      </c>
      <c r="L320">
        <f t="shared" si="48"/>
        <v>12.060499999999999</v>
      </c>
      <c r="M320">
        <f t="shared" si="49"/>
        <v>2.8818926564999998</v>
      </c>
      <c r="N320" s="9"/>
      <c r="O320" s="21">
        <v>1.4610300000000001</v>
      </c>
      <c r="P320" s="21">
        <v>258.56799999999998</v>
      </c>
      <c r="Q320" s="21">
        <v>-1.07971E-2</v>
      </c>
      <c r="R320" s="21">
        <v>310</v>
      </c>
      <c r="S320" s="21">
        <v>1.4605699999999999</v>
      </c>
      <c r="T320">
        <f t="shared" si="50"/>
        <v>10.7971</v>
      </c>
      <c r="U320">
        <f t="shared" si="51"/>
        <v>15.774887013000001</v>
      </c>
      <c r="X320" s="9"/>
      <c r="Y320" s="21">
        <v>0.238953</v>
      </c>
      <c r="Z320" s="21">
        <v>464.73599999999999</v>
      </c>
      <c r="AA320" s="21">
        <v>-1.18683E-2</v>
      </c>
      <c r="AB320" s="21">
        <v>310</v>
      </c>
      <c r="AC320" s="21">
        <v>0.23877000000000001</v>
      </c>
      <c r="AD320">
        <f t="shared" si="52"/>
        <v>11.8683</v>
      </c>
      <c r="AE320">
        <f t="shared" si="53"/>
        <v>2.8359658898999998</v>
      </c>
      <c r="AF320" s="9"/>
      <c r="AG320" s="21">
        <v>1.4610300000000001</v>
      </c>
      <c r="AH320" s="21">
        <v>521.41099999999994</v>
      </c>
      <c r="AI320" s="21">
        <v>-1.1047400000000001E-2</v>
      </c>
      <c r="AJ320" s="21">
        <v>310</v>
      </c>
      <c r="AK320" s="21">
        <v>1.4599599999999999</v>
      </c>
      <c r="AL320">
        <f t="shared" si="54"/>
        <v>11.047400000000001</v>
      </c>
      <c r="AM320">
        <f t="shared" si="55"/>
        <v>16.140582822000002</v>
      </c>
      <c r="AP320" s="9"/>
      <c r="AQ320" s="21">
        <v>0.238953</v>
      </c>
      <c r="AR320" s="21">
        <v>678.1</v>
      </c>
      <c r="AS320" s="21">
        <v>-1.2191799999999999E-2</v>
      </c>
      <c r="AT320" s="21">
        <v>310</v>
      </c>
      <c r="AU320" s="21">
        <v>0.23873900000000001</v>
      </c>
      <c r="AV320">
        <f t="shared" si="56"/>
        <v>12.191799999999999</v>
      </c>
      <c r="AW320">
        <f t="shared" si="57"/>
        <v>2.9132671853999996</v>
      </c>
      <c r="AX320" s="9"/>
      <c r="AY320" s="21">
        <v>1.4610300000000001</v>
      </c>
      <c r="AZ320" s="21">
        <v>768.19500000000005</v>
      </c>
      <c r="BA320" s="21">
        <v>-1.11816E-2</v>
      </c>
      <c r="BB320" s="21">
        <v>310</v>
      </c>
      <c r="BC320" s="21">
        <v>1.46027</v>
      </c>
      <c r="BD320">
        <f t="shared" si="58"/>
        <v>11.1816</v>
      </c>
      <c r="BE320">
        <f t="shared" si="59"/>
        <v>16.336653047999999</v>
      </c>
    </row>
    <row r="321" spans="6:57" x14ac:dyDescent="0.25">
      <c r="F321" s="9"/>
      <c r="G321" s="21">
        <v>0.23391700000000001</v>
      </c>
      <c r="H321" s="21">
        <v>174.685</v>
      </c>
      <c r="I321" s="21">
        <v>-1.20605E-2</v>
      </c>
      <c r="J321" s="21">
        <v>311</v>
      </c>
      <c r="K321" s="21">
        <v>0.23364299999999999</v>
      </c>
      <c r="L321">
        <f t="shared" si="48"/>
        <v>12.060499999999999</v>
      </c>
      <c r="M321">
        <f t="shared" si="49"/>
        <v>2.8211559785000002</v>
      </c>
      <c r="N321" s="9"/>
      <c r="O321" s="21">
        <v>1.4660599999999999</v>
      </c>
      <c r="P321" s="21">
        <v>258.66899999999998</v>
      </c>
      <c r="Q321" s="21">
        <v>-1.0794099999999999E-2</v>
      </c>
      <c r="R321" s="21">
        <v>311</v>
      </c>
      <c r="S321" s="21">
        <v>1.4660599999999999</v>
      </c>
      <c r="T321">
        <f t="shared" si="50"/>
        <v>10.794099999999998</v>
      </c>
      <c r="U321">
        <f t="shared" si="51"/>
        <v>15.824798245999997</v>
      </c>
      <c r="X321" s="9"/>
      <c r="Y321" s="21">
        <v>0.23391700000000001</v>
      </c>
      <c r="Z321" s="21">
        <v>464.83699999999999</v>
      </c>
      <c r="AA321" s="21">
        <v>-1.18744E-2</v>
      </c>
      <c r="AB321" s="21">
        <v>311</v>
      </c>
      <c r="AC321" s="21">
        <v>0.233704</v>
      </c>
      <c r="AD321">
        <f t="shared" si="52"/>
        <v>11.8744</v>
      </c>
      <c r="AE321">
        <f t="shared" si="53"/>
        <v>2.7776240248000001</v>
      </c>
      <c r="AF321" s="9"/>
      <c r="AG321" s="21">
        <v>1.4660599999999999</v>
      </c>
      <c r="AH321" s="21">
        <v>521.51199999999994</v>
      </c>
      <c r="AI321" s="21">
        <v>-1.10382E-2</v>
      </c>
      <c r="AJ321" s="21">
        <v>311</v>
      </c>
      <c r="AK321" s="21">
        <v>1.46576</v>
      </c>
      <c r="AL321">
        <f t="shared" si="54"/>
        <v>11.0382</v>
      </c>
      <c r="AM321">
        <f t="shared" si="55"/>
        <v>16.182663492</v>
      </c>
      <c r="AP321" s="9"/>
      <c r="AQ321" s="21">
        <v>0.23391700000000001</v>
      </c>
      <c r="AR321" s="21">
        <v>678.2</v>
      </c>
      <c r="AS321" s="21">
        <v>-1.2191799999999999E-2</v>
      </c>
      <c r="AT321" s="21">
        <v>311</v>
      </c>
      <c r="AU321" s="21">
        <v>0.23364299999999999</v>
      </c>
      <c r="AV321">
        <f t="shared" si="56"/>
        <v>12.191799999999999</v>
      </c>
      <c r="AW321">
        <f t="shared" si="57"/>
        <v>2.8518692805999999</v>
      </c>
      <c r="AX321" s="9"/>
      <c r="AY321" s="21">
        <v>1.4660599999999999</v>
      </c>
      <c r="AZ321" s="21">
        <v>768.29600000000005</v>
      </c>
      <c r="BA321" s="21">
        <v>-1.1169399999999999E-2</v>
      </c>
      <c r="BB321" s="21">
        <v>311</v>
      </c>
      <c r="BC321" s="21">
        <v>1.46515</v>
      </c>
      <c r="BD321">
        <f t="shared" si="58"/>
        <v>11.1694</v>
      </c>
      <c r="BE321">
        <f t="shared" si="59"/>
        <v>16.375010564</v>
      </c>
    </row>
    <row r="322" spans="6:57" x14ac:dyDescent="0.25">
      <c r="F322" s="9"/>
      <c r="G322" s="21">
        <v>0.228882</v>
      </c>
      <c r="H322" s="21">
        <v>174.785</v>
      </c>
      <c r="I322" s="21">
        <v>-1.20819E-2</v>
      </c>
      <c r="J322" s="21">
        <v>312</v>
      </c>
      <c r="K322" s="21">
        <v>0.228607</v>
      </c>
      <c r="L322">
        <f t="shared" si="48"/>
        <v>12.081899999999999</v>
      </c>
      <c r="M322">
        <f t="shared" si="49"/>
        <v>2.7653294358</v>
      </c>
      <c r="N322" s="9"/>
      <c r="O322" s="21">
        <v>1.4711000000000001</v>
      </c>
      <c r="P322" s="21">
        <v>258.77</v>
      </c>
      <c r="Q322" s="21">
        <v>-1.0788000000000001E-2</v>
      </c>
      <c r="R322" s="21">
        <v>312</v>
      </c>
      <c r="S322" s="21">
        <v>1.4706399999999999</v>
      </c>
      <c r="T322">
        <f t="shared" si="50"/>
        <v>10.788</v>
      </c>
      <c r="U322">
        <f t="shared" si="51"/>
        <v>15.870226800000001</v>
      </c>
      <c r="X322" s="9"/>
      <c r="Y322" s="21">
        <v>0.228882</v>
      </c>
      <c r="Z322" s="21">
        <v>464.93700000000001</v>
      </c>
      <c r="AA322" s="21">
        <v>-1.18744E-2</v>
      </c>
      <c r="AB322" s="21">
        <v>312</v>
      </c>
      <c r="AC322" s="21">
        <v>0.22866800000000001</v>
      </c>
      <c r="AD322">
        <f t="shared" si="52"/>
        <v>11.8744</v>
      </c>
      <c r="AE322">
        <f t="shared" si="53"/>
        <v>2.7178364207999999</v>
      </c>
      <c r="AF322" s="9"/>
      <c r="AG322" s="21">
        <v>1.4711000000000001</v>
      </c>
      <c r="AH322" s="21">
        <v>521.61199999999997</v>
      </c>
      <c r="AI322" s="21">
        <v>-1.10352E-2</v>
      </c>
      <c r="AJ322" s="21">
        <v>312</v>
      </c>
      <c r="AK322" s="21">
        <v>1.4706399999999999</v>
      </c>
      <c r="AL322">
        <f t="shared" si="54"/>
        <v>11.0352</v>
      </c>
      <c r="AM322">
        <f t="shared" si="55"/>
        <v>16.23388272</v>
      </c>
      <c r="AP322" s="9"/>
      <c r="AQ322" s="21">
        <v>0.228882</v>
      </c>
      <c r="AR322" s="21">
        <v>678.30100000000004</v>
      </c>
      <c r="AS322" s="21">
        <v>-1.22101E-2</v>
      </c>
      <c r="AT322" s="21">
        <v>312</v>
      </c>
      <c r="AU322" s="21">
        <v>0.22866800000000001</v>
      </c>
      <c r="AV322">
        <f t="shared" si="56"/>
        <v>12.210100000000001</v>
      </c>
      <c r="AW322">
        <f t="shared" si="57"/>
        <v>2.7946721082000003</v>
      </c>
      <c r="AX322" s="9"/>
      <c r="AY322" s="21">
        <v>1.4711000000000001</v>
      </c>
      <c r="AZ322" s="21">
        <v>768.39700000000005</v>
      </c>
      <c r="BA322" s="21">
        <v>-1.1163299999999999E-2</v>
      </c>
      <c r="BB322" s="21">
        <v>312</v>
      </c>
      <c r="BC322" s="21">
        <v>1.4706399999999999</v>
      </c>
      <c r="BD322">
        <f t="shared" si="58"/>
        <v>11.1633</v>
      </c>
      <c r="BE322">
        <f t="shared" si="59"/>
        <v>16.422330630000001</v>
      </c>
    </row>
    <row r="323" spans="6:57" x14ac:dyDescent="0.25">
      <c r="F323" s="9"/>
      <c r="G323" s="21">
        <v>0.22384599999999999</v>
      </c>
      <c r="H323" s="21">
        <v>174.886</v>
      </c>
      <c r="I323" s="21">
        <v>-1.2069699999999999E-2</v>
      </c>
      <c r="J323" s="21">
        <v>313</v>
      </c>
      <c r="K323" s="21">
        <v>0.22357199999999999</v>
      </c>
      <c r="L323">
        <f t="shared" si="48"/>
        <v>12.069699999999999</v>
      </c>
      <c r="M323">
        <f t="shared" si="49"/>
        <v>2.7017540661999999</v>
      </c>
      <c r="N323" s="9"/>
      <c r="O323" s="21">
        <v>1.47614</v>
      </c>
      <c r="P323" s="21">
        <v>258.87099999999998</v>
      </c>
      <c r="Q323" s="21">
        <v>-1.0781900000000001E-2</v>
      </c>
      <c r="R323" s="21">
        <v>313</v>
      </c>
      <c r="S323" s="21">
        <v>1.4755199999999999</v>
      </c>
      <c r="T323">
        <f t="shared" si="50"/>
        <v>10.7819</v>
      </c>
      <c r="U323">
        <f t="shared" si="51"/>
        <v>15.915593866</v>
      </c>
      <c r="X323" s="9"/>
      <c r="Y323" s="21">
        <v>0.22384599999999999</v>
      </c>
      <c r="Z323" s="21">
        <v>465.03800000000001</v>
      </c>
      <c r="AA323" s="21">
        <v>-1.18683E-2</v>
      </c>
      <c r="AB323" s="21">
        <v>313</v>
      </c>
      <c r="AC323" s="21">
        <v>0.223694</v>
      </c>
      <c r="AD323">
        <f t="shared" si="52"/>
        <v>11.8683</v>
      </c>
      <c r="AE323">
        <f t="shared" si="53"/>
        <v>2.6566714817999997</v>
      </c>
      <c r="AF323" s="9"/>
      <c r="AG323" s="21">
        <v>1.47614</v>
      </c>
      <c r="AH323" s="21">
        <v>521.71299999999997</v>
      </c>
      <c r="AI323" s="21">
        <v>-1.1025999999999999E-2</v>
      </c>
      <c r="AJ323" s="21">
        <v>313</v>
      </c>
      <c r="AK323" s="21">
        <v>1.47522</v>
      </c>
      <c r="AL323">
        <f t="shared" si="54"/>
        <v>11.026</v>
      </c>
      <c r="AM323">
        <f t="shared" si="55"/>
        <v>16.275919640000001</v>
      </c>
      <c r="AP323" s="9"/>
      <c r="AQ323" s="21">
        <v>0.22384599999999999</v>
      </c>
      <c r="AR323" s="21">
        <v>678.40200000000004</v>
      </c>
      <c r="AS323" s="21">
        <v>-1.22162E-2</v>
      </c>
      <c r="AT323" s="21">
        <v>313</v>
      </c>
      <c r="AU323" s="21">
        <v>0.22354099999999999</v>
      </c>
      <c r="AV323">
        <f t="shared" si="56"/>
        <v>12.216200000000001</v>
      </c>
      <c r="AW323">
        <f t="shared" si="57"/>
        <v>2.7345475052000001</v>
      </c>
      <c r="AX323" s="9"/>
      <c r="AY323" s="21">
        <v>1.47614</v>
      </c>
      <c r="AZ323" s="21">
        <v>768.49699999999996</v>
      </c>
      <c r="BA323" s="21">
        <v>-1.1163299999999999E-2</v>
      </c>
      <c r="BB323" s="21">
        <v>313</v>
      </c>
      <c r="BC323" s="21">
        <v>1.4755199999999999</v>
      </c>
      <c r="BD323">
        <f t="shared" si="58"/>
        <v>11.1633</v>
      </c>
      <c r="BE323">
        <f t="shared" si="59"/>
        <v>16.478593661999998</v>
      </c>
    </row>
    <row r="324" spans="6:57" x14ac:dyDescent="0.25">
      <c r="F324" s="9"/>
      <c r="G324" s="21">
        <v>0.21881100000000001</v>
      </c>
      <c r="H324" s="21">
        <v>174.98699999999999</v>
      </c>
      <c r="I324" s="21">
        <v>-1.20789E-2</v>
      </c>
      <c r="J324" s="21">
        <v>314</v>
      </c>
      <c r="K324" s="21">
        <v>0.21859700000000001</v>
      </c>
      <c r="L324">
        <f t="shared" si="48"/>
        <v>12.078900000000001</v>
      </c>
      <c r="M324">
        <f t="shared" si="49"/>
        <v>2.6429961879000001</v>
      </c>
      <c r="N324" s="9"/>
      <c r="O324" s="21">
        <v>1.4811700000000001</v>
      </c>
      <c r="P324" s="21">
        <v>258.971</v>
      </c>
      <c r="Q324" s="21">
        <v>-1.07727E-2</v>
      </c>
      <c r="R324" s="21">
        <v>314</v>
      </c>
      <c r="S324" s="21">
        <v>1.48071</v>
      </c>
      <c r="T324">
        <f t="shared" si="50"/>
        <v>10.7727</v>
      </c>
      <c r="U324">
        <f t="shared" si="51"/>
        <v>15.956200059000002</v>
      </c>
      <c r="X324" s="9"/>
      <c r="Y324" s="21">
        <v>0.21881100000000001</v>
      </c>
      <c r="Z324" s="21">
        <v>465.13900000000001</v>
      </c>
      <c r="AA324" s="21">
        <v>-1.1865199999999999E-2</v>
      </c>
      <c r="AB324" s="21">
        <v>314</v>
      </c>
      <c r="AC324" s="21">
        <v>0.218445</v>
      </c>
      <c r="AD324">
        <f t="shared" si="52"/>
        <v>11.8652</v>
      </c>
      <c r="AE324">
        <f t="shared" si="53"/>
        <v>2.5962362772000001</v>
      </c>
      <c r="AF324" s="9"/>
      <c r="AG324" s="21">
        <v>1.4811700000000001</v>
      </c>
      <c r="AH324" s="21">
        <v>521.81399999999996</v>
      </c>
      <c r="AI324" s="21">
        <v>-1.10229E-2</v>
      </c>
      <c r="AJ324" s="21">
        <v>314</v>
      </c>
      <c r="AK324" s="21">
        <v>1.48041</v>
      </c>
      <c r="AL324">
        <f t="shared" si="54"/>
        <v>11.0229</v>
      </c>
      <c r="AM324">
        <f t="shared" si="55"/>
        <v>16.326788793000002</v>
      </c>
      <c r="AP324" s="9"/>
      <c r="AQ324" s="21">
        <v>0.21881100000000001</v>
      </c>
      <c r="AR324" s="21">
        <v>678.50199999999995</v>
      </c>
      <c r="AS324" s="21">
        <v>-1.22314E-2</v>
      </c>
      <c r="AT324" s="21">
        <v>314</v>
      </c>
      <c r="AU324" s="21">
        <v>0.21856700000000001</v>
      </c>
      <c r="AV324">
        <f t="shared" si="56"/>
        <v>12.231400000000001</v>
      </c>
      <c r="AW324">
        <f t="shared" si="57"/>
        <v>2.6763648654000001</v>
      </c>
      <c r="AX324" s="9"/>
      <c r="AY324" s="21">
        <v>1.4811700000000001</v>
      </c>
      <c r="AZ324" s="21">
        <v>768.59799999999996</v>
      </c>
      <c r="BA324" s="21">
        <v>-1.11542E-2</v>
      </c>
      <c r="BB324" s="21">
        <v>314</v>
      </c>
      <c r="BC324" s="21">
        <v>1.4801</v>
      </c>
      <c r="BD324">
        <f t="shared" si="58"/>
        <v>11.154199999999999</v>
      </c>
      <c r="BE324">
        <f t="shared" si="59"/>
        <v>16.521266413999999</v>
      </c>
    </row>
    <row r="325" spans="6:57" x14ac:dyDescent="0.25">
      <c r="F325" s="9"/>
      <c r="G325" s="21">
        <v>0.21377599999999999</v>
      </c>
      <c r="H325" s="21">
        <v>175.08799999999999</v>
      </c>
      <c r="I325" s="21">
        <v>-1.2075799999999999E-2</v>
      </c>
      <c r="J325" s="21">
        <v>315</v>
      </c>
      <c r="K325" s="21">
        <v>0.21359300000000001</v>
      </c>
      <c r="L325">
        <f t="shared" si="48"/>
        <v>12.075799999999999</v>
      </c>
      <c r="M325">
        <f t="shared" si="49"/>
        <v>2.5815162207999998</v>
      </c>
      <c r="N325" s="9"/>
      <c r="O325" s="21">
        <v>1.48621</v>
      </c>
      <c r="P325" s="21">
        <v>259.072</v>
      </c>
      <c r="Q325" s="21">
        <v>-1.07635E-2</v>
      </c>
      <c r="R325" s="21">
        <v>315</v>
      </c>
      <c r="S325" s="21">
        <v>1.4859</v>
      </c>
      <c r="T325">
        <f t="shared" si="50"/>
        <v>10.763500000000001</v>
      </c>
      <c r="U325">
        <f t="shared" si="51"/>
        <v>15.996821335000002</v>
      </c>
      <c r="X325" s="9"/>
      <c r="Y325" s="21">
        <v>0.21377599999999999</v>
      </c>
      <c r="Z325" s="21">
        <v>465.24</v>
      </c>
      <c r="AA325" s="21">
        <v>-1.18713E-2</v>
      </c>
      <c r="AB325" s="21">
        <v>315</v>
      </c>
      <c r="AC325" s="21">
        <v>0.213562</v>
      </c>
      <c r="AD325">
        <f t="shared" si="52"/>
        <v>11.8713</v>
      </c>
      <c r="AE325">
        <f t="shared" si="53"/>
        <v>2.5377990287999999</v>
      </c>
      <c r="AF325" s="9"/>
      <c r="AG325" s="21">
        <v>1.48621</v>
      </c>
      <c r="AH325" s="21">
        <v>521.91399999999999</v>
      </c>
      <c r="AI325" s="21">
        <v>-1.10168E-2</v>
      </c>
      <c r="AJ325" s="21">
        <v>315</v>
      </c>
      <c r="AK325" s="21">
        <v>1.4856</v>
      </c>
      <c r="AL325">
        <f t="shared" si="54"/>
        <v>11.0168</v>
      </c>
      <c r="AM325">
        <f t="shared" si="55"/>
        <v>16.373278328000001</v>
      </c>
      <c r="AP325" s="9"/>
      <c r="AQ325" s="21">
        <v>0.21377599999999999</v>
      </c>
      <c r="AR325" s="21">
        <v>678.60299999999995</v>
      </c>
      <c r="AS325" s="21">
        <v>-1.22437E-2</v>
      </c>
      <c r="AT325" s="21">
        <v>315</v>
      </c>
      <c r="AU325" s="21">
        <v>0.213562</v>
      </c>
      <c r="AV325">
        <f t="shared" si="56"/>
        <v>12.2437</v>
      </c>
      <c r="AW325">
        <f t="shared" si="57"/>
        <v>2.6174092112</v>
      </c>
      <c r="AX325" s="9"/>
      <c r="AY325" s="21">
        <v>1.48621</v>
      </c>
      <c r="AZ325" s="21">
        <v>768.69899999999996</v>
      </c>
      <c r="BA325" s="21">
        <v>-1.1148099999999999E-2</v>
      </c>
      <c r="BB325" s="21">
        <v>315</v>
      </c>
      <c r="BC325" s="21">
        <v>1.4859</v>
      </c>
      <c r="BD325">
        <f t="shared" si="58"/>
        <v>11.148099999999999</v>
      </c>
      <c r="BE325">
        <f t="shared" si="59"/>
        <v>16.568417700999998</v>
      </c>
    </row>
    <row r="326" spans="6:57" x14ac:dyDescent="0.25">
      <c r="F326" s="9"/>
      <c r="G326" s="21">
        <v>0.20874000000000001</v>
      </c>
      <c r="H326" s="21">
        <v>175.18799999999999</v>
      </c>
      <c r="I326" s="21">
        <v>-1.20819E-2</v>
      </c>
      <c r="J326" s="21">
        <v>316</v>
      </c>
      <c r="K326" s="21">
        <v>0.208588</v>
      </c>
      <c r="L326">
        <f t="shared" si="48"/>
        <v>12.081899999999999</v>
      </c>
      <c r="M326">
        <f t="shared" si="49"/>
        <v>2.5219758059999999</v>
      </c>
      <c r="N326" s="9"/>
      <c r="O326" s="21">
        <v>1.4912399999999999</v>
      </c>
      <c r="P326" s="21">
        <v>259.173</v>
      </c>
      <c r="Q326" s="21">
        <v>-1.0754400000000001E-2</v>
      </c>
      <c r="R326" s="21">
        <v>316</v>
      </c>
      <c r="S326" s="21">
        <v>1.49048</v>
      </c>
      <c r="T326">
        <f t="shared" si="50"/>
        <v>10.7544</v>
      </c>
      <c r="U326">
        <f t="shared" si="51"/>
        <v>16.037391455999998</v>
      </c>
      <c r="X326" s="9"/>
      <c r="Y326" s="21">
        <v>0.20874000000000001</v>
      </c>
      <c r="Z326" s="21">
        <v>465.34</v>
      </c>
      <c r="AA326" s="21">
        <v>-1.18744E-2</v>
      </c>
      <c r="AB326" s="21">
        <v>316</v>
      </c>
      <c r="AC326" s="21">
        <v>0.208618</v>
      </c>
      <c r="AD326">
        <f t="shared" si="52"/>
        <v>11.8744</v>
      </c>
      <c r="AE326">
        <f t="shared" si="53"/>
        <v>2.4786622560000002</v>
      </c>
      <c r="AF326" s="9"/>
      <c r="AG326" s="21">
        <v>1.4912399999999999</v>
      </c>
      <c r="AH326" s="21">
        <v>522.01499999999999</v>
      </c>
      <c r="AI326" s="21">
        <v>-1.10107E-2</v>
      </c>
      <c r="AJ326" s="21">
        <v>316</v>
      </c>
      <c r="AK326" s="21">
        <v>1.49109</v>
      </c>
      <c r="AL326">
        <f t="shared" si="54"/>
        <v>11.0107</v>
      </c>
      <c r="AM326">
        <f t="shared" si="55"/>
        <v>16.419596267999999</v>
      </c>
      <c r="AP326" s="9"/>
      <c r="AQ326" s="21">
        <v>0.20874000000000001</v>
      </c>
      <c r="AR326" s="21">
        <v>678.70399999999995</v>
      </c>
      <c r="AS326" s="21">
        <v>-1.22498E-2</v>
      </c>
      <c r="AT326" s="21">
        <v>316</v>
      </c>
      <c r="AU326" s="21">
        <v>0.208588</v>
      </c>
      <c r="AV326">
        <f t="shared" si="56"/>
        <v>12.2498</v>
      </c>
      <c r="AW326">
        <f t="shared" si="57"/>
        <v>2.557023252</v>
      </c>
      <c r="AX326" s="9"/>
      <c r="AY326" s="21">
        <v>1.4912399999999999</v>
      </c>
      <c r="AZ326" s="21">
        <v>768.79899999999998</v>
      </c>
      <c r="BA326" s="21">
        <v>-1.11389E-2</v>
      </c>
      <c r="BB326" s="21">
        <v>316</v>
      </c>
      <c r="BC326" s="21">
        <v>1.49139</v>
      </c>
      <c r="BD326">
        <f t="shared" si="58"/>
        <v>11.1389</v>
      </c>
      <c r="BE326">
        <f t="shared" si="59"/>
        <v>16.610773236</v>
      </c>
    </row>
    <row r="327" spans="6:57" x14ac:dyDescent="0.25">
      <c r="F327" s="9"/>
      <c r="G327" s="21">
        <v>0.203705</v>
      </c>
      <c r="H327" s="21">
        <v>175.28899999999999</v>
      </c>
      <c r="I327" s="21">
        <v>-1.20789E-2</v>
      </c>
      <c r="J327" s="21">
        <v>317</v>
      </c>
      <c r="K327" s="21">
        <v>0.20349100000000001</v>
      </c>
      <c r="L327">
        <f t="shared" si="48"/>
        <v>12.078900000000001</v>
      </c>
      <c r="M327">
        <f t="shared" si="49"/>
        <v>2.4605323244999999</v>
      </c>
      <c r="N327" s="9"/>
      <c r="O327" s="21">
        <v>1.4962800000000001</v>
      </c>
      <c r="P327" s="21">
        <v>259.27300000000002</v>
      </c>
      <c r="Q327" s="21">
        <v>-1.07452E-2</v>
      </c>
      <c r="R327" s="21">
        <v>317</v>
      </c>
      <c r="S327" s="21">
        <v>1.49597</v>
      </c>
      <c r="T327">
        <f t="shared" si="50"/>
        <v>10.745200000000001</v>
      </c>
      <c r="U327">
        <f t="shared" si="51"/>
        <v>16.077827856000003</v>
      </c>
      <c r="X327" s="9"/>
      <c r="Y327" s="21">
        <v>0.203705</v>
      </c>
      <c r="Z327" s="21">
        <v>465.44099999999997</v>
      </c>
      <c r="AA327" s="21">
        <v>-1.18774E-2</v>
      </c>
      <c r="AB327" s="21">
        <v>317</v>
      </c>
      <c r="AC327" s="21">
        <v>0.20358299999999999</v>
      </c>
      <c r="AD327">
        <f t="shared" si="52"/>
        <v>11.8774</v>
      </c>
      <c r="AE327">
        <f t="shared" si="53"/>
        <v>2.4194857669999998</v>
      </c>
      <c r="AF327" s="9"/>
      <c r="AG327" s="21">
        <v>1.4962800000000001</v>
      </c>
      <c r="AH327" s="21">
        <v>522.11599999999999</v>
      </c>
      <c r="AI327" s="21">
        <v>-1.10046E-2</v>
      </c>
      <c r="AJ327" s="21">
        <v>317</v>
      </c>
      <c r="AK327" s="21">
        <v>1.49536</v>
      </c>
      <c r="AL327">
        <f t="shared" si="54"/>
        <v>11.0046</v>
      </c>
      <c r="AM327">
        <f t="shared" si="55"/>
        <v>16.465962888</v>
      </c>
      <c r="AP327" s="9"/>
      <c r="AQ327" s="21">
        <v>0.203705</v>
      </c>
      <c r="AR327" s="21">
        <v>678.80499999999995</v>
      </c>
      <c r="AS327" s="21">
        <v>-1.22498E-2</v>
      </c>
      <c r="AT327" s="21">
        <v>317</v>
      </c>
      <c r="AU327" s="21">
        <v>0.20358299999999999</v>
      </c>
      <c r="AV327">
        <f t="shared" si="56"/>
        <v>12.2498</v>
      </c>
      <c r="AW327">
        <f t="shared" si="57"/>
        <v>2.4953455089999999</v>
      </c>
      <c r="AX327" s="9"/>
      <c r="AY327" s="21">
        <v>1.4962800000000001</v>
      </c>
      <c r="AZ327" s="21">
        <v>768.9</v>
      </c>
      <c r="BA327" s="21">
        <v>-1.11389E-2</v>
      </c>
      <c r="BB327" s="21">
        <v>317</v>
      </c>
      <c r="BC327" s="21">
        <v>1.49536</v>
      </c>
      <c r="BD327">
        <f t="shared" si="58"/>
        <v>11.1389</v>
      </c>
      <c r="BE327">
        <f t="shared" si="59"/>
        <v>16.666913292</v>
      </c>
    </row>
    <row r="328" spans="6:57" x14ac:dyDescent="0.25">
      <c r="F328" s="9"/>
      <c r="G328" s="21">
        <v>0.19866900000000001</v>
      </c>
      <c r="H328" s="21">
        <v>175.39</v>
      </c>
      <c r="I328" s="21">
        <v>-1.20789E-2</v>
      </c>
      <c r="J328" s="21">
        <v>318</v>
      </c>
      <c r="K328" s="21">
        <v>0.19842499999999999</v>
      </c>
      <c r="L328">
        <f t="shared" si="48"/>
        <v>12.078900000000001</v>
      </c>
      <c r="M328">
        <f t="shared" si="49"/>
        <v>2.3997029841000002</v>
      </c>
      <c r="N328" s="9"/>
      <c r="O328" s="21">
        <v>1.5013099999999999</v>
      </c>
      <c r="P328" s="21">
        <v>259.37400000000002</v>
      </c>
      <c r="Q328" s="21">
        <v>-1.07422E-2</v>
      </c>
      <c r="R328" s="21">
        <v>318</v>
      </c>
      <c r="S328" s="21">
        <v>1.50085</v>
      </c>
      <c r="T328">
        <f t="shared" si="50"/>
        <v>10.7422</v>
      </c>
      <c r="U328">
        <f t="shared" si="51"/>
        <v>16.127372282</v>
      </c>
      <c r="X328" s="9"/>
      <c r="Y328" s="21">
        <v>0.19866900000000001</v>
      </c>
      <c r="Z328" s="21">
        <v>465.54199999999997</v>
      </c>
      <c r="AA328" s="21">
        <v>-1.1938499999999999E-2</v>
      </c>
      <c r="AB328" s="21">
        <v>318</v>
      </c>
      <c r="AC328" s="21">
        <v>0.198486</v>
      </c>
      <c r="AD328">
        <f t="shared" si="52"/>
        <v>11.938499999999999</v>
      </c>
      <c r="AE328">
        <f t="shared" si="53"/>
        <v>2.3718098565000001</v>
      </c>
      <c r="AF328" s="9"/>
      <c r="AG328" s="21">
        <v>1.5013099999999999</v>
      </c>
      <c r="AH328" s="21">
        <v>522.21699999999998</v>
      </c>
      <c r="AI328" s="21">
        <v>-1.10046E-2</v>
      </c>
      <c r="AJ328" s="21">
        <v>318</v>
      </c>
      <c r="AK328" s="21">
        <v>1.50085</v>
      </c>
      <c r="AL328">
        <f t="shared" si="54"/>
        <v>11.0046</v>
      </c>
      <c r="AM328">
        <f t="shared" si="55"/>
        <v>16.521316025999997</v>
      </c>
      <c r="AP328" s="9"/>
      <c r="AQ328" s="21">
        <v>0.19866900000000001</v>
      </c>
      <c r="AR328" s="21">
        <v>678.90499999999997</v>
      </c>
      <c r="AS328" s="21">
        <v>-1.2274200000000001E-2</v>
      </c>
      <c r="AT328" s="21">
        <v>318</v>
      </c>
      <c r="AU328" s="21">
        <v>0.198517</v>
      </c>
      <c r="AV328">
        <f t="shared" si="56"/>
        <v>12.2742</v>
      </c>
      <c r="AW328">
        <f t="shared" si="57"/>
        <v>2.4385030398</v>
      </c>
      <c r="AX328" s="9"/>
      <c r="AY328" s="21">
        <v>1.5013099999999999</v>
      </c>
      <c r="AZ328" s="21">
        <v>769.00099999999998</v>
      </c>
      <c r="BA328" s="21">
        <v>-1.11267E-2</v>
      </c>
      <c r="BB328" s="21">
        <v>318</v>
      </c>
      <c r="BC328" s="21">
        <v>1.50024</v>
      </c>
      <c r="BD328">
        <f t="shared" si="58"/>
        <v>11.1267</v>
      </c>
      <c r="BE328">
        <f t="shared" si="59"/>
        <v>16.704625976999999</v>
      </c>
    </row>
    <row r="329" spans="6:57" x14ac:dyDescent="0.25">
      <c r="F329" s="9"/>
      <c r="G329" s="21">
        <v>0.193634</v>
      </c>
      <c r="H329" s="21">
        <v>175.49</v>
      </c>
      <c r="I329" s="21">
        <v>-1.20941E-2</v>
      </c>
      <c r="J329" s="21">
        <v>319</v>
      </c>
      <c r="K329" s="21">
        <v>0.19339000000000001</v>
      </c>
      <c r="L329">
        <f t="shared" si="48"/>
        <v>12.094099999999999</v>
      </c>
      <c r="M329">
        <f t="shared" si="49"/>
        <v>2.3418289593999999</v>
      </c>
      <c r="N329" s="9"/>
      <c r="O329" s="21">
        <v>1.5063500000000001</v>
      </c>
      <c r="P329" s="21">
        <v>259.47500000000002</v>
      </c>
      <c r="Q329" s="21">
        <v>-1.073E-2</v>
      </c>
      <c r="R329" s="21">
        <v>319</v>
      </c>
      <c r="S329" s="21">
        <v>1.50604</v>
      </c>
      <c r="T329">
        <f t="shared" si="50"/>
        <v>10.73</v>
      </c>
      <c r="U329">
        <f t="shared" si="51"/>
        <v>16.163135500000003</v>
      </c>
      <c r="X329" s="9"/>
      <c r="Y329" s="21">
        <v>0.193634</v>
      </c>
      <c r="Z329" s="21">
        <v>465.642</v>
      </c>
      <c r="AA329" s="21">
        <v>-1.1935400000000001E-2</v>
      </c>
      <c r="AB329" s="21">
        <v>319</v>
      </c>
      <c r="AC329" s="21">
        <v>0.19345100000000001</v>
      </c>
      <c r="AD329">
        <f t="shared" si="52"/>
        <v>11.935400000000001</v>
      </c>
      <c r="AE329">
        <f t="shared" si="53"/>
        <v>2.3110992436000002</v>
      </c>
      <c r="AF329" s="9"/>
      <c r="AG329" s="21">
        <v>1.5063500000000001</v>
      </c>
      <c r="AH329" s="21">
        <v>522.31700000000001</v>
      </c>
      <c r="AI329" s="21">
        <v>-1.09985E-2</v>
      </c>
      <c r="AJ329" s="21">
        <v>319</v>
      </c>
      <c r="AK329" s="21">
        <v>1.5063500000000001</v>
      </c>
      <c r="AL329">
        <f t="shared" si="54"/>
        <v>10.9985</v>
      </c>
      <c r="AM329">
        <f t="shared" si="55"/>
        <v>16.567590474999999</v>
      </c>
      <c r="AP329" s="9"/>
      <c r="AQ329" s="21">
        <v>0.193634</v>
      </c>
      <c r="AR329" s="21">
        <v>679.00599999999997</v>
      </c>
      <c r="AS329" s="21">
        <v>-1.2274200000000001E-2</v>
      </c>
      <c r="AT329" s="21">
        <v>319</v>
      </c>
      <c r="AU329" s="21">
        <v>0.19345100000000001</v>
      </c>
      <c r="AV329">
        <f t="shared" si="56"/>
        <v>12.2742</v>
      </c>
      <c r="AW329">
        <f t="shared" si="57"/>
        <v>2.3767024428000001</v>
      </c>
      <c r="AX329" s="9"/>
      <c r="AY329" s="21">
        <v>1.5063500000000001</v>
      </c>
      <c r="AZ329" s="21">
        <v>769.10199999999998</v>
      </c>
      <c r="BA329" s="21">
        <v>-1.11237E-2</v>
      </c>
      <c r="BB329" s="21">
        <v>319</v>
      </c>
      <c r="BC329" s="21">
        <v>1.50604</v>
      </c>
      <c r="BD329">
        <f t="shared" si="58"/>
        <v>11.123699999999999</v>
      </c>
      <c r="BE329">
        <f t="shared" si="59"/>
        <v>16.756185495</v>
      </c>
    </row>
    <row r="330" spans="6:57" x14ac:dyDescent="0.25">
      <c r="F330" s="9"/>
      <c r="G330" s="21">
        <v>0.18859899999999999</v>
      </c>
      <c r="H330" s="21">
        <v>175.59100000000001</v>
      </c>
      <c r="I330" s="21">
        <v>-1.20911E-2</v>
      </c>
      <c r="J330" s="21">
        <v>320</v>
      </c>
      <c r="K330" s="21">
        <v>0.188385</v>
      </c>
      <c r="L330">
        <f t="shared" si="48"/>
        <v>12.091100000000001</v>
      </c>
      <c r="M330">
        <f t="shared" si="49"/>
        <v>2.2803693689000002</v>
      </c>
      <c r="N330" s="9"/>
      <c r="O330" s="21">
        <v>1.5113799999999999</v>
      </c>
      <c r="P330" s="21">
        <v>259.57499999999999</v>
      </c>
      <c r="Q330" s="21">
        <v>-1.07239E-2</v>
      </c>
      <c r="R330" s="21">
        <v>320</v>
      </c>
      <c r="S330" s="21">
        <v>1.5112300000000001</v>
      </c>
      <c r="T330">
        <f t="shared" si="50"/>
        <v>10.7239</v>
      </c>
      <c r="U330">
        <f t="shared" si="51"/>
        <v>16.207887981999999</v>
      </c>
      <c r="X330" s="9"/>
      <c r="Y330" s="21">
        <v>0.18859899999999999</v>
      </c>
      <c r="Z330" s="21">
        <v>465.74299999999999</v>
      </c>
      <c r="AA330" s="21">
        <v>-1.19446E-2</v>
      </c>
      <c r="AB330" s="21">
        <v>320</v>
      </c>
      <c r="AC330" s="21">
        <v>0.188416</v>
      </c>
      <c r="AD330">
        <f t="shared" si="52"/>
        <v>11.944599999999999</v>
      </c>
      <c r="AE330">
        <f t="shared" si="53"/>
        <v>2.2527396153999999</v>
      </c>
      <c r="AF330" s="9"/>
      <c r="AG330" s="21">
        <v>1.5113799999999999</v>
      </c>
      <c r="AH330" s="21">
        <v>522.41800000000001</v>
      </c>
      <c r="AI330" s="21">
        <v>-1.09894E-2</v>
      </c>
      <c r="AJ330" s="21">
        <v>320</v>
      </c>
      <c r="AK330" s="21">
        <v>1.5106200000000001</v>
      </c>
      <c r="AL330">
        <f t="shared" si="54"/>
        <v>10.9894</v>
      </c>
      <c r="AM330">
        <f t="shared" si="55"/>
        <v>16.609159372000001</v>
      </c>
      <c r="AP330" s="9"/>
      <c r="AQ330" s="21">
        <v>0.18859899999999999</v>
      </c>
      <c r="AR330" s="21">
        <v>679.10699999999997</v>
      </c>
      <c r="AS330" s="21">
        <v>-1.2286399999999999E-2</v>
      </c>
      <c r="AT330" s="21">
        <v>320</v>
      </c>
      <c r="AU330" s="21">
        <v>0.18835399999999999</v>
      </c>
      <c r="AV330">
        <f t="shared" si="56"/>
        <v>12.286399999999999</v>
      </c>
      <c r="AW330">
        <f t="shared" si="57"/>
        <v>2.3172027535999997</v>
      </c>
      <c r="AX330" s="9"/>
      <c r="AY330" s="21">
        <v>1.5113799999999999</v>
      </c>
      <c r="AZ330" s="21">
        <v>769.202</v>
      </c>
      <c r="BA330" s="21">
        <v>-1.11237E-2</v>
      </c>
      <c r="BB330" s="21">
        <v>320</v>
      </c>
      <c r="BC330" s="21">
        <v>1.5109300000000001</v>
      </c>
      <c r="BD330">
        <f t="shared" si="58"/>
        <v>11.123699999999999</v>
      </c>
      <c r="BE330">
        <f t="shared" si="59"/>
        <v>16.812137705999998</v>
      </c>
    </row>
    <row r="331" spans="6:57" x14ac:dyDescent="0.25">
      <c r="F331" s="9"/>
      <c r="G331" s="21">
        <v>0.183563</v>
      </c>
      <c r="H331" s="21">
        <v>175.69200000000001</v>
      </c>
      <c r="I331" s="21">
        <v>-1.20819E-2</v>
      </c>
      <c r="J331" s="21">
        <v>321</v>
      </c>
      <c r="K331" s="21">
        <v>0.18328900000000001</v>
      </c>
      <c r="L331">
        <f t="shared" si="48"/>
        <v>12.081899999999999</v>
      </c>
      <c r="M331">
        <f t="shared" si="49"/>
        <v>2.2177898096999997</v>
      </c>
      <c r="N331" s="9"/>
      <c r="O331" s="21">
        <v>1.5164200000000001</v>
      </c>
      <c r="P331" s="21">
        <v>259.67599999999999</v>
      </c>
      <c r="Q331" s="21">
        <v>-1.07178E-2</v>
      </c>
      <c r="R331" s="21">
        <v>321</v>
      </c>
      <c r="S331" s="21">
        <v>1.5148900000000001</v>
      </c>
      <c r="T331">
        <f t="shared" si="50"/>
        <v>10.7178</v>
      </c>
      <c r="U331">
        <f t="shared" si="51"/>
        <v>16.252686276000002</v>
      </c>
      <c r="X331" s="9"/>
      <c r="Y331" s="21">
        <v>0.183563</v>
      </c>
      <c r="Z331" s="21">
        <v>465.84399999999999</v>
      </c>
      <c r="AA331" s="21">
        <v>-1.1947599999999999E-2</v>
      </c>
      <c r="AB331" s="21">
        <v>321</v>
      </c>
      <c r="AC331" s="21">
        <v>0.18335000000000001</v>
      </c>
      <c r="AD331">
        <f t="shared" si="52"/>
        <v>11.9476</v>
      </c>
      <c r="AE331">
        <f t="shared" si="53"/>
        <v>2.1931372988</v>
      </c>
      <c r="AF331" s="9"/>
      <c r="AG331" s="21">
        <v>1.5164200000000001</v>
      </c>
      <c r="AH331" s="21">
        <v>522.51900000000001</v>
      </c>
      <c r="AI331" s="21">
        <v>-1.09833E-2</v>
      </c>
      <c r="AJ331" s="21">
        <v>321</v>
      </c>
      <c r="AK331" s="21">
        <v>1.5158100000000001</v>
      </c>
      <c r="AL331">
        <f t="shared" si="54"/>
        <v>10.9833</v>
      </c>
      <c r="AM331">
        <f t="shared" si="55"/>
        <v>16.655295786</v>
      </c>
      <c r="AP331" s="9"/>
      <c r="AQ331" s="21">
        <v>0.183563</v>
      </c>
      <c r="AR331" s="21">
        <v>679.20699999999999</v>
      </c>
      <c r="AS331" s="21">
        <v>-1.2286399999999999E-2</v>
      </c>
      <c r="AT331" s="21">
        <v>321</v>
      </c>
      <c r="AU331" s="21">
        <v>0.18341099999999999</v>
      </c>
      <c r="AV331">
        <f t="shared" si="56"/>
        <v>12.286399999999999</v>
      </c>
      <c r="AW331">
        <f t="shared" si="57"/>
        <v>2.2553284431999998</v>
      </c>
      <c r="AX331" s="9"/>
      <c r="AY331" s="21">
        <v>1.5164200000000001</v>
      </c>
      <c r="AZ331" s="21">
        <v>769.303</v>
      </c>
      <c r="BA331" s="21">
        <v>-1.11206E-2</v>
      </c>
      <c r="BB331" s="21">
        <v>321</v>
      </c>
      <c r="BC331" s="21">
        <v>1.5158100000000001</v>
      </c>
      <c r="BD331">
        <f t="shared" si="58"/>
        <v>11.1206</v>
      </c>
      <c r="BE331">
        <f t="shared" si="59"/>
        <v>16.863500252000001</v>
      </c>
    </row>
    <row r="332" spans="6:57" x14ac:dyDescent="0.25">
      <c r="F332" s="9"/>
      <c r="G332" s="21">
        <v>0.17852799999999999</v>
      </c>
      <c r="H332" s="21">
        <v>175.792</v>
      </c>
      <c r="I332" s="21">
        <v>-1.20941E-2</v>
      </c>
      <c r="J332" s="21">
        <v>322</v>
      </c>
      <c r="K332" s="21">
        <v>0.178284</v>
      </c>
      <c r="L332">
        <f t="shared" ref="L332:L388" si="60">-I332/$F$2*1000</f>
        <v>12.094099999999999</v>
      </c>
      <c r="M332">
        <f t="shared" ref="M332:M388" si="61">L332*G332</f>
        <v>2.1591354847999997</v>
      </c>
      <c r="N332" s="9"/>
      <c r="O332" s="21">
        <v>1.52145</v>
      </c>
      <c r="P332" s="21">
        <v>259.77699999999999</v>
      </c>
      <c r="Q332" s="21">
        <v>-1.0705599999999999E-2</v>
      </c>
      <c r="R332" s="21">
        <v>322</v>
      </c>
      <c r="S332" s="21">
        <v>1.5206900000000001</v>
      </c>
      <c r="T332">
        <f t="shared" ref="T332:T388" si="62">-Q332/$F$2*1000</f>
        <v>10.705599999999999</v>
      </c>
      <c r="U332">
        <f t="shared" ref="U332:U388" si="63">T332*O332</f>
        <v>16.288035119999996</v>
      </c>
      <c r="X332" s="9"/>
      <c r="Y332" s="21">
        <v>0.17852799999999999</v>
      </c>
      <c r="Z332" s="21">
        <v>465.94499999999999</v>
      </c>
      <c r="AA332" s="21">
        <v>-1.19446E-2</v>
      </c>
      <c r="AB332" s="21">
        <v>322</v>
      </c>
      <c r="AC332" s="21">
        <v>0.178314</v>
      </c>
      <c r="AD332">
        <f t="shared" ref="AD332:AD388" si="64">-AA332/$F$2*1000</f>
        <v>11.944599999999999</v>
      </c>
      <c r="AE332">
        <f t="shared" ref="AE332:AE388" si="65">AD332*Y332</f>
        <v>2.1324455487999998</v>
      </c>
      <c r="AF332" s="9"/>
      <c r="AG332" s="21">
        <v>1.52145</v>
      </c>
      <c r="AH332" s="21">
        <v>522.61900000000003</v>
      </c>
      <c r="AI332" s="21">
        <v>-1.0870400000000001E-2</v>
      </c>
      <c r="AJ332" s="21">
        <v>322</v>
      </c>
      <c r="AK332" s="21">
        <v>1.5209999999999999</v>
      </c>
      <c r="AL332">
        <f t="shared" ref="AL332:AL388" si="66">-AI332/$F$2*1000</f>
        <v>10.8704</v>
      </c>
      <c r="AM332">
        <f t="shared" ref="AM332:AM388" si="67">AL332*AG332</f>
        <v>16.538770079999999</v>
      </c>
      <c r="AP332" s="9"/>
      <c r="AQ332" s="21">
        <v>0.17852799999999999</v>
      </c>
      <c r="AR332" s="21">
        <v>679.30799999999999</v>
      </c>
      <c r="AS332" s="21">
        <v>-1.2286399999999999E-2</v>
      </c>
      <c r="AT332" s="21">
        <v>322</v>
      </c>
      <c r="AU332" s="21">
        <v>0.178314</v>
      </c>
      <c r="AV332">
        <f t="shared" ref="AV332:AV388" si="68">-AS332/$F$2*1000</f>
        <v>12.286399999999999</v>
      </c>
      <c r="AW332">
        <f t="shared" ref="AW332:AW388" si="69">AV332*AQ332</f>
        <v>2.1934664191999995</v>
      </c>
      <c r="AX332" s="9"/>
      <c r="AY332" s="21">
        <v>1.52145</v>
      </c>
      <c r="AZ332" s="21">
        <v>769.404</v>
      </c>
      <c r="BA332" s="21">
        <v>-1.11115E-2</v>
      </c>
      <c r="BB332" s="21">
        <v>322</v>
      </c>
      <c r="BC332" s="21">
        <v>1.5209999999999999</v>
      </c>
      <c r="BD332">
        <f t="shared" ref="BD332:BD388" si="70">-BA332/$F$2*1000</f>
        <v>11.111499999999999</v>
      </c>
      <c r="BE332">
        <f t="shared" ref="BE332:BE388" si="71">BD332*AY332</f>
        <v>16.905591675</v>
      </c>
    </row>
    <row r="333" spans="6:57" x14ac:dyDescent="0.25">
      <c r="F333" s="9"/>
      <c r="G333" s="21">
        <v>0.17349200000000001</v>
      </c>
      <c r="H333" s="21">
        <v>175.893</v>
      </c>
      <c r="I333" s="21">
        <v>-1.2109399999999999E-2</v>
      </c>
      <c r="J333" s="21">
        <v>323</v>
      </c>
      <c r="K333" s="21">
        <v>0.17327899999999999</v>
      </c>
      <c r="L333">
        <f t="shared" si="60"/>
        <v>12.109399999999999</v>
      </c>
      <c r="M333">
        <f t="shared" si="61"/>
        <v>2.1008840248</v>
      </c>
      <c r="N333" s="9"/>
      <c r="O333" s="21">
        <v>1.5264899999999999</v>
      </c>
      <c r="P333" s="21">
        <v>259.87799999999999</v>
      </c>
      <c r="Q333" s="21">
        <v>-1.0699500000000001E-2</v>
      </c>
      <c r="R333" s="21">
        <v>323</v>
      </c>
      <c r="S333" s="21">
        <v>1.5261800000000001</v>
      </c>
      <c r="T333">
        <f t="shared" si="62"/>
        <v>10.6995</v>
      </c>
      <c r="U333">
        <f t="shared" si="63"/>
        <v>16.332679755000001</v>
      </c>
      <c r="X333" s="9"/>
      <c r="Y333" s="21">
        <v>0.17349200000000001</v>
      </c>
      <c r="Z333" s="21">
        <v>466.04500000000002</v>
      </c>
      <c r="AA333" s="21">
        <v>-1.19568E-2</v>
      </c>
      <c r="AB333" s="21">
        <v>323</v>
      </c>
      <c r="AC333" s="21">
        <v>0.17330899999999999</v>
      </c>
      <c r="AD333">
        <f t="shared" si="64"/>
        <v>11.956799999999999</v>
      </c>
      <c r="AE333">
        <f t="shared" si="65"/>
        <v>2.0744091455999998</v>
      </c>
      <c r="AF333" s="9"/>
      <c r="AG333" s="21">
        <v>1.5264899999999999</v>
      </c>
      <c r="AH333" s="21">
        <v>522.72</v>
      </c>
      <c r="AI333" s="21">
        <v>-1.0800199999999999E-2</v>
      </c>
      <c r="AJ333" s="21">
        <v>323</v>
      </c>
      <c r="AK333" s="21">
        <v>1.5261800000000001</v>
      </c>
      <c r="AL333">
        <f t="shared" si="66"/>
        <v>10.8002</v>
      </c>
      <c r="AM333">
        <f t="shared" si="67"/>
        <v>16.486397298</v>
      </c>
      <c r="AP333" s="9"/>
      <c r="AQ333" s="21">
        <v>0.17349200000000001</v>
      </c>
      <c r="AR333" s="21">
        <v>679.40899999999999</v>
      </c>
      <c r="AS333" s="21">
        <v>-1.2280299999999999E-2</v>
      </c>
      <c r="AT333" s="21">
        <v>323</v>
      </c>
      <c r="AU333" s="21">
        <v>0.17327899999999999</v>
      </c>
      <c r="AV333">
        <f t="shared" si="68"/>
        <v>12.280299999999999</v>
      </c>
      <c r="AW333">
        <f t="shared" si="69"/>
        <v>2.1305338076</v>
      </c>
      <c r="AX333" s="9"/>
      <c r="AY333" s="21">
        <v>1.5264899999999999</v>
      </c>
      <c r="AZ333" s="21">
        <v>769.50400000000002</v>
      </c>
      <c r="BA333" s="21">
        <v>-1.1102300000000001E-2</v>
      </c>
      <c r="BB333" s="21">
        <v>323</v>
      </c>
      <c r="BC333" s="21">
        <v>1.5258799999999999</v>
      </c>
      <c r="BD333">
        <f t="shared" si="70"/>
        <v>11.102300000000001</v>
      </c>
      <c r="BE333">
        <f t="shared" si="71"/>
        <v>16.947549927000001</v>
      </c>
    </row>
    <row r="334" spans="6:57" x14ac:dyDescent="0.25">
      <c r="F334" s="9"/>
      <c r="G334" s="21">
        <v>0.168457</v>
      </c>
      <c r="H334" s="21">
        <v>175.994</v>
      </c>
      <c r="I334" s="21">
        <v>-1.2109399999999999E-2</v>
      </c>
      <c r="J334" s="21">
        <v>324</v>
      </c>
      <c r="K334" s="21">
        <v>0.16830400000000001</v>
      </c>
      <c r="L334">
        <f t="shared" si="60"/>
        <v>12.109399999999999</v>
      </c>
      <c r="M334">
        <f t="shared" si="61"/>
        <v>2.0399131957999996</v>
      </c>
      <c r="N334" s="9"/>
      <c r="O334" s="21">
        <v>1.53152</v>
      </c>
      <c r="P334" s="21">
        <v>259.97800000000001</v>
      </c>
      <c r="Q334" s="21">
        <v>-1.06903E-2</v>
      </c>
      <c r="R334" s="21">
        <v>324</v>
      </c>
      <c r="S334" s="21">
        <v>1.5310699999999999</v>
      </c>
      <c r="T334">
        <f t="shared" si="62"/>
        <v>10.690300000000001</v>
      </c>
      <c r="U334">
        <f t="shared" si="63"/>
        <v>16.372408256</v>
      </c>
      <c r="X334" s="9"/>
      <c r="Y334" s="21">
        <v>0.168457</v>
      </c>
      <c r="Z334" s="21">
        <v>466.14600000000002</v>
      </c>
      <c r="AA334" s="21">
        <v>-1.1947599999999999E-2</v>
      </c>
      <c r="AB334" s="21">
        <v>324</v>
      </c>
      <c r="AC334" s="21">
        <v>0.16830400000000001</v>
      </c>
      <c r="AD334">
        <f t="shared" si="64"/>
        <v>11.9476</v>
      </c>
      <c r="AE334">
        <f t="shared" si="65"/>
        <v>2.0126568531999998</v>
      </c>
      <c r="AF334" s="9"/>
      <c r="AG334" s="21">
        <v>1.53152</v>
      </c>
      <c r="AH334" s="21">
        <v>522.82100000000003</v>
      </c>
      <c r="AI334" s="21">
        <v>-1.0788000000000001E-2</v>
      </c>
      <c r="AJ334" s="21">
        <v>324</v>
      </c>
      <c r="AK334" s="21">
        <v>1.5307599999999999</v>
      </c>
      <c r="AL334">
        <f t="shared" si="66"/>
        <v>10.788</v>
      </c>
      <c r="AM334">
        <f t="shared" si="67"/>
        <v>16.52203776</v>
      </c>
      <c r="AP334" s="9"/>
      <c r="AQ334" s="21">
        <v>0.168457</v>
      </c>
      <c r="AR334" s="21">
        <v>679.51</v>
      </c>
      <c r="AS334" s="21">
        <v>-1.22833E-2</v>
      </c>
      <c r="AT334" s="21">
        <v>324</v>
      </c>
      <c r="AU334" s="21">
        <v>0.16827400000000001</v>
      </c>
      <c r="AV334">
        <f t="shared" si="68"/>
        <v>12.283300000000001</v>
      </c>
      <c r="AW334">
        <f t="shared" si="69"/>
        <v>2.0692078680999999</v>
      </c>
      <c r="AX334" s="9"/>
      <c r="AY334" s="21">
        <v>1.53152</v>
      </c>
      <c r="AZ334" s="21">
        <v>769.60500000000002</v>
      </c>
      <c r="BA334" s="21">
        <v>-1.10992E-2</v>
      </c>
      <c r="BB334" s="21">
        <v>324</v>
      </c>
      <c r="BC334" s="21">
        <v>1.5310699999999999</v>
      </c>
      <c r="BD334">
        <f t="shared" si="70"/>
        <v>11.0992</v>
      </c>
      <c r="BE334">
        <f t="shared" si="71"/>
        <v>16.998646783999998</v>
      </c>
    </row>
    <row r="335" spans="6:57" x14ac:dyDescent="0.25">
      <c r="F335" s="9"/>
      <c r="G335" s="21">
        <v>0.16342200000000001</v>
      </c>
      <c r="H335" s="21">
        <v>176.095</v>
      </c>
      <c r="I335" s="21">
        <v>-1.21155E-2</v>
      </c>
      <c r="J335" s="21">
        <v>325</v>
      </c>
      <c r="K335" s="21">
        <v>0.163239</v>
      </c>
      <c r="L335">
        <f t="shared" si="60"/>
        <v>12.115499999999999</v>
      </c>
      <c r="M335">
        <f t="shared" si="61"/>
        <v>1.9799392410000001</v>
      </c>
      <c r="N335" s="9"/>
      <c r="O335" s="21">
        <v>1.5365599999999999</v>
      </c>
      <c r="P335" s="21">
        <v>260.07900000000001</v>
      </c>
      <c r="Q335" s="21">
        <v>-1.06812E-2</v>
      </c>
      <c r="R335" s="21">
        <v>325</v>
      </c>
      <c r="S335" s="21">
        <v>1.5353399999999999</v>
      </c>
      <c r="T335">
        <f t="shared" si="62"/>
        <v>10.6812</v>
      </c>
      <c r="U335">
        <f t="shared" si="63"/>
        <v>16.412304672000001</v>
      </c>
      <c r="X335" s="9"/>
      <c r="Y335" s="21">
        <v>0.16342200000000001</v>
      </c>
      <c r="Z335" s="21">
        <v>466.24700000000001</v>
      </c>
      <c r="AA335" s="21">
        <v>-1.1981199999999999E-2</v>
      </c>
      <c r="AB335" s="21">
        <v>325</v>
      </c>
      <c r="AC335" s="21">
        <v>0.163269</v>
      </c>
      <c r="AD335">
        <f t="shared" si="64"/>
        <v>11.981199999999999</v>
      </c>
      <c r="AE335">
        <f t="shared" si="65"/>
        <v>1.9579916664000001</v>
      </c>
      <c r="AF335" s="9"/>
      <c r="AG335" s="21">
        <v>1.5365599999999999</v>
      </c>
      <c r="AH335" s="21">
        <v>522.92200000000003</v>
      </c>
      <c r="AI335" s="21">
        <v>-1.07849E-2</v>
      </c>
      <c r="AJ335" s="21">
        <v>325</v>
      </c>
      <c r="AK335" s="21">
        <v>1.5359499999999999</v>
      </c>
      <c r="AL335">
        <f t="shared" si="66"/>
        <v>10.7849</v>
      </c>
      <c r="AM335">
        <f t="shared" si="67"/>
        <v>16.571645944</v>
      </c>
      <c r="AP335" s="9"/>
      <c r="AQ335" s="21">
        <v>0.16342200000000001</v>
      </c>
      <c r="AR335" s="21">
        <v>679.61</v>
      </c>
      <c r="AS335" s="21">
        <v>-1.22772E-2</v>
      </c>
      <c r="AT335" s="21">
        <v>325</v>
      </c>
      <c r="AU335" s="21">
        <v>0.16317699999999999</v>
      </c>
      <c r="AV335">
        <f t="shared" si="68"/>
        <v>12.277200000000001</v>
      </c>
      <c r="AW335">
        <f t="shared" si="69"/>
        <v>2.0063645784000004</v>
      </c>
      <c r="AX335" s="9"/>
      <c r="AY335" s="21">
        <v>1.5365599999999999</v>
      </c>
      <c r="AZ335" s="21">
        <v>769.70600000000002</v>
      </c>
      <c r="BA335" s="21">
        <v>-1.10901E-2</v>
      </c>
      <c r="BB335" s="21">
        <v>325</v>
      </c>
      <c r="BC335" s="21">
        <v>1.5359499999999999</v>
      </c>
      <c r="BD335">
        <f t="shared" si="70"/>
        <v>11.0901</v>
      </c>
      <c r="BE335">
        <f t="shared" si="71"/>
        <v>17.040604055999999</v>
      </c>
    </row>
    <row r="336" spans="6:57" x14ac:dyDescent="0.25">
      <c r="F336" s="9"/>
      <c r="G336" s="21">
        <v>0.158386</v>
      </c>
      <c r="H336" s="21">
        <v>176.19499999999999</v>
      </c>
      <c r="I336" s="21">
        <v>-1.2103300000000001E-2</v>
      </c>
      <c r="J336" s="21">
        <v>326</v>
      </c>
      <c r="K336" s="21">
        <v>0.158112</v>
      </c>
      <c r="L336">
        <f t="shared" si="60"/>
        <v>12.103300000000001</v>
      </c>
      <c r="M336">
        <f t="shared" si="61"/>
        <v>1.9169932738000002</v>
      </c>
      <c r="N336" s="9"/>
      <c r="O336" s="21">
        <v>1.5416000000000001</v>
      </c>
      <c r="P336" s="21">
        <v>260.18</v>
      </c>
      <c r="Q336" s="21">
        <v>-1.06689E-2</v>
      </c>
      <c r="R336" s="21">
        <v>326</v>
      </c>
      <c r="S336" s="21">
        <v>1.54114</v>
      </c>
      <c r="T336">
        <f t="shared" si="62"/>
        <v>10.668900000000001</v>
      </c>
      <c r="U336">
        <f t="shared" si="63"/>
        <v>16.447176240000001</v>
      </c>
      <c r="X336" s="9"/>
      <c r="Y336" s="21">
        <v>0.158386</v>
      </c>
      <c r="Z336" s="21">
        <v>466.34699999999998</v>
      </c>
      <c r="AA336" s="21">
        <v>-1.1981199999999999E-2</v>
      </c>
      <c r="AB336" s="21">
        <v>326</v>
      </c>
      <c r="AC336" s="21">
        <v>0.15817300000000001</v>
      </c>
      <c r="AD336">
        <f t="shared" si="64"/>
        <v>11.981199999999999</v>
      </c>
      <c r="AE336">
        <f t="shared" si="65"/>
        <v>1.8976543431999999</v>
      </c>
      <c r="AF336" s="9"/>
      <c r="AG336" s="21">
        <v>1.5416000000000001</v>
      </c>
      <c r="AH336" s="21">
        <v>523.02200000000005</v>
      </c>
      <c r="AI336" s="21">
        <v>-1.07788E-2</v>
      </c>
      <c r="AJ336" s="21">
        <v>326</v>
      </c>
      <c r="AK336" s="21">
        <v>1.54114</v>
      </c>
      <c r="AL336">
        <f t="shared" si="66"/>
        <v>10.7788</v>
      </c>
      <c r="AM336">
        <f t="shared" si="67"/>
        <v>16.616598080000003</v>
      </c>
      <c r="AP336" s="9"/>
      <c r="AQ336" s="21">
        <v>0.158386</v>
      </c>
      <c r="AR336" s="21">
        <v>679.71100000000001</v>
      </c>
      <c r="AS336" s="21">
        <v>-1.23169E-2</v>
      </c>
      <c r="AT336" s="21">
        <v>326</v>
      </c>
      <c r="AU336" s="21">
        <v>0.15817300000000001</v>
      </c>
      <c r="AV336">
        <f t="shared" si="68"/>
        <v>12.3169</v>
      </c>
      <c r="AW336">
        <f t="shared" si="69"/>
        <v>1.9508245234000001</v>
      </c>
      <c r="AX336" s="9"/>
      <c r="AY336" s="21">
        <v>1.5416000000000001</v>
      </c>
      <c r="AZ336" s="21">
        <v>769.80600000000004</v>
      </c>
      <c r="BA336" s="21">
        <v>-1.1084E-2</v>
      </c>
      <c r="BB336" s="21">
        <v>326</v>
      </c>
      <c r="BC336" s="21">
        <v>1.54175</v>
      </c>
      <c r="BD336">
        <f t="shared" si="70"/>
        <v>11.084</v>
      </c>
      <c r="BE336">
        <f t="shared" si="71"/>
        <v>17.087094400000002</v>
      </c>
    </row>
    <row r="337" spans="6:57" x14ac:dyDescent="0.25">
      <c r="F337" s="9"/>
      <c r="G337" s="21">
        <v>0.15335099999999999</v>
      </c>
      <c r="H337" s="21">
        <v>176.29599999999999</v>
      </c>
      <c r="I337" s="21">
        <v>-1.21155E-2</v>
      </c>
      <c r="J337" s="21">
        <v>327</v>
      </c>
      <c r="K337" s="21">
        <v>0.153168</v>
      </c>
      <c r="L337">
        <f t="shared" si="60"/>
        <v>12.115499999999999</v>
      </c>
      <c r="M337">
        <f t="shared" si="61"/>
        <v>1.8579240404999997</v>
      </c>
      <c r="N337" s="9"/>
      <c r="O337" s="21">
        <v>1.5466299999999999</v>
      </c>
      <c r="P337" s="21">
        <v>260.27999999999997</v>
      </c>
      <c r="Q337" s="21">
        <v>-1.0665900000000001E-2</v>
      </c>
      <c r="R337" s="21">
        <v>327</v>
      </c>
      <c r="S337" s="21">
        <v>1.54633</v>
      </c>
      <c r="T337">
        <f t="shared" si="62"/>
        <v>10.665900000000001</v>
      </c>
      <c r="U337">
        <f t="shared" si="63"/>
        <v>16.496200916999999</v>
      </c>
      <c r="X337" s="9"/>
      <c r="Y337" s="21">
        <v>0.15335099999999999</v>
      </c>
      <c r="Z337" s="21">
        <v>466.44799999999998</v>
      </c>
      <c r="AA337" s="21">
        <v>-1.19934E-2</v>
      </c>
      <c r="AB337" s="21">
        <v>327</v>
      </c>
      <c r="AC337" s="21">
        <v>0.15310699999999999</v>
      </c>
      <c r="AD337">
        <f t="shared" si="64"/>
        <v>11.993399999999999</v>
      </c>
      <c r="AE337">
        <f t="shared" si="65"/>
        <v>1.8391998833999998</v>
      </c>
      <c r="AF337" s="9"/>
      <c r="AG337" s="21">
        <v>1.5466299999999999</v>
      </c>
      <c r="AH337" s="21">
        <v>523.12300000000005</v>
      </c>
      <c r="AI337" s="21">
        <v>-1.07727E-2</v>
      </c>
      <c r="AJ337" s="21">
        <v>327</v>
      </c>
      <c r="AK337" s="21">
        <v>1.54572</v>
      </c>
      <c r="AL337">
        <f t="shared" si="66"/>
        <v>10.7727</v>
      </c>
      <c r="AM337">
        <f t="shared" si="67"/>
        <v>16.661381000999999</v>
      </c>
      <c r="AP337" s="9"/>
      <c r="AQ337" s="21">
        <v>0.15335099999999999</v>
      </c>
      <c r="AR337" s="21">
        <v>679.81200000000001</v>
      </c>
      <c r="AS337" s="21">
        <v>-1.23138E-2</v>
      </c>
      <c r="AT337" s="21">
        <v>327</v>
      </c>
      <c r="AU337" s="21">
        <v>0.153137</v>
      </c>
      <c r="AV337">
        <f t="shared" si="68"/>
        <v>12.313800000000001</v>
      </c>
      <c r="AW337">
        <f t="shared" si="69"/>
        <v>1.8883335438</v>
      </c>
      <c r="AX337" s="9"/>
      <c r="AY337" s="21">
        <v>1.5466299999999999</v>
      </c>
      <c r="AZ337" s="21">
        <v>769.90700000000004</v>
      </c>
      <c r="BA337" s="21">
        <v>-1.1080899999999999E-2</v>
      </c>
      <c r="BB337" s="21">
        <v>327</v>
      </c>
      <c r="BC337" s="21">
        <v>1.5460199999999999</v>
      </c>
      <c r="BD337">
        <f t="shared" si="70"/>
        <v>11.0809</v>
      </c>
      <c r="BE337">
        <f t="shared" si="71"/>
        <v>17.138052367</v>
      </c>
    </row>
    <row r="338" spans="6:57" x14ac:dyDescent="0.25">
      <c r="F338" s="9"/>
      <c r="G338" s="21">
        <v>0.148315</v>
      </c>
      <c r="H338" s="21">
        <v>176.39699999999999</v>
      </c>
      <c r="I338" s="21">
        <v>-1.2124599999999999E-2</v>
      </c>
      <c r="J338" s="21">
        <v>328</v>
      </c>
      <c r="K338" s="21">
        <v>0.14819299999999999</v>
      </c>
      <c r="L338">
        <f t="shared" si="60"/>
        <v>12.124599999999999</v>
      </c>
      <c r="M338">
        <f t="shared" si="61"/>
        <v>1.7982600489999998</v>
      </c>
      <c r="N338" s="9"/>
      <c r="O338" s="21">
        <v>1.5516700000000001</v>
      </c>
      <c r="P338" s="21">
        <v>260.38099999999997</v>
      </c>
      <c r="Q338" s="21">
        <v>-1.06537E-2</v>
      </c>
      <c r="R338" s="21">
        <v>328</v>
      </c>
      <c r="S338" s="21">
        <v>1.5508999999999999</v>
      </c>
      <c r="T338">
        <f t="shared" si="62"/>
        <v>10.653700000000001</v>
      </c>
      <c r="U338">
        <f t="shared" si="63"/>
        <v>16.531026679000004</v>
      </c>
      <c r="X338" s="9"/>
      <c r="Y338" s="21">
        <v>0.148315</v>
      </c>
      <c r="Z338" s="21">
        <v>466.54899999999998</v>
      </c>
      <c r="AA338" s="21">
        <v>-1.19293E-2</v>
      </c>
      <c r="AB338" s="21">
        <v>328</v>
      </c>
      <c r="AC338" s="21">
        <v>0.14813200000000001</v>
      </c>
      <c r="AD338">
        <f t="shared" si="64"/>
        <v>11.9293</v>
      </c>
      <c r="AE338">
        <f t="shared" si="65"/>
        <v>1.7692941295</v>
      </c>
      <c r="AF338" s="9"/>
      <c r="AG338" s="21">
        <v>1.5516700000000001</v>
      </c>
      <c r="AH338" s="21">
        <v>523.22400000000005</v>
      </c>
      <c r="AI338" s="21">
        <v>-1.0766599999999999E-2</v>
      </c>
      <c r="AJ338" s="21">
        <v>328</v>
      </c>
      <c r="AK338" s="21">
        <v>1.5502899999999999</v>
      </c>
      <c r="AL338">
        <f t="shared" si="66"/>
        <v>10.766599999999999</v>
      </c>
      <c r="AM338">
        <f t="shared" si="67"/>
        <v>16.706210221999999</v>
      </c>
      <c r="AP338" s="9"/>
      <c r="AQ338" s="21">
        <v>0.148315</v>
      </c>
      <c r="AR338" s="21">
        <v>679.91200000000003</v>
      </c>
      <c r="AS338" s="21">
        <v>-1.23444E-2</v>
      </c>
      <c r="AT338" s="21">
        <v>328</v>
      </c>
      <c r="AU338" s="21">
        <v>0.14813200000000001</v>
      </c>
      <c r="AV338">
        <f t="shared" si="68"/>
        <v>12.3444</v>
      </c>
      <c r="AW338">
        <f t="shared" si="69"/>
        <v>1.8308596860000002</v>
      </c>
      <c r="AX338" s="9"/>
      <c r="AY338" s="21">
        <v>1.5516700000000001</v>
      </c>
      <c r="AZ338" s="21">
        <v>770.00800000000004</v>
      </c>
      <c r="BA338" s="21">
        <v>-1.10779E-2</v>
      </c>
      <c r="BB338" s="21">
        <v>328</v>
      </c>
      <c r="BC338" s="21">
        <v>1.5508999999999999</v>
      </c>
      <c r="BD338">
        <f t="shared" si="70"/>
        <v>11.0779</v>
      </c>
      <c r="BE338">
        <f t="shared" si="71"/>
        <v>17.189245093</v>
      </c>
    </row>
    <row r="339" spans="6:57" x14ac:dyDescent="0.25">
      <c r="F339" s="9"/>
      <c r="G339" s="21">
        <v>0.14327999999999999</v>
      </c>
      <c r="H339" s="21">
        <v>176.49700000000001</v>
      </c>
      <c r="I339" s="21">
        <v>-1.2130699999999999E-2</v>
      </c>
      <c r="J339" s="21">
        <v>329</v>
      </c>
      <c r="K339" s="21">
        <v>0.143097</v>
      </c>
      <c r="L339">
        <f t="shared" si="60"/>
        <v>12.130699999999999</v>
      </c>
      <c r="M339">
        <f t="shared" si="61"/>
        <v>1.7380866959999999</v>
      </c>
      <c r="N339" s="9"/>
      <c r="O339" s="21">
        <v>1.5567</v>
      </c>
      <c r="P339" s="21">
        <v>260.48200000000003</v>
      </c>
      <c r="Q339" s="21">
        <v>-1.0644499999999999E-2</v>
      </c>
      <c r="R339" s="21">
        <v>329</v>
      </c>
      <c r="S339" s="21">
        <v>1.55548</v>
      </c>
      <c r="T339">
        <f t="shared" si="62"/>
        <v>10.644499999999999</v>
      </c>
      <c r="U339">
        <f t="shared" si="63"/>
        <v>16.570293149999998</v>
      </c>
      <c r="X339" s="9"/>
      <c r="Y339" s="21">
        <v>0.14327999999999999</v>
      </c>
      <c r="Z339" s="21">
        <v>466.649</v>
      </c>
      <c r="AA339" s="21">
        <v>-1.1953699999999999E-2</v>
      </c>
      <c r="AB339" s="21">
        <v>329</v>
      </c>
      <c r="AC339" s="21">
        <v>0.143066</v>
      </c>
      <c r="AD339">
        <f t="shared" si="64"/>
        <v>11.9537</v>
      </c>
      <c r="AE339">
        <f t="shared" si="65"/>
        <v>1.7127261359999999</v>
      </c>
      <c r="AF339" s="9"/>
      <c r="AG339" s="21">
        <v>1.5567</v>
      </c>
      <c r="AH339" s="21">
        <v>523.32399999999996</v>
      </c>
      <c r="AI339" s="21">
        <v>-1.0760499999999999E-2</v>
      </c>
      <c r="AJ339" s="21">
        <v>329</v>
      </c>
      <c r="AK339" s="21">
        <v>1.55548</v>
      </c>
      <c r="AL339">
        <f t="shared" si="66"/>
        <v>10.760499999999999</v>
      </c>
      <c r="AM339">
        <f t="shared" si="67"/>
        <v>16.750870349999996</v>
      </c>
      <c r="AP339" s="9"/>
      <c r="AQ339" s="21">
        <v>0.14327999999999999</v>
      </c>
      <c r="AR339" s="21">
        <v>680.01300000000003</v>
      </c>
      <c r="AS339" s="21">
        <v>-1.23505E-2</v>
      </c>
      <c r="AT339" s="21">
        <v>329</v>
      </c>
      <c r="AU339" s="21">
        <v>0.14300499999999999</v>
      </c>
      <c r="AV339">
        <f t="shared" si="68"/>
        <v>12.3505</v>
      </c>
      <c r="AW339">
        <f t="shared" si="69"/>
        <v>1.7695796399999999</v>
      </c>
      <c r="AX339" s="9"/>
      <c r="AY339" s="21">
        <v>1.5567</v>
      </c>
      <c r="AZ339" s="21">
        <v>770.10900000000004</v>
      </c>
      <c r="BA339" s="21">
        <v>-1.1065699999999999E-2</v>
      </c>
      <c r="BB339" s="21">
        <v>329</v>
      </c>
      <c r="BC339" s="21">
        <v>1.55579</v>
      </c>
      <c r="BD339">
        <f t="shared" si="70"/>
        <v>11.0657</v>
      </c>
      <c r="BE339">
        <f t="shared" si="71"/>
        <v>17.22597519</v>
      </c>
    </row>
    <row r="340" spans="6:57" x14ac:dyDescent="0.25">
      <c r="F340" s="9"/>
      <c r="G340" s="21">
        <v>0.13824500000000001</v>
      </c>
      <c r="H340" s="21">
        <v>176.59800000000001</v>
      </c>
      <c r="I340" s="21">
        <v>-1.21277E-2</v>
      </c>
      <c r="J340" s="21">
        <v>330</v>
      </c>
      <c r="K340" s="21">
        <v>0.13806199999999999</v>
      </c>
      <c r="L340">
        <f t="shared" si="60"/>
        <v>12.127700000000001</v>
      </c>
      <c r="M340">
        <f t="shared" si="61"/>
        <v>1.6765938865000003</v>
      </c>
      <c r="N340" s="9"/>
      <c r="O340" s="21">
        <v>1.5617399999999999</v>
      </c>
      <c r="P340" s="21">
        <v>260.58300000000003</v>
      </c>
      <c r="Q340" s="21">
        <v>-1.06415E-2</v>
      </c>
      <c r="R340" s="21">
        <v>330</v>
      </c>
      <c r="S340" s="21">
        <v>1.56097</v>
      </c>
      <c r="T340">
        <f t="shared" si="62"/>
        <v>10.641500000000001</v>
      </c>
      <c r="U340">
        <f t="shared" si="63"/>
        <v>16.61925621</v>
      </c>
      <c r="X340" s="9"/>
      <c r="Y340" s="21">
        <v>0.13824500000000001</v>
      </c>
      <c r="Z340" s="21">
        <v>466.75</v>
      </c>
      <c r="AA340" s="21">
        <v>-1.19568E-2</v>
      </c>
      <c r="AB340" s="21">
        <v>330</v>
      </c>
      <c r="AC340" s="21">
        <v>0.13803099999999999</v>
      </c>
      <c r="AD340">
        <f t="shared" si="64"/>
        <v>11.956799999999999</v>
      </c>
      <c r="AE340">
        <f t="shared" si="65"/>
        <v>1.6529678160000001</v>
      </c>
      <c r="AF340" s="9"/>
      <c r="AG340" s="21">
        <v>1.5617399999999999</v>
      </c>
      <c r="AH340" s="21">
        <v>523.42499999999995</v>
      </c>
      <c r="AI340" s="21">
        <v>-1.0760499999999999E-2</v>
      </c>
      <c r="AJ340" s="21">
        <v>330</v>
      </c>
      <c r="AK340" s="21">
        <v>1.56067</v>
      </c>
      <c r="AL340">
        <f t="shared" si="66"/>
        <v>10.760499999999999</v>
      </c>
      <c r="AM340">
        <f t="shared" si="67"/>
        <v>16.805103269999996</v>
      </c>
      <c r="AP340" s="9"/>
      <c r="AQ340" s="21">
        <v>0.13824500000000001</v>
      </c>
      <c r="AR340" s="21">
        <v>680.11400000000003</v>
      </c>
      <c r="AS340" s="21">
        <v>-1.23596E-2</v>
      </c>
      <c r="AT340" s="21">
        <v>330</v>
      </c>
      <c r="AU340" s="21">
        <v>0.13803099999999999</v>
      </c>
      <c r="AV340">
        <f t="shared" si="68"/>
        <v>12.3596</v>
      </c>
      <c r="AW340">
        <f t="shared" si="69"/>
        <v>1.7086529020000001</v>
      </c>
      <c r="AX340" s="9"/>
      <c r="AY340" s="21">
        <v>1.5617399999999999</v>
      </c>
      <c r="AZ340" s="21">
        <v>770.20899999999995</v>
      </c>
      <c r="BA340" s="21">
        <v>-1.1062600000000001E-2</v>
      </c>
      <c r="BB340" s="21">
        <v>330</v>
      </c>
      <c r="BC340" s="21">
        <v>1.56097</v>
      </c>
      <c r="BD340">
        <f t="shared" si="70"/>
        <v>11.0626</v>
      </c>
      <c r="BE340">
        <f t="shared" si="71"/>
        <v>17.276904924</v>
      </c>
    </row>
    <row r="341" spans="6:57" x14ac:dyDescent="0.25">
      <c r="F341" s="9"/>
      <c r="G341" s="21">
        <v>0.13320899999999999</v>
      </c>
      <c r="H341" s="21">
        <v>176.69900000000001</v>
      </c>
      <c r="I341" s="21">
        <v>-1.21338E-2</v>
      </c>
      <c r="J341" s="21">
        <v>331</v>
      </c>
      <c r="K341" s="21">
        <v>0.13305700000000001</v>
      </c>
      <c r="L341">
        <f t="shared" si="60"/>
        <v>12.133800000000001</v>
      </c>
      <c r="M341">
        <f t="shared" si="61"/>
        <v>1.6163313642000001</v>
      </c>
      <c r="N341" s="9"/>
      <c r="O341" s="21">
        <v>1.56677</v>
      </c>
      <c r="P341" s="21">
        <v>260.68299999999999</v>
      </c>
      <c r="Q341" s="21">
        <v>-1.06293E-2</v>
      </c>
      <c r="R341" s="21">
        <v>331</v>
      </c>
      <c r="S341" s="21">
        <v>1.56616</v>
      </c>
      <c r="T341">
        <f t="shared" si="62"/>
        <v>10.629299999999999</v>
      </c>
      <c r="U341">
        <f t="shared" si="63"/>
        <v>16.653668360999998</v>
      </c>
      <c r="X341" s="9"/>
      <c r="Y341" s="21">
        <v>0.13320899999999999</v>
      </c>
      <c r="Z341" s="21">
        <v>466.851</v>
      </c>
      <c r="AA341" s="21">
        <v>-1.19598E-2</v>
      </c>
      <c r="AB341" s="21">
        <v>331</v>
      </c>
      <c r="AC341" s="21">
        <v>0.13305700000000001</v>
      </c>
      <c r="AD341">
        <f t="shared" si="64"/>
        <v>11.9598</v>
      </c>
      <c r="AE341">
        <f t="shared" si="65"/>
        <v>1.5931529981999999</v>
      </c>
      <c r="AF341" s="9"/>
      <c r="AG341" s="21">
        <v>1.56677</v>
      </c>
      <c r="AH341" s="21">
        <v>523.52599999999995</v>
      </c>
      <c r="AI341" s="21">
        <v>-1.0748300000000001E-2</v>
      </c>
      <c r="AJ341" s="21">
        <v>331</v>
      </c>
      <c r="AK341" s="21">
        <v>1.56616</v>
      </c>
      <c r="AL341">
        <f t="shared" si="66"/>
        <v>10.7483</v>
      </c>
      <c r="AM341">
        <f t="shared" si="67"/>
        <v>16.840113990999999</v>
      </c>
      <c r="AP341" s="9"/>
      <c r="AQ341" s="21">
        <v>0.13320899999999999</v>
      </c>
      <c r="AR341" s="21">
        <v>680.21500000000003</v>
      </c>
      <c r="AS341" s="21">
        <v>-1.23657E-2</v>
      </c>
      <c r="AT341" s="21">
        <v>331</v>
      </c>
      <c r="AU341" s="21">
        <v>0.132935</v>
      </c>
      <c r="AV341">
        <f t="shared" si="68"/>
        <v>12.3657</v>
      </c>
      <c r="AW341">
        <f t="shared" si="69"/>
        <v>1.6472225313</v>
      </c>
      <c r="AX341" s="9"/>
      <c r="AY341" s="21">
        <v>1.56677</v>
      </c>
      <c r="AZ341" s="21">
        <v>770.31</v>
      </c>
      <c r="BA341" s="21">
        <v>-1.10565E-2</v>
      </c>
      <c r="BB341" s="21">
        <v>331</v>
      </c>
      <c r="BC341" s="21">
        <v>1.56647</v>
      </c>
      <c r="BD341">
        <f t="shared" si="70"/>
        <v>11.0565</v>
      </c>
      <c r="BE341">
        <f t="shared" si="71"/>
        <v>17.322992504999998</v>
      </c>
    </row>
    <row r="342" spans="6:57" x14ac:dyDescent="0.25">
      <c r="F342" s="9"/>
      <c r="G342" s="21">
        <v>0.12817400000000001</v>
      </c>
      <c r="H342" s="21">
        <v>176.8</v>
      </c>
      <c r="I342" s="21">
        <v>-1.2130699999999999E-2</v>
      </c>
      <c r="J342" s="21">
        <v>332</v>
      </c>
      <c r="K342" s="21">
        <v>0.128021</v>
      </c>
      <c r="L342">
        <f t="shared" si="60"/>
        <v>12.130699999999999</v>
      </c>
      <c r="M342">
        <f t="shared" si="61"/>
        <v>1.5548403418000001</v>
      </c>
      <c r="N342" s="9"/>
      <c r="O342" s="21">
        <v>1.5718099999999999</v>
      </c>
      <c r="P342" s="21">
        <v>260.78399999999999</v>
      </c>
      <c r="Q342" s="21">
        <v>-1.06201E-2</v>
      </c>
      <c r="R342" s="21">
        <v>332</v>
      </c>
      <c r="S342" s="21">
        <v>1.57135</v>
      </c>
      <c r="T342">
        <f t="shared" si="62"/>
        <v>10.620100000000001</v>
      </c>
      <c r="U342">
        <f t="shared" si="63"/>
        <v>16.692779381000001</v>
      </c>
      <c r="X342" s="9"/>
      <c r="Y342" s="21">
        <v>0.12817400000000001</v>
      </c>
      <c r="Z342" s="21">
        <v>466.952</v>
      </c>
      <c r="AA342" s="21">
        <v>-1.19659E-2</v>
      </c>
      <c r="AB342" s="21">
        <v>332</v>
      </c>
      <c r="AC342" s="21">
        <v>0.128082</v>
      </c>
      <c r="AD342">
        <f t="shared" si="64"/>
        <v>11.9659</v>
      </c>
      <c r="AE342">
        <f t="shared" si="65"/>
        <v>1.5337172666000001</v>
      </c>
      <c r="AF342" s="9"/>
      <c r="AG342" s="21">
        <v>1.5718099999999999</v>
      </c>
      <c r="AH342" s="21">
        <v>523.62699999999995</v>
      </c>
      <c r="AI342" s="21">
        <v>-1.07697E-2</v>
      </c>
      <c r="AJ342" s="21">
        <v>332</v>
      </c>
      <c r="AK342" s="21">
        <v>1.57104</v>
      </c>
      <c r="AL342">
        <f t="shared" si="66"/>
        <v>10.7697</v>
      </c>
      <c r="AM342">
        <f t="shared" si="67"/>
        <v>16.927922157000001</v>
      </c>
      <c r="AP342" s="9"/>
      <c r="AQ342" s="21">
        <v>0.12817400000000001</v>
      </c>
      <c r="AR342" s="21">
        <v>680.31500000000005</v>
      </c>
      <c r="AS342" s="21">
        <v>-1.2371800000000001E-2</v>
      </c>
      <c r="AT342" s="21">
        <v>332</v>
      </c>
      <c r="AU342" s="21">
        <v>0.12799099999999999</v>
      </c>
      <c r="AV342">
        <f t="shared" si="68"/>
        <v>12.3718</v>
      </c>
      <c r="AW342">
        <f t="shared" si="69"/>
        <v>1.5857430932000001</v>
      </c>
      <c r="AX342" s="9"/>
      <c r="AY342" s="21">
        <v>1.5718099999999999</v>
      </c>
      <c r="AZ342" s="21">
        <v>770.41099999999994</v>
      </c>
      <c r="BA342" s="21">
        <v>-1.10504E-2</v>
      </c>
      <c r="BB342" s="21">
        <v>332</v>
      </c>
      <c r="BC342" s="21">
        <v>1.57074</v>
      </c>
      <c r="BD342">
        <f t="shared" si="70"/>
        <v>11.0504</v>
      </c>
      <c r="BE342">
        <f t="shared" si="71"/>
        <v>17.369129223999998</v>
      </c>
    </row>
    <row r="343" spans="6:57" x14ac:dyDescent="0.25">
      <c r="F343" s="9"/>
      <c r="G343" s="21">
        <v>0.123138</v>
      </c>
      <c r="H343" s="21">
        <v>176.9</v>
      </c>
      <c r="I343" s="21">
        <v>-1.21399E-2</v>
      </c>
      <c r="J343" s="21">
        <v>333</v>
      </c>
      <c r="K343" s="21">
        <v>0.12295499999999999</v>
      </c>
      <c r="L343">
        <f t="shared" si="60"/>
        <v>12.139900000000001</v>
      </c>
      <c r="M343">
        <f t="shared" si="61"/>
        <v>1.4948830062</v>
      </c>
      <c r="N343" s="9"/>
      <c r="O343" s="21">
        <v>1.57684</v>
      </c>
      <c r="P343" s="21">
        <v>260.88499999999999</v>
      </c>
      <c r="Q343" s="21">
        <v>-1.0617100000000001E-2</v>
      </c>
      <c r="R343" s="21">
        <v>333</v>
      </c>
      <c r="S343" s="21">
        <v>1.57562</v>
      </c>
      <c r="T343">
        <f t="shared" si="62"/>
        <v>10.617100000000001</v>
      </c>
      <c r="U343">
        <f t="shared" si="63"/>
        <v>16.741467964000002</v>
      </c>
      <c r="X343" s="9"/>
      <c r="Y343" s="21">
        <v>0.123138</v>
      </c>
      <c r="Z343" s="21">
        <v>467.05200000000002</v>
      </c>
      <c r="AA343" s="21">
        <v>-1.1981199999999999E-2</v>
      </c>
      <c r="AB343" s="21">
        <v>333</v>
      </c>
      <c r="AC343" s="21">
        <v>0.122894</v>
      </c>
      <c r="AD343">
        <f t="shared" si="64"/>
        <v>11.981199999999999</v>
      </c>
      <c r="AE343">
        <f t="shared" si="65"/>
        <v>1.4753410055999998</v>
      </c>
      <c r="AF343" s="9"/>
      <c r="AG343" s="21">
        <v>1.57684</v>
      </c>
      <c r="AH343" s="21">
        <v>523.72699999999998</v>
      </c>
      <c r="AI343" s="21">
        <v>-1.07391E-2</v>
      </c>
      <c r="AJ343" s="21">
        <v>333</v>
      </c>
      <c r="AK343" s="21">
        <v>1.5759300000000001</v>
      </c>
      <c r="AL343">
        <f t="shared" si="66"/>
        <v>10.739100000000001</v>
      </c>
      <c r="AM343">
        <f t="shared" si="67"/>
        <v>16.933842444</v>
      </c>
      <c r="AP343" s="9"/>
      <c r="AQ343" s="21">
        <v>0.123138</v>
      </c>
      <c r="AR343" s="21">
        <v>680.41600000000005</v>
      </c>
      <c r="AS343" s="21">
        <v>-1.2390099999999999E-2</v>
      </c>
      <c r="AT343" s="21">
        <v>333</v>
      </c>
      <c r="AU343" s="21">
        <v>0.12292500000000001</v>
      </c>
      <c r="AV343">
        <f t="shared" si="68"/>
        <v>12.390099999999999</v>
      </c>
      <c r="AW343">
        <f t="shared" si="69"/>
        <v>1.5256921337999998</v>
      </c>
      <c r="AX343" s="9"/>
      <c r="AY343" s="21">
        <v>1.57684</v>
      </c>
      <c r="AZ343" s="21">
        <v>770.51099999999997</v>
      </c>
      <c r="BA343" s="21">
        <v>-1.1047400000000001E-2</v>
      </c>
      <c r="BB343" s="21">
        <v>333</v>
      </c>
      <c r="BC343" s="21">
        <v>1.57623</v>
      </c>
      <c r="BD343">
        <f t="shared" si="70"/>
        <v>11.047400000000001</v>
      </c>
      <c r="BE343">
        <f t="shared" si="71"/>
        <v>17.419982216000001</v>
      </c>
    </row>
    <row r="344" spans="6:57" x14ac:dyDescent="0.25">
      <c r="F344" s="9"/>
      <c r="G344" s="21">
        <v>0.118103</v>
      </c>
      <c r="H344" s="21">
        <v>177.001</v>
      </c>
      <c r="I344" s="21">
        <v>-1.2164299999999999E-2</v>
      </c>
      <c r="J344" s="21">
        <v>334</v>
      </c>
      <c r="K344" s="21">
        <v>0.11788899999999999</v>
      </c>
      <c r="L344">
        <f t="shared" si="60"/>
        <v>12.164299999999999</v>
      </c>
      <c r="M344">
        <f t="shared" si="61"/>
        <v>1.4366403229</v>
      </c>
      <c r="N344" s="9"/>
      <c r="O344" s="21">
        <v>1.58188</v>
      </c>
      <c r="P344" s="21">
        <v>260.98500000000001</v>
      </c>
      <c r="Q344" s="21">
        <v>-1.0614E-2</v>
      </c>
      <c r="R344" s="21">
        <v>334</v>
      </c>
      <c r="S344" s="21">
        <v>1.5805100000000001</v>
      </c>
      <c r="T344">
        <f t="shared" si="62"/>
        <v>10.614000000000001</v>
      </c>
      <c r="U344">
        <f t="shared" si="63"/>
        <v>16.790074320000002</v>
      </c>
      <c r="X344" s="9"/>
      <c r="Y344" s="21">
        <v>0.118103</v>
      </c>
      <c r="Z344" s="21">
        <v>467.15300000000002</v>
      </c>
      <c r="AA344" s="21">
        <v>-1.19843E-2</v>
      </c>
      <c r="AB344" s="21">
        <v>334</v>
      </c>
      <c r="AC344" s="21">
        <v>0.11785900000000001</v>
      </c>
      <c r="AD344">
        <f t="shared" si="64"/>
        <v>11.984299999999999</v>
      </c>
      <c r="AE344">
        <f t="shared" si="65"/>
        <v>1.4153817828999999</v>
      </c>
      <c r="AF344" s="9"/>
      <c r="AG344" s="21">
        <v>1.58188</v>
      </c>
      <c r="AH344" s="21">
        <v>523.82799999999997</v>
      </c>
      <c r="AI344" s="21">
        <v>-1.0732999999999999E-2</v>
      </c>
      <c r="AJ344" s="21">
        <v>334</v>
      </c>
      <c r="AK344" s="21">
        <v>1.5817300000000001</v>
      </c>
      <c r="AL344">
        <f t="shared" si="66"/>
        <v>10.732999999999999</v>
      </c>
      <c r="AM344">
        <f t="shared" si="67"/>
        <v>16.978318039999998</v>
      </c>
      <c r="AP344" s="9"/>
      <c r="AQ344" s="21">
        <v>0.118103</v>
      </c>
      <c r="AR344" s="21">
        <v>680.51700000000005</v>
      </c>
      <c r="AS344" s="21">
        <v>-1.24023E-2</v>
      </c>
      <c r="AT344" s="21">
        <v>334</v>
      </c>
      <c r="AU344" s="21">
        <v>0.11795</v>
      </c>
      <c r="AV344">
        <f t="shared" si="68"/>
        <v>12.4023</v>
      </c>
      <c r="AW344">
        <f t="shared" si="69"/>
        <v>1.4647488369000001</v>
      </c>
      <c r="AX344" s="9"/>
      <c r="AY344" s="21">
        <v>1.58188</v>
      </c>
      <c r="AZ344" s="21">
        <v>770.61199999999997</v>
      </c>
      <c r="BA344" s="21">
        <v>-1.10382E-2</v>
      </c>
      <c r="BB344" s="21">
        <v>334</v>
      </c>
      <c r="BC344" s="21">
        <v>1.58081</v>
      </c>
      <c r="BD344">
        <f t="shared" si="70"/>
        <v>11.0382</v>
      </c>
      <c r="BE344">
        <f t="shared" si="71"/>
        <v>17.461107815999998</v>
      </c>
    </row>
    <row r="345" spans="6:57" x14ac:dyDescent="0.25">
      <c r="F345" s="9"/>
      <c r="G345" s="21">
        <v>0.113068</v>
      </c>
      <c r="H345" s="21">
        <v>177.102</v>
      </c>
      <c r="I345" s="21">
        <v>-1.2158199999999999E-2</v>
      </c>
      <c r="J345" s="21">
        <v>335</v>
      </c>
      <c r="K345" s="21">
        <v>0.112915</v>
      </c>
      <c r="L345">
        <f t="shared" si="60"/>
        <v>12.158199999999999</v>
      </c>
      <c r="M345">
        <f t="shared" si="61"/>
        <v>1.3747033575999998</v>
      </c>
      <c r="N345" s="9"/>
      <c r="O345" s="21">
        <v>1.58691</v>
      </c>
      <c r="P345" s="21">
        <v>261.08600000000001</v>
      </c>
      <c r="Q345" s="21">
        <v>-1.06079E-2</v>
      </c>
      <c r="R345" s="21">
        <v>335</v>
      </c>
      <c r="S345" s="21">
        <v>1.5863</v>
      </c>
      <c r="T345">
        <f t="shared" si="62"/>
        <v>10.607900000000001</v>
      </c>
      <c r="U345">
        <f t="shared" si="63"/>
        <v>16.833782589000002</v>
      </c>
      <c r="X345" s="9"/>
      <c r="Y345" s="21">
        <v>0.113068</v>
      </c>
      <c r="Z345" s="21">
        <v>467.25400000000002</v>
      </c>
      <c r="AA345" s="21">
        <v>-1.19904E-2</v>
      </c>
      <c r="AB345" s="21">
        <v>335</v>
      </c>
      <c r="AC345" s="21">
        <v>0.112885</v>
      </c>
      <c r="AD345">
        <f t="shared" si="64"/>
        <v>11.990399999999999</v>
      </c>
      <c r="AE345">
        <f t="shared" si="65"/>
        <v>1.3557305471999999</v>
      </c>
      <c r="AF345" s="9"/>
      <c r="AG345" s="21">
        <v>1.58691</v>
      </c>
      <c r="AH345" s="21">
        <v>523.92899999999997</v>
      </c>
      <c r="AI345" s="21">
        <v>-1.0726899999999999E-2</v>
      </c>
      <c r="AJ345" s="21">
        <v>335</v>
      </c>
      <c r="AK345" s="21">
        <v>1.58569</v>
      </c>
      <c r="AL345">
        <f t="shared" si="66"/>
        <v>10.726899999999999</v>
      </c>
      <c r="AM345">
        <f t="shared" si="67"/>
        <v>17.022624878999999</v>
      </c>
      <c r="AP345" s="9"/>
      <c r="AQ345" s="21">
        <v>0.113068</v>
      </c>
      <c r="AR345" s="21">
        <v>680.61699999999996</v>
      </c>
      <c r="AS345" s="21">
        <v>-1.2411500000000001E-2</v>
      </c>
      <c r="AT345" s="21">
        <v>335</v>
      </c>
      <c r="AU345" s="21">
        <v>0.112885</v>
      </c>
      <c r="AV345">
        <f t="shared" si="68"/>
        <v>12.4115</v>
      </c>
      <c r="AW345">
        <f t="shared" si="69"/>
        <v>1.4033434820000001</v>
      </c>
      <c r="AX345" s="9"/>
      <c r="AY345" s="21">
        <v>1.58691</v>
      </c>
      <c r="AZ345" s="21">
        <v>770.71299999999997</v>
      </c>
      <c r="BA345" s="21">
        <v>-1.10352E-2</v>
      </c>
      <c r="BB345" s="21">
        <v>335</v>
      </c>
      <c r="BC345" s="21">
        <v>1.5866100000000001</v>
      </c>
      <c r="BD345">
        <f t="shared" si="70"/>
        <v>11.0352</v>
      </c>
      <c r="BE345">
        <f t="shared" si="71"/>
        <v>17.511869231999999</v>
      </c>
    </row>
    <row r="346" spans="6:57" x14ac:dyDescent="0.25">
      <c r="F346" s="9"/>
      <c r="G346" s="21">
        <v>0.108032</v>
      </c>
      <c r="H346" s="21">
        <v>177.202</v>
      </c>
      <c r="I346" s="21">
        <v>-1.21735E-2</v>
      </c>
      <c r="J346" s="21">
        <v>336</v>
      </c>
      <c r="K346" s="21">
        <v>0.107849</v>
      </c>
      <c r="L346">
        <f t="shared" si="60"/>
        <v>12.173500000000001</v>
      </c>
      <c r="M346">
        <f t="shared" si="61"/>
        <v>1.3151275520000001</v>
      </c>
      <c r="N346" s="9"/>
      <c r="O346" s="21">
        <v>1.59195</v>
      </c>
      <c r="P346" s="21">
        <v>261.18700000000001</v>
      </c>
      <c r="Q346" s="21">
        <v>-1.05988E-2</v>
      </c>
      <c r="R346" s="21">
        <v>336</v>
      </c>
      <c r="S346" s="21">
        <v>1.5914900000000001</v>
      </c>
      <c r="T346">
        <f t="shared" si="62"/>
        <v>10.598800000000001</v>
      </c>
      <c r="U346">
        <f t="shared" si="63"/>
        <v>16.87275966</v>
      </c>
      <c r="X346" s="9"/>
      <c r="Y346" s="21">
        <v>0.108032</v>
      </c>
      <c r="Z346" s="21">
        <v>467.35399999999998</v>
      </c>
      <c r="AA346" s="21">
        <v>-1.19904E-2</v>
      </c>
      <c r="AB346" s="21">
        <v>336</v>
      </c>
      <c r="AC346" s="21">
        <v>0.107849</v>
      </c>
      <c r="AD346">
        <f t="shared" si="64"/>
        <v>11.990399999999999</v>
      </c>
      <c r="AE346">
        <f t="shared" si="65"/>
        <v>1.2953468928</v>
      </c>
      <c r="AF346" s="9"/>
      <c r="AG346" s="21">
        <v>1.59195</v>
      </c>
      <c r="AH346" s="21">
        <v>524.029</v>
      </c>
      <c r="AI346" s="21">
        <v>-1.07178E-2</v>
      </c>
      <c r="AJ346" s="21">
        <v>336</v>
      </c>
      <c r="AK346" s="21">
        <v>1.5914900000000001</v>
      </c>
      <c r="AL346">
        <f t="shared" si="66"/>
        <v>10.7178</v>
      </c>
      <c r="AM346">
        <f t="shared" si="67"/>
        <v>17.06220171</v>
      </c>
      <c r="AP346" s="9"/>
      <c r="AQ346" s="21">
        <v>0.108032</v>
      </c>
      <c r="AR346" s="21">
        <v>680.71799999999996</v>
      </c>
      <c r="AS346" s="21">
        <v>-1.24207E-2</v>
      </c>
      <c r="AT346" s="21">
        <v>336</v>
      </c>
      <c r="AU346" s="21">
        <v>0.10788</v>
      </c>
      <c r="AV346">
        <f t="shared" si="68"/>
        <v>12.4207</v>
      </c>
      <c r="AW346">
        <f t="shared" si="69"/>
        <v>1.3418330624000001</v>
      </c>
      <c r="AX346" s="9"/>
      <c r="AY346" s="21">
        <v>1.59195</v>
      </c>
      <c r="AZ346" s="21">
        <v>770.81399999999996</v>
      </c>
      <c r="BA346" s="21">
        <v>-1.10291E-2</v>
      </c>
      <c r="BB346" s="21">
        <v>336</v>
      </c>
      <c r="BC346" s="21">
        <v>1.5908800000000001</v>
      </c>
      <c r="BD346">
        <f t="shared" si="70"/>
        <v>11.0291</v>
      </c>
      <c r="BE346">
        <f t="shared" si="71"/>
        <v>17.557775745000001</v>
      </c>
    </row>
    <row r="347" spans="6:57" x14ac:dyDescent="0.25">
      <c r="F347" s="9"/>
      <c r="G347" s="21">
        <v>0.10299700000000001</v>
      </c>
      <c r="H347" s="21">
        <v>177.303</v>
      </c>
      <c r="I347" s="21">
        <v>-1.21765E-2</v>
      </c>
      <c r="J347" s="21">
        <v>337</v>
      </c>
      <c r="K347" s="21">
        <v>0.102814</v>
      </c>
      <c r="L347">
        <f t="shared" si="60"/>
        <v>12.176499999999999</v>
      </c>
      <c r="M347">
        <f t="shared" si="61"/>
        <v>1.2541429705</v>
      </c>
      <c r="N347" s="9"/>
      <c r="O347" s="21">
        <v>1.5969800000000001</v>
      </c>
      <c r="P347" s="21">
        <v>261.28699999999998</v>
      </c>
      <c r="Q347" s="21">
        <v>-1.05988E-2</v>
      </c>
      <c r="R347" s="21">
        <v>337</v>
      </c>
      <c r="S347" s="21">
        <v>1.5969800000000001</v>
      </c>
      <c r="T347">
        <f t="shared" si="62"/>
        <v>10.598800000000001</v>
      </c>
      <c r="U347">
        <f t="shared" si="63"/>
        <v>16.926071624000002</v>
      </c>
      <c r="X347" s="9"/>
      <c r="Y347" s="21">
        <v>0.10299700000000001</v>
      </c>
      <c r="Z347" s="21">
        <v>467.45499999999998</v>
      </c>
      <c r="AA347" s="21">
        <v>-1.2014800000000001E-2</v>
      </c>
      <c r="AB347" s="21">
        <v>337</v>
      </c>
      <c r="AC347" s="21">
        <v>0.102814</v>
      </c>
      <c r="AD347">
        <f t="shared" si="64"/>
        <v>12.014800000000001</v>
      </c>
      <c r="AE347">
        <f t="shared" si="65"/>
        <v>1.2374883556000003</v>
      </c>
      <c r="AF347" s="9"/>
      <c r="AG347" s="21">
        <v>1.5969800000000001</v>
      </c>
      <c r="AH347" s="21">
        <v>524.13</v>
      </c>
      <c r="AI347" s="21">
        <v>-1.07178E-2</v>
      </c>
      <c r="AJ347" s="21">
        <v>337</v>
      </c>
      <c r="AK347" s="21">
        <v>1.5957600000000001</v>
      </c>
      <c r="AL347">
        <f t="shared" si="66"/>
        <v>10.7178</v>
      </c>
      <c r="AM347">
        <f t="shared" si="67"/>
        <v>17.116112244</v>
      </c>
      <c r="AP347" s="9"/>
      <c r="AQ347" s="21">
        <v>0.10299700000000001</v>
      </c>
      <c r="AR347" s="21">
        <v>680.81899999999996</v>
      </c>
      <c r="AS347" s="21">
        <v>-1.24268E-2</v>
      </c>
      <c r="AT347" s="21">
        <v>337</v>
      </c>
      <c r="AU347" s="21">
        <v>0.102844</v>
      </c>
      <c r="AV347">
        <f t="shared" si="68"/>
        <v>12.4268</v>
      </c>
      <c r="AW347">
        <f t="shared" si="69"/>
        <v>1.2799231196</v>
      </c>
      <c r="AX347" s="9"/>
      <c r="AY347" s="21">
        <v>1.5969800000000001</v>
      </c>
      <c r="AZ347" s="21">
        <v>770.91399999999999</v>
      </c>
      <c r="BA347" s="21">
        <v>-1.1019899999999999E-2</v>
      </c>
      <c r="BB347" s="21">
        <v>337</v>
      </c>
      <c r="BC347" s="21">
        <v>1.5966800000000001</v>
      </c>
      <c r="BD347">
        <f t="shared" si="70"/>
        <v>11.0199</v>
      </c>
      <c r="BE347">
        <f t="shared" si="71"/>
        <v>17.598559902000002</v>
      </c>
    </row>
    <row r="348" spans="6:57" x14ac:dyDescent="0.25">
      <c r="F348" s="9"/>
      <c r="G348" s="21">
        <v>9.7961400000000004E-2</v>
      </c>
      <c r="H348" s="21">
        <v>177.404</v>
      </c>
      <c r="I348" s="21">
        <v>-1.21674E-2</v>
      </c>
      <c r="J348" s="21">
        <v>338</v>
      </c>
      <c r="K348" s="21">
        <v>9.7839400000000007E-2</v>
      </c>
      <c r="L348">
        <f t="shared" si="60"/>
        <v>12.167400000000001</v>
      </c>
      <c r="M348">
        <f t="shared" si="61"/>
        <v>1.1919355383600001</v>
      </c>
      <c r="N348" s="9"/>
      <c r="O348" s="21">
        <v>1.60202</v>
      </c>
      <c r="P348" s="21">
        <v>261.38799999999998</v>
      </c>
      <c r="Q348" s="21">
        <v>-1.05927E-2</v>
      </c>
      <c r="R348" s="21">
        <v>338</v>
      </c>
      <c r="S348" s="21">
        <v>1.6015600000000001</v>
      </c>
      <c r="T348">
        <f t="shared" si="62"/>
        <v>10.592700000000001</v>
      </c>
      <c r="U348">
        <f t="shared" si="63"/>
        <v>16.969717254000003</v>
      </c>
      <c r="X348" s="9"/>
      <c r="Y348" s="21">
        <v>9.7961400000000004E-2</v>
      </c>
      <c r="Z348" s="21">
        <v>467.55599999999998</v>
      </c>
      <c r="AA348" s="21">
        <v>-1.20056E-2</v>
      </c>
      <c r="AB348" s="21">
        <v>338</v>
      </c>
      <c r="AC348" s="21">
        <v>9.7839400000000007E-2</v>
      </c>
      <c r="AD348">
        <f t="shared" si="64"/>
        <v>12.005599999999999</v>
      </c>
      <c r="AE348">
        <f t="shared" si="65"/>
        <v>1.1760853838400001</v>
      </c>
      <c r="AF348" s="9"/>
      <c r="AG348" s="21">
        <v>1.60202</v>
      </c>
      <c r="AH348" s="21">
        <v>524.23099999999999</v>
      </c>
      <c r="AI348" s="21">
        <v>-1.07086E-2</v>
      </c>
      <c r="AJ348" s="21">
        <v>338</v>
      </c>
      <c r="AK348" s="21">
        <v>1.6015600000000001</v>
      </c>
      <c r="AL348">
        <f t="shared" si="66"/>
        <v>10.708600000000001</v>
      </c>
      <c r="AM348">
        <f t="shared" si="67"/>
        <v>17.155391372</v>
      </c>
      <c r="AP348" s="9"/>
      <c r="AQ348" s="21">
        <v>9.7961400000000004E-2</v>
      </c>
      <c r="AR348" s="21">
        <v>680.91899999999998</v>
      </c>
      <c r="AS348" s="21">
        <v>-1.24359E-2</v>
      </c>
      <c r="AT348" s="21">
        <v>338</v>
      </c>
      <c r="AU348" s="21">
        <v>9.7808800000000001E-2</v>
      </c>
      <c r="AV348">
        <f t="shared" si="68"/>
        <v>12.4359</v>
      </c>
      <c r="AW348">
        <f t="shared" si="69"/>
        <v>1.2182381742600001</v>
      </c>
      <c r="AX348" s="9"/>
      <c r="AY348" s="21">
        <v>1.60202</v>
      </c>
      <c r="AZ348" s="21">
        <v>771.01499999999999</v>
      </c>
      <c r="BA348" s="21">
        <v>-1.1013800000000001E-2</v>
      </c>
      <c r="BB348" s="21">
        <v>338</v>
      </c>
      <c r="BC348" s="21">
        <v>1.6009500000000001</v>
      </c>
      <c r="BD348">
        <f t="shared" si="70"/>
        <v>11.0138</v>
      </c>
      <c r="BE348">
        <f t="shared" si="71"/>
        <v>17.644327875999998</v>
      </c>
    </row>
    <row r="349" spans="6:57" x14ac:dyDescent="0.25">
      <c r="F349" s="9"/>
      <c r="G349" s="21">
        <v>9.2925999999999995E-2</v>
      </c>
      <c r="H349" s="21">
        <v>177.505</v>
      </c>
      <c r="I349" s="21">
        <v>-1.2191799999999999E-2</v>
      </c>
      <c r="J349" s="21">
        <v>339</v>
      </c>
      <c r="K349" s="21">
        <v>9.27124E-2</v>
      </c>
      <c r="L349">
        <f t="shared" si="60"/>
        <v>12.191799999999999</v>
      </c>
      <c r="M349">
        <f t="shared" si="61"/>
        <v>1.1329352067999998</v>
      </c>
      <c r="N349" s="9"/>
      <c r="O349" s="21">
        <v>1.6070599999999999</v>
      </c>
      <c r="P349" s="21">
        <v>261.48899999999998</v>
      </c>
      <c r="Q349" s="21">
        <v>-1.0583499999999999E-2</v>
      </c>
      <c r="R349" s="21">
        <v>339</v>
      </c>
      <c r="S349" s="21">
        <v>1.6067499999999999</v>
      </c>
      <c r="T349">
        <f t="shared" si="62"/>
        <v>10.583499999999999</v>
      </c>
      <c r="U349">
        <f t="shared" si="63"/>
        <v>17.008319509999996</v>
      </c>
      <c r="X349" s="9"/>
      <c r="Y349" s="21">
        <v>9.2925999999999995E-2</v>
      </c>
      <c r="Z349" s="21">
        <v>467.65699999999998</v>
      </c>
      <c r="AA349" s="21">
        <v>-1.20178E-2</v>
      </c>
      <c r="AB349" s="21">
        <v>339</v>
      </c>
      <c r="AC349" s="21">
        <v>9.2773400000000006E-2</v>
      </c>
      <c r="AD349">
        <f t="shared" si="64"/>
        <v>12.017800000000001</v>
      </c>
      <c r="AE349">
        <f t="shared" si="65"/>
        <v>1.1167660828000001</v>
      </c>
      <c r="AF349" s="9"/>
      <c r="AG349" s="21">
        <v>1.6070599999999999</v>
      </c>
      <c r="AH349" s="21">
        <v>524.33100000000002</v>
      </c>
      <c r="AI349" s="21">
        <v>-1.0699500000000001E-2</v>
      </c>
      <c r="AJ349" s="21">
        <v>339</v>
      </c>
      <c r="AK349" s="21">
        <v>1.6061399999999999</v>
      </c>
      <c r="AL349">
        <f t="shared" si="66"/>
        <v>10.6995</v>
      </c>
      <c r="AM349">
        <f t="shared" si="67"/>
        <v>17.194738470000001</v>
      </c>
      <c r="AP349" s="9"/>
      <c r="AQ349" s="21">
        <v>9.2925999999999995E-2</v>
      </c>
      <c r="AR349" s="21">
        <v>681.02</v>
      </c>
      <c r="AS349" s="21">
        <v>-1.2445100000000001E-2</v>
      </c>
      <c r="AT349" s="21">
        <v>339</v>
      </c>
      <c r="AU349" s="21">
        <v>9.2773400000000006E-2</v>
      </c>
      <c r="AV349">
        <f t="shared" si="68"/>
        <v>12.4451</v>
      </c>
      <c r="AW349">
        <f t="shared" si="69"/>
        <v>1.1564733625999999</v>
      </c>
      <c r="AX349" s="9"/>
      <c r="AY349" s="21">
        <v>1.6070599999999999</v>
      </c>
      <c r="AZ349" s="21">
        <v>771.11599999999999</v>
      </c>
      <c r="BA349" s="21">
        <v>-1.10107E-2</v>
      </c>
      <c r="BB349" s="21">
        <v>339</v>
      </c>
      <c r="BC349" s="21">
        <v>1.6064499999999999</v>
      </c>
      <c r="BD349">
        <f t="shared" si="70"/>
        <v>11.0107</v>
      </c>
      <c r="BE349">
        <f t="shared" si="71"/>
        <v>17.694855541999999</v>
      </c>
    </row>
    <row r="350" spans="6:57" x14ac:dyDescent="0.25">
      <c r="F350" s="9"/>
      <c r="G350" s="21">
        <v>8.7890599999999999E-2</v>
      </c>
      <c r="H350" s="21">
        <v>177.60499999999999</v>
      </c>
      <c r="I350" s="21">
        <v>-1.2213099999999999E-2</v>
      </c>
      <c r="J350" s="21">
        <v>340</v>
      </c>
      <c r="K350" s="21">
        <v>8.7737999999999997E-2</v>
      </c>
      <c r="L350">
        <f t="shared" si="60"/>
        <v>12.213099999999999</v>
      </c>
      <c r="M350">
        <f t="shared" si="61"/>
        <v>1.0734166868599999</v>
      </c>
      <c r="N350" s="9"/>
      <c r="O350" s="21">
        <v>1.61209</v>
      </c>
      <c r="P350" s="21">
        <v>261.58999999999997</v>
      </c>
      <c r="Q350" s="21">
        <v>-1.05682E-2</v>
      </c>
      <c r="R350" s="21">
        <v>340</v>
      </c>
      <c r="S350" s="21">
        <v>1.6113299999999999</v>
      </c>
      <c r="T350">
        <f t="shared" si="62"/>
        <v>10.568199999999999</v>
      </c>
      <c r="U350">
        <f t="shared" si="63"/>
        <v>17.036889538</v>
      </c>
      <c r="X350" s="9"/>
      <c r="Y350" s="21">
        <v>8.7890599999999999E-2</v>
      </c>
      <c r="Z350" s="21">
        <v>467.75700000000001</v>
      </c>
      <c r="AA350" s="21">
        <v>-1.2030000000000001E-2</v>
      </c>
      <c r="AB350" s="21">
        <v>340</v>
      </c>
      <c r="AC350" s="21">
        <v>8.7707499999999994E-2</v>
      </c>
      <c r="AD350">
        <f t="shared" si="64"/>
        <v>12.030000000000001</v>
      </c>
      <c r="AE350">
        <f t="shared" si="65"/>
        <v>1.057323918</v>
      </c>
      <c r="AF350" s="9"/>
      <c r="AG350" s="21">
        <v>1.61209</v>
      </c>
      <c r="AH350" s="21">
        <v>524.43200000000002</v>
      </c>
      <c r="AI350" s="21">
        <v>-1.06964E-2</v>
      </c>
      <c r="AJ350" s="21">
        <v>340</v>
      </c>
      <c r="AK350" s="21">
        <v>1.6116299999999999</v>
      </c>
      <c r="AL350">
        <f t="shared" si="66"/>
        <v>10.696400000000001</v>
      </c>
      <c r="AM350">
        <f t="shared" si="67"/>
        <v>17.243559476000001</v>
      </c>
      <c r="AP350" s="9"/>
      <c r="AQ350" s="21">
        <v>8.7890599999999999E-2</v>
      </c>
      <c r="AR350" s="21">
        <v>681.12099999999998</v>
      </c>
      <c r="AS350" s="21">
        <v>-1.24542E-2</v>
      </c>
      <c r="AT350" s="21">
        <v>340</v>
      </c>
      <c r="AU350" s="21">
        <v>8.7677000000000005E-2</v>
      </c>
      <c r="AV350">
        <f t="shared" si="68"/>
        <v>12.4542</v>
      </c>
      <c r="AW350">
        <f t="shared" si="69"/>
        <v>1.0946071105199999</v>
      </c>
      <c r="AX350" s="9"/>
      <c r="AY350" s="21">
        <v>1.61209</v>
      </c>
      <c r="AZ350" s="21">
        <v>771.21600000000001</v>
      </c>
      <c r="BA350" s="21">
        <v>-1.10016E-2</v>
      </c>
      <c r="BB350" s="21">
        <v>340</v>
      </c>
      <c r="BC350" s="21">
        <v>1.6119399999999999</v>
      </c>
      <c r="BD350">
        <f t="shared" si="70"/>
        <v>11.0016</v>
      </c>
      <c r="BE350">
        <f t="shared" si="71"/>
        <v>17.735569344000002</v>
      </c>
    </row>
    <row r="351" spans="6:57" x14ac:dyDescent="0.25">
      <c r="F351" s="9"/>
      <c r="G351" s="21">
        <v>8.2855200000000004E-2</v>
      </c>
      <c r="H351" s="21">
        <v>177.70599999999999</v>
      </c>
      <c r="I351" s="21">
        <v>-1.22223E-2</v>
      </c>
      <c r="J351" s="21">
        <v>341</v>
      </c>
      <c r="K351" s="21">
        <v>8.2763699999999996E-2</v>
      </c>
      <c r="L351">
        <f t="shared" si="60"/>
        <v>12.222300000000001</v>
      </c>
      <c r="M351">
        <f t="shared" si="61"/>
        <v>1.01268111096</v>
      </c>
      <c r="N351" s="9"/>
      <c r="O351" s="21">
        <v>1.61713</v>
      </c>
      <c r="P351" s="21">
        <v>261.69</v>
      </c>
      <c r="Q351" s="21">
        <v>-1.0555999999999999E-2</v>
      </c>
      <c r="R351" s="21">
        <v>341</v>
      </c>
      <c r="S351" s="21">
        <v>1.61591</v>
      </c>
      <c r="T351">
        <f t="shared" si="62"/>
        <v>10.555999999999999</v>
      </c>
      <c r="U351">
        <f t="shared" si="63"/>
        <v>17.070424279999997</v>
      </c>
      <c r="X351" s="9"/>
      <c r="Y351" s="21">
        <v>8.2855200000000004E-2</v>
      </c>
      <c r="Z351" s="21">
        <v>467.858</v>
      </c>
      <c r="AA351" s="21">
        <v>-1.20392E-2</v>
      </c>
      <c r="AB351" s="21">
        <v>341</v>
      </c>
      <c r="AC351" s="21">
        <v>8.2763699999999996E-2</v>
      </c>
      <c r="AD351">
        <f t="shared" si="64"/>
        <v>12.039199999999999</v>
      </c>
      <c r="AE351">
        <f t="shared" si="65"/>
        <v>0.99751032383999994</v>
      </c>
      <c r="AF351" s="9"/>
      <c r="AG351" s="21">
        <v>1.61713</v>
      </c>
      <c r="AH351" s="21">
        <v>524.53300000000002</v>
      </c>
      <c r="AI351" s="21">
        <v>-1.06934E-2</v>
      </c>
      <c r="AJ351" s="21">
        <v>341</v>
      </c>
      <c r="AK351" s="21">
        <v>1.6162099999999999</v>
      </c>
      <c r="AL351">
        <f t="shared" si="66"/>
        <v>10.6934</v>
      </c>
      <c r="AM351">
        <f t="shared" si="67"/>
        <v>17.292617942</v>
      </c>
      <c r="AP351" s="9"/>
      <c r="AQ351" s="21">
        <v>8.2855200000000004E-2</v>
      </c>
      <c r="AR351" s="21">
        <v>681.22199999999998</v>
      </c>
      <c r="AS351" s="21">
        <v>-1.2466400000000001E-2</v>
      </c>
      <c r="AT351" s="21">
        <v>341</v>
      </c>
      <c r="AU351" s="21">
        <v>8.2824700000000001E-2</v>
      </c>
      <c r="AV351">
        <f t="shared" si="68"/>
        <v>12.4664</v>
      </c>
      <c r="AW351">
        <f t="shared" si="69"/>
        <v>1.03290606528</v>
      </c>
      <c r="AX351" s="9"/>
      <c r="AY351" s="21">
        <v>1.61713</v>
      </c>
      <c r="AZ351" s="21">
        <v>771.31700000000001</v>
      </c>
      <c r="BA351" s="21">
        <v>-1.0992399999999999E-2</v>
      </c>
      <c r="BB351" s="21">
        <v>341</v>
      </c>
      <c r="BC351" s="21">
        <v>1.6162099999999999</v>
      </c>
      <c r="BD351">
        <f t="shared" si="70"/>
        <v>10.9924</v>
      </c>
      <c r="BE351">
        <f t="shared" si="71"/>
        <v>17.776139812</v>
      </c>
    </row>
    <row r="352" spans="6:57" x14ac:dyDescent="0.25">
      <c r="F352" s="9"/>
      <c r="G352" s="21">
        <v>7.7819799999999995E-2</v>
      </c>
      <c r="H352" s="21">
        <v>177.80699999999999</v>
      </c>
      <c r="I352" s="21">
        <v>-1.22498E-2</v>
      </c>
      <c r="J352" s="21">
        <v>342</v>
      </c>
      <c r="K352" s="21">
        <v>7.7667200000000006E-2</v>
      </c>
      <c r="L352">
        <f t="shared" si="60"/>
        <v>12.2498</v>
      </c>
      <c r="M352">
        <f t="shared" si="61"/>
        <v>0.95327698604</v>
      </c>
      <c r="N352" s="9"/>
      <c r="O352" s="21">
        <v>1.62216</v>
      </c>
      <c r="P352" s="21">
        <v>261.791</v>
      </c>
      <c r="Q352" s="21">
        <v>-1.0555999999999999E-2</v>
      </c>
      <c r="R352" s="21">
        <v>342</v>
      </c>
      <c r="S352" s="21">
        <v>1.6214</v>
      </c>
      <c r="T352">
        <f t="shared" si="62"/>
        <v>10.555999999999999</v>
      </c>
      <c r="U352">
        <f t="shared" si="63"/>
        <v>17.12352096</v>
      </c>
      <c r="X352" s="9"/>
      <c r="Y352" s="21">
        <v>7.7819799999999995E-2</v>
      </c>
      <c r="Z352" s="21">
        <v>467.959</v>
      </c>
      <c r="AA352" s="21">
        <v>-1.20667E-2</v>
      </c>
      <c r="AB352" s="21">
        <v>342</v>
      </c>
      <c r="AC352" s="21">
        <v>7.77283E-2</v>
      </c>
      <c r="AD352">
        <f t="shared" si="64"/>
        <v>12.066699999999999</v>
      </c>
      <c r="AE352">
        <f t="shared" si="65"/>
        <v>0.93902818065999982</v>
      </c>
      <c r="AF352" s="9"/>
      <c r="AG352" s="21">
        <v>1.62216</v>
      </c>
      <c r="AH352" s="21">
        <v>524.63400000000001</v>
      </c>
      <c r="AI352" s="21">
        <v>-1.06903E-2</v>
      </c>
      <c r="AJ352" s="21">
        <v>342</v>
      </c>
      <c r="AK352" s="21">
        <v>1.6214</v>
      </c>
      <c r="AL352">
        <f t="shared" si="66"/>
        <v>10.690300000000001</v>
      </c>
      <c r="AM352">
        <f t="shared" si="67"/>
        <v>17.341377048000002</v>
      </c>
      <c r="AP352" s="9"/>
      <c r="AQ352" s="21">
        <v>7.7819799999999995E-2</v>
      </c>
      <c r="AR352" s="21">
        <v>681.322</v>
      </c>
      <c r="AS352" s="21">
        <v>-1.24817E-2</v>
      </c>
      <c r="AT352" s="21">
        <v>342</v>
      </c>
      <c r="AU352" s="21">
        <v>7.7697799999999997E-2</v>
      </c>
      <c r="AV352">
        <f t="shared" si="68"/>
        <v>12.4817</v>
      </c>
      <c r="AW352">
        <f t="shared" si="69"/>
        <v>0.97132339765999998</v>
      </c>
      <c r="AX352" s="9"/>
      <c r="AY352" s="21">
        <v>1.62216</v>
      </c>
      <c r="AZ352" s="21">
        <v>771.41800000000001</v>
      </c>
      <c r="BA352" s="21">
        <v>-1.0986299999999999E-2</v>
      </c>
      <c r="BB352" s="21">
        <v>342</v>
      </c>
      <c r="BC352" s="21">
        <v>1.6210899999999999</v>
      </c>
      <c r="BD352">
        <f t="shared" si="70"/>
        <v>10.9863</v>
      </c>
      <c r="BE352">
        <f t="shared" si="71"/>
        <v>17.821536408</v>
      </c>
    </row>
    <row r="353" spans="6:57" x14ac:dyDescent="0.25">
      <c r="F353" s="9"/>
      <c r="G353" s="21">
        <v>7.2784399999999999E-2</v>
      </c>
      <c r="H353" s="21">
        <v>177.90700000000001</v>
      </c>
      <c r="I353" s="21">
        <v>-1.2246699999999999E-2</v>
      </c>
      <c r="J353" s="21">
        <v>343</v>
      </c>
      <c r="K353" s="21">
        <v>7.2662400000000002E-2</v>
      </c>
      <c r="L353">
        <f t="shared" si="60"/>
        <v>12.246699999999999</v>
      </c>
      <c r="M353">
        <f t="shared" si="61"/>
        <v>0.89136871147999985</v>
      </c>
      <c r="N353" s="9"/>
      <c r="O353" s="21">
        <v>1.6272</v>
      </c>
      <c r="P353" s="21">
        <v>261.892</v>
      </c>
      <c r="Q353" s="21">
        <v>-1.05469E-2</v>
      </c>
      <c r="R353" s="21">
        <v>343</v>
      </c>
      <c r="S353" s="21">
        <v>1.6262799999999999</v>
      </c>
      <c r="T353">
        <f t="shared" si="62"/>
        <v>10.546899999999999</v>
      </c>
      <c r="U353">
        <f t="shared" si="63"/>
        <v>17.16191568</v>
      </c>
      <c r="X353" s="9"/>
      <c r="Y353" s="21">
        <v>7.2784399999999999E-2</v>
      </c>
      <c r="Z353" s="21">
        <v>468.05900000000003</v>
      </c>
      <c r="AA353" s="21">
        <v>-1.21277E-2</v>
      </c>
      <c r="AB353" s="21">
        <v>343</v>
      </c>
      <c r="AC353" s="21">
        <v>7.2631799999999996E-2</v>
      </c>
      <c r="AD353">
        <f t="shared" si="64"/>
        <v>12.127700000000001</v>
      </c>
      <c r="AE353">
        <f t="shared" si="65"/>
        <v>0.88270736788000004</v>
      </c>
      <c r="AF353" s="9"/>
      <c r="AG353" s="21">
        <v>1.6272</v>
      </c>
      <c r="AH353" s="21">
        <v>524.73400000000004</v>
      </c>
      <c r="AI353" s="21">
        <v>-1.06812E-2</v>
      </c>
      <c r="AJ353" s="21">
        <v>343</v>
      </c>
      <c r="AK353" s="21">
        <v>1.62659</v>
      </c>
      <c r="AL353">
        <f t="shared" si="66"/>
        <v>10.6812</v>
      </c>
      <c r="AM353">
        <f t="shared" si="67"/>
        <v>17.380448640000001</v>
      </c>
      <c r="AP353" s="9"/>
      <c r="AQ353" s="21">
        <v>7.2784399999999999E-2</v>
      </c>
      <c r="AR353" s="21">
        <v>681.423</v>
      </c>
      <c r="AS353" s="21">
        <v>-1.2500000000000001E-2</v>
      </c>
      <c r="AT353" s="21">
        <v>343</v>
      </c>
      <c r="AU353" s="21">
        <v>7.2570800000000005E-2</v>
      </c>
      <c r="AV353">
        <f t="shared" si="68"/>
        <v>12.5</v>
      </c>
      <c r="AW353">
        <f t="shared" si="69"/>
        <v>0.90980499999999997</v>
      </c>
      <c r="AX353" s="9"/>
      <c r="AY353" s="21">
        <v>1.6272</v>
      </c>
      <c r="AZ353" s="21">
        <v>771.51900000000001</v>
      </c>
      <c r="BA353" s="21">
        <v>-1.0977199999999999E-2</v>
      </c>
      <c r="BB353" s="21">
        <v>343</v>
      </c>
      <c r="BC353" s="21">
        <v>1.62659</v>
      </c>
      <c r="BD353">
        <f t="shared" si="70"/>
        <v>10.9772</v>
      </c>
      <c r="BE353">
        <f t="shared" si="71"/>
        <v>17.862099839999999</v>
      </c>
    </row>
    <row r="354" spans="6:57" x14ac:dyDescent="0.25">
      <c r="F354" s="9"/>
      <c r="G354" s="21">
        <v>6.7749000000000004E-2</v>
      </c>
      <c r="H354" s="21">
        <v>178.00800000000001</v>
      </c>
      <c r="I354" s="21">
        <v>-1.2289400000000001E-2</v>
      </c>
      <c r="J354" s="21">
        <v>344</v>
      </c>
      <c r="K354" s="21">
        <v>6.7657499999999995E-2</v>
      </c>
      <c r="L354">
        <f t="shared" si="60"/>
        <v>12.289400000000001</v>
      </c>
      <c r="M354">
        <f t="shared" si="61"/>
        <v>0.83259456060000003</v>
      </c>
      <c r="N354" s="9"/>
      <c r="O354" s="21">
        <v>1.6322300000000001</v>
      </c>
      <c r="P354" s="21">
        <v>261.99200000000002</v>
      </c>
      <c r="Q354" s="21">
        <v>-1.0537700000000001E-2</v>
      </c>
      <c r="R354" s="21">
        <v>344</v>
      </c>
      <c r="S354" s="21">
        <v>1.63147</v>
      </c>
      <c r="T354">
        <f t="shared" si="62"/>
        <v>10.537700000000001</v>
      </c>
      <c r="U354">
        <f t="shared" si="63"/>
        <v>17.199950071000004</v>
      </c>
      <c r="X354" s="9"/>
      <c r="Y354" s="21">
        <v>6.7749000000000004E-2</v>
      </c>
      <c r="Z354" s="21">
        <v>468.16</v>
      </c>
      <c r="AA354" s="21">
        <v>-1.2146000000000001E-2</v>
      </c>
      <c r="AB354" s="21">
        <v>344</v>
      </c>
      <c r="AC354" s="21">
        <v>6.7596400000000001E-2</v>
      </c>
      <c r="AD354">
        <f t="shared" si="64"/>
        <v>12.146000000000001</v>
      </c>
      <c r="AE354">
        <f t="shared" si="65"/>
        <v>0.82287935400000012</v>
      </c>
      <c r="AF354" s="9"/>
      <c r="AG354" s="21">
        <v>1.6322300000000001</v>
      </c>
      <c r="AH354" s="21">
        <v>524.83500000000004</v>
      </c>
      <c r="AI354" s="21">
        <v>-1.0671999999999999E-2</v>
      </c>
      <c r="AJ354" s="21">
        <v>344</v>
      </c>
      <c r="AK354" s="21">
        <v>1.6317699999999999</v>
      </c>
      <c r="AL354">
        <f t="shared" si="66"/>
        <v>10.671999999999999</v>
      </c>
      <c r="AM354">
        <f t="shared" si="67"/>
        <v>17.41915856</v>
      </c>
      <c r="AP354" s="9"/>
      <c r="AQ354" s="21">
        <v>6.7749000000000004E-2</v>
      </c>
      <c r="AR354" s="21">
        <v>681.524</v>
      </c>
      <c r="AS354" s="21">
        <v>-1.25214E-2</v>
      </c>
      <c r="AT354" s="21">
        <v>344</v>
      </c>
      <c r="AU354" s="21">
        <v>6.7565899999999998E-2</v>
      </c>
      <c r="AV354">
        <f t="shared" si="68"/>
        <v>12.5214</v>
      </c>
      <c r="AW354">
        <f t="shared" si="69"/>
        <v>0.84831232860000005</v>
      </c>
      <c r="AX354" s="9"/>
      <c r="AY354" s="21">
        <v>1.6322300000000001</v>
      </c>
      <c r="AZ354" s="21">
        <v>771.61900000000003</v>
      </c>
      <c r="BA354" s="21">
        <v>-1.0974100000000001E-2</v>
      </c>
      <c r="BB354" s="21">
        <v>344</v>
      </c>
      <c r="BC354" s="21">
        <v>1.6317699999999999</v>
      </c>
      <c r="BD354">
        <f t="shared" si="70"/>
        <v>10.9741</v>
      </c>
      <c r="BE354">
        <f t="shared" si="71"/>
        <v>17.912255243000001</v>
      </c>
    </row>
    <row r="355" spans="6:57" x14ac:dyDescent="0.25">
      <c r="F355" s="9"/>
      <c r="G355" s="21">
        <v>6.2713599999999994E-2</v>
      </c>
      <c r="H355" s="21">
        <v>178.10900000000001</v>
      </c>
      <c r="I355" s="21">
        <v>-1.2295499999999999E-2</v>
      </c>
      <c r="J355" s="21">
        <v>345</v>
      </c>
      <c r="K355" s="21">
        <v>6.2591599999999997E-2</v>
      </c>
      <c r="L355">
        <f t="shared" si="60"/>
        <v>12.295499999999999</v>
      </c>
      <c r="M355">
        <f t="shared" si="61"/>
        <v>0.77109506879999989</v>
      </c>
      <c r="N355" s="9"/>
      <c r="O355" s="21">
        <v>1.63727</v>
      </c>
      <c r="P355" s="21">
        <v>262.09300000000002</v>
      </c>
      <c r="Q355" s="21">
        <v>-1.05255E-2</v>
      </c>
      <c r="R355" s="21">
        <v>345</v>
      </c>
      <c r="S355" s="21">
        <v>1.63696</v>
      </c>
      <c r="T355">
        <f t="shared" si="62"/>
        <v>10.525500000000001</v>
      </c>
      <c r="U355">
        <f t="shared" si="63"/>
        <v>17.233085385000003</v>
      </c>
      <c r="X355" s="9"/>
      <c r="Y355" s="21">
        <v>6.2713599999999994E-2</v>
      </c>
      <c r="Z355" s="21">
        <v>468.26100000000002</v>
      </c>
      <c r="AA355" s="21">
        <v>-1.21796E-2</v>
      </c>
      <c r="AB355" s="21">
        <v>345</v>
      </c>
      <c r="AC355" s="21">
        <v>6.2561000000000005E-2</v>
      </c>
      <c r="AD355">
        <f t="shared" si="64"/>
        <v>12.179600000000001</v>
      </c>
      <c r="AE355">
        <f t="shared" si="65"/>
        <v>0.76382656255999992</v>
      </c>
      <c r="AF355" s="9"/>
      <c r="AG355" s="21">
        <v>1.63727</v>
      </c>
      <c r="AH355" s="21">
        <v>524.93600000000004</v>
      </c>
      <c r="AI355" s="21">
        <v>-1.06689E-2</v>
      </c>
      <c r="AJ355" s="21">
        <v>345</v>
      </c>
      <c r="AK355" s="21">
        <v>1.63635</v>
      </c>
      <c r="AL355">
        <f t="shared" si="66"/>
        <v>10.668900000000001</v>
      </c>
      <c r="AM355">
        <f t="shared" si="67"/>
        <v>17.467869903</v>
      </c>
      <c r="AP355" s="9"/>
      <c r="AQ355" s="21">
        <v>6.2713599999999994E-2</v>
      </c>
      <c r="AR355" s="21">
        <v>681.62400000000002</v>
      </c>
      <c r="AS355" s="21">
        <v>-1.2545799999999999E-2</v>
      </c>
      <c r="AT355" s="21">
        <v>345</v>
      </c>
      <c r="AU355" s="21">
        <v>6.2591599999999997E-2</v>
      </c>
      <c r="AV355">
        <f t="shared" si="68"/>
        <v>12.5458</v>
      </c>
      <c r="AW355">
        <f t="shared" si="69"/>
        <v>0.78679228287999992</v>
      </c>
      <c r="AX355" s="9"/>
      <c r="AY355" s="21">
        <v>1.63727</v>
      </c>
      <c r="AZ355" s="21">
        <v>771.72</v>
      </c>
      <c r="BA355" s="21">
        <v>-1.0965000000000001E-2</v>
      </c>
      <c r="BB355" s="21">
        <v>345</v>
      </c>
      <c r="BC355" s="21">
        <v>1.63666</v>
      </c>
      <c r="BD355">
        <f t="shared" si="70"/>
        <v>10.965000000000002</v>
      </c>
      <c r="BE355">
        <f t="shared" si="71"/>
        <v>17.952665550000003</v>
      </c>
    </row>
    <row r="356" spans="6:57" x14ac:dyDescent="0.25">
      <c r="F356" s="9"/>
      <c r="G356" s="21">
        <v>5.7678199999999999E-2</v>
      </c>
      <c r="H356" s="21">
        <v>178.209</v>
      </c>
      <c r="I356" s="21">
        <v>-1.23077E-2</v>
      </c>
      <c r="J356" s="21">
        <v>346</v>
      </c>
      <c r="K356" s="21">
        <v>5.7525600000000003E-2</v>
      </c>
      <c r="L356">
        <f t="shared" si="60"/>
        <v>12.307699999999999</v>
      </c>
      <c r="M356">
        <f t="shared" si="61"/>
        <v>0.70988598213999987</v>
      </c>
      <c r="N356" s="9"/>
      <c r="O356" s="21">
        <v>1.6423000000000001</v>
      </c>
      <c r="P356" s="21">
        <v>262.19400000000002</v>
      </c>
      <c r="Q356" s="21">
        <v>-1.05164E-2</v>
      </c>
      <c r="R356" s="21">
        <v>346</v>
      </c>
      <c r="S356" s="21">
        <v>1.64154</v>
      </c>
      <c r="T356">
        <f t="shared" si="62"/>
        <v>10.516400000000001</v>
      </c>
      <c r="U356">
        <f t="shared" si="63"/>
        <v>17.271083720000004</v>
      </c>
      <c r="X356" s="9"/>
      <c r="Y356" s="21">
        <v>5.7678199999999999E-2</v>
      </c>
      <c r="Z356" s="21">
        <v>468.36200000000002</v>
      </c>
      <c r="AA356" s="21">
        <v>-1.2185700000000001E-2</v>
      </c>
      <c r="AB356" s="21">
        <v>346</v>
      </c>
      <c r="AC356" s="21">
        <v>5.7525600000000003E-2</v>
      </c>
      <c r="AD356">
        <f t="shared" si="64"/>
        <v>12.185700000000001</v>
      </c>
      <c r="AE356">
        <f t="shared" si="65"/>
        <v>0.70284924174000007</v>
      </c>
      <c r="AF356" s="9"/>
      <c r="AG356" s="21">
        <v>1.6423000000000001</v>
      </c>
      <c r="AH356" s="21">
        <v>525.03599999999994</v>
      </c>
      <c r="AI356" s="21">
        <v>-1.0665900000000001E-2</v>
      </c>
      <c r="AJ356" s="21">
        <v>346</v>
      </c>
      <c r="AK356" s="21">
        <v>1.64185</v>
      </c>
      <c r="AL356">
        <f t="shared" si="66"/>
        <v>10.665900000000001</v>
      </c>
      <c r="AM356">
        <f t="shared" si="67"/>
        <v>17.516607570000001</v>
      </c>
      <c r="AP356" s="9"/>
      <c r="AQ356" s="21">
        <v>5.7678199999999999E-2</v>
      </c>
      <c r="AR356" s="21">
        <v>681.72500000000002</v>
      </c>
      <c r="AS356" s="21">
        <v>-1.2567099999999999E-2</v>
      </c>
      <c r="AT356" s="21">
        <v>346</v>
      </c>
      <c r="AU356" s="21">
        <v>5.7586699999999998E-2</v>
      </c>
      <c r="AV356">
        <f t="shared" si="68"/>
        <v>12.5671</v>
      </c>
      <c r="AW356">
        <f t="shared" si="69"/>
        <v>0.72484770722000003</v>
      </c>
      <c r="AX356" s="9"/>
      <c r="AY356" s="21">
        <v>1.6423000000000001</v>
      </c>
      <c r="AZ356" s="21">
        <v>771.82100000000003</v>
      </c>
      <c r="BA356" s="21">
        <v>-1.09558E-2</v>
      </c>
      <c r="BB356" s="21">
        <v>346</v>
      </c>
      <c r="BC356" s="21">
        <v>1.64154</v>
      </c>
      <c r="BD356">
        <f t="shared" si="70"/>
        <v>10.9558</v>
      </c>
      <c r="BE356">
        <f t="shared" si="71"/>
        <v>17.992710340000002</v>
      </c>
    </row>
    <row r="357" spans="6:57" x14ac:dyDescent="0.25">
      <c r="F357" s="9"/>
      <c r="G357" s="21">
        <v>5.2642799999999997E-2</v>
      </c>
      <c r="H357" s="21">
        <v>178.31</v>
      </c>
      <c r="I357" s="21">
        <v>-1.23535E-2</v>
      </c>
      <c r="J357" s="21">
        <v>347</v>
      </c>
      <c r="K357" s="21">
        <v>5.2520799999999999E-2</v>
      </c>
      <c r="L357">
        <f t="shared" si="60"/>
        <v>12.3535</v>
      </c>
      <c r="M357">
        <f t="shared" si="61"/>
        <v>0.6503228298</v>
      </c>
      <c r="N357" s="9"/>
      <c r="O357" s="21">
        <v>1.64734</v>
      </c>
      <c r="P357" s="21">
        <v>262.29500000000002</v>
      </c>
      <c r="Q357" s="21">
        <v>-1.05072E-2</v>
      </c>
      <c r="R357" s="21">
        <v>347</v>
      </c>
      <c r="S357" s="21">
        <v>1.64703</v>
      </c>
      <c r="T357">
        <f t="shared" si="62"/>
        <v>10.507199999999999</v>
      </c>
      <c r="U357">
        <f t="shared" si="63"/>
        <v>17.308930847999999</v>
      </c>
      <c r="X357" s="9"/>
      <c r="Y357" s="21">
        <v>5.2642799999999997E-2</v>
      </c>
      <c r="Z357" s="21">
        <v>468.46199999999999</v>
      </c>
      <c r="AA357" s="21">
        <v>-1.2191799999999999E-2</v>
      </c>
      <c r="AB357" s="21">
        <v>347</v>
      </c>
      <c r="AC357" s="21">
        <v>5.2490200000000001E-2</v>
      </c>
      <c r="AD357">
        <f t="shared" si="64"/>
        <v>12.191799999999999</v>
      </c>
      <c r="AE357">
        <f t="shared" si="65"/>
        <v>0.64181048903999993</v>
      </c>
      <c r="AF357" s="9"/>
      <c r="AG357" s="21">
        <v>1.64734</v>
      </c>
      <c r="AH357" s="21">
        <v>525.13699999999994</v>
      </c>
      <c r="AI357" s="21">
        <v>-1.06567E-2</v>
      </c>
      <c r="AJ357" s="21">
        <v>347</v>
      </c>
      <c r="AK357" s="21">
        <v>1.64612</v>
      </c>
      <c r="AL357">
        <f t="shared" si="66"/>
        <v>10.656700000000001</v>
      </c>
      <c r="AM357">
        <f t="shared" si="67"/>
        <v>17.555208178000001</v>
      </c>
      <c r="AP357" s="9"/>
      <c r="AQ357" s="21">
        <v>5.2642799999999997E-2</v>
      </c>
      <c r="AR357" s="21">
        <v>681.82600000000002</v>
      </c>
      <c r="AS357" s="21">
        <v>-1.25916E-2</v>
      </c>
      <c r="AT357" s="21">
        <v>347</v>
      </c>
      <c r="AU357" s="21">
        <v>5.2551300000000002E-2</v>
      </c>
      <c r="AV357">
        <f t="shared" si="68"/>
        <v>12.5916</v>
      </c>
      <c r="AW357">
        <f t="shared" si="69"/>
        <v>0.66285708047999992</v>
      </c>
      <c r="AX357" s="9"/>
      <c r="AY357" s="21">
        <v>1.64734</v>
      </c>
      <c r="AZ357" s="21">
        <v>771.92100000000005</v>
      </c>
      <c r="BA357" s="21">
        <v>-1.09497E-2</v>
      </c>
      <c r="BB357" s="21">
        <v>347</v>
      </c>
      <c r="BC357" s="21">
        <v>1.64673</v>
      </c>
      <c r="BD357">
        <f t="shared" si="70"/>
        <v>10.9497</v>
      </c>
      <c r="BE357">
        <f t="shared" si="71"/>
        <v>18.037878798000001</v>
      </c>
    </row>
    <row r="358" spans="6:57" x14ac:dyDescent="0.25">
      <c r="F358" s="9"/>
      <c r="G358" s="21">
        <v>4.7607400000000001E-2</v>
      </c>
      <c r="H358" s="21">
        <v>178.411</v>
      </c>
      <c r="I358" s="21">
        <v>-1.24023E-2</v>
      </c>
      <c r="J358" s="21">
        <v>348</v>
      </c>
      <c r="K358" s="21">
        <v>4.7894300000000001E-2</v>
      </c>
      <c r="L358">
        <f t="shared" si="60"/>
        <v>12.4023</v>
      </c>
      <c r="M358">
        <f t="shared" si="61"/>
        <v>0.59044125702000005</v>
      </c>
      <c r="N358" s="9"/>
      <c r="O358" s="21">
        <v>1.6523699999999999</v>
      </c>
      <c r="P358" s="21">
        <v>262.39499999999998</v>
      </c>
      <c r="Q358" s="21">
        <v>-1.0495000000000001E-2</v>
      </c>
      <c r="R358" s="21">
        <v>348</v>
      </c>
      <c r="S358" s="21">
        <v>1.65161</v>
      </c>
      <c r="T358">
        <f t="shared" si="62"/>
        <v>10.495000000000001</v>
      </c>
      <c r="U358">
        <f t="shared" si="63"/>
        <v>17.34162315</v>
      </c>
      <c r="X358" s="9"/>
      <c r="Y358" s="21">
        <v>4.7607400000000001E-2</v>
      </c>
      <c r="Z358" s="21">
        <v>468.56299999999999</v>
      </c>
      <c r="AA358" s="21">
        <v>-1.2234500000000001E-2</v>
      </c>
      <c r="AB358" s="21">
        <v>348</v>
      </c>
      <c r="AC358" s="21">
        <v>4.7894300000000001E-2</v>
      </c>
      <c r="AD358">
        <f t="shared" si="64"/>
        <v>12.234500000000001</v>
      </c>
      <c r="AE358">
        <f t="shared" si="65"/>
        <v>0.58245273530000008</v>
      </c>
      <c r="AF358" s="9"/>
      <c r="AG358" s="21">
        <v>1.6523699999999999</v>
      </c>
      <c r="AH358" s="21">
        <v>525.23800000000006</v>
      </c>
      <c r="AI358" s="21">
        <v>-1.06506E-2</v>
      </c>
      <c r="AJ358" s="21">
        <v>348</v>
      </c>
      <c r="AK358" s="21">
        <v>1.65161</v>
      </c>
      <c r="AL358">
        <f t="shared" si="66"/>
        <v>10.650599999999999</v>
      </c>
      <c r="AM358">
        <f t="shared" si="67"/>
        <v>17.598731921999999</v>
      </c>
      <c r="AP358" s="9"/>
      <c r="AQ358" s="21">
        <v>4.7607400000000001E-2</v>
      </c>
      <c r="AR358" s="21">
        <v>681.92700000000002</v>
      </c>
      <c r="AS358" s="21">
        <v>-1.2619E-2</v>
      </c>
      <c r="AT358" s="21">
        <v>348</v>
      </c>
      <c r="AU358" s="21">
        <v>4.7888199999999999E-2</v>
      </c>
      <c r="AV358">
        <f t="shared" si="68"/>
        <v>12.619</v>
      </c>
      <c r="AW358">
        <f t="shared" si="69"/>
        <v>0.60075778059999996</v>
      </c>
      <c r="AX358" s="9"/>
      <c r="AY358" s="21">
        <v>1.6523699999999999</v>
      </c>
      <c r="AZ358" s="21">
        <v>772.02200000000005</v>
      </c>
      <c r="BA358" s="21">
        <v>-1.09406E-2</v>
      </c>
      <c r="BB358" s="21">
        <v>348</v>
      </c>
      <c r="BC358" s="21">
        <v>1.65161</v>
      </c>
      <c r="BD358">
        <f t="shared" si="70"/>
        <v>10.9406</v>
      </c>
      <c r="BE358">
        <f t="shared" si="71"/>
        <v>18.077919221999998</v>
      </c>
    </row>
    <row r="359" spans="6:57" x14ac:dyDescent="0.25">
      <c r="F359" s="9"/>
      <c r="G359" s="21">
        <v>4.2571999999999999E-2</v>
      </c>
      <c r="H359" s="21">
        <v>178.512</v>
      </c>
      <c r="I359" s="21">
        <v>-1.2423699999999999E-2</v>
      </c>
      <c r="J359" s="21">
        <v>349</v>
      </c>
      <c r="K359" s="21">
        <v>4.2877199999999997E-2</v>
      </c>
      <c r="L359">
        <f t="shared" si="60"/>
        <v>12.4237</v>
      </c>
      <c r="M359">
        <f t="shared" si="61"/>
        <v>0.52890175640000003</v>
      </c>
      <c r="N359" s="9"/>
      <c r="O359" s="21">
        <v>1.65741</v>
      </c>
      <c r="P359" s="21">
        <v>262.49599999999998</v>
      </c>
      <c r="Q359" s="21">
        <v>-1.04858E-2</v>
      </c>
      <c r="R359" s="21">
        <v>349</v>
      </c>
      <c r="S359" s="21">
        <v>1.6568000000000001</v>
      </c>
      <c r="T359">
        <f t="shared" si="62"/>
        <v>10.485799999999999</v>
      </c>
      <c r="U359">
        <f t="shared" si="63"/>
        <v>17.379269778000001</v>
      </c>
      <c r="X359" s="9"/>
      <c r="Y359" s="21">
        <v>4.2571999999999999E-2</v>
      </c>
      <c r="Z359" s="21">
        <v>468.66399999999999</v>
      </c>
      <c r="AA359" s="21">
        <v>-1.22711E-2</v>
      </c>
      <c r="AB359" s="21">
        <v>349</v>
      </c>
      <c r="AC359" s="21">
        <v>4.2889400000000001E-2</v>
      </c>
      <c r="AD359">
        <f t="shared" si="64"/>
        <v>12.271100000000001</v>
      </c>
      <c r="AE359">
        <f t="shared" si="65"/>
        <v>0.52240526919999997</v>
      </c>
      <c r="AF359" s="9"/>
      <c r="AG359" s="21">
        <v>1.65741</v>
      </c>
      <c r="AH359" s="21">
        <v>525.33900000000006</v>
      </c>
      <c r="AI359" s="21">
        <v>-1.06506E-2</v>
      </c>
      <c r="AJ359" s="21">
        <v>349</v>
      </c>
      <c r="AK359" s="21">
        <v>1.6561900000000001</v>
      </c>
      <c r="AL359">
        <f t="shared" si="66"/>
        <v>10.650599999999999</v>
      </c>
      <c r="AM359">
        <f t="shared" si="67"/>
        <v>17.652410946</v>
      </c>
      <c r="AP359" s="9"/>
      <c r="AQ359" s="21">
        <v>4.2571999999999999E-2</v>
      </c>
      <c r="AR359" s="21">
        <v>682.02700000000004</v>
      </c>
      <c r="AS359" s="21">
        <v>-1.26526E-2</v>
      </c>
      <c r="AT359" s="21">
        <v>349</v>
      </c>
      <c r="AU359" s="21">
        <v>4.2871100000000002E-2</v>
      </c>
      <c r="AV359">
        <f t="shared" si="68"/>
        <v>12.6526</v>
      </c>
      <c r="AW359">
        <f t="shared" si="69"/>
        <v>0.53864648719999997</v>
      </c>
      <c r="AX359" s="9"/>
      <c r="AY359" s="21">
        <v>1.65741</v>
      </c>
      <c r="AZ359" s="21">
        <v>772.12300000000005</v>
      </c>
      <c r="BA359" s="21">
        <v>-1.09344E-2</v>
      </c>
      <c r="BB359" s="21">
        <v>349</v>
      </c>
      <c r="BC359" s="21">
        <v>1.6568000000000001</v>
      </c>
      <c r="BD359">
        <f t="shared" si="70"/>
        <v>10.9344</v>
      </c>
      <c r="BE359">
        <f t="shared" si="71"/>
        <v>18.122783904000002</v>
      </c>
    </row>
    <row r="360" spans="6:57" x14ac:dyDescent="0.25">
      <c r="F360" s="9"/>
      <c r="G360" s="21">
        <v>3.7536600000000003E-2</v>
      </c>
      <c r="H360" s="21">
        <v>178.61199999999999</v>
      </c>
      <c r="I360" s="21">
        <v>-1.2445100000000001E-2</v>
      </c>
      <c r="J360" s="21">
        <v>350</v>
      </c>
      <c r="K360" s="21">
        <v>3.7811299999999999E-2</v>
      </c>
      <c r="L360">
        <f t="shared" si="60"/>
        <v>12.4451</v>
      </c>
      <c r="M360">
        <f t="shared" si="61"/>
        <v>0.46714674066000006</v>
      </c>
      <c r="N360" s="9"/>
      <c r="O360" s="21">
        <v>1.66245</v>
      </c>
      <c r="P360" s="21">
        <v>262.59699999999998</v>
      </c>
      <c r="Q360" s="21">
        <v>-1.04736E-2</v>
      </c>
      <c r="R360" s="21">
        <v>350</v>
      </c>
      <c r="S360" s="21">
        <v>1.66229</v>
      </c>
      <c r="T360">
        <f t="shared" si="62"/>
        <v>10.473599999999999</v>
      </c>
      <c r="U360">
        <f t="shared" si="63"/>
        <v>17.411836319999999</v>
      </c>
      <c r="X360" s="9"/>
      <c r="Y360" s="21">
        <v>3.7536600000000003E-2</v>
      </c>
      <c r="Z360" s="21">
        <v>468.76400000000001</v>
      </c>
      <c r="AA360" s="21">
        <v>-1.23108E-2</v>
      </c>
      <c r="AB360" s="21">
        <v>350</v>
      </c>
      <c r="AC360" s="21">
        <v>3.7829599999999998E-2</v>
      </c>
      <c r="AD360">
        <f t="shared" si="64"/>
        <v>12.3108</v>
      </c>
      <c r="AE360">
        <f t="shared" si="65"/>
        <v>0.46210557528000007</v>
      </c>
      <c r="AF360" s="9"/>
      <c r="AG360" s="21">
        <v>1.66245</v>
      </c>
      <c r="AH360" s="21">
        <v>525.43899999999996</v>
      </c>
      <c r="AI360" s="21">
        <v>-1.06506E-2</v>
      </c>
      <c r="AJ360" s="21">
        <v>350</v>
      </c>
      <c r="AK360" s="21">
        <v>1.6613800000000001</v>
      </c>
      <c r="AL360">
        <f t="shared" si="66"/>
        <v>10.650599999999999</v>
      </c>
      <c r="AM360">
        <f t="shared" si="67"/>
        <v>17.706089969999997</v>
      </c>
      <c r="AP360" s="9"/>
      <c r="AQ360" s="21">
        <v>3.7536600000000003E-2</v>
      </c>
      <c r="AR360" s="21">
        <v>682.12800000000004</v>
      </c>
      <c r="AS360" s="21">
        <v>-1.26923E-2</v>
      </c>
      <c r="AT360" s="21">
        <v>350</v>
      </c>
      <c r="AU360" s="21">
        <v>3.7844799999999998E-2</v>
      </c>
      <c r="AV360">
        <f t="shared" si="68"/>
        <v>12.692299999999999</v>
      </c>
      <c r="AW360">
        <f t="shared" si="69"/>
        <v>0.47642578818000003</v>
      </c>
      <c r="AX360" s="9"/>
      <c r="AY360" s="21">
        <v>1.66245</v>
      </c>
      <c r="AZ360" s="21">
        <v>772.22299999999996</v>
      </c>
      <c r="BA360" s="21">
        <v>-1.09283E-2</v>
      </c>
      <c r="BB360" s="21">
        <v>350</v>
      </c>
      <c r="BC360" s="21">
        <v>1.6613800000000001</v>
      </c>
      <c r="BD360">
        <f t="shared" si="70"/>
        <v>10.9283</v>
      </c>
      <c r="BE360">
        <f t="shared" si="71"/>
        <v>18.167752334999999</v>
      </c>
    </row>
    <row r="361" spans="6:57" x14ac:dyDescent="0.25">
      <c r="F361" s="9"/>
      <c r="G361" s="21">
        <v>3.2501200000000001E-2</v>
      </c>
      <c r="H361" s="21">
        <v>178.71299999999999</v>
      </c>
      <c r="I361" s="21">
        <v>-1.25153E-2</v>
      </c>
      <c r="J361" s="21">
        <v>351</v>
      </c>
      <c r="K361" s="21">
        <v>3.2772799999999998E-2</v>
      </c>
      <c r="L361">
        <f t="shared" si="60"/>
        <v>12.5153</v>
      </c>
      <c r="M361">
        <f t="shared" si="61"/>
        <v>0.40676226836000001</v>
      </c>
      <c r="N361" s="9"/>
      <c r="O361" s="21">
        <v>1.6674800000000001</v>
      </c>
      <c r="P361" s="21">
        <v>262.697</v>
      </c>
      <c r="Q361" s="21">
        <v>-1.0461399999999999E-2</v>
      </c>
      <c r="R361" s="21">
        <v>351</v>
      </c>
      <c r="S361" s="21">
        <v>1.6668700000000001</v>
      </c>
      <c r="T361">
        <f t="shared" si="62"/>
        <v>10.461399999999999</v>
      </c>
      <c r="U361">
        <f t="shared" si="63"/>
        <v>17.444175271999999</v>
      </c>
      <c r="X361" s="9"/>
      <c r="Y361" s="21">
        <v>3.2501200000000001E-2</v>
      </c>
      <c r="Z361" s="21">
        <v>468.86500000000001</v>
      </c>
      <c r="AA361" s="21">
        <v>-1.23444E-2</v>
      </c>
      <c r="AB361" s="21">
        <v>351</v>
      </c>
      <c r="AC361" s="21">
        <v>3.2769800000000002E-2</v>
      </c>
      <c r="AD361">
        <f t="shared" si="64"/>
        <v>12.3444</v>
      </c>
      <c r="AE361">
        <f t="shared" si="65"/>
        <v>0.40120781328000005</v>
      </c>
      <c r="AF361" s="9"/>
      <c r="AG361" s="21">
        <v>1.6674800000000001</v>
      </c>
      <c r="AH361" s="21">
        <v>525.54</v>
      </c>
      <c r="AI361" s="21">
        <v>-1.06415E-2</v>
      </c>
      <c r="AJ361" s="21">
        <v>351</v>
      </c>
      <c r="AK361" s="21">
        <v>1.66656</v>
      </c>
      <c r="AL361">
        <f t="shared" si="66"/>
        <v>10.641500000000001</v>
      </c>
      <c r="AM361">
        <f t="shared" si="67"/>
        <v>17.744488420000003</v>
      </c>
      <c r="AP361" s="9"/>
      <c r="AQ361" s="21">
        <v>3.2501200000000001E-2</v>
      </c>
      <c r="AR361" s="21">
        <v>682.22900000000004</v>
      </c>
      <c r="AS361" s="21">
        <v>-1.2737999999999999E-2</v>
      </c>
      <c r="AT361" s="21">
        <v>351</v>
      </c>
      <c r="AU361" s="21">
        <v>3.27789E-2</v>
      </c>
      <c r="AV361">
        <f t="shared" si="68"/>
        <v>12.738</v>
      </c>
      <c r="AW361">
        <f t="shared" si="69"/>
        <v>0.41400028560000002</v>
      </c>
      <c r="AX361" s="9"/>
      <c r="AY361" s="21">
        <v>1.6674800000000001</v>
      </c>
      <c r="AZ361" s="21">
        <v>772.32399999999996</v>
      </c>
      <c r="BA361" s="21">
        <v>-1.09161E-2</v>
      </c>
      <c r="BB361" s="21">
        <v>351</v>
      </c>
      <c r="BC361" s="21">
        <v>1.6671800000000001</v>
      </c>
      <c r="BD361">
        <f t="shared" si="70"/>
        <v>10.9161</v>
      </c>
      <c r="BE361">
        <f t="shared" si="71"/>
        <v>18.202378427999999</v>
      </c>
    </row>
    <row r="362" spans="6:57" x14ac:dyDescent="0.25">
      <c r="F362" s="9"/>
      <c r="G362" s="21">
        <v>2.7465799999999999E-2</v>
      </c>
      <c r="H362" s="21">
        <v>178.81399999999999</v>
      </c>
      <c r="I362" s="21">
        <v>-1.2594599999999999E-2</v>
      </c>
      <c r="J362" s="21">
        <v>352</v>
      </c>
      <c r="K362" s="21">
        <v>2.7743500000000001E-2</v>
      </c>
      <c r="L362">
        <f t="shared" si="60"/>
        <v>12.5946</v>
      </c>
      <c r="M362">
        <f t="shared" si="61"/>
        <v>0.34592076467999999</v>
      </c>
      <c r="N362" s="9"/>
      <c r="O362" s="21">
        <v>1.67252</v>
      </c>
      <c r="P362" s="21">
        <v>262.798</v>
      </c>
      <c r="Q362" s="21">
        <v>-1.0452299999999999E-2</v>
      </c>
      <c r="R362" s="21">
        <v>352</v>
      </c>
      <c r="S362" s="21">
        <v>1.6723600000000001</v>
      </c>
      <c r="T362">
        <f t="shared" si="62"/>
        <v>10.452299999999999</v>
      </c>
      <c r="U362">
        <f t="shared" si="63"/>
        <v>17.481680795999999</v>
      </c>
      <c r="X362" s="9"/>
      <c r="Y362" s="21">
        <v>2.7465799999999999E-2</v>
      </c>
      <c r="Z362" s="21">
        <v>468.96600000000001</v>
      </c>
      <c r="AA362" s="21">
        <v>-1.23932E-2</v>
      </c>
      <c r="AB362" s="21">
        <v>352</v>
      </c>
      <c r="AC362" s="21">
        <v>2.7725199999999998E-2</v>
      </c>
      <c r="AD362">
        <f t="shared" si="64"/>
        <v>12.3932</v>
      </c>
      <c r="AE362">
        <f t="shared" si="65"/>
        <v>0.34038915255999996</v>
      </c>
      <c r="AF362" s="9"/>
      <c r="AG362" s="21">
        <v>1.67252</v>
      </c>
      <c r="AH362" s="21">
        <v>525.64099999999996</v>
      </c>
      <c r="AI362" s="21">
        <v>-1.0632300000000001E-2</v>
      </c>
      <c r="AJ362" s="21">
        <v>352</v>
      </c>
      <c r="AK362" s="21">
        <v>1.6723600000000001</v>
      </c>
      <c r="AL362">
        <f t="shared" si="66"/>
        <v>10.632300000000001</v>
      </c>
      <c r="AM362">
        <f t="shared" si="67"/>
        <v>17.782734396000002</v>
      </c>
      <c r="AP362" s="9"/>
      <c r="AQ362" s="21">
        <v>2.7465799999999999E-2</v>
      </c>
      <c r="AR362" s="21">
        <v>682.32899999999995</v>
      </c>
      <c r="AS362" s="21">
        <v>-1.2777699999999999E-2</v>
      </c>
      <c r="AT362" s="21">
        <v>352</v>
      </c>
      <c r="AU362" s="21">
        <v>2.7725199999999998E-2</v>
      </c>
      <c r="AV362">
        <f t="shared" si="68"/>
        <v>12.777699999999999</v>
      </c>
      <c r="AW362">
        <f t="shared" si="69"/>
        <v>0.35094975265999995</v>
      </c>
      <c r="AX362" s="9"/>
      <c r="AY362" s="21">
        <v>1.67252</v>
      </c>
      <c r="AZ362" s="21">
        <v>772.42499999999995</v>
      </c>
      <c r="BA362" s="21">
        <v>-1.091E-2</v>
      </c>
      <c r="BB362" s="21">
        <v>352</v>
      </c>
      <c r="BC362" s="21">
        <v>1.6717500000000001</v>
      </c>
      <c r="BD362">
        <f t="shared" si="70"/>
        <v>10.91</v>
      </c>
      <c r="BE362">
        <f t="shared" si="71"/>
        <v>18.247193200000002</v>
      </c>
    </row>
    <row r="363" spans="6:57" x14ac:dyDescent="0.25">
      <c r="F363" s="9"/>
      <c r="G363" s="21">
        <v>2.24304E-2</v>
      </c>
      <c r="H363" s="21">
        <v>178.91399999999999</v>
      </c>
      <c r="I363" s="21">
        <v>-1.26526E-2</v>
      </c>
      <c r="J363" s="21">
        <v>353</v>
      </c>
      <c r="K363" s="21">
        <v>2.26898E-2</v>
      </c>
      <c r="L363">
        <f t="shared" si="60"/>
        <v>12.6526</v>
      </c>
      <c r="M363">
        <f t="shared" si="61"/>
        <v>0.28380287904000001</v>
      </c>
      <c r="N363" s="9"/>
      <c r="O363" s="21">
        <v>1.6775500000000001</v>
      </c>
      <c r="P363" s="21">
        <v>262.899</v>
      </c>
      <c r="Q363" s="21">
        <v>-1.0434000000000001E-2</v>
      </c>
      <c r="R363" s="21">
        <v>353</v>
      </c>
      <c r="S363" s="21">
        <v>1.6766399999999999</v>
      </c>
      <c r="T363">
        <f t="shared" si="62"/>
        <v>10.434000000000001</v>
      </c>
      <c r="U363">
        <f t="shared" si="63"/>
        <v>17.503556700000004</v>
      </c>
      <c r="X363" s="9"/>
      <c r="Y363" s="21">
        <v>2.24304E-2</v>
      </c>
      <c r="Z363" s="21">
        <v>469.06599999999997</v>
      </c>
      <c r="AA363" s="21">
        <v>-1.2463399999999999E-2</v>
      </c>
      <c r="AB363" s="21">
        <v>353</v>
      </c>
      <c r="AC363" s="21">
        <v>2.2702E-2</v>
      </c>
      <c r="AD363">
        <f t="shared" si="64"/>
        <v>12.4634</v>
      </c>
      <c r="AE363">
        <f t="shared" si="65"/>
        <v>0.27955904735999998</v>
      </c>
      <c r="AF363" s="9"/>
      <c r="AG363" s="21">
        <v>1.6775500000000001</v>
      </c>
      <c r="AH363" s="21">
        <v>525.74099999999999</v>
      </c>
      <c r="AI363" s="21">
        <v>-1.06201E-2</v>
      </c>
      <c r="AJ363" s="21">
        <v>353</v>
      </c>
      <c r="AK363" s="21">
        <v>1.6769400000000001</v>
      </c>
      <c r="AL363">
        <f t="shared" si="66"/>
        <v>10.620100000000001</v>
      </c>
      <c r="AM363">
        <f t="shared" si="67"/>
        <v>17.815748755000001</v>
      </c>
      <c r="AP363" s="9"/>
      <c r="AQ363" s="21">
        <v>2.24304E-2</v>
      </c>
      <c r="AR363" s="21">
        <v>682.43</v>
      </c>
      <c r="AS363" s="21">
        <v>-1.2826499999999999E-2</v>
      </c>
      <c r="AT363" s="21">
        <v>353</v>
      </c>
      <c r="AU363" s="21">
        <v>2.26898E-2</v>
      </c>
      <c r="AV363">
        <f t="shared" si="68"/>
        <v>12.826499999999999</v>
      </c>
      <c r="AW363">
        <f t="shared" si="69"/>
        <v>0.28770352559999995</v>
      </c>
      <c r="AX363" s="9"/>
      <c r="AY363" s="21">
        <v>1.6775500000000001</v>
      </c>
      <c r="AZ363" s="21">
        <v>772.52599999999995</v>
      </c>
      <c r="BA363" s="21">
        <v>-1.08948E-2</v>
      </c>
      <c r="BB363" s="21">
        <v>353</v>
      </c>
      <c r="BC363" s="21">
        <v>1.6775500000000001</v>
      </c>
      <c r="BD363">
        <f t="shared" si="70"/>
        <v>10.8948</v>
      </c>
      <c r="BE363">
        <f t="shared" si="71"/>
        <v>18.276571740000001</v>
      </c>
    </row>
    <row r="364" spans="6:57" x14ac:dyDescent="0.25">
      <c r="F364" s="9"/>
      <c r="G364" s="21">
        <v>1.7395000000000001E-2</v>
      </c>
      <c r="H364" s="21">
        <v>179.01499999999999</v>
      </c>
      <c r="I364" s="21">
        <v>-1.26984E-2</v>
      </c>
      <c r="J364" s="21">
        <v>354</v>
      </c>
      <c r="K364" s="21">
        <v>1.7645299999999999E-2</v>
      </c>
      <c r="L364">
        <f t="shared" si="60"/>
        <v>12.698399999999999</v>
      </c>
      <c r="M364">
        <f t="shared" si="61"/>
        <v>0.22088866800000001</v>
      </c>
      <c r="N364" s="9"/>
      <c r="O364" s="21">
        <v>1.68259</v>
      </c>
      <c r="P364" s="21">
        <v>263</v>
      </c>
      <c r="Q364" s="21">
        <v>-1.04034E-2</v>
      </c>
      <c r="R364" s="21">
        <v>354</v>
      </c>
      <c r="S364" s="21">
        <v>1.6821299999999999</v>
      </c>
      <c r="T364">
        <f t="shared" si="62"/>
        <v>10.4034</v>
      </c>
      <c r="U364">
        <f t="shared" si="63"/>
        <v>17.504656806</v>
      </c>
      <c r="X364" s="9"/>
      <c r="Y364" s="21">
        <v>1.7395000000000001E-2</v>
      </c>
      <c r="Z364" s="21">
        <v>469.16699999999997</v>
      </c>
      <c r="AA364" s="21">
        <v>-1.2512199999999999E-2</v>
      </c>
      <c r="AB364" s="21">
        <v>354</v>
      </c>
      <c r="AC364" s="21">
        <v>1.76575E-2</v>
      </c>
      <c r="AD364">
        <f t="shared" si="64"/>
        <v>12.5122</v>
      </c>
      <c r="AE364">
        <f t="shared" si="65"/>
        <v>0.21764971900000002</v>
      </c>
      <c r="AF364" s="9"/>
      <c r="AG364" s="21">
        <v>1.68259</v>
      </c>
      <c r="AH364" s="21">
        <v>525.84199999999998</v>
      </c>
      <c r="AI364" s="21">
        <v>-1.0614E-2</v>
      </c>
      <c r="AJ364" s="21">
        <v>354</v>
      </c>
      <c r="AK364" s="21">
        <v>1.6824300000000001</v>
      </c>
      <c r="AL364">
        <f t="shared" si="66"/>
        <v>10.614000000000001</v>
      </c>
      <c r="AM364">
        <f t="shared" si="67"/>
        <v>17.859010260000002</v>
      </c>
      <c r="AP364" s="9"/>
      <c r="AQ364" s="21">
        <v>1.7395000000000001E-2</v>
      </c>
      <c r="AR364" s="21">
        <v>682.53099999999995</v>
      </c>
      <c r="AS364" s="21">
        <v>-1.28784E-2</v>
      </c>
      <c r="AT364" s="21">
        <v>354</v>
      </c>
      <c r="AU364" s="21">
        <v>1.76422E-2</v>
      </c>
      <c r="AV364">
        <f t="shared" si="68"/>
        <v>12.878399999999999</v>
      </c>
      <c r="AW364">
        <f t="shared" si="69"/>
        <v>0.22401976800000001</v>
      </c>
      <c r="AX364" s="9"/>
      <c r="AY364" s="21">
        <v>1.68259</v>
      </c>
      <c r="AZ364" s="21">
        <v>772.62599999999998</v>
      </c>
      <c r="BA364" s="21">
        <v>-1.0882599999999999E-2</v>
      </c>
      <c r="BB364" s="21">
        <v>354</v>
      </c>
      <c r="BC364" s="21">
        <v>1.6824300000000001</v>
      </c>
      <c r="BD364">
        <f t="shared" si="70"/>
        <v>10.8826</v>
      </c>
      <c r="BE364">
        <f t="shared" si="71"/>
        <v>18.310953934</v>
      </c>
    </row>
    <row r="365" spans="6:57" x14ac:dyDescent="0.25">
      <c r="F365" s="9"/>
      <c r="G365" s="21">
        <v>1.23596E-2</v>
      </c>
      <c r="H365" s="21">
        <v>179.11600000000001</v>
      </c>
      <c r="I365" s="21">
        <v>-1.2759400000000001E-2</v>
      </c>
      <c r="J365" s="21">
        <v>355</v>
      </c>
      <c r="K365" s="21">
        <v>1.26526E-2</v>
      </c>
      <c r="L365">
        <f t="shared" si="60"/>
        <v>12.759400000000001</v>
      </c>
      <c r="M365">
        <f t="shared" si="61"/>
        <v>0.15770108024000001</v>
      </c>
      <c r="N365" s="9"/>
      <c r="O365" s="21">
        <v>1.6876199999999999</v>
      </c>
      <c r="P365" s="21">
        <v>263.10000000000002</v>
      </c>
      <c r="Q365" s="21">
        <v>-1.0351600000000001E-2</v>
      </c>
      <c r="R365" s="21">
        <v>355</v>
      </c>
      <c r="S365" s="21">
        <v>1.6873199999999999</v>
      </c>
      <c r="T365">
        <f t="shared" si="62"/>
        <v>10.351600000000001</v>
      </c>
      <c r="U365">
        <f t="shared" si="63"/>
        <v>17.469567192</v>
      </c>
      <c r="X365" s="9"/>
      <c r="Y365" s="21">
        <v>1.23596E-2</v>
      </c>
      <c r="Z365" s="21">
        <v>469.26799999999997</v>
      </c>
      <c r="AA365" s="21">
        <v>-1.25702E-2</v>
      </c>
      <c r="AB365" s="21">
        <v>355</v>
      </c>
      <c r="AC365" s="21">
        <v>1.2643400000000001E-2</v>
      </c>
      <c r="AD365">
        <f t="shared" si="64"/>
        <v>12.5702</v>
      </c>
      <c r="AE365">
        <f t="shared" si="65"/>
        <v>0.15536264391999999</v>
      </c>
      <c r="AF365" s="9"/>
      <c r="AG365" s="21">
        <v>1.6876199999999999</v>
      </c>
      <c r="AH365" s="21">
        <v>525.94299999999998</v>
      </c>
      <c r="AI365" s="21">
        <v>-1.06018E-2</v>
      </c>
      <c r="AJ365" s="21">
        <v>355</v>
      </c>
      <c r="AK365" s="21">
        <v>1.6876199999999999</v>
      </c>
      <c r="AL365">
        <f t="shared" si="66"/>
        <v>10.601799999999999</v>
      </c>
      <c r="AM365">
        <f t="shared" si="67"/>
        <v>17.891809715999997</v>
      </c>
      <c r="AP365" s="9"/>
      <c r="AQ365" s="21">
        <v>1.23596E-2</v>
      </c>
      <c r="AR365" s="21">
        <v>682.63199999999995</v>
      </c>
      <c r="AS365" s="21">
        <v>-1.29272E-2</v>
      </c>
      <c r="AT365" s="21">
        <v>355</v>
      </c>
      <c r="AU365" s="21">
        <v>1.26404E-2</v>
      </c>
      <c r="AV365">
        <f t="shared" si="68"/>
        <v>12.927199999999999</v>
      </c>
      <c r="AW365">
        <f t="shared" si="69"/>
        <v>0.15977502112</v>
      </c>
      <c r="AX365" s="9"/>
      <c r="AY365" s="21">
        <v>1.6876199999999999</v>
      </c>
      <c r="AZ365" s="21">
        <v>772.72699999999998</v>
      </c>
      <c r="BA365" s="21">
        <v>-1.0870400000000001E-2</v>
      </c>
      <c r="BB365" s="21">
        <v>355</v>
      </c>
      <c r="BC365" s="21">
        <v>1.6873199999999999</v>
      </c>
      <c r="BD365">
        <f t="shared" si="70"/>
        <v>10.8704</v>
      </c>
      <c r="BE365">
        <f t="shared" si="71"/>
        <v>18.345104448000001</v>
      </c>
    </row>
    <row r="366" spans="6:57" x14ac:dyDescent="0.25">
      <c r="F366" s="9"/>
      <c r="G366" s="21">
        <v>7.3242200000000002E-3</v>
      </c>
      <c r="H366" s="21">
        <v>179.21700000000001</v>
      </c>
      <c r="I366" s="21">
        <v>-1.2814300000000001E-2</v>
      </c>
      <c r="J366" s="21">
        <v>356</v>
      </c>
      <c r="K366" s="21">
        <v>7.5561500000000002E-3</v>
      </c>
      <c r="L366">
        <f t="shared" si="60"/>
        <v>12.814300000000001</v>
      </c>
      <c r="M366">
        <f t="shared" si="61"/>
        <v>9.3854752346000006E-2</v>
      </c>
      <c r="N366" s="9"/>
      <c r="O366" s="21">
        <v>1.6926600000000001</v>
      </c>
      <c r="P366" s="21">
        <v>263.20100000000002</v>
      </c>
      <c r="Q366" s="21">
        <v>-1.0199E-2</v>
      </c>
      <c r="R366" s="21">
        <v>356</v>
      </c>
      <c r="S366" s="21">
        <v>1.6918899999999999</v>
      </c>
      <c r="T366">
        <f t="shared" si="62"/>
        <v>10.199</v>
      </c>
      <c r="U366">
        <f t="shared" si="63"/>
        <v>17.263439340000001</v>
      </c>
      <c r="X366" s="9"/>
      <c r="Y366" s="21">
        <v>7.3242200000000002E-3</v>
      </c>
      <c r="Z366" s="21">
        <v>469.36900000000003</v>
      </c>
      <c r="AA366" s="21">
        <v>-1.2637300000000001E-2</v>
      </c>
      <c r="AB366" s="21">
        <v>356</v>
      </c>
      <c r="AC366" s="21">
        <v>7.57751E-3</v>
      </c>
      <c r="AD366">
        <f t="shared" si="64"/>
        <v>12.6373</v>
      </c>
      <c r="AE366">
        <f t="shared" si="65"/>
        <v>9.2558365406000001E-2</v>
      </c>
      <c r="AF366" s="9"/>
      <c r="AG366" s="21">
        <v>1.6926600000000001</v>
      </c>
      <c r="AH366" s="21">
        <v>526.04399999999998</v>
      </c>
      <c r="AI366" s="21">
        <v>-1.05865E-2</v>
      </c>
      <c r="AJ366" s="21">
        <v>356</v>
      </c>
      <c r="AK366" s="21">
        <v>1.6918899999999999</v>
      </c>
      <c r="AL366">
        <f t="shared" si="66"/>
        <v>10.586500000000001</v>
      </c>
      <c r="AM366">
        <f t="shared" si="67"/>
        <v>17.919345090000004</v>
      </c>
      <c r="AP366" s="9"/>
      <c r="AQ366" s="21">
        <v>7.3242200000000002E-3</v>
      </c>
      <c r="AR366" s="21">
        <v>682.73199999999997</v>
      </c>
      <c r="AS366" s="21">
        <v>-1.29639E-2</v>
      </c>
      <c r="AT366" s="21">
        <v>356</v>
      </c>
      <c r="AU366" s="21">
        <v>7.5592000000000003E-3</v>
      </c>
      <c r="AV366">
        <f t="shared" si="68"/>
        <v>12.963900000000001</v>
      </c>
      <c r="AW366">
        <f t="shared" si="69"/>
        <v>9.4950455658000005E-2</v>
      </c>
      <c r="AX366" s="9"/>
      <c r="AY366" s="21">
        <v>1.6926600000000001</v>
      </c>
      <c r="AZ366" s="21">
        <v>772.82799999999997</v>
      </c>
      <c r="BA366" s="21">
        <v>-1.0848999999999999E-2</v>
      </c>
      <c r="BB366" s="21">
        <v>356</v>
      </c>
      <c r="BC366" s="21">
        <v>1.6921999999999999</v>
      </c>
      <c r="BD366">
        <f t="shared" si="70"/>
        <v>10.848999999999998</v>
      </c>
      <c r="BE366">
        <f t="shared" si="71"/>
        <v>18.363668339999997</v>
      </c>
    </row>
    <row r="367" spans="6:57" x14ac:dyDescent="0.25">
      <c r="F367" s="9"/>
      <c r="G367" s="21">
        <v>2.28882E-3</v>
      </c>
      <c r="H367" s="21">
        <v>179.31700000000001</v>
      </c>
      <c r="I367" s="21">
        <v>-1.28387E-2</v>
      </c>
      <c r="J367" s="21">
        <v>357</v>
      </c>
      <c r="K367" s="21">
        <v>2.5329599999999999E-3</v>
      </c>
      <c r="L367">
        <f t="shared" si="60"/>
        <v>12.838699999999999</v>
      </c>
      <c r="M367">
        <f t="shared" si="61"/>
        <v>2.9385473334E-2</v>
      </c>
      <c r="N367" s="9"/>
      <c r="O367" s="21">
        <v>1.6976899999999999</v>
      </c>
      <c r="P367" s="21">
        <v>263.30200000000002</v>
      </c>
      <c r="Q367" s="21">
        <v>-9.6466099999999999E-3</v>
      </c>
      <c r="R367" s="21">
        <v>357</v>
      </c>
      <c r="S367" s="21">
        <v>1.69739</v>
      </c>
      <c r="T367">
        <f t="shared" si="62"/>
        <v>9.646609999999999</v>
      </c>
      <c r="U367">
        <f t="shared" si="63"/>
        <v>16.376953330899997</v>
      </c>
      <c r="X367" s="9"/>
      <c r="Y367" s="21">
        <v>2.28882E-3</v>
      </c>
      <c r="Z367" s="21">
        <v>469.46899999999999</v>
      </c>
      <c r="AA367" s="21">
        <v>-1.2689199999999999E-2</v>
      </c>
      <c r="AB367" s="21">
        <v>357</v>
      </c>
      <c r="AC367" s="21">
        <v>2.5573700000000002E-3</v>
      </c>
      <c r="AD367">
        <f t="shared" si="64"/>
        <v>12.6892</v>
      </c>
      <c r="AE367">
        <f t="shared" si="65"/>
        <v>2.9043294743999998E-2</v>
      </c>
      <c r="AF367" s="9"/>
      <c r="AG367" s="21">
        <v>1.6976899999999999</v>
      </c>
      <c r="AH367" s="21">
        <v>526.14400000000001</v>
      </c>
      <c r="AI367" s="21">
        <v>-1.05652E-2</v>
      </c>
      <c r="AJ367" s="21">
        <v>357</v>
      </c>
      <c r="AK367" s="21">
        <v>1.6976899999999999</v>
      </c>
      <c r="AL367">
        <f t="shared" si="66"/>
        <v>10.565200000000001</v>
      </c>
      <c r="AM367">
        <f t="shared" si="67"/>
        <v>17.936434388000002</v>
      </c>
      <c r="AP367" s="9"/>
      <c r="AQ367" s="21">
        <v>2.28882E-3</v>
      </c>
      <c r="AR367" s="21">
        <v>682.83299999999997</v>
      </c>
      <c r="AS367" s="21">
        <v>-1.2991300000000001E-2</v>
      </c>
      <c r="AT367" s="21">
        <v>357</v>
      </c>
      <c r="AU367" s="21">
        <v>2.5543200000000001E-3</v>
      </c>
      <c r="AV367">
        <f t="shared" si="68"/>
        <v>12.991300000000001</v>
      </c>
      <c r="AW367">
        <f t="shared" si="69"/>
        <v>2.9734747266000002E-2</v>
      </c>
      <c r="AX367" s="9"/>
      <c r="AY367" s="21">
        <v>1.6976899999999999</v>
      </c>
      <c r="AZ367" s="21">
        <v>772.928</v>
      </c>
      <c r="BA367" s="21">
        <v>-1.0815399999999999E-2</v>
      </c>
      <c r="BB367" s="21">
        <v>357</v>
      </c>
      <c r="BC367" s="21">
        <v>1.6970799999999999</v>
      </c>
      <c r="BD367">
        <f t="shared" si="70"/>
        <v>10.815399999999999</v>
      </c>
      <c r="BE367">
        <f t="shared" si="71"/>
        <v>18.361196425999996</v>
      </c>
    </row>
    <row r="368" spans="6:57" x14ac:dyDescent="0.25">
      <c r="F368" s="9"/>
      <c r="G368" s="21">
        <v>-2.7465800000000002E-3</v>
      </c>
      <c r="H368" s="21">
        <v>179.41800000000001</v>
      </c>
      <c r="I368" s="21">
        <v>-1.2860099999999999E-2</v>
      </c>
      <c r="J368" s="21">
        <v>358</v>
      </c>
      <c r="K368" s="21">
        <v>-2.52075E-3</v>
      </c>
      <c r="L368">
        <f t="shared" si="60"/>
        <v>12.860099999999999</v>
      </c>
      <c r="M368">
        <f t="shared" si="61"/>
        <v>-3.5321293458000003E-2</v>
      </c>
      <c r="N368" s="9"/>
      <c r="O368" s="21">
        <v>1.7027300000000001</v>
      </c>
      <c r="P368" s="21">
        <v>263.40199999999999</v>
      </c>
      <c r="Q368" s="21">
        <v>-8.8073700000000001E-3</v>
      </c>
      <c r="R368" s="21">
        <v>358</v>
      </c>
      <c r="S368" s="21">
        <v>1.70258</v>
      </c>
      <c r="T368">
        <f t="shared" si="62"/>
        <v>8.8073700000000006</v>
      </c>
      <c r="U368">
        <f t="shared" si="63"/>
        <v>14.996573120100003</v>
      </c>
      <c r="X368" s="9"/>
      <c r="Y368" s="21">
        <v>-2.7465800000000002E-3</v>
      </c>
      <c r="Z368" s="21">
        <v>469.57</v>
      </c>
      <c r="AA368" s="21">
        <v>-1.2731900000000001E-2</v>
      </c>
      <c r="AB368" s="21">
        <v>358</v>
      </c>
      <c r="AC368" s="21">
        <v>-2.5238000000000001E-3</v>
      </c>
      <c r="AD368">
        <f t="shared" si="64"/>
        <v>12.731900000000001</v>
      </c>
      <c r="AE368">
        <f t="shared" si="65"/>
        <v>-3.4969181902000004E-2</v>
      </c>
      <c r="AF368" s="9"/>
      <c r="AG368" s="21">
        <v>1.7027300000000001</v>
      </c>
      <c r="AH368" s="21">
        <v>526.245</v>
      </c>
      <c r="AI368" s="21">
        <v>-1.05316E-2</v>
      </c>
      <c r="AJ368" s="21">
        <v>358</v>
      </c>
      <c r="AK368" s="21">
        <v>1.70258</v>
      </c>
      <c r="AL368">
        <f t="shared" si="66"/>
        <v>10.531600000000001</v>
      </c>
      <c r="AM368">
        <f t="shared" si="67"/>
        <v>17.932471268000004</v>
      </c>
      <c r="AP368" s="9"/>
      <c r="AQ368" s="21">
        <v>-2.7465800000000002E-3</v>
      </c>
      <c r="AR368" s="21">
        <v>682.93399999999997</v>
      </c>
      <c r="AS368" s="21">
        <v>-1.30157E-2</v>
      </c>
      <c r="AT368" s="21">
        <v>358</v>
      </c>
      <c r="AU368" s="21">
        <v>-2.5482199999999999E-3</v>
      </c>
      <c r="AV368">
        <f t="shared" si="68"/>
        <v>13.015700000000001</v>
      </c>
      <c r="AW368">
        <f t="shared" si="69"/>
        <v>-3.5748661306000004E-2</v>
      </c>
      <c r="AX368" s="9"/>
      <c r="AY368" s="21">
        <v>1.7027300000000001</v>
      </c>
      <c r="AZ368" s="21">
        <v>773.029</v>
      </c>
      <c r="BA368" s="21">
        <v>-1.07025E-2</v>
      </c>
      <c r="BB368" s="21">
        <v>358</v>
      </c>
      <c r="BC368" s="21">
        <v>1.7022699999999999</v>
      </c>
      <c r="BD368">
        <f t="shared" si="70"/>
        <v>10.702500000000001</v>
      </c>
      <c r="BE368">
        <f t="shared" si="71"/>
        <v>18.223467825</v>
      </c>
    </row>
    <row r="369" spans="6:57" x14ac:dyDescent="0.25">
      <c r="F369" s="9"/>
      <c r="G369" s="21">
        <v>-7.78198E-3</v>
      </c>
      <c r="H369" s="21">
        <v>179.51900000000001</v>
      </c>
      <c r="I369" s="21">
        <v>-1.2893699999999999E-2</v>
      </c>
      <c r="J369" s="21">
        <v>359</v>
      </c>
      <c r="K369" s="21">
        <v>-7.5836200000000001E-3</v>
      </c>
      <c r="L369">
        <f t="shared" si="60"/>
        <v>12.893699999999999</v>
      </c>
      <c r="M369">
        <f t="shared" si="61"/>
        <v>-0.100338515526</v>
      </c>
      <c r="N369" s="9"/>
      <c r="O369" s="21">
        <v>1.7077599999999999</v>
      </c>
      <c r="P369" s="21">
        <v>263.50299999999999</v>
      </c>
      <c r="Q369" s="21">
        <v>-7.8826899999999995E-3</v>
      </c>
      <c r="R369" s="21">
        <v>359</v>
      </c>
      <c r="S369" s="21">
        <v>1.70746</v>
      </c>
      <c r="T369">
        <f t="shared" si="62"/>
        <v>7.8826899999999993</v>
      </c>
      <c r="U369">
        <f t="shared" si="63"/>
        <v>13.461742674399998</v>
      </c>
      <c r="X369" s="9"/>
      <c r="Y369" s="21">
        <v>-7.78198E-3</v>
      </c>
      <c r="Z369" s="21">
        <v>469.67099999999999</v>
      </c>
      <c r="AA369" s="21">
        <v>-1.27563E-2</v>
      </c>
      <c r="AB369" s="21">
        <v>359</v>
      </c>
      <c r="AC369" s="21">
        <v>-7.5378399999999996E-3</v>
      </c>
      <c r="AD369">
        <f t="shared" si="64"/>
        <v>12.7563</v>
      </c>
      <c r="AE369">
        <f t="shared" si="65"/>
        <v>-9.9269271473999998E-2</v>
      </c>
      <c r="AF369" s="9"/>
      <c r="AG369" s="21">
        <v>1.7077599999999999</v>
      </c>
      <c r="AH369" s="21">
        <v>526.346</v>
      </c>
      <c r="AI369" s="21">
        <v>-1.0406500000000001E-2</v>
      </c>
      <c r="AJ369" s="21">
        <v>359</v>
      </c>
      <c r="AK369" s="21">
        <v>1.7071499999999999</v>
      </c>
      <c r="AL369">
        <f t="shared" si="66"/>
        <v>10.406500000000001</v>
      </c>
      <c r="AM369">
        <f t="shared" si="67"/>
        <v>17.77180444</v>
      </c>
      <c r="AP369" s="9"/>
      <c r="AQ369" s="21">
        <v>-7.78198E-3</v>
      </c>
      <c r="AR369" s="21">
        <v>683.03399999999999</v>
      </c>
      <c r="AS369" s="21">
        <v>-1.30432E-2</v>
      </c>
      <c r="AT369" s="21">
        <v>359</v>
      </c>
      <c r="AU369" s="21">
        <v>-7.5836200000000001E-3</v>
      </c>
      <c r="AV369">
        <f t="shared" si="68"/>
        <v>13.043199999999999</v>
      </c>
      <c r="AW369">
        <f t="shared" si="69"/>
        <v>-0.10150192153599999</v>
      </c>
      <c r="AX369" s="9"/>
      <c r="AY369" s="21">
        <v>1.7077599999999999</v>
      </c>
      <c r="AZ369" s="21">
        <v>773.13</v>
      </c>
      <c r="BA369" s="21">
        <v>-1.03851E-2</v>
      </c>
      <c r="BB369" s="21">
        <v>359</v>
      </c>
      <c r="BC369" s="21">
        <v>1.70746</v>
      </c>
      <c r="BD369">
        <f t="shared" si="70"/>
        <v>10.3851</v>
      </c>
      <c r="BE369">
        <f t="shared" si="71"/>
        <v>17.735258375999997</v>
      </c>
    </row>
    <row r="370" spans="6:57" x14ac:dyDescent="0.25">
      <c r="F370" s="9"/>
      <c r="G370" s="21">
        <v>-1.28174E-2</v>
      </c>
      <c r="H370" s="21">
        <v>179.619</v>
      </c>
      <c r="I370" s="21">
        <v>-1.2908899999999999E-2</v>
      </c>
      <c r="J370" s="21">
        <v>360</v>
      </c>
      <c r="K370" s="21">
        <v>-1.26068E-2</v>
      </c>
      <c r="L370">
        <f t="shared" si="60"/>
        <v>12.908899999999999</v>
      </c>
      <c r="M370">
        <f t="shared" si="61"/>
        <v>-0.16545853485999998</v>
      </c>
      <c r="N370" s="9"/>
      <c r="O370" s="21">
        <v>1.7128000000000001</v>
      </c>
      <c r="P370" s="21">
        <v>263.60399999999998</v>
      </c>
      <c r="Q370" s="21">
        <v>-6.8267800000000002E-3</v>
      </c>
      <c r="R370" s="21">
        <v>360</v>
      </c>
      <c r="S370" s="21">
        <v>1.71234</v>
      </c>
      <c r="T370">
        <f t="shared" si="62"/>
        <v>6.8267800000000003</v>
      </c>
      <c r="U370">
        <f t="shared" si="63"/>
        <v>11.692908784000002</v>
      </c>
      <c r="X370" s="9"/>
      <c r="Y370" s="21">
        <v>-1.28174E-2</v>
      </c>
      <c r="Z370" s="21">
        <v>469.77100000000002</v>
      </c>
      <c r="AA370" s="21">
        <v>-1.27808E-2</v>
      </c>
      <c r="AB370" s="21">
        <v>360</v>
      </c>
      <c r="AC370" s="21">
        <v>-1.2616E-2</v>
      </c>
      <c r="AD370">
        <f t="shared" si="64"/>
        <v>12.780799999999999</v>
      </c>
      <c r="AE370">
        <f t="shared" si="65"/>
        <v>-0.16381662591999999</v>
      </c>
      <c r="AF370" s="9"/>
      <c r="AG370" s="21">
        <v>1.7128000000000001</v>
      </c>
      <c r="AH370" s="21">
        <v>526.44600000000003</v>
      </c>
      <c r="AI370" s="21">
        <v>-9.9548299999999996E-3</v>
      </c>
      <c r="AJ370" s="21">
        <v>360</v>
      </c>
      <c r="AK370" s="21">
        <v>1.71234</v>
      </c>
      <c r="AL370">
        <f t="shared" si="66"/>
        <v>9.9548299999999994</v>
      </c>
      <c r="AM370">
        <f t="shared" si="67"/>
        <v>17.050632824000001</v>
      </c>
      <c r="AP370" s="9"/>
      <c r="AQ370" s="21">
        <v>-1.28174E-2</v>
      </c>
      <c r="AR370" s="21">
        <v>683.13499999999999</v>
      </c>
      <c r="AS370" s="21">
        <v>-1.30768E-2</v>
      </c>
      <c r="AT370" s="21">
        <v>360</v>
      </c>
      <c r="AU370" s="21">
        <v>-1.26068E-2</v>
      </c>
      <c r="AV370">
        <f t="shared" si="68"/>
        <v>13.076799999999999</v>
      </c>
      <c r="AW370">
        <f t="shared" si="69"/>
        <v>-0.16761057631999998</v>
      </c>
      <c r="AX370" s="9"/>
      <c r="AY370" s="21">
        <v>1.7128000000000001</v>
      </c>
      <c r="AZ370" s="21">
        <v>773.23099999999999</v>
      </c>
      <c r="BA370" s="21">
        <v>-9.5794699999999997E-3</v>
      </c>
      <c r="BB370" s="21">
        <v>360</v>
      </c>
      <c r="BC370" s="21">
        <v>1.71234</v>
      </c>
      <c r="BD370">
        <f t="shared" si="70"/>
        <v>9.5794699999999988</v>
      </c>
      <c r="BE370">
        <f t="shared" si="71"/>
        <v>16.407716215999997</v>
      </c>
    </row>
    <row r="371" spans="6:57" x14ac:dyDescent="0.25">
      <c r="F371" s="9"/>
      <c r="G371" s="21">
        <v>-1.7852799999999999E-2</v>
      </c>
      <c r="H371" s="21">
        <v>179.72</v>
      </c>
      <c r="I371" s="21">
        <v>-1.29211E-2</v>
      </c>
      <c r="J371" s="21">
        <v>361</v>
      </c>
      <c r="K371" s="21">
        <v>-1.7645299999999999E-2</v>
      </c>
      <c r="L371">
        <f t="shared" si="60"/>
        <v>12.921099999999999</v>
      </c>
      <c r="M371">
        <f t="shared" si="61"/>
        <v>-0.23067781407999996</v>
      </c>
      <c r="N371" s="9"/>
      <c r="O371" s="21">
        <v>1.71783</v>
      </c>
      <c r="P371" s="21">
        <v>263.70400000000001</v>
      </c>
      <c r="Q371" s="21">
        <v>-5.74341E-3</v>
      </c>
      <c r="R371" s="21">
        <v>361</v>
      </c>
      <c r="S371" s="21">
        <v>1.71722</v>
      </c>
      <c r="T371">
        <f t="shared" si="62"/>
        <v>5.7434099999999999</v>
      </c>
      <c r="U371">
        <f t="shared" si="63"/>
        <v>9.8662020002999995</v>
      </c>
      <c r="X371" s="9"/>
      <c r="Y371" s="21">
        <v>-1.7852799999999999E-2</v>
      </c>
      <c r="Z371" s="21">
        <v>469.87200000000001</v>
      </c>
      <c r="AA371" s="21">
        <v>-1.28418E-2</v>
      </c>
      <c r="AB371" s="21">
        <v>361</v>
      </c>
      <c r="AC371" s="21">
        <v>-1.7663600000000002E-2</v>
      </c>
      <c r="AD371">
        <f t="shared" si="64"/>
        <v>12.841800000000001</v>
      </c>
      <c r="AE371">
        <f t="shared" si="65"/>
        <v>-0.22926208704000001</v>
      </c>
      <c r="AF371" s="9"/>
      <c r="AG371" s="21">
        <v>1.71783</v>
      </c>
      <c r="AH371" s="21">
        <v>526.54700000000003</v>
      </c>
      <c r="AI371" s="21">
        <v>-8.9416500000000006E-3</v>
      </c>
      <c r="AJ371" s="21">
        <v>361</v>
      </c>
      <c r="AK371" s="21">
        <v>1.71692</v>
      </c>
      <c r="AL371">
        <f t="shared" si="66"/>
        <v>8.941650000000001</v>
      </c>
      <c r="AM371">
        <f t="shared" si="67"/>
        <v>15.360234619500002</v>
      </c>
      <c r="AP371" s="9"/>
      <c r="AQ371" s="21">
        <v>-1.7852799999999999E-2</v>
      </c>
      <c r="AR371" s="21">
        <v>683.23599999999999</v>
      </c>
      <c r="AS371" s="21">
        <v>-1.3107300000000001E-2</v>
      </c>
      <c r="AT371" s="21">
        <v>361</v>
      </c>
      <c r="AU371" s="21">
        <v>-1.7636099999999998E-2</v>
      </c>
      <c r="AV371">
        <f t="shared" si="68"/>
        <v>13.1073</v>
      </c>
      <c r="AW371">
        <f t="shared" si="69"/>
        <v>-0.23400200543999999</v>
      </c>
      <c r="AX371" s="9"/>
      <c r="AY371" s="21">
        <v>1.71783</v>
      </c>
      <c r="AZ371" s="21">
        <v>773.33100000000002</v>
      </c>
      <c r="BA371" s="21">
        <v>-8.6395299999999994E-3</v>
      </c>
      <c r="BB371" s="21">
        <v>361</v>
      </c>
      <c r="BC371" s="21">
        <v>1.71692</v>
      </c>
      <c r="BD371">
        <f t="shared" si="70"/>
        <v>8.6395299999999988</v>
      </c>
      <c r="BE371">
        <f t="shared" si="71"/>
        <v>14.841243819899997</v>
      </c>
    </row>
    <row r="372" spans="6:57" x14ac:dyDescent="0.25">
      <c r="F372" s="9"/>
      <c r="G372" s="21">
        <v>-2.2888200000000001E-2</v>
      </c>
      <c r="H372" s="21">
        <v>179.821</v>
      </c>
      <c r="I372" s="21">
        <v>-1.29547E-2</v>
      </c>
      <c r="J372" s="21">
        <v>362</v>
      </c>
      <c r="K372" s="21">
        <v>-2.2665399999999999E-2</v>
      </c>
      <c r="L372">
        <f t="shared" si="60"/>
        <v>12.954699999999999</v>
      </c>
      <c r="M372">
        <f t="shared" si="61"/>
        <v>-0.29650976454</v>
      </c>
      <c r="N372" s="9"/>
      <c r="O372" s="21">
        <v>1.7228699999999999</v>
      </c>
      <c r="P372" s="21">
        <v>263.80500000000001</v>
      </c>
      <c r="Q372" s="21">
        <v>-4.56085E-3</v>
      </c>
      <c r="R372" s="21">
        <v>362</v>
      </c>
      <c r="S372" s="21">
        <v>1.72211</v>
      </c>
      <c r="T372">
        <f t="shared" si="62"/>
        <v>4.5608500000000003</v>
      </c>
      <c r="U372">
        <f t="shared" si="63"/>
        <v>7.8577516395</v>
      </c>
      <c r="X372" s="9"/>
      <c r="Y372" s="21">
        <v>-2.2888200000000001E-2</v>
      </c>
      <c r="Z372" s="21">
        <v>469.97300000000001</v>
      </c>
      <c r="AA372" s="21">
        <v>-1.28723E-2</v>
      </c>
      <c r="AB372" s="21">
        <v>362</v>
      </c>
      <c r="AC372" s="21">
        <v>-2.26898E-2</v>
      </c>
      <c r="AD372">
        <f t="shared" si="64"/>
        <v>12.872299999999999</v>
      </c>
      <c r="AE372">
        <f t="shared" si="65"/>
        <v>-0.29462377686000002</v>
      </c>
      <c r="AF372" s="9"/>
      <c r="AG372" s="21">
        <v>1.7228699999999999</v>
      </c>
      <c r="AH372" s="21">
        <v>526.64800000000002</v>
      </c>
      <c r="AI372" s="21">
        <v>-7.7606200000000002E-3</v>
      </c>
      <c r="AJ372" s="21">
        <v>362</v>
      </c>
      <c r="AK372" s="21">
        <v>1.72241</v>
      </c>
      <c r="AL372">
        <f t="shared" si="66"/>
        <v>7.7606200000000003</v>
      </c>
      <c r="AM372">
        <f t="shared" si="67"/>
        <v>13.3705393794</v>
      </c>
      <c r="AP372" s="9"/>
      <c r="AQ372" s="21">
        <v>-2.2888200000000001E-2</v>
      </c>
      <c r="AR372" s="21">
        <v>683.33600000000001</v>
      </c>
      <c r="AS372" s="21">
        <v>-1.31439E-2</v>
      </c>
      <c r="AT372" s="21">
        <v>362</v>
      </c>
      <c r="AU372" s="21">
        <v>-2.2662399999999999E-2</v>
      </c>
      <c r="AV372">
        <f t="shared" si="68"/>
        <v>13.1439</v>
      </c>
      <c r="AW372">
        <f t="shared" si="69"/>
        <v>-0.30084021197999999</v>
      </c>
      <c r="AX372" s="9"/>
      <c r="AY372" s="21">
        <v>1.7228699999999999</v>
      </c>
      <c r="AZ372" s="21">
        <v>773.43200000000002</v>
      </c>
      <c r="BA372" s="21">
        <v>-7.5683599999999997E-3</v>
      </c>
      <c r="BB372" s="21">
        <v>362</v>
      </c>
      <c r="BC372" s="21">
        <v>1.72211</v>
      </c>
      <c r="BD372">
        <f t="shared" si="70"/>
        <v>7.5683599999999993</v>
      </c>
      <c r="BE372">
        <f t="shared" si="71"/>
        <v>13.039300393199998</v>
      </c>
    </row>
    <row r="373" spans="6:57" x14ac:dyDescent="0.25">
      <c r="F373" s="9"/>
      <c r="G373" s="21">
        <v>-2.79236E-2</v>
      </c>
      <c r="H373" s="21">
        <v>179.922</v>
      </c>
      <c r="I373" s="21">
        <v>-1.2991300000000001E-2</v>
      </c>
      <c r="J373" s="21">
        <v>363</v>
      </c>
      <c r="K373" s="21">
        <v>-2.7694699999999999E-2</v>
      </c>
      <c r="L373">
        <f t="shared" si="60"/>
        <v>12.991300000000001</v>
      </c>
      <c r="M373">
        <f t="shared" si="61"/>
        <v>-0.36276386467999999</v>
      </c>
      <c r="N373" s="9"/>
      <c r="O373" s="21">
        <v>1.7279100000000001</v>
      </c>
      <c r="P373" s="21">
        <v>263.90600000000001</v>
      </c>
      <c r="Q373" s="21">
        <v>-3.3526599999999999E-3</v>
      </c>
      <c r="R373" s="21">
        <v>363</v>
      </c>
      <c r="S373" s="21">
        <v>1.72729</v>
      </c>
      <c r="T373">
        <f t="shared" si="62"/>
        <v>3.3526599999999998</v>
      </c>
      <c r="U373">
        <f t="shared" si="63"/>
        <v>5.7930947406</v>
      </c>
      <c r="X373" s="9"/>
      <c r="Y373" s="21">
        <v>-2.79236E-2</v>
      </c>
      <c r="Z373" s="21">
        <v>470.07400000000001</v>
      </c>
      <c r="AA373" s="21">
        <v>-1.29395E-2</v>
      </c>
      <c r="AB373" s="21">
        <v>363</v>
      </c>
      <c r="AC373" s="21">
        <v>-2.7725199999999998E-2</v>
      </c>
      <c r="AD373">
        <f t="shared" si="64"/>
        <v>12.939499999999999</v>
      </c>
      <c r="AE373">
        <f t="shared" si="65"/>
        <v>-0.36131742219999996</v>
      </c>
      <c r="AF373" s="9"/>
      <c r="AG373" s="21">
        <v>1.7279100000000001</v>
      </c>
      <c r="AH373" s="21">
        <v>526.74800000000005</v>
      </c>
      <c r="AI373" s="21">
        <v>-6.4178500000000001E-3</v>
      </c>
      <c r="AJ373" s="21">
        <v>363</v>
      </c>
      <c r="AK373" s="21">
        <v>1.72729</v>
      </c>
      <c r="AL373">
        <f t="shared" si="66"/>
        <v>6.4178500000000005</v>
      </c>
      <c r="AM373">
        <f t="shared" si="67"/>
        <v>11.089467193500001</v>
      </c>
      <c r="AP373" s="9"/>
      <c r="AQ373" s="21">
        <v>-2.79236E-2</v>
      </c>
      <c r="AR373" s="21">
        <v>683.43700000000001</v>
      </c>
      <c r="AS373" s="21">
        <v>-1.3174399999999999E-2</v>
      </c>
      <c r="AT373" s="21">
        <v>363</v>
      </c>
      <c r="AU373" s="21">
        <v>-2.76917E-2</v>
      </c>
      <c r="AV373">
        <f t="shared" si="68"/>
        <v>13.174399999999999</v>
      </c>
      <c r="AW373">
        <f t="shared" si="69"/>
        <v>-0.36787667583999994</v>
      </c>
      <c r="AX373" s="9"/>
      <c r="AY373" s="21">
        <v>1.7279100000000001</v>
      </c>
      <c r="AZ373" s="21">
        <v>773.53300000000002</v>
      </c>
      <c r="BA373" s="21">
        <v>-6.3568100000000001E-3</v>
      </c>
      <c r="BB373" s="21">
        <v>363</v>
      </c>
      <c r="BC373" s="21">
        <v>1.7276</v>
      </c>
      <c r="BD373">
        <f t="shared" si="70"/>
        <v>6.3568100000000003</v>
      </c>
      <c r="BE373">
        <f t="shared" si="71"/>
        <v>10.983995567100001</v>
      </c>
    </row>
    <row r="374" spans="6:57" x14ac:dyDescent="0.25">
      <c r="F374" s="9"/>
      <c r="G374" s="21">
        <v>-3.2959000000000002E-2</v>
      </c>
      <c r="H374" s="21">
        <v>180.02199999999999</v>
      </c>
      <c r="I374" s="21">
        <v>-1.3037099999999999E-2</v>
      </c>
      <c r="J374" s="21">
        <v>364</v>
      </c>
      <c r="K374" s="21">
        <v>-3.2742300000000002E-2</v>
      </c>
      <c r="L374">
        <f t="shared" si="60"/>
        <v>13.037099999999999</v>
      </c>
      <c r="M374">
        <f t="shared" si="61"/>
        <v>-0.42968977889999999</v>
      </c>
      <c r="N374" s="9"/>
      <c r="O374" s="21">
        <v>1.7329399999999999</v>
      </c>
      <c r="P374" s="21">
        <v>264.00700000000001</v>
      </c>
      <c r="Q374" s="21">
        <v>-2.1188399999999999E-3</v>
      </c>
      <c r="R374" s="21">
        <v>364</v>
      </c>
      <c r="S374" s="21">
        <v>1.7321800000000001</v>
      </c>
      <c r="T374">
        <f t="shared" si="62"/>
        <v>2.1188400000000001</v>
      </c>
      <c r="U374">
        <f t="shared" si="63"/>
        <v>3.6718225896000001</v>
      </c>
      <c r="X374" s="9"/>
      <c r="Y374" s="21">
        <v>-3.2959000000000002E-2</v>
      </c>
      <c r="Z374" s="21">
        <v>470.17399999999998</v>
      </c>
      <c r="AA374" s="21">
        <v>-1.29608E-2</v>
      </c>
      <c r="AB374" s="21">
        <v>364</v>
      </c>
      <c r="AC374" s="21">
        <v>-3.2733199999999997E-2</v>
      </c>
      <c r="AD374">
        <f t="shared" si="64"/>
        <v>12.960799999999999</v>
      </c>
      <c r="AE374">
        <f t="shared" si="65"/>
        <v>-0.42717500720000001</v>
      </c>
      <c r="AF374" s="9"/>
      <c r="AG374" s="21">
        <v>1.7329399999999999</v>
      </c>
      <c r="AH374" s="21">
        <v>526.84900000000005</v>
      </c>
      <c r="AI374" s="21">
        <v>-4.8477199999999998E-3</v>
      </c>
      <c r="AJ374" s="21">
        <v>364</v>
      </c>
      <c r="AK374" s="21">
        <v>1.73248</v>
      </c>
      <c r="AL374">
        <f t="shared" si="66"/>
        <v>4.8477199999999998</v>
      </c>
      <c r="AM374">
        <f t="shared" si="67"/>
        <v>8.4008078968</v>
      </c>
      <c r="AP374" s="9"/>
      <c r="AQ374" s="21">
        <v>-3.2959000000000002E-2</v>
      </c>
      <c r="AR374" s="21">
        <v>683.53800000000001</v>
      </c>
      <c r="AS374" s="21">
        <v>-1.32111E-2</v>
      </c>
      <c r="AT374" s="21">
        <v>364</v>
      </c>
      <c r="AU374" s="21">
        <v>-3.2717900000000001E-2</v>
      </c>
      <c r="AV374">
        <f t="shared" si="68"/>
        <v>13.2111</v>
      </c>
      <c r="AW374">
        <f t="shared" si="69"/>
        <v>-0.43542464490000005</v>
      </c>
      <c r="AX374" s="9"/>
      <c r="AY374" s="21">
        <v>1.7329399999999999</v>
      </c>
      <c r="AZ374" s="21">
        <v>773.63300000000004</v>
      </c>
      <c r="BA374" s="21">
        <v>-5.01404E-3</v>
      </c>
      <c r="BB374" s="21">
        <v>364</v>
      </c>
      <c r="BC374" s="21">
        <v>1.73248</v>
      </c>
      <c r="BD374">
        <f t="shared" si="70"/>
        <v>5.0140399999999996</v>
      </c>
      <c r="BE374">
        <f t="shared" si="71"/>
        <v>8.6890304775999994</v>
      </c>
    </row>
    <row r="375" spans="6:57" x14ac:dyDescent="0.25">
      <c r="F375" s="9"/>
      <c r="G375" s="21">
        <v>-3.7994399999999998E-2</v>
      </c>
      <c r="H375" s="21">
        <v>180.12299999999999</v>
      </c>
      <c r="I375" s="21">
        <v>-1.3079800000000001E-2</v>
      </c>
      <c r="J375" s="21">
        <v>365</v>
      </c>
      <c r="K375" s="21">
        <v>-3.7731899999999999E-2</v>
      </c>
      <c r="L375">
        <f t="shared" si="60"/>
        <v>13.079800000000001</v>
      </c>
      <c r="M375">
        <f t="shared" si="61"/>
        <v>-0.49695915312</v>
      </c>
      <c r="N375" s="9"/>
      <c r="O375" s="21">
        <v>1.7379800000000001</v>
      </c>
      <c r="P375" s="21">
        <v>264.10700000000003</v>
      </c>
      <c r="Q375" s="21">
        <v>-8.4228500000000002E-4</v>
      </c>
      <c r="R375" s="21">
        <v>365</v>
      </c>
      <c r="S375" s="21">
        <v>1.73706</v>
      </c>
      <c r="T375">
        <f t="shared" si="62"/>
        <v>0.84228500000000006</v>
      </c>
      <c r="U375">
        <f t="shared" si="63"/>
        <v>1.4638744843000002</v>
      </c>
      <c r="X375" s="9"/>
      <c r="Y375" s="21">
        <v>-3.7994399999999998E-2</v>
      </c>
      <c r="Z375" s="21">
        <v>470.27499999999998</v>
      </c>
      <c r="AA375" s="21">
        <v>-1.29578E-2</v>
      </c>
      <c r="AB375" s="21">
        <v>365</v>
      </c>
      <c r="AC375" s="21">
        <v>-3.7734999999999998E-2</v>
      </c>
      <c r="AD375">
        <f t="shared" si="64"/>
        <v>12.957800000000001</v>
      </c>
      <c r="AE375">
        <f t="shared" si="65"/>
        <v>-0.49232383631999999</v>
      </c>
      <c r="AF375" s="9"/>
      <c r="AG375" s="21">
        <v>1.7379800000000001</v>
      </c>
      <c r="AH375" s="21">
        <v>526.95000000000005</v>
      </c>
      <c r="AI375" s="21">
        <v>-3.11707E-3</v>
      </c>
      <c r="AJ375" s="21">
        <v>365</v>
      </c>
      <c r="AK375" s="21">
        <v>1.73767</v>
      </c>
      <c r="AL375">
        <f t="shared" si="66"/>
        <v>3.11707</v>
      </c>
      <c r="AM375">
        <f t="shared" si="67"/>
        <v>5.4174053186000002</v>
      </c>
      <c r="AP375" s="9"/>
      <c r="AQ375" s="21">
        <v>-3.7994399999999998E-2</v>
      </c>
      <c r="AR375" s="21">
        <v>683.63900000000001</v>
      </c>
      <c r="AS375" s="21">
        <v>-1.32538E-2</v>
      </c>
      <c r="AT375" s="21">
        <v>365</v>
      </c>
      <c r="AU375" s="21">
        <v>-3.7753299999999997E-2</v>
      </c>
      <c r="AV375">
        <f t="shared" si="68"/>
        <v>13.2538</v>
      </c>
      <c r="AW375">
        <f t="shared" si="69"/>
        <v>-0.50357017871999998</v>
      </c>
      <c r="AX375" s="9"/>
      <c r="AY375" s="21">
        <v>1.7379800000000001</v>
      </c>
      <c r="AZ375" s="21">
        <v>773.73400000000004</v>
      </c>
      <c r="BA375" s="21">
        <v>-3.5409500000000002E-3</v>
      </c>
      <c r="BB375" s="21">
        <v>365</v>
      </c>
      <c r="BC375" s="21">
        <v>1.73706</v>
      </c>
      <c r="BD375">
        <f t="shared" si="70"/>
        <v>3.54095</v>
      </c>
      <c r="BE375">
        <f t="shared" si="71"/>
        <v>6.1541002810000007</v>
      </c>
    </row>
    <row r="376" spans="6:57" x14ac:dyDescent="0.25">
      <c r="F376" s="9"/>
      <c r="G376" s="21">
        <v>-4.30298E-2</v>
      </c>
      <c r="H376" s="21">
        <v>180.22399999999999</v>
      </c>
      <c r="I376" s="21">
        <v>-1.31317E-2</v>
      </c>
      <c r="J376" s="21">
        <v>366</v>
      </c>
      <c r="K376" s="21">
        <v>-4.2791700000000002E-2</v>
      </c>
      <c r="L376">
        <f t="shared" si="60"/>
        <v>13.1317</v>
      </c>
      <c r="M376">
        <f t="shared" si="61"/>
        <v>-0.56505442466</v>
      </c>
      <c r="N376" s="9"/>
      <c r="O376" s="21">
        <v>1.7430099999999999</v>
      </c>
      <c r="P376" s="21">
        <v>264.20800000000003</v>
      </c>
      <c r="Q376" s="21">
        <v>4.4973799999999998E-4</v>
      </c>
      <c r="R376" s="21">
        <v>366</v>
      </c>
      <c r="S376" s="21">
        <v>1.7422500000000001</v>
      </c>
      <c r="T376">
        <f t="shared" si="62"/>
        <v>-0.44973799999999997</v>
      </c>
      <c r="U376">
        <f t="shared" si="63"/>
        <v>-0.78389783137999991</v>
      </c>
      <c r="X376" s="9"/>
      <c r="Y376" s="21">
        <v>-4.30298E-2</v>
      </c>
      <c r="Z376" s="21">
        <v>470.37599999999998</v>
      </c>
      <c r="AA376" s="21">
        <v>-1.30096E-2</v>
      </c>
      <c r="AB376" s="21">
        <v>366</v>
      </c>
      <c r="AC376" s="21">
        <v>-4.2767300000000001E-2</v>
      </c>
      <c r="AD376">
        <f t="shared" si="64"/>
        <v>13.009599999999999</v>
      </c>
      <c r="AE376">
        <f t="shared" si="65"/>
        <v>-0.55980048607999999</v>
      </c>
      <c r="AF376" s="9"/>
      <c r="AG376" s="21">
        <v>1.7430099999999999</v>
      </c>
      <c r="AH376" s="21">
        <v>527.05100000000004</v>
      </c>
      <c r="AI376" s="21">
        <v>-1.38916E-3</v>
      </c>
      <c r="AJ376" s="21">
        <v>366</v>
      </c>
      <c r="AK376" s="21">
        <v>1.74255</v>
      </c>
      <c r="AL376">
        <f t="shared" si="66"/>
        <v>1.38916</v>
      </c>
      <c r="AM376">
        <f t="shared" si="67"/>
        <v>2.4213197715999999</v>
      </c>
      <c r="AP376" s="9"/>
      <c r="AQ376" s="21">
        <v>-4.30298E-2</v>
      </c>
      <c r="AR376" s="21">
        <v>683.73900000000003</v>
      </c>
      <c r="AS376" s="21">
        <v>-1.32935E-2</v>
      </c>
      <c r="AT376" s="21">
        <v>366</v>
      </c>
      <c r="AU376" s="21">
        <v>-4.2791700000000002E-2</v>
      </c>
      <c r="AV376">
        <f t="shared" si="68"/>
        <v>13.2935</v>
      </c>
      <c r="AW376">
        <f t="shared" si="69"/>
        <v>-0.57201664630000004</v>
      </c>
      <c r="AX376" s="9"/>
      <c r="AY376" s="21">
        <v>1.7430099999999999</v>
      </c>
      <c r="AZ376" s="21">
        <v>773.83500000000004</v>
      </c>
      <c r="BA376" s="21">
        <v>-2.1487400000000001E-3</v>
      </c>
      <c r="BB376" s="21">
        <v>366</v>
      </c>
      <c r="BC376" s="21">
        <v>1.74255</v>
      </c>
      <c r="BD376">
        <f t="shared" si="70"/>
        <v>2.1487400000000001</v>
      </c>
      <c r="BE376">
        <f t="shared" si="71"/>
        <v>3.7452753074</v>
      </c>
    </row>
    <row r="377" spans="6:57" x14ac:dyDescent="0.25">
      <c r="F377" s="9"/>
      <c r="G377" s="21">
        <v>-4.8065200000000002E-2</v>
      </c>
      <c r="H377" s="21">
        <v>180.32400000000001</v>
      </c>
      <c r="I377" s="21">
        <v>-1.31714E-2</v>
      </c>
      <c r="J377" s="21">
        <v>367</v>
      </c>
      <c r="K377" s="21">
        <v>-4.7796600000000002E-2</v>
      </c>
      <c r="L377">
        <f t="shared" si="60"/>
        <v>13.1714</v>
      </c>
      <c r="M377">
        <f t="shared" si="61"/>
        <v>-0.63308597527999999</v>
      </c>
      <c r="N377" s="9"/>
      <c r="O377" s="21">
        <v>1.7480500000000001</v>
      </c>
      <c r="P377" s="21">
        <v>264.30900000000003</v>
      </c>
      <c r="Q377" s="21">
        <v>1.8820200000000001E-3</v>
      </c>
      <c r="R377" s="21">
        <v>367</v>
      </c>
      <c r="S377" s="21">
        <v>1.7474400000000001</v>
      </c>
      <c r="T377">
        <f t="shared" si="62"/>
        <v>-1.88202</v>
      </c>
      <c r="U377">
        <f t="shared" si="63"/>
        <v>-3.2898650610000004</v>
      </c>
      <c r="X377" s="9"/>
      <c r="Y377" s="21">
        <v>-4.8065200000000002E-2</v>
      </c>
      <c r="Z377" s="21">
        <v>470.476</v>
      </c>
      <c r="AA377" s="21">
        <v>-1.30402E-2</v>
      </c>
      <c r="AB377" s="21">
        <v>367</v>
      </c>
      <c r="AC377" s="21">
        <v>-4.77905E-2</v>
      </c>
      <c r="AD377">
        <f t="shared" si="64"/>
        <v>13.0402</v>
      </c>
      <c r="AE377">
        <f t="shared" si="65"/>
        <v>-0.62677982104000007</v>
      </c>
      <c r="AF377" s="9"/>
      <c r="AG377" s="21">
        <v>1.7480500000000001</v>
      </c>
      <c r="AH377" s="21">
        <v>527.15099999999995</v>
      </c>
      <c r="AI377" s="21">
        <v>4.4784499999999999E-4</v>
      </c>
      <c r="AJ377" s="21">
        <v>367</v>
      </c>
      <c r="AK377" s="21">
        <v>1.7474400000000001</v>
      </c>
      <c r="AL377">
        <f t="shared" si="66"/>
        <v>-0.44784499999999999</v>
      </c>
      <c r="AM377">
        <f t="shared" si="67"/>
        <v>-0.78285545225000008</v>
      </c>
      <c r="AP377" s="9"/>
      <c r="AQ377" s="21">
        <v>-4.8065200000000002E-2</v>
      </c>
      <c r="AR377" s="21">
        <v>683.84</v>
      </c>
      <c r="AS377" s="21">
        <v>-1.3369799999999999E-2</v>
      </c>
      <c r="AT377" s="21">
        <v>367</v>
      </c>
      <c r="AU377" s="21">
        <v>-4.7808799999999999E-2</v>
      </c>
      <c r="AV377">
        <f t="shared" si="68"/>
        <v>13.3698</v>
      </c>
      <c r="AW377">
        <f t="shared" si="69"/>
        <v>-0.64262211095999999</v>
      </c>
      <c r="AX377" s="9"/>
      <c r="AY377" s="21">
        <v>1.7480500000000001</v>
      </c>
      <c r="AZ377" s="21">
        <v>773.93600000000004</v>
      </c>
      <c r="BA377" s="21">
        <v>-8.5418699999999996E-4</v>
      </c>
      <c r="BB377" s="21">
        <v>367</v>
      </c>
      <c r="BC377" s="21">
        <v>1.7477400000000001</v>
      </c>
      <c r="BD377">
        <f t="shared" si="70"/>
        <v>0.85418699999999992</v>
      </c>
      <c r="BE377">
        <f t="shared" si="71"/>
        <v>1.49316158535</v>
      </c>
    </row>
    <row r="378" spans="6:57" x14ac:dyDescent="0.25">
      <c r="F378" s="9"/>
      <c r="G378" s="21">
        <v>-5.3100599999999998E-2</v>
      </c>
      <c r="H378" s="21">
        <v>180.42500000000001</v>
      </c>
      <c r="I378" s="21">
        <v>-1.3214099999999999E-2</v>
      </c>
      <c r="J378" s="21">
        <v>368</v>
      </c>
      <c r="K378" s="21">
        <v>-5.2948000000000002E-2</v>
      </c>
      <c r="L378">
        <f t="shared" si="60"/>
        <v>13.2141</v>
      </c>
      <c r="M378">
        <f t="shared" si="61"/>
        <v>-0.70167663845999995</v>
      </c>
      <c r="N378" s="9"/>
      <c r="O378" s="21">
        <v>1.75308</v>
      </c>
      <c r="P378" s="21">
        <v>264.40899999999999</v>
      </c>
      <c r="Q378" s="21">
        <v>3.3071900000000002E-3</v>
      </c>
      <c r="R378" s="21">
        <v>368</v>
      </c>
      <c r="S378" s="21">
        <v>1.7529300000000001</v>
      </c>
      <c r="T378">
        <f t="shared" si="62"/>
        <v>-3.3071900000000003</v>
      </c>
      <c r="U378">
        <f t="shared" si="63"/>
        <v>-5.7977686452000006</v>
      </c>
      <c r="X378" s="9"/>
      <c r="Y378" s="21">
        <v>-5.3100599999999998E-2</v>
      </c>
      <c r="Z378" s="21">
        <v>470.577</v>
      </c>
      <c r="AA378" s="21">
        <v>-1.3079800000000001E-2</v>
      </c>
      <c r="AB378" s="21">
        <v>368</v>
      </c>
      <c r="AC378" s="21">
        <v>-5.2856399999999998E-2</v>
      </c>
      <c r="AD378">
        <f t="shared" si="64"/>
        <v>13.079800000000001</v>
      </c>
      <c r="AE378">
        <f t="shared" si="65"/>
        <v>-0.69454522787999995</v>
      </c>
      <c r="AF378" s="9"/>
      <c r="AG378" s="21">
        <v>1.75308</v>
      </c>
      <c r="AH378" s="21">
        <v>527.25199999999995</v>
      </c>
      <c r="AI378" s="21">
        <v>2.4023400000000002E-3</v>
      </c>
      <c r="AJ378" s="21">
        <v>368</v>
      </c>
      <c r="AK378" s="21">
        <v>1.7523200000000001</v>
      </c>
      <c r="AL378">
        <f t="shared" si="66"/>
        <v>-2.4023400000000001</v>
      </c>
      <c r="AM378">
        <f t="shared" si="67"/>
        <v>-4.2114942072000003</v>
      </c>
      <c r="AP378" s="9"/>
      <c r="AQ378" s="21">
        <v>-5.3100599999999998E-2</v>
      </c>
      <c r="AR378" s="21">
        <v>683.94100000000003</v>
      </c>
      <c r="AS378" s="21">
        <v>-1.34155E-2</v>
      </c>
      <c r="AT378" s="21">
        <v>368</v>
      </c>
      <c r="AU378" s="21">
        <v>-5.2856399999999998E-2</v>
      </c>
      <c r="AV378">
        <f t="shared" si="68"/>
        <v>13.4155</v>
      </c>
      <c r="AW378">
        <f t="shared" si="69"/>
        <v>-0.71237109929999998</v>
      </c>
      <c r="AX378" s="9"/>
      <c r="AY378" s="21">
        <v>1.75308</v>
      </c>
      <c r="AZ378" s="21">
        <v>774.03599999999994</v>
      </c>
      <c r="BA378" s="21">
        <v>4.1845700000000001E-4</v>
      </c>
      <c r="BB378" s="21">
        <v>368</v>
      </c>
      <c r="BC378" s="21">
        <v>1.7520100000000001</v>
      </c>
      <c r="BD378">
        <f t="shared" si="70"/>
        <v>-0.41845700000000002</v>
      </c>
      <c r="BE378">
        <f t="shared" si="71"/>
        <v>-0.73358859756000006</v>
      </c>
    </row>
    <row r="379" spans="6:57" x14ac:dyDescent="0.25">
      <c r="F379" s="9"/>
      <c r="G379" s="21">
        <v>-5.8136E-2</v>
      </c>
      <c r="H379" s="21">
        <v>180.52600000000001</v>
      </c>
      <c r="I379" s="21">
        <v>-1.32538E-2</v>
      </c>
      <c r="J379" s="21">
        <v>369</v>
      </c>
      <c r="K379" s="21">
        <v>-5.7952900000000002E-2</v>
      </c>
      <c r="L379">
        <f t="shared" si="60"/>
        <v>13.2538</v>
      </c>
      <c r="M379">
        <f t="shared" si="61"/>
        <v>-0.77052291679999996</v>
      </c>
      <c r="N379" s="9"/>
      <c r="O379" s="21">
        <v>1.7581199999999999</v>
      </c>
      <c r="P379" s="21">
        <v>264.51</v>
      </c>
      <c r="Q379" s="21">
        <v>4.7241200000000001E-3</v>
      </c>
      <c r="R379" s="21">
        <v>369</v>
      </c>
      <c r="S379" s="21">
        <v>1.7578100000000001</v>
      </c>
      <c r="T379">
        <f t="shared" si="62"/>
        <v>-4.7241200000000001</v>
      </c>
      <c r="U379">
        <f t="shared" si="63"/>
        <v>-8.3055698543999998</v>
      </c>
      <c r="X379" s="9"/>
      <c r="Y379" s="21">
        <v>-5.8136E-2</v>
      </c>
      <c r="Z379" s="21">
        <v>470.678</v>
      </c>
      <c r="AA379" s="21">
        <v>-1.31561E-2</v>
      </c>
      <c r="AB379" s="21">
        <v>369</v>
      </c>
      <c r="AC379" s="21">
        <v>-5.78918E-2</v>
      </c>
      <c r="AD379">
        <f t="shared" si="64"/>
        <v>13.1561</v>
      </c>
      <c r="AE379">
        <f t="shared" si="65"/>
        <v>-0.76484302960000006</v>
      </c>
      <c r="AF379" s="9"/>
      <c r="AG379" s="21">
        <v>1.7581199999999999</v>
      </c>
      <c r="AH379" s="21">
        <v>527.35299999999995</v>
      </c>
      <c r="AI379" s="21">
        <v>4.5178199999999996E-3</v>
      </c>
      <c r="AJ379" s="21">
        <v>369</v>
      </c>
      <c r="AK379" s="21">
        <v>1.7578100000000001</v>
      </c>
      <c r="AL379">
        <f t="shared" si="66"/>
        <v>-4.5178199999999995</v>
      </c>
      <c r="AM379">
        <f t="shared" si="67"/>
        <v>-7.9428696983999991</v>
      </c>
      <c r="AP379" s="9"/>
      <c r="AQ379" s="21">
        <v>-5.8136E-2</v>
      </c>
      <c r="AR379" s="21">
        <v>684.04100000000005</v>
      </c>
      <c r="AS379" s="21">
        <v>-1.3458299999999999E-2</v>
      </c>
      <c r="AT379" s="21">
        <v>369</v>
      </c>
      <c r="AU379" s="21">
        <v>-5.7922399999999999E-2</v>
      </c>
      <c r="AV379">
        <f t="shared" si="68"/>
        <v>13.458299999999999</v>
      </c>
      <c r="AW379">
        <f t="shared" si="69"/>
        <v>-0.78241172879999998</v>
      </c>
      <c r="AX379" s="9"/>
      <c r="AY379" s="21">
        <v>1.7581199999999999</v>
      </c>
      <c r="AZ379" s="21">
        <v>774.13699999999994</v>
      </c>
      <c r="BA379" s="21">
        <v>1.59241E-3</v>
      </c>
      <c r="BB379" s="21">
        <v>369</v>
      </c>
      <c r="BC379" s="21">
        <v>1.7581199999999999</v>
      </c>
      <c r="BD379">
        <f t="shared" si="70"/>
        <v>-1.5924100000000001</v>
      </c>
      <c r="BE379">
        <f t="shared" si="71"/>
        <v>-2.7996478692000002</v>
      </c>
    </row>
    <row r="380" spans="6:57" x14ac:dyDescent="0.25">
      <c r="F380" s="9"/>
      <c r="G380" s="21">
        <v>-6.3171400000000003E-2</v>
      </c>
      <c r="H380" s="21">
        <v>180.626</v>
      </c>
      <c r="I380" s="21">
        <v>-1.3290400000000001E-2</v>
      </c>
      <c r="J380" s="21">
        <v>370</v>
      </c>
      <c r="K380" s="21">
        <v>-6.28967E-2</v>
      </c>
      <c r="L380">
        <f t="shared" si="60"/>
        <v>13.2904</v>
      </c>
      <c r="M380">
        <f t="shared" si="61"/>
        <v>-0.83957317456000002</v>
      </c>
      <c r="N380" s="9"/>
      <c r="O380" s="21">
        <v>1.76315</v>
      </c>
      <c r="P380" s="21">
        <v>264.61099999999999</v>
      </c>
      <c r="Q380" s="21">
        <v>6.2133800000000001E-3</v>
      </c>
      <c r="R380" s="21">
        <v>370</v>
      </c>
      <c r="S380" s="21">
        <v>1.7623899999999999</v>
      </c>
      <c r="T380">
        <f t="shared" si="62"/>
        <v>-6.2133799999999999</v>
      </c>
      <c r="U380">
        <f t="shared" si="63"/>
        <v>-10.955120946999999</v>
      </c>
      <c r="X380" s="9"/>
      <c r="Y380" s="21">
        <v>-6.3171400000000003E-2</v>
      </c>
      <c r="Z380" s="21">
        <v>470.77800000000002</v>
      </c>
      <c r="AA380" s="21">
        <v>-1.3201900000000001E-2</v>
      </c>
      <c r="AB380" s="21">
        <v>370</v>
      </c>
      <c r="AC380" s="21">
        <v>-6.2927200000000003E-2</v>
      </c>
      <c r="AD380">
        <f t="shared" si="64"/>
        <v>13.2019</v>
      </c>
      <c r="AE380">
        <f t="shared" si="65"/>
        <v>-0.8339825056600001</v>
      </c>
      <c r="AF380" s="9"/>
      <c r="AG380" s="21">
        <v>1.76315</v>
      </c>
      <c r="AH380" s="21">
        <v>527.45299999999997</v>
      </c>
      <c r="AI380" s="21">
        <v>6.5551799999999999E-3</v>
      </c>
      <c r="AJ380" s="21">
        <v>370</v>
      </c>
      <c r="AK380" s="21">
        <v>1.7623899999999999</v>
      </c>
      <c r="AL380">
        <f t="shared" si="66"/>
        <v>-6.55518</v>
      </c>
      <c r="AM380">
        <f t="shared" si="67"/>
        <v>-11.557765616999999</v>
      </c>
      <c r="AP380" s="9"/>
      <c r="AQ380" s="21">
        <v>-6.3171400000000003E-2</v>
      </c>
      <c r="AR380" s="21">
        <v>684.14200000000005</v>
      </c>
      <c r="AS380" s="21">
        <v>-1.3494900000000001E-2</v>
      </c>
      <c r="AT380" s="21">
        <v>370</v>
      </c>
      <c r="AU380" s="21">
        <v>-6.2927200000000003E-2</v>
      </c>
      <c r="AV380">
        <f t="shared" si="68"/>
        <v>13.494900000000001</v>
      </c>
      <c r="AW380">
        <f t="shared" si="69"/>
        <v>-0.8524917258600001</v>
      </c>
      <c r="AX380" s="9"/>
      <c r="AY380" s="21">
        <v>1.76315</v>
      </c>
      <c r="AZ380" s="21">
        <v>774.23800000000006</v>
      </c>
      <c r="BA380" s="21">
        <v>2.7063E-3</v>
      </c>
      <c r="BB380" s="21">
        <v>370</v>
      </c>
      <c r="BC380" s="21">
        <v>1.7620800000000001</v>
      </c>
      <c r="BD380">
        <f t="shared" si="70"/>
        <v>-2.7063000000000001</v>
      </c>
      <c r="BE380">
        <f t="shared" si="71"/>
        <v>-4.7716128449999999</v>
      </c>
    </row>
    <row r="381" spans="6:57" x14ac:dyDescent="0.25">
      <c r="F381" s="9"/>
      <c r="G381" s="21">
        <v>-6.8206799999999998E-2</v>
      </c>
      <c r="H381" s="21">
        <v>180.727</v>
      </c>
      <c r="I381" s="21">
        <v>-1.3324000000000001E-2</v>
      </c>
      <c r="J381" s="21">
        <v>371</v>
      </c>
      <c r="K381" s="21">
        <v>-6.7901600000000006E-2</v>
      </c>
      <c r="L381">
        <f t="shared" si="60"/>
        <v>13.324000000000002</v>
      </c>
      <c r="M381">
        <f t="shared" si="61"/>
        <v>-0.90878740320000007</v>
      </c>
      <c r="N381" s="9"/>
      <c r="O381" s="21">
        <v>1.7681899999999999</v>
      </c>
      <c r="P381" s="21">
        <v>264.71199999999999</v>
      </c>
      <c r="Q381" s="21">
        <v>7.6232899999999996E-3</v>
      </c>
      <c r="R381" s="21">
        <v>371</v>
      </c>
      <c r="S381" s="21">
        <v>1.7672699999999999</v>
      </c>
      <c r="T381">
        <f t="shared" si="62"/>
        <v>-7.6232899999999999</v>
      </c>
      <c r="U381">
        <f t="shared" si="63"/>
        <v>-13.479425145099999</v>
      </c>
      <c r="X381" s="9"/>
      <c r="Y381" s="21">
        <v>-6.8206799999999998E-2</v>
      </c>
      <c r="Z381" s="21">
        <v>470.87900000000002</v>
      </c>
      <c r="AA381" s="21">
        <v>-1.3266E-2</v>
      </c>
      <c r="AB381" s="21">
        <v>371</v>
      </c>
      <c r="AC381" s="21">
        <v>-6.7962599999999998E-2</v>
      </c>
      <c r="AD381">
        <f t="shared" si="64"/>
        <v>13.266</v>
      </c>
      <c r="AE381">
        <f t="shared" si="65"/>
        <v>-0.90483140880000001</v>
      </c>
      <c r="AF381" s="9"/>
      <c r="AG381" s="21">
        <v>1.7681899999999999</v>
      </c>
      <c r="AH381" s="21">
        <v>527.55399999999997</v>
      </c>
      <c r="AI381" s="21">
        <v>8.5693399999999999E-3</v>
      </c>
      <c r="AJ381" s="21">
        <v>371</v>
      </c>
      <c r="AK381" s="21">
        <v>1.7663599999999999</v>
      </c>
      <c r="AL381">
        <f t="shared" si="66"/>
        <v>-8.5693400000000004</v>
      </c>
      <c r="AM381">
        <f t="shared" si="67"/>
        <v>-15.1522212946</v>
      </c>
      <c r="AP381" s="9"/>
      <c r="AQ381" s="21">
        <v>-6.8206799999999998E-2</v>
      </c>
      <c r="AR381" s="21">
        <v>684.24300000000005</v>
      </c>
      <c r="AS381" s="21">
        <v>-1.35315E-2</v>
      </c>
      <c r="AT381" s="21">
        <v>371</v>
      </c>
      <c r="AU381" s="21">
        <v>-6.7901600000000006E-2</v>
      </c>
      <c r="AV381">
        <f t="shared" si="68"/>
        <v>13.531499999999999</v>
      </c>
      <c r="AW381">
        <f t="shared" si="69"/>
        <v>-0.92294031419999989</v>
      </c>
      <c r="AX381" s="9"/>
      <c r="AY381" s="21">
        <v>1.7681899999999999</v>
      </c>
      <c r="AZ381" s="21">
        <v>774.33799999999997</v>
      </c>
      <c r="BA381" s="21">
        <v>3.7884500000000001E-3</v>
      </c>
      <c r="BB381" s="21">
        <v>371</v>
      </c>
      <c r="BC381" s="21">
        <v>1.7675799999999999</v>
      </c>
      <c r="BD381">
        <f t="shared" si="70"/>
        <v>-3.7884500000000001</v>
      </c>
      <c r="BE381">
        <f t="shared" si="71"/>
        <v>-6.6986994055000002</v>
      </c>
    </row>
    <row r="382" spans="6:57" x14ac:dyDescent="0.25">
      <c r="F382" s="9"/>
      <c r="G382" s="21">
        <v>-7.3242199999999993E-2</v>
      </c>
      <c r="H382" s="21">
        <v>180.828</v>
      </c>
      <c r="I382" s="21">
        <v>-1.33484E-2</v>
      </c>
      <c r="J382" s="21">
        <v>372</v>
      </c>
      <c r="K382" s="21">
        <v>-7.2845499999999994E-2</v>
      </c>
      <c r="L382">
        <f t="shared" si="60"/>
        <v>13.3484</v>
      </c>
      <c r="M382">
        <f t="shared" si="61"/>
        <v>-0.97766618247999992</v>
      </c>
      <c r="N382" s="9"/>
      <c r="O382" s="21">
        <v>1.77322</v>
      </c>
      <c r="P382" s="21">
        <v>264.81200000000001</v>
      </c>
      <c r="Q382" s="21">
        <v>9.2895500000000006E-3</v>
      </c>
      <c r="R382" s="21">
        <v>372</v>
      </c>
      <c r="S382" s="21">
        <v>1.77277</v>
      </c>
      <c r="T382">
        <f t="shared" si="62"/>
        <v>-9.2895500000000002</v>
      </c>
      <c r="U382">
        <f t="shared" si="63"/>
        <v>-16.472415851000001</v>
      </c>
      <c r="X382" s="9"/>
      <c r="Y382" s="21">
        <v>-7.3242199999999993E-2</v>
      </c>
      <c r="Z382" s="21">
        <v>470.98</v>
      </c>
      <c r="AA382" s="21">
        <v>-1.32874E-2</v>
      </c>
      <c r="AB382" s="21">
        <v>372</v>
      </c>
      <c r="AC382" s="21">
        <v>-7.2875999999999996E-2</v>
      </c>
      <c r="AD382">
        <f t="shared" si="64"/>
        <v>13.2874</v>
      </c>
      <c r="AE382">
        <f t="shared" si="65"/>
        <v>-0.97319840827999993</v>
      </c>
      <c r="AF382" s="9"/>
      <c r="AG382" s="21">
        <v>1.77322</v>
      </c>
      <c r="AH382" s="21">
        <v>527.65499999999997</v>
      </c>
      <c r="AI382" s="21">
        <v>1.05743E-2</v>
      </c>
      <c r="AJ382" s="21">
        <v>372</v>
      </c>
      <c r="AK382" s="21">
        <v>1.7724599999999999</v>
      </c>
      <c r="AL382">
        <f t="shared" si="66"/>
        <v>-10.574299999999999</v>
      </c>
      <c r="AM382">
        <f t="shared" si="67"/>
        <v>-18.750560245999999</v>
      </c>
      <c r="AP382" s="9"/>
      <c r="AQ382" s="21">
        <v>-7.3242199999999993E-2</v>
      </c>
      <c r="AR382" s="21">
        <v>684.34400000000005</v>
      </c>
      <c r="AS382" s="21">
        <v>-1.3555899999999999E-2</v>
      </c>
      <c r="AT382" s="21">
        <v>372</v>
      </c>
      <c r="AU382" s="21">
        <v>-7.2937000000000002E-2</v>
      </c>
      <c r="AV382">
        <f t="shared" si="68"/>
        <v>13.555899999999999</v>
      </c>
      <c r="AW382">
        <f t="shared" si="69"/>
        <v>-0.99286393897999992</v>
      </c>
      <c r="AX382" s="9"/>
      <c r="AY382" s="21">
        <v>1.77322</v>
      </c>
      <c r="AZ382" s="21">
        <v>774.43899999999996</v>
      </c>
      <c r="BA382" s="21">
        <v>4.8077399999999996E-3</v>
      </c>
      <c r="BB382" s="21">
        <v>372</v>
      </c>
      <c r="BC382" s="21">
        <v>1.7724599999999999</v>
      </c>
      <c r="BD382">
        <f t="shared" si="70"/>
        <v>-4.8077399999999999</v>
      </c>
      <c r="BE382">
        <f t="shared" si="71"/>
        <v>-8.5251807228000001</v>
      </c>
    </row>
    <row r="383" spans="6:57" x14ac:dyDescent="0.25">
      <c r="F383" s="9"/>
      <c r="G383" s="21">
        <v>-7.8277600000000003E-2</v>
      </c>
      <c r="H383" s="21">
        <v>180.929</v>
      </c>
      <c r="I383" s="21">
        <v>-1.33636E-2</v>
      </c>
      <c r="J383" s="21">
        <v>373</v>
      </c>
      <c r="K383" s="21">
        <v>-7.7880900000000003E-2</v>
      </c>
      <c r="L383">
        <f t="shared" si="60"/>
        <v>13.3636</v>
      </c>
      <c r="M383">
        <f t="shared" si="61"/>
        <v>-1.0460705353599999</v>
      </c>
      <c r="N383" s="9"/>
      <c r="O383" s="21">
        <v>1.77826</v>
      </c>
      <c r="P383" s="21">
        <v>264.91300000000001</v>
      </c>
      <c r="Q383" s="21">
        <v>1.1151100000000001E-2</v>
      </c>
      <c r="R383" s="21">
        <v>373</v>
      </c>
      <c r="S383" s="21">
        <v>1.7773399999999999</v>
      </c>
      <c r="T383">
        <f t="shared" si="62"/>
        <v>-11.151100000000001</v>
      </c>
      <c r="U383">
        <f t="shared" si="63"/>
        <v>-19.829555086000003</v>
      </c>
      <c r="X383" s="9"/>
      <c r="Y383" s="21">
        <v>-7.8277600000000003E-2</v>
      </c>
      <c r="Z383" s="21">
        <v>471.08100000000002</v>
      </c>
      <c r="AA383" s="21">
        <v>-1.33087E-2</v>
      </c>
      <c r="AB383" s="21">
        <v>373</v>
      </c>
      <c r="AC383" s="21">
        <v>-7.7819799999999995E-2</v>
      </c>
      <c r="AD383">
        <f t="shared" si="64"/>
        <v>13.3087</v>
      </c>
      <c r="AE383">
        <f t="shared" si="65"/>
        <v>-1.0417730951199999</v>
      </c>
      <c r="AF383" s="9"/>
      <c r="AG383" s="21">
        <v>1.77826</v>
      </c>
      <c r="AH383" s="21">
        <v>527.75599999999997</v>
      </c>
      <c r="AI383" s="21">
        <v>1.2500000000000001E-2</v>
      </c>
      <c r="AJ383" s="21">
        <v>373</v>
      </c>
      <c r="AK383" s="21">
        <v>1.7779499999999999</v>
      </c>
      <c r="AL383">
        <f t="shared" si="66"/>
        <v>-12.5</v>
      </c>
      <c r="AM383">
        <f t="shared" si="67"/>
        <v>-22.228249999999999</v>
      </c>
      <c r="AP383" s="9"/>
      <c r="AQ383" s="21">
        <v>-7.8277600000000003E-2</v>
      </c>
      <c r="AR383" s="21">
        <v>684.44399999999996</v>
      </c>
      <c r="AS383" s="21">
        <v>-1.35681E-2</v>
      </c>
      <c r="AT383" s="21">
        <v>373</v>
      </c>
      <c r="AU383" s="21">
        <v>-7.7911400000000006E-2</v>
      </c>
      <c r="AV383">
        <f t="shared" si="68"/>
        <v>13.568099999999999</v>
      </c>
      <c r="AW383">
        <f t="shared" si="69"/>
        <v>-1.06207830456</v>
      </c>
      <c r="AX383" s="9"/>
      <c r="AY383" s="21">
        <v>1.77826</v>
      </c>
      <c r="AZ383" s="21">
        <v>774.54</v>
      </c>
      <c r="BA383" s="21">
        <v>5.7769800000000001E-3</v>
      </c>
      <c r="BB383" s="21">
        <v>373</v>
      </c>
      <c r="BC383" s="21">
        <v>1.77887</v>
      </c>
      <c r="BD383">
        <f t="shared" si="70"/>
        <v>-5.77698</v>
      </c>
      <c r="BE383">
        <f t="shared" si="71"/>
        <v>-10.2729724548</v>
      </c>
    </row>
    <row r="384" spans="6:57" x14ac:dyDescent="0.25">
      <c r="F384" s="9"/>
      <c r="G384" s="21">
        <v>-8.3312999999999998E-2</v>
      </c>
      <c r="H384" s="21">
        <v>181.029</v>
      </c>
      <c r="I384" s="21">
        <v>-1.33575E-2</v>
      </c>
      <c r="J384" s="21">
        <v>374</v>
      </c>
      <c r="K384" s="21">
        <v>-8.2916299999999998E-2</v>
      </c>
      <c r="L384">
        <f t="shared" si="60"/>
        <v>13.3575</v>
      </c>
      <c r="M384">
        <f t="shared" si="61"/>
        <v>-1.1128533974999999</v>
      </c>
      <c r="N384" s="9"/>
      <c r="O384" s="21">
        <v>1.78329</v>
      </c>
      <c r="P384" s="21">
        <v>265.01400000000001</v>
      </c>
      <c r="Q384" s="21">
        <v>1.30463E-2</v>
      </c>
      <c r="R384" s="21">
        <v>374</v>
      </c>
      <c r="S384" s="21">
        <v>1.7831399999999999</v>
      </c>
      <c r="T384">
        <f t="shared" si="62"/>
        <v>-13.0463</v>
      </c>
      <c r="U384">
        <f t="shared" si="63"/>
        <v>-23.265336327</v>
      </c>
      <c r="X384" s="9"/>
      <c r="Y384" s="21">
        <v>-8.3312999999999998E-2</v>
      </c>
      <c r="Z384" s="21">
        <v>471.18099999999998</v>
      </c>
      <c r="AA384" s="21">
        <v>-1.32996E-2</v>
      </c>
      <c r="AB384" s="21">
        <v>374</v>
      </c>
      <c r="AC384" s="21">
        <v>-8.2855200000000004E-2</v>
      </c>
      <c r="AD384">
        <f t="shared" si="64"/>
        <v>13.2996</v>
      </c>
      <c r="AE384">
        <f t="shared" si="65"/>
        <v>-1.1080295748</v>
      </c>
      <c r="AF384" s="9"/>
      <c r="AG384" s="21">
        <v>1.78329</v>
      </c>
      <c r="AH384" s="21">
        <v>527.85599999999999</v>
      </c>
      <c r="AI384" s="21">
        <v>1.4291399999999999E-2</v>
      </c>
      <c r="AJ384" s="21">
        <v>374</v>
      </c>
      <c r="AK384" s="21">
        <v>1.7825299999999999</v>
      </c>
      <c r="AL384">
        <f t="shared" si="66"/>
        <v>-14.291399999999999</v>
      </c>
      <c r="AM384">
        <f t="shared" si="67"/>
        <v>-25.485710705999999</v>
      </c>
      <c r="AP384" s="9"/>
      <c r="AQ384" s="21">
        <v>-8.3312999999999998E-2</v>
      </c>
      <c r="AR384" s="21">
        <v>684.54499999999996</v>
      </c>
      <c r="AS384" s="21">
        <v>-1.35712E-2</v>
      </c>
      <c r="AT384" s="21">
        <v>374</v>
      </c>
      <c r="AU384" s="21">
        <v>-8.2885700000000007E-2</v>
      </c>
      <c r="AV384">
        <f t="shared" si="68"/>
        <v>13.571200000000001</v>
      </c>
      <c r="AW384">
        <f t="shared" si="69"/>
        <v>-1.1306573856</v>
      </c>
      <c r="AX384" s="9"/>
      <c r="AY384" s="21">
        <v>1.78329</v>
      </c>
      <c r="AZ384" s="21">
        <v>774.64</v>
      </c>
      <c r="BA384" s="21">
        <v>6.5551799999999999E-3</v>
      </c>
      <c r="BB384" s="21">
        <v>374</v>
      </c>
      <c r="BC384" s="21">
        <v>1.7825299999999999</v>
      </c>
      <c r="BD384">
        <f t="shared" si="70"/>
        <v>-6.55518</v>
      </c>
      <c r="BE384">
        <f t="shared" si="71"/>
        <v>-11.6897869422</v>
      </c>
    </row>
    <row r="385" spans="6:57" x14ac:dyDescent="0.25">
      <c r="F385" s="9"/>
      <c r="G385" s="21">
        <v>-8.8348399999999994E-2</v>
      </c>
      <c r="H385" s="21">
        <v>181.13</v>
      </c>
      <c r="I385" s="21">
        <v>-1.3345299999999999E-2</v>
      </c>
      <c r="J385" s="21">
        <v>375</v>
      </c>
      <c r="K385" s="21">
        <v>-8.7890599999999999E-2</v>
      </c>
      <c r="L385">
        <f t="shared" si="60"/>
        <v>13.3453</v>
      </c>
      <c r="M385">
        <f t="shared" si="61"/>
        <v>-1.1790359025199999</v>
      </c>
      <c r="N385" s="9"/>
      <c r="O385" s="21">
        <v>1.78833</v>
      </c>
      <c r="P385" s="21">
        <v>265.11399999999998</v>
      </c>
      <c r="Q385" s="21">
        <v>1.4892600000000001E-2</v>
      </c>
      <c r="R385" s="21">
        <v>375</v>
      </c>
      <c r="S385" s="21">
        <v>1.7874099999999999</v>
      </c>
      <c r="T385">
        <f t="shared" si="62"/>
        <v>-14.8926</v>
      </c>
      <c r="U385">
        <f t="shared" si="63"/>
        <v>-26.632883358000001</v>
      </c>
      <c r="X385" s="9"/>
      <c r="Y385" s="21">
        <v>-8.8348399999999994E-2</v>
      </c>
      <c r="Z385" s="21">
        <v>471.28199999999998</v>
      </c>
      <c r="AA385" s="21">
        <v>-1.3302599999999999E-2</v>
      </c>
      <c r="AB385" s="21">
        <v>375</v>
      </c>
      <c r="AC385" s="21">
        <v>-8.7799100000000005E-2</v>
      </c>
      <c r="AD385">
        <f t="shared" si="64"/>
        <v>13.3026</v>
      </c>
      <c r="AE385">
        <f t="shared" si="65"/>
        <v>-1.1752634258399999</v>
      </c>
      <c r="AF385" s="9"/>
      <c r="AG385" s="21">
        <v>1.78833</v>
      </c>
      <c r="AH385" s="21">
        <v>527.95699999999999</v>
      </c>
      <c r="AI385" s="21">
        <v>1.6271999999999998E-2</v>
      </c>
      <c r="AJ385" s="21">
        <v>375</v>
      </c>
      <c r="AK385" s="21">
        <v>1.78772</v>
      </c>
      <c r="AL385">
        <f t="shared" si="66"/>
        <v>-16.271999999999998</v>
      </c>
      <c r="AM385">
        <f t="shared" si="67"/>
        <v>-29.099705759999996</v>
      </c>
      <c r="AP385" s="9"/>
      <c r="AQ385" s="21">
        <v>-8.8348399999999994E-2</v>
      </c>
      <c r="AR385" s="21">
        <v>684.64599999999996</v>
      </c>
      <c r="AS385" s="21">
        <v>-1.35681E-2</v>
      </c>
      <c r="AT385" s="21">
        <v>375</v>
      </c>
      <c r="AU385" s="21">
        <v>-8.7737999999999997E-2</v>
      </c>
      <c r="AV385">
        <f t="shared" si="68"/>
        <v>13.568099999999999</v>
      </c>
      <c r="AW385">
        <f t="shared" si="69"/>
        <v>-1.1987199260399999</v>
      </c>
      <c r="AX385" s="9"/>
      <c r="AY385" s="21">
        <v>1.78833</v>
      </c>
      <c r="AZ385" s="21">
        <v>774.74099999999999</v>
      </c>
      <c r="BA385" s="21">
        <v>7.2082500000000002E-3</v>
      </c>
      <c r="BB385" s="21">
        <v>375</v>
      </c>
      <c r="BC385" s="21">
        <v>1.7874099999999999</v>
      </c>
      <c r="BD385">
        <f t="shared" si="70"/>
        <v>-7.2082500000000005</v>
      </c>
      <c r="BE385">
        <f t="shared" si="71"/>
        <v>-12.890729722500001</v>
      </c>
    </row>
    <row r="386" spans="6:57" x14ac:dyDescent="0.25">
      <c r="F386" s="9"/>
      <c r="G386" s="21">
        <v>-9.3383800000000003E-2</v>
      </c>
      <c r="H386" s="21">
        <v>181.23099999999999</v>
      </c>
      <c r="I386" s="21">
        <v>-1.3351399999999999E-2</v>
      </c>
      <c r="J386" s="21">
        <v>376</v>
      </c>
      <c r="K386" s="21">
        <v>-9.2803999999999998E-2</v>
      </c>
      <c r="L386">
        <f t="shared" si="60"/>
        <v>13.3514</v>
      </c>
      <c r="M386">
        <f t="shared" si="61"/>
        <v>-1.2468044673200001</v>
      </c>
      <c r="N386" s="9"/>
      <c r="O386" s="21">
        <v>1.7933699999999999</v>
      </c>
      <c r="P386" s="21">
        <v>265.21499999999997</v>
      </c>
      <c r="Q386" s="21">
        <v>1.6787699999999999E-2</v>
      </c>
      <c r="R386" s="21">
        <v>376</v>
      </c>
      <c r="S386" s="21">
        <v>1.79291</v>
      </c>
      <c r="T386">
        <f t="shared" si="62"/>
        <v>-16.787699999999997</v>
      </c>
      <c r="U386">
        <f t="shared" si="63"/>
        <v>-30.106557548999994</v>
      </c>
      <c r="X386" s="9"/>
      <c r="Y386" s="21">
        <v>-9.3383800000000003E-2</v>
      </c>
      <c r="Z386" s="21">
        <v>471.38299999999998</v>
      </c>
      <c r="AA386" s="21">
        <v>-1.3330099999999999E-2</v>
      </c>
      <c r="AB386" s="21">
        <v>376</v>
      </c>
      <c r="AC386" s="21">
        <v>-9.27124E-2</v>
      </c>
      <c r="AD386">
        <f t="shared" si="64"/>
        <v>13.3301</v>
      </c>
      <c r="AE386">
        <f t="shared" si="65"/>
        <v>-1.2448153923800001</v>
      </c>
      <c r="AF386" s="9"/>
      <c r="AG386" s="21">
        <v>1.7933699999999999</v>
      </c>
      <c r="AH386" s="21">
        <v>528.05799999999999</v>
      </c>
      <c r="AI386" s="21">
        <v>1.8368499999999999E-2</v>
      </c>
      <c r="AJ386" s="21">
        <v>376</v>
      </c>
      <c r="AK386" s="21">
        <v>1.79291</v>
      </c>
      <c r="AL386">
        <f t="shared" si="66"/>
        <v>-18.368500000000001</v>
      </c>
      <c r="AM386">
        <f t="shared" si="67"/>
        <v>-32.941516845000002</v>
      </c>
      <c r="AP386" s="9"/>
      <c r="AQ386" s="21">
        <v>-9.3383800000000003E-2</v>
      </c>
      <c r="AR386" s="21">
        <v>684.74599999999998</v>
      </c>
      <c r="AS386" s="21">
        <v>-1.35651E-2</v>
      </c>
      <c r="AT386" s="21">
        <v>376</v>
      </c>
      <c r="AU386" s="21">
        <v>-9.28345E-2</v>
      </c>
      <c r="AV386">
        <f t="shared" si="68"/>
        <v>13.565099999999999</v>
      </c>
      <c r="AW386">
        <f t="shared" si="69"/>
        <v>-1.2667605853799999</v>
      </c>
      <c r="AX386" s="9"/>
      <c r="AY386" s="21">
        <v>1.7933699999999999</v>
      </c>
      <c r="AZ386" s="21">
        <v>774.84199999999998</v>
      </c>
      <c r="BA386" s="21">
        <v>7.8979500000000008E-3</v>
      </c>
      <c r="BB386" s="21">
        <v>376</v>
      </c>
      <c r="BC386" s="21">
        <v>1.79352</v>
      </c>
      <c r="BD386">
        <f t="shared" si="70"/>
        <v>-7.8979500000000007</v>
      </c>
      <c r="BE386">
        <f t="shared" si="71"/>
        <v>-14.1639465915</v>
      </c>
    </row>
    <row r="387" spans="6:57" x14ac:dyDescent="0.25">
      <c r="F387" s="9"/>
      <c r="G387" s="21">
        <v>-9.8419199999999998E-2</v>
      </c>
      <c r="H387" s="21">
        <v>181.33099999999999</v>
      </c>
      <c r="I387" s="21">
        <v>-1.3351399999999999E-2</v>
      </c>
      <c r="J387" s="21">
        <v>377</v>
      </c>
      <c r="K387" s="21">
        <v>-9.7686800000000004E-2</v>
      </c>
      <c r="L387">
        <f t="shared" si="60"/>
        <v>13.3514</v>
      </c>
      <c r="M387">
        <f t="shared" si="61"/>
        <v>-1.3140341068799999</v>
      </c>
      <c r="N387" s="9"/>
      <c r="O387" s="21">
        <v>1.7984</v>
      </c>
      <c r="P387" s="21">
        <v>265.31599999999997</v>
      </c>
      <c r="Q387" s="21">
        <v>1.8606600000000001E-2</v>
      </c>
      <c r="R387" s="21">
        <v>377</v>
      </c>
      <c r="S387" s="21">
        <v>1.7981</v>
      </c>
      <c r="T387">
        <f t="shared" si="62"/>
        <v>-18.6066</v>
      </c>
      <c r="U387">
        <f t="shared" si="63"/>
        <v>-33.462109439999999</v>
      </c>
      <c r="X387" s="9"/>
      <c r="Y387" s="21">
        <v>-9.8419199999999998E-2</v>
      </c>
      <c r="Z387" s="21">
        <v>471.483</v>
      </c>
      <c r="AA387" s="21">
        <v>-1.3336199999999999E-2</v>
      </c>
      <c r="AB387" s="21">
        <v>377</v>
      </c>
      <c r="AC387" s="21">
        <v>-9.7625699999999996E-2</v>
      </c>
      <c r="AD387">
        <f t="shared" si="64"/>
        <v>13.3362</v>
      </c>
      <c r="AE387">
        <f t="shared" si="65"/>
        <v>-1.3125381350400001</v>
      </c>
      <c r="AF387" s="9"/>
      <c r="AG387" s="21">
        <v>1.7984</v>
      </c>
      <c r="AH387" s="21">
        <v>528.15800000000002</v>
      </c>
      <c r="AI387" s="21">
        <v>2.0513900000000002E-2</v>
      </c>
      <c r="AJ387" s="21">
        <v>377</v>
      </c>
      <c r="AK387" s="21">
        <v>1.7981</v>
      </c>
      <c r="AL387">
        <f t="shared" si="66"/>
        <v>-20.513900000000003</v>
      </c>
      <c r="AM387">
        <f t="shared" si="67"/>
        <v>-36.892197760000009</v>
      </c>
      <c r="AP387" s="9"/>
      <c r="AQ387" s="21">
        <v>-9.8419199999999998E-2</v>
      </c>
      <c r="AR387" s="21">
        <v>684.84699999999998</v>
      </c>
      <c r="AS387" s="21">
        <v>-1.35925E-2</v>
      </c>
      <c r="AT387" s="21">
        <v>377</v>
      </c>
      <c r="AU387" s="21">
        <v>-9.7747799999999996E-2</v>
      </c>
      <c r="AV387">
        <f t="shared" si="68"/>
        <v>13.592500000000001</v>
      </c>
      <c r="AW387">
        <f t="shared" si="69"/>
        <v>-1.337762976</v>
      </c>
      <c r="AX387" s="9"/>
      <c r="AY387" s="21">
        <v>1.7984</v>
      </c>
      <c r="AZ387" s="21">
        <v>774.94299999999998</v>
      </c>
      <c r="BA387" s="21">
        <v>8.5723899999999992E-3</v>
      </c>
      <c r="BB387" s="21">
        <v>377</v>
      </c>
      <c r="BC387" s="21">
        <v>1.7981</v>
      </c>
      <c r="BD387">
        <f t="shared" si="70"/>
        <v>-8.5723899999999986</v>
      </c>
      <c r="BE387">
        <f t="shared" si="71"/>
        <v>-15.416586175999997</v>
      </c>
    </row>
    <row r="388" spans="6:57" x14ac:dyDescent="0.25">
      <c r="F388" s="9"/>
      <c r="G388" s="21">
        <v>-0.10345500000000001</v>
      </c>
      <c r="H388" s="21">
        <v>181.43199999999999</v>
      </c>
      <c r="I388" s="21">
        <v>-1.33545E-2</v>
      </c>
      <c r="J388" s="21">
        <v>378</v>
      </c>
      <c r="K388" s="21">
        <v>-0.10256999999999999</v>
      </c>
      <c r="L388">
        <f t="shared" si="60"/>
        <v>13.3545</v>
      </c>
      <c r="M388">
        <f t="shared" si="61"/>
        <v>-1.3815897975</v>
      </c>
      <c r="N388" s="9"/>
      <c r="O388" s="21">
        <v>1.8034399999999999</v>
      </c>
      <c r="P388" s="21">
        <v>265.41699999999997</v>
      </c>
      <c r="Q388" s="21">
        <v>2.0419300000000001E-2</v>
      </c>
      <c r="R388" s="21">
        <v>378</v>
      </c>
      <c r="S388" s="21">
        <v>1.80267</v>
      </c>
      <c r="T388">
        <f t="shared" si="62"/>
        <v>-20.4193</v>
      </c>
      <c r="U388">
        <f t="shared" si="63"/>
        <v>-36.824982391999995</v>
      </c>
      <c r="X388" s="9"/>
      <c r="Y388" s="21">
        <v>-0.10345500000000001</v>
      </c>
      <c r="Z388" s="21">
        <v>471.584</v>
      </c>
      <c r="AA388" s="21">
        <v>-1.3330099999999999E-2</v>
      </c>
      <c r="AB388" s="21">
        <v>378</v>
      </c>
      <c r="AC388" s="21">
        <v>-0.102478</v>
      </c>
      <c r="AD388">
        <f t="shared" si="64"/>
        <v>13.3301</v>
      </c>
      <c r="AE388">
        <f t="shared" si="65"/>
        <v>-1.3790654955000001</v>
      </c>
      <c r="AF388" s="9"/>
      <c r="AG388" s="21">
        <v>1.8034399999999999</v>
      </c>
      <c r="AH388" s="21">
        <v>528.25900000000001</v>
      </c>
      <c r="AI388" s="21">
        <v>2.2775299999999998E-2</v>
      </c>
      <c r="AJ388" s="21">
        <v>378</v>
      </c>
      <c r="AK388" s="21">
        <v>1.80237</v>
      </c>
      <c r="AL388">
        <f t="shared" si="66"/>
        <v>-22.775299999999998</v>
      </c>
      <c r="AM388">
        <f t="shared" si="67"/>
        <v>-41.073887031999995</v>
      </c>
      <c r="AP388" s="9"/>
      <c r="AQ388" s="21">
        <v>-0.10345500000000001</v>
      </c>
      <c r="AR388" s="21">
        <v>684.94799999999998</v>
      </c>
      <c r="AS388" s="21">
        <v>-1.36017E-2</v>
      </c>
      <c r="AT388" s="21">
        <v>378</v>
      </c>
      <c r="AU388" s="21">
        <v>-0.10253900000000001</v>
      </c>
      <c r="AV388">
        <f t="shared" si="68"/>
        <v>13.601699999999999</v>
      </c>
      <c r="AW388">
        <f t="shared" si="69"/>
        <v>-1.4071638735000001</v>
      </c>
      <c r="AX388" s="9"/>
      <c r="AY388" s="21">
        <v>1.8034399999999999</v>
      </c>
      <c r="AZ388" s="21">
        <v>775.04300000000001</v>
      </c>
      <c r="BA388" s="21">
        <v>9.2132599999999992E-3</v>
      </c>
      <c r="BB388" s="21">
        <v>378</v>
      </c>
      <c r="BC388" s="21">
        <v>1.80267</v>
      </c>
      <c r="BD388">
        <f t="shared" si="70"/>
        <v>-9.21326</v>
      </c>
      <c r="BE388">
        <f t="shared" si="71"/>
        <v>-16.615561614400001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78"/>
  <sheetViews>
    <sheetView workbookViewId="0">
      <selection activeCell="AW10" sqref="AW1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4084.8524590140178</v>
      </c>
      <c r="H2" s="2"/>
      <c r="I2" s="6" t="s">
        <v>12</v>
      </c>
      <c r="J2" s="2"/>
      <c r="K2" s="7" t="s">
        <v>13</v>
      </c>
      <c r="L2" s="3">
        <f>L4*I6*L9/100*100</f>
        <v>25.379632962000002</v>
      </c>
      <c r="M2" s="8" t="s">
        <v>14</v>
      </c>
      <c r="N2" s="9"/>
      <c r="O2" s="2">
        <f>ABS(S7-S6)/ABS(T7-T6)*1000</f>
        <v>6516.0022580722352</v>
      </c>
      <c r="P2" s="2"/>
      <c r="Q2" s="6" t="s">
        <v>15</v>
      </c>
      <c r="R2" s="2"/>
      <c r="S2" s="7" t="s">
        <v>13</v>
      </c>
      <c r="T2" s="3">
        <f>T4*Q6*T9/100*100</f>
        <v>25.233019485000003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25.212424640000002</v>
      </c>
      <c r="AE2" s="8" t="s">
        <v>14</v>
      </c>
      <c r="AF2" s="9"/>
      <c r="AG2" s="2">
        <f>ABS(AK7-AK6)/ABS(AL7-AL6)*1000</f>
        <v>9759.7064516244627</v>
      </c>
      <c r="AH2" s="2"/>
      <c r="AI2" s="6" t="s">
        <v>15</v>
      </c>
      <c r="AJ2" s="2"/>
      <c r="AK2" s="7" t="s">
        <v>13</v>
      </c>
      <c r="AL2" s="3">
        <f>AL4*AI6*AL9/100*100</f>
        <v>25.155862133999996</v>
      </c>
      <c r="AM2" s="8" t="s">
        <v>14</v>
      </c>
      <c r="AP2" s="9"/>
      <c r="AQ2" s="2">
        <f>ABS(AU7-AU6)/ABS(AV7-AV6)*1000</f>
        <v>2460.9180327854542</v>
      </c>
      <c r="AR2" s="2"/>
      <c r="AS2" s="6" t="s">
        <v>12</v>
      </c>
      <c r="AT2" s="2"/>
      <c r="AU2" s="7" t="s">
        <v>13</v>
      </c>
      <c r="AV2" s="3">
        <f>AV4*AS6*AV9/100*100</f>
        <v>25.179752734000001</v>
      </c>
      <c r="AW2" s="8" t="s">
        <v>14</v>
      </c>
      <c r="AX2" s="9"/>
      <c r="AY2" s="2">
        <f>ABS(BC7-BC6)/ABS(BD7-BD6)*1000</f>
        <v>5039.4833333271745</v>
      </c>
      <c r="AZ2" s="2"/>
      <c r="BA2" s="6" t="s">
        <v>15</v>
      </c>
      <c r="BB2" s="2"/>
      <c r="BC2" s="7" t="s">
        <v>13</v>
      </c>
      <c r="BD2" s="3">
        <f>BD4*BA6*BD9/100*100</f>
        <v>25.08210678999999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1.69861</v>
      </c>
      <c r="J3" s="2"/>
      <c r="K3" s="10">
        <f>INDEX(L11:L1056,MATCH(I3,K11:K1056,0))</f>
        <v>-1.8322799999999999</v>
      </c>
      <c r="L3" s="26" t="s">
        <v>16</v>
      </c>
      <c r="M3" s="11">
        <f>M9</f>
        <v>25.379632962000002</v>
      </c>
      <c r="N3" s="9"/>
      <c r="O3" s="2" t="s">
        <v>44</v>
      </c>
      <c r="P3" s="2"/>
      <c r="Q3" s="2">
        <f>INDEX(S11:S1056,MATCH(0,T11:T1056,-1))</f>
        <v>1.6870099999999999</v>
      </c>
      <c r="R3" s="2"/>
      <c r="S3" s="10">
        <f>INDEX(T11:T1056,MATCH(Q3,S11:S1056,0))</f>
        <v>1.02844</v>
      </c>
      <c r="T3" s="26" t="s">
        <v>16</v>
      </c>
      <c r="U3" s="11">
        <f>U9</f>
        <v>25.233019485000003</v>
      </c>
      <c r="X3" s="9"/>
      <c r="Y3" s="2" t="s">
        <v>44</v>
      </c>
      <c r="Z3" s="2"/>
      <c r="AA3" s="2">
        <f>INDEX(AC11:AC856,MATCH(0,AD11:AD856,1))</f>
        <v>1.6989099999999999</v>
      </c>
      <c r="AB3" s="2"/>
      <c r="AC3" s="10">
        <f>INDEX(AD11:AD1056,MATCH(AA3,AC11:AC1056,0))</f>
        <v>-0.35974100000000003</v>
      </c>
      <c r="AD3" s="26" t="s">
        <v>16</v>
      </c>
      <c r="AE3" s="11">
        <f>AE9</f>
        <v>25.212424640000002</v>
      </c>
      <c r="AF3" s="9"/>
      <c r="AG3" s="2" t="s">
        <v>44</v>
      </c>
      <c r="AH3" s="2"/>
      <c r="AI3" s="2">
        <f>INDEX(AK11:AK1056,MATCH(0,AL11:AL1056,-1))</f>
        <v>1.6867099999999999</v>
      </c>
      <c r="AJ3" s="2"/>
      <c r="AK3" s="10">
        <f>INDEX(AL11:AL1056,MATCH(AI3,AK11:AK1056,0))</f>
        <v>0.94024699999999994</v>
      </c>
      <c r="AL3" s="26" t="s">
        <v>16</v>
      </c>
      <c r="AM3" s="11">
        <f>AM9</f>
        <v>25.155862133999999</v>
      </c>
      <c r="AP3" s="9"/>
      <c r="AQ3" s="2" t="s">
        <v>44</v>
      </c>
      <c r="AR3" s="2"/>
      <c r="AS3" s="2">
        <f>INDEX(AU11:AU856,MATCH(0,AV11:AV856,1))</f>
        <v>1.6989099999999999</v>
      </c>
      <c r="AT3" s="2"/>
      <c r="AU3" s="10">
        <f>INDEX(AV11:AV1056,MATCH(AS3,AU11:AU1056,0))</f>
        <v>-0.25176999999999999</v>
      </c>
      <c r="AV3" s="26" t="s">
        <v>16</v>
      </c>
      <c r="AW3" s="11">
        <f>AW9</f>
        <v>25.179752733999997</v>
      </c>
      <c r="AX3" s="9"/>
      <c r="AY3" s="2" t="s">
        <v>44</v>
      </c>
      <c r="AZ3" s="2"/>
      <c r="BA3" s="2">
        <f>INDEX(BC11:BC1056,MATCH(0,BD11:BD1056,-1))</f>
        <v>1.6915899999999999</v>
      </c>
      <c r="BB3" s="2"/>
      <c r="BC3" s="10">
        <f>INDEX(BD11:BD1056,MATCH(BA3,BC11:BC1056,0))</f>
        <v>0.115936</v>
      </c>
      <c r="BD3" s="26" t="s">
        <v>16</v>
      </c>
      <c r="BE3" s="11">
        <f>BE9</f>
        <v>25.082106789999994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1.865899200913371</v>
      </c>
      <c r="H4" s="2"/>
      <c r="I4" s="2">
        <f>INDEX(K11:K1000,1+MATCH(0,L11:L856,1))</f>
        <v>1.69373</v>
      </c>
      <c r="J4" s="2"/>
      <c r="K4" s="10">
        <f>INDEX(L11:L1056,MATCH(I4,K11:K1056,0))</f>
        <v>0.78308100000000003</v>
      </c>
      <c r="L4" s="25">
        <f>M3/(I6*L9)</f>
        <v>0.82340837855586768</v>
      </c>
      <c r="M4" s="8" t="s">
        <v>17</v>
      </c>
      <c r="N4" s="9"/>
      <c r="O4" s="2">
        <f>ABS(Q3-Q4)/ABS(S3-S4)*1000</f>
        <v>2.5446858303758288</v>
      </c>
      <c r="P4" s="2"/>
      <c r="Q4" s="2">
        <f>INDEX(S11:S856,1+MATCH(0,T11:T856,-1))</f>
        <v>1.6918899999999999</v>
      </c>
      <c r="R4" s="2"/>
      <c r="S4" s="10">
        <f>INDEX(T11:T856,MATCH(Q4,S11:S856,0))</f>
        <v>-0.88928200000000002</v>
      </c>
      <c r="T4" s="25">
        <f>U3/(Q6*T9)</f>
        <v>0.82661480072161619</v>
      </c>
      <c r="U4" s="8" t="s">
        <v>17</v>
      </c>
      <c r="X4" s="9"/>
      <c r="Y4" s="2">
        <f>ABS(AA3-AA4)/ABS(AC3-AC4)*1000</f>
        <v>2.9974232575741135</v>
      </c>
      <c r="Z4" s="2"/>
      <c r="AA4" s="2">
        <f>INDEX(AC11:AC1000,1+MATCH(0,AD11:AD856,1))</f>
        <v>1.69373</v>
      </c>
      <c r="AB4" s="2"/>
      <c r="AC4" s="10">
        <f>INDEX(AD11:AD1056,MATCH(AA4,AC11:AC1056,0))</f>
        <v>1.3684100000000001</v>
      </c>
      <c r="AD4" s="25">
        <f>AE3/(AA6*AD9)</f>
        <v>0.81780914443148722</v>
      </c>
      <c r="AE4" s="8" t="s">
        <v>17</v>
      </c>
      <c r="AF4" s="9"/>
      <c r="AG4" s="2">
        <f>ABS(AI3-AI4)/ABS(AK3-AK4)*1000</f>
        <v>3.0738537878126815</v>
      </c>
      <c r="AH4" s="2"/>
      <c r="AI4" s="2">
        <f>INDEX(AK11:AK856,1+MATCH(0,AL11:AL856,-1))</f>
        <v>1.6918899999999999</v>
      </c>
      <c r="AJ4" s="2"/>
      <c r="AK4" s="10">
        <f>INDEX(AL11:AL856,MATCH(AI4,AK11:AK856,0))</f>
        <v>-0.7449340000000001</v>
      </c>
      <c r="AL4" s="25">
        <f>AM3/(AI6*AL9)</f>
        <v>0.82480118576526107</v>
      </c>
      <c r="AM4" s="8" t="s">
        <v>17</v>
      </c>
      <c r="AP4" s="9"/>
      <c r="AQ4" s="2">
        <f>ABS(AS3-AS4)/ABS(AU3-AU4)*1000</f>
        <v>3.0744029248373548</v>
      </c>
      <c r="AR4" s="2"/>
      <c r="AS4" s="2">
        <f>INDEX(AU11:AU1000,1+MATCH(0,AV11:AV856,1))</f>
        <v>1.69373</v>
      </c>
      <c r="AT4" s="2"/>
      <c r="AU4" s="10">
        <f>INDEX(AV11:AV1056,MATCH(AS4,AU11:AU1056,0))</f>
        <v>1.4331100000000001</v>
      </c>
      <c r="AV4" s="25">
        <f>AW3/(AS6*AV9)</f>
        <v>0.81742617626167002</v>
      </c>
      <c r="AW4" s="8" t="s">
        <v>17</v>
      </c>
      <c r="AX4" s="9"/>
      <c r="AY4" s="2">
        <f>ABS(BA3-BA4)/ABS(BC3-BC4)*1000</f>
        <v>3.3898598116991505</v>
      </c>
      <c r="AZ4" s="2"/>
      <c r="BA4" s="2">
        <f>INDEX(BC11:BC856,1+MATCH(0,BD11:BD856,-1))</f>
        <v>1.6970799999999999</v>
      </c>
      <c r="BB4" s="2"/>
      <c r="BC4" s="10">
        <f>INDEX(BD11:BD856,MATCH(BA4,BC11:BC856,0))</f>
        <v>-1.5035999999999998</v>
      </c>
      <c r="BD4" s="25">
        <f>BE3/(BA6*BD9)</f>
        <v>0.82223866069650886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16.604600000000001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16.751100000000001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16.604600000000001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16.644300000000001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16.638199999999998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16.595499999999998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1.6951911502121504</v>
      </c>
      <c r="J6" s="25"/>
      <c r="K6" s="2">
        <f>INDEX(K11:K1056,MATCH(L6,L11:L1056,0))</f>
        <v>1.26923E-2</v>
      </c>
      <c r="L6" s="10">
        <f>INDEX(L11:L1056,MATCH(0,K11:K1056,-1))</f>
        <v>18.179299999999998</v>
      </c>
      <c r="M6" s="8" t="s">
        <v>22</v>
      </c>
      <c r="N6" s="9"/>
      <c r="O6" s="2"/>
      <c r="P6" s="2"/>
      <c r="Q6" s="27">
        <f>(Q3-Q4)/(S3-S4)*(-S4)+Q4</f>
        <v>1.6896270566953917</v>
      </c>
      <c r="R6" s="27"/>
      <c r="S6" s="2">
        <f>INDEX(S11:S1056,MATCH(T6,T11:T1056,0))</f>
        <v>-1.9232200000000001E-2</v>
      </c>
      <c r="T6" s="10">
        <f>INDEX(T11:T1056,MATCH(0,S11:S1056,1))</f>
        <v>18.069499999999998</v>
      </c>
      <c r="U6" s="8" t="s">
        <v>22</v>
      </c>
      <c r="X6" s="9"/>
      <c r="Y6" s="2"/>
      <c r="Z6" s="2"/>
      <c r="AA6" s="25">
        <f>(AA3-AA4)/(AC3-AC4)*(-AC4)+AA4</f>
        <v>1.6978317039598969</v>
      </c>
      <c r="AB6" s="25"/>
      <c r="AC6" s="2">
        <f>INDEX(AC11:AC1056,MATCH(AD6,AD11:AD1056,0))</f>
        <v>3.3111600000000001E-3</v>
      </c>
      <c r="AD6" s="10">
        <f>INDEX(AD11:AD1056,MATCH(0,AC11:AC1056,-1))</f>
        <v>18.158000000000001</v>
      </c>
      <c r="AE6" s="8" t="s">
        <v>22</v>
      </c>
      <c r="AF6" s="9"/>
      <c r="AG6" s="2"/>
      <c r="AH6" s="2"/>
      <c r="AI6" s="27">
        <f>(AI3-AI4)/(AK3-AK4)*(-AK4)+AI4</f>
        <v>1.6896001818024295</v>
      </c>
      <c r="AJ6" s="27"/>
      <c r="AK6" s="2">
        <f>INDEX(AK11:AK1056,MATCH(AL6,AL11:AL1056,0))</f>
        <v>-2.9318199999999999E-2</v>
      </c>
      <c r="AL6" s="10">
        <f>INDEX(AL11:AL1056,MATCH(0,AK11:AK1056,1))</f>
        <v>18.054199999999998</v>
      </c>
      <c r="AM6" s="8" t="s">
        <v>22</v>
      </c>
      <c r="AP6" s="9"/>
      <c r="AQ6" s="2"/>
      <c r="AR6" s="2"/>
      <c r="AS6" s="25">
        <f>(AS3-AS4)/(AU3-AU4)*(-AU4)+AS4</f>
        <v>1.6981359575756136</v>
      </c>
      <c r="AT6" s="25"/>
      <c r="AU6" s="2">
        <f>INDEX(AU11:AU1056,MATCH(AV6,AV11:AV1056,0))</f>
        <v>7.66602E-3</v>
      </c>
      <c r="AV6" s="10">
        <f>INDEX(AV11:AV1056,MATCH(0,AU11:AU1056,-1))</f>
        <v>18.136599999999998</v>
      </c>
      <c r="AW6" s="8" t="s">
        <v>22</v>
      </c>
      <c r="AX6" s="9"/>
      <c r="AY6" s="2"/>
      <c r="AZ6" s="2"/>
      <c r="BA6" s="27">
        <f>(BA3-BA4)/(BC3-BC4)*(-BC4)+BA4</f>
        <v>1.6919830067871291</v>
      </c>
      <c r="BB6" s="27"/>
      <c r="BC6" s="2">
        <f>INDEX(BC11:BC1056,MATCH(BD6,BD11:BD1056,0))</f>
        <v>-4.3487500000000002E-3</v>
      </c>
      <c r="BD6" s="10">
        <f>INDEX(BD11:BD1056,MATCH(0,BC11:BC1056,1))</f>
        <v>18.029799999999998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-1.22253E-2</v>
      </c>
      <c r="L7" s="10">
        <f>INDEX(L11:L856,1+MATCH(0,K11:K856,-1))</f>
        <v>18.185400000000001</v>
      </c>
      <c r="M7" s="12">
        <f>INDEX(K11:K1056,MATCH(M9,M11:M1056,0))</f>
        <v>1.5277099999999999</v>
      </c>
      <c r="N7" s="9"/>
      <c r="O7" s="2"/>
      <c r="P7" s="2"/>
      <c r="Q7" s="2"/>
      <c r="R7" s="2"/>
      <c r="S7" s="2">
        <f>INDEX(S11:S1056,MATCH(T7,T11:T1056,0))</f>
        <v>9.6740699999999999E-4</v>
      </c>
      <c r="T7" s="10">
        <f>INDEX(T11:T1056,1+MATCH(0,S11:S1056,1))</f>
        <v>18.066400000000002</v>
      </c>
      <c r="U7" s="12">
        <f>INDEX(S11:S1056,MATCH(U9,U11:U1056,0))</f>
        <v>1.50604</v>
      </c>
      <c r="X7" s="9"/>
      <c r="Y7" s="2"/>
      <c r="Z7" s="2"/>
      <c r="AA7" s="2"/>
      <c r="AB7" s="2"/>
      <c r="AC7" s="2">
        <f>INDEX(AC11:AC856,MATCH(AD7,AD11:AD856,1))</f>
        <v>-1.7822300000000001E-3</v>
      </c>
      <c r="AD7" s="10">
        <f>INDEX(AD11:AD856,1+MATCH(0,AC11:AC856,-1))</f>
        <v>18.158000000000001</v>
      </c>
      <c r="AE7" s="12">
        <f>INDEX(AC11:AC1056,MATCH(AE9,AE11:AE1056,0))</f>
        <v>1.5185500000000001</v>
      </c>
      <c r="AF7" s="9"/>
      <c r="AG7" s="2"/>
      <c r="AH7" s="2"/>
      <c r="AI7" s="2"/>
      <c r="AJ7" s="2"/>
      <c r="AK7" s="2">
        <f>INDEX(AK11:AK1056,MATCH(AL7,AL11:AL1056,0))</f>
        <v>9.3689000000000001E-4</v>
      </c>
      <c r="AL7" s="10">
        <f>INDEX(AL11:AL1056,1+MATCH(0,AK11:AK1056,1))</f>
        <v>18.051100000000002</v>
      </c>
      <c r="AM7" s="12">
        <f>INDEX(AK11:AK1056,MATCH(AM9,AM11:AM1056,0))</f>
        <v>1.5109300000000001</v>
      </c>
      <c r="AP7" s="9"/>
      <c r="AQ7" s="2"/>
      <c r="AR7" s="2"/>
      <c r="AS7" s="2"/>
      <c r="AT7" s="2"/>
      <c r="AU7" s="2">
        <f>INDEX(AU11:AU856,MATCH(AV7,AV11:AV856,1))</f>
        <v>-7.34558E-3</v>
      </c>
      <c r="AV7" s="10">
        <f>INDEX(AV11:AV856,1+MATCH(0,AU11:AU856,-1))</f>
        <v>18.142700000000001</v>
      </c>
      <c r="AW7" s="12">
        <f>INDEX(AU11:AU1056,MATCH(AW9,AW11:AW1056,0))</f>
        <v>1.5124500000000001</v>
      </c>
      <c r="AX7" s="9"/>
      <c r="AY7" s="2"/>
      <c r="AZ7" s="2"/>
      <c r="BA7" s="2"/>
      <c r="BB7" s="2"/>
      <c r="BC7" s="2">
        <f>INDEX(BC11:BC1056,MATCH(BD7,BD11:BD1056,0))</f>
        <v>-1.94672E-2</v>
      </c>
      <c r="BD7" s="10">
        <f>INDEX(BD11:BD1056,1+MATCH(0,BC11:BC1056,1))</f>
        <v>18.032800000000002</v>
      </c>
      <c r="BE7" s="12">
        <f>INDEX(BC11:BC1056,MATCH(BE9,BE11:BE1056,0))</f>
        <v>1.5106200000000001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0.57768162849131011</v>
      </c>
      <c r="J9" s="2"/>
      <c r="K9" s="2"/>
      <c r="L9" s="3">
        <f>(L6-L7)/(K6-K7)*(-K7)+L7</f>
        <v>18.182407162407294</v>
      </c>
      <c r="M9" s="15">
        <f>MAX(M11:M1056)</f>
        <v>25.379632962000002</v>
      </c>
      <c r="N9" s="9"/>
      <c r="O9" s="2"/>
      <c r="P9" s="2"/>
      <c r="Q9" s="2"/>
      <c r="R9" s="2"/>
      <c r="S9" s="2"/>
      <c r="T9" s="3">
        <f>(T6-T7)/(S6-S7)*(-S7)+T7</f>
        <v>18.066548466338975</v>
      </c>
      <c r="U9" s="15">
        <f>MAX(U11:U1056)</f>
        <v>25.233019485000003</v>
      </c>
      <c r="X9" s="9"/>
      <c r="Y9" s="2"/>
      <c r="Z9" s="2"/>
      <c r="AA9" s="14">
        <f>(MAX(AD2,AL2)-MIN(AD2,AL2))/MAX(AD2,AL2)%</f>
        <v>0.22434377814765336</v>
      </c>
      <c r="AB9" s="2"/>
      <c r="AC9" s="2"/>
      <c r="AD9" s="3">
        <f>(AD6-AD7)/(AC6-AC7)*(-AC7)+AD7</f>
        <v>18.158000000000001</v>
      </c>
      <c r="AE9" s="15">
        <f>MAX(AE11:AE1056)</f>
        <v>25.212424640000002</v>
      </c>
      <c r="AF9" s="9"/>
      <c r="AG9" s="2"/>
      <c r="AH9" s="2"/>
      <c r="AI9" s="2"/>
      <c r="AJ9" s="2"/>
      <c r="AK9" s="2"/>
      <c r="AL9" s="3">
        <f>(AL6-AL7)/(AK6-AK7)*(-AK7)+AL7</f>
        <v>18.051195995715101</v>
      </c>
      <c r="AM9" s="15">
        <f>MAX(AM11:AM1056)</f>
        <v>25.155862133999999</v>
      </c>
      <c r="AP9" s="9"/>
      <c r="AQ9" s="2"/>
      <c r="AR9" s="2"/>
      <c r="AS9" s="14">
        <f>(MAX(AV2,BD2)-MIN(AV2,BD2))/MAX(AV2,BD2)%</f>
        <v>0.38779548406033443</v>
      </c>
      <c r="AT9" s="2"/>
      <c r="AU9" s="2"/>
      <c r="AV9" s="3">
        <f>(AV6-AV7)/(AU6-AU7)*(-AU7)+AV7</f>
        <v>18.139715105784859</v>
      </c>
      <c r="AW9" s="15">
        <f>MAX(AW11:AW1056)</f>
        <v>25.179752733999997</v>
      </c>
      <c r="AX9" s="9"/>
      <c r="AY9" s="2"/>
      <c r="AZ9" s="2"/>
      <c r="BA9" s="2"/>
      <c r="BB9" s="2"/>
      <c r="BC9" s="2"/>
      <c r="BD9" s="3">
        <f>(BD6-BD7)/(BC6-BC7)*(-BC7)+BD7</f>
        <v>18.028937064315453</v>
      </c>
      <c r="BE9" s="15">
        <f>MAX(BE11:BE1056)</f>
        <v>25.082106789999994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1.6951911502121504</v>
      </c>
      <c r="B11" s="18">
        <f>IFERROR(L9,0)</f>
        <v>18.182407162407294</v>
      </c>
      <c r="C11" s="19">
        <f>IFERROR(L4,0)</f>
        <v>0.82340837855586768</v>
      </c>
      <c r="D11" s="20">
        <f>IFERROR(L2,0)</f>
        <v>25.379632962000002</v>
      </c>
      <c r="E11" s="20">
        <f>IFERROR(I9,0)</f>
        <v>0.57768162849131011</v>
      </c>
      <c r="F11" s="9"/>
      <c r="G11" s="21">
        <v>1.7450000000000001</v>
      </c>
      <c r="H11" s="21">
        <v>18.103899999999999</v>
      </c>
      <c r="I11" s="21">
        <v>2.6644899999999999E-2</v>
      </c>
      <c r="J11" s="21">
        <v>1</v>
      </c>
      <c r="K11" s="21">
        <v>1.7446900000000001</v>
      </c>
      <c r="L11">
        <f>-I11/$F$2*1000</f>
        <v>-26.6449</v>
      </c>
      <c r="M11">
        <f>L11*G11</f>
        <v>-46.495350500000001</v>
      </c>
      <c r="N11" s="9"/>
      <c r="O11" s="21">
        <v>-9.49097E-2</v>
      </c>
      <c r="P11" s="21">
        <v>89.864099999999993</v>
      </c>
      <c r="Q11" s="21">
        <v>-1.8087800000000001E-2</v>
      </c>
      <c r="R11" s="21">
        <v>1</v>
      </c>
      <c r="S11" s="21">
        <v>-9.5062300000000002E-2</v>
      </c>
      <c r="T11">
        <f>-Q11/$F$2*1000</f>
        <v>18.087800000000001</v>
      </c>
      <c r="U11">
        <f>T11*O11</f>
        <v>-1.71670767166</v>
      </c>
      <c r="V11" s="22"/>
      <c r="W11" s="23"/>
      <c r="X11" s="9"/>
      <c r="Y11" s="21">
        <v>1.7450000000000001</v>
      </c>
      <c r="Z11" s="21">
        <v>157.53899999999999</v>
      </c>
      <c r="AA11" s="21">
        <v>1.6687E-2</v>
      </c>
      <c r="AB11" s="21">
        <v>1</v>
      </c>
      <c r="AC11" s="21">
        <v>1.7446900000000001</v>
      </c>
      <c r="AD11">
        <f>-AA11/$F$2*1000</f>
        <v>-16.687000000000001</v>
      </c>
      <c r="AE11">
        <f>AD11*Y11</f>
        <v>-29.118815000000005</v>
      </c>
      <c r="AF11" s="9"/>
      <c r="AG11" s="21">
        <v>-9.49097E-2</v>
      </c>
      <c r="AH11" s="21">
        <v>224.084</v>
      </c>
      <c r="AI11" s="21">
        <v>-1.8072499999999998E-2</v>
      </c>
      <c r="AJ11" s="21">
        <v>1</v>
      </c>
      <c r="AK11" s="21">
        <v>-9.4726599999999994E-2</v>
      </c>
      <c r="AL11">
        <f>-AI11/$F$2*1000</f>
        <v>18.072499999999998</v>
      </c>
      <c r="AM11">
        <f>AL11*AG11</f>
        <v>-1.7152555532499998</v>
      </c>
      <c r="AP11" s="9"/>
      <c r="AQ11" s="21">
        <v>1.7450000000000001</v>
      </c>
      <c r="AR11" s="21">
        <v>281.78899999999999</v>
      </c>
      <c r="AS11" s="21">
        <v>1.60339E-2</v>
      </c>
      <c r="AT11" s="21">
        <v>1</v>
      </c>
      <c r="AU11" s="21">
        <v>1.7440800000000001</v>
      </c>
      <c r="AV11">
        <f>-AS11/$F$2*1000</f>
        <v>-16.033899999999999</v>
      </c>
      <c r="AW11">
        <f>AV11*AQ11</f>
        <v>-27.979155500000001</v>
      </c>
      <c r="AX11" s="9"/>
      <c r="AY11" s="21">
        <v>-9.49097E-2</v>
      </c>
      <c r="AZ11" s="21">
        <v>352.21899999999999</v>
      </c>
      <c r="BA11" s="21">
        <v>-1.80511E-2</v>
      </c>
      <c r="BB11" s="21">
        <v>1</v>
      </c>
      <c r="BC11" s="21">
        <v>-9.4726599999999994E-2</v>
      </c>
      <c r="BD11">
        <f>-BA11/$F$2*1000</f>
        <v>18.051100000000002</v>
      </c>
      <c r="BE11">
        <f>BD11*AY11</f>
        <v>-1.7132244856700001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1.6896270566953917</v>
      </c>
      <c r="B12" s="18">
        <f>IFERROR(T9,0)</f>
        <v>18.066548466338975</v>
      </c>
      <c r="C12" s="19">
        <f>IFERROR(T4,0)</f>
        <v>0.82661480072161619</v>
      </c>
      <c r="D12" s="20">
        <f>IFERROR(T2,0)</f>
        <v>25.233019485000003</v>
      </c>
      <c r="E12" s="20"/>
      <c r="F12" s="9"/>
      <c r="G12" s="21">
        <v>1.73996</v>
      </c>
      <c r="H12" s="21">
        <v>18.204599999999999</v>
      </c>
      <c r="I12" s="21">
        <v>2.3938000000000001E-2</v>
      </c>
      <c r="J12" s="21">
        <v>2</v>
      </c>
      <c r="K12" s="21">
        <v>1.7395</v>
      </c>
      <c r="L12">
        <f t="shared" ref="L12:L75" si="0">-I12/$F$2*1000</f>
        <v>-23.938000000000002</v>
      </c>
      <c r="M12">
        <f t="shared" ref="M12:M75" si="1">L12*G12</f>
        <v>-41.651162480000004</v>
      </c>
      <c r="N12" s="9"/>
      <c r="O12" s="21">
        <v>-8.9874300000000004E-2</v>
      </c>
      <c r="P12" s="21">
        <v>89.964799999999997</v>
      </c>
      <c r="Q12" s="21">
        <v>-1.8081699999999999E-2</v>
      </c>
      <c r="R12" s="21">
        <v>2</v>
      </c>
      <c r="S12" s="21">
        <v>-9.0301500000000007E-2</v>
      </c>
      <c r="T12">
        <f t="shared" ref="T12:T75" si="2">-Q12/$F$2*1000</f>
        <v>18.081699999999998</v>
      </c>
      <c r="U12">
        <f t="shared" ref="U12:U75" si="3">T12*O12</f>
        <v>-1.62508013031</v>
      </c>
      <c r="V12" s="22"/>
      <c r="W12" s="23"/>
      <c r="X12" s="9"/>
      <c r="Y12" s="21">
        <v>1.73996</v>
      </c>
      <c r="Z12" s="21">
        <v>157.63999999999999</v>
      </c>
      <c r="AA12" s="21">
        <v>1.4892600000000001E-2</v>
      </c>
      <c r="AB12" s="21">
        <v>2</v>
      </c>
      <c r="AC12" s="21">
        <v>1.73889</v>
      </c>
      <c r="AD12">
        <f t="shared" ref="AD12:AD75" si="4">-AA12/$F$2*1000</f>
        <v>-14.8926</v>
      </c>
      <c r="AE12">
        <f t="shared" ref="AE12:AE75" si="5">AD12*Y12</f>
        <v>-25.912528295999998</v>
      </c>
      <c r="AF12" s="9"/>
      <c r="AG12" s="21">
        <v>-8.9874300000000004E-2</v>
      </c>
      <c r="AH12" s="21">
        <v>224.185</v>
      </c>
      <c r="AI12" s="21">
        <v>-1.80664E-2</v>
      </c>
      <c r="AJ12" s="21">
        <v>2</v>
      </c>
      <c r="AK12" s="21">
        <v>-9.0850799999999995E-2</v>
      </c>
      <c r="AL12">
        <f t="shared" ref="AL12:AL75" si="6">-AI12/$F$2*1000</f>
        <v>18.066400000000002</v>
      </c>
      <c r="AM12">
        <f t="shared" ref="AM12:AM75" si="7">AL12*AG12</f>
        <v>-1.6237050535200002</v>
      </c>
      <c r="AP12" s="9"/>
      <c r="AQ12" s="21">
        <v>1.73996</v>
      </c>
      <c r="AR12" s="21">
        <v>281.89</v>
      </c>
      <c r="AS12" s="21">
        <v>1.4312699999999999E-2</v>
      </c>
      <c r="AT12" s="21">
        <v>2</v>
      </c>
      <c r="AU12" s="21">
        <v>1.73889</v>
      </c>
      <c r="AV12">
        <f t="shared" ref="AV12:AV75" si="8">-AS12/$F$2*1000</f>
        <v>-14.3127</v>
      </c>
      <c r="AW12">
        <f t="shared" ref="AW12:AW75" si="9">AV12*AQ12</f>
        <v>-24.903525492</v>
      </c>
      <c r="AX12" s="9"/>
      <c r="AY12" s="21">
        <v>-8.9874300000000004E-2</v>
      </c>
      <c r="AZ12" s="21">
        <v>352.32</v>
      </c>
      <c r="BA12" s="21">
        <v>-1.8048100000000001E-2</v>
      </c>
      <c r="BB12" s="21">
        <v>2</v>
      </c>
      <c r="BC12" s="21">
        <v>-9.0484599999999998E-2</v>
      </c>
      <c r="BD12">
        <f t="shared" ref="BD12:BD75" si="10">-BA12/$F$2*1000</f>
        <v>18.048100000000002</v>
      </c>
      <c r="BE12">
        <f t="shared" ref="BE12:BE75" si="11">BD12*AY12</f>
        <v>-1.6220603538300002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1.6978317039598969</v>
      </c>
      <c r="B13" s="18">
        <f>IFERROR(AD9,0)</f>
        <v>18.158000000000001</v>
      </c>
      <c r="C13" s="19">
        <f>IFERROR(AD4,0)</f>
        <v>0.81780914443148722</v>
      </c>
      <c r="D13" s="20">
        <f>IFERROR(AD2,0)</f>
        <v>25.212424640000002</v>
      </c>
      <c r="E13" s="20">
        <f>IFERROR(AA9,0)</f>
        <v>0.22434377814765336</v>
      </c>
      <c r="F13" s="9"/>
      <c r="G13" s="21">
        <v>1.73492</v>
      </c>
      <c r="H13" s="21">
        <v>18.305299999999999</v>
      </c>
      <c r="I13" s="21">
        <v>2.1139499999999999E-2</v>
      </c>
      <c r="J13" s="21">
        <v>3</v>
      </c>
      <c r="K13" s="21">
        <v>1.7340100000000001</v>
      </c>
      <c r="L13">
        <f t="shared" si="0"/>
        <v>-21.139499999999998</v>
      </c>
      <c r="M13">
        <f t="shared" si="1"/>
        <v>-36.675341339999996</v>
      </c>
      <c r="N13" s="9"/>
      <c r="O13" s="21">
        <v>-8.4838899999999995E-2</v>
      </c>
      <c r="P13" s="21">
        <v>90.0655</v>
      </c>
      <c r="Q13" s="21">
        <v>-1.8081699999999999E-2</v>
      </c>
      <c r="R13" s="21">
        <v>3</v>
      </c>
      <c r="S13" s="21">
        <v>-8.5143999999999997E-2</v>
      </c>
      <c r="T13">
        <f t="shared" si="2"/>
        <v>18.081699999999998</v>
      </c>
      <c r="U13">
        <f t="shared" si="3"/>
        <v>-1.5340315381299998</v>
      </c>
      <c r="V13" s="22"/>
      <c r="W13" s="23"/>
      <c r="X13" s="9"/>
      <c r="Y13" s="21">
        <v>1.73492</v>
      </c>
      <c r="Z13" s="21">
        <v>157.74100000000001</v>
      </c>
      <c r="AA13" s="21">
        <v>1.30402E-2</v>
      </c>
      <c r="AB13" s="21">
        <v>3</v>
      </c>
      <c r="AC13" s="21">
        <v>1.73431</v>
      </c>
      <c r="AD13">
        <f t="shared" si="4"/>
        <v>-13.0402</v>
      </c>
      <c r="AE13">
        <f t="shared" si="5"/>
        <v>-22.623703784</v>
      </c>
      <c r="AF13" s="9"/>
      <c r="AG13" s="21">
        <v>-8.4838899999999995E-2</v>
      </c>
      <c r="AH13" s="21">
        <v>224.286</v>
      </c>
      <c r="AI13" s="21">
        <v>-1.8060300000000001E-2</v>
      </c>
      <c r="AJ13" s="21">
        <v>3</v>
      </c>
      <c r="AK13" s="21">
        <v>-8.4930400000000003E-2</v>
      </c>
      <c r="AL13">
        <f t="shared" si="6"/>
        <v>18.060300000000002</v>
      </c>
      <c r="AM13">
        <f t="shared" si="7"/>
        <v>-1.5322159856699999</v>
      </c>
      <c r="AP13" s="9"/>
      <c r="AQ13" s="21">
        <v>1.73492</v>
      </c>
      <c r="AR13" s="21">
        <v>281.99099999999999</v>
      </c>
      <c r="AS13" s="21">
        <v>1.2588500000000001E-2</v>
      </c>
      <c r="AT13" s="21">
        <v>3</v>
      </c>
      <c r="AU13" s="21">
        <v>1.73431</v>
      </c>
      <c r="AV13">
        <f t="shared" si="8"/>
        <v>-12.588500000000002</v>
      </c>
      <c r="AW13">
        <f t="shared" si="9"/>
        <v>-21.840040420000005</v>
      </c>
      <c r="AX13" s="9"/>
      <c r="AY13" s="21">
        <v>-8.4838899999999995E-2</v>
      </c>
      <c r="AZ13" s="21">
        <v>352.42099999999999</v>
      </c>
      <c r="BA13" s="21">
        <v>-1.8048100000000001E-2</v>
      </c>
      <c r="BB13" s="21">
        <v>3</v>
      </c>
      <c r="BC13" s="21">
        <v>-8.5479700000000006E-2</v>
      </c>
      <c r="BD13">
        <f t="shared" si="10"/>
        <v>18.048100000000002</v>
      </c>
      <c r="BE13">
        <f t="shared" si="11"/>
        <v>-1.5311809510900001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1.6896001818024295</v>
      </c>
      <c r="B14" s="18">
        <f>IFERROR(AL9,0)</f>
        <v>18.051195995715101</v>
      </c>
      <c r="C14" s="19">
        <f>IFERROR(AL4,0)</f>
        <v>0.82480118576526107</v>
      </c>
      <c r="D14" s="20">
        <f>IFERROR(AL2,0)</f>
        <v>25.155862133999996</v>
      </c>
      <c r="E14" s="20"/>
      <c r="F14" s="9"/>
      <c r="G14" s="21">
        <v>1.7298899999999999</v>
      </c>
      <c r="H14" s="21">
        <v>18.405999999999999</v>
      </c>
      <c r="I14" s="21">
        <v>1.84052E-2</v>
      </c>
      <c r="J14" s="21">
        <v>4</v>
      </c>
      <c r="K14" s="21">
        <v>1.7297400000000001</v>
      </c>
      <c r="L14">
        <f t="shared" si="0"/>
        <v>-18.405200000000001</v>
      </c>
      <c r="M14">
        <f t="shared" si="1"/>
        <v>-31.838971428000001</v>
      </c>
      <c r="N14" s="9"/>
      <c r="O14" s="21">
        <v>-7.9803499999999999E-2</v>
      </c>
      <c r="P14" s="21">
        <v>90.166200000000003</v>
      </c>
      <c r="Q14" s="21">
        <v>-1.8081699999999999E-2</v>
      </c>
      <c r="R14" s="21">
        <v>4</v>
      </c>
      <c r="S14" s="21">
        <v>-8.0291699999999994E-2</v>
      </c>
      <c r="T14">
        <f t="shared" si="2"/>
        <v>18.081699999999998</v>
      </c>
      <c r="U14">
        <f t="shared" si="3"/>
        <v>-1.4429829459499999</v>
      </c>
      <c r="V14" s="22"/>
      <c r="W14" s="23"/>
      <c r="X14" s="9"/>
      <c r="Y14" s="21">
        <v>1.7298899999999999</v>
      </c>
      <c r="Z14" s="21">
        <v>157.84100000000001</v>
      </c>
      <c r="AA14" s="21">
        <v>1.12427E-2</v>
      </c>
      <c r="AB14" s="21">
        <v>4</v>
      </c>
      <c r="AC14" s="21">
        <v>1.7291300000000001</v>
      </c>
      <c r="AD14">
        <f t="shared" si="4"/>
        <v>-11.242699999999999</v>
      </c>
      <c r="AE14">
        <f t="shared" si="5"/>
        <v>-19.448634302999999</v>
      </c>
      <c r="AF14" s="9"/>
      <c r="AG14" s="21">
        <v>-7.9803499999999999E-2</v>
      </c>
      <c r="AH14" s="21">
        <v>224.386</v>
      </c>
      <c r="AI14" s="21">
        <v>-1.8060300000000001E-2</v>
      </c>
      <c r="AJ14" s="21">
        <v>4</v>
      </c>
      <c r="AK14" s="21">
        <v>-7.9834000000000002E-2</v>
      </c>
      <c r="AL14">
        <f t="shared" si="6"/>
        <v>18.060300000000002</v>
      </c>
      <c r="AM14">
        <f t="shared" si="7"/>
        <v>-1.4412751510500001</v>
      </c>
      <c r="AP14" s="9"/>
      <c r="AQ14" s="21">
        <v>1.7298899999999999</v>
      </c>
      <c r="AR14" s="21">
        <v>282.09100000000001</v>
      </c>
      <c r="AS14" s="21">
        <v>1.08185E-2</v>
      </c>
      <c r="AT14" s="21">
        <v>4</v>
      </c>
      <c r="AU14" s="21">
        <v>1.7297400000000001</v>
      </c>
      <c r="AV14">
        <f t="shared" si="8"/>
        <v>-10.8185</v>
      </c>
      <c r="AW14">
        <f t="shared" si="9"/>
        <v>-18.714814964999999</v>
      </c>
      <c r="AX14" s="9"/>
      <c r="AY14" s="21">
        <v>-7.9803499999999999E-2</v>
      </c>
      <c r="AZ14" s="21">
        <v>352.52100000000002</v>
      </c>
      <c r="BA14" s="21">
        <v>-1.8048100000000001E-2</v>
      </c>
      <c r="BB14" s="21">
        <v>4</v>
      </c>
      <c r="BC14" s="21">
        <v>-8.0230700000000002E-2</v>
      </c>
      <c r="BD14">
        <f t="shared" si="10"/>
        <v>18.048100000000002</v>
      </c>
      <c r="BE14">
        <f t="shared" si="11"/>
        <v>-1.4403015483500001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1.6981359575756136</v>
      </c>
      <c r="B15" s="18">
        <f>IFERROR(AV9,0)</f>
        <v>18.139715105784859</v>
      </c>
      <c r="C15" s="19">
        <f>IFERROR(AV4,0)</f>
        <v>0.81742617626167002</v>
      </c>
      <c r="D15" s="20">
        <f>IFERROR(AV2,0)</f>
        <v>25.179752734000001</v>
      </c>
      <c r="E15" s="20">
        <f>IFERROR(AS9,0)</f>
        <v>0.38779548406033443</v>
      </c>
      <c r="F15" s="9"/>
      <c r="G15" s="21">
        <v>1.72485</v>
      </c>
      <c r="H15" s="21">
        <v>18.506699999999999</v>
      </c>
      <c r="I15" s="21">
        <v>1.5676900000000001E-2</v>
      </c>
      <c r="J15" s="21">
        <v>5</v>
      </c>
      <c r="K15" s="21">
        <v>1.72394</v>
      </c>
      <c r="L15">
        <f t="shared" si="0"/>
        <v>-15.6769</v>
      </c>
      <c r="M15">
        <f t="shared" si="1"/>
        <v>-27.040300965</v>
      </c>
      <c r="N15" s="9"/>
      <c r="O15" s="21">
        <v>-7.4768100000000004E-2</v>
      </c>
      <c r="P15" s="21">
        <v>90.266900000000007</v>
      </c>
      <c r="Q15" s="21">
        <v>-1.8081699999999999E-2</v>
      </c>
      <c r="R15" s="21">
        <v>5</v>
      </c>
      <c r="S15" s="21">
        <v>-7.5012200000000001E-2</v>
      </c>
      <c r="T15">
        <f t="shared" si="2"/>
        <v>18.081699999999998</v>
      </c>
      <c r="U15">
        <f t="shared" si="3"/>
        <v>-1.3519343537699999</v>
      </c>
      <c r="V15" s="22"/>
      <c r="W15" s="23"/>
      <c r="X15" s="9"/>
      <c r="Y15" s="21">
        <v>1.72485</v>
      </c>
      <c r="Z15" s="21">
        <v>157.94200000000001</v>
      </c>
      <c r="AA15" s="21">
        <v>9.4268800000000003E-3</v>
      </c>
      <c r="AB15" s="21">
        <v>5</v>
      </c>
      <c r="AC15" s="21">
        <v>1.72485</v>
      </c>
      <c r="AD15">
        <f t="shared" si="4"/>
        <v>-9.4268800000000006</v>
      </c>
      <c r="AE15">
        <f t="shared" si="5"/>
        <v>-16.259953968000001</v>
      </c>
      <c r="AF15" s="9"/>
      <c r="AG15" s="21">
        <v>-7.4768100000000004E-2</v>
      </c>
      <c r="AH15" s="21">
        <v>224.48699999999999</v>
      </c>
      <c r="AI15" s="21">
        <v>-1.80634E-2</v>
      </c>
      <c r="AJ15" s="21">
        <v>5</v>
      </c>
      <c r="AK15" s="21">
        <v>-7.5042700000000004E-2</v>
      </c>
      <c r="AL15">
        <f t="shared" si="6"/>
        <v>18.063400000000001</v>
      </c>
      <c r="AM15">
        <f t="shared" si="7"/>
        <v>-1.3505660975400002</v>
      </c>
      <c r="AP15" s="9"/>
      <c r="AQ15" s="21">
        <v>1.72485</v>
      </c>
      <c r="AR15" s="21">
        <v>282.19200000000001</v>
      </c>
      <c r="AS15" s="21">
        <v>9.06677E-3</v>
      </c>
      <c r="AT15" s="21">
        <v>5</v>
      </c>
      <c r="AU15" s="21">
        <v>1.72455</v>
      </c>
      <c r="AV15">
        <f t="shared" si="8"/>
        <v>-9.06677</v>
      </c>
      <c r="AW15">
        <f t="shared" si="9"/>
        <v>-15.6388182345</v>
      </c>
      <c r="AX15" s="9"/>
      <c r="AY15" s="21">
        <v>-7.4768100000000004E-2</v>
      </c>
      <c r="AZ15" s="21">
        <v>352.62200000000001</v>
      </c>
      <c r="BA15" s="21">
        <v>-1.8041999999999999E-2</v>
      </c>
      <c r="BB15" s="21">
        <v>5</v>
      </c>
      <c r="BC15" s="21">
        <v>-7.5042700000000004E-2</v>
      </c>
      <c r="BD15">
        <f t="shared" si="10"/>
        <v>18.041999999999998</v>
      </c>
      <c r="BE15">
        <f t="shared" si="11"/>
        <v>-1.3489660602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1.6919830067871291</v>
      </c>
      <c r="B16" s="18">
        <f>IFERROR(BD9,0)</f>
        <v>18.028937064315453</v>
      </c>
      <c r="C16" s="19">
        <f>IFERROR(BD4,0)</f>
        <v>0.82223866069650886</v>
      </c>
      <c r="D16" s="20">
        <f>IFERROR(BD2,0)</f>
        <v>25.08210678999999</v>
      </c>
      <c r="E16" s="20"/>
      <c r="F16" s="9"/>
      <c r="G16" s="21">
        <v>1.7198199999999999</v>
      </c>
      <c r="H16" s="21">
        <v>18.607399999999998</v>
      </c>
      <c r="I16" s="21">
        <v>1.29303E-2</v>
      </c>
      <c r="J16" s="21">
        <v>6</v>
      </c>
      <c r="K16" s="21">
        <v>1.71997</v>
      </c>
      <c r="L16">
        <f t="shared" si="0"/>
        <v>-12.930300000000001</v>
      </c>
      <c r="M16">
        <f t="shared" si="1"/>
        <v>-22.237788546000001</v>
      </c>
      <c r="N16" s="9"/>
      <c r="O16" s="21">
        <v>-6.9732699999999995E-2</v>
      </c>
      <c r="P16" s="21">
        <v>90.367599999999996</v>
      </c>
      <c r="Q16" s="21">
        <v>-1.8081699999999999E-2</v>
      </c>
      <c r="R16" s="21">
        <v>6</v>
      </c>
      <c r="S16" s="21">
        <v>-6.9580100000000006E-2</v>
      </c>
      <c r="T16">
        <f t="shared" si="2"/>
        <v>18.081699999999998</v>
      </c>
      <c r="U16">
        <f t="shared" si="3"/>
        <v>-1.2608857615899998</v>
      </c>
      <c r="V16" s="22"/>
      <c r="W16" s="23"/>
      <c r="X16" s="9"/>
      <c r="Y16" s="21">
        <v>1.7198199999999999</v>
      </c>
      <c r="Z16" s="21">
        <v>158.04300000000001</v>
      </c>
      <c r="AA16" s="21">
        <v>7.5683599999999997E-3</v>
      </c>
      <c r="AB16" s="21">
        <v>6</v>
      </c>
      <c r="AC16" s="21">
        <v>1.71967</v>
      </c>
      <c r="AD16">
        <f t="shared" si="4"/>
        <v>-7.5683599999999993</v>
      </c>
      <c r="AE16">
        <f t="shared" si="5"/>
        <v>-13.016216895199998</v>
      </c>
      <c r="AF16" s="9"/>
      <c r="AG16" s="21">
        <v>-6.9732699999999995E-2</v>
      </c>
      <c r="AH16" s="21">
        <v>224.58799999999999</v>
      </c>
      <c r="AI16" s="21">
        <v>-1.8069499999999999E-2</v>
      </c>
      <c r="AJ16" s="21">
        <v>6</v>
      </c>
      <c r="AK16" s="21">
        <v>-7.0098900000000006E-2</v>
      </c>
      <c r="AL16">
        <f t="shared" si="6"/>
        <v>18.069499999999998</v>
      </c>
      <c r="AM16">
        <f t="shared" si="7"/>
        <v>-1.2600350226499997</v>
      </c>
      <c r="AP16" s="9"/>
      <c r="AQ16" s="21">
        <v>1.7198199999999999</v>
      </c>
      <c r="AR16" s="21">
        <v>282.29300000000001</v>
      </c>
      <c r="AS16" s="21">
        <v>7.2967500000000003E-3</v>
      </c>
      <c r="AT16" s="21">
        <v>6</v>
      </c>
      <c r="AU16" s="21">
        <v>1.71875</v>
      </c>
      <c r="AV16">
        <f t="shared" si="8"/>
        <v>-7.2967500000000003</v>
      </c>
      <c r="AW16">
        <f t="shared" si="9"/>
        <v>-12.549096584999999</v>
      </c>
      <c r="AX16" s="9"/>
      <c r="AY16" s="21">
        <v>-6.9732699999999995E-2</v>
      </c>
      <c r="AZ16" s="21">
        <v>352.72300000000001</v>
      </c>
      <c r="BA16" s="21">
        <v>-1.8044999999999999E-2</v>
      </c>
      <c r="BB16" s="21">
        <v>6</v>
      </c>
      <c r="BC16" s="21">
        <v>-7.0281999999999997E-2</v>
      </c>
      <c r="BD16">
        <f t="shared" si="10"/>
        <v>18.044999999999998</v>
      </c>
      <c r="BE16">
        <f t="shared" si="11"/>
        <v>-1.2583265714999998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1.71478</v>
      </c>
      <c r="H17" s="21">
        <v>18.708200000000001</v>
      </c>
      <c r="I17" s="21">
        <v>1.0144E-2</v>
      </c>
      <c r="J17" s="21">
        <v>7</v>
      </c>
      <c r="K17" s="21">
        <v>1.71448</v>
      </c>
      <c r="L17">
        <f t="shared" si="0"/>
        <v>-10.144</v>
      </c>
      <c r="M17">
        <f t="shared" si="1"/>
        <v>-17.394728319999999</v>
      </c>
      <c r="N17" s="9"/>
      <c r="O17" s="21">
        <v>-6.4697299999999999E-2</v>
      </c>
      <c r="P17" s="21">
        <v>90.468299999999999</v>
      </c>
      <c r="Q17" s="21">
        <v>-1.8081699999999999E-2</v>
      </c>
      <c r="R17" s="21">
        <v>7</v>
      </c>
      <c r="S17" s="21">
        <v>-6.4941399999999996E-2</v>
      </c>
      <c r="T17">
        <f t="shared" si="2"/>
        <v>18.081699999999998</v>
      </c>
      <c r="U17">
        <f t="shared" si="3"/>
        <v>-1.1698371694099998</v>
      </c>
      <c r="V17" s="22"/>
      <c r="W17" s="23"/>
      <c r="X17" s="9"/>
      <c r="Y17" s="21">
        <v>1.71478</v>
      </c>
      <c r="Z17" s="21">
        <v>158.143</v>
      </c>
      <c r="AA17" s="21">
        <v>5.7617199999999997E-3</v>
      </c>
      <c r="AB17" s="21">
        <v>7</v>
      </c>
      <c r="AC17" s="21">
        <v>1.71387</v>
      </c>
      <c r="AD17">
        <f t="shared" si="4"/>
        <v>-5.7617199999999995</v>
      </c>
      <c r="AE17">
        <f t="shared" si="5"/>
        <v>-9.8800822215999986</v>
      </c>
      <c r="AF17" s="9"/>
      <c r="AG17" s="21">
        <v>-6.4697299999999999E-2</v>
      </c>
      <c r="AH17" s="21">
        <v>224.68799999999999</v>
      </c>
      <c r="AI17" s="21">
        <v>-1.8060300000000001E-2</v>
      </c>
      <c r="AJ17" s="21">
        <v>7</v>
      </c>
      <c r="AK17" s="21">
        <v>-6.4819299999999996E-2</v>
      </c>
      <c r="AL17">
        <f t="shared" si="6"/>
        <v>18.060300000000002</v>
      </c>
      <c r="AM17">
        <f t="shared" si="7"/>
        <v>-1.1684526471900001</v>
      </c>
      <c r="AP17" s="9"/>
      <c r="AQ17" s="21">
        <v>1.71478</v>
      </c>
      <c r="AR17" s="21">
        <v>282.39299999999997</v>
      </c>
      <c r="AS17" s="21">
        <v>5.4901100000000003E-3</v>
      </c>
      <c r="AT17" s="21">
        <v>7</v>
      </c>
      <c r="AU17" s="21">
        <v>1.71448</v>
      </c>
      <c r="AV17">
        <f t="shared" si="8"/>
        <v>-5.4901100000000005</v>
      </c>
      <c r="AW17">
        <f t="shared" si="9"/>
        <v>-9.4143308258000005</v>
      </c>
      <c r="AX17" s="9"/>
      <c r="AY17" s="21">
        <v>-6.4697299999999999E-2</v>
      </c>
      <c r="AZ17" s="21">
        <v>352.82299999999998</v>
      </c>
      <c r="BA17" s="21">
        <v>-1.8041999999999999E-2</v>
      </c>
      <c r="BB17" s="21">
        <v>7</v>
      </c>
      <c r="BC17" s="21">
        <v>-6.4971899999999999E-2</v>
      </c>
      <c r="BD17">
        <f t="shared" si="10"/>
        <v>18.041999999999998</v>
      </c>
      <c r="BE17">
        <f t="shared" si="11"/>
        <v>-1.1672686865999999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1.7097500000000001</v>
      </c>
      <c r="H18" s="21">
        <v>18.808900000000001</v>
      </c>
      <c r="I18" s="21">
        <v>7.4127200000000002E-3</v>
      </c>
      <c r="J18" s="21">
        <v>8</v>
      </c>
      <c r="K18" s="21">
        <v>1.70868</v>
      </c>
      <c r="L18">
        <f t="shared" si="0"/>
        <v>-7.4127200000000002</v>
      </c>
      <c r="M18">
        <f t="shared" si="1"/>
        <v>-12.673898020000001</v>
      </c>
      <c r="N18" s="9"/>
      <c r="O18" s="21">
        <v>-5.9661899999999997E-2</v>
      </c>
      <c r="P18" s="21">
        <v>90.569000000000003</v>
      </c>
      <c r="Q18" s="21">
        <v>-1.80786E-2</v>
      </c>
      <c r="R18" s="21">
        <v>8</v>
      </c>
      <c r="S18" s="21">
        <v>-6.0028100000000001E-2</v>
      </c>
      <c r="T18">
        <f t="shared" si="2"/>
        <v>18.078600000000002</v>
      </c>
      <c r="U18">
        <f t="shared" si="3"/>
        <v>-1.07860362534</v>
      </c>
      <c r="V18" s="22"/>
      <c r="W18" s="23"/>
      <c r="X18" s="9"/>
      <c r="Y18" s="21">
        <v>1.7097500000000001</v>
      </c>
      <c r="Z18" s="21">
        <v>158.244</v>
      </c>
      <c r="AA18" s="21">
        <v>3.9526400000000003E-3</v>
      </c>
      <c r="AB18" s="21">
        <v>8</v>
      </c>
      <c r="AC18" s="21">
        <v>1.70868</v>
      </c>
      <c r="AD18">
        <f t="shared" si="4"/>
        <v>-3.9526400000000002</v>
      </c>
      <c r="AE18">
        <f t="shared" si="5"/>
        <v>-6.7580262400000004</v>
      </c>
      <c r="AF18" s="9"/>
      <c r="AG18" s="21">
        <v>-5.9661899999999997E-2</v>
      </c>
      <c r="AH18" s="21">
        <v>224.78899999999999</v>
      </c>
      <c r="AI18" s="21">
        <v>-1.8060300000000001E-2</v>
      </c>
      <c r="AJ18" s="21">
        <v>8</v>
      </c>
      <c r="AK18" s="21">
        <v>-5.9875499999999998E-2</v>
      </c>
      <c r="AL18">
        <f t="shared" si="6"/>
        <v>18.060300000000002</v>
      </c>
      <c r="AM18">
        <f t="shared" si="7"/>
        <v>-1.0775118125700001</v>
      </c>
      <c r="AP18" s="9"/>
      <c r="AQ18" s="21">
        <v>1.7097500000000001</v>
      </c>
      <c r="AR18" s="21">
        <v>282.49400000000003</v>
      </c>
      <c r="AS18" s="21">
        <v>3.7344399999999999E-3</v>
      </c>
      <c r="AT18" s="21">
        <v>8</v>
      </c>
      <c r="AU18" s="21">
        <v>1.70929</v>
      </c>
      <c r="AV18">
        <f t="shared" si="8"/>
        <v>-3.7344399999999998</v>
      </c>
      <c r="AW18">
        <f t="shared" si="9"/>
        <v>-6.3849587899999998</v>
      </c>
      <c r="AX18" s="9"/>
      <c r="AY18" s="21">
        <v>-5.9661899999999997E-2</v>
      </c>
      <c r="AZ18" s="21">
        <v>352.92399999999998</v>
      </c>
      <c r="BA18" s="21">
        <v>-1.8041999999999999E-2</v>
      </c>
      <c r="BB18" s="21">
        <v>8</v>
      </c>
      <c r="BC18" s="21">
        <v>-5.9906000000000001E-2</v>
      </c>
      <c r="BD18">
        <f t="shared" si="10"/>
        <v>18.041999999999998</v>
      </c>
      <c r="BE18">
        <f t="shared" si="11"/>
        <v>-1.0764199997999999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1.7047099999999999</v>
      </c>
      <c r="H19" s="21">
        <v>18.909600000000001</v>
      </c>
      <c r="I19" s="21">
        <v>4.5428500000000002E-3</v>
      </c>
      <c r="J19" s="21">
        <v>9</v>
      </c>
      <c r="K19" s="21">
        <v>1.7038</v>
      </c>
      <c r="L19">
        <f t="shared" si="0"/>
        <v>-4.5428500000000005</v>
      </c>
      <c r="M19">
        <f t="shared" si="1"/>
        <v>-7.7442418235000003</v>
      </c>
      <c r="N19" s="9"/>
      <c r="O19" s="21">
        <v>-5.4626500000000001E-2</v>
      </c>
      <c r="P19" s="21">
        <v>90.669700000000006</v>
      </c>
      <c r="Q19" s="21">
        <v>-1.80786E-2</v>
      </c>
      <c r="R19" s="21">
        <v>9</v>
      </c>
      <c r="S19" s="21">
        <v>-5.4870599999999999E-2</v>
      </c>
      <c r="T19">
        <f t="shared" si="2"/>
        <v>18.078600000000002</v>
      </c>
      <c r="U19">
        <f t="shared" si="3"/>
        <v>-0.98757064290000007</v>
      </c>
      <c r="V19" s="22"/>
      <c r="W19" s="23"/>
      <c r="X19" s="9"/>
      <c r="Y19" s="21">
        <v>1.7047099999999999</v>
      </c>
      <c r="Z19" s="21">
        <v>158.345</v>
      </c>
      <c r="AA19" s="21">
        <v>2.1044900000000001E-3</v>
      </c>
      <c r="AB19" s="21">
        <v>9</v>
      </c>
      <c r="AC19" s="21">
        <v>1.7040999999999999</v>
      </c>
      <c r="AD19">
        <f t="shared" si="4"/>
        <v>-2.1044900000000002</v>
      </c>
      <c r="AE19">
        <f t="shared" si="5"/>
        <v>-3.5875451479000002</v>
      </c>
      <c r="AF19" s="9"/>
      <c r="AG19" s="21">
        <v>-5.4626500000000001E-2</v>
      </c>
      <c r="AH19" s="21">
        <v>224.89</v>
      </c>
      <c r="AI19" s="21">
        <v>-1.8060300000000001E-2</v>
      </c>
      <c r="AJ19" s="21">
        <v>9</v>
      </c>
      <c r="AK19" s="21">
        <v>-5.48096E-2</v>
      </c>
      <c r="AL19">
        <f t="shared" si="6"/>
        <v>18.060300000000002</v>
      </c>
      <c r="AM19">
        <f t="shared" si="7"/>
        <v>-0.98657097795000015</v>
      </c>
      <c r="AP19" s="9"/>
      <c r="AQ19" s="21">
        <v>1.7047099999999999</v>
      </c>
      <c r="AR19" s="21">
        <v>282.59500000000003</v>
      </c>
      <c r="AS19" s="21">
        <v>1.9955400000000001E-3</v>
      </c>
      <c r="AT19" s="21">
        <v>9</v>
      </c>
      <c r="AU19" s="21">
        <v>1.7040999999999999</v>
      </c>
      <c r="AV19">
        <f t="shared" si="8"/>
        <v>-1.9955400000000001</v>
      </c>
      <c r="AW19">
        <f t="shared" si="9"/>
        <v>-3.4018169934000002</v>
      </c>
      <c r="AX19" s="9"/>
      <c r="AY19" s="21">
        <v>-5.4626500000000001E-2</v>
      </c>
      <c r="AZ19" s="21">
        <v>353.02499999999998</v>
      </c>
      <c r="BA19" s="21">
        <v>-1.8041999999999999E-2</v>
      </c>
      <c r="BB19" s="21">
        <v>9</v>
      </c>
      <c r="BC19" s="21">
        <v>-5.4626500000000001E-2</v>
      </c>
      <c r="BD19">
        <f t="shared" si="10"/>
        <v>18.041999999999998</v>
      </c>
      <c r="BE19">
        <f t="shared" si="11"/>
        <v>-0.98557131299999989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1.6996800000000001</v>
      </c>
      <c r="H20" s="21">
        <v>19.010300000000001</v>
      </c>
      <c r="I20" s="21">
        <v>1.8322799999999999E-3</v>
      </c>
      <c r="J20" s="21">
        <v>10</v>
      </c>
      <c r="K20" s="21">
        <v>1.69861</v>
      </c>
      <c r="L20">
        <f t="shared" si="0"/>
        <v>-1.8322799999999999</v>
      </c>
      <c r="M20">
        <f t="shared" si="1"/>
        <v>-3.1142896703999998</v>
      </c>
      <c r="N20" s="9"/>
      <c r="O20" s="21">
        <v>-4.9591099999999999E-2</v>
      </c>
      <c r="P20" s="21">
        <v>90.770399999999995</v>
      </c>
      <c r="Q20" s="21">
        <v>-1.80786E-2</v>
      </c>
      <c r="R20" s="21">
        <v>10</v>
      </c>
      <c r="S20" s="21">
        <v>-5.0018300000000002E-2</v>
      </c>
      <c r="T20">
        <f t="shared" si="2"/>
        <v>18.078600000000002</v>
      </c>
      <c r="U20">
        <f t="shared" si="3"/>
        <v>-0.89653766046000005</v>
      </c>
      <c r="V20" s="22"/>
      <c r="W20" s="23"/>
      <c r="X20" s="9"/>
      <c r="Y20" s="21">
        <v>1.6996800000000001</v>
      </c>
      <c r="Z20" s="21">
        <v>158.446</v>
      </c>
      <c r="AA20" s="21">
        <v>3.5974100000000001E-4</v>
      </c>
      <c r="AB20" s="21">
        <v>10</v>
      </c>
      <c r="AC20" s="21">
        <v>1.6989099999999999</v>
      </c>
      <c r="AD20">
        <f t="shared" si="4"/>
        <v>-0.35974100000000003</v>
      </c>
      <c r="AE20">
        <f t="shared" si="5"/>
        <v>-0.61144458288000003</v>
      </c>
      <c r="AF20" s="9"/>
      <c r="AG20" s="21">
        <v>-4.9591099999999999E-2</v>
      </c>
      <c r="AH20" s="21">
        <v>224.99100000000001</v>
      </c>
      <c r="AI20" s="21">
        <v>-1.8060300000000001E-2</v>
      </c>
      <c r="AJ20" s="21">
        <v>10</v>
      </c>
      <c r="AK20" s="21">
        <v>-5.02014E-2</v>
      </c>
      <c r="AL20">
        <f t="shared" si="6"/>
        <v>18.060300000000002</v>
      </c>
      <c r="AM20">
        <f t="shared" si="7"/>
        <v>-0.89563014333000002</v>
      </c>
      <c r="AP20" s="9"/>
      <c r="AQ20" s="21">
        <v>1.6996800000000001</v>
      </c>
      <c r="AR20" s="21">
        <v>282.69499999999999</v>
      </c>
      <c r="AS20" s="21">
        <v>2.5177000000000001E-4</v>
      </c>
      <c r="AT20" s="21">
        <v>10</v>
      </c>
      <c r="AU20" s="21">
        <v>1.6989099999999999</v>
      </c>
      <c r="AV20">
        <f t="shared" si="8"/>
        <v>-0.25176999999999999</v>
      </c>
      <c r="AW20">
        <f t="shared" si="9"/>
        <v>-0.42792843359999999</v>
      </c>
      <c r="AX20" s="9"/>
      <c r="AY20" s="21">
        <v>-4.9591099999999999E-2</v>
      </c>
      <c r="AZ20" s="21">
        <v>353.12599999999998</v>
      </c>
      <c r="BA20" s="21">
        <v>-1.80389E-2</v>
      </c>
      <c r="BB20" s="21">
        <v>10</v>
      </c>
      <c r="BC20" s="21">
        <v>-5.0048799999999997E-2</v>
      </c>
      <c r="BD20">
        <f t="shared" si="10"/>
        <v>18.038900000000002</v>
      </c>
      <c r="BE20">
        <f t="shared" si="11"/>
        <v>-0.89456889379000004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1.6946399999999999</v>
      </c>
      <c r="H21" s="21">
        <v>19.111000000000001</v>
      </c>
      <c r="I21" s="21">
        <v>-7.8308100000000003E-4</v>
      </c>
      <c r="J21" s="21">
        <v>11</v>
      </c>
      <c r="K21" s="21">
        <v>1.69373</v>
      </c>
      <c r="L21">
        <f t="shared" si="0"/>
        <v>0.78308100000000003</v>
      </c>
      <c r="M21">
        <f t="shared" si="1"/>
        <v>1.3270403858399999</v>
      </c>
      <c r="N21" s="9"/>
      <c r="O21" s="21">
        <v>-4.4555699999999997E-2</v>
      </c>
      <c r="P21" s="21">
        <v>90.871099999999998</v>
      </c>
      <c r="Q21" s="21">
        <v>-1.8075600000000001E-2</v>
      </c>
      <c r="R21" s="21">
        <v>11</v>
      </c>
      <c r="S21" s="21">
        <v>-4.4723499999999999E-2</v>
      </c>
      <c r="T21">
        <f t="shared" si="2"/>
        <v>18.075600000000001</v>
      </c>
      <c r="U21">
        <f t="shared" si="3"/>
        <v>-0.80537101091999996</v>
      </c>
      <c r="V21" s="22"/>
      <c r="W21" s="23"/>
      <c r="X21" s="9"/>
      <c r="Y21" s="21">
        <v>1.6946399999999999</v>
      </c>
      <c r="Z21" s="21">
        <v>158.54599999999999</v>
      </c>
      <c r="AA21" s="21">
        <v>-1.36841E-3</v>
      </c>
      <c r="AB21" s="21">
        <v>11</v>
      </c>
      <c r="AC21" s="21">
        <v>1.69373</v>
      </c>
      <c r="AD21">
        <f t="shared" si="4"/>
        <v>1.3684100000000001</v>
      </c>
      <c r="AE21">
        <f t="shared" si="5"/>
        <v>2.3189623224</v>
      </c>
      <c r="AF21" s="9"/>
      <c r="AG21" s="21">
        <v>-4.4555699999999997E-2</v>
      </c>
      <c r="AH21" s="21">
        <v>225.09100000000001</v>
      </c>
      <c r="AI21" s="21">
        <v>-1.8057299999999998E-2</v>
      </c>
      <c r="AJ21" s="21">
        <v>11</v>
      </c>
      <c r="AK21" s="21">
        <v>-4.4744899999999997E-2</v>
      </c>
      <c r="AL21">
        <f t="shared" si="6"/>
        <v>18.057299999999998</v>
      </c>
      <c r="AM21">
        <f t="shared" si="7"/>
        <v>-0.80455564160999982</v>
      </c>
      <c r="AP21" s="9"/>
      <c r="AQ21" s="21">
        <v>1.6946399999999999</v>
      </c>
      <c r="AR21" s="21">
        <v>282.79599999999999</v>
      </c>
      <c r="AS21" s="21">
        <v>-1.43311E-3</v>
      </c>
      <c r="AT21" s="21">
        <v>11</v>
      </c>
      <c r="AU21" s="21">
        <v>1.69373</v>
      </c>
      <c r="AV21">
        <f t="shared" si="8"/>
        <v>1.4331100000000001</v>
      </c>
      <c r="AW21">
        <f t="shared" si="9"/>
        <v>2.4286055304</v>
      </c>
      <c r="AX21" s="9"/>
      <c r="AY21" s="21">
        <v>-4.4555699999999997E-2</v>
      </c>
      <c r="AZ21" s="21">
        <v>353.226</v>
      </c>
      <c r="BA21" s="21">
        <v>-1.8041999999999999E-2</v>
      </c>
      <c r="BB21" s="21">
        <v>11</v>
      </c>
      <c r="BC21" s="21">
        <v>-4.4982899999999999E-2</v>
      </c>
      <c r="BD21">
        <f t="shared" si="10"/>
        <v>18.041999999999998</v>
      </c>
      <c r="BE21">
        <f t="shared" si="11"/>
        <v>-0.80387393939999985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1.6896100000000001</v>
      </c>
      <c r="H22" s="21">
        <v>19.2117</v>
      </c>
      <c r="I22" s="21">
        <v>-3.2406599999999998E-3</v>
      </c>
      <c r="J22" s="21">
        <v>12</v>
      </c>
      <c r="K22" s="21">
        <v>1.6891499999999999</v>
      </c>
      <c r="L22">
        <f t="shared" si="0"/>
        <v>3.2406599999999997</v>
      </c>
      <c r="M22">
        <f t="shared" si="1"/>
        <v>5.4754515425999992</v>
      </c>
      <c r="N22" s="9"/>
      <c r="O22" s="21">
        <v>-3.9520300000000001E-2</v>
      </c>
      <c r="P22" s="21">
        <v>90.971800000000002</v>
      </c>
      <c r="Q22" s="21">
        <v>-1.8075600000000001E-2</v>
      </c>
      <c r="R22" s="21">
        <v>12</v>
      </c>
      <c r="S22" s="21">
        <v>-3.9654500000000002E-2</v>
      </c>
      <c r="T22">
        <f t="shared" si="2"/>
        <v>18.075600000000001</v>
      </c>
      <c r="U22">
        <f t="shared" si="3"/>
        <v>-0.71435313468000006</v>
      </c>
      <c r="V22" s="22"/>
      <c r="W22" s="23"/>
      <c r="X22" s="9"/>
      <c r="Y22" s="21">
        <v>1.6896100000000001</v>
      </c>
      <c r="Z22" s="21">
        <v>158.64699999999999</v>
      </c>
      <c r="AA22" s="21">
        <v>-3.0502300000000001E-3</v>
      </c>
      <c r="AB22" s="21">
        <v>12</v>
      </c>
      <c r="AC22" s="21">
        <v>1.6888399999999999</v>
      </c>
      <c r="AD22">
        <f t="shared" si="4"/>
        <v>3.05023</v>
      </c>
      <c r="AE22">
        <f t="shared" si="5"/>
        <v>5.1536991102999998</v>
      </c>
      <c r="AF22" s="9"/>
      <c r="AG22" s="21">
        <v>-3.9520300000000001E-2</v>
      </c>
      <c r="AH22" s="21">
        <v>225.19200000000001</v>
      </c>
      <c r="AI22" s="21">
        <v>-1.8060300000000001E-2</v>
      </c>
      <c r="AJ22" s="21">
        <v>12</v>
      </c>
      <c r="AK22" s="21">
        <v>-3.9849900000000001E-2</v>
      </c>
      <c r="AL22">
        <f t="shared" si="6"/>
        <v>18.060300000000002</v>
      </c>
      <c r="AM22">
        <f t="shared" si="7"/>
        <v>-0.71374847409000008</v>
      </c>
      <c r="AP22" s="9"/>
      <c r="AQ22" s="21">
        <v>1.6896100000000001</v>
      </c>
      <c r="AR22" s="21">
        <v>282.89699999999999</v>
      </c>
      <c r="AS22" s="21">
        <v>-3.0258199999999998E-3</v>
      </c>
      <c r="AT22" s="21">
        <v>12</v>
      </c>
      <c r="AU22" s="21">
        <v>1.6888399999999999</v>
      </c>
      <c r="AV22">
        <f t="shared" si="8"/>
        <v>3.02582</v>
      </c>
      <c r="AW22">
        <f t="shared" si="9"/>
        <v>5.1124557301999998</v>
      </c>
      <c r="AX22" s="9"/>
      <c r="AY22" s="21">
        <v>-3.9520300000000001E-2</v>
      </c>
      <c r="AZ22" s="21">
        <v>353.327</v>
      </c>
      <c r="BA22" s="21">
        <v>-1.80389E-2</v>
      </c>
      <c r="BB22" s="21">
        <v>12</v>
      </c>
      <c r="BC22" s="21">
        <v>-3.9462299999999999E-2</v>
      </c>
      <c r="BD22">
        <f t="shared" si="10"/>
        <v>18.038900000000002</v>
      </c>
      <c r="BE22">
        <f t="shared" si="11"/>
        <v>-0.71290273967000006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1.6845699999999999</v>
      </c>
      <c r="H23" s="21">
        <v>19.3124</v>
      </c>
      <c r="I23" s="21">
        <v>-5.4412799999999997E-3</v>
      </c>
      <c r="J23" s="21">
        <v>13</v>
      </c>
      <c r="K23" s="21">
        <v>1.6839599999999999</v>
      </c>
      <c r="L23">
        <f t="shared" si="0"/>
        <v>5.4412799999999999</v>
      </c>
      <c r="M23">
        <f t="shared" si="1"/>
        <v>9.1662170496000002</v>
      </c>
      <c r="N23" s="9"/>
      <c r="O23" s="21">
        <v>-3.4484899999999999E-2</v>
      </c>
      <c r="P23" s="21">
        <v>91.072599999999994</v>
      </c>
      <c r="Q23" s="21">
        <v>-1.8075600000000001E-2</v>
      </c>
      <c r="R23" s="21">
        <v>13</v>
      </c>
      <c r="S23" s="21">
        <v>-3.4573399999999997E-2</v>
      </c>
      <c r="T23">
        <f t="shared" si="2"/>
        <v>18.075600000000001</v>
      </c>
      <c r="U23">
        <f t="shared" si="3"/>
        <v>-0.62333525844000004</v>
      </c>
      <c r="V23" s="22"/>
      <c r="W23" s="23"/>
      <c r="X23" s="9"/>
      <c r="Y23" s="21">
        <v>1.6845699999999999</v>
      </c>
      <c r="Z23" s="21">
        <v>158.74799999999999</v>
      </c>
      <c r="AA23" s="21">
        <v>-4.6328699999999999E-3</v>
      </c>
      <c r="AB23" s="21">
        <v>13</v>
      </c>
      <c r="AC23" s="21">
        <v>1.6836500000000001</v>
      </c>
      <c r="AD23">
        <f t="shared" si="4"/>
        <v>4.6328699999999996</v>
      </c>
      <c r="AE23">
        <f t="shared" si="5"/>
        <v>7.8043938158999993</v>
      </c>
      <c r="AF23" s="9"/>
      <c r="AG23" s="21">
        <v>-3.4484899999999999E-2</v>
      </c>
      <c r="AH23" s="21">
        <v>225.29300000000001</v>
      </c>
      <c r="AI23" s="21">
        <v>-1.8057299999999998E-2</v>
      </c>
      <c r="AJ23" s="21">
        <v>13</v>
      </c>
      <c r="AK23" s="21">
        <v>-3.4384199999999997E-2</v>
      </c>
      <c r="AL23">
        <f t="shared" si="6"/>
        <v>18.057299999999998</v>
      </c>
      <c r="AM23">
        <f t="shared" si="7"/>
        <v>-0.62270418476999989</v>
      </c>
      <c r="AP23" s="9"/>
      <c r="AQ23" s="21">
        <v>1.6845699999999999</v>
      </c>
      <c r="AR23" s="21">
        <v>282.99799999999999</v>
      </c>
      <c r="AS23" s="21">
        <v>-4.5822099999999998E-3</v>
      </c>
      <c r="AT23" s="21">
        <v>13</v>
      </c>
      <c r="AU23" s="21">
        <v>1.6842699999999999</v>
      </c>
      <c r="AV23">
        <f t="shared" si="8"/>
        <v>4.5822099999999999</v>
      </c>
      <c r="AW23">
        <f t="shared" si="9"/>
        <v>7.7190534996999993</v>
      </c>
      <c r="AX23" s="9"/>
      <c r="AY23" s="21">
        <v>-3.4484899999999999E-2</v>
      </c>
      <c r="AZ23" s="21">
        <v>353.428</v>
      </c>
      <c r="BA23" s="21">
        <v>-1.8035900000000001E-2</v>
      </c>
      <c r="BB23" s="21">
        <v>13</v>
      </c>
      <c r="BC23" s="21">
        <v>-3.4539800000000002E-2</v>
      </c>
      <c r="BD23">
        <f t="shared" si="10"/>
        <v>18.035900000000002</v>
      </c>
      <c r="BE23">
        <f t="shared" si="11"/>
        <v>-0.62196620791000001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1.67953</v>
      </c>
      <c r="H24" s="21">
        <v>19.4131</v>
      </c>
      <c r="I24" s="21">
        <v>-7.1868899999999996E-3</v>
      </c>
      <c r="J24" s="21">
        <v>14</v>
      </c>
      <c r="K24" s="21">
        <v>1.6784699999999999</v>
      </c>
      <c r="L24">
        <f t="shared" si="0"/>
        <v>7.18689</v>
      </c>
      <c r="M24">
        <f t="shared" si="1"/>
        <v>12.070597361699999</v>
      </c>
      <c r="N24" s="9"/>
      <c r="O24" s="21">
        <v>-2.94495E-2</v>
      </c>
      <c r="P24" s="21">
        <v>91.173299999999998</v>
      </c>
      <c r="Q24" s="21">
        <v>-1.8075600000000001E-2</v>
      </c>
      <c r="R24" s="21">
        <v>14</v>
      </c>
      <c r="S24" s="21">
        <v>-2.95441E-2</v>
      </c>
      <c r="T24">
        <f t="shared" si="2"/>
        <v>18.075600000000001</v>
      </c>
      <c r="U24">
        <f t="shared" si="3"/>
        <v>-0.53231738220000002</v>
      </c>
      <c r="V24" s="22"/>
      <c r="W24" s="23"/>
      <c r="X24" s="9"/>
      <c r="Y24" s="21">
        <v>1.67953</v>
      </c>
      <c r="Z24" s="21">
        <v>158.84800000000001</v>
      </c>
      <c r="AA24" s="21">
        <v>-6.1035200000000003E-3</v>
      </c>
      <c r="AB24" s="21">
        <v>14</v>
      </c>
      <c r="AC24" s="21">
        <v>1.6781600000000001</v>
      </c>
      <c r="AD24">
        <f t="shared" si="4"/>
        <v>6.1035200000000005</v>
      </c>
      <c r="AE24">
        <f t="shared" si="5"/>
        <v>10.2510449456</v>
      </c>
      <c r="AF24" s="9"/>
      <c r="AG24" s="21">
        <v>-2.94495E-2</v>
      </c>
      <c r="AH24" s="21">
        <v>225.393</v>
      </c>
      <c r="AI24" s="21">
        <v>-1.8054199999999999E-2</v>
      </c>
      <c r="AJ24" s="21">
        <v>14</v>
      </c>
      <c r="AK24" s="21">
        <v>-2.9318199999999999E-2</v>
      </c>
      <c r="AL24">
        <f t="shared" si="6"/>
        <v>18.054199999999998</v>
      </c>
      <c r="AM24">
        <f t="shared" si="7"/>
        <v>-0.53168716289999995</v>
      </c>
      <c r="AP24" s="9"/>
      <c r="AQ24" s="21">
        <v>1.67953</v>
      </c>
      <c r="AR24" s="21">
        <v>283.09800000000001</v>
      </c>
      <c r="AS24" s="21">
        <v>-6.0272199999999998E-3</v>
      </c>
      <c r="AT24" s="21">
        <v>14</v>
      </c>
      <c r="AU24" s="21">
        <v>1.6787700000000001</v>
      </c>
      <c r="AV24">
        <f t="shared" si="8"/>
        <v>6.0272199999999998</v>
      </c>
      <c r="AW24">
        <f t="shared" si="9"/>
        <v>10.1228968066</v>
      </c>
      <c r="AX24" s="9"/>
      <c r="AY24" s="21">
        <v>-2.94495E-2</v>
      </c>
      <c r="AZ24" s="21">
        <v>353.52800000000002</v>
      </c>
      <c r="BA24" s="21">
        <v>-1.8035900000000001E-2</v>
      </c>
      <c r="BB24" s="21">
        <v>14</v>
      </c>
      <c r="BC24" s="21">
        <v>-2.9415899999999998E-2</v>
      </c>
      <c r="BD24">
        <f t="shared" si="10"/>
        <v>18.035900000000002</v>
      </c>
      <c r="BE24">
        <f t="shared" si="11"/>
        <v>-0.53114823705000003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1.6745000000000001</v>
      </c>
      <c r="H25" s="21">
        <v>19.5138</v>
      </c>
      <c r="I25" s="21">
        <v>-8.6273200000000008E-3</v>
      </c>
      <c r="J25" s="21">
        <v>15</v>
      </c>
      <c r="K25" s="21">
        <v>1.6738900000000001</v>
      </c>
      <c r="L25">
        <f t="shared" si="0"/>
        <v>8.627320000000001</v>
      </c>
      <c r="M25">
        <f t="shared" si="1"/>
        <v>14.446447340000002</v>
      </c>
      <c r="N25" s="9"/>
      <c r="O25" s="21">
        <v>-2.4414100000000001E-2</v>
      </c>
      <c r="P25" s="21">
        <v>91.274000000000001</v>
      </c>
      <c r="Q25" s="21">
        <v>-1.8072499999999998E-2</v>
      </c>
      <c r="R25" s="21">
        <v>15</v>
      </c>
      <c r="S25" s="21">
        <v>-2.4197400000000001E-2</v>
      </c>
      <c r="T25">
        <f t="shared" si="2"/>
        <v>18.072499999999998</v>
      </c>
      <c r="U25">
        <f t="shared" si="3"/>
        <v>-0.44122382224999995</v>
      </c>
      <c r="V25" s="22"/>
      <c r="W25" s="23"/>
      <c r="X25" s="9"/>
      <c r="Y25" s="21">
        <v>1.6745000000000001</v>
      </c>
      <c r="Z25" s="21">
        <v>158.94900000000001</v>
      </c>
      <c r="AA25" s="21">
        <v>-7.3730499999999999E-3</v>
      </c>
      <c r="AB25" s="21">
        <v>15</v>
      </c>
      <c r="AC25" s="21">
        <v>1.6735800000000001</v>
      </c>
      <c r="AD25">
        <f t="shared" si="4"/>
        <v>7.3730500000000001</v>
      </c>
      <c r="AE25">
        <f t="shared" si="5"/>
        <v>12.346172225</v>
      </c>
      <c r="AF25" s="9"/>
      <c r="AG25" s="21">
        <v>-2.4414100000000001E-2</v>
      </c>
      <c r="AH25" s="21">
        <v>225.494</v>
      </c>
      <c r="AI25" s="21">
        <v>-1.8057299999999998E-2</v>
      </c>
      <c r="AJ25" s="21">
        <v>15</v>
      </c>
      <c r="AK25" s="21">
        <v>-2.4469000000000001E-2</v>
      </c>
      <c r="AL25">
        <f t="shared" si="6"/>
        <v>18.057299999999998</v>
      </c>
      <c r="AM25">
        <f t="shared" si="7"/>
        <v>-0.44085272792999997</v>
      </c>
      <c r="AP25" s="9"/>
      <c r="AQ25" s="21">
        <v>1.6745000000000001</v>
      </c>
      <c r="AR25" s="21">
        <v>283.19900000000001</v>
      </c>
      <c r="AS25" s="21">
        <v>-7.3272700000000003E-3</v>
      </c>
      <c r="AT25" s="21">
        <v>15</v>
      </c>
      <c r="AU25" s="21">
        <v>1.6735800000000001</v>
      </c>
      <c r="AV25">
        <f t="shared" si="8"/>
        <v>7.3272700000000004</v>
      </c>
      <c r="AW25">
        <f t="shared" si="9"/>
        <v>12.269513615000001</v>
      </c>
      <c r="AX25" s="9"/>
      <c r="AY25" s="21">
        <v>-2.4414100000000001E-2</v>
      </c>
      <c r="AZ25" s="21">
        <v>353.62900000000002</v>
      </c>
      <c r="BA25" s="21">
        <v>-1.8035900000000001E-2</v>
      </c>
      <c r="BB25" s="21">
        <v>15</v>
      </c>
      <c r="BC25" s="21">
        <v>-2.44751E-2</v>
      </c>
      <c r="BD25">
        <f t="shared" si="10"/>
        <v>18.035900000000002</v>
      </c>
      <c r="BE25">
        <f t="shared" si="11"/>
        <v>-0.44033026619000004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1.6694599999999999</v>
      </c>
      <c r="H26" s="21">
        <v>19.6145</v>
      </c>
      <c r="I26" s="21">
        <v>-9.7198500000000004E-3</v>
      </c>
      <c r="J26" s="21">
        <v>16</v>
      </c>
      <c r="K26" s="21">
        <v>1.6687000000000001</v>
      </c>
      <c r="L26">
        <f t="shared" si="0"/>
        <v>9.719850000000001</v>
      </c>
      <c r="M26">
        <f t="shared" si="1"/>
        <v>16.226900781000001</v>
      </c>
      <c r="N26" s="9"/>
      <c r="O26" s="21">
        <v>-1.9378699999999999E-2</v>
      </c>
      <c r="P26" s="21">
        <v>91.374700000000004</v>
      </c>
      <c r="Q26" s="21">
        <v>-1.8069499999999999E-2</v>
      </c>
      <c r="R26" s="21">
        <v>16</v>
      </c>
      <c r="S26" s="21">
        <v>-1.9232200000000001E-2</v>
      </c>
      <c r="T26">
        <f t="shared" si="2"/>
        <v>18.069499999999998</v>
      </c>
      <c r="U26">
        <f t="shared" si="3"/>
        <v>-0.35016341964999992</v>
      </c>
      <c r="V26" s="22"/>
      <c r="W26" s="23"/>
      <c r="X26" s="9"/>
      <c r="Y26" s="21">
        <v>1.6694599999999999</v>
      </c>
      <c r="Z26" s="21">
        <v>159.05000000000001</v>
      </c>
      <c r="AA26" s="21">
        <v>-8.4564199999999992E-3</v>
      </c>
      <c r="AB26" s="21">
        <v>16</v>
      </c>
      <c r="AC26" s="21">
        <v>1.6687000000000001</v>
      </c>
      <c r="AD26">
        <f t="shared" si="4"/>
        <v>8.4564199999999996</v>
      </c>
      <c r="AE26">
        <f t="shared" si="5"/>
        <v>14.117654933199999</v>
      </c>
      <c r="AF26" s="9"/>
      <c r="AG26" s="21">
        <v>-1.9378699999999999E-2</v>
      </c>
      <c r="AH26" s="21">
        <v>225.595</v>
      </c>
      <c r="AI26" s="21">
        <v>-1.8057299999999998E-2</v>
      </c>
      <c r="AJ26" s="21">
        <v>16</v>
      </c>
      <c r="AK26" s="21">
        <v>-1.9574000000000001E-2</v>
      </c>
      <c r="AL26">
        <f t="shared" si="6"/>
        <v>18.057299999999998</v>
      </c>
      <c r="AM26">
        <f t="shared" si="7"/>
        <v>-0.34992699950999995</v>
      </c>
      <c r="AP26" s="9"/>
      <c r="AQ26" s="21">
        <v>1.6694599999999999</v>
      </c>
      <c r="AR26" s="21">
        <v>283.3</v>
      </c>
      <c r="AS26" s="21">
        <v>-8.4045400000000003E-3</v>
      </c>
      <c r="AT26" s="21">
        <v>16</v>
      </c>
      <c r="AU26" s="21">
        <v>1.6690100000000001</v>
      </c>
      <c r="AV26">
        <f t="shared" si="8"/>
        <v>8.4045400000000008</v>
      </c>
      <c r="AW26">
        <f t="shared" si="9"/>
        <v>14.031043348400001</v>
      </c>
      <c r="AX26" s="9"/>
      <c r="AY26" s="21">
        <v>-1.9378699999999999E-2</v>
      </c>
      <c r="AZ26" s="21">
        <v>353.73</v>
      </c>
      <c r="BA26" s="21">
        <v>-1.8032800000000002E-2</v>
      </c>
      <c r="BB26" s="21">
        <v>16</v>
      </c>
      <c r="BC26" s="21">
        <v>-1.94672E-2</v>
      </c>
      <c r="BD26">
        <f t="shared" si="10"/>
        <v>18.032800000000002</v>
      </c>
      <c r="BE26">
        <f t="shared" si="11"/>
        <v>-0.34945222136000004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1.6644300000000001</v>
      </c>
      <c r="H27" s="21">
        <v>19.715199999999999</v>
      </c>
      <c r="I27" s="21">
        <v>-1.0632300000000001E-2</v>
      </c>
      <c r="J27" s="21">
        <v>17</v>
      </c>
      <c r="K27" s="21">
        <v>1.66351</v>
      </c>
      <c r="L27">
        <f t="shared" si="0"/>
        <v>10.632300000000001</v>
      </c>
      <c r="M27">
        <f t="shared" si="1"/>
        <v>17.696719089000002</v>
      </c>
      <c r="N27" s="9"/>
      <c r="O27" s="21">
        <v>-1.43433E-2</v>
      </c>
      <c r="P27" s="21">
        <v>91.475399999999993</v>
      </c>
      <c r="Q27" s="21">
        <v>-1.8072499999999998E-2</v>
      </c>
      <c r="R27" s="21">
        <v>17</v>
      </c>
      <c r="S27" s="21">
        <v>-1.4401199999999999E-2</v>
      </c>
      <c r="T27">
        <f t="shared" si="2"/>
        <v>18.072499999999998</v>
      </c>
      <c r="U27">
        <f t="shared" si="3"/>
        <v>-0.25921928924999998</v>
      </c>
      <c r="X27" s="9"/>
      <c r="Y27" s="21">
        <v>1.6644300000000001</v>
      </c>
      <c r="Z27" s="21">
        <v>159.15</v>
      </c>
      <c r="AA27" s="21">
        <v>-9.4177199999999992E-3</v>
      </c>
      <c r="AB27" s="21">
        <v>17</v>
      </c>
      <c r="AC27" s="21">
        <v>1.6632100000000001</v>
      </c>
      <c r="AD27">
        <f t="shared" si="4"/>
        <v>9.4177199999999992</v>
      </c>
      <c r="AE27">
        <f t="shared" si="5"/>
        <v>15.6751356996</v>
      </c>
      <c r="AF27" s="9"/>
      <c r="AG27" s="21">
        <v>-1.43433E-2</v>
      </c>
      <c r="AH27" s="21">
        <v>225.696</v>
      </c>
      <c r="AI27" s="21">
        <v>-1.8060300000000001E-2</v>
      </c>
      <c r="AJ27" s="21">
        <v>17</v>
      </c>
      <c r="AK27" s="21">
        <v>-1.4505000000000001E-2</v>
      </c>
      <c r="AL27">
        <f t="shared" si="6"/>
        <v>18.060300000000002</v>
      </c>
      <c r="AM27">
        <f t="shared" si="7"/>
        <v>-0.25904430099000003</v>
      </c>
      <c r="AP27" s="9"/>
      <c r="AQ27" s="21">
        <v>1.6644300000000001</v>
      </c>
      <c r="AR27" s="21">
        <v>283.39999999999998</v>
      </c>
      <c r="AS27" s="21">
        <v>-9.3444800000000005E-3</v>
      </c>
      <c r="AT27" s="21">
        <v>17</v>
      </c>
      <c r="AU27" s="21">
        <v>1.66412</v>
      </c>
      <c r="AV27">
        <f t="shared" si="8"/>
        <v>9.3444800000000008</v>
      </c>
      <c r="AW27">
        <f t="shared" si="9"/>
        <v>15.553232846400002</v>
      </c>
      <c r="AX27" s="9"/>
      <c r="AY27" s="21">
        <v>-1.43433E-2</v>
      </c>
      <c r="AZ27" s="21">
        <v>353.83100000000002</v>
      </c>
      <c r="BA27" s="21">
        <v>-1.8032800000000002E-2</v>
      </c>
      <c r="BB27" s="21">
        <v>17</v>
      </c>
      <c r="BC27" s="21">
        <v>-1.44073E-2</v>
      </c>
      <c r="BD27">
        <f t="shared" si="10"/>
        <v>18.032800000000002</v>
      </c>
      <c r="BE27">
        <f t="shared" si="11"/>
        <v>-0.25864986024000003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1.6593899999999999</v>
      </c>
      <c r="H28" s="21">
        <v>19.815899999999999</v>
      </c>
      <c r="I28" s="21">
        <v>-1.13892E-2</v>
      </c>
      <c r="J28" s="21">
        <v>18</v>
      </c>
      <c r="K28" s="21">
        <v>1.65802</v>
      </c>
      <c r="L28">
        <f t="shared" si="0"/>
        <v>11.389200000000001</v>
      </c>
      <c r="M28">
        <f t="shared" si="1"/>
        <v>18.899124587999999</v>
      </c>
      <c r="N28" s="9"/>
      <c r="O28" s="21">
        <v>-9.3078599999999994E-3</v>
      </c>
      <c r="P28" s="21">
        <v>91.576099999999997</v>
      </c>
      <c r="Q28" s="21">
        <v>-1.8069499999999999E-2</v>
      </c>
      <c r="R28" s="21">
        <v>18</v>
      </c>
      <c r="S28" s="21">
        <v>-9.1857899999999992E-3</v>
      </c>
      <c r="T28">
        <f t="shared" si="2"/>
        <v>18.069499999999998</v>
      </c>
      <c r="U28">
        <f t="shared" si="3"/>
        <v>-0.16818837626999997</v>
      </c>
      <c r="X28" s="9"/>
      <c r="Y28" s="21">
        <v>1.6593899999999999</v>
      </c>
      <c r="Z28" s="21">
        <v>159.251</v>
      </c>
      <c r="AA28" s="21">
        <v>-1.02386E-2</v>
      </c>
      <c r="AB28" s="21">
        <v>18</v>
      </c>
      <c r="AC28" s="21">
        <v>1.65802</v>
      </c>
      <c r="AD28">
        <f t="shared" si="4"/>
        <v>10.2386</v>
      </c>
      <c r="AE28">
        <f t="shared" si="5"/>
        <v>16.989830454</v>
      </c>
      <c r="AF28" s="9"/>
      <c r="AG28" s="21">
        <v>-9.3078599999999994E-3</v>
      </c>
      <c r="AH28" s="21">
        <v>225.79599999999999</v>
      </c>
      <c r="AI28" s="21">
        <v>-1.8054199999999999E-2</v>
      </c>
      <c r="AJ28" s="21">
        <v>18</v>
      </c>
      <c r="AK28" s="21">
        <v>-9.4512899999999993E-3</v>
      </c>
      <c r="AL28">
        <f t="shared" si="6"/>
        <v>18.054199999999998</v>
      </c>
      <c r="AM28">
        <f t="shared" si="7"/>
        <v>-0.16804596601199998</v>
      </c>
      <c r="AP28" s="9"/>
      <c r="AQ28" s="21">
        <v>1.6593899999999999</v>
      </c>
      <c r="AR28" s="21">
        <v>283.50099999999998</v>
      </c>
      <c r="AS28" s="21">
        <v>-1.0189800000000001E-2</v>
      </c>
      <c r="AT28" s="21">
        <v>18</v>
      </c>
      <c r="AU28" s="21">
        <v>1.6583300000000001</v>
      </c>
      <c r="AV28">
        <f t="shared" si="8"/>
        <v>10.1898</v>
      </c>
      <c r="AW28">
        <f t="shared" si="9"/>
        <v>16.908852222</v>
      </c>
      <c r="AX28" s="9"/>
      <c r="AY28" s="21">
        <v>-9.3078599999999994E-3</v>
      </c>
      <c r="AZ28" s="21">
        <v>353.93099999999998</v>
      </c>
      <c r="BA28" s="21">
        <v>-1.8035900000000001E-2</v>
      </c>
      <c r="BB28" s="21">
        <v>18</v>
      </c>
      <c r="BC28" s="21">
        <v>-9.1705299999999997E-3</v>
      </c>
      <c r="BD28">
        <f t="shared" si="10"/>
        <v>18.035900000000002</v>
      </c>
      <c r="BE28">
        <f t="shared" si="11"/>
        <v>-0.16787563217400001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1.6543600000000001</v>
      </c>
      <c r="H29" s="21">
        <v>19.916599999999999</v>
      </c>
      <c r="I29" s="21">
        <v>-1.19965E-2</v>
      </c>
      <c r="J29" s="21">
        <v>19</v>
      </c>
      <c r="K29" s="21">
        <v>1.65344</v>
      </c>
      <c r="L29">
        <f t="shared" si="0"/>
        <v>11.996500000000001</v>
      </c>
      <c r="M29">
        <f t="shared" si="1"/>
        <v>19.846529740000001</v>
      </c>
      <c r="N29" s="9"/>
      <c r="O29" s="21">
        <v>-4.2724599999999996E-3</v>
      </c>
      <c r="P29" s="21">
        <v>91.6768</v>
      </c>
      <c r="Q29" s="21">
        <v>-1.8069499999999999E-2</v>
      </c>
      <c r="R29" s="21">
        <v>19</v>
      </c>
      <c r="S29" s="21">
        <v>-4.4067400000000001E-3</v>
      </c>
      <c r="T29">
        <f t="shared" si="2"/>
        <v>18.069499999999998</v>
      </c>
      <c r="U29">
        <f t="shared" si="3"/>
        <v>-7.7201215969999987E-2</v>
      </c>
      <c r="X29" s="9"/>
      <c r="Y29" s="21">
        <v>1.6543600000000001</v>
      </c>
      <c r="Z29" s="21">
        <v>159.352</v>
      </c>
      <c r="AA29" s="21">
        <v>-1.09894E-2</v>
      </c>
      <c r="AB29" s="21">
        <v>19</v>
      </c>
      <c r="AC29" s="21">
        <v>1.6531400000000001</v>
      </c>
      <c r="AD29">
        <f t="shared" si="4"/>
        <v>10.9894</v>
      </c>
      <c r="AE29">
        <f t="shared" si="5"/>
        <v>18.180423784000002</v>
      </c>
      <c r="AF29" s="9"/>
      <c r="AG29" s="21">
        <v>-4.2724599999999996E-3</v>
      </c>
      <c r="AH29" s="21">
        <v>225.89699999999999</v>
      </c>
      <c r="AI29" s="21">
        <v>-1.8054199999999999E-2</v>
      </c>
      <c r="AJ29" s="21">
        <v>19</v>
      </c>
      <c r="AK29" s="21">
        <v>-4.1351299999999999E-3</v>
      </c>
      <c r="AL29">
        <f t="shared" si="6"/>
        <v>18.054199999999998</v>
      </c>
      <c r="AM29">
        <f t="shared" si="7"/>
        <v>-7.713584733199999E-2</v>
      </c>
      <c r="AP29" s="9"/>
      <c r="AQ29" s="21">
        <v>1.6543600000000001</v>
      </c>
      <c r="AR29" s="21">
        <v>283.60199999999998</v>
      </c>
      <c r="AS29" s="21">
        <v>-1.09161E-2</v>
      </c>
      <c r="AT29" s="21">
        <v>19</v>
      </c>
      <c r="AU29" s="21">
        <v>1.6537500000000001</v>
      </c>
      <c r="AV29">
        <f t="shared" si="8"/>
        <v>10.9161</v>
      </c>
      <c r="AW29">
        <f t="shared" si="9"/>
        <v>18.059159196</v>
      </c>
      <c r="AX29" s="9"/>
      <c r="AY29" s="21">
        <v>-4.2724599999999996E-3</v>
      </c>
      <c r="AZ29" s="21">
        <v>354.03199999999998</v>
      </c>
      <c r="BA29" s="21">
        <v>-1.8029799999999999E-2</v>
      </c>
      <c r="BB29" s="21">
        <v>19</v>
      </c>
      <c r="BC29" s="21">
        <v>-4.3487500000000002E-3</v>
      </c>
      <c r="BD29">
        <f t="shared" si="10"/>
        <v>18.029799999999998</v>
      </c>
      <c r="BE29">
        <f t="shared" si="11"/>
        <v>-7.7031599307999979E-2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1.6493199999999999</v>
      </c>
      <c r="H30" s="21">
        <v>20.017399999999999</v>
      </c>
      <c r="I30" s="21">
        <v>-1.2545799999999999E-2</v>
      </c>
      <c r="J30" s="21">
        <v>20</v>
      </c>
      <c r="K30" s="21">
        <v>1.64886</v>
      </c>
      <c r="L30">
        <f t="shared" si="0"/>
        <v>12.5458</v>
      </c>
      <c r="M30">
        <f t="shared" si="1"/>
        <v>20.692038856</v>
      </c>
      <c r="N30" s="9"/>
      <c r="O30" s="21">
        <v>7.6293900000000002E-4</v>
      </c>
      <c r="P30" s="21">
        <v>91.777500000000003</v>
      </c>
      <c r="Q30" s="21">
        <v>-1.80664E-2</v>
      </c>
      <c r="R30" s="21">
        <v>20</v>
      </c>
      <c r="S30" s="21">
        <v>9.6740699999999999E-4</v>
      </c>
      <c r="T30">
        <f t="shared" si="2"/>
        <v>18.066400000000002</v>
      </c>
      <c r="U30">
        <f t="shared" si="3"/>
        <v>1.3783561149600002E-2</v>
      </c>
      <c r="X30" s="9"/>
      <c r="Y30" s="21">
        <v>1.6493199999999999</v>
      </c>
      <c r="Z30" s="21">
        <v>159.453</v>
      </c>
      <c r="AA30" s="21">
        <v>-1.1605799999999999E-2</v>
      </c>
      <c r="AB30" s="21">
        <v>20</v>
      </c>
      <c r="AC30" s="21">
        <v>1.64856</v>
      </c>
      <c r="AD30">
        <f t="shared" si="4"/>
        <v>11.605799999999999</v>
      </c>
      <c r="AE30">
        <f t="shared" si="5"/>
        <v>19.141678055999996</v>
      </c>
      <c r="AF30" s="9"/>
      <c r="AG30" s="21">
        <v>7.6293900000000002E-4</v>
      </c>
      <c r="AH30" s="21">
        <v>225.99799999999999</v>
      </c>
      <c r="AI30" s="21">
        <v>-1.80511E-2</v>
      </c>
      <c r="AJ30" s="21">
        <v>20</v>
      </c>
      <c r="AK30" s="21">
        <v>9.3689000000000001E-4</v>
      </c>
      <c r="AL30">
        <f t="shared" si="6"/>
        <v>18.051100000000002</v>
      </c>
      <c r="AM30">
        <f t="shared" si="7"/>
        <v>1.3771888182900002E-2</v>
      </c>
      <c r="AP30" s="9"/>
      <c r="AQ30" s="21">
        <v>1.6493199999999999</v>
      </c>
      <c r="AR30" s="21">
        <v>283.70299999999997</v>
      </c>
      <c r="AS30" s="21">
        <v>-1.15234E-2</v>
      </c>
      <c r="AT30" s="21">
        <v>20</v>
      </c>
      <c r="AU30" s="21">
        <v>1.64856</v>
      </c>
      <c r="AV30">
        <f t="shared" si="8"/>
        <v>11.523399999999999</v>
      </c>
      <c r="AW30">
        <f t="shared" si="9"/>
        <v>19.005774087999995</v>
      </c>
      <c r="AX30" s="9"/>
      <c r="AY30" s="21">
        <v>7.6293900000000002E-4</v>
      </c>
      <c r="AZ30" s="21">
        <v>354.13299999999998</v>
      </c>
      <c r="BA30" s="21">
        <v>-1.8032800000000002E-2</v>
      </c>
      <c r="BB30" s="21">
        <v>20</v>
      </c>
      <c r="BC30" s="21">
        <v>3.14331E-4</v>
      </c>
      <c r="BD30">
        <f t="shared" si="10"/>
        <v>18.032800000000002</v>
      </c>
      <c r="BE30">
        <f t="shared" si="11"/>
        <v>1.3757926399200001E-2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1.64429</v>
      </c>
      <c r="H31" s="21">
        <v>20.118099999999998</v>
      </c>
      <c r="I31" s="21">
        <v>-1.2982199999999999E-2</v>
      </c>
      <c r="J31" s="21">
        <v>21</v>
      </c>
      <c r="K31" s="21">
        <v>1.64337</v>
      </c>
      <c r="L31">
        <f t="shared" si="0"/>
        <v>12.982199999999999</v>
      </c>
      <c r="M31">
        <f t="shared" si="1"/>
        <v>21.346501637999999</v>
      </c>
      <c r="N31" s="9"/>
      <c r="O31" s="21">
        <v>5.7983399999999999E-3</v>
      </c>
      <c r="P31" s="21">
        <v>91.878200000000007</v>
      </c>
      <c r="Q31" s="21">
        <v>-1.8069499999999999E-2</v>
      </c>
      <c r="R31" s="21">
        <v>21</v>
      </c>
      <c r="S31" s="21">
        <v>5.4168699999999998E-3</v>
      </c>
      <c r="T31">
        <f t="shared" si="2"/>
        <v>18.069499999999998</v>
      </c>
      <c r="U31">
        <f t="shared" si="3"/>
        <v>0.10477310462999999</v>
      </c>
      <c r="X31" s="9"/>
      <c r="Y31" s="21">
        <v>1.64429</v>
      </c>
      <c r="Z31" s="21">
        <v>159.553</v>
      </c>
      <c r="AA31" s="21">
        <v>-1.2130699999999999E-2</v>
      </c>
      <c r="AB31" s="21">
        <v>21</v>
      </c>
      <c r="AC31" s="21">
        <v>1.64429</v>
      </c>
      <c r="AD31">
        <f t="shared" si="4"/>
        <v>12.130699999999999</v>
      </c>
      <c r="AE31">
        <f t="shared" si="5"/>
        <v>19.946388703</v>
      </c>
      <c r="AF31" s="9"/>
      <c r="AG31" s="21">
        <v>5.7983399999999999E-3</v>
      </c>
      <c r="AH31" s="21">
        <v>226.09800000000001</v>
      </c>
      <c r="AI31" s="21">
        <v>-1.8054199999999999E-2</v>
      </c>
      <c r="AJ31" s="21">
        <v>21</v>
      </c>
      <c r="AK31" s="21">
        <v>5.1849399999999999E-3</v>
      </c>
      <c r="AL31">
        <f t="shared" si="6"/>
        <v>18.054199999999998</v>
      </c>
      <c r="AM31">
        <f t="shared" si="7"/>
        <v>0.10468439002799999</v>
      </c>
      <c r="AP31" s="9"/>
      <c r="AQ31" s="21">
        <v>1.64429</v>
      </c>
      <c r="AR31" s="21">
        <v>283.803</v>
      </c>
      <c r="AS31" s="21">
        <v>-1.20453E-2</v>
      </c>
      <c r="AT31" s="21">
        <v>21</v>
      </c>
      <c r="AU31" s="21">
        <v>1.64337</v>
      </c>
      <c r="AV31">
        <f t="shared" si="8"/>
        <v>12.045299999999999</v>
      </c>
      <c r="AW31">
        <f t="shared" si="9"/>
        <v>19.805966336999997</v>
      </c>
      <c r="AX31" s="9"/>
      <c r="AY31" s="21">
        <v>5.7983399999999999E-3</v>
      </c>
      <c r="AZ31" s="21">
        <v>354.233</v>
      </c>
      <c r="BA31" s="21">
        <v>-1.80267E-2</v>
      </c>
      <c r="BB31" s="21">
        <v>21</v>
      </c>
      <c r="BC31" s="21">
        <v>5.83191E-3</v>
      </c>
      <c r="BD31">
        <f t="shared" si="10"/>
        <v>18.026699999999998</v>
      </c>
      <c r="BE31">
        <f t="shared" si="11"/>
        <v>0.10452493567799999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1.6392500000000001</v>
      </c>
      <c r="H32" s="21">
        <v>20.218800000000002</v>
      </c>
      <c r="I32" s="21">
        <v>-1.33636E-2</v>
      </c>
      <c r="J32" s="21">
        <v>22</v>
      </c>
      <c r="K32" s="21">
        <v>1.63879</v>
      </c>
      <c r="L32">
        <f t="shared" si="0"/>
        <v>13.3636</v>
      </c>
      <c r="M32">
        <f t="shared" si="1"/>
        <v>21.9062813</v>
      </c>
      <c r="N32" s="9"/>
      <c r="O32" s="21">
        <v>1.08337E-2</v>
      </c>
      <c r="P32" s="21">
        <v>91.978899999999996</v>
      </c>
      <c r="Q32" s="21">
        <v>-1.8069499999999999E-2</v>
      </c>
      <c r="R32" s="21">
        <v>22</v>
      </c>
      <c r="S32" s="21">
        <v>1.0870400000000001E-2</v>
      </c>
      <c r="T32">
        <f t="shared" si="2"/>
        <v>18.069499999999998</v>
      </c>
      <c r="U32">
        <f t="shared" si="3"/>
        <v>0.19575954214999997</v>
      </c>
      <c r="X32" s="9"/>
      <c r="Y32" s="21">
        <v>1.6392500000000001</v>
      </c>
      <c r="Z32" s="21">
        <v>159.654</v>
      </c>
      <c r="AA32" s="21">
        <v>-1.25793E-2</v>
      </c>
      <c r="AB32" s="21">
        <v>22</v>
      </c>
      <c r="AC32" s="21">
        <v>1.63849</v>
      </c>
      <c r="AD32">
        <f t="shared" si="4"/>
        <v>12.5793</v>
      </c>
      <c r="AE32">
        <f t="shared" si="5"/>
        <v>20.620617525</v>
      </c>
      <c r="AF32" s="9"/>
      <c r="AG32" s="21">
        <v>1.08337E-2</v>
      </c>
      <c r="AH32" s="21">
        <v>226.19900000000001</v>
      </c>
      <c r="AI32" s="21">
        <v>-1.8054199999999999E-2</v>
      </c>
      <c r="AJ32" s="21">
        <v>22</v>
      </c>
      <c r="AK32" s="21">
        <v>1.12885E-2</v>
      </c>
      <c r="AL32">
        <f t="shared" si="6"/>
        <v>18.054199999999998</v>
      </c>
      <c r="AM32">
        <f t="shared" si="7"/>
        <v>0.19559378653999998</v>
      </c>
      <c r="AP32" s="9"/>
      <c r="AQ32" s="21">
        <v>1.6392500000000001</v>
      </c>
      <c r="AR32" s="21">
        <v>283.904</v>
      </c>
      <c r="AS32" s="21">
        <v>-1.25031E-2</v>
      </c>
      <c r="AT32" s="21">
        <v>22</v>
      </c>
      <c r="AU32" s="21">
        <v>1.63849</v>
      </c>
      <c r="AV32">
        <f t="shared" si="8"/>
        <v>12.5031</v>
      </c>
      <c r="AW32">
        <f t="shared" si="9"/>
        <v>20.495706675000001</v>
      </c>
      <c r="AX32" s="9"/>
      <c r="AY32" s="21">
        <v>1.08337E-2</v>
      </c>
      <c r="AZ32" s="21">
        <v>354.334</v>
      </c>
      <c r="BA32" s="21">
        <v>-1.8029799999999999E-2</v>
      </c>
      <c r="BB32" s="21">
        <v>22</v>
      </c>
      <c r="BC32" s="21">
        <v>1.08124E-2</v>
      </c>
      <c r="BD32">
        <f t="shared" si="10"/>
        <v>18.029799999999998</v>
      </c>
      <c r="BE32">
        <f t="shared" si="11"/>
        <v>0.19532944425999998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1.63422</v>
      </c>
      <c r="H33" s="21">
        <v>20.319500000000001</v>
      </c>
      <c r="I33" s="21">
        <v>-1.37085E-2</v>
      </c>
      <c r="J33" s="21">
        <v>23</v>
      </c>
      <c r="K33" s="21">
        <v>1.63361</v>
      </c>
      <c r="L33">
        <f t="shared" si="0"/>
        <v>13.708500000000001</v>
      </c>
      <c r="M33">
        <f t="shared" si="1"/>
        <v>22.402704870000001</v>
      </c>
      <c r="N33" s="9"/>
      <c r="O33" s="21">
        <v>1.5869100000000001E-2</v>
      </c>
      <c r="P33" s="21">
        <v>92.079599999999999</v>
      </c>
      <c r="Q33" s="21">
        <v>-1.80664E-2</v>
      </c>
      <c r="R33" s="21">
        <v>23</v>
      </c>
      <c r="S33" s="21">
        <v>1.5649400000000001E-2</v>
      </c>
      <c r="T33">
        <f t="shared" si="2"/>
        <v>18.066400000000002</v>
      </c>
      <c r="U33">
        <f t="shared" si="3"/>
        <v>0.28669750824000001</v>
      </c>
      <c r="X33" s="9"/>
      <c r="Y33" s="21">
        <v>1.63422</v>
      </c>
      <c r="Z33" s="21">
        <v>159.755</v>
      </c>
      <c r="AA33" s="21">
        <v>-1.30066E-2</v>
      </c>
      <c r="AB33" s="21">
        <v>23</v>
      </c>
      <c r="AC33" s="21">
        <v>1.63361</v>
      </c>
      <c r="AD33">
        <f t="shared" si="4"/>
        <v>13.006600000000001</v>
      </c>
      <c r="AE33">
        <f t="shared" si="5"/>
        <v>21.255645852000001</v>
      </c>
      <c r="AF33" s="9"/>
      <c r="AG33" s="21">
        <v>1.5869100000000001E-2</v>
      </c>
      <c r="AH33" s="21">
        <v>226.3</v>
      </c>
      <c r="AI33" s="21">
        <v>-1.8054199999999999E-2</v>
      </c>
      <c r="AJ33" s="21">
        <v>23</v>
      </c>
      <c r="AK33" s="21">
        <v>1.58844E-2</v>
      </c>
      <c r="AL33">
        <f t="shared" si="6"/>
        <v>18.054199999999998</v>
      </c>
      <c r="AM33">
        <f t="shared" si="7"/>
        <v>0.28650390521999997</v>
      </c>
      <c r="AP33" s="9"/>
      <c r="AQ33" s="21">
        <v>1.63422</v>
      </c>
      <c r="AR33" s="21">
        <v>284.005</v>
      </c>
      <c r="AS33" s="21">
        <v>-1.29242E-2</v>
      </c>
      <c r="AT33" s="21">
        <v>23</v>
      </c>
      <c r="AU33" s="21">
        <v>1.63361</v>
      </c>
      <c r="AV33">
        <f t="shared" si="8"/>
        <v>12.924200000000001</v>
      </c>
      <c r="AW33">
        <f t="shared" si="9"/>
        <v>21.120986124000002</v>
      </c>
      <c r="AX33" s="9"/>
      <c r="AY33" s="21">
        <v>1.5869100000000001E-2</v>
      </c>
      <c r="AZ33" s="21">
        <v>354.435</v>
      </c>
      <c r="BA33" s="21">
        <v>-1.80267E-2</v>
      </c>
      <c r="BB33" s="21">
        <v>23</v>
      </c>
      <c r="BC33" s="21">
        <v>1.5905800000000001E-2</v>
      </c>
      <c r="BD33">
        <f t="shared" si="10"/>
        <v>18.026699999999998</v>
      </c>
      <c r="BE33">
        <f t="shared" si="11"/>
        <v>0.28606750497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1.6291800000000001</v>
      </c>
      <c r="H34" s="21">
        <v>20.420200000000001</v>
      </c>
      <c r="I34" s="21">
        <v>-1.40106E-2</v>
      </c>
      <c r="J34" s="21">
        <v>24</v>
      </c>
      <c r="K34" s="21">
        <v>1.6287199999999999</v>
      </c>
      <c r="L34">
        <f t="shared" si="0"/>
        <v>14.0106</v>
      </c>
      <c r="M34">
        <f t="shared" si="1"/>
        <v>22.825789308000001</v>
      </c>
      <c r="N34" s="9"/>
      <c r="O34" s="21">
        <v>2.0904499999999999E-2</v>
      </c>
      <c r="P34" s="21">
        <v>92.180300000000003</v>
      </c>
      <c r="Q34" s="21">
        <v>-1.80664E-2</v>
      </c>
      <c r="R34" s="21">
        <v>24</v>
      </c>
      <c r="S34" s="21">
        <v>2.0709200000000001E-2</v>
      </c>
      <c r="T34">
        <f t="shared" si="2"/>
        <v>18.066400000000002</v>
      </c>
      <c r="U34">
        <f t="shared" si="3"/>
        <v>0.37766905880000001</v>
      </c>
      <c r="X34" s="9"/>
      <c r="Y34" s="21">
        <v>1.6291800000000001</v>
      </c>
      <c r="Z34" s="21">
        <v>159.85499999999999</v>
      </c>
      <c r="AA34" s="21">
        <v>-1.3378900000000001E-2</v>
      </c>
      <c r="AB34" s="21">
        <v>24</v>
      </c>
      <c r="AC34" s="21">
        <v>1.62842</v>
      </c>
      <c r="AD34">
        <f t="shared" si="4"/>
        <v>13.378900000000002</v>
      </c>
      <c r="AE34">
        <f t="shared" si="5"/>
        <v>21.796636302000003</v>
      </c>
      <c r="AF34" s="9"/>
      <c r="AG34" s="21">
        <v>2.0904499999999999E-2</v>
      </c>
      <c r="AH34" s="21">
        <v>226.4</v>
      </c>
      <c r="AI34" s="21">
        <v>-1.8054199999999999E-2</v>
      </c>
      <c r="AJ34" s="21">
        <v>24</v>
      </c>
      <c r="AK34" s="21">
        <v>2.10358E-2</v>
      </c>
      <c r="AL34">
        <f t="shared" si="6"/>
        <v>18.054199999999998</v>
      </c>
      <c r="AM34">
        <f t="shared" si="7"/>
        <v>0.37741402389999995</v>
      </c>
      <c r="AP34" s="9"/>
      <c r="AQ34" s="21">
        <v>1.6291800000000001</v>
      </c>
      <c r="AR34" s="21">
        <v>284.10500000000002</v>
      </c>
      <c r="AS34" s="21">
        <v>-1.33118E-2</v>
      </c>
      <c r="AT34" s="21">
        <v>24</v>
      </c>
      <c r="AU34" s="21">
        <v>1.62842</v>
      </c>
      <c r="AV34">
        <f t="shared" si="8"/>
        <v>13.3118</v>
      </c>
      <c r="AW34">
        <f t="shared" si="9"/>
        <v>21.687318324</v>
      </c>
      <c r="AX34" s="9"/>
      <c r="AY34" s="21">
        <v>2.0904499999999999E-2</v>
      </c>
      <c r="AZ34" s="21">
        <v>354.536</v>
      </c>
      <c r="BA34" s="21">
        <v>-1.80237E-2</v>
      </c>
      <c r="BB34" s="21">
        <v>24</v>
      </c>
      <c r="BC34" s="21">
        <v>2.1252400000000001E-2</v>
      </c>
      <c r="BD34">
        <f t="shared" si="10"/>
        <v>18.023700000000002</v>
      </c>
      <c r="BE34">
        <f t="shared" si="11"/>
        <v>0.37677643665000005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1.62415</v>
      </c>
      <c r="H35" s="21">
        <v>20.520900000000001</v>
      </c>
      <c r="I35" s="21">
        <v>-1.4285300000000001E-2</v>
      </c>
      <c r="J35" s="21">
        <v>25</v>
      </c>
      <c r="K35" s="21">
        <v>1.62323</v>
      </c>
      <c r="L35">
        <f t="shared" si="0"/>
        <v>14.285300000000001</v>
      </c>
      <c r="M35">
        <f t="shared" si="1"/>
        <v>23.201469995</v>
      </c>
      <c r="N35" s="9"/>
      <c r="O35" s="21">
        <v>2.5939899999999998E-2</v>
      </c>
      <c r="P35" s="21">
        <v>92.281099999999995</v>
      </c>
      <c r="Q35" s="21">
        <v>-1.80664E-2</v>
      </c>
      <c r="R35" s="21">
        <v>25</v>
      </c>
      <c r="S35" s="21">
        <v>2.6058999999999999E-2</v>
      </c>
      <c r="T35">
        <f t="shared" si="2"/>
        <v>18.066400000000002</v>
      </c>
      <c r="U35">
        <f t="shared" si="3"/>
        <v>0.46864060936000002</v>
      </c>
      <c r="X35" s="9"/>
      <c r="Y35" s="21">
        <v>1.62415</v>
      </c>
      <c r="Z35" s="21">
        <v>159.95599999999999</v>
      </c>
      <c r="AA35" s="21">
        <v>-1.37054E-2</v>
      </c>
      <c r="AB35" s="21">
        <v>25</v>
      </c>
      <c r="AC35" s="21">
        <v>1.62323</v>
      </c>
      <c r="AD35">
        <f t="shared" si="4"/>
        <v>13.705399999999999</v>
      </c>
      <c r="AE35">
        <f t="shared" si="5"/>
        <v>22.259625409999998</v>
      </c>
      <c r="AF35" s="9"/>
      <c r="AG35" s="21">
        <v>2.5939899999999998E-2</v>
      </c>
      <c r="AH35" s="21">
        <v>226.501</v>
      </c>
      <c r="AI35" s="21">
        <v>-1.80511E-2</v>
      </c>
      <c r="AJ35" s="21">
        <v>25</v>
      </c>
      <c r="AK35" s="21">
        <v>2.6251199999999999E-2</v>
      </c>
      <c r="AL35">
        <f t="shared" si="6"/>
        <v>18.051100000000002</v>
      </c>
      <c r="AM35">
        <f t="shared" si="7"/>
        <v>0.46824372888999999</v>
      </c>
      <c r="AP35" s="9"/>
      <c r="AQ35" s="21">
        <v>1.62415</v>
      </c>
      <c r="AR35" s="21">
        <v>284.20600000000002</v>
      </c>
      <c r="AS35" s="21">
        <v>-1.36353E-2</v>
      </c>
      <c r="AT35" s="21">
        <v>25</v>
      </c>
      <c r="AU35" s="21">
        <v>1.6229199999999999</v>
      </c>
      <c r="AV35">
        <f t="shared" si="8"/>
        <v>13.635299999999999</v>
      </c>
      <c r="AW35">
        <f t="shared" si="9"/>
        <v>22.145772494999999</v>
      </c>
      <c r="AX35" s="9"/>
      <c r="AY35" s="21">
        <v>2.5939899999999998E-2</v>
      </c>
      <c r="AZ35" s="21">
        <v>354.63600000000002</v>
      </c>
      <c r="BA35" s="21">
        <v>-1.80267E-2</v>
      </c>
      <c r="BB35" s="21">
        <v>25</v>
      </c>
      <c r="BC35" s="21">
        <v>2.62451E-2</v>
      </c>
      <c r="BD35">
        <f t="shared" si="10"/>
        <v>18.026699999999998</v>
      </c>
      <c r="BE35">
        <f t="shared" si="11"/>
        <v>0.46761079532999994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1.61911</v>
      </c>
      <c r="H36" s="21">
        <v>20.621600000000001</v>
      </c>
      <c r="I36" s="21">
        <v>-1.45142E-2</v>
      </c>
      <c r="J36" s="21">
        <v>26</v>
      </c>
      <c r="K36" s="21">
        <v>1.6186499999999999</v>
      </c>
      <c r="L36">
        <f t="shared" si="0"/>
        <v>14.514199999999999</v>
      </c>
      <c r="M36">
        <f t="shared" si="1"/>
        <v>23.500086361999998</v>
      </c>
      <c r="N36" s="9"/>
      <c r="O36" s="21">
        <v>3.0975300000000001E-2</v>
      </c>
      <c r="P36" s="21">
        <v>92.381799999999998</v>
      </c>
      <c r="Q36" s="21">
        <v>-1.80634E-2</v>
      </c>
      <c r="R36" s="21">
        <v>26</v>
      </c>
      <c r="S36" s="21">
        <v>3.125E-2</v>
      </c>
      <c r="T36">
        <f t="shared" si="2"/>
        <v>18.063400000000001</v>
      </c>
      <c r="U36">
        <f t="shared" si="3"/>
        <v>0.55951923402000003</v>
      </c>
      <c r="X36" s="9"/>
      <c r="Y36" s="21">
        <v>1.61911</v>
      </c>
      <c r="Z36" s="21">
        <v>160.05699999999999</v>
      </c>
      <c r="AA36" s="21">
        <v>-1.39954E-2</v>
      </c>
      <c r="AB36" s="21">
        <v>26</v>
      </c>
      <c r="AC36" s="21">
        <v>1.61835</v>
      </c>
      <c r="AD36">
        <f t="shared" si="4"/>
        <v>13.9954</v>
      </c>
      <c r="AE36">
        <f t="shared" si="5"/>
        <v>22.660092093999999</v>
      </c>
      <c r="AF36" s="9"/>
      <c r="AG36" s="21">
        <v>3.0975300000000001E-2</v>
      </c>
      <c r="AH36" s="21">
        <v>226.602</v>
      </c>
      <c r="AI36" s="21">
        <v>-1.8044999999999999E-2</v>
      </c>
      <c r="AJ36" s="21">
        <v>26</v>
      </c>
      <c r="AK36" s="21">
        <v>3.0981399999999999E-2</v>
      </c>
      <c r="AL36">
        <f t="shared" si="6"/>
        <v>18.044999999999998</v>
      </c>
      <c r="AM36">
        <f t="shared" si="7"/>
        <v>0.55894928849999992</v>
      </c>
      <c r="AP36" s="9"/>
      <c r="AQ36" s="21">
        <v>1.61911</v>
      </c>
      <c r="AR36" s="21">
        <v>284.30700000000002</v>
      </c>
      <c r="AS36" s="21">
        <v>-1.39221E-2</v>
      </c>
      <c r="AT36" s="21">
        <v>26</v>
      </c>
      <c r="AU36" s="21">
        <v>1.61835</v>
      </c>
      <c r="AV36">
        <f t="shared" si="8"/>
        <v>13.9221</v>
      </c>
      <c r="AW36">
        <f t="shared" si="9"/>
        <v>22.541411331000003</v>
      </c>
      <c r="AX36" s="9"/>
      <c r="AY36" s="21">
        <v>3.0975300000000001E-2</v>
      </c>
      <c r="AZ36" s="21">
        <v>354.73700000000002</v>
      </c>
      <c r="BA36" s="21">
        <v>-1.8020600000000001E-2</v>
      </c>
      <c r="BB36" s="21">
        <v>26</v>
      </c>
      <c r="BC36" s="21">
        <v>3.04993E-2</v>
      </c>
      <c r="BD36">
        <f t="shared" si="10"/>
        <v>18.020600000000002</v>
      </c>
      <c r="BE36">
        <f t="shared" si="11"/>
        <v>0.55819349118000006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1.6140699999999999</v>
      </c>
      <c r="H37" s="21">
        <v>20.722300000000001</v>
      </c>
      <c r="I37" s="21">
        <v>-1.474E-2</v>
      </c>
      <c r="J37" s="21">
        <v>27</v>
      </c>
      <c r="K37" s="21">
        <v>1.6131599999999999</v>
      </c>
      <c r="L37">
        <f t="shared" si="0"/>
        <v>14.74</v>
      </c>
      <c r="M37">
        <f t="shared" si="1"/>
        <v>23.7913918</v>
      </c>
      <c r="N37" s="9"/>
      <c r="O37" s="21">
        <v>3.60107E-2</v>
      </c>
      <c r="P37" s="21">
        <v>92.482500000000002</v>
      </c>
      <c r="Q37" s="21">
        <v>-1.8060300000000001E-2</v>
      </c>
      <c r="R37" s="21">
        <v>27</v>
      </c>
      <c r="S37" s="21">
        <v>3.5778799999999999E-2</v>
      </c>
      <c r="T37">
        <f t="shared" si="2"/>
        <v>18.060300000000002</v>
      </c>
      <c r="U37">
        <f t="shared" si="3"/>
        <v>0.65036404521000002</v>
      </c>
      <c r="X37" s="9"/>
      <c r="Y37" s="21">
        <v>1.6140699999999999</v>
      </c>
      <c r="Z37" s="21">
        <v>160.15799999999999</v>
      </c>
      <c r="AA37" s="21">
        <v>-1.4263899999999999E-2</v>
      </c>
      <c r="AB37" s="21">
        <v>27</v>
      </c>
      <c r="AC37" s="21">
        <v>1.6128499999999999</v>
      </c>
      <c r="AD37">
        <f t="shared" si="4"/>
        <v>14.2639</v>
      </c>
      <c r="AE37">
        <f t="shared" si="5"/>
        <v>23.022933072999997</v>
      </c>
      <c r="AF37" s="9"/>
      <c r="AG37" s="21">
        <v>3.60107E-2</v>
      </c>
      <c r="AH37" s="21">
        <v>226.703</v>
      </c>
      <c r="AI37" s="21">
        <v>-1.8041999999999999E-2</v>
      </c>
      <c r="AJ37" s="21">
        <v>27</v>
      </c>
      <c r="AK37" s="21">
        <v>3.5757400000000002E-2</v>
      </c>
      <c r="AL37">
        <f t="shared" si="6"/>
        <v>18.041999999999998</v>
      </c>
      <c r="AM37">
        <f t="shared" si="7"/>
        <v>0.64970504939999996</v>
      </c>
      <c r="AP37" s="9"/>
      <c r="AQ37" s="21">
        <v>1.6140699999999999</v>
      </c>
      <c r="AR37" s="21">
        <v>284.40699999999998</v>
      </c>
      <c r="AS37" s="21">
        <v>-1.4169299999999999E-2</v>
      </c>
      <c r="AT37" s="21">
        <v>27</v>
      </c>
      <c r="AU37" s="21">
        <v>1.6134599999999999</v>
      </c>
      <c r="AV37">
        <f t="shared" si="8"/>
        <v>14.1693</v>
      </c>
      <c r="AW37">
        <f t="shared" si="9"/>
        <v>22.870242050999998</v>
      </c>
      <c r="AX37" s="9"/>
      <c r="AY37" s="21">
        <v>3.60107E-2</v>
      </c>
      <c r="AZ37" s="21">
        <v>354.83800000000002</v>
      </c>
      <c r="BA37" s="21">
        <v>-1.8017600000000002E-2</v>
      </c>
      <c r="BB37" s="21">
        <v>27</v>
      </c>
      <c r="BC37" s="21">
        <v>3.65814E-2</v>
      </c>
      <c r="BD37">
        <f t="shared" si="10"/>
        <v>18.017600000000002</v>
      </c>
      <c r="BE37">
        <f t="shared" si="11"/>
        <v>0.64882638832000006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1.60904</v>
      </c>
      <c r="H38" s="21">
        <v>20.823</v>
      </c>
      <c r="I38" s="21">
        <v>-1.4953599999999999E-2</v>
      </c>
      <c r="J38" s="21">
        <v>28</v>
      </c>
      <c r="K38" s="21">
        <v>1.6082799999999999</v>
      </c>
      <c r="L38">
        <f t="shared" si="0"/>
        <v>14.9536</v>
      </c>
      <c r="M38">
        <f t="shared" si="1"/>
        <v>24.060940544000001</v>
      </c>
      <c r="N38" s="9"/>
      <c r="O38" s="21">
        <v>4.1046100000000002E-2</v>
      </c>
      <c r="P38" s="21">
        <v>92.583200000000005</v>
      </c>
      <c r="Q38" s="21">
        <v>-1.8054199999999999E-2</v>
      </c>
      <c r="R38" s="21">
        <v>28</v>
      </c>
      <c r="S38" s="21">
        <v>4.1116300000000001E-2</v>
      </c>
      <c r="T38">
        <f t="shared" si="2"/>
        <v>18.054199999999998</v>
      </c>
      <c r="U38">
        <f t="shared" si="3"/>
        <v>0.74105449861999995</v>
      </c>
      <c r="X38" s="9"/>
      <c r="Y38" s="21">
        <v>1.60904</v>
      </c>
      <c r="Z38" s="21">
        <v>160.25800000000001</v>
      </c>
      <c r="AA38" s="21">
        <v>-1.44958E-2</v>
      </c>
      <c r="AB38" s="21">
        <v>28</v>
      </c>
      <c r="AC38" s="21">
        <v>1.6082799999999999</v>
      </c>
      <c r="AD38">
        <f t="shared" si="4"/>
        <v>14.495799999999999</v>
      </c>
      <c r="AE38">
        <f t="shared" si="5"/>
        <v>23.324322031999998</v>
      </c>
      <c r="AF38" s="9"/>
      <c r="AG38" s="21">
        <v>4.1046100000000002E-2</v>
      </c>
      <c r="AH38" s="21">
        <v>226.803</v>
      </c>
      <c r="AI38" s="21">
        <v>-1.8044999999999999E-2</v>
      </c>
      <c r="AJ38" s="21">
        <v>28</v>
      </c>
      <c r="AK38" s="21">
        <v>4.1171300000000001E-2</v>
      </c>
      <c r="AL38">
        <f t="shared" si="6"/>
        <v>18.044999999999998</v>
      </c>
      <c r="AM38">
        <f t="shared" si="7"/>
        <v>0.74067687449999997</v>
      </c>
      <c r="AP38" s="9"/>
      <c r="AQ38" s="21">
        <v>1.60904</v>
      </c>
      <c r="AR38" s="21">
        <v>284.50799999999998</v>
      </c>
      <c r="AS38" s="21">
        <v>-1.4422600000000001E-2</v>
      </c>
      <c r="AT38" s="21">
        <v>28</v>
      </c>
      <c r="AU38" s="21">
        <v>1.6082799999999999</v>
      </c>
      <c r="AV38">
        <f t="shared" si="8"/>
        <v>14.422600000000001</v>
      </c>
      <c r="AW38">
        <f t="shared" si="9"/>
        <v>23.206540304000001</v>
      </c>
      <c r="AX38" s="9"/>
      <c r="AY38" s="21">
        <v>4.1046100000000002E-2</v>
      </c>
      <c r="AZ38" s="21">
        <v>354.93799999999999</v>
      </c>
      <c r="BA38" s="21">
        <v>-1.80237E-2</v>
      </c>
      <c r="BB38" s="21">
        <v>28</v>
      </c>
      <c r="BC38" s="21">
        <v>4.09454E-2</v>
      </c>
      <c r="BD38">
        <f t="shared" si="10"/>
        <v>18.023700000000002</v>
      </c>
      <c r="BE38">
        <f t="shared" si="11"/>
        <v>0.73980259257000014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1.6040000000000001</v>
      </c>
      <c r="H39" s="21">
        <v>20.9237</v>
      </c>
      <c r="I39" s="21">
        <v>-1.5130599999999999E-2</v>
      </c>
      <c r="J39" s="21">
        <v>29</v>
      </c>
      <c r="K39" s="21">
        <v>1.6036999999999999</v>
      </c>
      <c r="L39">
        <f t="shared" si="0"/>
        <v>15.130599999999999</v>
      </c>
      <c r="M39">
        <f t="shared" si="1"/>
        <v>24.269482400000001</v>
      </c>
      <c r="N39" s="9"/>
      <c r="O39" s="21">
        <v>4.6081499999999997E-2</v>
      </c>
      <c r="P39" s="21">
        <v>92.683899999999994</v>
      </c>
      <c r="Q39" s="21">
        <v>-1.8054199999999999E-2</v>
      </c>
      <c r="R39" s="21">
        <v>29</v>
      </c>
      <c r="S39" s="21">
        <v>4.6279899999999999E-2</v>
      </c>
      <c r="T39">
        <f t="shared" si="2"/>
        <v>18.054199999999998</v>
      </c>
      <c r="U39">
        <f t="shared" si="3"/>
        <v>0.83196461729999982</v>
      </c>
      <c r="X39" s="9"/>
      <c r="Y39" s="21">
        <v>1.6040000000000001</v>
      </c>
      <c r="Z39" s="21">
        <v>160.35900000000001</v>
      </c>
      <c r="AA39" s="21">
        <v>-1.4700299999999999E-2</v>
      </c>
      <c r="AB39" s="21">
        <v>29</v>
      </c>
      <c r="AC39" s="21">
        <v>1.6033900000000001</v>
      </c>
      <c r="AD39">
        <f t="shared" si="4"/>
        <v>14.700299999999999</v>
      </c>
      <c r="AE39">
        <f t="shared" si="5"/>
        <v>23.5792812</v>
      </c>
      <c r="AF39" s="9"/>
      <c r="AG39" s="21">
        <v>4.6081499999999997E-2</v>
      </c>
      <c r="AH39" s="21">
        <v>226.904</v>
      </c>
      <c r="AI39" s="21">
        <v>-1.8041999999999999E-2</v>
      </c>
      <c r="AJ39" s="21">
        <v>29</v>
      </c>
      <c r="AK39" s="21">
        <v>4.6078500000000001E-2</v>
      </c>
      <c r="AL39">
        <f t="shared" si="6"/>
        <v>18.041999999999998</v>
      </c>
      <c r="AM39">
        <f t="shared" si="7"/>
        <v>0.83140242299999989</v>
      </c>
      <c r="AP39" s="9"/>
      <c r="AQ39" s="21">
        <v>1.6040000000000001</v>
      </c>
      <c r="AR39" s="21">
        <v>284.60899999999998</v>
      </c>
      <c r="AS39" s="21">
        <v>-1.46423E-2</v>
      </c>
      <c r="AT39" s="21">
        <v>29</v>
      </c>
      <c r="AU39" s="21">
        <v>1.6030899999999999</v>
      </c>
      <c r="AV39">
        <f t="shared" si="8"/>
        <v>14.642300000000001</v>
      </c>
      <c r="AW39">
        <f t="shared" si="9"/>
        <v>23.486249200000003</v>
      </c>
      <c r="AX39" s="9"/>
      <c r="AY39" s="21">
        <v>4.6081499999999997E-2</v>
      </c>
      <c r="AZ39" s="21">
        <v>355.03899999999999</v>
      </c>
      <c r="BA39" s="21">
        <v>-1.8020600000000001E-2</v>
      </c>
      <c r="BB39" s="21">
        <v>29</v>
      </c>
      <c r="BC39" s="21">
        <v>4.6093799999999997E-2</v>
      </c>
      <c r="BD39">
        <f t="shared" si="10"/>
        <v>18.020600000000002</v>
      </c>
      <c r="BE39">
        <f t="shared" si="11"/>
        <v>0.83041627890000003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1.59897</v>
      </c>
      <c r="H40" s="21">
        <v>21.0244</v>
      </c>
      <c r="I40" s="21">
        <v>-1.52985E-2</v>
      </c>
      <c r="J40" s="21">
        <v>30</v>
      </c>
      <c r="K40" s="21">
        <v>1.5985100000000001</v>
      </c>
      <c r="L40">
        <f t="shared" si="0"/>
        <v>15.298499999999999</v>
      </c>
      <c r="M40">
        <f t="shared" si="1"/>
        <v>24.461842545</v>
      </c>
      <c r="N40" s="9"/>
      <c r="O40" s="21">
        <v>5.11169E-2</v>
      </c>
      <c r="P40" s="21">
        <v>92.784599999999998</v>
      </c>
      <c r="Q40" s="21">
        <v>-1.8054199999999999E-2</v>
      </c>
      <c r="R40" s="21">
        <v>30</v>
      </c>
      <c r="S40" s="21">
        <v>5.1202400000000002E-2</v>
      </c>
      <c r="T40">
        <f t="shared" si="2"/>
        <v>18.054199999999998</v>
      </c>
      <c r="U40">
        <f t="shared" si="3"/>
        <v>0.92287473597999992</v>
      </c>
      <c r="X40" s="9"/>
      <c r="Y40" s="21">
        <v>1.59897</v>
      </c>
      <c r="Z40" s="21">
        <v>160.46</v>
      </c>
      <c r="AA40" s="21">
        <v>-1.4913900000000001E-2</v>
      </c>
      <c r="AB40" s="21">
        <v>30</v>
      </c>
      <c r="AC40" s="21">
        <v>1.5988199999999999</v>
      </c>
      <c r="AD40">
        <f t="shared" si="4"/>
        <v>14.9139</v>
      </c>
      <c r="AE40">
        <f t="shared" si="5"/>
        <v>23.846878683</v>
      </c>
      <c r="AF40" s="9"/>
      <c r="AG40" s="21">
        <v>5.11169E-2</v>
      </c>
      <c r="AH40" s="21">
        <v>227.005</v>
      </c>
      <c r="AI40" s="21">
        <v>-1.8041999999999999E-2</v>
      </c>
      <c r="AJ40" s="21">
        <v>30</v>
      </c>
      <c r="AK40" s="21">
        <v>5.11169E-2</v>
      </c>
      <c r="AL40">
        <f t="shared" si="6"/>
        <v>18.041999999999998</v>
      </c>
      <c r="AM40">
        <f t="shared" si="7"/>
        <v>0.92225110979999991</v>
      </c>
      <c r="AP40" s="9"/>
      <c r="AQ40" s="21">
        <v>1.59897</v>
      </c>
      <c r="AR40" s="21">
        <v>284.70999999999998</v>
      </c>
      <c r="AS40" s="21">
        <v>-1.48407E-2</v>
      </c>
      <c r="AT40" s="21">
        <v>30</v>
      </c>
      <c r="AU40" s="21">
        <v>1.5985100000000001</v>
      </c>
      <c r="AV40">
        <f t="shared" si="8"/>
        <v>14.8407</v>
      </c>
      <c r="AW40">
        <f t="shared" si="9"/>
        <v>23.729834079</v>
      </c>
      <c r="AX40" s="9"/>
      <c r="AY40" s="21">
        <v>5.11169E-2</v>
      </c>
      <c r="AZ40" s="21">
        <v>355.14</v>
      </c>
      <c r="BA40" s="21">
        <v>-1.8017600000000002E-2</v>
      </c>
      <c r="BB40" s="21">
        <v>30</v>
      </c>
      <c r="BC40" s="21">
        <v>5.1229900000000002E-2</v>
      </c>
      <c r="BD40">
        <f t="shared" si="10"/>
        <v>18.017600000000002</v>
      </c>
      <c r="BE40">
        <f t="shared" si="11"/>
        <v>0.92100385744000013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1.5939300000000001</v>
      </c>
      <c r="H41" s="21">
        <v>21.1251</v>
      </c>
      <c r="I41" s="21">
        <v>-1.5448E-2</v>
      </c>
      <c r="J41" s="21">
        <v>31</v>
      </c>
      <c r="K41" s="21">
        <v>1.5930200000000001</v>
      </c>
      <c r="L41">
        <f t="shared" si="0"/>
        <v>15.448</v>
      </c>
      <c r="M41">
        <f t="shared" si="1"/>
        <v>24.623030640000003</v>
      </c>
      <c r="N41" s="9"/>
      <c r="O41" s="21">
        <v>5.6152300000000002E-2</v>
      </c>
      <c r="P41" s="21">
        <v>92.885300000000001</v>
      </c>
      <c r="Q41" s="21">
        <v>-1.8057299999999998E-2</v>
      </c>
      <c r="R41" s="21">
        <v>31</v>
      </c>
      <c r="S41" s="21">
        <v>5.5633500000000002E-2</v>
      </c>
      <c r="T41">
        <f t="shared" si="2"/>
        <v>18.057299999999998</v>
      </c>
      <c r="U41">
        <f t="shared" si="3"/>
        <v>1.01395892679</v>
      </c>
      <c r="X41" s="9"/>
      <c r="Y41" s="21">
        <v>1.5939300000000001</v>
      </c>
      <c r="Z41" s="21">
        <v>160.56</v>
      </c>
      <c r="AA41" s="21">
        <v>-1.5084800000000001E-2</v>
      </c>
      <c r="AB41" s="21">
        <v>31</v>
      </c>
      <c r="AC41" s="21">
        <v>1.5939300000000001</v>
      </c>
      <c r="AD41">
        <f t="shared" si="4"/>
        <v>15.084800000000001</v>
      </c>
      <c r="AE41">
        <f t="shared" si="5"/>
        <v>24.044115264000002</v>
      </c>
      <c r="AF41" s="9"/>
      <c r="AG41" s="21">
        <v>5.6152300000000002E-2</v>
      </c>
      <c r="AH41" s="21">
        <v>227.10499999999999</v>
      </c>
      <c r="AI41" s="21">
        <v>-1.8044999999999999E-2</v>
      </c>
      <c r="AJ41" s="21">
        <v>31</v>
      </c>
      <c r="AK41" s="21">
        <v>5.5786099999999998E-2</v>
      </c>
      <c r="AL41">
        <f t="shared" si="6"/>
        <v>18.044999999999998</v>
      </c>
      <c r="AM41">
        <f t="shared" si="7"/>
        <v>1.0132682534999999</v>
      </c>
      <c r="AP41" s="9"/>
      <c r="AQ41" s="21">
        <v>1.5939300000000001</v>
      </c>
      <c r="AR41" s="21">
        <v>284.81</v>
      </c>
      <c r="AS41" s="21">
        <v>-1.5042099999999999E-2</v>
      </c>
      <c r="AT41" s="21">
        <v>31</v>
      </c>
      <c r="AU41" s="21">
        <v>1.5933200000000001</v>
      </c>
      <c r="AV41">
        <f t="shared" si="8"/>
        <v>15.0421</v>
      </c>
      <c r="AW41">
        <f t="shared" si="9"/>
        <v>23.976054453</v>
      </c>
      <c r="AX41" s="9"/>
      <c r="AY41" s="21">
        <v>5.6152300000000002E-2</v>
      </c>
      <c r="AZ41" s="21">
        <v>355.24</v>
      </c>
      <c r="BA41" s="21">
        <v>-1.8014499999999999E-2</v>
      </c>
      <c r="BB41" s="21">
        <v>31</v>
      </c>
      <c r="BC41" s="21">
        <v>5.5664100000000001E-2</v>
      </c>
      <c r="BD41">
        <f t="shared" si="10"/>
        <v>18.014499999999998</v>
      </c>
      <c r="BE41">
        <f t="shared" si="11"/>
        <v>1.0115556083499999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1.5889</v>
      </c>
      <c r="H42" s="21">
        <v>21.225899999999999</v>
      </c>
      <c r="I42" s="21">
        <v>-1.5588400000000001E-2</v>
      </c>
      <c r="J42" s="21">
        <v>32</v>
      </c>
      <c r="K42" s="21">
        <v>1.58813</v>
      </c>
      <c r="L42">
        <f t="shared" si="0"/>
        <v>15.5884</v>
      </c>
      <c r="M42">
        <f t="shared" si="1"/>
        <v>24.76840876</v>
      </c>
      <c r="N42" s="9"/>
      <c r="O42" s="21">
        <v>6.1187699999999998E-2</v>
      </c>
      <c r="P42" s="21">
        <v>92.986000000000004</v>
      </c>
      <c r="Q42" s="21">
        <v>-1.8054199999999999E-2</v>
      </c>
      <c r="R42" s="21">
        <v>32</v>
      </c>
      <c r="S42" s="21">
        <v>6.1157200000000002E-2</v>
      </c>
      <c r="T42">
        <f t="shared" si="2"/>
        <v>18.054199999999998</v>
      </c>
      <c r="U42">
        <f t="shared" si="3"/>
        <v>1.1046949733399998</v>
      </c>
      <c r="X42" s="9"/>
      <c r="Y42" s="21">
        <v>1.5889</v>
      </c>
      <c r="Z42" s="21">
        <v>160.661</v>
      </c>
      <c r="AA42" s="21">
        <v>-1.5261800000000001E-2</v>
      </c>
      <c r="AB42" s="21">
        <v>32</v>
      </c>
      <c r="AC42" s="21">
        <v>1.5884400000000001</v>
      </c>
      <c r="AD42">
        <f t="shared" si="4"/>
        <v>15.261800000000001</v>
      </c>
      <c r="AE42">
        <f t="shared" si="5"/>
        <v>24.249474020000001</v>
      </c>
      <c r="AF42" s="9"/>
      <c r="AG42" s="21">
        <v>6.1187699999999998E-2</v>
      </c>
      <c r="AH42" s="21">
        <v>227.20599999999999</v>
      </c>
      <c r="AI42" s="21">
        <v>-1.8041999999999999E-2</v>
      </c>
      <c r="AJ42" s="21">
        <v>32</v>
      </c>
      <c r="AK42" s="21">
        <v>6.0790999999999998E-2</v>
      </c>
      <c r="AL42">
        <f t="shared" si="6"/>
        <v>18.041999999999998</v>
      </c>
      <c r="AM42">
        <f t="shared" si="7"/>
        <v>1.1039484833999997</v>
      </c>
      <c r="AP42" s="9"/>
      <c r="AQ42" s="21">
        <v>1.5889</v>
      </c>
      <c r="AR42" s="21">
        <v>284.911</v>
      </c>
      <c r="AS42" s="21">
        <v>-1.5197799999999999E-2</v>
      </c>
      <c r="AT42" s="21">
        <v>32</v>
      </c>
      <c r="AU42" s="21">
        <v>1.5884400000000001</v>
      </c>
      <c r="AV42">
        <f t="shared" si="8"/>
        <v>15.197799999999999</v>
      </c>
      <c r="AW42">
        <f t="shared" si="9"/>
        <v>24.147784419999997</v>
      </c>
      <c r="AX42" s="9"/>
      <c r="AY42" s="21">
        <v>6.1187699999999998E-2</v>
      </c>
      <c r="AZ42" s="21">
        <v>355.34100000000001</v>
      </c>
      <c r="BA42" s="21">
        <v>-1.8014499999999999E-2</v>
      </c>
      <c r="BB42" s="21">
        <v>32</v>
      </c>
      <c r="BC42" s="21">
        <v>6.0607899999999999E-2</v>
      </c>
      <c r="BD42">
        <f t="shared" si="10"/>
        <v>18.014499999999998</v>
      </c>
      <c r="BE42">
        <f t="shared" si="11"/>
        <v>1.1022658216499999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1.58386</v>
      </c>
      <c r="H43" s="21">
        <v>21.326599999999999</v>
      </c>
      <c r="I43" s="21">
        <v>-1.5701300000000001E-2</v>
      </c>
      <c r="J43" s="21">
        <v>33</v>
      </c>
      <c r="K43" s="21">
        <v>1.58264</v>
      </c>
      <c r="L43">
        <f t="shared" si="0"/>
        <v>15.701300000000002</v>
      </c>
      <c r="M43">
        <f t="shared" si="1"/>
        <v>24.868661018000005</v>
      </c>
      <c r="N43" s="9"/>
      <c r="O43" s="21">
        <v>6.6223099999999993E-2</v>
      </c>
      <c r="P43" s="21">
        <v>93.086699999999993</v>
      </c>
      <c r="Q43" s="21">
        <v>-1.8054199999999999E-2</v>
      </c>
      <c r="R43" s="21">
        <v>33</v>
      </c>
      <c r="S43" s="21">
        <v>6.31409E-2</v>
      </c>
      <c r="T43">
        <f t="shared" si="2"/>
        <v>18.054199999999998</v>
      </c>
      <c r="U43">
        <f t="shared" si="3"/>
        <v>1.1956050920199996</v>
      </c>
      <c r="X43" s="9"/>
      <c r="Y43" s="21">
        <v>1.58386</v>
      </c>
      <c r="Z43" s="21">
        <v>160.762</v>
      </c>
      <c r="AA43" s="21">
        <v>-1.54205E-2</v>
      </c>
      <c r="AB43" s="21">
        <v>33</v>
      </c>
      <c r="AC43" s="21">
        <v>1.58325</v>
      </c>
      <c r="AD43">
        <f t="shared" si="4"/>
        <v>15.420500000000001</v>
      </c>
      <c r="AE43">
        <f t="shared" si="5"/>
        <v>24.423913130000003</v>
      </c>
      <c r="AF43" s="9"/>
      <c r="AG43" s="21">
        <v>6.6223099999999993E-2</v>
      </c>
      <c r="AH43" s="21">
        <v>227.30699999999999</v>
      </c>
      <c r="AI43" s="21">
        <v>-1.80389E-2</v>
      </c>
      <c r="AJ43" s="21">
        <v>33</v>
      </c>
      <c r="AK43" s="21">
        <v>6.5795900000000004E-2</v>
      </c>
      <c r="AL43">
        <f t="shared" si="6"/>
        <v>18.038900000000002</v>
      </c>
      <c r="AM43">
        <f t="shared" si="7"/>
        <v>1.19459187859</v>
      </c>
      <c r="AP43" s="9"/>
      <c r="AQ43" s="21">
        <v>1.58386</v>
      </c>
      <c r="AR43" s="21">
        <v>285.012</v>
      </c>
      <c r="AS43" s="21">
        <v>-1.5350300000000001E-2</v>
      </c>
      <c r="AT43" s="21">
        <v>33</v>
      </c>
      <c r="AU43" s="21">
        <v>1.58325</v>
      </c>
      <c r="AV43">
        <f t="shared" si="8"/>
        <v>15.350300000000001</v>
      </c>
      <c r="AW43">
        <f t="shared" si="9"/>
        <v>24.312726158</v>
      </c>
      <c r="AX43" s="9"/>
      <c r="AY43" s="21">
        <v>6.6223099999999993E-2</v>
      </c>
      <c r="AZ43" s="21">
        <v>355.44200000000001</v>
      </c>
      <c r="BA43" s="21">
        <v>-1.8014499999999999E-2</v>
      </c>
      <c r="BB43" s="21">
        <v>33</v>
      </c>
      <c r="BC43" s="21">
        <v>6.5887500000000002E-2</v>
      </c>
      <c r="BD43">
        <f t="shared" si="10"/>
        <v>18.014499999999998</v>
      </c>
      <c r="BE43">
        <f t="shared" si="11"/>
        <v>1.1929760349499998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1.57883</v>
      </c>
      <c r="H44" s="21">
        <v>21.427299999999999</v>
      </c>
      <c r="I44" s="21">
        <v>-1.58142E-2</v>
      </c>
      <c r="J44" s="21">
        <v>34</v>
      </c>
      <c r="K44" s="21">
        <v>1.5777600000000001</v>
      </c>
      <c r="L44">
        <f t="shared" si="0"/>
        <v>15.8142</v>
      </c>
      <c r="M44">
        <f t="shared" si="1"/>
        <v>24.967933385999999</v>
      </c>
      <c r="N44" s="9"/>
      <c r="O44" s="21">
        <v>7.1258500000000002E-2</v>
      </c>
      <c r="P44" s="21">
        <v>93.187399999999997</v>
      </c>
      <c r="Q44" s="21">
        <v>-1.8054199999999999E-2</v>
      </c>
      <c r="R44" s="21">
        <v>34</v>
      </c>
      <c r="S44" s="21">
        <v>7.0556599999999997E-2</v>
      </c>
      <c r="T44">
        <f t="shared" si="2"/>
        <v>18.054199999999998</v>
      </c>
      <c r="U44">
        <f t="shared" si="3"/>
        <v>1.2865152107</v>
      </c>
      <c r="X44" s="9"/>
      <c r="Y44" s="21">
        <v>1.57883</v>
      </c>
      <c r="Z44" s="21">
        <v>160.86199999999999</v>
      </c>
      <c r="AA44" s="21">
        <v>-1.55365E-2</v>
      </c>
      <c r="AB44" s="21">
        <v>34</v>
      </c>
      <c r="AC44" s="21">
        <v>1.57806</v>
      </c>
      <c r="AD44">
        <f t="shared" si="4"/>
        <v>15.5365</v>
      </c>
      <c r="AE44">
        <f t="shared" si="5"/>
        <v>24.529492295000001</v>
      </c>
      <c r="AF44" s="9"/>
      <c r="AG44" s="21">
        <v>7.1258500000000002E-2</v>
      </c>
      <c r="AH44" s="21">
        <v>227.40799999999999</v>
      </c>
      <c r="AI44" s="21">
        <v>-1.80389E-2</v>
      </c>
      <c r="AJ44" s="21">
        <v>34</v>
      </c>
      <c r="AK44" s="21">
        <v>7.0922899999999997E-2</v>
      </c>
      <c r="AL44">
        <f t="shared" si="6"/>
        <v>18.038900000000002</v>
      </c>
      <c r="AM44">
        <f t="shared" si="7"/>
        <v>1.2854249556500001</v>
      </c>
      <c r="AP44" s="9"/>
      <c r="AQ44" s="21">
        <v>1.57883</v>
      </c>
      <c r="AR44" s="21">
        <v>285.11200000000002</v>
      </c>
      <c r="AS44" s="21">
        <v>-1.54968E-2</v>
      </c>
      <c r="AT44" s="21">
        <v>34</v>
      </c>
      <c r="AU44" s="21">
        <v>1.57745</v>
      </c>
      <c r="AV44">
        <f t="shared" si="8"/>
        <v>15.4968</v>
      </c>
      <c r="AW44">
        <f t="shared" si="9"/>
        <v>24.466812743999999</v>
      </c>
      <c r="AX44" s="9"/>
      <c r="AY44" s="21">
        <v>7.1258500000000002E-2</v>
      </c>
      <c r="AZ44" s="21">
        <v>355.54300000000001</v>
      </c>
      <c r="BA44" s="21">
        <v>-1.80115E-2</v>
      </c>
      <c r="BB44" s="21">
        <v>34</v>
      </c>
      <c r="BC44" s="21">
        <v>7.1075399999999997E-2</v>
      </c>
      <c r="BD44">
        <f t="shared" si="10"/>
        <v>18.011499999999998</v>
      </c>
      <c r="BE44">
        <f t="shared" si="11"/>
        <v>1.28347247275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1.57379</v>
      </c>
      <c r="H45" s="21">
        <v>21.527999999999999</v>
      </c>
      <c r="I45" s="21">
        <v>-1.59241E-2</v>
      </c>
      <c r="J45" s="21">
        <v>35</v>
      </c>
      <c r="K45" s="21">
        <v>1.57318</v>
      </c>
      <c r="L45">
        <f t="shared" si="0"/>
        <v>15.924099999999999</v>
      </c>
      <c r="M45">
        <f t="shared" si="1"/>
        <v>25.061189338999998</v>
      </c>
      <c r="N45" s="9"/>
      <c r="O45" s="21">
        <v>7.6293899999999998E-2</v>
      </c>
      <c r="P45" s="21">
        <v>93.2881</v>
      </c>
      <c r="Q45" s="21">
        <v>-1.80511E-2</v>
      </c>
      <c r="R45" s="21">
        <v>35</v>
      </c>
      <c r="S45" s="21">
        <v>7.6171900000000001E-2</v>
      </c>
      <c r="T45">
        <f t="shared" si="2"/>
        <v>18.051100000000002</v>
      </c>
      <c r="U45">
        <f t="shared" si="3"/>
        <v>1.3771888182900001</v>
      </c>
      <c r="X45" s="9"/>
      <c r="Y45" s="21">
        <v>1.57379</v>
      </c>
      <c r="Z45" s="21">
        <v>160.96299999999999</v>
      </c>
      <c r="AA45" s="21">
        <v>-1.56677E-2</v>
      </c>
      <c r="AB45" s="21">
        <v>35</v>
      </c>
      <c r="AC45" s="21">
        <v>1.57257</v>
      </c>
      <c r="AD45">
        <f t="shared" si="4"/>
        <v>15.6677</v>
      </c>
      <c r="AE45">
        <f t="shared" si="5"/>
        <v>24.657669583000001</v>
      </c>
      <c r="AF45" s="9"/>
      <c r="AG45" s="21">
        <v>7.6293899999999998E-2</v>
      </c>
      <c r="AH45" s="21">
        <v>227.50800000000001</v>
      </c>
      <c r="AI45" s="21">
        <v>-1.8035900000000001E-2</v>
      </c>
      <c r="AJ45" s="21">
        <v>35</v>
      </c>
      <c r="AK45" s="21">
        <v>7.5927700000000001E-2</v>
      </c>
      <c r="AL45">
        <f t="shared" si="6"/>
        <v>18.035900000000002</v>
      </c>
      <c r="AM45">
        <f t="shared" si="7"/>
        <v>1.37602915101</v>
      </c>
      <c r="AP45" s="9"/>
      <c r="AQ45" s="21">
        <v>1.57379</v>
      </c>
      <c r="AR45" s="21">
        <v>285.21300000000002</v>
      </c>
      <c r="AS45" s="21">
        <v>-1.5628099999999999E-2</v>
      </c>
      <c r="AT45" s="21">
        <v>35</v>
      </c>
      <c r="AU45" s="21">
        <v>1.57318</v>
      </c>
      <c r="AV45">
        <f t="shared" si="8"/>
        <v>15.628099999999998</v>
      </c>
      <c r="AW45">
        <f t="shared" si="9"/>
        <v>24.595347498999999</v>
      </c>
      <c r="AX45" s="9"/>
      <c r="AY45" s="21">
        <v>7.6293899999999998E-2</v>
      </c>
      <c r="AZ45" s="21">
        <v>355.64299999999997</v>
      </c>
      <c r="BA45" s="21">
        <v>-1.8014499999999999E-2</v>
      </c>
      <c r="BB45" s="21">
        <v>35</v>
      </c>
      <c r="BC45" s="21">
        <v>7.5744599999999995E-2</v>
      </c>
      <c r="BD45">
        <f t="shared" si="10"/>
        <v>18.014499999999998</v>
      </c>
      <c r="BE45">
        <f t="shared" si="11"/>
        <v>1.3743964615499997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1.5687599999999999</v>
      </c>
      <c r="H46" s="21">
        <v>21.628699999999998</v>
      </c>
      <c r="I46" s="21">
        <v>-1.6036999999999999E-2</v>
      </c>
      <c r="J46" s="21">
        <v>36</v>
      </c>
      <c r="K46" s="21">
        <v>1.56738</v>
      </c>
      <c r="L46">
        <f t="shared" si="0"/>
        <v>16.036999999999999</v>
      </c>
      <c r="M46">
        <f t="shared" si="1"/>
        <v>25.158204119999997</v>
      </c>
      <c r="N46" s="9"/>
      <c r="O46" s="21">
        <v>8.1329299999999993E-2</v>
      </c>
      <c r="P46" s="21">
        <v>93.388800000000003</v>
      </c>
      <c r="Q46" s="21">
        <v>-1.8048100000000001E-2</v>
      </c>
      <c r="R46" s="21">
        <v>36</v>
      </c>
      <c r="S46" s="21">
        <v>8.0841099999999999E-2</v>
      </c>
      <c r="T46">
        <f t="shared" si="2"/>
        <v>18.048100000000002</v>
      </c>
      <c r="U46">
        <f t="shared" si="3"/>
        <v>1.46783933933</v>
      </c>
      <c r="X46" s="9"/>
      <c r="Y46" s="21">
        <v>1.5687599999999999</v>
      </c>
      <c r="Z46" s="21">
        <v>161.06399999999999</v>
      </c>
      <c r="AA46" s="21">
        <v>-1.5786700000000001E-2</v>
      </c>
      <c r="AB46" s="21">
        <v>36</v>
      </c>
      <c r="AC46" s="21">
        <v>1.56799</v>
      </c>
      <c r="AD46">
        <f t="shared" si="4"/>
        <v>15.786700000000002</v>
      </c>
      <c r="AE46">
        <f t="shared" si="5"/>
        <v>24.765543492000003</v>
      </c>
      <c r="AF46" s="9"/>
      <c r="AG46" s="21">
        <v>8.1329299999999993E-2</v>
      </c>
      <c r="AH46" s="21">
        <v>227.60900000000001</v>
      </c>
      <c r="AI46" s="21">
        <v>-1.8035900000000001E-2</v>
      </c>
      <c r="AJ46" s="21">
        <v>36</v>
      </c>
      <c r="AK46" s="21">
        <v>8.0963099999999996E-2</v>
      </c>
      <c r="AL46">
        <f t="shared" si="6"/>
        <v>18.035900000000002</v>
      </c>
      <c r="AM46">
        <f t="shared" si="7"/>
        <v>1.4668471218700001</v>
      </c>
      <c r="AP46" s="9"/>
      <c r="AQ46" s="21">
        <v>1.5687599999999999</v>
      </c>
      <c r="AR46" s="21">
        <v>285.31400000000002</v>
      </c>
      <c r="AS46" s="21">
        <v>-1.57471E-2</v>
      </c>
      <c r="AT46" s="21">
        <v>36</v>
      </c>
      <c r="AU46" s="21">
        <v>1.5683</v>
      </c>
      <c r="AV46">
        <f t="shared" si="8"/>
        <v>15.7471</v>
      </c>
      <c r="AW46">
        <f t="shared" si="9"/>
        <v>24.703420595999997</v>
      </c>
      <c r="AX46" s="9"/>
      <c r="AY46" s="21">
        <v>8.1329299999999993E-2</v>
      </c>
      <c r="AZ46" s="21">
        <v>355.74400000000003</v>
      </c>
      <c r="BA46" s="21">
        <v>-1.8008400000000001E-2</v>
      </c>
      <c r="BB46" s="21">
        <v>36</v>
      </c>
      <c r="BC46" s="21">
        <v>8.1146200000000002E-2</v>
      </c>
      <c r="BD46">
        <f t="shared" si="10"/>
        <v>18.008400000000002</v>
      </c>
      <c r="BE46">
        <f t="shared" si="11"/>
        <v>1.46461056612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1.56372</v>
      </c>
      <c r="H47" s="21">
        <v>21.729399999999998</v>
      </c>
      <c r="I47" s="21">
        <v>-1.61163E-2</v>
      </c>
      <c r="J47" s="21">
        <v>37</v>
      </c>
      <c r="K47" s="21">
        <v>1.56372</v>
      </c>
      <c r="L47">
        <f t="shared" si="0"/>
        <v>16.116299999999999</v>
      </c>
      <c r="M47">
        <f t="shared" si="1"/>
        <v>25.201380636</v>
      </c>
      <c r="N47" s="9"/>
      <c r="O47" s="21">
        <v>8.6364700000000003E-2</v>
      </c>
      <c r="P47" s="21">
        <v>93.489500000000007</v>
      </c>
      <c r="Q47" s="21">
        <v>-1.8048100000000001E-2</v>
      </c>
      <c r="R47" s="21">
        <v>37</v>
      </c>
      <c r="S47" s="21">
        <v>8.60596E-2</v>
      </c>
      <c r="T47">
        <f t="shared" si="2"/>
        <v>18.048100000000002</v>
      </c>
      <c r="U47">
        <f t="shared" si="3"/>
        <v>1.5587187420700002</v>
      </c>
      <c r="X47" s="9"/>
      <c r="Y47" s="21">
        <v>1.56372</v>
      </c>
      <c r="Z47" s="21">
        <v>161.16499999999999</v>
      </c>
      <c r="AA47" s="21">
        <v>-1.5902699999999999E-2</v>
      </c>
      <c r="AB47" s="21">
        <v>37</v>
      </c>
      <c r="AC47" s="21">
        <v>1.56281</v>
      </c>
      <c r="AD47">
        <f t="shared" si="4"/>
        <v>15.902699999999999</v>
      </c>
      <c r="AE47">
        <f t="shared" si="5"/>
        <v>24.867370043999998</v>
      </c>
      <c r="AF47" s="9"/>
      <c r="AG47" s="21">
        <v>8.6364700000000003E-2</v>
      </c>
      <c r="AH47" s="21">
        <v>227.71</v>
      </c>
      <c r="AI47" s="21">
        <v>-1.8035900000000001E-2</v>
      </c>
      <c r="AJ47" s="21">
        <v>37</v>
      </c>
      <c r="AK47" s="21">
        <v>8.60596E-2</v>
      </c>
      <c r="AL47">
        <f t="shared" si="6"/>
        <v>18.035900000000002</v>
      </c>
      <c r="AM47">
        <f t="shared" si="7"/>
        <v>1.5576650927300002</v>
      </c>
      <c r="AP47" s="9"/>
      <c r="AQ47" s="21">
        <v>1.56372</v>
      </c>
      <c r="AR47" s="21">
        <v>285.41500000000002</v>
      </c>
      <c r="AS47" s="21">
        <v>-1.58569E-2</v>
      </c>
      <c r="AT47" s="21">
        <v>37</v>
      </c>
      <c r="AU47" s="21">
        <v>1.56342</v>
      </c>
      <c r="AV47">
        <f t="shared" si="8"/>
        <v>15.8569</v>
      </c>
      <c r="AW47">
        <f t="shared" si="9"/>
        <v>24.795751667999998</v>
      </c>
      <c r="AX47" s="9"/>
      <c r="AY47" s="21">
        <v>8.6364700000000003E-2</v>
      </c>
      <c r="AZ47" s="21">
        <v>355.84500000000003</v>
      </c>
      <c r="BA47" s="21">
        <v>-1.8008400000000001E-2</v>
      </c>
      <c r="BB47" s="21">
        <v>37</v>
      </c>
      <c r="BC47" s="21">
        <v>8.5906999999999997E-2</v>
      </c>
      <c r="BD47">
        <f t="shared" si="10"/>
        <v>18.008400000000002</v>
      </c>
      <c r="BE47">
        <f t="shared" si="11"/>
        <v>1.5552900634800002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1.5586899999999999</v>
      </c>
      <c r="H48" s="21">
        <v>21.830100000000002</v>
      </c>
      <c r="I48" s="21">
        <v>-1.6189599999999998E-2</v>
      </c>
      <c r="J48" s="21">
        <v>38</v>
      </c>
      <c r="K48" s="21">
        <v>1.55823</v>
      </c>
      <c r="L48">
        <f t="shared" si="0"/>
        <v>16.189599999999999</v>
      </c>
      <c r="M48">
        <f t="shared" si="1"/>
        <v>25.234567623999997</v>
      </c>
      <c r="N48" s="9"/>
      <c r="O48" s="21">
        <v>9.1400099999999998E-2</v>
      </c>
      <c r="P48" s="21">
        <v>93.590299999999999</v>
      </c>
      <c r="Q48" s="21">
        <v>-1.80389E-2</v>
      </c>
      <c r="R48" s="21">
        <v>38</v>
      </c>
      <c r="S48" s="21">
        <v>9.0667700000000004E-2</v>
      </c>
      <c r="T48">
        <f t="shared" si="2"/>
        <v>18.038900000000002</v>
      </c>
      <c r="U48">
        <f t="shared" si="3"/>
        <v>1.6487572638900001</v>
      </c>
      <c r="X48" s="9"/>
      <c r="Y48" s="21">
        <v>1.5586899999999999</v>
      </c>
      <c r="Z48" s="21">
        <v>161.26499999999999</v>
      </c>
      <c r="AA48" s="21">
        <v>-1.5997299999999999E-2</v>
      </c>
      <c r="AB48" s="21">
        <v>38</v>
      </c>
      <c r="AC48" s="21">
        <v>1.55792</v>
      </c>
      <c r="AD48">
        <f t="shared" si="4"/>
        <v>15.997299999999999</v>
      </c>
      <c r="AE48">
        <f t="shared" si="5"/>
        <v>24.934831536999997</v>
      </c>
      <c r="AF48" s="9"/>
      <c r="AG48" s="21">
        <v>9.1400099999999998E-2</v>
      </c>
      <c r="AH48" s="21">
        <v>227.81</v>
      </c>
      <c r="AI48" s="21">
        <v>-1.8029799999999999E-2</v>
      </c>
      <c r="AJ48" s="21">
        <v>38</v>
      </c>
      <c r="AK48" s="21">
        <v>9.1217000000000006E-2</v>
      </c>
      <c r="AL48">
        <f t="shared" si="6"/>
        <v>18.029799999999998</v>
      </c>
      <c r="AM48">
        <f t="shared" si="7"/>
        <v>1.6479255229799998</v>
      </c>
      <c r="AP48" s="9"/>
      <c r="AQ48" s="21">
        <v>1.5586899999999999</v>
      </c>
      <c r="AR48" s="21">
        <v>285.51499999999999</v>
      </c>
      <c r="AS48" s="21">
        <v>-1.5960700000000001E-2</v>
      </c>
      <c r="AT48" s="21">
        <v>38</v>
      </c>
      <c r="AU48" s="21">
        <v>1.55823</v>
      </c>
      <c r="AV48">
        <f t="shared" si="8"/>
        <v>15.960700000000001</v>
      </c>
      <c r="AW48">
        <f t="shared" si="9"/>
        <v>24.877783483000002</v>
      </c>
      <c r="AX48" s="9"/>
      <c r="AY48" s="21">
        <v>9.1400099999999998E-2</v>
      </c>
      <c r="AZ48" s="21">
        <v>355.94499999999999</v>
      </c>
      <c r="BA48" s="21">
        <v>-1.8005400000000001E-2</v>
      </c>
      <c r="BB48" s="21">
        <v>38</v>
      </c>
      <c r="BC48" s="21">
        <v>9.0911900000000004E-2</v>
      </c>
      <c r="BD48">
        <f t="shared" si="10"/>
        <v>18.005400000000002</v>
      </c>
      <c r="BE48">
        <f t="shared" si="11"/>
        <v>1.6456953605400002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1.55365</v>
      </c>
      <c r="H49" s="21">
        <v>21.930800000000001</v>
      </c>
      <c r="I49" s="21">
        <v>-1.6271999999999998E-2</v>
      </c>
      <c r="J49" s="21">
        <v>39</v>
      </c>
      <c r="K49" s="21">
        <v>1.5533399999999999</v>
      </c>
      <c r="L49">
        <f t="shared" si="0"/>
        <v>16.271999999999998</v>
      </c>
      <c r="M49">
        <f t="shared" si="1"/>
        <v>25.280992799999996</v>
      </c>
      <c r="N49" s="9"/>
      <c r="O49" s="21">
        <v>9.6435499999999993E-2</v>
      </c>
      <c r="P49" s="21">
        <v>93.691000000000003</v>
      </c>
      <c r="Q49" s="21">
        <v>-1.8041999999999999E-2</v>
      </c>
      <c r="R49" s="21">
        <v>39</v>
      </c>
      <c r="S49" s="21">
        <v>9.5916699999999994E-2</v>
      </c>
      <c r="T49">
        <f t="shared" si="2"/>
        <v>18.041999999999998</v>
      </c>
      <c r="U49">
        <f t="shared" si="3"/>
        <v>1.7398892909999997</v>
      </c>
      <c r="X49" s="9"/>
      <c r="Y49" s="21">
        <v>1.55365</v>
      </c>
      <c r="Z49" s="21">
        <v>161.36600000000001</v>
      </c>
      <c r="AA49" s="21">
        <v>-1.61011E-2</v>
      </c>
      <c r="AB49" s="21">
        <v>39</v>
      </c>
      <c r="AC49" s="21">
        <v>1.55365</v>
      </c>
      <c r="AD49">
        <f t="shared" si="4"/>
        <v>16.101099999999999</v>
      </c>
      <c r="AE49">
        <f t="shared" si="5"/>
        <v>25.015474014999999</v>
      </c>
      <c r="AF49" s="9"/>
      <c r="AG49" s="21">
        <v>9.6435499999999993E-2</v>
      </c>
      <c r="AH49" s="21">
        <v>227.911</v>
      </c>
      <c r="AI49" s="21">
        <v>-1.8032800000000002E-2</v>
      </c>
      <c r="AJ49" s="21">
        <v>39</v>
      </c>
      <c r="AK49" s="21">
        <v>9.6069299999999996E-2</v>
      </c>
      <c r="AL49">
        <f t="shared" si="6"/>
        <v>18.032800000000002</v>
      </c>
      <c r="AM49">
        <f t="shared" si="7"/>
        <v>1.7390020844</v>
      </c>
      <c r="AP49" s="9"/>
      <c r="AQ49" s="21">
        <v>1.55365</v>
      </c>
      <c r="AR49" s="21">
        <v>285.61599999999999</v>
      </c>
      <c r="AS49" s="21">
        <v>-1.6055300000000002E-2</v>
      </c>
      <c r="AT49" s="21">
        <v>39</v>
      </c>
      <c r="AU49" s="21">
        <v>1.55304</v>
      </c>
      <c r="AV49">
        <f t="shared" si="8"/>
        <v>16.055300000000003</v>
      </c>
      <c r="AW49">
        <f t="shared" si="9"/>
        <v>24.944316845000003</v>
      </c>
      <c r="AX49" s="9"/>
      <c r="AY49" s="21">
        <v>9.6435499999999993E-2</v>
      </c>
      <c r="AZ49" s="21">
        <v>356.04599999999999</v>
      </c>
      <c r="BA49" s="21">
        <v>-1.8005400000000001E-2</v>
      </c>
      <c r="BB49" s="21">
        <v>39</v>
      </c>
      <c r="BC49" s="21">
        <v>9.5459000000000002E-2</v>
      </c>
      <c r="BD49">
        <f t="shared" si="10"/>
        <v>18.005400000000002</v>
      </c>
      <c r="BE49">
        <f t="shared" si="11"/>
        <v>1.7363597517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1.54861</v>
      </c>
      <c r="H50" s="21">
        <v>22.031500000000001</v>
      </c>
      <c r="I50" s="21">
        <v>-1.63483E-2</v>
      </c>
      <c r="J50" s="21">
        <v>40</v>
      </c>
      <c r="K50" s="21">
        <v>1.54755</v>
      </c>
      <c r="L50">
        <f t="shared" si="0"/>
        <v>16.348299999999998</v>
      </c>
      <c r="M50">
        <f t="shared" si="1"/>
        <v>25.317140862999999</v>
      </c>
      <c r="N50" s="9"/>
      <c r="O50" s="21">
        <v>0.10147100000000001</v>
      </c>
      <c r="P50" s="21">
        <v>93.791700000000006</v>
      </c>
      <c r="Q50" s="21">
        <v>-1.80389E-2</v>
      </c>
      <c r="R50" s="21">
        <v>40</v>
      </c>
      <c r="S50" s="21">
        <v>0.101135</v>
      </c>
      <c r="T50">
        <f t="shared" si="2"/>
        <v>18.038900000000002</v>
      </c>
      <c r="U50">
        <f t="shared" si="3"/>
        <v>1.8304252219000003</v>
      </c>
      <c r="X50" s="9"/>
      <c r="Y50" s="21">
        <v>1.54861</v>
      </c>
      <c r="Z50" s="21">
        <v>161.46700000000001</v>
      </c>
      <c r="AA50" s="21">
        <v>-1.6186499999999999E-2</v>
      </c>
      <c r="AB50" s="21">
        <v>40</v>
      </c>
      <c r="AC50" s="21">
        <v>1.54816</v>
      </c>
      <c r="AD50">
        <f t="shared" si="4"/>
        <v>16.186499999999999</v>
      </c>
      <c r="AE50">
        <f t="shared" si="5"/>
        <v>25.066575765</v>
      </c>
      <c r="AF50" s="9"/>
      <c r="AG50" s="21">
        <v>0.10147100000000001</v>
      </c>
      <c r="AH50" s="21">
        <v>228.012</v>
      </c>
      <c r="AI50" s="21">
        <v>-1.8029799999999999E-2</v>
      </c>
      <c r="AJ50" s="21">
        <v>40</v>
      </c>
      <c r="AK50" s="21">
        <v>0.10104399999999999</v>
      </c>
      <c r="AL50">
        <f t="shared" si="6"/>
        <v>18.029799999999998</v>
      </c>
      <c r="AM50">
        <f t="shared" si="7"/>
        <v>1.8295018357999999</v>
      </c>
      <c r="AP50" s="9"/>
      <c r="AQ50" s="21">
        <v>1.54861</v>
      </c>
      <c r="AR50" s="21">
        <v>285.71699999999998</v>
      </c>
      <c r="AS50" s="21">
        <v>-1.6149899999999998E-2</v>
      </c>
      <c r="AT50" s="21">
        <v>40</v>
      </c>
      <c r="AU50" s="21">
        <v>1.5478499999999999</v>
      </c>
      <c r="AV50">
        <f t="shared" si="8"/>
        <v>16.149899999999999</v>
      </c>
      <c r="AW50">
        <f t="shared" si="9"/>
        <v>25.009896638999997</v>
      </c>
      <c r="AX50" s="9"/>
      <c r="AY50" s="21">
        <v>0.10147100000000001</v>
      </c>
      <c r="AZ50" s="21">
        <v>356.14699999999999</v>
      </c>
      <c r="BA50" s="21">
        <v>-1.8005400000000001E-2</v>
      </c>
      <c r="BB50" s="21">
        <v>40</v>
      </c>
      <c r="BC50" s="21">
        <v>0.100983</v>
      </c>
      <c r="BD50">
        <f t="shared" si="10"/>
        <v>18.005400000000002</v>
      </c>
      <c r="BE50">
        <f t="shared" si="11"/>
        <v>1.8270259434000002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1.54358</v>
      </c>
      <c r="H51" s="21">
        <v>22.132200000000001</v>
      </c>
      <c r="I51" s="21">
        <v>-1.64154E-2</v>
      </c>
      <c r="J51" s="21">
        <v>41</v>
      </c>
      <c r="K51" s="21">
        <v>1.5426599999999999</v>
      </c>
      <c r="L51">
        <f t="shared" si="0"/>
        <v>16.415400000000002</v>
      </c>
      <c r="M51">
        <f t="shared" si="1"/>
        <v>25.338483132</v>
      </c>
      <c r="N51" s="9"/>
      <c r="O51" s="21">
        <v>0.106506</v>
      </c>
      <c r="P51" s="21">
        <v>93.892399999999995</v>
      </c>
      <c r="Q51" s="21">
        <v>-1.80389E-2</v>
      </c>
      <c r="R51" s="21">
        <v>41</v>
      </c>
      <c r="S51" s="21">
        <v>0.106049</v>
      </c>
      <c r="T51">
        <f t="shared" si="2"/>
        <v>18.038900000000002</v>
      </c>
      <c r="U51">
        <f t="shared" si="3"/>
        <v>1.9212510834000003</v>
      </c>
      <c r="X51" s="9"/>
      <c r="Y51" s="21">
        <v>1.54358</v>
      </c>
      <c r="Z51" s="21">
        <v>161.56700000000001</v>
      </c>
      <c r="AA51" s="21">
        <v>-1.6268899999999999E-2</v>
      </c>
      <c r="AB51" s="21">
        <v>41</v>
      </c>
      <c r="AC51" s="21">
        <v>1.54297</v>
      </c>
      <c r="AD51">
        <f t="shared" si="4"/>
        <v>16.268899999999999</v>
      </c>
      <c r="AE51">
        <f t="shared" si="5"/>
        <v>25.112348661999999</v>
      </c>
      <c r="AF51" s="9"/>
      <c r="AG51" s="21">
        <v>0.106506</v>
      </c>
      <c r="AH51" s="21">
        <v>228.113</v>
      </c>
      <c r="AI51" s="21">
        <v>-1.80267E-2</v>
      </c>
      <c r="AJ51" s="21">
        <v>41</v>
      </c>
      <c r="AK51" s="21">
        <v>0.10611</v>
      </c>
      <c r="AL51">
        <f t="shared" si="6"/>
        <v>18.026699999999998</v>
      </c>
      <c r="AM51">
        <f t="shared" si="7"/>
        <v>1.9199517101999999</v>
      </c>
      <c r="AP51" s="9"/>
      <c r="AQ51" s="21">
        <v>1.54358</v>
      </c>
      <c r="AR51" s="21">
        <v>285.81700000000001</v>
      </c>
      <c r="AS51" s="21">
        <v>-1.6235400000000001E-2</v>
      </c>
      <c r="AT51" s="21">
        <v>41</v>
      </c>
      <c r="AU51" s="21">
        <v>1.54297</v>
      </c>
      <c r="AV51">
        <f t="shared" si="8"/>
        <v>16.235400000000002</v>
      </c>
      <c r="AW51">
        <f t="shared" si="9"/>
        <v>25.060638732000001</v>
      </c>
      <c r="AX51" s="9"/>
      <c r="AY51" s="21">
        <v>0.106506</v>
      </c>
      <c r="AZ51" s="21">
        <v>356.24799999999999</v>
      </c>
      <c r="BA51" s="21">
        <v>-1.8002299999999999E-2</v>
      </c>
      <c r="BB51" s="21">
        <v>41</v>
      </c>
      <c r="BC51" s="21">
        <v>0.106049</v>
      </c>
      <c r="BD51">
        <f t="shared" si="10"/>
        <v>18.002299999999998</v>
      </c>
      <c r="BE51">
        <f t="shared" si="11"/>
        <v>1.9173529638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1.53854</v>
      </c>
      <c r="H52" s="21">
        <v>22.232900000000001</v>
      </c>
      <c r="I52" s="21">
        <v>-1.6482500000000001E-2</v>
      </c>
      <c r="J52" s="21">
        <v>42</v>
      </c>
      <c r="K52" s="21">
        <v>1.53748</v>
      </c>
      <c r="L52">
        <f t="shared" si="0"/>
        <v>16.482500000000002</v>
      </c>
      <c r="M52">
        <f t="shared" si="1"/>
        <v>25.358985550000003</v>
      </c>
      <c r="N52" s="9"/>
      <c r="O52" s="21">
        <v>0.111542</v>
      </c>
      <c r="P52" s="21">
        <v>93.993099999999998</v>
      </c>
      <c r="Q52" s="21">
        <v>-1.80389E-2</v>
      </c>
      <c r="R52" s="21">
        <v>42</v>
      </c>
      <c r="S52" s="21">
        <v>0.11114499999999999</v>
      </c>
      <c r="T52">
        <f t="shared" si="2"/>
        <v>18.038900000000002</v>
      </c>
      <c r="U52">
        <f t="shared" si="3"/>
        <v>2.0120949838000004</v>
      </c>
      <c r="X52" s="9"/>
      <c r="Y52" s="21">
        <v>1.53854</v>
      </c>
      <c r="Z52" s="21">
        <v>161.66800000000001</v>
      </c>
      <c r="AA52" s="21">
        <v>-1.63483E-2</v>
      </c>
      <c r="AB52" s="21">
        <v>42</v>
      </c>
      <c r="AC52" s="21">
        <v>1.5377799999999999</v>
      </c>
      <c r="AD52">
        <f t="shared" si="4"/>
        <v>16.348299999999998</v>
      </c>
      <c r="AE52">
        <f t="shared" si="5"/>
        <v>25.152513481999996</v>
      </c>
      <c r="AF52" s="9"/>
      <c r="AG52" s="21">
        <v>0.111542</v>
      </c>
      <c r="AH52" s="21">
        <v>228.21299999999999</v>
      </c>
      <c r="AI52" s="21">
        <v>-1.80267E-2</v>
      </c>
      <c r="AJ52" s="21">
        <v>42</v>
      </c>
      <c r="AK52" s="21">
        <v>0.11111500000000001</v>
      </c>
      <c r="AL52">
        <f t="shared" si="6"/>
        <v>18.026699999999998</v>
      </c>
      <c r="AM52">
        <f t="shared" si="7"/>
        <v>2.0107341713999998</v>
      </c>
      <c r="AP52" s="9"/>
      <c r="AQ52" s="21">
        <v>1.53854</v>
      </c>
      <c r="AR52" s="21">
        <v>285.91800000000001</v>
      </c>
      <c r="AS52" s="21">
        <v>-1.6317700000000001E-2</v>
      </c>
      <c r="AT52" s="21">
        <v>42</v>
      </c>
      <c r="AU52" s="21">
        <v>1.53809</v>
      </c>
      <c r="AV52">
        <f t="shared" si="8"/>
        <v>16.317700000000002</v>
      </c>
      <c r="AW52">
        <f t="shared" si="9"/>
        <v>25.105434158000005</v>
      </c>
      <c r="AX52" s="9"/>
      <c r="AY52" s="21">
        <v>0.111542</v>
      </c>
      <c r="AZ52" s="21">
        <v>356.34800000000001</v>
      </c>
      <c r="BA52" s="21">
        <v>-1.8005400000000001E-2</v>
      </c>
      <c r="BB52" s="21">
        <v>42</v>
      </c>
      <c r="BC52" s="21">
        <v>0.11111500000000001</v>
      </c>
      <c r="BD52">
        <f t="shared" si="10"/>
        <v>18.005400000000002</v>
      </c>
      <c r="BE52">
        <f t="shared" si="11"/>
        <v>2.0083583268000003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1.5335099999999999</v>
      </c>
      <c r="H53" s="21">
        <v>22.333600000000001</v>
      </c>
      <c r="I53" s="21">
        <v>-1.6543599999999999E-2</v>
      </c>
      <c r="J53" s="21">
        <v>43</v>
      </c>
      <c r="K53" s="21">
        <v>1.5325899999999999</v>
      </c>
      <c r="L53">
        <f t="shared" si="0"/>
        <v>16.543599999999998</v>
      </c>
      <c r="M53">
        <f t="shared" si="1"/>
        <v>25.369776035999994</v>
      </c>
      <c r="N53" s="9"/>
      <c r="O53" s="21">
        <v>0.116577</v>
      </c>
      <c r="P53" s="21">
        <v>94.093800000000002</v>
      </c>
      <c r="Q53" s="21">
        <v>-1.8029799999999999E-2</v>
      </c>
      <c r="R53" s="21">
        <v>43</v>
      </c>
      <c r="S53" s="21">
        <v>0.116302</v>
      </c>
      <c r="T53">
        <f t="shared" si="2"/>
        <v>18.029799999999998</v>
      </c>
      <c r="U53">
        <f t="shared" si="3"/>
        <v>2.1018599945999998</v>
      </c>
      <c r="X53" s="9"/>
      <c r="Y53" s="21">
        <v>1.5335099999999999</v>
      </c>
      <c r="Z53" s="21">
        <v>161.76900000000001</v>
      </c>
      <c r="AA53" s="21">
        <v>-1.6421499999999999E-2</v>
      </c>
      <c r="AB53" s="21">
        <v>43</v>
      </c>
      <c r="AC53" s="21">
        <v>1.5328999999999999</v>
      </c>
      <c r="AD53">
        <f t="shared" si="4"/>
        <v>16.421499999999998</v>
      </c>
      <c r="AE53">
        <f t="shared" si="5"/>
        <v>25.182534464999996</v>
      </c>
      <c r="AF53" s="9"/>
      <c r="AG53" s="21">
        <v>0.116577</v>
      </c>
      <c r="AH53" s="21">
        <v>228.31399999999999</v>
      </c>
      <c r="AI53" s="21">
        <v>-1.80237E-2</v>
      </c>
      <c r="AJ53" s="21">
        <v>43</v>
      </c>
      <c r="AK53" s="21">
        <v>0.11602800000000001</v>
      </c>
      <c r="AL53">
        <f t="shared" si="6"/>
        <v>18.023700000000002</v>
      </c>
      <c r="AM53">
        <f t="shared" si="7"/>
        <v>2.1011488749000002</v>
      </c>
      <c r="AP53" s="9"/>
      <c r="AQ53" s="21">
        <v>1.5335099999999999</v>
      </c>
      <c r="AR53" s="21">
        <v>286.01900000000001</v>
      </c>
      <c r="AS53" s="21">
        <v>-1.6384900000000001E-2</v>
      </c>
      <c r="AT53" s="21">
        <v>43</v>
      </c>
      <c r="AU53" s="21">
        <v>1.5331999999999999</v>
      </c>
      <c r="AV53">
        <f t="shared" si="8"/>
        <v>16.384900000000002</v>
      </c>
      <c r="AW53">
        <f t="shared" si="9"/>
        <v>25.126407999000001</v>
      </c>
      <c r="AX53" s="9"/>
      <c r="AY53" s="21">
        <v>0.116577</v>
      </c>
      <c r="AZ53" s="21">
        <v>356.44900000000001</v>
      </c>
      <c r="BA53" s="21">
        <v>-1.7993200000000001E-2</v>
      </c>
      <c r="BB53" s="21">
        <v>43</v>
      </c>
      <c r="BC53" s="21">
        <v>0.115692</v>
      </c>
      <c r="BD53">
        <f t="shared" si="10"/>
        <v>17.993200000000002</v>
      </c>
      <c r="BE53">
        <f t="shared" si="11"/>
        <v>2.0975932764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1.52847</v>
      </c>
      <c r="H54" s="21">
        <v>22.4343</v>
      </c>
      <c r="I54" s="21">
        <v>-1.6604600000000001E-2</v>
      </c>
      <c r="J54" s="21">
        <v>44</v>
      </c>
      <c r="K54" s="21">
        <v>1.5277099999999999</v>
      </c>
      <c r="L54">
        <f t="shared" si="0"/>
        <v>16.604600000000001</v>
      </c>
      <c r="M54">
        <f t="shared" si="1"/>
        <v>25.379632962000002</v>
      </c>
      <c r="N54" s="9"/>
      <c r="O54" s="21">
        <v>0.121613</v>
      </c>
      <c r="P54" s="21">
        <v>94.194500000000005</v>
      </c>
      <c r="Q54" s="21">
        <v>-1.8032800000000002E-2</v>
      </c>
      <c r="R54" s="21">
        <v>44</v>
      </c>
      <c r="S54" s="21">
        <v>0.121368</v>
      </c>
      <c r="T54">
        <f t="shared" si="2"/>
        <v>18.032800000000002</v>
      </c>
      <c r="U54">
        <f t="shared" si="3"/>
        <v>2.1930229064</v>
      </c>
      <c r="X54" s="9"/>
      <c r="Y54" s="21">
        <v>1.52847</v>
      </c>
      <c r="Z54" s="21">
        <v>161.87</v>
      </c>
      <c r="AA54" s="21">
        <v>-1.64856E-2</v>
      </c>
      <c r="AB54" s="21">
        <v>44</v>
      </c>
      <c r="AC54" s="21">
        <v>1.5280199999999999</v>
      </c>
      <c r="AD54">
        <f t="shared" si="4"/>
        <v>16.485599999999998</v>
      </c>
      <c r="AE54">
        <f t="shared" si="5"/>
        <v>25.197745031999997</v>
      </c>
      <c r="AF54" s="9"/>
      <c r="AG54" s="21">
        <v>0.121613</v>
      </c>
      <c r="AH54" s="21">
        <v>228.41499999999999</v>
      </c>
      <c r="AI54" s="21">
        <v>-1.80237E-2</v>
      </c>
      <c r="AJ54" s="21">
        <v>44</v>
      </c>
      <c r="AK54" s="21">
        <v>0.121216</v>
      </c>
      <c r="AL54">
        <f t="shared" si="6"/>
        <v>18.023700000000002</v>
      </c>
      <c r="AM54">
        <f t="shared" si="7"/>
        <v>2.1919162281000002</v>
      </c>
      <c r="AP54" s="9"/>
      <c r="AQ54" s="21">
        <v>1.52847</v>
      </c>
      <c r="AR54" s="21">
        <v>286.12</v>
      </c>
      <c r="AS54" s="21">
        <v>-1.64581E-2</v>
      </c>
      <c r="AT54" s="21">
        <v>44</v>
      </c>
      <c r="AU54" s="21">
        <v>1.5280199999999999</v>
      </c>
      <c r="AV54">
        <f t="shared" si="8"/>
        <v>16.458099999999998</v>
      </c>
      <c r="AW54">
        <f t="shared" si="9"/>
        <v>25.155712106999996</v>
      </c>
      <c r="AX54" s="9"/>
      <c r="AY54" s="21">
        <v>0.121613</v>
      </c>
      <c r="AZ54" s="21">
        <v>356.55</v>
      </c>
      <c r="BA54" s="21">
        <v>-1.79962E-2</v>
      </c>
      <c r="BB54" s="21">
        <v>44</v>
      </c>
      <c r="BC54" s="21">
        <v>0.121216</v>
      </c>
      <c r="BD54">
        <f t="shared" si="10"/>
        <v>17.996200000000002</v>
      </c>
      <c r="BE54">
        <f t="shared" si="11"/>
        <v>2.1885718706000001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1.5234399999999999</v>
      </c>
      <c r="H55" s="21">
        <v>22.5351</v>
      </c>
      <c r="I55" s="21">
        <v>-1.6653399999999999E-2</v>
      </c>
      <c r="J55" s="21">
        <v>45</v>
      </c>
      <c r="K55" s="21">
        <v>1.5234399999999999</v>
      </c>
      <c r="L55">
        <f t="shared" si="0"/>
        <v>16.653399999999998</v>
      </c>
      <c r="M55">
        <f t="shared" si="1"/>
        <v>25.370455695999993</v>
      </c>
      <c r="N55" s="9"/>
      <c r="O55" s="21">
        <v>0.12664800000000001</v>
      </c>
      <c r="P55" s="21">
        <v>94.295199999999994</v>
      </c>
      <c r="Q55" s="21">
        <v>-1.8032800000000002E-2</v>
      </c>
      <c r="R55" s="21">
        <v>45</v>
      </c>
      <c r="S55" s="21">
        <v>0.12612899999999999</v>
      </c>
      <c r="T55">
        <f t="shared" si="2"/>
        <v>18.032800000000002</v>
      </c>
      <c r="U55">
        <f t="shared" si="3"/>
        <v>2.2838180544000002</v>
      </c>
      <c r="X55" s="9"/>
      <c r="Y55" s="21">
        <v>1.5234399999999999</v>
      </c>
      <c r="Z55" s="21">
        <v>161.97</v>
      </c>
      <c r="AA55" s="21">
        <v>-1.65405E-2</v>
      </c>
      <c r="AB55" s="21">
        <v>45</v>
      </c>
      <c r="AC55" s="21">
        <v>1.5228299999999999</v>
      </c>
      <c r="AD55">
        <f t="shared" si="4"/>
        <v>16.540499999999998</v>
      </c>
      <c r="AE55">
        <f t="shared" si="5"/>
        <v>25.198459319999994</v>
      </c>
      <c r="AF55" s="9"/>
      <c r="AG55" s="21">
        <v>0.12664800000000001</v>
      </c>
      <c r="AH55" s="21">
        <v>228.51499999999999</v>
      </c>
      <c r="AI55" s="21">
        <v>-1.80237E-2</v>
      </c>
      <c r="AJ55" s="21">
        <v>45</v>
      </c>
      <c r="AK55" s="21">
        <v>0.12667800000000001</v>
      </c>
      <c r="AL55">
        <f t="shared" si="6"/>
        <v>18.023700000000002</v>
      </c>
      <c r="AM55">
        <f t="shared" si="7"/>
        <v>2.2826655576000006</v>
      </c>
      <c r="AP55" s="9"/>
      <c r="AQ55" s="21">
        <v>1.5234399999999999</v>
      </c>
      <c r="AR55" s="21">
        <v>286.22000000000003</v>
      </c>
      <c r="AS55" s="21">
        <v>-1.6513099999999999E-2</v>
      </c>
      <c r="AT55" s="21">
        <v>45</v>
      </c>
      <c r="AU55" s="21">
        <v>1.5234399999999999</v>
      </c>
      <c r="AV55">
        <f t="shared" si="8"/>
        <v>16.513099999999998</v>
      </c>
      <c r="AW55">
        <f t="shared" si="9"/>
        <v>25.156717063999995</v>
      </c>
      <c r="AX55" s="9"/>
      <c r="AY55" s="21">
        <v>0.12664800000000001</v>
      </c>
      <c r="AZ55" s="21">
        <v>356.65</v>
      </c>
      <c r="BA55" s="21">
        <v>-1.7990099999999998E-2</v>
      </c>
      <c r="BB55" s="21">
        <v>45</v>
      </c>
      <c r="BC55" s="21">
        <v>0.126251</v>
      </c>
      <c r="BD55">
        <f t="shared" si="10"/>
        <v>17.990099999999998</v>
      </c>
      <c r="BE55">
        <f t="shared" si="11"/>
        <v>2.2784101847999998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1.5184</v>
      </c>
      <c r="H56" s="21">
        <v>22.6358</v>
      </c>
      <c r="I56" s="21">
        <v>-1.6699200000000001E-2</v>
      </c>
      <c r="J56" s="21">
        <v>46</v>
      </c>
      <c r="K56" s="21">
        <v>1.5176400000000001</v>
      </c>
      <c r="L56">
        <f t="shared" si="0"/>
        <v>16.699200000000001</v>
      </c>
      <c r="M56">
        <f t="shared" si="1"/>
        <v>25.356065280000003</v>
      </c>
      <c r="N56" s="9"/>
      <c r="O56" s="21">
        <v>0.13168299999999999</v>
      </c>
      <c r="P56" s="21">
        <v>94.395899999999997</v>
      </c>
      <c r="Q56" s="21">
        <v>-1.8032800000000002E-2</v>
      </c>
      <c r="R56" s="21">
        <v>46</v>
      </c>
      <c r="S56" s="21">
        <v>0.13092000000000001</v>
      </c>
      <c r="T56">
        <f t="shared" si="2"/>
        <v>18.032800000000002</v>
      </c>
      <c r="U56">
        <f t="shared" si="3"/>
        <v>2.3746132024</v>
      </c>
      <c r="X56" s="9"/>
      <c r="Y56" s="21">
        <v>1.5184</v>
      </c>
      <c r="Z56" s="21">
        <v>162.071</v>
      </c>
      <c r="AA56" s="21">
        <v>-1.6604600000000001E-2</v>
      </c>
      <c r="AB56" s="21">
        <v>46</v>
      </c>
      <c r="AC56" s="21">
        <v>1.5185500000000001</v>
      </c>
      <c r="AD56">
        <f t="shared" si="4"/>
        <v>16.604600000000001</v>
      </c>
      <c r="AE56">
        <f t="shared" si="5"/>
        <v>25.212424640000002</v>
      </c>
      <c r="AF56" s="9"/>
      <c r="AG56" s="21">
        <v>0.13168299999999999</v>
      </c>
      <c r="AH56" s="21">
        <v>228.61600000000001</v>
      </c>
      <c r="AI56" s="21">
        <v>-1.8014499999999999E-2</v>
      </c>
      <c r="AJ56" s="21">
        <v>46</v>
      </c>
      <c r="AK56" s="21">
        <v>0.13064600000000001</v>
      </c>
      <c r="AL56">
        <f t="shared" si="6"/>
        <v>18.014499999999998</v>
      </c>
      <c r="AM56">
        <f t="shared" si="7"/>
        <v>2.3722034034999995</v>
      </c>
      <c r="AP56" s="9"/>
      <c r="AQ56" s="21">
        <v>1.5184</v>
      </c>
      <c r="AR56" s="21">
        <v>286.32100000000003</v>
      </c>
      <c r="AS56" s="21">
        <v>-1.6577100000000001E-2</v>
      </c>
      <c r="AT56" s="21">
        <v>46</v>
      </c>
      <c r="AU56" s="21">
        <v>1.5176400000000001</v>
      </c>
      <c r="AV56">
        <f t="shared" si="8"/>
        <v>16.577100000000002</v>
      </c>
      <c r="AW56">
        <f t="shared" si="9"/>
        <v>25.170668640000002</v>
      </c>
      <c r="AX56" s="9"/>
      <c r="AY56" s="21">
        <v>0.13168299999999999</v>
      </c>
      <c r="AZ56" s="21">
        <v>356.75099999999998</v>
      </c>
      <c r="BA56" s="21">
        <v>-1.7993200000000001E-2</v>
      </c>
      <c r="BB56" s="21">
        <v>46</v>
      </c>
      <c r="BC56" s="21">
        <v>0.13122600000000001</v>
      </c>
      <c r="BD56">
        <f t="shared" si="10"/>
        <v>17.993200000000002</v>
      </c>
      <c r="BE56">
        <f t="shared" si="11"/>
        <v>2.3693985556000001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1.5133700000000001</v>
      </c>
      <c r="H57" s="21">
        <v>22.736499999999999</v>
      </c>
      <c r="I57" s="21">
        <v>-1.6744999999999999E-2</v>
      </c>
      <c r="J57" s="21">
        <v>47</v>
      </c>
      <c r="K57" s="21">
        <v>1.5127600000000001</v>
      </c>
      <c r="L57">
        <f t="shared" si="0"/>
        <v>16.745000000000001</v>
      </c>
      <c r="M57">
        <f t="shared" si="1"/>
        <v>25.341380650000005</v>
      </c>
      <c r="N57" s="9"/>
      <c r="O57" s="21">
        <v>0.13671900000000001</v>
      </c>
      <c r="P57" s="21">
        <v>94.496600000000001</v>
      </c>
      <c r="Q57" s="21">
        <v>-1.80267E-2</v>
      </c>
      <c r="R57" s="21">
        <v>47</v>
      </c>
      <c r="S57" s="21">
        <v>0.136322</v>
      </c>
      <c r="T57">
        <f t="shared" si="2"/>
        <v>18.026699999999998</v>
      </c>
      <c r="U57">
        <f t="shared" si="3"/>
        <v>2.4645923972999997</v>
      </c>
      <c r="X57" s="9"/>
      <c r="Y57" s="21">
        <v>1.5133700000000001</v>
      </c>
      <c r="Z57" s="21">
        <v>162.172</v>
      </c>
      <c r="AA57" s="21">
        <v>-1.6659500000000001E-2</v>
      </c>
      <c r="AB57" s="21">
        <v>47</v>
      </c>
      <c r="AC57" s="21">
        <v>1.5124500000000001</v>
      </c>
      <c r="AD57">
        <f t="shared" si="4"/>
        <v>16.659500000000001</v>
      </c>
      <c r="AE57">
        <f t="shared" si="5"/>
        <v>25.211987515000004</v>
      </c>
      <c r="AF57" s="9"/>
      <c r="AG57" s="21">
        <v>0.13671900000000001</v>
      </c>
      <c r="AH57" s="21">
        <v>228.71700000000001</v>
      </c>
      <c r="AI57" s="21">
        <v>-1.8014499999999999E-2</v>
      </c>
      <c r="AJ57" s="21">
        <v>47</v>
      </c>
      <c r="AK57" s="21">
        <v>0.13641400000000001</v>
      </c>
      <c r="AL57">
        <f t="shared" si="6"/>
        <v>18.014499999999998</v>
      </c>
      <c r="AM57">
        <f t="shared" si="7"/>
        <v>2.4629244254999998</v>
      </c>
      <c r="AP57" s="9"/>
      <c r="AQ57" s="21">
        <v>1.5133700000000001</v>
      </c>
      <c r="AR57" s="21">
        <v>286.42200000000003</v>
      </c>
      <c r="AS57" s="21">
        <v>-1.6638199999999999E-2</v>
      </c>
      <c r="AT57" s="21">
        <v>47</v>
      </c>
      <c r="AU57" s="21">
        <v>1.5124500000000001</v>
      </c>
      <c r="AV57">
        <f t="shared" si="8"/>
        <v>16.638199999999998</v>
      </c>
      <c r="AW57">
        <f t="shared" si="9"/>
        <v>25.179752733999997</v>
      </c>
      <c r="AX57" s="9"/>
      <c r="AY57" s="21">
        <v>0.13671900000000001</v>
      </c>
      <c r="AZ57" s="21">
        <v>356.85199999999998</v>
      </c>
      <c r="BA57" s="21">
        <v>-1.7993200000000001E-2</v>
      </c>
      <c r="BB57" s="21">
        <v>47</v>
      </c>
      <c r="BC57" s="21">
        <v>0.13622999999999999</v>
      </c>
      <c r="BD57">
        <f t="shared" si="10"/>
        <v>17.993200000000002</v>
      </c>
      <c r="BE57">
        <f t="shared" si="11"/>
        <v>2.4600123108000003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1.5083299999999999</v>
      </c>
      <c r="H58" s="21">
        <v>22.837199999999999</v>
      </c>
      <c r="I58" s="21">
        <v>-1.6787699999999999E-2</v>
      </c>
      <c r="J58" s="21">
        <v>48</v>
      </c>
      <c r="K58" s="21">
        <v>1.5075700000000001</v>
      </c>
      <c r="L58">
        <f t="shared" si="0"/>
        <v>16.787699999999997</v>
      </c>
      <c r="M58">
        <f t="shared" si="1"/>
        <v>25.321391540999993</v>
      </c>
      <c r="N58" s="9"/>
      <c r="O58" s="21">
        <v>0.14175399999999999</v>
      </c>
      <c r="P58" s="21">
        <v>94.597300000000004</v>
      </c>
      <c r="Q58" s="21">
        <v>-1.80267E-2</v>
      </c>
      <c r="R58" s="21">
        <v>48</v>
      </c>
      <c r="S58" s="21">
        <v>0.14141799999999999</v>
      </c>
      <c r="T58">
        <f t="shared" si="2"/>
        <v>18.026699999999998</v>
      </c>
      <c r="U58">
        <f t="shared" si="3"/>
        <v>2.5553568317999997</v>
      </c>
      <c r="X58" s="9"/>
      <c r="Y58" s="21">
        <v>1.5083299999999999</v>
      </c>
      <c r="Z58" s="21">
        <v>162.27199999999999</v>
      </c>
      <c r="AA58" s="21">
        <v>-1.6705299999999999E-2</v>
      </c>
      <c r="AB58" s="21">
        <v>48</v>
      </c>
      <c r="AC58" s="21">
        <v>1.50726</v>
      </c>
      <c r="AD58">
        <f t="shared" si="4"/>
        <v>16.705299999999998</v>
      </c>
      <c r="AE58">
        <f t="shared" si="5"/>
        <v>25.197105148999995</v>
      </c>
      <c r="AF58" s="9"/>
      <c r="AG58" s="21">
        <v>0.14175399999999999</v>
      </c>
      <c r="AH58" s="21">
        <v>228.81700000000001</v>
      </c>
      <c r="AI58" s="21">
        <v>-1.80115E-2</v>
      </c>
      <c r="AJ58" s="21">
        <v>48</v>
      </c>
      <c r="AK58" s="21">
        <v>0.141235</v>
      </c>
      <c r="AL58">
        <f t="shared" si="6"/>
        <v>18.011499999999998</v>
      </c>
      <c r="AM58">
        <f t="shared" si="7"/>
        <v>2.5532021709999997</v>
      </c>
      <c r="AP58" s="9"/>
      <c r="AQ58" s="21">
        <v>1.5083299999999999</v>
      </c>
      <c r="AR58" s="21">
        <v>286.52199999999999</v>
      </c>
      <c r="AS58" s="21">
        <v>-1.6693099999999999E-2</v>
      </c>
      <c r="AT58" s="21">
        <v>48</v>
      </c>
      <c r="AU58" s="21">
        <v>1.50726</v>
      </c>
      <c r="AV58">
        <f t="shared" si="8"/>
        <v>16.693099999999998</v>
      </c>
      <c r="AW58">
        <f t="shared" si="9"/>
        <v>25.178703522999996</v>
      </c>
      <c r="AX58" s="9"/>
      <c r="AY58" s="21">
        <v>0.14175399999999999</v>
      </c>
      <c r="AZ58" s="21">
        <v>356.95299999999997</v>
      </c>
      <c r="BA58" s="21">
        <v>-1.7990099999999998E-2</v>
      </c>
      <c r="BB58" s="21">
        <v>48</v>
      </c>
      <c r="BC58" s="21">
        <v>0.141296</v>
      </c>
      <c r="BD58">
        <f t="shared" si="10"/>
        <v>17.990099999999998</v>
      </c>
      <c r="BE58">
        <f t="shared" si="11"/>
        <v>2.5501686353999995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1.5033000000000001</v>
      </c>
      <c r="H59" s="21">
        <v>22.937899999999999</v>
      </c>
      <c r="I59" s="21">
        <v>-1.6833500000000001E-2</v>
      </c>
      <c r="J59" s="21">
        <v>49</v>
      </c>
      <c r="K59" s="21">
        <v>1.5026900000000001</v>
      </c>
      <c r="L59">
        <f t="shared" si="0"/>
        <v>16.833500000000001</v>
      </c>
      <c r="M59">
        <f t="shared" si="1"/>
        <v>25.305800550000004</v>
      </c>
      <c r="N59" s="9"/>
      <c r="O59" s="21">
        <v>0.14679</v>
      </c>
      <c r="P59" s="21">
        <v>94.697999999999993</v>
      </c>
      <c r="Q59" s="21">
        <v>-1.8020600000000001E-2</v>
      </c>
      <c r="R59" s="21">
        <v>49</v>
      </c>
      <c r="S59" s="21">
        <v>0.14621000000000001</v>
      </c>
      <c r="T59">
        <f t="shared" si="2"/>
        <v>18.020600000000002</v>
      </c>
      <c r="U59">
        <f t="shared" si="3"/>
        <v>2.6452438740000002</v>
      </c>
      <c r="X59" s="9"/>
      <c r="Y59" s="21">
        <v>1.5033000000000001</v>
      </c>
      <c r="Z59" s="21">
        <v>162.37299999999999</v>
      </c>
      <c r="AA59" s="21">
        <v>-1.6763299999999998E-2</v>
      </c>
      <c r="AB59" s="21">
        <v>49</v>
      </c>
      <c r="AC59" s="21">
        <v>1.50299</v>
      </c>
      <c r="AD59">
        <f t="shared" si="4"/>
        <v>16.763299999999997</v>
      </c>
      <c r="AE59">
        <f t="shared" si="5"/>
        <v>25.200268889999997</v>
      </c>
      <c r="AF59" s="9"/>
      <c r="AG59" s="21">
        <v>0.14679</v>
      </c>
      <c r="AH59" s="21">
        <v>228.91800000000001</v>
      </c>
      <c r="AI59" s="21">
        <v>-1.8014499999999999E-2</v>
      </c>
      <c r="AJ59" s="21">
        <v>49</v>
      </c>
      <c r="AK59" s="21">
        <v>0.14624000000000001</v>
      </c>
      <c r="AL59">
        <f t="shared" si="6"/>
        <v>18.014499999999998</v>
      </c>
      <c r="AM59">
        <f t="shared" si="7"/>
        <v>2.6443484549999998</v>
      </c>
      <c r="AP59" s="9"/>
      <c r="AQ59" s="21">
        <v>1.5033000000000001</v>
      </c>
      <c r="AR59" s="21">
        <v>286.62299999999999</v>
      </c>
      <c r="AS59" s="21">
        <v>-1.6738900000000001E-2</v>
      </c>
      <c r="AT59" s="21">
        <v>49</v>
      </c>
      <c r="AU59" s="21">
        <v>1.50238</v>
      </c>
      <c r="AV59">
        <f t="shared" si="8"/>
        <v>16.738900000000001</v>
      </c>
      <c r="AW59">
        <f t="shared" si="9"/>
        <v>25.163588370000003</v>
      </c>
      <c r="AX59" s="9"/>
      <c r="AY59" s="21">
        <v>0.14679</v>
      </c>
      <c r="AZ59" s="21">
        <v>357.053</v>
      </c>
      <c r="BA59" s="21">
        <v>-1.7987099999999999E-2</v>
      </c>
      <c r="BB59" s="21">
        <v>49</v>
      </c>
      <c r="BC59" s="21">
        <v>0.14630099999999999</v>
      </c>
      <c r="BD59">
        <f t="shared" si="10"/>
        <v>17.987099999999998</v>
      </c>
      <c r="BE59">
        <f t="shared" si="11"/>
        <v>2.6403264089999996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1.4982599999999999</v>
      </c>
      <c r="H60" s="21">
        <v>23.038599999999999</v>
      </c>
      <c r="I60" s="21">
        <v>-1.6873200000000001E-2</v>
      </c>
      <c r="J60" s="21">
        <v>50</v>
      </c>
      <c r="K60" s="21">
        <v>1.4978</v>
      </c>
      <c r="L60">
        <f t="shared" si="0"/>
        <v>16.873200000000001</v>
      </c>
      <c r="M60">
        <f t="shared" si="1"/>
        <v>25.280440632000001</v>
      </c>
      <c r="N60" s="9"/>
      <c r="O60" s="21">
        <v>0.15182499999999999</v>
      </c>
      <c r="P60" s="21">
        <v>94.7988</v>
      </c>
      <c r="Q60" s="21">
        <v>-1.80267E-2</v>
      </c>
      <c r="R60" s="21">
        <v>50</v>
      </c>
      <c r="S60" s="21">
        <v>0.15151999999999999</v>
      </c>
      <c r="T60">
        <f t="shared" si="2"/>
        <v>18.026699999999998</v>
      </c>
      <c r="U60">
        <f t="shared" si="3"/>
        <v>2.7369037274999997</v>
      </c>
      <c r="X60" s="9"/>
      <c r="Y60" s="21">
        <v>1.4982599999999999</v>
      </c>
      <c r="Z60" s="21">
        <v>162.47399999999999</v>
      </c>
      <c r="AA60" s="21">
        <v>-1.6818199999999998E-2</v>
      </c>
      <c r="AB60" s="21">
        <v>50</v>
      </c>
      <c r="AC60" s="21">
        <v>1.4975000000000001</v>
      </c>
      <c r="AD60">
        <f t="shared" si="4"/>
        <v>16.818199999999997</v>
      </c>
      <c r="AE60">
        <f t="shared" si="5"/>
        <v>25.198036331999994</v>
      </c>
      <c r="AF60" s="9"/>
      <c r="AG60" s="21">
        <v>0.15182499999999999</v>
      </c>
      <c r="AH60" s="21">
        <v>229.01900000000001</v>
      </c>
      <c r="AI60" s="21">
        <v>-1.8008400000000001E-2</v>
      </c>
      <c r="AJ60" s="21">
        <v>50</v>
      </c>
      <c r="AK60" s="21">
        <v>0.15148900000000001</v>
      </c>
      <c r="AL60">
        <f t="shared" si="6"/>
        <v>18.008400000000002</v>
      </c>
      <c r="AM60">
        <f t="shared" si="7"/>
        <v>2.7341253299999999</v>
      </c>
      <c r="AP60" s="9"/>
      <c r="AQ60" s="21">
        <v>1.4982599999999999</v>
      </c>
      <c r="AR60" s="21">
        <v>286.72399999999999</v>
      </c>
      <c r="AS60" s="21">
        <v>-1.6793800000000001E-2</v>
      </c>
      <c r="AT60" s="21">
        <v>50</v>
      </c>
      <c r="AU60" s="21">
        <v>1.4978</v>
      </c>
      <c r="AV60">
        <f t="shared" si="8"/>
        <v>16.793800000000001</v>
      </c>
      <c r="AW60">
        <f t="shared" si="9"/>
        <v>25.161478788</v>
      </c>
      <c r="AX60" s="9"/>
      <c r="AY60" s="21">
        <v>0.15182499999999999</v>
      </c>
      <c r="AZ60" s="21">
        <v>357.154</v>
      </c>
      <c r="BA60" s="21">
        <v>-1.7987099999999999E-2</v>
      </c>
      <c r="BB60" s="21">
        <v>50</v>
      </c>
      <c r="BC60" s="21">
        <v>0.15158099999999999</v>
      </c>
      <c r="BD60">
        <f t="shared" si="10"/>
        <v>17.987099999999998</v>
      </c>
      <c r="BE60">
        <f t="shared" si="11"/>
        <v>2.7308914574999994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1.4932300000000001</v>
      </c>
      <c r="H61" s="21">
        <v>23.139299999999999</v>
      </c>
      <c r="I61" s="21">
        <v>-1.6915900000000001E-2</v>
      </c>
      <c r="J61" s="21">
        <v>51</v>
      </c>
      <c r="K61" s="21">
        <v>1.49231</v>
      </c>
      <c r="L61">
        <f t="shared" si="0"/>
        <v>16.915900000000001</v>
      </c>
      <c r="M61">
        <f t="shared" si="1"/>
        <v>25.259329357000002</v>
      </c>
      <c r="N61" s="9"/>
      <c r="O61" s="21">
        <v>0.15686</v>
      </c>
      <c r="P61" s="21">
        <v>94.899500000000003</v>
      </c>
      <c r="Q61" s="21">
        <v>-1.8017600000000002E-2</v>
      </c>
      <c r="R61" s="21">
        <v>51</v>
      </c>
      <c r="S61" s="21">
        <v>0.15634200000000001</v>
      </c>
      <c r="T61">
        <f t="shared" si="2"/>
        <v>18.017600000000002</v>
      </c>
      <c r="U61">
        <f t="shared" si="3"/>
        <v>2.8262407360000004</v>
      </c>
      <c r="X61" s="9"/>
      <c r="Y61" s="21">
        <v>1.4932300000000001</v>
      </c>
      <c r="Z61" s="21">
        <v>162.57499999999999</v>
      </c>
      <c r="AA61" s="21">
        <v>-1.6842699999999999E-2</v>
      </c>
      <c r="AB61" s="21">
        <v>51</v>
      </c>
      <c r="AC61" s="21">
        <v>1.49292</v>
      </c>
      <c r="AD61">
        <f t="shared" si="4"/>
        <v>16.842699999999997</v>
      </c>
      <c r="AE61">
        <f t="shared" si="5"/>
        <v>25.150024920999996</v>
      </c>
      <c r="AF61" s="9"/>
      <c r="AG61" s="21">
        <v>0.15686</v>
      </c>
      <c r="AH61" s="21">
        <v>229.12</v>
      </c>
      <c r="AI61" s="21">
        <v>-1.8008400000000001E-2</v>
      </c>
      <c r="AJ61" s="21">
        <v>51</v>
      </c>
      <c r="AK61" s="21">
        <v>0.15634200000000001</v>
      </c>
      <c r="AL61">
        <f t="shared" si="6"/>
        <v>18.008400000000002</v>
      </c>
      <c r="AM61">
        <f t="shared" si="7"/>
        <v>2.8247976240000003</v>
      </c>
      <c r="AP61" s="9"/>
      <c r="AQ61" s="21">
        <v>1.4932300000000001</v>
      </c>
      <c r="AR61" s="21">
        <v>286.82400000000001</v>
      </c>
      <c r="AS61" s="21">
        <v>-1.6833500000000001E-2</v>
      </c>
      <c r="AT61" s="21">
        <v>51</v>
      </c>
      <c r="AU61" s="21">
        <v>1.49261</v>
      </c>
      <c r="AV61">
        <f t="shared" si="8"/>
        <v>16.833500000000001</v>
      </c>
      <c r="AW61">
        <f t="shared" si="9"/>
        <v>25.136287205000002</v>
      </c>
      <c r="AX61" s="9"/>
      <c r="AY61" s="21">
        <v>0.15686</v>
      </c>
      <c r="AZ61" s="21">
        <v>357.255</v>
      </c>
      <c r="BA61" s="21">
        <v>-1.7981E-2</v>
      </c>
      <c r="BB61" s="21">
        <v>51</v>
      </c>
      <c r="BC61" s="21">
        <v>0.15643299999999999</v>
      </c>
      <c r="BD61">
        <f t="shared" si="10"/>
        <v>17.981000000000002</v>
      </c>
      <c r="BE61">
        <f t="shared" si="11"/>
        <v>2.8204996600000003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1.4881899999999999</v>
      </c>
      <c r="H62" s="21">
        <v>23.24</v>
      </c>
      <c r="I62" s="21">
        <v>-1.6943400000000001E-2</v>
      </c>
      <c r="J62" s="21">
        <v>52</v>
      </c>
      <c r="K62" s="21">
        <v>1.48773</v>
      </c>
      <c r="L62">
        <f t="shared" si="0"/>
        <v>16.9434</v>
      </c>
      <c r="M62">
        <f t="shared" si="1"/>
        <v>25.214998445999999</v>
      </c>
      <c r="N62" s="9"/>
      <c r="O62" s="21">
        <v>0.16189600000000001</v>
      </c>
      <c r="P62" s="21">
        <v>95.000200000000007</v>
      </c>
      <c r="Q62" s="21">
        <v>-1.80237E-2</v>
      </c>
      <c r="R62" s="21">
        <v>52</v>
      </c>
      <c r="S62" s="21">
        <v>0.16140699999999999</v>
      </c>
      <c r="T62">
        <f t="shared" si="2"/>
        <v>18.023700000000002</v>
      </c>
      <c r="U62">
        <f t="shared" si="3"/>
        <v>2.9179649352000006</v>
      </c>
      <c r="X62" s="9"/>
      <c r="Y62" s="21">
        <v>1.4881899999999999</v>
      </c>
      <c r="Z62" s="21">
        <v>162.67500000000001</v>
      </c>
      <c r="AA62" s="21">
        <v>-1.6888400000000001E-2</v>
      </c>
      <c r="AB62" s="21">
        <v>52</v>
      </c>
      <c r="AC62" s="21">
        <v>1.48712</v>
      </c>
      <c r="AD62">
        <f t="shared" si="4"/>
        <v>16.888400000000001</v>
      </c>
      <c r="AE62">
        <f t="shared" si="5"/>
        <v>25.133147995999998</v>
      </c>
      <c r="AF62" s="9"/>
      <c r="AG62" s="21">
        <v>0.16189600000000001</v>
      </c>
      <c r="AH62" s="21">
        <v>229.22</v>
      </c>
      <c r="AI62" s="21">
        <v>-1.8005400000000001E-2</v>
      </c>
      <c r="AJ62" s="21">
        <v>52</v>
      </c>
      <c r="AK62" s="21">
        <v>0.16165199999999999</v>
      </c>
      <c r="AL62">
        <f t="shared" si="6"/>
        <v>18.005400000000002</v>
      </c>
      <c r="AM62">
        <f t="shared" si="7"/>
        <v>2.9150022384000005</v>
      </c>
      <c r="AP62" s="9"/>
      <c r="AQ62" s="21">
        <v>1.4881899999999999</v>
      </c>
      <c r="AR62" s="21">
        <v>286.92500000000001</v>
      </c>
      <c r="AS62" s="21">
        <v>-1.6873200000000001E-2</v>
      </c>
      <c r="AT62" s="21">
        <v>52</v>
      </c>
      <c r="AU62" s="21">
        <v>1.48743</v>
      </c>
      <c r="AV62">
        <f t="shared" si="8"/>
        <v>16.873200000000001</v>
      </c>
      <c r="AW62">
        <f t="shared" si="9"/>
        <v>25.110527508000001</v>
      </c>
      <c r="AX62" s="9"/>
      <c r="AY62" s="21">
        <v>0.16189600000000001</v>
      </c>
      <c r="AZ62" s="21">
        <v>357.35500000000002</v>
      </c>
      <c r="BA62" s="21">
        <v>-1.7974899999999999E-2</v>
      </c>
      <c r="BB62" s="21">
        <v>52</v>
      </c>
      <c r="BC62" s="21">
        <v>0.161438</v>
      </c>
      <c r="BD62">
        <f t="shared" si="10"/>
        <v>17.974899999999998</v>
      </c>
      <c r="BE62">
        <f t="shared" si="11"/>
        <v>2.9100644104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1.48315</v>
      </c>
      <c r="H63" s="21">
        <v>23.340699999999998</v>
      </c>
      <c r="I63" s="21">
        <v>-1.6986100000000001E-2</v>
      </c>
      <c r="J63" s="21">
        <v>53</v>
      </c>
      <c r="K63" s="21">
        <v>1.48285</v>
      </c>
      <c r="L63">
        <f t="shared" si="0"/>
        <v>16.9861</v>
      </c>
      <c r="M63">
        <f t="shared" si="1"/>
        <v>25.192934215000001</v>
      </c>
      <c r="N63" s="9"/>
      <c r="O63" s="21">
        <v>0.166931</v>
      </c>
      <c r="P63" s="21">
        <v>95.100899999999996</v>
      </c>
      <c r="Q63" s="21">
        <v>-1.8020600000000001E-2</v>
      </c>
      <c r="R63" s="21">
        <v>53</v>
      </c>
      <c r="S63" s="21">
        <v>0.166412</v>
      </c>
      <c r="T63">
        <f t="shared" si="2"/>
        <v>18.020600000000002</v>
      </c>
      <c r="U63">
        <f t="shared" si="3"/>
        <v>3.0081967786000003</v>
      </c>
      <c r="X63" s="9"/>
      <c r="Y63" s="21">
        <v>1.48315</v>
      </c>
      <c r="Z63" s="21">
        <v>162.77600000000001</v>
      </c>
      <c r="AA63" s="21">
        <v>-1.6924999999999999E-2</v>
      </c>
      <c r="AB63" s="21">
        <v>53</v>
      </c>
      <c r="AC63" s="21">
        <v>1.48224</v>
      </c>
      <c r="AD63">
        <f t="shared" si="4"/>
        <v>16.925000000000001</v>
      </c>
      <c r="AE63">
        <f t="shared" si="5"/>
        <v>25.10231375</v>
      </c>
      <c r="AF63" s="9"/>
      <c r="AG63" s="21">
        <v>0.166931</v>
      </c>
      <c r="AH63" s="21">
        <v>229.321</v>
      </c>
      <c r="AI63" s="21">
        <v>-1.8002299999999999E-2</v>
      </c>
      <c r="AJ63" s="21">
        <v>53</v>
      </c>
      <c r="AK63" s="21">
        <v>0.16677900000000001</v>
      </c>
      <c r="AL63">
        <f t="shared" si="6"/>
        <v>18.002299999999998</v>
      </c>
      <c r="AM63">
        <f t="shared" si="7"/>
        <v>3.0051419412999998</v>
      </c>
      <c r="AP63" s="9"/>
      <c r="AQ63" s="21">
        <v>1.48315</v>
      </c>
      <c r="AR63" s="21">
        <v>287.02600000000001</v>
      </c>
      <c r="AS63" s="21">
        <v>-1.6909799999999999E-2</v>
      </c>
      <c r="AT63" s="21">
        <v>53</v>
      </c>
      <c r="AU63" s="21">
        <v>1.48254</v>
      </c>
      <c r="AV63">
        <f t="shared" si="8"/>
        <v>16.909800000000001</v>
      </c>
      <c r="AW63">
        <f t="shared" si="9"/>
        <v>25.07976987</v>
      </c>
      <c r="AX63" s="9"/>
      <c r="AY63" s="21">
        <v>0.166931</v>
      </c>
      <c r="AZ63" s="21">
        <v>357.45600000000002</v>
      </c>
      <c r="BA63" s="21">
        <v>-1.7974899999999999E-2</v>
      </c>
      <c r="BB63" s="21">
        <v>53</v>
      </c>
      <c r="BC63" s="21">
        <v>0.16656499999999999</v>
      </c>
      <c r="BD63">
        <f t="shared" si="10"/>
        <v>17.974899999999998</v>
      </c>
      <c r="BE63">
        <f t="shared" si="11"/>
        <v>3.0005680318999994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1.4781200000000001</v>
      </c>
      <c r="H64" s="21">
        <v>23.441400000000002</v>
      </c>
      <c r="I64" s="21">
        <v>-1.70166E-2</v>
      </c>
      <c r="J64" s="21">
        <v>54</v>
      </c>
      <c r="K64" s="21">
        <v>1.47766</v>
      </c>
      <c r="L64">
        <f t="shared" si="0"/>
        <v>17.0166</v>
      </c>
      <c r="M64">
        <f t="shared" si="1"/>
        <v>25.152576792000001</v>
      </c>
      <c r="N64" s="9"/>
      <c r="O64" s="21">
        <v>0.17196700000000001</v>
      </c>
      <c r="P64" s="21">
        <v>95.201599999999999</v>
      </c>
      <c r="Q64" s="21">
        <v>-1.8014499999999999E-2</v>
      </c>
      <c r="R64" s="21">
        <v>54</v>
      </c>
      <c r="S64" s="21">
        <v>0.17150899999999999</v>
      </c>
      <c r="T64">
        <f t="shared" si="2"/>
        <v>18.014499999999998</v>
      </c>
      <c r="U64">
        <f t="shared" si="3"/>
        <v>3.0978995215</v>
      </c>
      <c r="X64" s="9"/>
      <c r="Y64" s="21">
        <v>1.4781200000000001</v>
      </c>
      <c r="Z64" s="21">
        <v>162.87700000000001</v>
      </c>
      <c r="AA64" s="21">
        <v>-1.6958600000000001E-2</v>
      </c>
      <c r="AB64" s="21">
        <v>54</v>
      </c>
      <c r="AC64" s="21">
        <v>1.47736</v>
      </c>
      <c r="AD64">
        <f t="shared" si="4"/>
        <v>16.958600000000001</v>
      </c>
      <c r="AE64">
        <f t="shared" si="5"/>
        <v>25.066845832000002</v>
      </c>
      <c r="AF64" s="9"/>
      <c r="AG64" s="21">
        <v>0.17196700000000001</v>
      </c>
      <c r="AH64" s="21">
        <v>229.422</v>
      </c>
      <c r="AI64" s="21">
        <v>-1.8002299999999999E-2</v>
      </c>
      <c r="AJ64" s="21">
        <v>54</v>
      </c>
      <c r="AK64" s="21">
        <v>0.171295</v>
      </c>
      <c r="AL64">
        <f t="shared" si="6"/>
        <v>18.002299999999998</v>
      </c>
      <c r="AM64">
        <f t="shared" si="7"/>
        <v>3.0958015240999996</v>
      </c>
      <c r="AP64" s="9"/>
      <c r="AQ64" s="21">
        <v>1.4781200000000001</v>
      </c>
      <c r="AR64" s="21">
        <v>287.12700000000001</v>
      </c>
      <c r="AS64" s="21">
        <v>-1.69464E-2</v>
      </c>
      <c r="AT64" s="21">
        <v>54</v>
      </c>
      <c r="AU64" s="21">
        <v>1.47675</v>
      </c>
      <c r="AV64">
        <f t="shared" si="8"/>
        <v>16.946400000000001</v>
      </c>
      <c r="AW64">
        <f t="shared" si="9"/>
        <v>25.048812768000001</v>
      </c>
      <c r="AX64" s="9"/>
      <c r="AY64" s="21">
        <v>0.17196700000000001</v>
      </c>
      <c r="AZ64" s="21">
        <v>357.55700000000002</v>
      </c>
      <c r="BA64" s="21">
        <v>-1.79688E-2</v>
      </c>
      <c r="BB64" s="21">
        <v>54</v>
      </c>
      <c r="BC64" s="21">
        <v>0.171539</v>
      </c>
      <c r="BD64">
        <f t="shared" si="10"/>
        <v>17.968800000000002</v>
      </c>
      <c r="BE64">
        <f t="shared" si="11"/>
        <v>3.0900406296000003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1.4730799999999999</v>
      </c>
      <c r="H65" s="21">
        <v>23.542100000000001</v>
      </c>
      <c r="I65" s="21">
        <v>-1.7047099999999999E-2</v>
      </c>
      <c r="J65" s="21">
        <v>55</v>
      </c>
      <c r="K65" s="21">
        <v>1.4724699999999999</v>
      </c>
      <c r="L65">
        <f t="shared" si="0"/>
        <v>17.0471</v>
      </c>
      <c r="M65">
        <f t="shared" si="1"/>
        <v>25.111742067999998</v>
      </c>
      <c r="N65" s="9"/>
      <c r="O65" s="21">
        <v>0.17700199999999999</v>
      </c>
      <c r="P65" s="21">
        <v>95.302300000000002</v>
      </c>
      <c r="Q65" s="21">
        <v>-1.8014499999999999E-2</v>
      </c>
      <c r="R65" s="21">
        <v>55</v>
      </c>
      <c r="S65" s="21">
        <v>0.176422</v>
      </c>
      <c r="T65">
        <f t="shared" si="2"/>
        <v>18.014499999999998</v>
      </c>
      <c r="U65">
        <f t="shared" si="3"/>
        <v>3.1886025289999997</v>
      </c>
      <c r="X65" s="9"/>
      <c r="Y65" s="21">
        <v>1.4730799999999999</v>
      </c>
      <c r="Z65" s="21">
        <v>162.977</v>
      </c>
      <c r="AA65" s="21">
        <v>-1.6992199999999999E-2</v>
      </c>
      <c r="AB65" s="21">
        <v>55</v>
      </c>
      <c r="AC65" s="21">
        <v>1.4724699999999999</v>
      </c>
      <c r="AD65">
        <f t="shared" si="4"/>
        <v>16.9922</v>
      </c>
      <c r="AE65">
        <f t="shared" si="5"/>
        <v>25.030869975999998</v>
      </c>
      <c r="AF65" s="9"/>
      <c r="AG65" s="21">
        <v>0.17700199999999999</v>
      </c>
      <c r="AH65" s="21">
        <v>229.52199999999999</v>
      </c>
      <c r="AI65" s="21">
        <v>-1.8002299999999999E-2</v>
      </c>
      <c r="AJ65" s="21">
        <v>55</v>
      </c>
      <c r="AK65" s="21">
        <v>0.176758</v>
      </c>
      <c r="AL65">
        <f t="shared" si="6"/>
        <v>18.002299999999998</v>
      </c>
      <c r="AM65">
        <f t="shared" si="7"/>
        <v>3.1864431045999995</v>
      </c>
      <c r="AP65" s="9"/>
      <c r="AQ65" s="21">
        <v>1.4730799999999999</v>
      </c>
      <c r="AR65" s="21">
        <v>287.22699999999998</v>
      </c>
      <c r="AS65" s="21">
        <v>-1.6979999999999999E-2</v>
      </c>
      <c r="AT65" s="21">
        <v>55</v>
      </c>
      <c r="AU65" s="21">
        <v>1.4724699999999999</v>
      </c>
      <c r="AV65">
        <f t="shared" si="8"/>
        <v>16.979999999999997</v>
      </c>
      <c r="AW65">
        <f t="shared" si="9"/>
        <v>25.012898399999994</v>
      </c>
      <c r="AX65" s="9"/>
      <c r="AY65" s="21">
        <v>0.17700199999999999</v>
      </c>
      <c r="AZ65" s="21">
        <v>357.65699999999998</v>
      </c>
      <c r="BA65" s="21">
        <v>-1.7974899999999999E-2</v>
      </c>
      <c r="BB65" s="21">
        <v>55</v>
      </c>
      <c r="BC65" s="21">
        <v>0.176117</v>
      </c>
      <c r="BD65">
        <f t="shared" si="10"/>
        <v>17.974899999999998</v>
      </c>
      <c r="BE65">
        <f t="shared" si="11"/>
        <v>3.1815932497999997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1.4680500000000001</v>
      </c>
      <c r="H66" s="21">
        <v>23.642800000000001</v>
      </c>
      <c r="I66" s="21">
        <v>-1.7077599999999998E-2</v>
      </c>
      <c r="J66" s="21">
        <v>56</v>
      </c>
      <c r="K66" s="21">
        <v>1.46729</v>
      </c>
      <c r="L66">
        <f t="shared" si="0"/>
        <v>17.077599999999997</v>
      </c>
      <c r="M66">
        <f t="shared" si="1"/>
        <v>25.070770679999995</v>
      </c>
      <c r="N66" s="9"/>
      <c r="O66" s="21">
        <v>0.182037</v>
      </c>
      <c r="P66" s="21">
        <v>95.403000000000006</v>
      </c>
      <c r="Q66" s="21">
        <v>-1.80115E-2</v>
      </c>
      <c r="R66" s="21">
        <v>56</v>
      </c>
      <c r="S66" s="21">
        <v>0.18179300000000001</v>
      </c>
      <c r="T66">
        <f t="shared" si="2"/>
        <v>18.011499999999998</v>
      </c>
      <c r="U66">
        <f t="shared" si="3"/>
        <v>3.2787594254999997</v>
      </c>
      <c r="X66" s="9"/>
      <c r="Y66" s="21">
        <v>1.4680500000000001</v>
      </c>
      <c r="Z66" s="21">
        <v>163.078</v>
      </c>
      <c r="AA66" s="21">
        <v>-1.7025800000000001E-2</v>
      </c>
      <c r="AB66" s="21">
        <v>56</v>
      </c>
      <c r="AC66" s="21">
        <v>1.46729</v>
      </c>
      <c r="AD66">
        <f t="shared" si="4"/>
        <v>17.0258</v>
      </c>
      <c r="AE66">
        <f t="shared" si="5"/>
        <v>24.994725690000003</v>
      </c>
      <c r="AF66" s="9"/>
      <c r="AG66" s="21">
        <v>0.182037</v>
      </c>
      <c r="AH66" s="21">
        <v>229.62299999999999</v>
      </c>
      <c r="AI66" s="21">
        <v>-1.8002299999999999E-2</v>
      </c>
      <c r="AJ66" s="21">
        <v>56</v>
      </c>
      <c r="AK66" s="21">
        <v>0.18160999999999999</v>
      </c>
      <c r="AL66">
        <f t="shared" si="6"/>
        <v>18.002299999999998</v>
      </c>
      <c r="AM66">
        <f t="shared" si="7"/>
        <v>3.2770846850999997</v>
      </c>
      <c r="AP66" s="9"/>
      <c r="AQ66" s="21">
        <v>1.4680500000000001</v>
      </c>
      <c r="AR66" s="21">
        <v>287.32799999999997</v>
      </c>
      <c r="AS66" s="21">
        <v>-1.7013500000000001E-2</v>
      </c>
      <c r="AT66" s="21">
        <v>56</v>
      </c>
      <c r="AU66" s="21">
        <v>1.46698</v>
      </c>
      <c r="AV66">
        <f t="shared" si="8"/>
        <v>17.013500000000001</v>
      </c>
      <c r="AW66">
        <f t="shared" si="9"/>
        <v>24.976668675000003</v>
      </c>
      <c r="AX66" s="9"/>
      <c r="AY66" s="21">
        <v>0.182037</v>
      </c>
      <c r="AZ66" s="21">
        <v>357.75799999999998</v>
      </c>
      <c r="BA66" s="21">
        <v>-1.79718E-2</v>
      </c>
      <c r="BB66" s="21">
        <v>56</v>
      </c>
      <c r="BC66" s="21">
        <v>0.181671</v>
      </c>
      <c r="BD66">
        <f t="shared" si="10"/>
        <v>17.971799999999998</v>
      </c>
      <c r="BE66">
        <f t="shared" si="11"/>
        <v>3.2715325566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1.4630099999999999</v>
      </c>
      <c r="H67" s="21">
        <v>23.743600000000001</v>
      </c>
      <c r="I67" s="21">
        <v>-1.7102099999999999E-2</v>
      </c>
      <c r="J67" s="21">
        <v>57</v>
      </c>
      <c r="K67" s="21">
        <v>1.4623999999999999</v>
      </c>
      <c r="L67">
        <f t="shared" si="0"/>
        <v>17.1021</v>
      </c>
      <c r="M67">
        <f t="shared" si="1"/>
        <v>25.020543320999998</v>
      </c>
      <c r="N67" s="9"/>
      <c r="O67" s="21">
        <v>0.18707299999999999</v>
      </c>
      <c r="P67" s="21">
        <v>95.503699999999995</v>
      </c>
      <c r="Q67" s="21">
        <v>-1.8008400000000001E-2</v>
      </c>
      <c r="R67" s="21">
        <v>57</v>
      </c>
      <c r="S67" s="21">
        <v>0.18640100000000001</v>
      </c>
      <c r="T67">
        <f t="shared" si="2"/>
        <v>18.008400000000002</v>
      </c>
      <c r="U67">
        <f t="shared" si="3"/>
        <v>3.3688854132000001</v>
      </c>
      <c r="X67" s="9"/>
      <c r="Y67" s="21">
        <v>1.4630099999999999</v>
      </c>
      <c r="Z67" s="21">
        <v>163.179</v>
      </c>
      <c r="AA67" s="21">
        <v>-1.7053200000000001E-2</v>
      </c>
      <c r="AB67" s="21">
        <v>57</v>
      </c>
      <c r="AC67" s="21">
        <v>1.4623999999999999</v>
      </c>
      <c r="AD67">
        <f t="shared" si="4"/>
        <v>17.0532</v>
      </c>
      <c r="AE67">
        <f t="shared" si="5"/>
        <v>24.949002132</v>
      </c>
      <c r="AF67" s="9"/>
      <c r="AG67" s="21">
        <v>0.18707299999999999</v>
      </c>
      <c r="AH67" s="21">
        <v>229.72399999999999</v>
      </c>
      <c r="AI67" s="21">
        <v>-1.79962E-2</v>
      </c>
      <c r="AJ67" s="21">
        <v>57</v>
      </c>
      <c r="AK67" s="21">
        <v>0.18643199999999999</v>
      </c>
      <c r="AL67">
        <f t="shared" si="6"/>
        <v>17.996200000000002</v>
      </c>
      <c r="AM67">
        <f t="shared" si="7"/>
        <v>3.3666031225999999</v>
      </c>
      <c r="AP67" s="9"/>
      <c r="AQ67" s="21">
        <v>1.4630099999999999</v>
      </c>
      <c r="AR67" s="21">
        <v>287.42899999999997</v>
      </c>
      <c r="AS67" s="21">
        <v>-1.70441E-2</v>
      </c>
      <c r="AT67" s="21">
        <v>57</v>
      </c>
      <c r="AU67" s="21">
        <v>1.4621</v>
      </c>
      <c r="AV67">
        <f t="shared" si="8"/>
        <v>17.0441</v>
      </c>
      <c r="AW67">
        <f t="shared" si="9"/>
        <v>24.935688741</v>
      </c>
      <c r="AX67" s="9"/>
      <c r="AY67" s="21">
        <v>0.18707299999999999</v>
      </c>
      <c r="AZ67" s="21">
        <v>357.85899999999998</v>
      </c>
      <c r="BA67" s="21">
        <v>-1.79688E-2</v>
      </c>
      <c r="BB67" s="21">
        <v>57</v>
      </c>
      <c r="BC67" s="21">
        <v>0.18643199999999999</v>
      </c>
      <c r="BD67">
        <f t="shared" si="10"/>
        <v>17.968800000000002</v>
      </c>
      <c r="BE67">
        <f t="shared" si="11"/>
        <v>3.3614773224000003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1.4579800000000001</v>
      </c>
      <c r="H68" s="21">
        <v>23.8443</v>
      </c>
      <c r="I68" s="21">
        <v>-1.7120400000000001E-2</v>
      </c>
      <c r="J68" s="21">
        <v>58</v>
      </c>
      <c r="K68" s="21">
        <v>1.4572099999999999</v>
      </c>
      <c r="L68">
        <f t="shared" si="0"/>
        <v>17.1204</v>
      </c>
      <c r="M68">
        <f t="shared" si="1"/>
        <v>24.961200792</v>
      </c>
      <c r="N68" s="9"/>
      <c r="O68" s="21">
        <v>0.192108</v>
      </c>
      <c r="P68" s="21">
        <v>95.604399999999998</v>
      </c>
      <c r="Q68" s="21">
        <v>-1.8008400000000001E-2</v>
      </c>
      <c r="R68" s="21">
        <v>58</v>
      </c>
      <c r="S68" s="21">
        <v>0.19189500000000001</v>
      </c>
      <c r="T68">
        <f t="shared" si="2"/>
        <v>18.008400000000002</v>
      </c>
      <c r="U68">
        <f t="shared" si="3"/>
        <v>3.4595577072000006</v>
      </c>
      <c r="X68" s="9"/>
      <c r="Y68" s="21">
        <v>1.4579800000000001</v>
      </c>
      <c r="Z68" s="21">
        <v>163.279</v>
      </c>
      <c r="AA68" s="21">
        <v>-1.70715E-2</v>
      </c>
      <c r="AB68" s="21">
        <v>58</v>
      </c>
      <c r="AC68" s="21">
        <v>1.4575199999999999</v>
      </c>
      <c r="AD68">
        <f t="shared" si="4"/>
        <v>17.0715</v>
      </c>
      <c r="AE68">
        <f t="shared" si="5"/>
        <v>24.88990557</v>
      </c>
      <c r="AF68" s="9"/>
      <c r="AG68" s="21">
        <v>0.192108</v>
      </c>
      <c r="AH68" s="21">
        <v>229.82499999999999</v>
      </c>
      <c r="AI68" s="21">
        <v>-1.79962E-2</v>
      </c>
      <c r="AJ68" s="21">
        <v>58</v>
      </c>
      <c r="AK68" s="21">
        <v>0.19164999999999999</v>
      </c>
      <c r="AL68">
        <f t="shared" si="6"/>
        <v>17.996200000000002</v>
      </c>
      <c r="AM68">
        <f t="shared" si="7"/>
        <v>3.4572139896000005</v>
      </c>
      <c r="AP68" s="9"/>
      <c r="AQ68" s="21">
        <v>1.4579800000000001</v>
      </c>
      <c r="AR68" s="21">
        <v>287.529</v>
      </c>
      <c r="AS68" s="21">
        <v>-1.70715E-2</v>
      </c>
      <c r="AT68" s="21">
        <v>58</v>
      </c>
      <c r="AU68" s="21">
        <v>1.4578199999999999</v>
      </c>
      <c r="AV68">
        <f t="shared" si="8"/>
        <v>17.0715</v>
      </c>
      <c r="AW68">
        <f t="shared" si="9"/>
        <v>24.88990557</v>
      </c>
      <c r="AX68" s="9"/>
      <c r="AY68" s="21">
        <v>0.192108</v>
      </c>
      <c r="AZ68" s="21">
        <v>357.96</v>
      </c>
      <c r="BA68" s="21">
        <v>-1.7965700000000001E-2</v>
      </c>
      <c r="BB68" s="21">
        <v>58</v>
      </c>
      <c r="BC68" s="21">
        <v>0.19162000000000001</v>
      </c>
      <c r="BD68">
        <f t="shared" si="10"/>
        <v>17.965700000000002</v>
      </c>
      <c r="BE68">
        <f t="shared" si="11"/>
        <v>3.4513546956000005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1.4529399999999999</v>
      </c>
      <c r="H69" s="21">
        <v>23.945</v>
      </c>
      <c r="I69" s="21">
        <v>-1.7141699999999999E-2</v>
      </c>
      <c r="J69" s="21">
        <v>59</v>
      </c>
      <c r="K69" s="21">
        <v>1.4523299999999999</v>
      </c>
      <c r="L69">
        <f t="shared" si="0"/>
        <v>17.1417</v>
      </c>
      <c r="M69">
        <f t="shared" si="1"/>
        <v>24.905861597999998</v>
      </c>
      <c r="N69" s="9"/>
      <c r="O69" s="21">
        <v>0.19714400000000001</v>
      </c>
      <c r="P69" s="21">
        <v>95.705100000000002</v>
      </c>
      <c r="Q69" s="21">
        <v>-1.8008400000000001E-2</v>
      </c>
      <c r="R69" s="21">
        <v>59</v>
      </c>
      <c r="S69" s="21">
        <v>0.196655</v>
      </c>
      <c r="T69">
        <f t="shared" si="2"/>
        <v>18.008400000000002</v>
      </c>
      <c r="U69">
        <f t="shared" si="3"/>
        <v>3.5502480096000006</v>
      </c>
      <c r="X69" s="9"/>
      <c r="Y69" s="21">
        <v>1.4529399999999999</v>
      </c>
      <c r="Z69" s="21">
        <v>163.38</v>
      </c>
      <c r="AA69" s="21">
        <v>-1.7105100000000002E-2</v>
      </c>
      <c r="AB69" s="21">
        <v>59</v>
      </c>
      <c r="AC69" s="21">
        <v>1.4526399999999999</v>
      </c>
      <c r="AD69">
        <f t="shared" si="4"/>
        <v>17.1051</v>
      </c>
      <c r="AE69">
        <f t="shared" si="5"/>
        <v>24.852683994</v>
      </c>
      <c r="AF69" s="9"/>
      <c r="AG69" s="21">
        <v>0.19714400000000001</v>
      </c>
      <c r="AH69" s="21">
        <v>229.92500000000001</v>
      </c>
      <c r="AI69" s="21">
        <v>-1.79962E-2</v>
      </c>
      <c r="AJ69" s="21">
        <v>59</v>
      </c>
      <c r="AK69" s="21">
        <v>0.19674700000000001</v>
      </c>
      <c r="AL69">
        <f t="shared" si="6"/>
        <v>17.996200000000002</v>
      </c>
      <c r="AM69">
        <f t="shared" si="7"/>
        <v>3.5478428528000006</v>
      </c>
      <c r="AP69" s="9"/>
      <c r="AQ69" s="21">
        <v>1.4529399999999999</v>
      </c>
      <c r="AR69" s="21">
        <v>287.63</v>
      </c>
      <c r="AS69" s="21">
        <v>-1.7092900000000001E-2</v>
      </c>
      <c r="AT69" s="21">
        <v>59</v>
      </c>
      <c r="AU69" s="21">
        <v>1.4520299999999999</v>
      </c>
      <c r="AV69">
        <f t="shared" si="8"/>
        <v>17.0929</v>
      </c>
      <c r="AW69">
        <f t="shared" si="9"/>
        <v>24.834958126</v>
      </c>
      <c r="AX69" s="9"/>
      <c r="AY69" s="21">
        <v>0.19714400000000001</v>
      </c>
      <c r="AZ69" s="21">
        <v>358.06</v>
      </c>
      <c r="BA69" s="21">
        <v>-1.7959599999999999E-2</v>
      </c>
      <c r="BB69" s="21">
        <v>59</v>
      </c>
      <c r="BC69" s="21">
        <v>0.19662499999999999</v>
      </c>
      <c r="BD69">
        <f t="shared" si="10"/>
        <v>17.959599999999998</v>
      </c>
      <c r="BE69">
        <f t="shared" si="11"/>
        <v>3.5406273823999999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1.44791</v>
      </c>
      <c r="H70" s="21">
        <v>24.0457</v>
      </c>
      <c r="I70" s="21">
        <v>-1.7172199999999999E-2</v>
      </c>
      <c r="J70" s="21">
        <v>60</v>
      </c>
      <c r="K70" s="21">
        <v>1.4471400000000001</v>
      </c>
      <c r="L70">
        <f t="shared" si="0"/>
        <v>17.1722</v>
      </c>
      <c r="M70">
        <f t="shared" si="1"/>
        <v>24.863800101999999</v>
      </c>
      <c r="N70" s="9"/>
      <c r="O70" s="21">
        <v>0.202179</v>
      </c>
      <c r="P70" s="21">
        <v>95.805800000000005</v>
      </c>
      <c r="Q70" s="21">
        <v>-1.8005400000000001E-2</v>
      </c>
      <c r="R70" s="21">
        <v>60</v>
      </c>
      <c r="S70" s="21">
        <v>0.20196500000000001</v>
      </c>
      <c r="T70">
        <f t="shared" si="2"/>
        <v>18.005400000000002</v>
      </c>
      <c r="U70">
        <f t="shared" si="3"/>
        <v>3.6403137666000003</v>
      </c>
      <c r="X70" s="9"/>
      <c r="Y70" s="21">
        <v>1.44791</v>
      </c>
      <c r="Z70" s="21">
        <v>163.48099999999999</v>
      </c>
      <c r="AA70" s="21">
        <v>-1.71234E-2</v>
      </c>
      <c r="AB70" s="21">
        <v>60</v>
      </c>
      <c r="AC70" s="21">
        <v>1.4474499999999999</v>
      </c>
      <c r="AD70">
        <f t="shared" si="4"/>
        <v>17.1234</v>
      </c>
      <c r="AE70">
        <f t="shared" si="5"/>
        <v>24.793142094</v>
      </c>
      <c r="AF70" s="9"/>
      <c r="AG70" s="21">
        <v>0.202179</v>
      </c>
      <c r="AH70" s="21">
        <v>230.02600000000001</v>
      </c>
      <c r="AI70" s="21">
        <v>-1.7990099999999998E-2</v>
      </c>
      <c r="AJ70" s="21">
        <v>60</v>
      </c>
      <c r="AK70" s="21">
        <v>0.20172100000000001</v>
      </c>
      <c r="AL70">
        <f t="shared" si="6"/>
        <v>17.990099999999998</v>
      </c>
      <c r="AM70">
        <f t="shared" si="7"/>
        <v>3.6372204278999996</v>
      </c>
      <c r="AP70" s="9"/>
      <c r="AQ70" s="21">
        <v>1.44791</v>
      </c>
      <c r="AR70" s="21">
        <v>287.73099999999999</v>
      </c>
      <c r="AS70" s="21">
        <v>-1.7117299999999998E-2</v>
      </c>
      <c r="AT70" s="21">
        <v>60</v>
      </c>
      <c r="AU70" s="21">
        <v>1.4468399999999999</v>
      </c>
      <c r="AV70">
        <f t="shared" si="8"/>
        <v>17.1173</v>
      </c>
      <c r="AW70">
        <f t="shared" si="9"/>
        <v>24.784309842999999</v>
      </c>
      <c r="AX70" s="9"/>
      <c r="AY70" s="21">
        <v>0.202179</v>
      </c>
      <c r="AZ70" s="21">
        <v>358.161</v>
      </c>
      <c r="BA70" s="21">
        <v>-1.7962599999999999E-2</v>
      </c>
      <c r="BB70" s="21">
        <v>60</v>
      </c>
      <c r="BC70" s="21">
        <v>0.20227100000000001</v>
      </c>
      <c r="BD70">
        <f t="shared" si="10"/>
        <v>17.962599999999998</v>
      </c>
      <c r="BE70">
        <f t="shared" si="11"/>
        <v>3.6316605053999997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1.4428700000000001</v>
      </c>
      <c r="H71" s="21">
        <v>24.1464</v>
      </c>
      <c r="I71" s="21">
        <v>-1.7187500000000001E-2</v>
      </c>
      <c r="J71" s="21">
        <v>61</v>
      </c>
      <c r="K71" s="21">
        <v>1.4425699999999999</v>
      </c>
      <c r="L71">
        <f t="shared" si="0"/>
        <v>17.1875</v>
      </c>
      <c r="M71">
        <f t="shared" si="1"/>
        <v>24.799328125000002</v>
      </c>
      <c r="N71" s="9"/>
      <c r="O71" s="21">
        <v>0.20721400000000001</v>
      </c>
      <c r="P71" s="21">
        <v>95.906499999999994</v>
      </c>
      <c r="Q71" s="21">
        <v>-1.8002299999999999E-2</v>
      </c>
      <c r="R71" s="21">
        <v>61</v>
      </c>
      <c r="S71" s="21">
        <v>0.20700099999999999</v>
      </c>
      <c r="T71">
        <f t="shared" si="2"/>
        <v>18.002299999999998</v>
      </c>
      <c r="U71">
        <f t="shared" si="3"/>
        <v>3.7303285921999998</v>
      </c>
      <c r="X71" s="9"/>
      <c r="Y71" s="21">
        <v>1.4428700000000001</v>
      </c>
      <c r="Z71" s="21">
        <v>163.58199999999999</v>
      </c>
      <c r="AA71" s="21">
        <v>-1.7156999999999999E-2</v>
      </c>
      <c r="AB71" s="21">
        <v>61</v>
      </c>
      <c r="AC71" s="21">
        <v>1.4422600000000001</v>
      </c>
      <c r="AD71">
        <f t="shared" si="4"/>
        <v>17.157</v>
      </c>
      <c r="AE71">
        <f t="shared" si="5"/>
        <v>24.75532059</v>
      </c>
      <c r="AF71" s="9"/>
      <c r="AG71" s="21">
        <v>0.20721400000000001</v>
      </c>
      <c r="AH71" s="21">
        <v>230.12700000000001</v>
      </c>
      <c r="AI71" s="21">
        <v>-1.7990099999999998E-2</v>
      </c>
      <c r="AJ71" s="21">
        <v>61</v>
      </c>
      <c r="AK71" s="21">
        <v>0.20663500000000001</v>
      </c>
      <c r="AL71">
        <f t="shared" si="6"/>
        <v>17.990099999999998</v>
      </c>
      <c r="AM71">
        <f t="shared" si="7"/>
        <v>3.7278005813999999</v>
      </c>
      <c r="AP71" s="9"/>
      <c r="AQ71" s="21">
        <v>1.4428700000000001</v>
      </c>
      <c r="AR71" s="21">
        <v>287.83199999999999</v>
      </c>
      <c r="AS71" s="21">
        <v>-1.71387E-2</v>
      </c>
      <c r="AT71" s="21">
        <v>61</v>
      </c>
      <c r="AU71" s="21">
        <v>1.4422600000000001</v>
      </c>
      <c r="AV71">
        <f t="shared" si="8"/>
        <v>17.1387</v>
      </c>
      <c r="AW71">
        <f t="shared" si="9"/>
        <v>24.728916069</v>
      </c>
      <c r="AX71" s="9"/>
      <c r="AY71" s="21">
        <v>0.20721400000000001</v>
      </c>
      <c r="AZ71" s="21">
        <v>358.262</v>
      </c>
      <c r="BA71" s="21">
        <v>-1.7962599999999999E-2</v>
      </c>
      <c r="BB71" s="21">
        <v>61</v>
      </c>
      <c r="BC71" s="21">
        <v>0.206512</v>
      </c>
      <c r="BD71">
        <f t="shared" si="10"/>
        <v>17.962599999999998</v>
      </c>
      <c r="BE71">
        <f t="shared" si="11"/>
        <v>3.7221021963999998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1.43784</v>
      </c>
      <c r="H72" s="21">
        <v>24.2471</v>
      </c>
      <c r="I72" s="21">
        <v>-1.7211899999999999E-2</v>
      </c>
      <c r="J72" s="21">
        <v>62</v>
      </c>
      <c r="K72" s="21">
        <v>1.4370700000000001</v>
      </c>
      <c r="L72">
        <f t="shared" si="0"/>
        <v>17.2119</v>
      </c>
      <c r="M72">
        <f t="shared" si="1"/>
        <v>24.747958296</v>
      </c>
      <c r="N72" s="9"/>
      <c r="O72" s="21">
        <v>0.21224999999999999</v>
      </c>
      <c r="P72" s="21">
        <v>96.007199999999997</v>
      </c>
      <c r="Q72" s="21">
        <v>-1.8002299999999999E-2</v>
      </c>
      <c r="R72" s="21">
        <v>62</v>
      </c>
      <c r="S72" s="21">
        <v>0.21188399999999999</v>
      </c>
      <c r="T72">
        <f t="shared" si="2"/>
        <v>18.002299999999998</v>
      </c>
      <c r="U72">
        <f t="shared" si="3"/>
        <v>3.8209881749999997</v>
      </c>
      <c r="X72" s="9"/>
      <c r="Y72" s="21">
        <v>1.43784</v>
      </c>
      <c r="Z72" s="21">
        <v>163.68199999999999</v>
      </c>
      <c r="AA72" s="21">
        <v>-1.7181399999999999E-2</v>
      </c>
      <c r="AB72" s="21">
        <v>62</v>
      </c>
      <c r="AC72" s="21">
        <v>1.4367700000000001</v>
      </c>
      <c r="AD72">
        <f t="shared" si="4"/>
        <v>17.1814</v>
      </c>
      <c r="AE72">
        <f t="shared" si="5"/>
        <v>24.704104176000001</v>
      </c>
      <c r="AF72" s="9"/>
      <c r="AG72" s="21">
        <v>0.21224999999999999</v>
      </c>
      <c r="AH72" s="21">
        <v>230.227</v>
      </c>
      <c r="AI72" s="21">
        <v>-1.7987099999999999E-2</v>
      </c>
      <c r="AJ72" s="21">
        <v>62</v>
      </c>
      <c r="AK72" s="21">
        <v>0.211761</v>
      </c>
      <c r="AL72">
        <f t="shared" si="6"/>
        <v>17.987099999999998</v>
      </c>
      <c r="AM72">
        <f t="shared" si="7"/>
        <v>3.8177619749999994</v>
      </c>
      <c r="AP72" s="9"/>
      <c r="AQ72" s="21">
        <v>1.43784</v>
      </c>
      <c r="AR72" s="21">
        <v>287.93200000000002</v>
      </c>
      <c r="AS72" s="21">
        <v>-1.7163100000000001E-2</v>
      </c>
      <c r="AT72" s="21">
        <v>62</v>
      </c>
      <c r="AU72" s="21">
        <v>1.4373800000000001</v>
      </c>
      <c r="AV72">
        <f t="shared" si="8"/>
        <v>17.1631</v>
      </c>
      <c r="AW72">
        <f t="shared" si="9"/>
        <v>24.677791704000001</v>
      </c>
      <c r="AX72" s="9"/>
      <c r="AY72" s="21">
        <v>0.21224999999999999</v>
      </c>
      <c r="AZ72" s="21">
        <v>358.36200000000002</v>
      </c>
      <c r="BA72" s="21">
        <v>-1.79565E-2</v>
      </c>
      <c r="BB72" s="21">
        <v>62</v>
      </c>
      <c r="BC72" s="21">
        <v>0.21188399999999999</v>
      </c>
      <c r="BD72">
        <f t="shared" si="10"/>
        <v>17.956500000000002</v>
      </c>
      <c r="BE72">
        <f t="shared" si="11"/>
        <v>3.8112671250000001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1.4328000000000001</v>
      </c>
      <c r="H73" s="21">
        <v>24.347799999999999</v>
      </c>
      <c r="I73" s="21">
        <v>-1.7224099999999999E-2</v>
      </c>
      <c r="J73" s="21">
        <v>63</v>
      </c>
      <c r="K73" s="21">
        <v>1.4315800000000001</v>
      </c>
      <c r="L73">
        <f t="shared" si="0"/>
        <v>17.2241</v>
      </c>
      <c r="M73">
        <f t="shared" si="1"/>
        <v>24.67869048</v>
      </c>
      <c r="N73" s="9"/>
      <c r="O73" s="21">
        <v>0.21728500000000001</v>
      </c>
      <c r="P73" s="21">
        <v>96.108000000000004</v>
      </c>
      <c r="Q73" s="21">
        <v>-1.79962E-2</v>
      </c>
      <c r="R73" s="21">
        <v>63</v>
      </c>
      <c r="S73" s="21">
        <v>0.21682699999999999</v>
      </c>
      <c r="T73">
        <f t="shared" si="2"/>
        <v>17.996200000000002</v>
      </c>
      <c r="U73">
        <f t="shared" si="3"/>
        <v>3.9103043170000005</v>
      </c>
      <c r="X73" s="9"/>
      <c r="Y73" s="21">
        <v>1.4328000000000001</v>
      </c>
      <c r="Z73" s="21">
        <v>163.78299999999999</v>
      </c>
      <c r="AA73" s="21">
        <v>-1.71936E-2</v>
      </c>
      <c r="AB73" s="21">
        <v>63</v>
      </c>
      <c r="AC73" s="21">
        <v>1.43188</v>
      </c>
      <c r="AD73">
        <f t="shared" si="4"/>
        <v>17.1936</v>
      </c>
      <c r="AE73">
        <f t="shared" si="5"/>
        <v>24.634990080000001</v>
      </c>
      <c r="AF73" s="9"/>
      <c r="AG73" s="21">
        <v>0.21728500000000001</v>
      </c>
      <c r="AH73" s="21">
        <v>230.328</v>
      </c>
      <c r="AI73" s="21">
        <v>-1.7990099999999998E-2</v>
      </c>
      <c r="AJ73" s="21">
        <v>63</v>
      </c>
      <c r="AK73" s="21">
        <v>0.21701000000000001</v>
      </c>
      <c r="AL73">
        <f t="shared" si="6"/>
        <v>17.990099999999998</v>
      </c>
      <c r="AM73">
        <f t="shared" si="7"/>
        <v>3.9089788784999997</v>
      </c>
      <c r="AP73" s="9"/>
      <c r="AQ73" s="21">
        <v>1.4328000000000001</v>
      </c>
      <c r="AR73" s="21">
        <v>288.03300000000002</v>
      </c>
      <c r="AS73" s="21">
        <v>-1.71906E-2</v>
      </c>
      <c r="AT73" s="21">
        <v>63</v>
      </c>
      <c r="AU73" s="21">
        <v>1.4321900000000001</v>
      </c>
      <c r="AV73">
        <f t="shared" si="8"/>
        <v>17.1906</v>
      </c>
      <c r="AW73">
        <f t="shared" si="9"/>
        <v>24.630691680000002</v>
      </c>
      <c r="AX73" s="9"/>
      <c r="AY73" s="21">
        <v>0.21728500000000001</v>
      </c>
      <c r="AZ73" s="21">
        <v>358.46300000000002</v>
      </c>
      <c r="BA73" s="21">
        <v>-1.79565E-2</v>
      </c>
      <c r="BB73" s="21">
        <v>63</v>
      </c>
      <c r="BC73" s="21">
        <v>0.21670500000000001</v>
      </c>
      <c r="BD73">
        <f t="shared" si="10"/>
        <v>17.956500000000002</v>
      </c>
      <c r="BE73">
        <f t="shared" si="11"/>
        <v>3.9016781025000005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1.4277599999999999</v>
      </c>
      <c r="H74" s="21">
        <v>24.448499999999999</v>
      </c>
      <c r="I74" s="21">
        <v>-1.72455E-2</v>
      </c>
      <c r="J74" s="21">
        <v>64</v>
      </c>
      <c r="K74" s="21">
        <v>1.4279200000000001</v>
      </c>
      <c r="L74">
        <f t="shared" si="0"/>
        <v>17.2455</v>
      </c>
      <c r="M74">
        <f t="shared" si="1"/>
        <v>24.622435079999999</v>
      </c>
      <c r="N74" s="9"/>
      <c r="O74" s="21">
        <v>0.22232099999999999</v>
      </c>
      <c r="P74" s="21">
        <v>96.208699999999993</v>
      </c>
      <c r="Q74" s="21">
        <v>-1.7999299999999999E-2</v>
      </c>
      <c r="R74" s="21">
        <v>64</v>
      </c>
      <c r="S74" s="21">
        <v>0.22189300000000001</v>
      </c>
      <c r="T74">
        <f t="shared" si="2"/>
        <v>17.999299999999998</v>
      </c>
      <c r="U74">
        <f t="shared" si="3"/>
        <v>4.0016223752999993</v>
      </c>
      <c r="X74" s="9"/>
      <c r="Y74" s="21">
        <v>1.4277599999999999</v>
      </c>
      <c r="Z74" s="21">
        <v>163.88399999999999</v>
      </c>
      <c r="AA74" s="21">
        <v>-1.7215000000000001E-2</v>
      </c>
      <c r="AB74" s="21">
        <v>64</v>
      </c>
      <c r="AC74" s="21">
        <v>1.427</v>
      </c>
      <c r="AD74">
        <f t="shared" si="4"/>
        <v>17.215</v>
      </c>
      <c r="AE74">
        <f t="shared" si="5"/>
        <v>24.578888399999997</v>
      </c>
      <c r="AF74" s="9"/>
      <c r="AG74" s="21">
        <v>0.22232099999999999</v>
      </c>
      <c r="AH74" s="21">
        <v>230.429</v>
      </c>
      <c r="AI74" s="21">
        <v>-1.7987099999999999E-2</v>
      </c>
      <c r="AJ74" s="21">
        <v>64</v>
      </c>
      <c r="AK74" s="21">
        <v>0.22201499999999999</v>
      </c>
      <c r="AL74">
        <f t="shared" si="6"/>
        <v>17.987099999999998</v>
      </c>
      <c r="AM74">
        <f t="shared" si="7"/>
        <v>3.9989100590999995</v>
      </c>
      <c r="AP74" s="9"/>
      <c r="AQ74" s="21">
        <v>1.4277599999999999</v>
      </c>
      <c r="AR74" s="21">
        <v>288.13400000000001</v>
      </c>
      <c r="AS74" s="21">
        <v>-1.7208899999999999E-2</v>
      </c>
      <c r="AT74" s="21">
        <v>64</v>
      </c>
      <c r="AU74" s="21">
        <v>1.4273100000000001</v>
      </c>
      <c r="AV74">
        <f t="shared" si="8"/>
        <v>17.2089</v>
      </c>
      <c r="AW74">
        <f t="shared" si="9"/>
        <v>24.570179063999998</v>
      </c>
      <c r="AX74" s="9"/>
      <c r="AY74" s="21">
        <v>0.22232099999999999</v>
      </c>
      <c r="AZ74" s="21">
        <v>358.56400000000002</v>
      </c>
      <c r="BA74" s="21">
        <v>-1.79565E-2</v>
      </c>
      <c r="BB74" s="21">
        <v>64</v>
      </c>
      <c r="BC74" s="21">
        <v>0.221863</v>
      </c>
      <c r="BD74">
        <f t="shared" si="10"/>
        <v>17.956500000000002</v>
      </c>
      <c r="BE74">
        <f t="shared" si="11"/>
        <v>3.9921070365000002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1.4227300000000001</v>
      </c>
      <c r="H75" s="21">
        <v>24.549199999999999</v>
      </c>
      <c r="I75" s="21">
        <v>-1.7257700000000001E-2</v>
      </c>
      <c r="J75" s="21">
        <v>65</v>
      </c>
      <c r="K75" s="21">
        <v>1.42242</v>
      </c>
      <c r="L75">
        <f t="shared" si="0"/>
        <v>17.2577</v>
      </c>
      <c r="M75">
        <f t="shared" si="1"/>
        <v>24.553047521</v>
      </c>
      <c r="N75" s="9"/>
      <c r="O75" s="21">
        <v>0.227356</v>
      </c>
      <c r="P75" s="21">
        <v>96.309399999999997</v>
      </c>
      <c r="Q75" s="21">
        <v>-1.7999299999999999E-2</v>
      </c>
      <c r="R75" s="21">
        <v>65</v>
      </c>
      <c r="S75" s="21">
        <v>0.22689799999999999</v>
      </c>
      <c r="T75">
        <f t="shared" si="2"/>
        <v>17.999299999999998</v>
      </c>
      <c r="U75">
        <f t="shared" si="3"/>
        <v>4.0922488507999999</v>
      </c>
      <c r="X75" s="9"/>
      <c r="Y75" s="21">
        <v>1.4227300000000001</v>
      </c>
      <c r="Z75" s="21">
        <v>163.98400000000001</v>
      </c>
      <c r="AA75" s="21">
        <v>-1.72333E-2</v>
      </c>
      <c r="AB75" s="21">
        <v>65</v>
      </c>
      <c r="AC75" s="21">
        <v>1.42242</v>
      </c>
      <c r="AD75">
        <f t="shared" si="4"/>
        <v>17.2333</v>
      </c>
      <c r="AE75">
        <f t="shared" si="5"/>
        <v>24.518332909000002</v>
      </c>
      <c r="AF75" s="9"/>
      <c r="AG75" s="21">
        <v>0.227356</v>
      </c>
      <c r="AH75" s="21">
        <v>230.53</v>
      </c>
      <c r="AI75" s="21">
        <v>-1.7981E-2</v>
      </c>
      <c r="AJ75" s="21">
        <v>65</v>
      </c>
      <c r="AK75" s="21">
        <v>0.22741700000000001</v>
      </c>
      <c r="AL75">
        <f t="shared" si="6"/>
        <v>17.981000000000002</v>
      </c>
      <c r="AM75">
        <f t="shared" si="7"/>
        <v>4.0880882360000008</v>
      </c>
      <c r="AP75" s="9"/>
      <c r="AQ75" s="21">
        <v>1.4227300000000001</v>
      </c>
      <c r="AR75" s="21">
        <v>288.23399999999998</v>
      </c>
      <c r="AS75" s="21">
        <v>-1.7224099999999999E-2</v>
      </c>
      <c r="AT75" s="21">
        <v>65</v>
      </c>
      <c r="AU75" s="21">
        <v>1.42181</v>
      </c>
      <c r="AV75">
        <f t="shared" si="8"/>
        <v>17.2241</v>
      </c>
      <c r="AW75">
        <f t="shared" si="9"/>
        <v>24.505243793000002</v>
      </c>
      <c r="AX75" s="9"/>
      <c r="AY75" s="21">
        <v>0.227356</v>
      </c>
      <c r="AZ75" s="21">
        <v>358.66500000000002</v>
      </c>
      <c r="BA75" s="21">
        <v>-1.7950399999999998E-2</v>
      </c>
      <c r="BB75" s="21">
        <v>65</v>
      </c>
      <c r="BC75" s="21">
        <v>0.22686799999999999</v>
      </c>
      <c r="BD75">
        <f t="shared" si="10"/>
        <v>17.950399999999998</v>
      </c>
      <c r="BE75">
        <f t="shared" si="11"/>
        <v>4.0811311423999994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1.4176899999999999</v>
      </c>
      <c r="H76" s="21">
        <v>24.649899999999999</v>
      </c>
      <c r="I76" s="21">
        <v>-1.7269900000000001E-2</v>
      </c>
      <c r="J76" s="21">
        <v>66</v>
      </c>
      <c r="K76" s="21">
        <v>1.41754</v>
      </c>
      <c r="L76">
        <f t="shared" ref="L76:L139" si="12">-I76/$F$2*1000</f>
        <v>17.2699</v>
      </c>
      <c r="M76">
        <f t="shared" ref="M76:M139" si="13">L76*G76</f>
        <v>24.483364530999999</v>
      </c>
      <c r="N76" s="9"/>
      <c r="O76" s="21">
        <v>0.23239099999999999</v>
      </c>
      <c r="P76" s="21">
        <v>96.4101</v>
      </c>
      <c r="Q76" s="21">
        <v>-1.7990099999999998E-2</v>
      </c>
      <c r="R76" s="21">
        <v>66</v>
      </c>
      <c r="S76" s="21">
        <v>0.231934</v>
      </c>
      <c r="T76">
        <f t="shared" ref="T76:T139" si="14">-Q76/$F$2*1000</f>
        <v>17.990099999999998</v>
      </c>
      <c r="U76">
        <f t="shared" ref="U76:U139" si="15">T76*O76</f>
        <v>4.1807373290999994</v>
      </c>
      <c r="X76" s="9"/>
      <c r="Y76" s="21">
        <v>1.4176899999999999</v>
      </c>
      <c r="Z76" s="21">
        <v>164.08500000000001</v>
      </c>
      <c r="AA76" s="21">
        <v>-1.72455E-2</v>
      </c>
      <c r="AB76" s="21">
        <v>66</v>
      </c>
      <c r="AC76" s="21">
        <v>1.4172400000000001</v>
      </c>
      <c r="AD76">
        <f t="shared" ref="AD76:AD139" si="16">-AA76/$F$2*1000</f>
        <v>17.2455</v>
      </c>
      <c r="AE76">
        <f t="shared" ref="AE76:AE139" si="17">AD76*Y76</f>
        <v>24.448772894999998</v>
      </c>
      <c r="AF76" s="9"/>
      <c r="AG76" s="21">
        <v>0.23239099999999999</v>
      </c>
      <c r="AH76" s="21">
        <v>230.63</v>
      </c>
      <c r="AI76" s="21">
        <v>-1.7977900000000002E-2</v>
      </c>
      <c r="AJ76" s="21">
        <v>66</v>
      </c>
      <c r="AK76" s="21">
        <v>0.23178099999999999</v>
      </c>
      <c r="AL76">
        <f t="shared" ref="AL76:AL139" si="18">-AI76/$F$2*1000</f>
        <v>17.977900000000002</v>
      </c>
      <c r="AM76">
        <f t="shared" ref="AM76:AM139" si="19">AL76*AG76</f>
        <v>4.1779021589000003</v>
      </c>
      <c r="AP76" s="9"/>
      <c r="AQ76" s="21">
        <v>1.4176899999999999</v>
      </c>
      <c r="AR76" s="21">
        <v>288.33499999999998</v>
      </c>
      <c r="AS76" s="21">
        <v>-1.7230200000000001E-2</v>
      </c>
      <c r="AT76" s="21">
        <v>66</v>
      </c>
      <c r="AU76" s="21">
        <v>1.41693</v>
      </c>
      <c r="AV76">
        <f t="shared" ref="AV76:AV139" si="20">-AS76/$F$2*1000</f>
        <v>17.2302</v>
      </c>
      <c r="AW76">
        <f t="shared" ref="AW76:AW139" si="21">AV76*AQ76</f>
        <v>24.427082237999997</v>
      </c>
      <c r="AX76" s="9"/>
      <c r="AY76" s="21">
        <v>0.23239099999999999</v>
      </c>
      <c r="AZ76" s="21">
        <v>358.76499999999999</v>
      </c>
      <c r="BA76" s="21">
        <v>-1.7947399999999999E-2</v>
      </c>
      <c r="BB76" s="21">
        <v>66</v>
      </c>
      <c r="BC76" s="21">
        <v>0.231934</v>
      </c>
      <c r="BD76">
        <f t="shared" ref="BD76:BD139" si="22">-BA76/$F$2*1000</f>
        <v>17.947399999999998</v>
      </c>
      <c r="BE76">
        <f t="shared" ref="BE76:BE139" si="23">BD76*AY76</f>
        <v>4.1708142333999998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1.41266</v>
      </c>
      <c r="H77" s="21">
        <v>24.750599999999999</v>
      </c>
      <c r="I77" s="21">
        <v>-1.7285200000000001E-2</v>
      </c>
      <c r="J77" s="21">
        <v>67</v>
      </c>
      <c r="K77" s="21">
        <v>1.41174</v>
      </c>
      <c r="L77">
        <f t="shared" si="12"/>
        <v>17.2852</v>
      </c>
      <c r="M77">
        <f t="shared" si="13"/>
        <v>24.418110632000001</v>
      </c>
      <c r="N77" s="9"/>
      <c r="O77" s="21">
        <v>0.237427</v>
      </c>
      <c r="P77" s="21">
        <v>96.510800000000003</v>
      </c>
      <c r="Q77" s="21">
        <v>-1.7987099999999999E-2</v>
      </c>
      <c r="R77" s="21">
        <v>67</v>
      </c>
      <c r="S77" s="21">
        <v>0.23696900000000001</v>
      </c>
      <c r="T77">
        <f t="shared" si="14"/>
        <v>17.987099999999998</v>
      </c>
      <c r="U77">
        <f t="shared" si="15"/>
        <v>4.2706231916999995</v>
      </c>
      <c r="X77" s="9"/>
      <c r="Y77" s="21">
        <v>1.41266</v>
      </c>
      <c r="Z77" s="21">
        <v>164.18600000000001</v>
      </c>
      <c r="AA77" s="21">
        <v>-1.72607E-2</v>
      </c>
      <c r="AB77" s="21">
        <v>67</v>
      </c>
      <c r="AC77" s="21">
        <v>1.41174</v>
      </c>
      <c r="AD77">
        <f t="shared" si="16"/>
        <v>17.2607</v>
      </c>
      <c r="AE77">
        <f t="shared" si="17"/>
        <v>24.383500462000001</v>
      </c>
      <c r="AF77" s="9"/>
      <c r="AG77" s="21">
        <v>0.237427</v>
      </c>
      <c r="AH77" s="21">
        <v>230.73099999999999</v>
      </c>
      <c r="AI77" s="21">
        <v>-1.7977900000000002E-2</v>
      </c>
      <c r="AJ77" s="21">
        <v>67</v>
      </c>
      <c r="AK77" s="21">
        <v>0.237091</v>
      </c>
      <c r="AL77">
        <f t="shared" si="18"/>
        <v>17.977900000000002</v>
      </c>
      <c r="AM77">
        <f t="shared" si="19"/>
        <v>4.2684388633000001</v>
      </c>
      <c r="AP77" s="9"/>
      <c r="AQ77" s="21">
        <v>1.41266</v>
      </c>
      <c r="AR77" s="21">
        <v>288.43599999999998</v>
      </c>
      <c r="AS77" s="21">
        <v>-1.72485E-2</v>
      </c>
      <c r="AT77" s="21">
        <v>67</v>
      </c>
      <c r="AU77" s="21">
        <v>1.41174</v>
      </c>
      <c r="AV77">
        <f t="shared" si="20"/>
        <v>17.2485</v>
      </c>
      <c r="AW77">
        <f t="shared" si="21"/>
        <v>24.36626601</v>
      </c>
      <c r="AX77" s="9"/>
      <c r="AY77" s="21">
        <v>0.237427</v>
      </c>
      <c r="AZ77" s="21">
        <v>358.86599999999999</v>
      </c>
      <c r="BA77" s="21">
        <v>-1.79443E-2</v>
      </c>
      <c r="BB77" s="21">
        <v>67</v>
      </c>
      <c r="BC77" s="21">
        <v>0.23696900000000001</v>
      </c>
      <c r="BD77">
        <f t="shared" si="22"/>
        <v>17.944299999999998</v>
      </c>
      <c r="BE77">
        <f t="shared" si="23"/>
        <v>4.2604613160999998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1.4076200000000001</v>
      </c>
      <c r="H78" s="21">
        <v>24.851299999999998</v>
      </c>
      <c r="I78" s="21">
        <v>-1.7294299999999999E-2</v>
      </c>
      <c r="J78" s="21">
        <v>68</v>
      </c>
      <c r="K78" s="21">
        <v>1.40717</v>
      </c>
      <c r="L78">
        <f t="shared" si="12"/>
        <v>17.2943</v>
      </c>
      <c r="M78">
        <f t="shared" si="13"/>
        <v>24.343802566000001</v>
      </c>
      <c r="N78" s="9"/>
      <c r="O78" s="21">
        <v>0.24246200000000001</v>
      </c>
      <c r="P78" s="21">
        <v>96.611500000000007</v>
      </c>
      <c r="Q78" s="21">
        <v>-1.7987099999999999E-2</v>
      </c>
      <c r="R78" s="21">
        <v>68</v>
      </c>
      <c r="S78" s="21">
        <v>0.242371</v>
      </c>
      <c r="T78">
        <f t="shared" si="14"/>
        <v>17.987099999999998</v>
      </c>
      <c r="U78">
        <f t="shared" si="15"/>
        <v>4.3611882401999997</v>
      </c>
      <c r="X78" s="9"/>
      <c r="Y78" s="21">
        <v>1.4076200000000001</v>
      </c>
      <c r="Z78" s="21">
        <v>164.28700000000001</v>
      </c>
      <c r="AA78" s="21">
        <v>-1.7276E-2</v>
      </c>
      <c r="AB78" s="21">
        <v>68</v>
      </c>
      <c r="AC78" s="21">
        <v>1.40686</v>
      </c>
      <c r="AD78">
        <f t="shared" si="16"/>
        <v>17.276</v>
      </c>
      <c r="AE78">
        <f t="shared" si="17"/>
        <v>24.318043120000002</v>
      </c>
      <c r="AF78" s="9"/>
      <c r="AG78" s="21">
        <v>0.24246200000000001</v>
      </c>
      <c r="AH78" s="21">
        <v>230.83199999999999</v>
      </c>
      <c r="AI78" s="21">
        <v>-1.79718E-2</v>
      </c>
      <c r="AJ78" s="21">
        <v>68</v>
      </c>
      <c r="AK78" s="21">
        <v>0.24215700000000001</v>
      </c>
      <c r="AL78">
        <f t="shared" si="18"/>
        <v>17.971799999999998</v>
      </c>
      <c r="AM78">
        <f t="shared" si="19"/>
        <v>4.3574785715999997</v>
      </c>
      <c r="AP78" s="9"/>
      <c r="AQ78" s="21">
        <v>1.4076200000000001</v>
      </c>
      <c r="AR78" s="21">
        <v>288.53699999999998</v>
      </c>
      <c r="AS78" s="21">
        <v>-1.7269900000000001E-2</v>
      </c>
      <c r="AT78" s="21">
        <v>68</v>
      </c>
      <c r="AU78" s="21">
        <v>1.40686</v>
      </c>
      <c r="AV78">
        <f t="shared" si="20"/>
        <v>17.2699</v>
      </c>
      <c r="AW78">
        <f t="shared" si="21"/>
        <v>24.309456638</v>
      </c>
      <c r="AX78" s="9"/>
      <c r="AY78" s="21">
        <v>0.24246200000000001</v>
      </c>
      <c r="AZ78" s="21">
        <v>358.96699999999998</v>
      </c>
      <c r="BA78" s="21">
        <v>-1.7947399999999999E-2</v>
      </c>
      <c r="BB78" s="21">
        <v>68</v>
      </c>
      <c r="BC78" s="21">
        <v>0.242035</v>
      </c>
      <c r="BD78">
        <f t="shared" si="22"/>
        <v>17.947399999999998</v>
      </c>
      <c r="BE78">
        <f t="shared" si="23"/>
        <v>4.3515624987999999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1.40259</v>
      </c>
      <c r="H79" s="21">
        <v>24.952000000000002</v>
      </c>
      <c r="I79" s="21">
        <v>-1.7312600000000001E-2</v>
      </c>
      <c r="J79" s="21">
        <v>69</v>
      </c>
      <c r="K79" s="21">
        <v>1.40228</v>
      </c>
      <c r="L79">
        <f t="shared" si="12"/>
        <v>17.3126</v>
      </c>
      <c r="M79">
        <f t="shared" si="13"/>
        <v>24.282479634000001</v>
      </c>
      <c r="N79" s="9"/>
      <c r="O79" s="21">
        <v>0.247498</v>
      </c>
      <c r="P79" s="21">
        <v>96.712199999999996</v>
      </c>
      <c r="Q79" s="21">
        <v>-1.7993200000000001E-2</v>
      </c>
      <c r="R79" s="21">
        <v>69</v>
      </c>
      <c r="S79" s="21">
        <v>0.24700900000000001</v>
      </c>
      <c r="T79">
        <f t="shared" si="14"/>
        <v>17.993200000000002</v>
      </c>
      <c r="U79">
        <f t="shared" si="15"/>
        <v>4.4532810136000007</v>
      </c>
      <c r="X79" s="9"/>
      <c r="Y79" s="21">
        <v>1.40259</v>
      </c>
      <c r="Z79" s="21">
        <v>164.387</v>
      </c>
      <c r="AA79" s="21">
        <v>-1.7297400000000001E-2</v>
      </c>
      <c r="AB79" s="21">
        <v>69</v>
      </c>
      <c r="AC79" s="21">
        <v>1.40167</v>
      </c>
      <c r="AD79">
        <f t="shared" si="16"/>
        <v>17.2974</v>
      </c>
      <c r="AE79">
        <f t="shared" si="17"/>
        <v>24.261160266000001</v>
      </c>
      <c r="AF79" s="9"/>
      <c r="AG79" s="21">
        <v>0.247498</v>
      </c>
      <c r="AH79" s="21">
        <v>230.93199999999999</v>
      </c>
      <c r="AI79" s="21">
        <v>-1.7977900000000002E-2</v>
      </c>
      <c r="AJ79" s="21">
        <v>69</v>
      </c>
      <c r="AK79" s="21">
        <v>0.24700900000000001</v>
      </c>
      <c r="AL79">
        <f t="shared" si="18"/>
        <v>17.977900000000002</v>
      </c>
      <c r="AM79">
        <f t="shared" si="19"/>
        <v>4.4494942942</v>
      </c>
      <c r="AP79" s="9"/>
      <c r="AQ79" s="21">
        <v>1.40259</v>
      </c>
      <c r="AR79" s="21">
        <v>288.637</v>
      </c>
      <c r="AS79" s="21">
        <v>-1.7285200000000001E-2</v>
      </c>
      <c r="AT79" s="21">
        <v>69</v>
      </c>
      <c r="AU79" s="21">
        <v>1.40198</v>
      </c>
      <c r="AV79">
        <f t="shared" si="20"/>
        <v>17.2852</v>
      </c>
      <c r="AW79">
        <f t="shared" si="21"/>
        <v>24.244048668000001</v>
      </c>
      <c r="AX79" s="9"/>
      <c r="AY79" s="21">
        <v>0.247498</v>
      </c>
      <c r="AZ79" s="21">
        <v>359.06700000000001</v>
      </c>
      <c r="BA79" s="21">
        <v>-1.79443E-2</v>
      </c>
      <c r="BB79" s="21">
        <v>69</v>
      </c>
      <c r="BC79" s="21">
        <v>0.24685699999999999</v>
      </c>
      <c r="BD79">
        <f t="shared" si="22"/>
        <v>17.944299999999998</v>
      </c>
      <c r="BE79">
        <f t="shared" si="23"/>
        <v>4.4411783613999996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1.3975500000000001</v>
      </c>
      <c r="H80" s="21">
        <v>25.052800000000001</v>
      </c>
      <c r="I80" s="21">
        <v>-1.73157E-2</v>
      </c>
      <c r="J80" s="21">
        <v>70</v>
      </c>
      <c r="K80" s="21">
        <v>1.3970899999999999</v>
      </c>
      <c r="L80">
        <f t="shared" si="12"/>
        <v>17.3157</v>
      </c>
      <c r="M80">
        <f t="shared" si="13"/>
        <v>24.199556534999999</v>
      </c>
      <c r="N80" s="9"/>
      <c r="O80" s="21">
        <v>0.25253300000000001</v>
      </c>
      <c r="P80" s="21">
        <v>96.812899999999999</v>
      </c>
      <c r="Q80" s="21">
        <v>-1.7990099999999998E-2</v>
      </c>
      <c r="R80" s="21">
        <v>70</v>
      </c>
      <c r="S80" s="21">
        <v>0.25235000000000002</v>
      </c>
      <c r="T80">
        <f t="shared" si="14"/>
        <v>17.990099999999998</v>
      </c>
      <c r="U80">
        <f t="shared" si="15"/>
        <v>4.5430939232999998</v>
      </c>
      <c r="X80" s="9"/>
      <c r="Y80" s="21">
        <v>1.3975500000000001</v>
      </c>
      <c r="Z80" s="21">
        <v>164.488</v>
      </c>
      <c r="AA80" s="21">
        <v>-1.7303499999999999E-2</v>
      </c>
      <c r="AB80" s="21">
        <v>70</v>
      </c>
      <c r="AC80" s="21">
        <v>1.39679</v>
      </c>
      <c r="AD80">
        <f t="shared" si="16"/>
        <v>17.3035</v>
      </c>
      <c r="AE80">
        <f t="shared" si="17"/>
        <v>24.182506425</v>
      </c>
      <c r="AF80" s="9"/>
      <c r="AG80" s="21">
        <v>0.25253300000000001</v>
      </c>
      <c r="AH80" s="21">
        <v>231.03299999999999</v>
      </c>
      <c r="AI80" s="21">
        <v>-1.7974899999999999E-2</v>
      </c>
      <c r="AJ80" s="21">
        <v>70</v>
      </c>
      <c r="AK80" s="21">
        <v>0.25195299999999998</v>
      </c>
      <c r="AL80">
        <f t="shared" si="18"/>
        <v>17.974899999999998</v>
      </c>
      <c r="AM80">
        <f t="shared" si="19"/>
        <v>4.5392554217000001</v>
      </c>
      <c r="AP80" s="9"/>
      <c r="AQ80" s="21">
        <v>1.3975500000000001</v>
      </c>
      <c r="AR80" s="21">
        <v>288.738</v>
      </c>
      <c r="AS80" s="21">
        <v>-1.7294299999999999E-2</v>
      </c>
      <c r="AT80" s="21">
        <v>70</v>
      </c>
      <c r="AU80" s="21">
        <v>1.39679</v>
      </c>
      <c r="AV80">
        <f t="shared" si="20"/>
        <v>17.2943</v>
      </c>
      <c r="AW80">
        <f t="shared" si="21"/>
        <v>24.169648965</v>
      </c>
      <c r="AX80" s="9"/>
      <c r="AY80" s="21">
        <v>0.25253300000000001</v>
      </c>
      <c r="AZ80" s="21">
        <v>359.16800000000001</v>
      </c>
      <c r="BA80" s="21">
        <v>-1.7938200000000001E-2</v>
      </c>
      <c r="BB80" s="21">
        <v>70</v>
      </c>
      <c r="BC80" s="21">
        <v>0.25195299999999998</v>
      </c>
      <c r="BD80">
        <f t="shared" si="22"/>
        <v>17.938200000000002</v>
      </c>
      <c r="BE80">
        <f t="shared" si="23"/>
        <v>4.529987460600001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1.39252</v>
      </c>
      <c r="H81" s="21">
        <v>25.153500000000001</v>
      </c>
      <c r="I81" s="21">
        <v>-1.7337000000000002E-2</v>
      </c>
      <c r="J81" s="21">
        <v>71</v>
      </c>
      <c r="K81" s="21">
        <v>1.3915999999999999</v>
      </c>
      <c r="L81">
        <f t="shared" si="12"/>
        <v>17.337000000000003</v>
      </c>
      <c r="M81">
        <f t="shared" si="13"/>
        <v>24.142119240000003</v>
      </c>
      <c r="N81" s="9"/>
      <c r="O81" s="21">
        <v>0.25756800000000002</v>
      </c>
      <c r="P81" s="21">
        <v>96.913600000000002</v>
      </c>
      <c r="Q81" s="21">
        <v>-1.7984E-2</v>
      </c>
      <c r="R81" s="21">
        <v>71</v>
      </c>
      <c r="S81" s="21">
        <v>0.25711099999999998</v>
      </c>
      <c r="T81">
        <f t="shared" si="14"/>
        <v>17.984000000000002</v>
      </c>
      <c r="U81">
        <f t="shared" si="15"/>
        <v>4.6321029120000006</v>
      </c>
      <c r="X81" s="9"/>
      <c r="Y81" s="21">
        <v>1.39252</v>
      </c>
      <c r="Z81" s="21">
        <v>164.589</v>
      </c>
      <c r="AA81" s="21">
        <v>-1.73157E-2</v>
      </c>
      <c r="AB81" s="21">
        <v>71</v>
      </c>
      <c r="AC81" s="21">
        <v>1.3915999999999999</v>
      </c>
      <c r="AD81">
        <f t="shared" si="16"/>
        <v>17.3157</v>
      </c>
      <c r="AE81">
        <f t="shared" si="17"/>
        <v>24.112458564000001</v>
      </c>
      <c r="AF81" s="9"/>
      <c r="AG81" s="21">
        <v>0.25756800000000002</v>
      </c>
      <c r="AH81" s="21">
        <v>231.13399999999999</v>
      </c>
      <c r="AI81" s="21">
        <v>-1.79688E-2</v>
      </c>
      <c r="AJ81" s="21">
        <v>71</v>
      </c>
      <c r="AK81" s="21">
        <v>0.25726300000000002</v>
      </c>
      <c r="AL81">
        <f t="shared" si="18"/>
        <v>17.968800000000002</v>
      </c>
      <c r="AM81">
        <f t="shared" si="19"/>
        <v>4.6281878784000003</v>
      </c>
      <c r="AP81" s="9"/>
      <c r="AQ81" s="21">
        <v>1.39252</v>
      </c>
      <c r="AR81" s="21">
        <v>288.839</v>
      </c>
      <c r="AS81" s="21">
        <v>-1.7303499999999999E-2</v>
      </c>
      <c r="AT81" s="21">
        <v>71</v>
      </c>
      <c r="AU81" s="21">
        <v>1.3922099999999999</v>
      </c>
      <c r="AV81">
        <f t="shared" si="20"/>
        <v>17.3035</v>
      </c>
      <c r="AW81">
        <f t="shared" si="21"/>
        <v>24.095469819999998</v>
      </c>
      <c r="AX81" s="9"/>
      <c r="AY81" s="21">
        <v>0.25756800000000002</v>
      </c>
      <c r="AZ81" s="21">
        <v>359.26900000000001</v>
      </c>
      <c r="BA81" s="21">
        <v>-1.79413E-2</v>
      </c>
      <c r="BB81" s="21">
        <v>71</v>
      </c>
      <c r="BC81" s="21">
        <v>0.25705</v>
      </c>
      <c r="BD81">
        <f t="shared" si="22"/>
        <v>17.941300000000002</v>
      </c>
      <c r="BE81">
        <f t="shared" si="23"/>
        <v>4.6211047584000005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1.38748</v>
      </c>
      <c r="H82" s="21">
        <v>25.254200000000001</v>
      </c>
      <c r="I82" s="21">
        <v>-1.73431E-2</v>
      </c>
      <c r="J82" s="21">
        <v>72</v>
      </c>
      <c r="K82" s="21">
        <v>1.3870199999999999</v>
      </c>
      <c r="L82">
        <f t="shared" si="12"/>
        <v>17.3431</v>
      </c>
      <c r="M82">
        <f t="shared" si="13"/>
        <v>24.063204387999999</v>
      </c>
      <c r="N82" s="9"/>
      <c r="O82" s="21">
        <v>0.262604</v>
      </c>
      <c r="P82" s="21">
        <v>97.014300000000006</v>
      </c>
      <c r="Q82" s="21">
        <v>-1.7981E-2</v>
      </c>
      <c r="R82" s="21">
        <v>72</v>
      </c>
      <c r="S82" s="21">
        <v>0.261963</v>
      </c>
      <c r="T82">
        <f t="shared" si="14"/>
        <v>17.981000000000002</v>
      </c>
      <c r="U82">
        <f t="shared" si="15"/>
        <v>4.7218825240000006</v>
      </c>
      <c r="X82" s="9"/>
      <c r="Y82" s="21">
        <v>1.38748</v>
      </c>
      <c r="Z82" s="21">
        <v>164.68899999999999</v>
      </c>
      <c r="AA82" s="21">
        <v>-1.7321799999999998E-2</v>
      </c>
      <c r="AB82" s="21">
        <v>72</v>
      </c>
      <c r="AC82" s="21">
        <v>1.38672</v>
      </c>
      <c r="AD82">
        <f t="shared" si="16"/>
        <v>17.3218</v>
      </c>
      <c r="AE82">
        <f t="shared" si="17"/>
        <v>24.033651064000001</v>
      </c>
      <c r="AF82" s="9"/>
      <c r="AG82" s="21">
        <v>0.262604</v>
      </c>
      <c r="AH82" s="21">
        <v>231.23400000000001</v>
      </c>
      <c r="AI82" s="21">
        <v>-1.7965700000000001E-2</v>
      </c>
      <c r="AJ82" s="21">
        <v>72</v>
      </c>
      <c r="AK82" s="21">
        <v>0.26199299999999998</v>
      </c>
      <c r="AL82">
        <f t="shared" si="18"/>
        <v>17.965700000000002</v>
      </c>
      <c r="AM82">
        <f t="shared" si="19"/>
        <v>4.7178646828000002</v>
      </c>
      <c r="AP82" s="9"/>
      <c r="AQ82" s="21">
        <v>1.38748</v>
      </c>
      <c r="AR82" s="21">
        <v>288.93900000000002</v>
      </c>
      <c r="AS82" s="21">
        <v>-1.7318699999999999E-2</v>
      </c>
      <c r="AT82" s="21">
        <v>72</v>
      </c>
      <c r="AU82" s="21">
        <v>1.38733</v>
      </c>
      <c r="AV82">
        <f t="shared" si="20"/>
        <v>17.3187</v>
      </c>
      <c r="AW82">
        <f t="shared" si="21"/>
        <v>24.029349876000001</v>
      </c>
      <c r="AX82" s="9"/>
      <c r="AY82" s="21">
        <v>0.262604</v>
      </c>
      <c r="AZ82" s="21">
        <v>359.36900000000003</v>
      </c>
      <c r="BA82" s="21">
        <v>-1.7938200000000001E-2</v>
      </c>
      <c r="BB82" s="21">
        <v>72</v>
      </c>
      <c r="BC82" s="21">
        <v>0.26214599999999999</v>
      </c>
      <c r="BD82">
        <f t="shared" si="22"/>
        <v>17.938200000000002</v>
      </c>
      <c r="BE82">
        <f t="shared" si="23"/>
        <v>4.7106430728000008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1.38245</v>
      </c>
      <c r="H83" s="21">
        <v>25.354900000000001</v>
      </c>
      <c r="I83" s="21">
        <v>-1.7355300000000001E-2</v>
      </c>
      <c r="J83" s="21">
        <v>73</v>
      </c>
      <c r="K83" s="21">
        <v>1.38123</v>
      </c>
      <c r="L83">
        <f t="shared" si="12"/>
        <v>17.3553</v>
      </c>
      <c r="M83">
        <f t="shared" si="13"/>
        <v>23.992834484999999</v>
      </c>
      <c r="N83" s="9"/>
      <c r="O83" s="21">
        <v>0.26763900000000002</v>
      </c>
      <c r="P83" s="21">
        <v>97.114999999999995</v>
      </c>
      <c r="Q83" s="21">
        <v>-1.7977900000000002E-2</v>
      </c>
      <c r="R83" s="21">
        <v>73</v>
      </c>
      <c r="S83" s="21">
        <v>0.26702900000000002</v>
      </c>
      <c r="T83">
        <f t="shared" si="14"/>
        <v>17.977900000000002</v>
      </c>
      <c r="U83">
        <f t="shared" si="15"/>
        <v>4.8115871781000008</v>
      </c>
      <c r="X83" s="9"/>
      <c r="Y83" s="21">
        <v>1.38245</v>
      </c>
      <c r="Z83" s="21">
        <v>164.79</v>
      </c>
      <c r="AA83" s="21">
        <v>-1.7333999999999999E-2</v>
      </c>
      <c r="AB83" s="21">
        <v>73</v>
      </c>
      <c r="AC83" s="21">
        <v>1.38184</v>
      </c>
      <c r="AD83">
        <f t="shared" si="16"/>
        <v>17.334</v>
      </c>
      <c r="AE83">
        <f t="shared" si="17"/>
        <v>23.963388299999998</v>
      </c>
      <c r="AF83" s="9"/>
      <c r="AG83" s="21">
        <v>0.26763900000000002</v>
      </c>
      <c r="AH83" s="21">
        <v>231.33500000000001</v>
      </c>
      <c r="AI83" s="21">
        <v>-1.79688E-2</v>
      </c>
      <c r="AJ83" s="21">
        <v>73</v>
      </c>
      <c r="AK83" s="21">
        <v>0.26724199999999998</v>
      </c>
      <c r="AL83">
        <f t="shared" si="18"/>
        <v>17.968800000000002</v>
      </c>
      <c r="AM83">
        <f t="shared" si="19"/>
        <v>4.8091516632000006</v>
      </c>
      <c r="AP83" s="9"/>
      <c r="AQ83" s="21">
        <v>1.38245</v>
      </c>
      <c r="AR83" s="21">
        <v>289.04000000000002</v>
      </c>
      <c r="AS83" s="21">
        <v>-1.7324800000000001E-2</v>
      </c>
      <c r="AT83" s="21">
        <v>73</v>
      </c>
      <c r="AU83" s="21">
        <v>1.38184</v>
      </c>
      <c r="AV83">
        <f t="shared" si="20"/>
        <v>17.3248</v>
      </c>
      <c r="AW83">
        <f t="shared" si="21"/>
        <v>23.95066976</v>
      </c>
      <c r="AX83" s="9"/>
      <c r="AY83" s="21">
        <v>0.26763900000000002</v>
      </c>
      <c r="AZ83" s="21">
        <v>359.47</v>
      </c>
      <c r="BA83" s="21">
        <v>-1.7935199999999998E-2</v>
      </c>
      <c r="BB83" s="21">
        <v>73</v>
      </c>
      <c r="BC83" s="21">
        <v>0.26727299999999998</v>
      </c>
      <c r="BD83">
        <f t="shared" si="22"/>
        <v>17.935199999999998</v>
      </c>
      <c r="BE83">
        <f t="shared" si="23"/>
        <v>4.8001589928000001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1.37741</v>
      </c>
      <c r="H84" s="21">
        <v>25.4556</v>
      </c>
      <c r="I84" s="21">
        <v>-1.7361499999999998E-2</v>
      </c>
      <c r="J84" s="21">
        <v>74</v>
      </c>
      <c r="K84" s="21">
        <v>1.3763399999999999</v>
      </c>
      <c r="L84">
        <f t="shared" si="12"/>
        <v>17.361499999999999</v>
      </c>
      <c r="M84">
        <f t="shared" si="13"/>
        <v>23.913903715</v>
      </c>
      <c r="N84" s="9"/>
      <c r="O84" s="21">
        <v>0.272675</v>
      </c>
      <c r="P84" s="21">
        <v>97.215699999999998</v>
      </c>
      <c r="Q84" s="21">
        <v>-1.7977900000000002E-2</v>
      </c>
      <c r="R84" s="21">
        <v>74</v>
      </c>
      <c r="S84" s="21">
        <v>0.27224700000000002</v>
      </c>
      <c r="T84">
        <f t="shared" si="14"/>
        <v>17.977900000000002</v>
      </c>
      <c r="U84">
        <f t="shared" si="15"/>
        <v>4.9021238825000006</v>
      </c>
      <c r="X84" s="9"/>
      <c r="Y84" s="21">
        <v>1.37741</v>
      </c>
      <c r="Z84" s="21">
        <v>164.89099999999999</v>
      </c>
      <c r="AA84" s="21">
        <v>-1.73309E-2</v>
      </c>
      <c r="AB84" s="21">
        <v>74</v>
      </c>
      <c r="AC84" s="21">
        <v>1.3769499999999999</v>
      </c>
      <c r="AD84">
        <f t="shared" si="16"/>
        <v>17.3309</v>
      </c>
      <c r="AE84">
        <f t="shared" si="17"/>
        <v>23.871754969000001</v>
      </c>
      <c r="AF84" s="9"/>
      <c r="AG84" s="21">
        <v>0.272675</v>
      </c>
      <c r="AH84" s="21">
        <v>231.43600000000001</v>
      </c>
      <c r="AI84" s="21">
        <v>-1.7962599999999999E-2</v>
      </c>
      <c r="AJ84" s="21">
        <v>74</v>
      </c>
      <c r="AK84" s="21">
        <v>0.27236900000000003</v>
      </c>
      <c r="AL84">
        <f t="shared" si="18"/>
        <v>17.962599999999998</v>
      </c>
      <c r="AM84">
        <f t="shared" si="19"/>
        <v>4.8979519549999999</v>
      </c>
      <c r="AP84" s="9"/>
      <c r="AQ84" s="21">
        <v>1.37741</v>
      </c>
      <c r="AR84" s="21">
        <v>289.14100000000002</v>
      </c>
      <c r="AS84" s="21">
        <v>-1.7333999999999999E-2</v>
      </c>
      <c r="AT84" s="21">
        <v>74</v>
      </c>
      <c r="AU84" s="21">
        <v>1.3766499999999999</v>
      </c>
      <c r="AV84">
        <f t="shared" si="20"/>
        <v>17.334</v>
      </c>
      <c r="AW84">
        <f t="shared" si="21"/>
        <v>23.876024940000001</v>
      </c>
      <c r="AX84" s="9"/>
      <c r="AY84" s="21">
        <v>0.272675</v>
      </c>
      <c r="AZ84" s="21">
        <v>359.57100000000003</v>
      </c>
      <c r="BA84" s="21">
        <v>-1.7932099999999999E-2</v>
      </c>
      <c r="BB84" s="21">
        <v>74</v>
      </c>
      <c r="BC84" s="21">
        <v>0.27255200000000002</v>
      </c>
      <c r="BD84">
        <f t="shared" si="22"/>
        <v>17.932099999999998</v>
      </c>
      <c r="BE84">
        <f t="shared" si="23"/>
        <v>4.8896353674999995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1.3723799999999999</v>
      </c>
      <c r="H85" s="21">
        <v>25.5563</v>
      </c>
      <c r="I85" s="21">
        <v>-1.7373699999999999E-2</v>
      </c>
      <c r="J85" s="21">
        <v>75</v>
      </c>
      <c r="K85" s="21">
        <v>1.3711500000000001</v>
      </c>
      <c r="L85">
        <f t="shared" si="12"/>
        <v>17.373699999999999</v>
      </c>
      <c r="M85">
        <f t="shared" si="13"/>
        <v>23.843318405999998</v>
      </c>
      <c r="N85" s="9"/>
      <c r="O85" s="21">
        <v>0.27771000000000001</v>
      </c>
      <c r="P85" s="21">
        <v>97.316500000000005</v>
      </c>
      <c r="Q85" s="21">
        <v>-1.7974899999999999E-2</v>
      </c>
      <c r="R85" s="21">
        <v>75</v>
      </c>
      <c r="S85" s="21">
        <v>0.27734399999999998</v>
      </c>
      <c r="T85">
        <f t="shared" si="14"/>
        <v>17.974899999999998</v>
      </c>
      <c r="U85">
        <f t="shared" si="15"/>
        <v>4.9918094789999996</v>
      </c>
      <c r="X85" s="9"/>
      <c r="Y85" s="21">
        <v>1.3723799999999999</v>
      </c>
      <c r="Z85" s="21">
        <v>164.99199999999999</v>
      </c>
      <c r="AA85" s="21">
        <v>-1.7352300000000001E-2</v>
      </c>
      <c r="AB85" s="21">
        <v>75</v>
      </c>
      <c r="AC85" s="21">
        <v>1.3720699999999999</v>
      </c>
      <c r="AD85">
        <f t="shared" si="16"/>
        <v>17.3523</v>
      </c>
      <c r="AE85">
        <f t="shared" si="17"/>
        <v>23.813949473999998</v>
      </c>
      <c r="AF85" s="9"/>
      <c r="AG85" s="21">
        <v>0.27771000000000001</v>
      </c>
      <c r="AH85" s="21">
        <v>231.53700000000001</v>
      </c>
      <c r="AI85" s="21">
        <v>-1.7962599999999999E-2</v>
      </c>
      <c r="AJ85" s="21">
        <v>75</v>
      </c>
      <c r="AK85" s="21">
        <v>0.27731299999999998</v>
      </c>
      <c r="AL85">
        <f t="shared" si="18"/>
        <v>17.962599999999998</v>
      </c>
      <c r="AM85">
        <f t="shared" si="19"/>
        <v>4.9883936459999996</v>
      </c>
      <c r="AP85" s="9"/>
      <c r="AQ85" s="21">
        <v>1.3723799999999999</v>
      </c>
      <c r="AR85" s="21">
        <v>289.24099999999999</v>
      </c>
      <c r="AS85" s="21">
        <v>-1.7340100000000001E-2</v>
      </c>
      <c r="AT85" s="21">
        <v>75</v>
      </c>
      <c r="AU85" s="21">
        <v>1.3714599999999999</v>
      </c>
      <c r="AV85">
        <f t="shared" si="20"/>
        <v>17.3401</v>
      </c>
      <c r="AW85">
        <f t="shared" si="21"/>
        <v>23.797206438</v>
      </c>
      <c r="AX85" s="9"/>
      <c r="AY85" s="21">
        <v>0.27771000000000001</v>
      </c>
      <c r="AZ85" s="21">
        <v>359.67200000000003</v>
      </c>
      <c r="BA85" s="21">
        <v>-1.7932099999999999E-2</v>
      </c>
      <c r="BB85" s="21">
        <v>75</v>
      </c>
      <c r="BC85" s="21">
        <v>0.27716099999999999</v>
      </c>
      <c r="BD85">
        <f t="shared" si="22"/>
        <v>17.932099999999998</v>
      </c>
      <c r="BE85">
        <f t="shared" si="23"/>
        <v>4.9799234910000001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1.36734</v>
      </c>
      <c r="H86" s="21">
        <v>25.657</v>
      </c>
      <c r="I86" s="21">
        <v>-1.7373699999999999E-2</v>
      </c>
      <c r="J86" s="21">
        <v>76</v>
      </c>
      <c r="K86" s="21">
        <v>1.3662700000000001</v>
      </c>
      <c r="L86">
        <f t="shared" si="12"/>
        <v>17.373699999999999</v>
      </c>
      <c r="M86">
        <f t="shared" si="13"/>
        <v>23.755754958000001</v>
      </c>
      <c r="N86" s="9"/>
      <c r="O86" s="21">
        <v>0.28274500000000002</v>
      </c>
      <c r="P86" s="21">
        <v>97.417199999999994</v>
      </c>
      <c r="Q86" s="21">
        <v>-1.7965700000000001E-2</v>
      </c>
      <c r="R86" s="21">
        <v>76</v>
      </c>
      <c r="S86" s="21">
        <v>0.28204299999999999</v>
      </c>
      <c r="T86">
        <f t="shared" si="14"/>
        <v>17.965700000000002</v>
      </c>
      <c r="U86">
        <f t="shared" si="15"/>
        <v>5.0797118465000013</v>
      </c>
      <c r="X86" s="9"/>
      <c r="Y86" s="21">
        <v>1.36734</v>
      </c>
      <c r="Z86" s="21">
        <v>165.09200000000001</v>
      </c>
      <c r="AA86" s="21">
        <v>-1.73584E-2</v>
      </c>
      <c r="AB86" s="21">
        <v>76</v>
      </c>
      <c r="AC86" s="21">
        <v>1.3665799999999999</v>
      </c>
      <c r="AD86">
        <f t="shared" si="16"/>
        <v>17.3584</v>
      </c>
      <c r="AE86">
        <f t="shared" si="17"/>
        <v>23.734834656</v>
      </c>
      <c r="AF86" s="9"/>
      <c r="AG86" s="21">
        <v>0.28274500000000002</v>
      </c>
      <c r="AH86" s="21">
        <v>231.637</v>
      </c>
      <c r="AI86" s="21">
        <v>-1.7962599999999999E-2</v>
      </c>
      <c r="AJ86" s="21">
        <v>76</v>
      </c>
      <c r="AK86" s="21">
        <v>0.28277600000000003</v>
      </c>
      <c r="AL86">
        <f t="shared" si="18"/>
        <v>17.962599999999998</v>
      </c>
      <c r="AM86">
        <f t="shared" si="19"/>
        <v>5.0788353370000001</v>
      </c>
      <c r="AP86" s="9"/>
      <c r="AQ86" s="21">
        <v>1.36734</v>
      </c>
      <c r="AR86" s="21">
        <v>289.34199999999998</v>
      </c>
      <c r="AS86" s="21">
        <v>-1.7349199999999999E-2</v>
      </c>
      <c r="AT86" s="21">
        <v>76</v>
      </c>
      <c r="AU86" s="21">
        <v>1.3668800000000001</v>
      </c>
      <c r="AV86">
        <f t="shared" si="20"/>
        <v>17.3492</v>
      </c>
      <c r="AW86">
        <f t="shared" si="21"/>
        <v>23.722255128</v>
      </c>
      <c r="AX86" s="9"/>
      <c r="AY86" s="21">
        <v>0.28274500000000002</v>
      </c>
      <c r="AZ86" s="21">
        <v>359.77199999999999</v>
      </c>
      <c r="BA86" s="21">
        <v>-1.7926000000000001E-2</v>
      </c>
      <c r="BB86" s="21">
        <v>76</v>
      </c>
      <c r="BC86" s="21">
        <v>0.28222700000000001</v>
      </c>
      <c r="BD86">
        <f t="shared" si="22"/>
        <v>17.926000000000002</v>
      </c>
      <c r="BE86">
        <f t="shared" si="23"/>
        <v>5.068486870000001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1.3623000000000001</v>
      </c>
      <c r="H87" s="21">
        <v>25.7577</v>
      </c>
      <c r="I87" s="21">
        <v>-1.7376699999999998E-2</v>
      </c>
      <c r="J87" s="21">
        <v>77</v>
      </c>
      <c r="K87" s="21">
        <v>1.3616900000000001</v>
      </c>
      <c r="L87">
        <f t="shared" si="12"/>
        <v>17.3767</v>
      </c>
      <c r="M87">
        <f t="shared" si="13"/>
        <v>23.672278410000001</v>
      </c>
      <c r="N87" s="9"/>
      <c r="O87" s="21">
        <v>0.28778100000000001</v>
      </c>
      <c r="P87" s="21">
        <v>97.517899999999997</v>
      </c>
      <c r="Q87" s="21">
        <v>-1.79688E-2</v>
      </c>
      <c r="R87" s="21">
        <v>77</v>
      </c>
      <c r="S87" s="21">
        <v>0.28744500000000001</v>
      </c>
      <c r="T87">
        <f t="shared" si="14"/>
        <v>17.968800000000002</v>
      </c>
      <c r="U87">
        <f t="shared" si="15"/>
        <v>5.1710792328000004</v>
      </c>
      <c r="X87" s="9"/>
      <c r="Y87" s="21">
        <v>1.3623000000000001</v>
      </c>
      <c r="Z87" s="21">
        <v>165.19300000000001</v>
      </c>
      <c r="AA87" s="21">
        <v>-1.73676E-2</v>
      </c>
      <c r="AB87" s="21">
        <v>77</v>
      </c>
      <c r="AC87" s="21">
        <v>1.3620000000000001</v>
      </c>
      <c r="AD87">
        <f t="shared" si="16"/>
        <v>17.367599999999999</v>
      </c>
      <c r="AE87">
        <f t="shared" si="17"/>
        <v>23.659881479999999</v>
      </c>
      <c r="AF87" s="9"/>
      <c r="AG87" s="21">
        <v>0.28778100000000001</v>
      </c>
      <c r="AH87" s="21">
        <v>231.738</v>
      </c>
      <c r="AI87" s="21">
        <v>-1.7962599999999999E-2</v>
      </c>
      <c r="AJ87" s="21">
        <v>77</v>
      </c>
      <c r="AK87" s="21">
        <v>0.287109</v>
      </c>
      <c r="AL87">
        <f t="shared" si="18"/>
        <v>17.962599999999998</v>
      </c>
      <c r="AM87">
        <f t="shared" si="19"/>
        <v>5.1692949906000001</v>
      </c>
      <c r="AP87" s="9"/>
      <c r="AQ87" s="21">
        <v>1.3623000000000001</v>
      </c>
      <c r="AR87" s="21">
        <v>289.44299999999998</v>
      </c>
      <c r="AS87" s="21">
        <v>-1.73584E-2</v>
      </c>
      <c r="AT87" s="21">
        <v>77</v>
      </c>
      <c r="AU87" s="21">
        <v>1.3613900000000001</v>
      </c>
      <c r="AV87">
        <f t="shared" si="20"/>
        <v>17.3584</v>
      </c>
      <c r="AW87">
        <f t="shared" si="21"/>
        <v>23.647348319999999</v>
      </c>
      <c r="AX87" s="9"/>
      <c r="AY87" s="21">
        <v>0.28778100000000001</v>
      </c>
      <c r="AZ87" s="21">
        <v>359.87299999999999</v>
      </c>
      <c r="BA87" s="21">
        <v>-1.7926000000000001E-2</v>
      </c>
      <c r="BB87" s="21">
        <v>77</v>
      </c>
      <c r="BC87" s="21">
        <v>0.28723100000000001</v>
      </c>
      <c r="BD87">
        <f t="shared" si="22"/>
        <v>17.926000000000002</v>
      </c>
      <c r="BE87">
        <f t="shared" si="23"/>
        <v>5.1587622060000005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1.35727</v>
      </c>
      <c r="H88" s="21">
        <v>25.8584</v>
      </c>
      <c r="I88" s="21">
        <v>-1.73828E-2</v>
      </c>
      <c r="J88" s="21">
        <v>78</v>
      </c>
      <c r="K88" s="21">
        <v>1.3568100000000001</v>
      </c>
      <c r="L88">
        <f t="shared" si="12"/>
        <v>17.3828</v>
      </c>
      <c r="M88">
        <f t="shared" si="13"/>
        <v>23.593152955999997</v>
      </c>
      <c r="N88" s="9"/>
      <c r="O88" s="21">
        <v>0.29281600000000002</v>
      </c>
      <c r="P88" s="21">
        <v>97.618600000000001</v>
      </c>
      <c r="Q88" s="21">
        <v>-1.7962599999999999E-2</v>
      </c>
      <c r="R88" s="21">
        <v>78</v>
      </c>
      <c r="S88" s="21">
        <v>0.29229699999999997</v>
      </c>
      <c r="T88">
        <f t="shared" si="14"/>
        <v>17.962599999999998</v>
      </c>
      <c r="U88">
        <f t="shared" si="15"/>
        <v>5.2597366815999997</v>
      </c>
      <c r="X88" s="9"/>
      <c r="Y88" s="21">
        <v>1.35727</v>
      </c>
      <c r="Z88" s="21">
        <v>165.29400000000001</v>
      </c>
      <c r="AA88" s="21">
        <v>-1.73676E-2</v>
      </c>
      <c r="AB88" s="21">
        <v>78</v>
      </c>
      <c r="AC88" s="21">
        <v>1.3568100000000001</v>
      </c>
      <c r="AD88">
        <f t="shared" si="16"/>
        <v>17.367599999999999</v>
      </c>
      <c r="AE88">
        <f t="shared" si="17"/>
        <v>23.572522451999998</v>
      </c>
      <c r="AF88" s="9"/>
      <c r="AG88" s="21">
        <v>0.29281600000000002</v>
      </c>
      <c r="AH88" s="21">
        <v>231.839</v>
      </c>
      <c r="AI88" s="21">
        <v>-1.7959599999999999E-2</v>
      </c>
      <c r="AJ88" s="21">
        <v>78</v>
      </c>
      <c r="AK88" s="21">
        <v>0.292603</v>
      </c>
      <c r="AL88">
        <f t="shared" si="18"/>
        <v>17.959599999999998</v>
      </c>
      <c r="AM88">
        <f t="shared" si="19"/>
        <v>5.2588582335999998</v>
      </c>
      <c r="AP88" s="9"/>
      <c r="AQ88" s="21">
        <v>1.35727</v>
      </c>
      <c r="AR88" s="21">
        <v>289.54399999999998</v>
      </c>
      <c r="AS88" s="21">
        <v>-1.73676E-2</v>
      </c>
      <c r="AT88" s="21">
        <v>78</v>
      </c>
      <c r="AU88" s="21">
        <v>1.3562000000000001</v>
      </c>
      <c r="AV88">
        <f t="shared" si="20"/>
        <v>17.367599999999999</v>
      </c>
      <c r="AW88">
        <f t="shared" si="21"/>
        <v>23.572522451999998</v>
      </c>
      <c r="AX88" s="9"/>
      <c r="AY88" s="21">
        <v>0.29281600000000002</v>
      </c>
      <c r="AZ88" s="21">
        <v>359.97399999999999</v>
      </c>
      <c r="BA88" s="21">
        <v>-1.7923000000000001E-2</v>
      </c>
      <c r="BB88" s="21">
        <v>78</v>
      </c>
      <c r="BC88" s="21">
        <v>0.291962</v>
      </c>
      <c r="BD88">
        <f t="shared" si="22"/>
        <v>17.923000000000002</v>
      </c>
      <c r="BE88">
        <f t="shared" si="23"/>
        <v>5.248141168000001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1.35223</v>
      </c>
      <c r="H89" s="21">
        <v>25.959099999999999</v>
      </c>
      <c r="I89" s="21">
        <v>-1.7392000000000001E-2</v>
      </c>
      <c r="J89" s="21">
        <v>79</v>
      </c>
      <c r="K89" s="21">
        <v>1.35223</v>
      </c>
      <c r="L89">
        <f t="shared" si="12"/>
        <v>17.391999999999999</v>
      </c>
      <c r="M89">
        <f t="shared" si="13"/>
        <v>23.517984160000001</v>
      </c>
      <c r="N89" s="9"/>
      <c r="O89" s="21">
        <v>0.29785200000000001</v>
      </c>
      <c r="P89" s="21">
        <v>97.719300000000004</v>
      </c>
      <c r="Q89" s="21">
        <v>-1.7962599999999999E-2</v>
      </c>
      <c r="R89" s="21">
        <v>79</v>
      </c>
      <c r="S89" s="21">
        <v>0.297821</v>
      </c>
      <c r="T89">
        <f t="shared" si="14"/>
        <v>17.962599999999998</v>
      </c>
      <c r="U89">
        <f t="shared" si="15"/>
        <v>5.3501963351999997</v>
      </c>
      <c r="X89" s="9"/>
      <c r="Y89" s="21">
        <v>1.35223</v>
      </c>
      <c r="Z89" s="21">
        <v>165.39400000000001</v>
      </c>
      <c r="AA89" s="21">
        <v>-1.73676E-2</v>
      </c>
      <c r="AB89" s="21">
        <v>79</v>
      </c>
      <c r="AC89" s="21">
        <v>1.3513200000000001</v>
      </c>
      <c r="AD89">
        <f t="shared" si="16"/>
        <v>17.367599999999999</v>
      </c>
      <c r="AE89">
        <f t="shared" si="17"/>
        <v>23.484989748</v>
      </c>
      <c r="AF89" s="9"/>
      <c r="AG89" s="21">
        <v>0.29785200000000001</v>
      </c>
      <c r="AH89" s="21">
        <v>231.93899999999999</v>
      </c>
      <c r="AI89" s="21">
        <v>-1.7959599999999999E-2</v>
      </c>
      <c r="AJ89" s="21">
        <v>79</v>
      </c>
      <c r="AK89" s="21">
        <v>0.296844</v>
      </c>
      <c r="AL89">
        <f t="shared" si="18"/>
        <v>17.959599999999998</v>
      </c>
      <c r="AM89">
        <f t="shared" si="19"/>
        <v>5.3493027791999994</v>
      </c>
      <c r="AP89" s="9"/>
      <c r="AQ89" s="21">
        <v>1.35223</v>
      </c>
      <c r="AR89" s="21">
        <v>289.64400000000001</v>
      </c>
      <c r="AS89" s="21">
        <v>-1.73706E-2</v>
      </c>
      <c r="AT89" s="21">
        <v>79</v>
      </c>
      <c r="AU89" s="21">
        <v>1.35101</v>
      </c>
      <c r="AV89">
        <f t="shared" si="20"/>
        <v>17.3706</v>
      </c>
      <c r="AW89">
        <f t="shared" si="21"/>
        <v>23.489046437999999</v>
      </c>
      <c r="AX89" s="9"/>
      <c r="AY89" s="21">
        <v>0.29785200000000001</v>
      </c>
      <c r="AZ89" s="21">
        <v>360.07400000000001</v>
      </c>
      <c r="BA89" s="21">
        <v>-1.7923000000000001E-2</v>
      </c>
      <c r="BB89" s="21">
        <v>79</v>
      </c>
      <c r="BC89" s="21">
        <v>0.297211</v>
      </c>
      <c r="BD89">
        <f t="shared" si="22"/>
        <v>17.923000000000002</v>
      </c>
      <c r="BE89">
        <f t="shared" si="23"/>
        <v>5.338401396000001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1.3472</v>
      </c>
      <c r="H90" s="21">
        <v>26.059799999999999</v>
      </c>
      <c r="I90" s="21">
        <v>-1.7401099999999999E-2</v>
      </c>
      <c r="J90" s="21">
        <v>80</v>
      </c>
      <c r="K90" s="21">
        <v>1.3464400000000001</v>
      </c>
      <c r="L90">
        <f t="shared" si="12"/>
        <v>17.4011</v>
      </c>
      <c r="M90">
        <f t="shared" si="13"/>
        <v>23.442761919999999</v>
      </c>
      <c r="N90" s="9"/>
      <c r="O90" s="21">
        <v>0.30288700000000002</v>
      </c>
      <c r="P90" s="21">
        <v>97.82</v>
      </c>
      <c r="Q90" s="21">
        <v>-1.79565E-2</v>
      </c>
      <c r="R90" s="21">
        <v>80</v>
      </c>
      <c r="S90" s="21">
        <v>0.30252099999999998</v>
      </c>
      <c r="T90">
        <f t="shared" si="14"/>
        <v>17.956500000000002</v>
      </c>
      <c r="U90">
        <f t="shared" si="15"/>
        <v>5.4387904155000006</v>
      </c>
      <c r="X90" s="9"/>
      <c r="Y90" s="21">
        <v>1.3472</v>
      </c>
      <c r="Z90" s="21">
        <v>165.495</v>
      </c>
      <c r="AA90" s="21">
        <v>-1.73828E-2</v>
      </c>
      <c r="AB90" s="21">
        <v>80</v>
      </c>
      <c r="AC90" s="21">
        <v>1.34735</v>
      </c>
      <c r="AD90">
        <f t="shared" si="16"/>
        <v>17.3828</v>
      </c>
      <c r="AE90">
        <f t="shared" si="17"/>
        <v>23.418108159999999</v>
      </c>
      <c r="AF90" s="9"/>
      <c r="AG90" s="21">
        <v>0.30288700000000002</v>
      </c>
      <c r="AH90" s="21">
        <v>232.04</v>
      </c>
      <c r="AI90" s="21">
        <v>-1.79565E-2</v>
      </c>
      <c r="AJ90" s="21">
        <v>80</v>
      </c>
      <c r="AK90" s="21">
        <v>0.30285600000000001</v>
      </c>
      <c r="AL90">
        <f t="shared" si="18"/>
        <v>17.956500000000002</v>
      </c>
      <c r="AM90">
        <f t="shared" si="19"/>
        <v>5.4387904155000006</v>
      </c>
      <c r="AP90" s="9"/>
      <c r="AQ90" s="21">
        <v>1.3472</v>
      </c>
      <c r="AR90" s="21">
        <v>289.745</v>
      </c>
      <c r="AS90" s="21">
        <v>-1.7376699999999998E-2</v>
      </c>
      <c r="AT90" s="21">
        <v>80</v>
      </c>
      <c r="AU90" s="21">
        <v>1.34674</v>
      </c>
      <c r="AV90">
        <f t="shared" si="20"/>
        <v>17.3767</v>
      </c>
      <c r="AW90">
        <f t="shared" si="21"/>
        <v>23.409890239999999</v>
      </c>
      <c r="AX90" s="9"/>
      <c r="AY90" s="21">
        <v>0.30288700000000002</v>
      </c>
      <c r="AZ90" s="21">
        <v>360.17500000000001</v>
      </c>
      <c r="BA90" s="21">
        <v>-1.7916899999999999E-2</v>
      </c>
      <c r="BB90" s="21">
        <v>80</v>
      </c>
      <c r="BC90" s="21">
        <v>0.30236800000000003</v>
      </c>
      <c r="BD90">
        <f t="shared" si="22"/>
        <v>17.916899999999998</v>
      </c>
      <c r="BE90">
        <f t="shared" si="23"/>
        <v>5.4267960902999999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1.34216</v>
      </c>
      <c r="H91" s="21">
        <v>26.160499999999999</v>
      </c>
      <c r="I91" s="21">
        <v>-1.7407200000000001E-2</v>
      </c>
      <c r="J91" s="21">
        <v>81</v>
      </c>
      <c r="K91" s="21">
        <v>1.34155</v>
      </c>
      <c r="L91">
        <f t="shared" si="12"/>
        <v>17.4072</v>
      </c>
      <c r="M91">
        <f t="shared" si="13"/>
        <v>23.363247552000001</v>
      </c>
      <c r="N91" s="9"/>
      <c r="O91" s="21">
        <v>0.30792199999999997</v>
      </c>
      <c r="P91" s="21">
        <v>97.920699999999997</v>
      </c>
      <c r="Q91" s="21">
        <v>-1.7962599999999999E-2</v>
      </c>
      <c r="R91" s="21">
        <v>81</v>
      </c>
      <c r="S91" s="21">
        <v>0.30697600000000003</v>
      </c>
      <c r="T91">
        <f t="shared" si="14"/>
        <v>17.962599999999998</v>
      </c>
      <c r="U91">
        <f t="shared" si="15"/>
        <v>5.531079717199999</v>
      </c>
      <c r="X91" s="9"/>
      <c r="Y91" s="21">
        <v>1.34216</v>
      </c>
      <c r="Z91" s="21">
        <v>165.596</v>
      </c>
      <c r="AA91" s="21">
        <v>-1.7388899999999999E-2</v>
      </c>
      <c r="AB91" s="21">
        <v>81</v>
      </c>
      <c r="AC91" s="21">
        <v>1.3418600000000001</v>
      </c>
      <c r="AD91">
        <f t="shared" si="16"/>
        <v>17.3889</v>
      </c>
      <c r="AE91">
        <f t="shared" si="17"/>
        <v>23.338686024000001</v>
      </c>
      <c r="AF91" s="9"/>
      <c r="AG91" s="21">
        <v>0.30792199999999997</v>
      </c>
      <c r="AH91" s="21">
        <v>232.14099999999999</v>
      </c>
      <c r="AI91" s="21">
        <v>-1.7950399999999998E-2</v>
      </c>
      <c r="AJ91" s="21">
        <v>81</v>
      </c>
      <c r="AK91" s="21">
        <v>0.30719000000000002</v>
      </c>
      <c r="AL91">
        <f t="shared" si="18"/>
        <v>17.950399999999998</v>
      </c>
      <c r="AM91">
        <f t="shared" si="19"/>
        <v>5.5273230687999995</v>
      </c>
      <c r="AP91" s="9"/>
      <c r="AQ91" s="21">
        <v>1.34216</v>
      </c>
      <c r="AR91" s="21">
        <v>289.846</v>
      </c>
      <c r="AS91" s="21">
        <v>-1.7376699999999998E-2</v>
      </c>
      <c r="AT91" s="21">
        <v>81</v>
      </c>
      <c r="AU91" s="21">
        <v>1.34155</v>
      </c>
      <c r="AV91">
        <f t="shared" si="20"/>
        <v>17.3767</v>
      </c>
      <c r="AW91">
        <f t="shared" si="21"/>
        <v>23.322311672000001</v>
      </c>
      <c r="AX91" s="9"/>
      <c r="AY91" s="21">
        <v>0.30792199999999997</v>
      </c>
      <c r="AZ91" s="21">
        <v>360.27600000000001</v>
      </c>
      <c r="BA91" s="21">
        <v>-1.7916899999999999E-2</v>
      </c>
      <c r="BB91" s="21">
        <v>81</v>
      </c>
      <c r="BC91" s="21">
        <v>0.30746499999999999</v>
      </c>
      <c r="BD91">
        <f t="shared" si="22"/>
        <v>17.916899999999998</v>
      </c>
      <c r="BE91">
        <f t="shared" si="23"/>
        <v>5.5170076817999991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1.3371299999999999</v>
      </c>
      <c r="H92" s="21">
        <v>26.261299999999999</v>
      </c>
      <c r="I92" s="21">
        <v>-1.74103E-2</v>
      </c>
      <c r="J92" s="21">
        <v>82</v>
      </c>
      <c r="K92" s="21">
        <v>1.3369800000000001</v>
      </c>
      <c r="L92">
        <f t="shared" si="12"/>
        <v>17.410299999999999</v>
      </c>
      <c r="M92">
        <f t="shared" si="13"/>
        <v>23.279834438999998</v>
      </c>
      <c r="N92" s="9"/>
      <c r="O92" s="21">
        <v>0.31295800000000001</v>
      </c>
      <c r="P92" s="21">
        <v>98.0214</v>
      </c>
      <c r="Q92" s="21">
        <v>-1.7953500000000001E-2</v>
      </c>
      <c r="R92" s="21">
        <v>82</v>
      </c>
      <c r="S92" s="21">
        <v>0.3125</v>
      </c>
      <c r="T92">
        <f t="shared" si="14"/>
        <v>17.953500000000002</v>
      </c>
      <c r="U92">
        <f t="shared" si="15"/>
        <v>5.6186914530000012</v>
      </c>
      <c r="X92" s="9"/>
      <c r="Y92" s="21">
        <v>1.3371299999999999</v>
      </c>
      <c r="Z92" s="21">
        <v>165.696</v>
      </c>
      <c r="AA92" s="21">
        <v>-1.7401099999999999E-2</v>
      </c>
      <c r="AB92" s="21">
        <v>82</v>
      </c>
      <c r="AC92" s="21">
        <v>1.33667</v>
      </c>
      <c r="AD92">
        <f t="shared" si="16"/>
        <v>17.4011</v>
      </c>
      <c r="AE92">
        <f t="shared" si="17"/>
        <v>23.267532842999998</v>
      </c>
      <c r="AF92" s="9"/>
      <c r="AG92" s="21">
        <v>0.31295800000000001</v>
      </c>
      <c r="AH92" s="21">
        <v>232.24199999999999</v>
      </c>
      <c r="AI92" s="21">
        <v>-1.7938200000000001E-2</v>
      </c>
      <c r="AJ92" s="21">
        <v>82</v>
      </c>
      <c r="AK92" s="21">
        <v>0.3125</v>
      </c>
      <c r="AL92">
        <f t="shared" si="18"/>
        <v>17.938200000000002</v>
      </c>
      <c r="AM92">
        <f t="shared" si="19"/>
        <v>5.6139031956000007</v>
      </c>
      <c r="AP92" s="9"/>
      <c r="AQ92" s="21">
        <v>1.3371299999999999</v>
      </c>
      <c r="AR92" s="21">
        <v>289.94600000000003</v>
      </c>
      <c r="AS92" s="21">
        <v>-1.7379800000000001E-2</v>
      </c>
      <c r="AT92" s="21">
        <v>82</v>
      </c>
      <c r="AU92" s="21">
        <v>1.33606</v>
      </c>
      <c r="AV92">
        <f t="shared" si="20"/>
        <v>17.379799999999999</v>
      </c>
      <c r="AW92">
        <f t="shared" si="21"/>
        <v>23.239051973999999</v>
      </c>
      <c r="AX92" s="9"/>
      <c r="AY92" s="21">
        <v>0.31295800000000001</v>
      </c>
      <c r="AZ92" s="21">
        <v>360.37700000000001</v>
      </c>
      <c r="BA92" s="21">
        <v>-1.7916899999999999E-2</v>
      </c>
      <c r="BB92" s="21">
        <v>82</v>
      </c>
      <c r="BC92" s="21">
        <v>0.31262200000000001</v>
      </c>
      <c r="BD92">
        <f t="shared" si="22"/>
        <v>17.916899999999998</v>
      </c>
      <c r="BE92">
        <f t="shared" si="23"/>
        <v>5.6072371901999993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1.33209</v>
      </c>
      <c r="H93" s="21">
        <v>26.361999999999998</v>
      </c>
      <c r="I93" s="21">
        <v>-1.7416399999999999E-2</v>
      </c>
      <c r="J93" s="21">
        <v>83</v>
      </c>
      <c r="K93" s="21">
        <v>1.33179</v>
      </c>
      <c r="L93">
        <f t="shared" si="12"/>
        <v>17.416399999999999</v>
      </c>
      <c r="M93">
        <f t="shared" si="13"/>
        <v>23.200212275999998</v>
      </c>
      <c r="N93" s="9"/>
      <c r="O93" s="21">
        <v>0.31799300000000003</v>
      </c>
      <c r="P93" s="21">
        <v>98.122100000000003</v>
      </c>
      <c r="Q93" s="21">
        <v>-1.79565E-2</v>
      </c>
      <c r="R93" s="21">
        <v>83</v>
      </c>
      <c r="S93" s="21">
        <v>0.31759599999999999</v>
      </c>
      <c r="T93">
        <f t="shared" si="14"/>
        <v>17.956500000000002</v>
      </c>
      <c r="U93">
        <f t="shared" si="15"/>
        <v>5.7100413045000007</v>
      </c>
      <c r="X93" s="9"/>
      <c r="Y93" s="21">
        <v>1.33209</v>
      </c>
      <c r="Z93" s="21">
        <v>165.797</v>
      </c>
      <c r="AA93" s="21">
        <v>-1.7395000000000001E-2</v>
      </c>
      <c r="AB93" s="21">
        <v>83</v>
      </c>
      <c r="AC93" s="21">
        <v>1.33148</v>
      </c>
      <c r="AD93">
        <f t="shared" si="16"/>
        <v>17.395</v>
      </c>
      <c r="AE93">
        <f t="shared" si="17"/>
        <v>23.171705549999999</v>
      </c>
      <c r="AF93" s="9"/>
      <c r="AG93" s="21">
        <v>0.31799300000000003</v>
      </c>
      <c r="AH93" s="21">
        <v>232.34200000000001</v>
      </c>
      <c r="AI93" s="21">
        <v>-1.79413E-2</v>
      </c>
      <c r="AJ93" s="21">
        <v>83</v>
      </c>
      <c r="AK93" s="21">
        <v>0.31756600000000001</v>
      </c>
      <c r="AL93">
        <f t="shared" si="18"/>
        <v>17.941300000000002</v>
      </c>
      <c r="AM93">
        <f t="shared" si="19"/>
        <v>5.7052078109000011</v>
      </c>
      <c r="AP93" s="9"/>
      <c r="AQ93" s="21">
        <v>1.33209</v>
      </c>
      <c r="AR93" s="21">
        <v>290.04700000000003</v>
      </c>
      <c r="AS93" s="21">
        <v>-1.7388899999999999E-2</v>
      </c>
      <c r="AT93" s="21">
        <v>83</v>
      </c>
      <c r="AU93" s="21">
        <v>1.33087</v>
      </c>
      <c r="AV93">
        <f t="shared" si="20"/>
        <v>17.3889</v>
      </c>
      <c r="AW93">
        <f t="shared" si="21"/>
        <v>23.163579801000001</v>
      </c>
      <c r="AX93" s="9"/>
      <c r="AY93" s="21">
        <v>0.31799300000000003</v>
      </c>
      <c r="AZ93" s="21">
        <v>360.47699999999998</v>
      </c>
      <c r="BA93" s="21">
        <v>-1.7910800000000001E-2</v>
      </c>
      <c r="BB93" s="21">
        <v>83</v>
      </c>
      <c r="BC93" s="21">
        <v>0.31704700000000002</v>
      </c>
      <c r="BD93">
        <f t="shared" si="22"/>
        <v>17.910800000000002</v>
      </c>
      <c r="BE93">
        <f t="shared" si="23"/>
        <v>5.6955090244000006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1.3270599999999999</v>
      </c>
      <c r="H94" s="21">
        <v>26.462700000000002</v>
      </c>
      <c r="I94" s="21">
        <v>-1.7419400000000002E-2</v>
      </c>
      <c r="J94" s="21">
        <v>84</v>
      </c>
      <c r="K94" s="21">
        <v>1.32629</v>
      </c>
      <c r="L94">
        <f t="shared" si="12"/>
        <v>17.419400000000003</v>
      </c>
      <c r="M94">
        <f t="shared" si="13"/>
        <v>23.116588964000002</v>
      </c>
      <c r="N94" s="9"/>
      <c r="O94" s="21">
        <v>0.32302900000000001</v>
      </c>
      <c r="P94" s="21">
        <v>98.222800000000007</v>
      </c>
      <c r="Q94" s="21">
        <v>-1.79565E-2</v>
      </c>
      <c r="R94" s="21">
        <v>84</v>
      </c>
      <c r="S94" s="21">
        <v>0.32263199999999997</v>
      </c>
      <c r="T94">
        <f t="shared" si="14"/>
        <v>17.956500000000002</v>
      </c>
      <c r="U94">
        <f t="shared" si="15"/>
        <v>5.8004702385000009</v>
      </c>
      <c r="X94" s="9"/>
      <c r="Y94" s="21">
        <v>1.3270599999999999</v>
      </c>
      <c r="Z94" s="21">
        <v>165.898</v>
      </c>
      <c r="AA94" s="21">
        <v>-1.7404200000000002E-2</v>
      </c>
      <c r="AB94" s="21">
        <v>84</v>
      </c>
      <c r="AC94" s="21">
        <v>1.3266</v>
      </c>
      <c r="AD94">
        <f t="shared" si="16"/>
        <v>17.404200000000003</v>
      </c>
      <c r="AE94">
        <f t="shared" si="17"/>
        <v>23.096417652000003</v>
      </c>
      <c r="AF94" s="9"/>
      <c r="AG94" s="21">
        <v>0.32302900000000001</v>
      </c>
      <c r="AH94" s="21">
        <v>232.44300000000001</v>
      </c>
      <c r="AI94" s="21">
        <v>-1.79443E-2</v>
      </c>
      <c r="AJ94" s="21">
        <v>84</v>
      </c>
      <c r="AK94" s="21">
        <v>0.32247900000000002</v>
      </c>
      <c r="AL94">
        <f t="shared" si="18"/>
        <v>17.944299999999998</v>
      </c>
      <c r="AM94">
        <f t="shared" si="19"/>
        <v>5.7965292847000001</v>
      </c>
      <c r="AP94" s="9"/>
      <c r="AQ94" s="21">
        <v>1.3270599999999999</v>
      </c>
      <c r="AR94" s="21">
        <v>290.14800000000002</v>
      </c>
      <c r="AS94" s="21">
        <v>-1.7395000000000001E-2</v>
      </c>
      <c r="AT94" s="21">
        <v>84</v>
      </c>
      <c r="AU94" s="21">
        <v>1.32599</v>
      </c>
      <c r="AV94">
        <f t="shared" si="20"/>
        <v>17.395</v>
      </c>
      <c r="AW94">
        <f t="shared" si="21"/>
        <v>23.084208699999998</v>
      </c>
      <c r="AX94" s="9"/>
      <c r="AY94" s="21">
        <v>0.32302900000000001</v>
      </c>
      <c r="AZ94" s="21">
        <v>360.57799999999997</v>
      </c>
      <c r="BA94" s="21">
        <v>-1.7907699999999999E-2</v>
      </c>
      <c r="BB94" s="21">
        <v>84</v>
      </c>
      <c r="BC94" s="21">
        <v>0.322571</v>
      </c>
      <c r="BD94">
        <f t="shared" si="22"/>
        <v>17.907699999999998</v>
      </c>
      <c r="BE94">
        <f t="shared" si="23"/>
        <v>5.7847064232999994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1.32202</v>
      </c>
      <c r="H95" s="21">
        <v>26.563400000000001</v>
      </c>
      <c r="I95" s="21">
        <v>-1.7419400000000002E-2</v>
      </c>
      <c r="J95" s="21">
        <v>85</v>
      </c>
      <c r="K95" s="21">
        <v>1.32202</v>
      </c>
      <c r="L95">
        <f t="shared" si="12"/>
        <v>17.419400000000003</v>
      </c>
      <c r="M95">
        <f t="shared" si="13"/>
        <v>23.028795188000004</v>
      </c>
      <c r="N95" s="9"/>
      <c r="O95" s="21">
        <v>0.32806400000000002</v>
      </c>
      <c r="P95" s="21">
        <v>98.323499999999996</v>
      </c>
      <c r="Q95" s="21">
        <v>-1.7950399999999998E-2</v>
      </c>
      <c r="R95" s="21">
        <v>85</v>
      </c>
      <c r="S95" s="21">
        <v>0.32769799999999999</v>
      </c>
      <c r="T95">
        <f t="shared" si="14"/>
        <v>17.950399999999998</v>
      </c>
      <c r="U95">
        <f t="shared" si="15"/>
        <v>5.8888800255999998</v>
      </c>
      <c r="X95" s="9"/>
      <c r="Y95" s="21">
        <v>1.32202</v>
      </c>
      <c r="Z95" s="21">
        <v>165.999</v>
      </c>
      <c r="AA95" s="21">
        <v>-1.74133E-2</v>
      </c>
      <c r="AB95" s="21">
        <v>85</v>
      </c>
      <c r="AC95" s="21">
        <v>1.32233</v>
      </c>
      <c r="AD95">
        <f t="shared" si="16"/>
        <v>17.4133</v>
      </c>
      <c r="AE95">
        <f t="shared" si="17"/>
        <v>23.020730865999997</v>
      </c>
      <c r="AF95" s="9"/>
      <c r="AG95" s="21">
        <v>0.32806400000000002</v>
      </c>
      <c r="AH95" s="21">
        <v>232.54400000000001</v>
      </c>
      <c r="AI95" s="21">
        <v>-1.79413E-2</v>
      </c>
      <c r="AJ95" s="21">
        <v>85</v>
      </c>
      <c r="AK95" s="21">
        <v>0.32757599999999998</v>
      </c>
      <c r="AL95">
        <f t="shared" si="18"/>
        <v>17.941300000000002</v>
      </c>
      <c r="AM95">
        <f t="shared" si="19"/>
        <v>5.8858946432000012</v>
      </c>
      <c r="AP95" s="9"/>
      <c r="AQ95" s="21">
        <v>1.32202</v>
      </c>
      <c r="AR95" s="21">
        <v>290.24900000000002</v>
      </c>
      <c r="AS95" s="21">
        <v>-1.73981E-2</v>
      </c>
      <c r="AT95" s="21">
        <v>85</v>
      </c>
      <c r="AU95" s="21">
        <v>1.32141</v>
      </c>
      <c r="AV95">
        <f t="shared" si="20"/>
        <v>17.398099999999999</v>
      </c>
      <c r="AW95">
        <f t="shared" si="21"/>
        <v>23.000636161999999</v>
      </c>
      <c r="AX95" s="9"/>
      <c r="AY95" s="21">
        <v>0.32806400000000002</v>
      </c>
      <c r="AZ95" s="21">
        <v>360.67899999999997</v>
      </c>
      <c r="BA95" s="21">
        <v>-1.7907699999999999E-2</v>
      </c>
      <c r="BB95" s="21">
        <v>85</v>
      </c>
      <c r="BC95" s="21">
        <v>0.32745400000000002</v>
      </c>
      <c r="BD95">
        <f t="shared" si="22"/>
        <v>17.907699999999998</v>
      </c>
      <c r="BE95">
        <f t="shared" si="23"/>
        <v>5.8748716928000002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1.3169900000000001</v>
      </c>
      <c r="H96" s="21">
        <v>26.664100000000001</v>
      </c>
      <c r="I96" s="21">
        <v>-1.74225E-2</v>
      </c>
      <c r="J96" s="21">
        <v>86</v>
      </c>
      <c r="K96" s="21">
        <v>1.3162199999999999</v>
      </c>
      <c r="L96">
        <f t="shared" si="12"/>
        <v>17.422499999999999</v>
      </c>
      <c r="M96">
        <f t="shared" si="13"/>
        <v>22.945258275</v>
      </c>
      <c r="N96" s="9"/>
      <c r="O96" s="21">
        <v>0.33309899999999998</v>
      </c>
      <c r="P96" s="21">
        <v>98.424199999999999</v>
      </c>
      <c r="Q96" s="21">
        <v>-1.79565E-2</v>
      </c>
      <c r="R96" s="21">
        <v>86</v>
      </c>
      <c r="S96" s="21">
        <v>0.33294699999999999</v>
      </c>
      <c r="T96">
        <f t="shared" si="14"/>
        <v>17.956500000000002</v>
      </c>
      <c r="U96">
        <f t="shared" si="15"/>
        <v>5.9812921934999999</v>
      </c>
      <c r="X96" s="9"/>
      <c r="Y96" s="21">
        <v>1.3169900000000001</v>
      </c>
      <c r="Z96" s="21">
        <v>166.09899999999999</v>
      </c>
      <c r="AA96" s="21">
        <v>-1.7416399999999999E-2</v>
      </c>
      <c r="AB96" s="21">
        <v>86</v>
      </c>
      <c r="AC96" s="21">
        <v>1.31653</v>
      </c>
      <c r="AD96">
        <f t="shared" si="16"/>
        <v>17.416399999999999</v>
      </c>
      <c r="AE96">
        <f t="shared" si="17"/>
        <v>22.937224636</v>
      </c>
      <c r="AF96" s="9"/>
      <c r="AG96" s="21">
        <v>0.33309899999999998</v>
      </c>
      <c r="AH96" s="21">
        <v>232.64400000000001</v>
      </c>
      <c r="AI96" s="21">
        <v>-1.7938200000000001E-2</v>
      </c>
      <c r="AJ96" s="21">
        <v>86</v>
      </c>
      <c r="AK96" s="21">
        <v>0.33294699999999999</v>
      </c>
      <c r="AL96">
        <f t="shared" si="18"/>
        <v>17.938200000000002</v>
      </c>
      <c r="AM96">
        <f t="shared" si="19"/>
        <v>5.9751964818000003</v>
      </c>
      <c r="AP96" s="9"/>
      <c r="AQ96" s="21">
        <v>1.3169900000000001</v>
      </c>
      <c r="AR96" s="21">
        <v>290.34899999999999</v>
      </c>
      <c r="AS96" s="21">
        <v>-1.7404200000000002E-2</v>
      </c>
      <c r="AT96" s="21">
        <v>86</v>
      </c>
      <c r="AU96" s="21">
        <v>1.31592</v>
      </c>
      <c r="AV96">
        <f t="shared" si="20"/>
        <v>17.404200000000003</v>
      </c>
      <c r="AW96">
        <f t="shared" si="21"/>
        <v>22.921157358000006</v>
      </c>
      <c r="AX96" s="9"/>
      <c r="AY96" s="21">
        <v>0.33309899999999998</v>
      </c>
      <c r="AZ96" s="21">
        <v>360.779</v>
      </c>
      <c r="BA96" s="21">
        <v>-1.7907699999999999E-2</v>
      </c>
      <c r="BB96" s="21">
        <v>86</v>
      </c>
      <c r="BC96" s="21">
        <v>0.332428</v>
      </c>
      <c r="BD96">
        <f t="shared" si="22"/>
        <v>17.907699999999998</v>
      </c>
      <c r="BE96">
        <f t="shared" si="23"/>
        <v>5.9650369622999992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1.3119499999999999</v>
      </c>
      <c r="H97" s="21">
        <v>26.764800000000001</v>
      </c>
      <c r="I97" s="21">
        <v>-1.74377E-2</v>
      </c>
      <c r="J97" s="21">
        <v>87</v>
      </c>
      <c r="K97" s="21">
        <v>1.31134</v>
      </c>
      <c r="L97">
        <f t="shared" si="12"/>
        <v>17.4377</v>
      </c>
      <c r="M97">
        <f t="shared" si="13"/>
        <v>22.877390514999998</v>
      </c>
      <c r="N97" s="9"/>
      <c r="O97" s="21">
        <v>0.33813500000000002</v>
      </c>
      <c r="P97" s="21">
        <v>98.524900000000002</v>
      </c>
      <c r="Q97" s="21">
        <v>-1.7950399999999998E-2</v>
      </c>
      <c r="R97" s="21">
        <v>87</v>
      </c>
      <c r="S97" s="21">
        <v>0.33755499999999999</v>
      </c>
      <c r="T97">
        <f t="shared" si="14"/>
        <v>17.950399999999998</v>
      </c>
      <c r="U97">
        <f t="shared" si="15"/>
        <v>6.0696585039999995</v>
      </c>
      <c r="X97" s="9"/>
      <c r="Y97" s="21">
        <v>1.3119499999999999</v>
      </c>
      <c r="Z97" s="21">
        <v>166.2</v>
      </c>
      <c r="AA97" s="21">
        <v>-1.74225E-2</v>
      </c>
      <c r="AB97" s="21">
        <v>87</v>
      </c>
      <c r="AC97" s="21">
        <v>1.31104</v>
      </c>
      <c r="AD97">
        <f t="shared" si="16"/>
        <v>17.422499999999999</v>
      </c>
      <c r="AE97">
        <f t="shared" si="17"/>
        <v>22.857448874999999</v>
      </c>
      <c r="AF97" s="9"/>
      <c r="AG97" s="21">
        <v>0.33813500000000002</v>
      </c>
      <c r="AH97" s="21">
        <v>232.745</v>
      </c>
      <c r="AI97" s="21">
        <v>-1.7938200000000001E-2</v>
      </c>
      <c r="AJ97" s="21">
        <v>87</v>
      </c>
      <c r="AK97" s="21">
        <v>0.33773799999999998</v>
      </c>
      <c r="AL97">
        <f t="shared" si="18"/>
        <v>17.938200000000002</v>
      </c>
      <c r="AM97">
        <f t="shared" si="19"/>
        <v>6.0655332570000011</v>
      </c>
      <c r="AP97" s="9"/>
      <c r="AQ97" s="21">
        <v>1.3119499999999999</v>
      </c>
      <c r="AR97" s="21">
        <v>290.45</v>
      </c>
      <c r="AS97" s="21">
        <v>-1.74103E-2</v>
      </c>
      <c r="AT97" s="21">
        <v>87</v>
      </c>
      <c r="AU97" s="21">
        <v>1.31134</v>
      </c>
      <c r="AV97">
        <f t="shared" si="20"/>
        <v>17.410299999999999</v>
      </c>
      <c r="AW97">
        <f t="shared" si="21"/>
        <v>22.841443084999998</v>
      </c>
      <c r="AX97" s="9"/>
      <c r="AY97" s="21">
        <v>0.33813500000000002</v>
      </c>
      <c r="AZ97" s="21">
        <v>360.88</v>
      </c>
      <c r="BA97" s="21">
        <v>-1.7904699999999999E-2</v>
      </c>
      <c r="BB97" s="21">
        <v>87</v>
      </c>
      <c r="BC97" s="21">
        <v>0.33783000000000002</v>
      </c>
      <c r="BD97">
        <f t="shared" si="22"/>
        <v>17.904699999999998</v>
      </c>
      <c r="BE97">
        <f t="shared" si="23"/>
        <v>6.0542057345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1.3069200000000001</v>
      </c>
      <c r="H98" s="21">
        <v>26.865500000000001</v>
      </c>
      <c r="I98" s="21">
        <v>-1.74377E-2</v>
      </c>
      <c r="J98" s="21">
        <v>88</v>
      </c>
      <c r="K98" s="21">
        <v>1.30585</v>
      </c>
      <c r="L98">
        <f t="shared" si="12"/>
        <v>17.4377</v>
      </c>
      <c r="M98">
        <f t="shared" si="13"/>
        <v>22.789678884000001</v>
      </c>
      <c r="N98" s="9"/>
      <c r="O98" s="21">
        <v>0.34316999999999998</v>
      </c>
      <c r="P98" s="21">
        <v>98.625699999999995</v>
      </c>
      <c r="Q98" s="21">
        <v>-1.7947399999999999E-2</v>
      </c>
      <c r="R98" s="21">
        <v>88</v>
      </c>
      <c r="S98" s="21">
        <v>0.34292600000000001</v>
      </c>
      <c r="T98">
        <f t="shared" si="14"/>
        <v>17.947399999999998</v>
      </c>
      <c r="U98">
        <f t="shared" si="15"/>
        <v>6.1590092579999993</v>
      </c>
      <c r="X98" s="9"/>
      <c r="Y98" s="21">
        <v>1.3069200000000001</v>
      </c>
      <c r="Z98" s="21">
        <v>166.30099999999999</v>
      </c>
      <c r="AA98" s="21">
        <v>-1.74255E-2</v>
      </c>
      <c r="AB98" s="21">
        <v>88</v>
      </c>
      <c r="AC98" s="21">
        <v>1.3067599999999999</v>
      </c>
      <c r="AD98">
        <f t="shared" si="16"/>
        <v>17.4255</v>
      </c>
      <c r="AE98">
        <f t="shared" si="17"/>
        <v>22.77373446</v>
      </c>
      <c r="AF98" s="9"/>
      <c r="AG98" s="21">
        <v>0.34316999999999998</v>
      </c>
      <c r="AH98" s="21">
        <v>232.846</v>
      </c>
      <c r="AI98" s="21">
        <v>-1.7938200000000001E-2</v>
      </c>
      <c r="AJ98" s="21">
        <v>88</v>
      </c>
      <c r="AK98" s="21">
        <v>0.34231600000000001</v>
      </c>
      <c r="AL98">
        <f t="shared" si="18"/>
        <v>17.938200000000002</v>
      </c>
      <c r="AM98">
        <f t="shared" si="19"/>
        <v>6.1558520940000001</v>
      </c>
      <c r="AP98" s="9"/>
      <c r="AQ98" s="21">
        <v>1.3069200000000001</v>
      </c>
      <c r="AR98" s="21">
        <v>290.55099999999999</v>
      </c>
      <c r="AS98" s="21">
        <v>-1.74133E-2</v>
      </c>
      <c r="AT98" s="21">
        <v>88</v>
      </c>
      <c r="AU98" s="21">
        <v>1.30585</v>
      </c>
      <c r="AV98">
        <f t="shared" si="20"/>
        <v>17.4133</v>
      </c>
      <c r="AW98">
        <f t="shared" si="21"/>
        <v>22.757790035999999</v>
      </c>
      <c r="AX98" s="9"/>
      <c r="AY98" s="21">
        <v>0.34316999999999998</v>
      </c>
      <c r="AZ98" s="21">
        <v>360.98099999999999</v>
      </c>
      <c r="BA98" s="21">
        <v>-1.7895500000000002E-2</v>
      </c>
      <c r="BB98" s="21">
        <v>88</v>
      </c>
      <c r="BC98" s="21">
        <v>0.34255999999999998</v>
      </c>
      <c r="BD98">
        <f t="shared" si="22"/>
        <v>17.895500000000002</v>
      </c>
      <c r="BE98">
        <f t="shared" si="23"/>
        <v>6.1411987350000006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1.3018799999999999</v>
      </c>
      <c r="H99" s="21">
        <v>26.966200000000001</v>
      </c>
      <c r="I99" s="21">
        <v>-1.7446900000000001E-2</v>
      </c>
      <c r="J99" s="21">
        <v>89</v>
      </c>
      <c r="K99" s="21">
        <v>1.3012699999999999</v>
      </c>
      <c r="L99">
        <f t="shared" si="12"/>
        <v>17.446900000000003</v>
      </c>
      <c r="M99">
        <f t="shared" si="13"/>
        <v>22.713770172000004</v>
      </c>
      <c r="N99" s="9"/>
      <c r="O99" s="21">
        <v>0.34820600000000002</v>
      </c>
      <c r="P99" s="21">
        <v>98.726399999999998</v>
      </c>
      <c r="Q99" s="21">
        <v>-1.79413E-2</v>
      </c>
      <c r="R99" s="21">
        <v>89</v>
      </c>
      <c r="S99" s="21">
        <v>0.34783900000000001</v>
      </c>
      <c r="T99">
        <f t="shared" si="14"/>
        <v>17.941300000000002</v>
      </c>
      <c r="U99">
        <f t="shared" si="15"/>
        <v>6.2472683078000006</v>
      </c>
      <c r="X99" s="9"/>
      <c r="Y99" s="21">
        <v>1.3018799999999999</v>
      </c>
      <c r="Z99" s="21">
        <v>166.40100000000001</v>
      </c>
      <c r="AA99" s="21">
        <v>-1.7428599999999999E-2</v>
      </c>
      <c r="AB99" s="21">
        <v>89</v>
      </c>
      <c r="AC99" s="21">
        <v>1.3015699999999999</v>
      </c>
      <c r="AD99">
        <f t="shared" si="16"/>
        <v>17.428599999999999</v>
      </c>
      <c r="AE99">
        <f t="shared" si="17"/>
        <v>22.689945767999998</v>
      </c>
      <c r="AF99" s="9"/>
      <c r="AG99" s="21">
        <v>0.34820600000000002</v>
      </c>
      <c r="AH99" s="21">
        <v>232.947</v>
      </c>
      <c r="AI99" s="21">
        <v>-1.7932099999999999E-2</v>
      </c>
      <c r="AJ99" s="21">
        <v>89</v>
      </c>
      <c r="AK99" s="21">
        <v>0.34759499999999999</v>
      </c>
      <c r="AL99">
        <f t="shared" si="18"/>
        <v>17.932099999999998</v>
      </c>
      <c r="AM99">
        <f t="shared" si="19"/>
        <v>6.2440648125999996</v>
      </c>
      <c r="AP99" s="9"/>
      <c r="AQ99" s="21">
        <v>1.3018799999999999</v>
      </c>
      <c r="AR99" s="21">
        <v>290.65100000000001</v>
      </c>
      <c r="AS99" s="21">
        <v>-1.7419400000000002E-2</v>
      </c>
      <c r="AT99" s="21">
        <v>89</v>
      </c>
      <c r="AU99" s="21">
        <v>1.3009599999999999</v>
      </c>
      <c r="AV99">
        <f t="shared" si="20"/>
        <v>17.419400000000003</v>
      </c>
      <c r="AW99">
        <f t="shared" si="21"/>
        <v>22.677968472000003</v>
      </c>
      <c r="AX99" s="9"/>
      <c r="AY99" s="21">
        <v>0.34820600000000002</v>
      </c>
      <c r="AZ99" s="21">
        <v>361.08199999999999</v>
      </c>
      <c r="BA99" s="21">
        <v>-1.79016E-2</v>
      </c>
      <c r="BB99" s="21">
        <v>89</v>
      </c>
      <c r="BC99" s="21">
        <v>0.347748</v>
      </c>
      <c r="BD99">
        <f t="shared" si="22"/>
        <v>17.901599999999998</v>
      </c>
      <c r="BE99">
        <f t="shared" si="23"/>
        <v>6.2334445295999998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1.29684</v>
      </c>
      <c r="H100" s="21">
        <v>27.0669</v>
      </c>
      <c r="I100" s="21">
        <v>-1.7446900000000001E-2</v>
      </c>
      <c r="J100" s="21">
        <v>90</v>
      </c>
      <c r="K100" s="21">
        <v>1.2966899999999999</v>
      </c>
      <c r="L100">
        <f t="shared" si="12"/>
        <v>17.446900000000003</v>
      </c>
      <c r="M100">
        <f t="shared" si="13"/>
        <v>22.625837796000003</v>
      </c>
      <c r="N100" s="9"/>
      <c r="O100" s="21">
        <v>0.35324100000000003</v>
      </c>
      <c r="P100" s="21">
        <v>98.827100000000002</v>
      </c>
      <c r="Q100" s="21">
        <v>-1.7935199999999998E-2</v>
      </c>
      <c r="R100" s="21">
        <v>90</v>
      </c>
      <c r="S100" s="21">
        <v>0.352966</v>
      </c>
      <c r="T100">
        <f t="shared" si="14"/>
        <v>17.935199999999998</v>
      </c>
      <c r="U100">
        <f t="shared" si="15"/>
        <v>6.3354479831999999</v>
      </c>
      <c r="X100" s="9"/>
      <c r="Y100" s="21">
        <v>1.29684</v>
      </c>
      <c r="Z100" s="21">
        <v>166.50200000000001</v>
      </c>
      <c r="AA100" s="21">
        <v>-1.7434700000000001E-2</v>
      </c>
      <c r="AB100" s="21">
        <v>90</v>
      </c>
      <c r="AC100" s="21">
        <v>1.2966899999999999</v>
      </c>
      <c r="AD100">
        <f t="shared" si="16"/>
        <v>17.434699999999999</v>
      </c>
      <c r="AE100">
        <f t="shared" si="17"/>
        <v>22.610016347999998</v>
      </c>
      <c r="AF100" s="9"/>
      <c r="AG100" s="21">
        <v>0.35324100000000003</v>
      </c>
      <c r="AH100" s="21">
        <v>233.047</v>
      </c>
      <c r="AI100" s="21">
        <v>-1.7926000000000001E-2</v>
      </c>
      <c r="AJ100" s="21">
        <v>90</v>
      </c>
      <c r="AK100" s="21">
        <v>0.353302</v>
      </c>
      <c r="AL100">
        <f t="shared" si="18"/>
        <v>17.926000000000002</v>
      </c>
      <c r="AM100">
        <f t="shared" si="19"/>
        <v>6.3321981660000013</v>
      </c>
      <c r="AP100" s="9"/>
      <c r="AQ100" s="21">
        <v>1.29684</v>
      </c>
      <c r="AR100" s="21">
        <v>290.75200000000001</v>
      </c>
      <c r="AS100" s="21">
        <v>-1.7419400000000002E-2</v>
      </c>
      <c r="AT100" s="21">
        <v>90</v>
      </c>
      <c r="AU100" s="21">
        <v>1.2960799999999999</v>
      </c>
      <c r="AV100">
        <f t="shared" si="20"/>
        <v>17.419400000000003</v>
      </c>
      <c r="AW100">
        <f t="shared" si="21"/>
        <v>22.590174696000005</v>
      </c>
      <c r="AX100" s="9"/>
      <c r="AY100" s="21">
        <v>0.35324100000000003</v>
      </c>
      <c r="AZ100" s="21">
        <v>361.18200000000002</v>
      </c>
      <c r="BA100" s="21">
        <v>-1.7898600000000001E-2</v>
      </c>
      <c r="BB100" s="21">
        <v>90</v>
      </c>
      <c r="BC100" s="21">
        <v>0.35250900000000002</v>
      </c>
      <c r="BD100">
        <f t="shared" si="22"/>
        <v>17.898600000000002</v>
      </c>
      <c r="BE100">
        <f t="shared" si="23"/>
        <v>6.3225193626000014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1.2918099999999999</v>
      </c>
      <c r="H101" s="21">
        <v>27.1676</v>
      </c>
      <c r="I101" s="21">
        <v>-1.7453E-2</v>
      </c>
      <c r="J101" s="21">
        <v>91</v>
      </c>
      <c r="K101" s="21">
        <v>1.2915000000000001</v>
      </c>
      <c r="L101">
        <f t="shared" si="12"/>
        <v>17.452999999999999</v>
      </c>
      <c r="M101">
        <f t="shared" si="13"/>
        <v>22.545959929999999</v>
      </c>
      <c r="N101" s="9"/>
      <c r="O101" s="21">
        <v>0.35827599999999998</v>
      </c>
      <c r="P101" s="21">
        <v>98.927800000000005</v>
      </c>
      <c r="Q101" s="21">
        <v>-1.7935199999999998E-2</v>
      </c>
      <c r="R101" s="21">
        <v>91</v>
      </c>
      <c r="S101" s="21">
        <v>0.35787999999999998</v>
      </c>
      <c r="T101">
        <f t="shared" si="14"/>
        <v>17.935199999999998</v>
      </c>
      <c r="U101">
        <f t="shared" si="15"/>
        <v>6.4257517151999988</v>
      </c>
      <c r="X101" s="9"/>
      <c r="Y101" s="21">
        <v>1.2918099999999999</v>
      </c>
      <c r="Z101" s="21">
        <v>166.60300000000001</v>
      </c>
      <c r="AA101" s="21">
        <v>-1.7434700000000001E-2</v>
      </c>
      <c r="AB101" s="21">
        <v>91</v>
      </c>
      <c r="AC101" s="21">
        <v>1.2911999999999999</v>
      </c>
      <c r="AD101">
        <f t="shared" si="16"/>
        <v>17.434699999999999</v>
      </c>
      <c r="AE101">
        <f t="shared" si="17"/>
        <v>22.522319806999999</v>
      </c>
      <c r="AF101" s="9"/>
      <c r="AG101" s="21">
        <v>0.35827599999999998</v>
      </c>
      <c r="AH101" s="21">
        <v>233.148</v>
      </c>
      <c r="AI101" s="21">
        <v>-1.7923000000000001E-2</v>
      </c>
      <c r="AJ101" s="21">
        <v>91</v>
      </c>
      <c r="AK101" s="21">
        <v>0.35784899999999997</v>
      </c>
      <c r="AL101">
        <f t="shared" si="18"/>
        <v>17.923000000000002</v>
      </c>
      <c r="AM101">
        <f t="shared" si="19"/>
        <v>6.4213807480000007</v>
      </c>
      <c r="AP101" s="9"/>
      <c r="AQ101" s="21">
        <v>1.2918099999999999</v>
      </c>
      <c r="AR101" s="21">
        <v>290.85300000000001</v>
      </c>
      <c r="AS101" s="21">
        <v>-1.74255E-2</v>
      </c>
      <c r="AT101" s="21">
        <v>91</v>
      </c>
      <c r="AU101" s="21">
        <v>1.2911999999999999</v>
      </c>
      <c r="AV101">
        <f t="shared" si="20"/>
        <v>17.4255</v>
      </c>
      <c r="AW101">
        <f t="shared" si="21"/>
        <v>22.510435154999996</v>
      </c>
      <c r="AX101" s="9"/>
      <c r="AY101" s="21">
        <v>0.35827599999999998</v>
      </c>
      <c r="AZ101" s="21">
        <v>361.28300000000002</v>
      </c>
      <c r="BA101" s="21">
        <v>-1.7892499999999999E-2</v>
      </c>
      <c r="BB101" s="21">
        <v>91</v>
      </c>
      <c r="BC101" s="21">
        <v>0.35754399999999997</v>
      </c>
      <c r="BD101">
        <f t="shared" si="22"/>
        <v>17.892499999999998</v>
      </c>
      <c r="BE101">
        <f t="shared" si="23"/>
        <v>6.4104533299999993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1.28677</v>
      </c>
      <c r="H102" s="21">
        <v>27.2683</v>
      </c>
      <c r="I102" s="21">
        <v>-1.7456099999999999E-2</v>
      </c>
      <c r="J102" s="21">
        <v>92</v>
      </c>
      <c r="K102" s="21">
        <v>1.2860100000000001</v>
      </c>
      <c r="L102">
        <f t="shared" si="12"/>
        <v>17.456099999999999</v>
      </c>
      <c r="M102">
        <f t="shared" si="13"/>
        <v>22.461985796999997</v>
      </c>
      <c r="N102" s="9"/>
      <c r="O102" s="21">
        <v>0.36331200000000002</v>
      </c>
      <c r="P102" s="21">
        <v>99.028499999999994</v>
      </c>
      <c r="Q102" s="21">
        <v>-1.7935199999999998E-2</v>
      </c>
      <c r="R102" s="21">
        <v>92</v>
      </c>
      <c r="S102" s="21">
        <v>0.36267100000000002</v>
      </c>
      <c r="T102">
        <f t="shared" si="14"/>
        <v>17.935199999999998</v>
      </c>
      <c r="U102">
        <f t="shared" si="15"/>
        <v>6.5160733824000001</v>
      </c>
      <c r="X102" s="9"/>
      <c r="Y102" s="21">
        <v>1.28677</v>
      </c>
      <c r="Z102" s="21">
        <v>166.70400000000001</v>
      </c>
      <c r="AA102" s="21">
        <v>-1.74377E-2</v>
      </c>
      <c r="AB102" s="21">
        <v>92</v>
      </c>
      <c r="AC102" s="21">
        <v>1.2866200000000001</v>
      </c>
      <c r="AD102">
        <f t="shared" si="16"/>
        <v>17.4377</v>
      </c>
      <c r="AE102">
        <f t="shared" si="17"/>
        <v>22.438309228999998</v>
      </c>
      <c r="AF102" s="9"/>
      <c r="AG102" s="21">
        <v>0.36331200000000002</v>
      </c>
      <c r="AH102" s="21">
        <v>233.249</v>
      </c>
      <c r="AI102" s="21">
        <v>-1.7916899999999999E-2</v>
      </c>
      <c r="AJ102" s="21">
        <v>92</v>
      </c>
      <c r="AK102" s="21">
        <v>0.36282300000000001</v>
      </c>
      <c r="AL102">
        <f t="shared" si="18"/>
        <v>17.916899999999998</v>
      </c>
      <c r="AM102">
        <f t="shared" si="19"/>
        <v>6.5094247728000001</v>
      </c>
      <c r="AP102" s="9"/>
      <c r="AQ102" s="21">
        <v>1.28677</v>
      </c>
      <c r="AR102" s="21">
        <v>290.95400000000001</v>
      </c>
      <c r="AS102" s="21">
        <v>-1.74255E-2</v>
      </c>
      <c r="AT102" s="21">
        <v>92</v>
      </c>
      <c r="AU102" s="21">
        <v>1.2863199999999999</v>
      </c>
      <c r="AV102">
        <f t="shared" si="20"/>
        <v>17.4255</v>
      </c>
      <c r="AW102">
        <f t="shared" si="21"/>
        <v>22.422610634999998</v>
      </c>
      <c r="AX102" s="9"/>
      <c r="AY102" s="21">
        <v>0.36331200000000002</v>
      </c>
      <c r="AZ102" s="21">
        <v>361.38400000000001</v>
      </c>
      <c r="BA102" s="21">
        <v>-1.78894E-2</v>
      </c>
      <c r="BB102" s="21">
        <v>92</v>
      </c>
      <c r="BC102" s="21">
        <v>0.36285400000000001</v>
      </c>
      <c r="BD102">
        <f t="shared" si="22"/>
        <v>17.889399999999998</v>
      </c>
      <c r="BE102">
        <f t="shared" si="23"/>
        <v>6.4994336928000003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1.2817400000000001</v>
      </c>
      <c r="H103" s="21">
        <v>27.369</v>
      </c>
      <c r="I103" s="21">
        <v>-1.7462200000000001E-2</v>
      </c>
      <c r="J103" s="21">
        <v>93</v>
      </c>
      <c r="K103" s="21">
        <v>1.2808200000000001</v>
      </c>
      <c r="L103">
        <f t="shared" si="12"/>
        <v>17.462199999999999</v>
      </c>
      <c r="M103">
        <f t="shared" si="13"/>
        <v>22.382000228000003</v>
      </c>
      <c r="N103" s="9"/>
      <c r="O103" s="21">
        <v>0.36834699999999998</v>
      </c>
      <c r="P103" s="21">
        <v>99.129199999999997</v>
      </c>
      <c r="Q103" s="21">
        <v>-1.7935199999999998E-2</v>
      </c>
      <c r="R103" s="21">
        <v>93</v>
      </c>
      <c r="S103" s="21">
        <v>0.36849999999999999</v>
      </c>
      <c r="T103">
        <f t="shared" si="14"/>
        <v>17.935199999999998</v>
      </c>
      <c r="U103">
        <f t="shared" si="15"/>
        <v>6.606377114399999</v>
      </c>
      <c r="X103" s="9"/>
      <c r="Y103" s="21">
        <v>1.2817400000000001</v>
      </c>
      <c r="Z103" s="21">
        <v>166.804</v>
      </c>
      <c r="AA103" s="21">
        <v>-1.7434700000000001E-2</v>
      </c>
      <c r="AB103" s="21">
        <v>93</v>
      </c>
      <c r="AC103" s="21">
        <v>1.2811300000000001</v>
      </c>
      <c r="AD103">
        <f t="shared" si="16"/>
        <v>17.434699999999999</v>
      </c>
      <c r="AE103">
        <f t="shared" si="17"/>
        <v>22.346752378000001</v>
      </c>
      <c r="AF103" s="9"/>
      <c r="AG103" s="21">
        <v>0.36834699999999998</v>
      </c>
      <c r="AH103" s="21">
        <v>233.34899999999999</v>
      </c>
      <c r="AI103" s="21">
        <v>-1.7919899999999999E-2</v>
      </c>
      <c r="AJ103" s="21">
        <v>93</v>
      </c>
      <c r="AK103" s="21">
        <v>0.36795</v>
      </c>
      <c r="AL103">
        <f t="shared" si="18"/>
        <v>17.919899999999998</v>
      </c>
      <c r="AM103">
        <f t="shared" si="19"/>
        <v>6.6007414052999991</v>
      </c>
      <c r="AP103" s="9"/>
      <c r="AQ103" s="21">
        <v>1.2817400000000001</v>
      </c>
      <c r="AR103" s="21">
        <v>291.05399999999997</v>
      </c>
      <c r="AS103" s="21">
        <v>-1.7428599999999999E-2</v>
      </c>
      <c r="AT103" s="21">
        <v>93</v>
      </c>
      <c r="AU103" s="21">
        <v>1.2811300000000001</v>
      </c>
      <c r="AV103">
        <f t="shared" si="20"/>
        <v>17.428599999999999</v>
      </c>
      <c r="AW103">
        <f t="shared" si="21"/>
        <v>22.338933764</v>
      </c>
      <c r="AX103" s="9"/>
      <c r="AY103" s="21">
        <v>0.36834699999999998</v>
      </c>
      <c r="AZ103" s="21">
        <v>361.48399999999998</v>
      </c>
      <c r="BA103" s="21">
        <v>-1.7892499999999999E-2</v>
      </c>
      <c r="BB103" s="21">
        <v>93</v>
      </c>
      <c r="BC103" s="21">
        <v>0.36782799999999999</v>
      </c>
      <c r="BD103">
        <f t="shared" si="22"/>
        <v>17.892499999999998</v>
      </c>
      <c r="BE103">
        <f t="shared" si="23"/>
        <v>6.5906486974999989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1.2766999999999999</v>
      </c>
      <c r="H104" s="21">
        <v>27.4697</v>
      </c>
      <c r="I104" s="21">
        <v>-1.7462200000000001E-2</v>
      </c>
      <c r="J104" s="21">
        <v>94</v>
      </c>
      <c r="K104" s="21">
        <v>1.2759400000000001</v>
      </c>
      <c r="L104">
        <f t="shared" si="12"/>
        <v>17.462199999999999</v>
      </c>
      <c r="M104">
        <f t="shared" si="13"/>
        <v>22.293990739999998</v>
      </c>
      <c r="N104" s="9"/>
      <c r="O104" s="21">
        <v>0.37338300000000002</v>
      </c>
      <c r="P104" s="21">
        <v>99.229900000000001</v>
      </c>
      <c r="Q104" s="21">
        <v>-1.7932099999999999E-2</v>
      </c>
      <c r="R104" s="21">
        <v>94</v>
      </c>
      <c r="S104" s="21">
        <v>0.373444</v>
      </c>
      <c r="T104">
        <f t="shared" si="14"/>
        <v>17.932099999999998</v>
      </c>
      <c r="U104">
        <f t="shared" si="15"/>
        <v>6.6955412942999999</v>
      </c>
      <c r="X104" s="9"/>
      <c r="Y104" s="21">
        <v>1.2766999999999999</v>
      </c>
      <c r="Z104" s="21">
        <v>166.905</v>
      </c>
      <c r="AA104" s="21">
        <v>-1.7443799999999999E-2</v>
      </c>
      <c r="AB104" s="21">
        <v>94</v>
      </c>
      <c r="AC104" s="21">
        <v>1.2765500000000001</v>
      </c>
      <c r="AD104">
        <f t="shared" si="16"/>
        <v>17.4438</v>
      </c>
      <c r="AE104">
        <f t="shared" si="17"/>
        <v>22.27049946</v>
      </c>
      <c r="AF104" s="9"/>
      <c r="AG104" s="21">
        <v>0.37338300000000002</v>
      </c>
      <c r="AH104" s="21">
        <v>233.45</v>
      </c>
      <c r="AI104" s="21">
        <v>-1.7916899999999999E-2</v>
      </c>
      <c r="AJ104" s="21">
        <v>94</v>
      </c>
      <c r="AK104" s="21">
        <v>0.37298599999999998</v>
      </c>
      <c r="AL104">
        <f t="shared" si="18"/>
        <v>17.916899999999998</v>
      </c>
      <c r="AM104">
        <f t="shared" si="19"/>
        <v>6.6898658726999995</v>
      </c>
      <c r="AP104" s="9"/>
      <c r="AQ104" s="21">
        <v>1.2766999999999999</v>
      </c>
      <c r="AR104" s="21">
        <v>291.15499999999997</v>
      </c>
      <c r="AS104" s="21">
        <v>-1.7434700000000001E-2</v>
      </c>
      <c r="AT104" s="21">
        <v>94</v>
      </c>
      <c r="AU104" s="21">
        <v>1.2762500000000001</v>
      </c>
      <c r="AV104">
        <f t="shared" si="20"/>
        <v>17.434699999999999</v>
      </c>
      <c r="AW104">
        <f t="shared" si="21"/>
        <v>22.258881489999997</v>
      </c>
      <c r="AX104" s="9"/>
      <c r="AY104" s="21">
        <v>0.37338300000000002</v>
      </c>
      <c r="AZ104" s="21">
        <v>361.58499999999998</v>
      </c>
      <c r="BA104" s="21">
        <v>-1.78864E-2</v>
      </c>
      <c r="BB104" s="21">
        <v>94</v>
      </c>
      <c r="BC104" s="21">
        <v>0.37283300000000003</v>
      </c>
      <c r="BD104">
        <f t="shared" si="22"/>
        <v>17.886400000000002</v>
      </c>
      <c r="BE104">
        <f t="shared" si="23"/>
        <v>6.6784776912000012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1.2716700000000001</v>
      </c>
      <c r="H105" s="21">
        <v>27.570499999999999</v>
      </c>
      <c r="I105" s="21">
        <v>-1.7468299999999999E-2</v>
      </c>
      <c r="J105" s="21">
        <v>95</v>
      </c>
      <c r="K105" s="21">
        <v>1.2710600000000001</v>
      </c>
      <c r="L105">
        <f t="shared" si="12"/>
        <v>17.468299999999999</v>
      </c>
      <c r="M105">
        <f t="shared" si="13"/>
        <v>22.213913061</v>
      </c>
      <c r="N105" s="9"/>
      <c r="O105" s="21">
        <v>0.37841799999999998</v>
      </c>
      <c r="P105" s="21">
        <v>99.330600000000004</v>
      </c>
      <c r="Q105" s="21">
        <v>-1.7926000000000001E-2</v>
      </c>
      <c r="R105" s="21">
        <v>95</v>
      </c>
      <c r="S105" s="21">
        <v>0.378052</v>
      </c>
      <c r="T105">
        <f t="shared" si="14"/>
        <v>17.926000000000002</v>
      </c>
      <c r="U105">
        <f t="shared" si="15"/>
        <v>6.7835210680000007</v>
      </c>
      <c r="X105" s="9"/>
      <c r="Y105" s="21">
        <v>1.2716700000000001</v>
      </c>
      <c r="Z105" s="21">
        <v>167.006</v>
      </c>
      <c r="AA105" s="21">
        <v>-1.7440799999999999E-2</v>
      </c>
      <c r="AB105" s="21">
        <v>95</v>
      </c>
      <c r="AC105" s="21">
        <v>1.2704500000000001</v>
      </c>
      <c r="AD105">
        <f t="shared" si="16"/>
        <v>17.440799999999999</v>
      </c>
      <c r="AE105">
        <f t="shared" si="17"/>
        <v>22.178942136</v>
      </c>
      <c r="AF105" s="9"/>
      <c r="AG105" s="21">
        <v>0.37841799999999998</v>
      </c>
      <c r="AH105" s="21">
        <v>233.55099999999999</v>
      </c>
      <c r="AI105" s="21">
        <v>-1.7916899999999999E-2</v>
      </c>
      <c r="AJ105" s="21">
        <v>95</v>
      </c>
      <c r="AK105" s="21">
        <v>0.37799100000000002</v>
      </c>
      <c r="AL105">
        <f t="shared" si="18"/>
        <v>17.916899999999998</v>
      </c>
      <c r="AM105">
        <f t="shared" si="19"/>
        <v>6.7800774641999988</v>
      </c>
      <c r="AP105" s="9"/>
      <c r="AQ105" s="21">
        <v>1.2716700000000001</v>
      </c>
      <c r="AR105" s="21">
        <v>291.25599999999997</v>
      </c>
      <c r="AS105" s="21">
        <v>-1.7434700000000001E-2</v>
      </c>
      <c r="AT105" s="21">
        <v>95</v>
      </c>
      <c r="AU105" s="21">
        <v>1.2704500000000001</v>
      </c>
      <c r="AV105">
        <f t="shared" si="20"/>
        <v>17.434699999999999</v>
      </c>
      <c r="AW105">
        <f t="shared" si="21"/>
        <v>22.171184949000001</v>
      </c>
      <c r="AX105" s="9"/>
      <c r="AY105" s="21">
        <v>0.37841799999999998</v>
      </c>
      <c r="AZ105" s="21">
        <v>361.68599999999998</v>
      </c>
      <c r="BA105" s="21">
        <v>-1.78864E-2</v>
      </c>
      <c r="BB105" s="21">
        <v>95</v>
      </c>
      <c r="BC105" s="21">
        <v>0.37792999999999999</v>
      </c>
      <c r="BD105">
        <f t="shared" si="22"/>
        <v>17.886400000000002</v>
      </c>
      <c r="BE105">
        <f t="shared" si="23"/>
        <v>6.7685357152000005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1.2666299999999999</v>
      </c>
      <c r="H106" s="21">
        <v>27.671199999999999</v>
      </c>
      <c r="I106" s="21">
        <v>-1.74652E-2</v>
      </c>
      <c r="J106" s="21">
        <v>96</v>
      </c>
      <c r="K106" s="21">
        <v>1.26556</v>
      </c>
      <c r="L106">
        <f t="shared" si="12"/>
        <v>17.465199999999999</v>
      </c>
      <c r="M106">
        <f t="shared" si="13"/>
        <v>22.121946275999999</v>
      </c>
      <c r="N106" s="9"/>
      <c r="O106" s="21">
        <v>0.38345299999999999</v>
      </c>
      <c r="P106" s="21">
        <v>99.431299999999993</v>
      </c>
      <c r="Q106" s="21">
        <v>-1.7923000000000001E-2</v>
      </c>
      <c r="R106" s="21">
        <v>96</v>
      </c>
      <c r="S106" s="21">
        <v>0.38327</v>
      </c>
      <c r="T106">
        <f t="shared" si="14"/>
        <v>17.923000000000002</v>
      </c>
      <c r="U106">
        <f t="shared" si="15"/>
        <v>6.8726281190000007</v>
      </c>
      <c r="X106" s="9"/>
      <c r="Y106" s="21">
        <v>1.2666299999999999</v>
      </c>
      <c r="Z106" s="21">
        <v>167.10599999999999</v>
      </c>
      <c r="AA106" s="21">
        <v>-1.745E-2</v>
      </c>
      <c r="AB106" s="21">
        <v>96</v>
      </c>
      <c r="AC106" s="21">
        <v>1.2658700000000001</v>
      </c>
      <c r="AD106">
        <f t="shared" si="16"/>
        <v>17.45</v>
      </c>
      <c r="AE106">
        <f t="shared" si="17"/>
        <v>22.102693499999997</v>
      </c>
      <c r="AF106" s="9"/>
      <c r="AG106" s="21">
        <v>0.38345299999999999</v>
      </c>
      <c r="AH106" s="21">
        <v>233.65100000000001</v>
      </c>
      <c r="AI106" s="21">
        <v>-1.7916899999999999E-2</v>
      </c>
      <c r="AJ106" s="21">
        <v>96</v>
      </c>
      <c r="AK106" s="21">
        <v>0.38290400000000002</v>
      </c>
      <c r="AL106">
        <f t="shared" si="18"/>
        <v>17.916899999999998</v>
      </c>
      <c r="AM106">
        <f t="shared" si="19"/>
        <v>6.8702890556999989</v>
      </c>
      <c r="AP106" s="9"/>
      <c r="AQ106" s="21">
        <v>1.2666299999999999</v>
      </c>
      <c r="AR106" s="21">
        <v>291.35599999999999</v>
      </c>
      <c r="AS106" s="21">
        <v>-1.74377E-2</v>
      </c>
      <c r="AT106" s="21">
        <v>96</v>
      </c>
      <c r="AU106" s="21">
        <v>1.2652600000000001</v>
      </c>
      <c r="AV106">
        <f t="shared" si="20"/>
        <v>17.4377</v>
      </c>
      <c r="AW106">
        <f t="shared" si="21"/>
        <v>22.087113950999999</v>
      </c>
      <c r="AX106" s="9"/>
      <c r="AY106" s="21">
        <v>0.38345299999999999</v>
      </c>
      <c r="AZ106" s="21">
        <v>361.786</v>
      </c>
      <c r="BA106" s="21">
        <v>-1.7883300000000001E-2</v>
      </c>
      <c r="BB106" s="21">
        <v>96</v>
      </c>
      <c r="BC106" s="21">
        <v>0.38281300000000001</v>
      </c>
      <c r="BD106">
        <f t="shared" si="22"/>
        <v>17.883300000000002</v>
      </c>
      <c r="BE106">
        <f t="shared" si="23"/>
        <v>6.8574050349000002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1.2616000000000001</v>
      </c>
      <c r="H107" s="21">
        <v>27.771899999999999</v>
      </c>
      <c r="I107" s="21">
        <v>-1.7474400000000001E-2</v>
      </c>
      <c r="J107" s="21">
        <v>97</v>
      </c>
      <c r="K107" s="21">
        <v>1.2603800000000001</v>
      </c>
      <c r="L107">
        <f t="shared" si="12"/>
        <v>17.474400000000003</v>
      </c>
      <c r="M107">
        <f t="shared" si="13"/>
        <v>22.045703040000003</v>
      </c>
      <c r="N107" s="9"/>
      <c r="O107" s="21">
        <v>0.38848899999999997</v>
      </c>
      <c r="P107" s="21">
        <v>99.531999999999996</v>
      </c>
      <c r="Q107" s="21">
        <v>-1.7919899999999999E-2</v>
      </c>
      <c r="R107" s="21">
        <v>97</v>
      </c>
      <c r="S107" s="21">
        <v>0.38809199999999999</v>
      </c>
      <c r="T107">
        <f t="shared" si="14"/>
        <v>17.919899999999998</v>
      </c>
      <c r="U107">
        <f t="shared" si="15"/>
        <v>6.961684031099999</v>
      </c>
      <c r="X107" s="9"/>
      <c r="Y107" s="21">
        <v>1.2616000000000001</v>
      </c>
      <c r="Z107" s="21">
        <v>167.20699999999999</v>
      </c>
      <c r="AA107" s="21">
        <v>-1.7456099999999999E-2</v>
      </c>
      <c r="AB107" s="21">
        <v>97</v>
      </c>
      <c r="AC107" s="21">
        <v>1.26068</v>
      </c>
      <c r="AD107">
        <f t="shared" si="16"/>
        <v>17.456099999999999</v>
      </c>
      <c r="AE107">
        <f t="shared" si="17"/>
        <v>22.022615760000001</v>
      </c>
      <c r="AF107" s="9"/>
      <c r="AG107" s="21">
        <v>0.38848899999999997</v>
      </c>
      <c r="AH107" s="21">
        <v>233.75200000000001</v>
      </c>
      <c r="AI107" s="21">
        <v>-1.7916899999999999E-2</v>
      </c>
      <c r="AJ107" s="21">
        <v>97</v>
      </c>
      <c r="AK107" s="21">
        <v>0.38806200000000002</v>
      </c>
      <c r="AL107">
        <f t="shared" si="18"/>
        <v>17.916899999999998</v>
      </c>
      <c r="AM107">
        <f t="shared" si="19"/>
        <v>6.9605185640999991</v>
      </c>
      <c r="AP107" s="9"/>
      <c r="AQ107" s="21">
        <v>1.2616000000000001</v>
      </c>
      <c r="AR107" s="21">
        <v>291.45699999999999</v>
      </c>
      <c r="AS107" s="21">
        <v>-1.7443799999999999E-2</v>
      </c>
      <c r="AT107" s="21">
        <v>97</v>
      </c>
      <c r="AU107" s="21">
        <v>1.26068</v>
      </c>
      <c r="AV107">
        <f t="shared" si="20"/>
        <v>17.4438</v>
      </c>
      <c r="AW107">
        <f t="shared" si="21"/>
        <v>22.007098079999999</v>
      </c>
      <c r="AX107" s="9"/>
      <c r="AY107" s="21">
        <v>0.38848899999999997</v>
      </c>
      <c r="AZ107" s="21">
        <v>361.887</v>
      </c>
      <c r="BA107" s="21">
        <v>-1.7880199999999999E-2</v>
      </c>
      <c r="BB107" s="21">
        <v>97</v>
      </c>
      <c r="BC107" s="21">
        <v>0.38793899999999998</v>
      </c>
      <c r="BD107">
        <f t="shared" si="22"/>
        <v>17.880199999999999</v>
      </c>
      <c r="BE107">
        <f t="shared" si="23"/>
        <v>6.9462610177999986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1.2565599999999999</v>
      </c>
      <c r="H108" s="21">
        <v>27.872599999999998</v>
      </c>
      <c r="I108" s="21">
        <v>-1.74805E-2</v>
      </c>
      <c r="J108" s="21">
        <v>98</v>
      </c>
      <c r="K108" s="21">
        <v>1.2561</v>
      </c>
      <c r="L108">
        <f t="shared" si="12"/>
        <v>17.480499999999999</v>
      </c>
      <c r="M108">
        <f t="shared" si="13"/>
        <v>21.965297079999996</v>
      </c>
      <c r="N108" s="9"/>
      <c r="O108" s="21">
        <v>0.39352399999999998</v>
      </c>
      <c r="P108" s="21">
        <v>99.6327</v>
      </c>
      <c r="Q108" s="21">
        <v>-1.7923000000000001E-2</v>
      </c>
      <c r="R108" s="21">
        <v>98</v>
      </c>
      <c r="S108" s="21">
        <v>0.39279199999999997</v>
      </c>
      <c r="T108">
        <f t="shared" si="14"/>
        <v>17.923000000000002</v>
      </c>
      <c r="U108">
        <f t="shared" si="15"/>
        <v>7.0531306520000001</v>
      </c>
      <c r="X108" s="9"/>
      <c r="Y108" s="21">
        <v>1.2565599999999999</v>
      </c>
      <c r="Z108" s="21">
        <v>167.30799999999999</v>
      </c>
      <c r="AA108" s="21">
        <v>-1.7456099999999999E-2</v>
      </c>
      <c r="AB108" s="21">
        <v>98</v>
      </c>
      <c r="AC108" s="21">
        <v>1.2558</v>
      </c>
      <c r="AD108">
        <f t="shared" si="16"/>
        <v>17.456099999999999</v>
      </c>
      <c r="AE108">
        <f t="shared" si="17"/>
        <v>21.934637015999996</v>
      </c>
      <c r="AF108" s="9"/>
      <c r="AG108" s="21">
        <v>0.39352399999999998</v>
      </c>
      <c r="AH108" s="21">
        <v>233.85300000000001</v>
      </c>
      <c r="AI108" s="21">
        <v>-1.7910800000000001E-2</v>
      </c>
      <c r="AJ108" s="21">
        <v>98</v>
      </c>
      <c r="AK108" s="21">
        <v>0.39389000000000002</v>
      </c>
      <c r="AL108">
        <f t="shared" si="18"/>
        <v>17.910800000000002</v>
      </c>
      <c r="AM108">
        <f t="shared" si="19"/>
        <v>7.0483296592000002</v>
      </c>
      <c r="AP108" s="9"/>
      <c r="AQ108" s="21">
        <v>1.2565599999999999</v>
      </c>
      <c r="AR108" s="21">
        <v>291.55799999999999</v>
      </c>
      <c r="AS108" s="21">
        <v>-1.7443799999999999E-2</v>
      </c>
      <c r="AT108" s="21">
        <v>98</v>
      </c>
      <c r="AU108" s="21">
        <v>1.2558</v>
      </c>
      <c r="AV108">
        <f t="shared" si="20"/>
        <v>17.4438</v>
      </c>
      <c r="AW108">
        <f t="shared" si="21"/>
        <v>21.919181327999997</v>
      </c>
      <c r="AX108" s="9"/>
      <c r="AY108" s="21">
        <v>0.39352399999999998</v>
      </c>
      <c r="AZ108" s="21">
        <v>361.988</v>
      </c>
      <c r="BA108" s="21">
        <v>-1.7871100000000001E-2</v>
      </c>
      <c r="BB108" s="21">
        <v>98</v>
      </c>
      <c r="BC108" s="21">
        <v>0.39300499999999999</v>
      </c>
      <c r="BD108">
        <f t="shared" si="22"/>
        <v>17.871100000000002</v>
      </c>
      <c r="BE108">
        <f t="shared" si="23"/>
        <v>7.0327067564000005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1.25153</v>
      </c>
      <c r="H109" s="21">
        <v>27.973299999999998</v>
      </c>
      <c r="I109" s="21">
        <v>-1.74805E-2</v>
      </c>
      <c r="J109" s="21">
        <v>99</v>
      </c>
      <c r="K109" s="21">
        <v>1.25153</v>
      </c>
      <c r="L109">
        <f t="shared" si="12"/>
        <v>17.480499999999999</v>
      </c>
      <c r="M109">
        <f t="shared" si="13"/>
        <v>21.877370164999999</v>
      </c>
      <c r="N109" s="9"/>
      <c r="O109" s="21">
        <v>0.39856000000000003</v>
      </c>
      <c r="P109" s="21">
        <v>99.733400000000003</v>
      </c>
      <c r="Q109" s="21">
        <v>-1.7916899999999999E-2</v>
      </c>
      <c r="R109" s="21">
        <v>99</v>
      </c>
      <c r="S109" s="21">
        <v>0.39898699999999998</v>
      </c>
      <c r="T109">
        <f t="shared" si="14"/>
        <v>17.916899999999998</v>
      </c>
      <c r="U109">
        <f t="shared" si="15"/>
        <v>7.1409596639999995</v>
      </c>
      <c r="X109" s="9"/>
      <c r="Y109" s="21">
        <v>1.25153</v>
      </c>
      <c r="Z109" s="21">
        <v>167.40899999999999</v>
      </c>
      <c r="AA109" s="21">
        <v>-1.7468299999999999E-2</v>
      </c>
      <c r="AB109" s="21">
        <v>99</v>
      </c>
      <c r="AC109" s="21">
        <v>1.25061</v>
      </c>
      <c r="AD109">
        <f t="shared" si="16"/>
        <v>17.468299999999999</v>
      </c>
      <c r="AE109">
        <f t="shared" si="17"/>
        <v>21.862101499000001</v>
      </c>
      <c r="AF109" s="9"/>
      <c r="AG109" s="21">
        <v>0.39856000000000003</v>
      </c>
      <c r="AH109" s="21">
        <v>233.95400000000001</v>
      </c>
      <c r="AI109" s="21">
        <v>-1.7907699999999999E-2</v>
      </c>
      <c r="AJ109" s="21">
        <v>99</v>
      </c>
      <c r="AK109" s="21">
        <v>0.397949</v>
      </c>
      <c r="AL109">
        <f t="shared" si="18"/>
        <v>17.907699999999998</v>
      </c>
      <c r="AM109">
        <f t="shared" si="19"/>
        <v>7.1372929119999995</v>
      </c>
      <c r="AP109" s="9"/>
      <c r="AQ109" s="21">
        <v>1.25153</v>
      </c>
      <c r="AR109" s="21">
        <v>291.65800000000002</v>
      </c>
      <c r="AS109" s="21">
        <v>-1.7446900000000001E-2</v>
      </c>
      <c r="AT109" s="21">
        <v>99</v>
      </c>
      <c r="AU109" s="21">
        <v>1.25061</v>
      </c>
      <c r="AV109">
        <f t="shared" si="20"/>
        <v>17.446900000000003</v>
      </c>
      <c r="AW109">
        <f t="shared" si="21"/>
        <v>21.835318757000003</v>
      </c>
      <c r="AX109" s="9"/>
      <c r="AY109" s="21">
        <v>0.39856000000000003</v>
      </c>
      <c r="AZ109" s="21">
        <v>362.089</v>
      </c>
      <c r="BA109" s="21">
        <v>-1.78741E-2</v>
      </c>
      <c r="BB109" s="21">
        <v>99</v>
      </c>
      <c r="BC109" s="21">
        <v>0.39807100000000001</v>
      </c>
      <c r="BD109">
        <f t="shared" si="22"/>
        <v>17.874100000000002</v>
      </c>
      <c r="BE109">
        <f t="shared" si="23"/>
        <v>7.1239012960000014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1.2464900000000001</v>
      </c>
      <c r="H110" s="21">
        <v>28.074000000000002</v>
      </c>
      <c r="I110" s="21">
        <v>-1.7483499999999999E-2</v>
      </c>
      <c r="J110" s="21">
        <v>100</v>
      </c>
      <c r="K110" s="21">
        <v>1.24542</v>
      </c>
      <c r="L110">
        <f t="shared" si="12"/>
        <v>17.483499999999999</v>
      </c>
      <c r="M110">
        <f t="shared" si="13"/>
        <v>21.793007915</v>
      </c>
      <c r="N110" s="9"/>
      <c r="O110" s="21">
        <v>0.40359499999999998</v>
      </c>
      <c r="P110" s="21">
        <v>99.834199999999996</v>
      </c>
      <c r="Q110" s="21">
        <v>-1.7919899999999999E-2</v>
      </c>
      <c r="R110" s="21">
        <v>100</v>
      </c>
      <c r="S110" s="21">
        <v>0.40295399999999998</v>
      </c>
      <c r="T110">
        <f t="shared" si="14"/>
        <v>17.919899999999998</v>
      </c>
      <c r="U110">
        <f t="shared" si="15"/>
        <v>7.2323820404999992</v>
      </c>
      <c r="X110" s="9"/>
      <c r="Y110" s="21">
        <v>1.2464900000000001</v>
      </c>
      <c r="Z110" s="21">
        <v>167.50899999999999</v>
      </c>
      <c r="AA110" s="21">
        <v>-1.74652E-2</v>
      </c>
      <c r="AB110" s="21">
        <v>100</v>
      </c>
      <c r="AC110" s="21">
        <v>1.24512</v>
      </c>
      <c r="AD110">
        <f t="shared" si="16"/>
        <v>17.465199999999999</v>
      </c>
      <c r="AE110">
        <f t="shared" si="17"/>
        <v>21.770197148000001</v>
      </c>
      <c r="AF110" s="9"/>
      <c r="AG110" s="21">
        <v>0.40359499999999998</v>
      </c>
      <c r="AH110" s="21">
        <v>234.054</v>
      </c>
      <c r="AI110" s="21">
        <v>-1.7904699999999999E-2</v>
      </c>
      <c r="AJ110" s="21">
        <v>100</v>
      </c>
      <c r="AK110" s="21">
        <v>0.403229</v>
      </c>
      <c r="AL110">
        <f t="shared" si="18"/>
        <v>17.904699999999998</v>
      </c>
      <c r="AM110">
        <f t="shared" si="19"/>
        <v>7.2262473964999989</v>
      </c>
      <c r="AP110" s="9"/>
      <c r="AQ110" s="21">
        <v>1.2464900000000001</v>
      </c>
      <c r="AR110" s="21">
        <v>291.75900000000001</v>
      </c>
      <c r="AS110" s="21">
        <v>-1.7456099999999999E-2</v>
      </c>
      <c r="AT110" s="21">
        <v>100</v>
      </c>
      <c r="AU110" s="21">
        <v>1.24603</v>
      </c>
      <c r="AV110">
        <f t="shared" si="20"/>
        <v>17.456099999999999</v>
      </c>
      <c r="AW110">
        <f t="shared" si="21"/>
        <v>21.758854089</v>
      </c>
      <c r="AX110" s="9"/>
      <c r="AY110" s="21">
        <v>0.40359499999999998</v>
      </c>
      <c r="AZ110" s="21">
        <v>362.18900000000002</v>
      </c>
      <c r="BA110" s="21">
        <v>-1.7871100000000001E-2</v>
      </c>
      <c r="BB110" s="21">
        <v>100</v>
      </c>
      <c r="BC110" s="21">
        <v>0.40313700000000002</v>
      </c>
      <c r="BD110">
        <f t="shared" si="22"/>
        <v>17.871100000000002</v>
      </c>
      <c r="BE110">
        <f t="shared" si="23"/>
        <v>7.2126866045000009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1.24146</v>
      </c>
      <c r="H111" s="21">
        <v>28.174700000000001</v>
      </c>
      <c r="I111" s="21">
        <v>-1.74805E-2</v>
      </c>
      <c r="J111" s="21">
        <v>101</v>
      </c>
      <c r="K111" s="21">
        <v>1.2408399999999999</v>
      </c>
      <c r="L111">
        <f t="shared" si="12"/>
        <v>17.480499999999999</v>
      </c>
      <c r="M111">
        <f t="shared" si="13"/>
        <v>21.701341530000001</v>
      </c>
      <c r="N111" s="9"/>
      <c r="O111" s="21">
        <v>0.40862999999999999</v>
      </c>
      <c r="P111" s="21">
        <v>99.934899999999999</v>
      </c>
      <c r="Q111" s="21">
        <v>-1.7910800000000001E-2</v>
      </c>
      <c r="R111" s="21">
        <v>101</v>
      </c>
      <c r="S111" s="21">
        <v>0.40799000000000002</v>
      </c>
      <c r="T111">
        <f t="shared" si="14"/>
        <v>17.910800000000002</v>
      </c>
      <c r="U111">
        <f t="shared" si="15"/>
        <v>7.3188902040000006</v>
      </c>
      <c r="X111" s="9"/>
      <c r="Y111" s="21">
        <v>1.24146</v>
      </c>
      <c r="Z111" s="21">
        <v>167.61</v>
      </c>
      <c r="AA111" s="21">
        <v>-1.7474400000000001E-2</v>
      </c>
      <c r="AB111" s="21">
        <v>101</v>
      </c>
      <c r="AC111" s="21">
        <v>1.24054</v>
      </c>
      <c r="AD111">
        <f t="shared" si="16"/>
        <v>17.474400000000003</v>
      </c>
      <c r="AE111">
        <f t="shared" si="17"/>
        <v>21.693768624000004</v>
      </c>
      <c r="AF111" s="9"/>
      <c r="AG111" s="21">
        <v>0.40862999999999999</v>
      </c>
      <c r="AH111" s="21">
        <v>234.155</v>
      </c>
      <c r="AI111" s="21">
        <v>-1.7907699999999999E-2</v>
      </c>
      <c r="AJ111" s="21">
        <v>101</v>
      </c>
      <c r="AK111" s="21">
        <v>0.40808100000000003</v>
      </c>
      <c r="AL111">
        <f t="shared" si="18"/>
        <v>17.907699999999998</v>
      </c>
      <c r="AM111">
        <f t="shared" si="19"/>
        <v>7.3176234509999993</v>
      </c>
      <c r="AP111" s="9"/>
      <c r="AQ111" s="21">
        <v>1.24146</v>
      </c>
      <c r="AR111" s="21">
        <v>291.86</v>
      </c>
      <c r="AS111" s="21">
        <v>-1.7459100000000002E-2</v>
      </c>
      <c r="AT111" s="21">
        <v>101</v>
      </c>
      <c r="AU111" s="21">
        <v>1.24054</v>
      </c>
      <c r="AV111">
        <f t="shared" si="20"/>
        <v>17.459100000000003</v>
      </c>
      <c r="AW111">
        <f t="shared" si="21"/>
        <v>21.674774286000005</v>
      </c>
      <c r="AX111" s="9"/>
      <c r="AY111" s="21">
        <v>0.40862999999999999</v>
      </c>
      <c r="AZ111" s="21">
        <v>362.29</v>
      </c>
      <c r="BA111" s="21">
        <v>-1.7871100000000001E-2</v>
      </c>
      <c r="BB111" s="21">
        <v>101</v>
      </c>
      <c r="BC111" s="21">
        <v>0.40808100000000003</v>
      </c>
      <c r="BD111">
        <f t="shared" si="22"/>
        <v>17.871100000000002</v>
      </c>
      <c r="BE111">
        <f t="shared" si="23"/>
        <v>7.3026675930000007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1.2364200000000001</v>
      </c>
      <c r="H112" s="21">
        <v>28.275400000000001</v>
      </c>
      <c r="I112" s="21">
        <v>-1.7489600000000001E-2</v>
      </c>
      <c r="J112" s="21">
        <v>102</v>
      </c>
      <c r="K112" s="21">
        <v>1.2359599999999999</v>
      </c>
      <c r="L112">
        <f t="shared" si="12"/>
        <v>17.489599999999999</v>
      </c>
      <c r="M112">
        <f t="shared" si="13"/>
        <v>21.624491232</v>
      </c>
      <c r="N112" s="9"/>
      <c r="O112" s="21">
        <v>0.41366599999999998</v>
      </c>
      <c r="P112" s="21">
        <v>100.036</v>
      </c>
      <c r="Q112" s="21">
        <v>-1.7907699999999999E-2</v>
      </c>
      <c r="R112" s="21">
        <v>102</v>
      </c>
      <c r="S112" s="21">
        <v>0.41339100000000001</v>
      </c>
      <c r="T112">
        <f t="shared" si="14"/>
        <v>17.907699999999998</v>
      </c>
      <c r="U112">
        <f t="shared" si="15"/>
        <v>7.4078066281999986</v>
      </c>
      <c r="X112" s="9"/>
      <c r="Y112" s="21">
        <v>1.2364200000000001</v>
      </c>
      <c r="Z112" s="21">
        <v>167.71100000000001</v>
      </c>
      <c r="AA112" s="21">
        <v>-1.7474400000000001E-2</v>
      </c>
      <c r="AB112" s="21">
        <v>102</v>
      </c>
      <c r="AC112" s="21">
        <v>1.2359599999999999</v>
      </c>
      <c r="AD112">
        <f t="shared" si="16"/>
        <v>17.474400000000003</v>
      </c>
      <c r="AE112">
        <f t="shared" si="17"/>
        <v>21.605697648000003</v>
      </c>
      <c r="AF112" s="9"/>
      <c r="AG112" s="21">
        <v>0.41366599999999998</v>
      </c>
      <c r="AH112" s="21">
        <v>234.256</v>
      </c>
      <c r="AI112" s="21">
        <v>-1.79016E-2</v>
      </c>
      <c r="AJ112" s="21">
        <v>102</v>
      </c>
      <c r="AK112" s="21">
        <v>0.41314699999999999</v>
      </c>
      <c r="AL112">
        <f t="shared" si="18"/>
        <v>17.901599999999998</v>
      </c>
      <c r="AM112">
        <f t="shared" si="19"/>
        <v>7.4052832655999987</v>
      </c>
      <c r="AP112" s="9"/>
      <c r="AQ112" s="21">
        <v>1.2364200000000001</v>
      </c>
      <c r="AR112" s="21">
        <v>291.96100000000001</v>
      </c>
      <c r="AS112" s="21">
        <v>-1.7462200000000001E-2</v>
      </c>
      <c r="AT112" s="21">
        <v>102</v>
      </c>
      <c r="AU112" s="21">
        <v>1.2359599999999999</v>
      </c>
      <c r="AV112">
        <f t="shared" si="20"/>
        <v>17.462199999999999</v>
      </c>
      <c r="AW112">
        <f t="shared" si="21"/>
        <v>21.590613324</v>
      </c>
      <c r="AX112" s="9"/>
      <c r="AY112" s="21">
        <v>0.41366599999999998</v>
      </c>
      <c r="AZ112" s="21">
        <v>362.39100000000002</v>
      </c>
      <c r="BA112" s="21">
        <v>-1.7864999999999999E-2</v>
      </c>
      <c r="BB112" s="21">
        <v>102</v>
      </c>
      <c r="BC112" s="21">
        <v>0.41317700000000002</v>
      </c>
      <c r="BD112">
        <f t="shared" si="22"/>
        <v>17.864999999999998</v>
      </c>
      <c r="BE112">
        <f t="shared" si="23"/>
        <v>7.3901430899999987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1.2313799999999999</v>
      </c>
      <c r="H113" s="21">
        <v>28.376100000000001</v>
      </c>
      <c r="I113" s="21">
        <v>-1.7489600000000001E-2</v>
      </c>
      <c r="J113" s="21">
        <v>103</v>
      </c>
      <c r="K113" s="21">
        <v>1.2307699999999999</v>
      </c>
      <c r="L113">
        <f t="shared" si="12"/>
        <v>17.489599999999999</v>
      </c>
      <c r="M113">
        <f t="shared" si="13"/>
        <v>21.536343647999999</v>
      </c>
      <c r="N113" s="9"/>
      <c r="O113" s="21">
        <v>0.41870099999999999</v>
      </c>
      <c r="P113" s="21">
        <v>100.136</v>
      </c>
      <c r="Q113" s="21">
        <v>-1.7910800000000001E-2</v>
      </c>
      <c r="R113" s="21">
        <v>103</v>
      </c>
      <c r="S113" s="21">
        <v>0.41784700000000002</v>
      </c>
      <c r="T113">
        <f t="shared" si="14"/>
        <v>17.910800000000002</v>
      </c>
      <c r="U113">
        <f t="shared" si="15"/>
        <v>7.499269870800001</v>
      </c>
      <c r="X113" s="9"/>
      <c r="Y113" s="21">
        <v>1.2313799999999999</v>
      </c>
      <c r="Z113" s="21">
        <v>167.81100000000001</v>
      </c>
      <c r="AA113" s="21">
        <v>-1.74652E-2</v>
      </c>
      <c r="AB113" s="21">
        <v>103</v>
      </c>
      <c r="AC113" s="21">
        <v>1.23047</v>
      </c>
      <c r="AD113">
        <f t="shared" si="16"/>
        <v>17.465199999999999</v>
      </c>
      <c r="AE113">
        <f t="shared" si="17"/>
        <v>21.506297975999999</v>
      </c>
      <c r="AF113" s="9"/>
      <c r="AG113" s="21">
        <v>0.41870099999999999</v>
      </c>
      <c r="AH113" s="21">
        <v>234.35599999999999</v>
      </c>
      <c r="AI113" s="21">
        <v>-1.79016E-2</v>
      </c>
      <c r="AJ113" s="21">
        <v>103</v>
      </c>
      <c r="AK113" s="21">
        <v>0.418518</v>
      </c>
      <c r="AL113">
        <f t="shared" si="18"/>
        <v>17.901599999999998</v>
      </c>
      <c r="AM113">
        <f t="shared" si="19"/>
        <v>7.4954178215999994</v>
      </c>
      <c r="AP113" s="9"/>
      <c r="AQ113" s="21">
        <v>1.2313799999999999</v>
      </c>
      <c r="AR113" s="21">
        <v>292.06099999999998</v>
      </c>
      <c r="AS113" s="21">
        <v>-1.7459100000000002E-2</v>
      </c>
      <c r="AT113" s="21">
        <v>103</v>
      </c>
      <c r="AU113" s="21">
        <v>1.23047</v>
      </c>
      <c r="AV113">
        <f t="shared" si="20"/>
        <v>17.459100000000003</v>
      </c>
      <c r="AW113">
        <f t="shared" si="21"/>
        <v>21.498786558000003</v>
      </c>
      <c r="AX113" s="9"/>
      <c r="AY113" s="21">
        <v>0.41870099999999999</v>
      </c>
      <c r="AZ113" s="21">
        <v>362.49099999999999</v>
      </c>
      <c r="BA113" s="21">
        <v>-1.7867999999999998E-2</v>
      </c>
      <c r="BB113" s="21">
        <v>103</v>
      </c>
      <c r="BC113" s="21">
        <v>0.41867100000000002</v>
      </c>
      <c r="BD113">
        <f t="shared" si="22"/>
        <v>17.867999999999999</v>
      </c>
      <c r="BE113">
        <f t="shared" si="23"/>
        <v>7.4813494679999994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1.2263500000000001</v>
      </c>
      <c r="H114" s="21">
        <v>28.476800000000001</v>
      </c>
      <c r="I114" s="21">
        <v>-1.7495699999999999E-2</v>
      </c>
      <c r="J114" s="21">
        <v>104</v>
      </c>
      <c r="K114" s="21">
        <v>1.2252799999999999</v>
      </c>
      <c r="L114">
        <f t="shared" si="12"/>
        <v>17.495699999999999</v>
      </c>
      <c r="M114">
        <f t="shared" si="13"/>
        <v>21.455851695</v>
      </c>
      <c r="N114" s="9"/>
      <c r="O114" s="21">
        <v>0.42373699999999997</v>
      </c>
      <c r="P114" s="21">
        <v>100.23699999999999</v>
      </c>
      <c r="Q114" s="21">
        <v>-1.7907699999999999E-2</v>
      </c>
      <c r="R114" s="21">
        <v>104</v>
      </c>
      <c r="S114" s="21">
        <v>0.42315700000000001</v>
      </c>
      <c r="T114">
        <f t="shared" si="14"/>
        <v>17.907699999999998</v>
      </c>
      <c r="U114">
        <f t="shared" si="15"/>
        <v>7.5881550748999986</v>
      </c>
      <c r="X114" s="9"/>
      <c r="Y114" s="21">
        <v>1.2263500000000001</v>
      </c>
      <c r="Z114" s="21">
        <v>167.91200000000001</v>
      </c>
      <c r="AA114" s="21">
        <v>-1.7474400000000001E-2</v>
      </c>
      <c r="AB114" s="21">
        <v>104</v>
      </c>
      <c r="AC114" s="21">
        <v>1.2252799999999999</v>
      </c>
      <c r="AD114">
        <f t="shared" si="16"/>
        <v>17.474400000000003</v>
      </c>
      <c r="AE114">
        <f t="shared" si="17"/>
        <v>21.429730440000004</v>
      </c>
      <c r="AF114" s="9"/>
      <c r="AG114" s="21">
        <v>0.42373699999999997</v>
      </c>
      <c r="AH114" s="21">
        <v>234.45699999999999</v>
      </c>
      <c r="AI114" s="21">
        <v>-1.7898600000000001E-2</v>
      </c>
      <c r="AJ114" s="21">
        <v>104</v>
      </c>
      <c r="AK114" s="21">
        <v>0.42321799999999998</v>
      </c>
      <c r="AL114">
        <f t="shared" si="18"/>
        <v>17.898600000000002</v>
      </c>
      <c r="AM114">
        <f t="shared" si="19"/>
        <v>7.5842990682</v>
      </c>
      <c r="AP114" s="9"/>
      <c r="AQ114" s="21">
        <v>1.2263500000000001</v>
      </c>
      <c r="AR114" s="21">
        <v>292.16199999999998</v>
      </c>
      <c r="AS114" s="21">
        <v>-1.7471299999999999E-2</v>
      </c>
      <c r="AT114" s="21">
        <v>104</v>
      </c>
      <c r="AU114" s="21">
        <v>1.2262</v>
      </c>
      <c r="AV114">
        <f t="shared" si="20"/>
        <v>17.471299999999999</v>
      </c>
      <c r="AW114">
        <f t="shared" si="21"/>
        <v>21.425928755000001</v>
      </c>
      <c r="AX114" s="9"/>
      <c r="AY114" s="21">
        <v>0.42373699999999997</v>
      </c>
      <c r="AZ114" s="21">
        <v>362.59199999999998</v>
      </c>
      <c r="BA114" s="21">
        <v>-1.7867999999999998E-2</v>
      </c>
      <c r="BB114" s="21">
        <v>104</v>
      </c>
      <c r="BC114" s="21">
        <v>0.423126</v>
      </c>
      <c r="BD114">
        <f t="shared" si="22"/>
        <v>17.867999999999999</v>
      </c>
      <c r="BE114">
        <f t="shared" si="23"/>
        <v>7.5713327159999988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1.2213099999999999</v>
      </c>
      <c r="H115" s="21">
        <v>28.577500000000001</v>
      </c>
      <c r="I115" s="21">
        <v>-1.7501800000000001E-2</v>
      </c>
      <c r="J115" s="21">
        <v>105</v>
      </c>
      <c r="K115" s="21">
        <v>1.2206999999999999</v>
      </c>
      <c r="L115">
        <f t="shared" si="12"/>
        <v>17.501800000000003</v>
      </c>
      <c r="M115">
        <f t="shared" si="13"/>
        <v>21.375123358000003</v>
      </c>
      <c r="N115" s="9"/>
      <c r="O115" s="21">
        <v>0.42877199999999999</v>
      </c>
      <c r="P115" s="21">
        <v>100.33799999999999</v>
      </c>
      <c r="Q115" s="21">
        <v>-1.79016E-2</v>
      </c>
      <c r="R115" s="21">
        <v>105</v>
      </c>
      <c r="S115" s="21">
        <v>0.428284</v>
      </c>
      <c r="T115">
        <f t="shared" si="14"/>
        <v>17.901599999999998</v>
      </c>
      <c r="U115">
        <f t="shared" si="15"/>
        <v>7.6757048351999995</v>
      </c>
      <c r="X115" s="9"/>
      <c r="Y115" s="21">
        <v>1.2213099999999999</v>
      </c>
      <c r="Z115" s="21">
        <v>168.01300000000001</v>
      </c>
      <c r="AA115" s="21">
        <v>-1.7477400000000001E-2</v>
      </c>
      <c r="AB115" s="21">
        <v>105</v>
      </c>
      <c r="AC115" s="21">
        <v>1.2219199999999999</v>
      </c>
      <c r="AD115">
        <f t="shared" si="16"/>
        <v>17.477399999999999</v>
      </c>
      <c r="AE115">
        <f t="shared" si="17"/>
        <v>21.345323393999998</v>
      </c>
      <c r="AF115" s="9"/>
      <c r="AG115" s="21">
        <v>0.42877199999999999</v>
      </c>
      <c r="AH115" s="21">
        <v>234.55799999999999</v>
      </c>
      <c r="AI115" s="21">
        <v>-1.7895500000000002E-2</v>
      </c>
      <c r="AJ115" s="21">
        <v>105</v>
      </c>
      <c r="AK115" s="21">
        <v>0.42837500000000001</v>
      </c>
      <c r="AL115">
        <f t="shared" si="18"/>
        <v>17.895500000000002</v>
      </c>
      <c r="AM115">
        <f t="shared" si="19"/>
        <v>7.6730893260000004</v>
      </c>
      <c r="AP115" s="9"/>
      <c r="AQ115" s="21">
        <v>1.2213099999999999</v>
      </c>
      <c r="AR115" s="21">
        <v>292.26299999999998</v>
      </c>
      <c r="AS115" s="21">
        <v>-1.7474400000000001E-2</v>
      </c>
      <c r="AT115" s="21">
        <v>105</v>
      </c>
      <c r="AU115" s="21">
        <v>1.2210099999999999</v>
      </c>
      <c r="AV115">
        <f t="shared" si="20"/>
        <v>17.474400000000003</v>
      </c>
      <c r="AW115">
        <f t="shared" si="21"/>
        <v>21.341659464000003</v>
      </c>
      <c r="AX115" s="9"/>
      <c r="AY115" s="21">
        <v>0.42877199999999999</v>
      </c>
      <c r="AZ115" s="21">
        <v>362.69299999999998</v>
      </c>
      <c r="BA115" s="21">
        <v>-1.7871100000000001E-2</v>
      </c>
      <c r="BB115" s="21">
        <v>105</v>
      </c>
      <c r="BC115" s="21">
        <v>0.42816199999999999</v>
      </c>
      <c r="BD115">
        <f t="shared" si="22"/>
        <v>17.871100000000002</v>
      </c>
      <c r="BE115">
        <f t="shared" si="23"/>
        <v>7.6626272892000005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1.21628</v>
      </c>
      <c r="H116" s="21">
        <v>28.6782</v>
      </c>
      <c r="I116" s="21">
        <v>-1.7498799999999998E-2</v>
      </c>
      <c r="J116" s="21">
        <v>106</v>
      </c>
      <c r="K116" s="21">
        <v>1.2152099999999999</v>
      </c>
      <c r="L116">
        <f t="shared" si="12"/>
        <v>17.498799999999999</v>
      </c>
      <c r="M116">
        <f t="shared" si="13"/>
        <v>21.283440463999998</v>
      </c>
      <c r="N116" s="9"/>
      <c r="O116" s="21">
        <v>0.433807</v>
      </c>
      <c r="P116" s="21">
        <v>100.438</v>
      </c>
      <c r="Q116" s="21">
        <v>-1.7904699999999999E-2</v>
      </c>
      <c r="R116" s="21">
        <v>106</v>
      </c>
      <c r="S116" s="21">
        <v>0.43344100000000002</v>
      </c>
      <c r="T116">
        <f t="shared" si="14"/>
        <v>17.904699999999998</v>
      </c>
      <c r="U116">
        <f t="shared" si="15"/>
        <v>7.7671841928999994</v>
      </c>
      <c r="X116" s="9"/>
      <c r="Y116" s="21">
        <v>1.21628</v>
      </c>
      <c r="Z116" s="21">
        <v>168.113</v>
      </c>
      <c r="AA116" s="21">
        <v>-1.74805E-2</v>
      </c>
      <c r="AB116" s="21">
        <v>106</v>
      </c>
      <c r="AC116" s="21">
        <v>1.2149000000000001</v>
      </c>
      <c r="AD116">
        <f t="shared" si="16"/>
        <v>17.480499999999999</v>
      </c>
      <c r="AE116">
        <f t="shared" si="17"/>
        <v>21.26118254</v>
      </c>
      <c r="AF116" s="9"/>
      <c r="AG116" s="21">
        <v>0.433807</v>
      </c>
      <c r="AH116" s="21">
        <v>234.65899999999999</v>
      </c>
      <c r="AI116" s="21">
        <v>-1.7895500000000002E-2</v>
      </c>
      <c r="AJ116" s="21">
        <v>106</v>
      </c>
      <c r="AK116" s="21">
        <v>0.43344100000000002</v>
      </c>
      <c r="AL116">
        <f t="shared" si="18"/>
        <v>17.895500000000002</v>
      </c>
      <c r="AM116">
        <f t="shared" si="19"/>
        <v>7.7631931685000009</v>
      </c>
      <c r="AP116" s="9"/>
      <c r="AQ116" s="21">
        <v>1.21628</v>
      </c>
      <c r="AR116" s="21">
        <v>292.363</v>
      </c>
      <c r="AS116" s="21">
        <v>-1.7477400000000001E-2</v>
      </c>
      <c r="AT116" s="21">
        <v>106</v>
      </c>
      <c r="AU116" s="21">
        <v>1.2155199999999999</v>
      </c>
      <c r="AV116">
        <f t="shared" si="20"/>
        <v>17.477399999999999</v>
      </c>
      <c r="AW116">
        <f t="shared" si="21"/>
        <v>21.257412072000001</v>
      </c>
      <c r="AX116" s="9"/>
      <c r="AY116" s="21">
        <v>0.433807</v>
      </c>
      <c r="AZ116" s="21">
        <v>362.79399999999998</v>
      </c>
      <c r="BA116" s="21">
        <v>-1.7864999999999999E-2</v>
      </c>
      <c r="BB116" s="21">
        <v>106</v>
      </c>
      <c r="BC116" s="21">
        <v>0.43310500000000002</v>
      </c>
      <c r="BD116">
        <f t="shared" si="22"/>
        <v>17.864999999999998</v>
      </c>
      <c r="BE116">
        <f t="shared" si="23"/>
        <v>7.7499620549999992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1.2112400000000001</v>
      </c>
      <c r="H117" s="21">
        <v>28.779</v>
      </c>
      <c r="I117" s="21">
        <v>-1.75049E-2</v>
      </c>
      <c r="J117" s="21">
        <v>107</v>
      </c>
      <c r="K117" s="21">
        <v>1.2100200000000001</v>
      </c>
      <c r="L117">
        <f t="shared" si="12"/>
        <v>17.504899999999999</v>
      </c>
      <c r="M117">
        <f t="shared" si="13"/>
        <v>21.202635076</v>
      </c>
      <c r="N117" s="9"/>
      <c r="O117" s="21">
        <v>0.43884299999999998</v>
      </c>
      <c r="P117" s="21">
        <v>100.539</v>
      </c>
      <c r="Q117" s="21">
        <v>-1.7898600000000001E-2</v>
      </c>
      <c r="R117" s="21">
        <v>107</v>
      </c>
      <c r="S117" s="21">
        <v>0.43838500000000002</v>
      </c>
      <c r="T117">
        <f t="shared" si="14"/>
        <v>17.898600000000002</v>
      </c>
      <c r="U117">
        <f t="shared" si="15"/>
        <v>7.8546753198000001</v>
      </c>
      <c r="X117" s="9"/>
      <c r="Y117" s="21">
        <v>1.2112400000000001</v>
      </c>
      <c r="Z117" s="21">
        <v>168.214</v>
      </c>
      <c r="AA117" s="21">
        <v>-1.74805E-2</v>
      </c>
      <c r="AB117" s="21">
        <v>107</v>
      </c>
      <c r="AC117" s="21">
        <v>1.2103299999999999</v>
      </c>
      <c r="AD117">
        <f t="shared" si="16"/>
        <v>17.480499999999999</v>
      </c>
      <c r="AE117">
        <f t="shared" si="17"/>
        <v>21.173080819999999</v>
      </c>
      <c r="AF117" s="9"/>
      <c r="AG117" s="21">
        <v>0.43884299999999998</v>
      </c>
      <c r="AH117" s="21">
        <v>234.75899999999999</v>
      </c>
      <c r="AI117" s="21">
        <v>-1.78894E-2</v>
      </c>
      <c r="AJ117" s="21">
        <v>107</v>
      </c>
      <c r="AK117" s="21">
        <v>0.43823200000000001</v>
      </c>
      <c r="AL117">
        <f t="shared" si="18"/>
        <v>17.889399999999998</v>
      </c>
      <c r="AM117">
        <f t="shared" si="19"/>
        <v>7.8506379641999988</v>
      </c>
      <c r="AP117" s="9"/>
      <c r="AQ117" s="21">
        <v>1.2112400000000001</v>
      </c>
      <c r="AR117" s="21">
        <v>292.464</v>
      </c>
      <c r="AS117" s="21">
        <v>-1.7483499999999999E-2</v>
      </c>
      <c r="AT117" s="21">
        <v>107</v>
      </c>
      <c r="AU117" s="21">
        <v>1.2103299999999999</v>
      </c>
      <c r="AV117">
        <f t="shared" si="20"/>
        <v>17.483499999999999</v>
      </c>
      <c r="AW117">
        <f t="shared" si="21"/>
        <v>21.176714540000003</v>
      </c>
      <c r="AX117" s="9"/>
      <c r="AY117" s="21">
        <v>0.43884299999999998</v>
      </c>
      <c r="AZ117" s="21">
        <v>362.89400000000001</v>
      </c>
      <c r="BA117" s="21">
        <v>-1.78619E-2</v>
      </c>
      <c r="BB117" s="21">
        <v>107</v>
      </c>
      <c r="BC117" s="21">
        <v>0.43820199999999998</v>
      </c>
      <c r="BD117">
        <f t="shared" si="22"/>
        <v>17.861899999999999</v>
      </c>
      <c r="BE117">
        <f t="shared" si="23"/>
        <v>7.8385697816999986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1.20621</v>
      </c>
      <c r="H118" s="21">
        <v>28.8797</v>
      </c>
      <c r="I118" s="21">
        <v>-1.75049E-2</v>
      </c>
      <c r="J118" s="21">
        <v>108</v>
      </c>
      <c r="K118" s="21">
        <v>1.2054400000000001</v>
      </c>
      <c r="L118">
        <f t="shared" si="12"/>
        <v>17.504899999999999</v>
      </c>
      <c r="M118">
        <f t="shared" si="13"/>
        <v>21.114585428999998</v>
      </c>
      <c r="N118" s="9"/>
      <c r="O118" s="21">
        <v>0.44387799999999999</v>
      </c>
      <c r="P118" s="21">
        <v>100.64</v>
      </c>
      <c r="Q118" s="21">
        <v>-1.78894E-2</v>
      </c>
      <c r="R118" s="21">
        <v>108</v>
      </c>
      <c r="S118" s="21">
        <v>0.44345099999999998</v>
      </c>
      <c r="T118">
        <f t="shared" si="14"/>
        <v>17.889399999999998</v>
      </c>
      <c r="U118">
        <f t="shared" si="15"/>
        <v>7.9407110931999991</v>
      </c>
      <c r="X118" s="9"/>
      <c r="Y118" s="21">
        <v>1.20621</v>
      </c>
      <c r="Z118" s="21">
        <v>168.315</v>
      </c>
      <c r="AA118" s="21">
        <v>-1.7486600000000001E-2</v>
      </c>
      <c r="AB118" s="21">
        <v>108</v>
      </c>
      <c r="AC118" s="21">
        <v>1.2045300000000001</v>
      </c>
      <c r="AD118">
        <f t="shared" si="16"/>
        <v>17.486600000000003</v>
      </c>
      <c r="AE118">
        <f t="shared" si="17"/>
        <v>21.092511786000003</v>
      </c>
      <c r="AF118" s="9"/>
      <c r="AG118" s="21">
        <v>0.44387799999999999</v>
      </c>
      <c r="AH118" s="21">
        <v>234.86</v>
      </c>
      <c r="AI118" s="21">
        <v>-1.78894E-2</v>
      </c>
      <c r="AJ118" s="21">
        <v>108</v>
      </c>
      <c r="AK118" s="21">
        <v>0.44341999999999998</v>
      </c>
      <c r="AL118">
        <f t="shared" si="18"/>
        <v>17.889399999999998</v>
      </c>
      <c r="AM118">
        <f t="shared" si="19"/>
        <v>7.9407110931999991</v>
      </c>
      <c r="AP118" s="9"/>
      <c r="AQ118" s="21">
        <v>1.20621</v>
      </c>
      <c r="AR118" s="21">
        <v>292.565</v>
      </c>
      <c r="AS118" s="21">
        <v>-1.7477400000000001E-2</v>
      </c>
      <c r="AT118" s="21">
        <v>108</v>
      </c>
      <c r="AU118" s="21">
        <v>1.2057500000000001</v>
      </c>
      <c r="AV118">
        <f t="shared" si="20"/>
        <v>17.477399999999999</v>
      </c>
      <c r="AW118">
        <f t="shared" si="21"/>
        <v>21.081414654</v>
      </c>
      <c r="AX118" s="9"/>
      <c r="AY118" s="21">
        <v>0.44387799999999999</v>
      </c>
      <c r="AZ118" s="21">
        <v>362.995</v>
      </c>
      <c r="BA118" s="21">
        <v>-1.78589E-2</v>
      </c>
      <c r="BB118" s="21">
        <v>108</v>
      </c>
      <c r="BC118" s="21">
        <v>0.44339000000000001</v>
      </c>
      <c r="BD118">
        <f t="shared" si="22"/>
        <v>17.858900000000002</v>
      </c>
      <c r="BE118">
        <f t="shared" si="23"/>
        <v>7.9271728142000004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1.2011700000000001</v>
      </c>
      <c r="H119" s="21">
        <v>28.980399999999999</v>
      </c>
      <c r="I119" s="21">
        <v>-1.7510999999999999E-2</v>
      </c>
      <c r="J119" s="21">
        <v>109</v>
      </c>
      <c r="K119" s="21">
        <v>1.2002600000000001</v>
      </c>
      <c r="L119">
        <f t="shared" si="12"/>
        <v>17.510999999999999</v>
      </c>
      <c r="M119">
        <f t="shared" si="13"/>
        <v>21.033687870000001</v>
      </c>
      <c r="N119" s="9"/>
      <c r="O119" s="21">
        <v>0.44891399999999998</v>
      </c>
      <c r="P119" s="21">
        <v>100.741</v>
      </c>
      <c r="Q119" s="21">
        <v>-1.7895500000000002E-2</v>
      </c>
      <c r="R119" s="21">
        <v>109</v>
      </c>
      <c r="S119" s="21">
        <v>0.44863900000000001</v>
      </c>
      <c r="T119">
        <f t="shared" si="14"/>
        <v>17.895500000000002</v>
      </c>
      <c r="U119">
        <f t="shared" si="15"/>
        <v>8.0335404869999998</v>
      </c>
      <c r="X119" s="9"/>
      <c r="Y119" s="21">
        <v>1.2011700000000001</v>
      </c>
      <c r="Z119" s="21">
        <v>168.416</v>
      </c>
      <c r="AA119" s="21">
        <v>-1.7486600000000001E-2</v>
      </c>
      <c r="AB119" s="21">
        <v>109</v>
      </c>
      <c r="AC119" s="21">
        <v>1.2008700000000001</v>
      </c>
      <c r="AD119">
        <f t="shared" si="16"/>
        <v>17.486600000000003</v>
      </c>
      <c r="AE119">
        <f t="shared" si="17"/>
        <v>21.004379322000005</v>
      </c>
      <c r="AF119" s="9"/>
      <c r="AG119" s="21">
        <v>0.44891399999999998</v>
      </c>
      <c r="AH119" s="21">
        <v>234.96100000000001</v>
      </c>
      <c r="AI119" s="21">
        <v>-1.7892499999999999E-2</v>
      </c>
      <c r="AJ119" s="21">
        <v>109</v>
      </c>
      <c r="AK119" s="21">
        <v>0.448486</v>
      </c>
      <c r="AL119">
        <f t="shared" si="18"/>
        <v>17.892499999999998</v>
      </c>
      <c r="AM119">
        <f t="shared" si="19"/>
        <v>8.0321937449999989</v>
      </c>
      <c r="AP119" s="9"/>
      <c r="AQ119" s="21">
        <v>1.2011700000000001</v>
      </c>
      <c r="AR119" s="21">
        <v>292.666</v>
      </c>
      <c r="AS119" s="21">
        <v>-1.7489600000000001E-2</v>
      </c>
      <c r="AT119" s="21">
        <v>109</v>
      </c>
      <c r="AU119" s="21">
        <v>1.1996500000000001</v>
      </c>
      <c r="AV119">
        <f t="shared" si="20"/>
        <v>17.489599999999999</v>
      </c>
      <c r="AW119">
        <f t="shared" si="21"/>
        <v>21.007982832</v>
      </c>
      <c r="AX119" s="9"/>
      <c r="AY119" s="21">
        <v>0.44891399999999998</v>
      </c>
      <c r="AZ119" s="21">
        <v>363.096</v>
      </c>
      <c r="BA119" s="21">
        <v>-1.7855800000000002E-2</v>
      </c>
      <c r="BB119" s="21">
        <v>109</v>
      </c>
      <c r="BC119" s="21">
        <v>0.44845600000000002</v>
      </c>
      <c r="BD119">
        <f t="shared" si="22"/>
        <v>17.855800000000002</v>
      </c>
      <c r="BE119">
        <f t="shared" si="23"/>
        <v>8.0157186012000015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1.19614</v>
      </c>
      <c r="H120" s="21">
        <v>29.081099999999999</v>
      </c>
      <c r="I120" s="21">
        <v>-1.7517100000000001E-2</v>
      </c>
      <c r="J120" s="21">
        <v>110</v>
      </c>
      <c r="K120" s="21">
        <v>1.19598</v>
      </c>
      <c r="L120">
        <f t="shared" si="12"/>
        <v>17.517099999999999</v>
      </c>
      <c r="M120">
        <f t="shared" si="13"/>
        <v>20.952903994</v>
      </c>
      <c r="N120" s="9"/>
      <c r="O120" s="21">
        <v>0.45394899999999999</v>
      </c>
      <c r="P120" s="21">
        <v>100.84099999999999</v>
      </c>
      <c r="Q120" s="21">
        <v>-1.7895500000000002E-2</v>
      </c>
      <c r="R120" s="21">
        <v>110</v>
      </c>
      <c r="S120" s="21">
        <v>0.45330799999999999</v>
      </c>
      <c r="T120">
        <f t="shared" si="14"/>
        <v>17.895500000000002</v>
      </c>
      <c r="U120">
        <f t="shared" si="15"/>
        <v>8.1236443295000011</v>
      </c>
      <c r="X120" s="9"/>
      <c r="Y120" s="21">
        <v>1.19614</v>
      </c>
      <c r="Z120" s="21">
        <v>168.51599999999999</v>
      </c>
      <c r="AA120" s="21">
        <v>-1.7495699999999999E-2</v>
      </c>
      <c r="AB120" s="21">
        <v>110</v>
      </c>
      <c r="AC120" s="21">
        <v>1.1950700000000001</v>
      </c>
      <c r="AD120">
        <f t="shared" si="16"/>
        <v>17.495699999999999</v>
      </c>
      <c r="AE120">
        <f t="shared" si="17"/>
        <v>20.927306597999998</v>
      </c>
      <c r="AF120" s="9"/>
      <c r="AG120" s="21">
        <v>0.45394899999999999</v>
      </c>
      <c r="AH120" s="21">
        <v>235.06100000000001</v>
      </c>
      <c r="AI120" s="21">
        <v>-1.78864E-2</v>
      </c>
      <c r="AJ120" s="21">
        <v>110</v>
      </c>
      <c r="AK120" s="21">
        <v>0.45327800000000001</v>
      </c>
      <c r="AL120">
        <f t="shared" si="18"/>
        <v>17.886400000000002</v>
      </c>
      <c r="AM120">
        <f t="shared" si="19"/>
        <v>8.1195133936000001</v>
      </c>
      <c r="AP120" s="9"/>
      <c r="AQ120" s="21">
        <v>1.19614</v>
      </c>
      <c r="AR120" s="21">
        <v>292.76600000000002</v>
      </c>
      <c r="AS120" s="21">
        <v>-1.7489600000000001E-2</v>
      </c>
      <c r="AT120" s="21">
        <v>110</v>
      </c>
      <c r="AU120" s="21">
        <v>1.19537</v>
      </c>
      <c r="AV120">
        <f t="shared" si="20"/>
        <v>17.489599999999999</v>
      </c>
      <c r="AW120">
        <f t="shared" si="21"/>
        <v>20.920010143999999</v>
      </c>
      <c r="AX120" s="9"/>
      <c r="AY120" s="21">
        <v>0.45394899999999999</v>
      </c>
      <c r="AZ120" s="21">
        <v>363.19600000000003</v>
      </c>
      <c r="BA120" s="21">
        <v>-1.7852799999999999E-2</v>
      </c>
      <c r="BB120" s="21">
        <v>110</v>
      </c>
      <c r="BC120" s="21">
        <v>0.453461</v>
      </c>
      <c r="BD120">
        <f t="shared" si="22"/>
        <v>17.852799999999998</v>
      </c>
      <c r="BE120">
        <f t="shared" si="23"/>
        <v>8.1042607071999999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1.1911</v>
      </c>
      <c r="H121" s="21">
        <v>29.181799999999999</v>
      </c>
      <c r="I121" s="21">
        <v>-1.7513999999999998E-2</v>
      </c>
      <c r="J121" s="21">
        <v>111</v>
      </c>
      <c r="K121" s="21">
        <v>1.18988</v>
      </c>
      <c r="L121">
        <f t="shared" si="12"/>
        <v>17.513999999999999</v>
      </c>
      <c r="M121">
        <f t="shared" si="13"/>
        <v>20.860925399999999</v>
      </c>
      <c r="N121" s="9"/>
      <c r="O121" s="21">
        <v>0.458984</v>
      </c>
      <c r="P121" s="21">
        <v>100.94199999999999</v>
      </c>
      <c r="Q121" s="21">
        <v>-1.78894E-2</v>
      </c>
      <c r="R121" s="21">
        <v>111</v>
      </c>
      <c r="S121" s="21">
        <v>0.45843499999999998</v>
      </c>
      <c r="T121">
        <f t="shared" si="14"/>
        <v>17.889399999999998</v>
      </c>
      <c r="U121">
        <f t="shared" si="15"/>
        <v>8.2109483695999987</v>
      </c>
      <c r="X121" s="9"/>
      <c r="Y121" s="21">
        <v>1.1911</v>
      </c>
      <c r="Z121" s="21">
        <v>168.61699999999999</v>
      </c>
      <c r="AA121" s="21">
        <v>-1.7501800000000001E-2</v>
      </c>
      <c r="AB121" s="21">
        <v>111</v>
      </c>
      <c r="AC121" s="21">
        <v>1.18988</v>
      </c>
      <c r="AD121">
        <f t="shared" si="16"/>
        <v>17.501800000000003</v>
      </c>
      <c r="AE121">
        <f t="shared" si="17"/>
        <v>20.846393980000006</v>
      </c>
      <c r="AF121" s="9"/>
      <c r="AG121" s="21">
        <v>0.458984</v>
      </c>
      <c r="AH121" s="21">
        <v>235.16200000000001</v>
      </c>
      <c r="AI121" s="21">
        <v>-1.78864E-2</v>
      </c>
      <c r="AJ121" s="21">
        <v>111</v>
      </c>
      <c r="AK121" s="21">
        <v>0.45852700000000002</v>
      </c>
      <c r="AL121">
        <f t="shared" si="18"/>
        <v>17.886400000000002</v>
      </c>
      <c r="AM121">
        <f t="shared" si="19"/>
        <v>8.2095714176000012</v>
      </c>
      <c r="AP121" s="9"/>
      <c r="AQ121" s="21">
        <v>1.1911</v>
      </c>
      <c r="AR121" s="21">
        <v>292.86700000000002</v>
      </c>
      <c r="AS121" s="21">
        <v>-1.7495699999999999E-2</v>
      </c>
      <c r="AT121" s="21">
        <v>111</v>
      </c>
      <c r="AU121" s="21">
        <v>1.1895800000000001</v>
      </c>
      <c r="AV121">
        <f t="shared" si="20"/>
        <v>17.495699999999999</v>
      </c>
      <c r="AW121">
        <f t="shared" si="21"/>
        <v>20.83912827</v>
      </c>
      <c r="AX121" s="9"/>
      <c r="AY121" s="21">
        <v>0.458984</v>
      </c>
      <c r="AZ121" s="21">
        <v>363.29700000000003</v>
      </c>
      <c r="BA121" s="21">
        <v>-1.7852799999999999E-2</v>
      </c>
      <c r="BB121" s="21">
        <v>111</v>
      </c>
      <c r="BC121" s="21">
        <v>0.45819100000000001</v>
      </c>
      <c r="BD121">
        <f t="shared" si="22"/>
        <v>17.852799999999998</v>
      </c>
      <c r="BE121">
        <f t="shared" si="23"/>
        <v>8.1941495551999992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1.18607</v>
      </c>
      <c r="H122" s="21">
        <v>29.282499999999999</v>
      </c>
      <c r="I122" s="21">
        <v>-1.7523199999999999E-2</v>
      </c>
      <c r="J122" s="21">
        <v>112</v>
      </c>
      <c r="K122" s="21">
        <v>1.1853</v>
      </c>
      <c r="L122">
        <f t="shared" si="12"/>
        <v>17.523199999999999</v>
      </c>
      <c r="M122">
        <f t="shared" si="13"/>
        <v>20.783741824</v>
      </c>
      <c r="N122" s="9"/>
      <c r="O122" s="21">
        <v>0.46401999999999999</v>
      </c>
      <c r="P122" s="21">
        <v>101.04300000000001</v>
      </c>
      <c r="Q122" s="21">
        <v>-1.78894E-2</v>
      </c>
      <c r="R122" s="21">
        <v>112</v>
      </c>
      <c r="S122" s="21">
        <v>0.46340900000000002</v>
      </c>
      <c r="T122">
        <f t="shared" si="14"/>
        <v>17.889399999999998</v>
      </c>
      <c r="U122">
        <f t="shared" si="15"/>
        <v>8.3010393879999995</v>
      </c>
      <c r="X122" s="9"/>
      <c r="Y122" s="21">
        <v>1.18607</v>
      </c>
      <c r="Z122" s="21">
        <v>168.71799999999999</v>
      </c>
      <c r="AA122" s="21">
        <v>-1.75079E-2</v>
      </c>
      <c r="AB122" s="21">
        <v>112</v>
      </c>
      <c r="AC122" s="21">
        <v>1.18469</v>
      </c>
      <c r="AD122">
        <f t="shared" si="16"/>
        <v>17.507899999999999</v>
      </c>
      <c r="AE122">
        <f t="shared" si="17"/>
        <v>20.765594952999997</v>
      </c>
      <c r="AF122" s="9"/>
      <c r="AG122" s="21">
        <v>0.46401999999999999</v>
      </c>
      <c r="AH122" s="21">
        <v>235.26300000000001</v>
      </c>
      <c r="AI122" s="21">
        <v>-1.7880199999999999E-2</v>
      </c>
      <c r="AJ122" s="21">
        <v>112</v>
      </c>
      <c r="AK122" s="21">
        <v>0.46368399999999999</v>
      </c>
      <c r="AL122">
        <f t="shared" si="18"/>
        <v>17.880199999999999</v>
      </c>
      <c r="AM122">
        <f t="shared" si="19"/>
        <v>8.2967704039999983</v>
      </c>
      <c r="AP122" s="9"/>
      <c r="AQ122" s="21">
        <v>1.18607</v>
      </c>
      <c r="AR122" s="21">
        <v>292.96800000000002</v>
      </c>
      <c r="AS122" s="21">
        <v>-1.7498799999999998E-2</v>
      </c>
      <c r="AT122" s="21">
        <v>112</v>
      </c>
      <c r="AU122" s="21">
        <v>1.1853</v>
      </c>
      <c r="AV122">
        <f t="shared" si="20"/>
        <v>17.498799999999999</v>
      </c>
      <c r="AW122">
        <f t="shared" si="21"/>
        <v>20.754801715999999</v>
      </c>
      <c r="AX122" s="9"/>
      <c r="AY122" s="21">
        <v>0.46401999999999999</v>
      </c>
      <c r="AZ122" s="21">
        <v>363.39800000000002</v>
      </c>
      <c r="BA122" s="21">
        <v>-1.78467E-2</v>
      </c>
      <c r="BB122" s="21">
        <v>112</v>
      </c>
      <c r="BC122" s="21">
        <v>0.46337899999999999</v>
      </c>
      <c r="BD122">
        <f t="shared" si="22"/>
        <v>17.846699999999998</v>
      </c>
      <c r="BE122">
        <f t="shared" si="23"/>
        <v>8.2812257339999995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1.18103</v>
      </c>
      <c r="H123" s="21">
        <v>29.383199999999999</v>
      </c>
      <c r="I123" s="21">
        <v>-1.7523199999999999E-2</v>
      </c>
      <c r="J123" s="21">
        <v>113</v>
      </c>
      <c r="K123" s="21">
        <v>1.18011</v>
      </c>
      <c r="L123">
        <f t="shared" si="12"/>
        <v>17.523199999999999</v>
      </c>
      <c r="M123">
        <f t="shared" si="13"/>
        <v>20.695424895999999</v>
      </c>
      <c r="N123" s="9"/>
      <c r="O123" s="21">
        <v>0.469055</v>
      </c>
      <c r="P123" s="21">
        <v>101.143</v>
      </c>
      <c r="Q123" s="21">
        <v>-1.78894E-2</v>
      </c>
      <c r="R123" s="21">
        <v>113</v>
      </c>
      <c r="S123" s="21">
        <v>0.468719</v>
      </c>
      <c r="T123">
        <f t="shared" si="14"/>
        <v>17.889399999999998</v>
      </c>
      <c r="U123">
        <f t="shared" si="15"/>
        <v>8.3911125169999998</v>
      </c>
      <c r="X123" s="9"/>
      <c r="Y123" s="21">
        <v>1.18103</v>
      </c>
      <c r="Z123" s="21">
        <v>168.81800000000001</v>
      </c>
      <c r="AA123" s="21">
        <v>-1.7501800000000001E-2</v>
      </c>
      <c r="AB123" s="21">
        <v>113</v>
      </c>
      <c r="AC123" s="21">
        <v>1.18042</v>
      </c>
      <c r="AD123">
        <f t="shared" si="16"/>
        <v>17.501800000000003</v>
      </c>
      <c r="AE123">
        <f t="shared" si="17"/>
        <v>20.670150854000003</v>
      </c>
      <c r="AF123" s="9"/>
      <c r="AG123" s="21">
        <v>0.469055</v>
      </c>
      <c r="AH123" s="21">
        <v>235.363</v>
      </c>
      <c r="AI123" s="21">
        <v>-1.78741E-2</v>
      </c>
      <c r="AJ123" s="21">
        <v>113</v>
      </c>
      <c r="AK123" s="21">
        <v>0.46911599999999998</v>
      </c>
      <c r="AL123">
        <f t="shared" si="18"/>
        <v>17.874100000000002</v>
      </c>
      <c r="AM123">
        <f t="shared" si="19"/>
        <v>8.3839359755000018</v>
      </c>
      <c r="AP123" s="9"/>
      <c r="AQ123" s="21">
        <v>1.18103</v>
      </c>
      <c r="AR123" s="21">
        <v>293.06799999999998</v>
      </c>
      <c r="AS123" s="21">
        <v>-1.7495699999999999E-2</v>
      </c>
      <c r="AT123" s="21">
        <v>113</v>
      </c>
      <c r="AU123" s="21">
        <v>1.18042</v>
      </c>
      <c r="AV123">
        <f t="shared" si="20"/>
        <v>17.495699999999999</v>
      </c>
      <c r="AW123">
        <f t="shared" si="21"/>
        <v>20.662946570999999</v>
      </c>
      <c r="AX123" s="9"/>
      <c r="AY123" s="21">
        <v>0.469055</v>
      </c>
      <c r="AZ123" s="21">
        <v>363.49900000000002</v>
      </c>
      <c r="BA123" s="21">
        <v>-1.78497E-2</v>
      </c>
      <c r="BB123" s="21">
        <v>113</v>
      </c>
      <c r="BC123" s="21">
        <v>0.46847499999999997</v>
      </c>
      <c r="BD123">
        <f t="shared" si="22"/>
        <v>17.849699999999999</v>
      </c>
      <c r="BE123">
        <f t="shared" si="23"/>
        <v>8.3724910334999993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1.1759900000000001</v>
      </c>
      <c r="H124" s="21">
        <v>29.483899999999998</v>
      </c>
      <c r="I124" s="21">
        <v>-1.7523199999999999E-2</v>
      </c>
      <c r="J124" s="21">
        <v>114</v>
      </c>
      <c r="K124" s="21">
        <v>1.17523</v>
      </c>
      <c r="L124">
        <f t="shared" si="12"/>
        <v>17.523199999999999</v>
      </c>
      <c r="M124">
        <f t="shared" si="13"/>
        <v>20.607107968000001</v>
      </c>
      <c r="N124" s="9"/>
      <c r="O124" s="21">
        <v>0.47409099999999998</v>
      </c>
      <c r="P124" s="21">
        <v>101.244</v>
      </c>
      <c r="Q124" s="21">
        <v>-1.78864E-2</v>
      </c>
      <c r="R124" s="21">
        <v>114</v>
      </c>
      <c r="S124" s="21">
        <v>0.47354099999999999</v>
      </c>
      <c r="T124">
        <f t="shared" si="14"/>
        <v>17.886400000000002</v>
      </c>
      <c r="U124">
        <f t="shared" si="15"/>
        <v>8.4797812624000013</v>
      </c>
      <c r="X124" s="9"/>
      <c r="Y124" s="21">
        <v>1.1759900000000001</v>
      </c>
      <c r="Z124" s="21">
        <v>168.91900000000001</v>
      </c>
      <c r="AA124" s="21">
        <v>-1.75201E-2</v>
      </c>
      <c r="AB124" s="21">
        <v>114</v>
      </c>
      <c r="AC124" s="21">
        <v>1.17523</v>
      </c>
      <c r="AD124">
        <f t="shared" si="16"/>
        <v>17.520099999999999</v>
      </c>
      <c r="AE124">
        <f t="shared" si="17"/>
        <v>20.603462399000001</v>
      </c>
      <c r="AF124" s="9"/>
      <c r="AG124" s="21">
        <v>0.47409099999999998</v>
      </c>
      <c r="AH124" s="21">
        <v>235.464</v>
      </c>
      <c r="AI124" s="21">
        <v>-1.7871100000000001E-2</v>
      </c>
      <c r="AJ124" s="21">
        <v>114</v>
      </c>
      <c r="AK124" s="21">
        <v>0.47372399999999998</v>
      </c>
      <c r="AL124">
        <f t="shared" si="18"/>
        <v>17.871100000000002</v>
      </c>
      <c r="AM124">
        <f t="shared" si="19"/>
        <v>8.4725276700999999</v>
      </c>
      <c r="AP124" s="9"/>
      <c r="AQ124" s="21">
        <v>1.1759900000000001</v>
      </c>
      <c r="AR124" s="21">
        <v>293.16899999999998</v>
      </c>
      <c r="AS124" s="21">
        <v>-1.7501800000000001E-2</v>
      </c>
      <c r="AT124" s="21">
        <v>114</v>
      </c>
      <c r="AU124" s="21">
        <v>1.17462</v>
      </c>
      <c r="AV124">
        <f t="shared" si="20"/>
        <v>17.501800000000003</v>
      </c>
      <c r="AW124">
        <f t="shared" si="21"/>
        <v>20.581941782000005</v>
      </c>
      <c r="AX124" s="9"/>
      <c r="AY124" s="21">
        <v>0.47409099999999998</v>
      </c>
      <c r="AZ124" s="21">
        <v>363.59899999999999</v>
      </c>
      <c r="BA124" s="21">
        <v>-1.7843600000000001E-2</v>
      </c>
      <c r="BB124" s="21">
        <v>114</v>
      </c>
      <c r="BC124" s="21">
        <v>0.47332800000000003</v>
      </c>
      <c r="BD124">
        <f t="shared" si="22"/>
        <v>17.843600000000002</v>
      </c>
      <c r="BE124">
        <f t="shared" si="23"/>
        <v>8.4594901676000003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1.17096</v>
      </c>
      <c r="H125" s="21">
        <v>29.584599999999998</v>
      </c>
      <c r="I125" s="21">
        <v>-1.7529300000000001E-2</v>
      </c>
      <c r="J125" s="21">
        <v>115</v>
      </c>
      <c r="K125" s="21">
        <v>1.16974</v>
      </c>
      <c r="L125">
        <f t="shared" si="12"/>
        <v>17.529300000000003</v>
      </c>
      <c r="M125">
        <f t="shared" si="13"/>
        <v>20.526109128000002</v>
      </c>
      <c r="N125" s="9"/>
      <c r="O125" s="21">
        <v>0.479126</v>
      </c>
      <c r="P125" s="21">
        <v>101.345</v>
      </c>
      <c r="Q125" s="21">
        <v>-1.7880199999999999E-2</v>
      </c>
      <c r="R125" s="21">
        <v>115</v>
      </c>
      <c r="S125" s="21">
        <v>0.478516</v>
      </c>
      <c r="T125">
        <f t="shared" si="14"/>
        <v>17.880199999999999</v>
      </c>
      <c r="U125">
        <f t="shared" si="15"/>
        <v>8.5668687051999992</v>
      </c>
      <c r="X125" s="9"/>
      <c r="Y125" s="21">
        <v>1.17096</v>
      </c>
      <c r="Z125" s="21">
        <v>169.02</v>
      </c>
      <c r="AA125" s="21">
        <v>-1.7513999999999998E-2</v>
      </c>
      <c r="AB125" s="21">
        <v>115</v>
      </c>
      <c r="AC125" s="21">
        <v>1.17065</v>
      </c>
      <c r="AD125">
        <f t="shared" si="16"/>
        <v>17.513999999999999</v>
      </c>
      <c r="AE125">
        <f t="shared" si="17"/>
        <v>20.508193439999999</v>
      </c>
      <c r="AF125" s="9"/>
      <c r="AG125" s="21">
        <v>0.479126</v>
      </c>
      <c r="AH125" s="21">
        <v>235.565</v>
      </c>
      <c r="AI125" s="21">
        <v>-1.7877199999999999E-2</v>
      </c>
      <c r="AJ125" s="21">
        <v>115</v>
      </c>
      <c r="AK125" s="21">
        <v>0.478607</v>
      </c>
      <c r="AL125">
        <f t="shared" si="18"/>
        <v>17.877199999999998</v>
      </c>
      <c r="AM125">
        <f t="shared" si="19"/>
        <v>8.5654313271999989</v>
      </c>
      <c r="AP125" s="9"/>
      <c r="AQ125" s="21">
        <v>1.17096</v>
      </c>
      <c r="AR125" s="21">
        <v>293.27</v>
      </c>
      <c r="AS125" s="21">
        <v>-1.7498799999999998E-2</v>
      </c>
      <c r="AT125" s="21">
        <v>115</v>
      </c>
      <c r="AU125" s="21">
        <v>1.16974</v>
      </c>
      <c r="AV125">
        <f t="shared" si="20"/>
        <v>17.498799999999999</v>
      </c>
      <c r="AW125">
        <f t="shared" si="21"/>
        <v>20.490394847999998</v>
      </c>
      <c r="AX125" s="9"/>
      <c r="AY125" s="21">
        <v>0.479126</v>
      </c>
      <c r="AZ125" s="21">
        <v>363.7</v>
      </c>
      <c r="BA125" s="21">
        <v>-1.7837499999999999E-2</v>
      </c>
      <c r="BB125" s="21">
        <v>115</v>
      </c>
      <c r="BC125" s="21">
        <v>0.47863800000000001</v>
      </c>
      <c r="BD125">
        <f t="shared" si="22"/>
        <v>17.837499999999999</v>
      </c>
      <c r="BE125">
        <f t="shared" si="23"/>
        <v>8.5464100250000001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1.1659200000000001</v>
      </c>
      <c r="H126" s="21">
        <v>29.685300000000002</v>
      </c>
      <c r="I126" s="21">
        <v>-1.75354E-2</v>
      </c>
      <c r="J126" s="21">
        <v>116</v>
      </c>
      <c r="K126" s="21">
        <v>1.16516</v>
      </c>
      <c r="L126">
        <f t="shared" si="12"/>
        <v>17.535399999999999</v>
      </c>
      <c r="M126">
        <f t="shared" si="13"/>
        <v>20.444873568000002</v>
      </c>
      <c r="N126" s="9"/>
      <c r="O126" s="21">
        <v>0.48416100000000001</v>
      </c>
      <c r="P126" s="21">
        <v>101.44499999999999</v>
      </c>
      <c r="Q126" s="21">
        <v>-1.7877199999999999E-2</v>
      </c>
      <c r="R126" s="21">
        <v>116</v>
      </c>
      <c r="S126" s="21">
        <v>0.48333700000000002</v>
      </c>
      <c r="T126">
        <f t="shared" si="14"/>
        <v>17.877199999999998</v>
      </c>
      <c r="U126">
        <f t="shared" si="15"/>
        <v>8.6554430291999989</v>
      </c>
      <c r="X126" s="9"/>
      <c r="Y126" s="21">
        <v>1.1659200000000001</v>
      </c>
      <c r="Z126" s="21">
        <v>169.12100000000001</v>
      </c>
      <c r="AA126" s="21">
        <v>-1.75201E-2</v>
      </c>
      <c r="AB126" s="21">
        <v>116</v>
      </c>
      <c r="AC126" s="21">
        <v>1.16577</v>
      </c>
      <c r="AD126">
        <f t="shared" si="16"/>
        <v>17.520099999999999</v>
      </c>
      <c r="AE126">
        <f t="shared" si="17"/>
        <v>20.427034991999999</v>
      </c>
      <c r="AF126" s="9"/>
      <c r="AG126" s="21">
        <v>0.48416100000000001</v>
      </c>
      <c r="AH126" s="21">
        <v>235.666</v>
      </c>
      <c r="AI126" s="21">
        <v>-1.7871100000000001E-2</v>
      </c>
      <c r="AJ126" s="21">
        <v>116</v>
      </c>
      <c r="AK126" s="21">
        <v>0.483765</v>
      </c>
      <c r="AL126">
        <f t="shared" si="18"/>
        <v>17.871100000000002</v>
      </c>
      <c r="AM126">
        <f t="shared" si="19"/>
        <v>8.6524896471000012</v>
      </c>
      <c r="AP126" s="9"/>
      <c r="AQ126" s="21">
        <v>1.1659200000000001</v>
      </c>
      <c r="AR126" s="21">
        <v>293.37099999999998</v>
      </c>
      <c r="AS126" s="21">
        <v>-1.75049E-2</v>
      </c>
      <c r="AT126" s="21">
        <v>116</v>
      </c>
      <c r="AU126" s="21">
        <v>1.16516</v>
      </c>
      <c r="AV126">
        <f t="shared" si="20"/>
        <v>17.504899999999999</v>
      </c>
      <c r="AW126">
        <f t="shared" si="21"/>
        <v>20.409313008000002</v>
      </c>
      <c r="AX126" s="9"/>
      <c r="AY126" s="21">
        <v>0.48416100000000001</v>
      </c>
      <c r="AZ126" s="21">
        <v>363.80099999999999</v>
      </c>
      <c r="BA126" s="21">
        <v>-1.7840600000000002E-2</v>
      </c>
      <c r="BB126" s="21">
        <v>116</v>
      </c>
      <c r="BC126" s="21">
        <v>0.48339799999999999</v>
      </c>
      <c r="BD126">
        <f t="shared" si="22"/>
        <v>17.840600000000002</v>
      </c>
      <c r="BE126">
        <f t="shared" si="23"/>
        <v>8.6377227366000007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1.16089</v>
      </c>
      <c r="H127" s="21">
        <v>29.786000000000001</v>
      </c>
      <c r="I127" s="21">
        <v>-1.7538499999999999E-2</v>
      </c>
      <c r="J127" s="21">
        <v>117</v>
      </c>
      <c r="K127" s="21">
        <v>1.1599699999999999</v>
      </c>
      <c r="L127">
        <f t="shared" si="12"/>
        <v>17.538499999999999</v>
      </c>
      <c r="M127">
        <f t="shared" si="13"/>
        <v>20.360269264999999</v>
      </c>
      <c r="N127" s="9"/>
      <c r="O127" s="21">
        <v>0.48919699999999999</v>
      </c>
      <c r="P127" s="21">
        <v>101.54600000000001</v>
      </c>
      <c r="Q127" s="21">
        <v>-1.7877199999999999E-2</v>
      </c>
      <c r="R127" s="21">
        <v>117</v>
      </c>
      <c r="S127" s="21">
        <v>0.488373</v>
      </c>
      <c r="T127">
        <f t="shared" si="14"/>
        <v>17.877199999999998</v>
      </c>
      <c r="U127">
        <f t="shared" si="15"/>
        <v>8.7454726083999983</v>
      </c>
      <c r="X127" s="9"/>
      <c r="Y127" s="21">
        <v>1.16089</v>
      </c>
      <c r="Z127" s="21">
        <v>169.221</v>
      </c>
      <c r="AA127" s="21">
        <v>-1.75201E-2</v>
      </c>
      <c r="AB127" s="21">
        <v>117</v>
      </c>
      <c r="AC127" s="21">
        <v>1.1593599999999999</v>
      </c>
      <c r="AD127">
        <f t="shared" si="16"/>
        <v>17.520099999999999</v>
      </c>
      <c r="AE127">
        <f t="shared" si="17"/>
        <v>20.338908888999999</v>
      </c>
      <c r="AF127" s="9"/>
      <c r="AG127" s="21">
        <v>0.48919699999999999</v>
      </c>
      <c r="AH127" s="21">
        <v>235.76599999999999</v>
      </c>
      <c r="AI127" s="21">
        <v>-1.7871100000000001E-2</v>
      </c>
      <c r="AJ127" s="21">
        <v>117</v>
      </c>
      <c r="AK127" s="21">
        <v>0.48846400000000001</v>
      </c>
      <c r="AL127">
        <f t="shared" si="18"/>
        <v>17.871100000000002</v>
      </c>
      <c r="AM127">
        <f t="shared" si="19"/>
        <v>8.7424885067000009</v>
      </c>
      <c r="AP127" s="9"/>
      <c r="AQ127" s="21">
        <v>1.16089</v>
      </c>
      <c r="AR127" s="21">
        <v>293.471</v>
      </c>
      <c r="AS127" s="21">
        <v>-1.75049E-2</v>
      </c>
      <c r="AT127" s="21">
        <v>117</v>
      </c>
      <c r="AU127" s="21">
        <v>1.1599699999999999</v>
      </c>
      <c r="AV127">
        <f t="shared" si="20"/>
        <v>17.504899999999999</v>
      </c>
      <c r="AW127">
        <f t="shared" si="21"/>
        <v>20.321263361</v>
      </c>
      <c r="AX127" s="9"/>
      <c r="AY127" s="21">
        <v>0.48919699999999999</v>
      </c>
      <c r="AZ127" s="21">
        <v>363.90100000000001</v>
      </c>
      <c r="BA127" s="21">
        <v>-1.78345E-2</v>
      </c>
      <c r="BB127" s="21">
        <v>117</v>
      </c>
      <c r="BC127" s="21">
        <v>0.488678</v>
      </c>
      <c r="BD127">
        <f t="shared" si="22"/>
        <v>17.834499999999998</v>
      </c>
      <c r="BE127">
        <f t="shared" si="23"/>
        <v>8.7245838964999987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1.15585</v>
      </c>
      <c r="H128" s="21">
        <v>29.886700000000001</v>
      </c>
      <c r="I128" s="21">
        <v>-1.7538499999999999E-2</v>
      </c>
      <c r="J128" s="21">
        <v>118</v>
      </c>
      <c r="K128" s="21">
        <v>1.15509</v>
      </c>
      <c r="L128">
        <f t="shared" si="12"/>
        <v>17.538499999999999</v>
      </c>
      <c r="M128">
        <f t="shared" si="13"/>
        <v>20.271875224999999</v>
      </c>
      <c r="N128" s="9"/>
      <c r="O128" s="21">
        <v>0.494232</v>
      </c>
      <c r="P128" s="21">
        <v>101.64700000000001</v>
      </c>
      <c r="Q128" s="21">
        <v>-1.7871100000000001E-2</v>
      </c>
      <c r="R128" s="21">
        <v>118</v>
      </c>
      <c r="S128" s="21">
        <v>0.493591</v>
      </c>
      <c r="T128">
        <f t="shared" si="14"/>
        <v>17.871100000000002</v>
      </c>
      <c r="U128">
        <f t="shared" si="15"/>
        <v>8.8324694952000016</v>
      </c>
      <c r="X128" s="9"/>
      <c r="Y128" s="21">
        <v>1.15585</v>
      </c>
      <c r="Z128" s="21">
        <v>169.322</v>
      </c>
      <c r="AA128" s="21">
        <v>-1.75201E-2</v>
      </c>
      <c r="AB128" s="21">
        <v>118</v>
      </c>
      <c r="AC128" s="21">
        <v>1.15479</v>
      </c>
      <c r="AD128">
        <f t="shared" si="16"/>
        <v>17.520099999999999</v>
      </c>
      <c r="AE128">
        <f t="shared" si="17"/>
        <v>20.250607585000001</v>
      </c>
      <c r="AF128" s="9"/>
      <c r="AG128" s="21">
        <v>0.494232</v>
      </c>
      <c r="AH128" s="21">
        <v>235.86699999999999</v>
      </c>
      <c r="AI128" s="21">
        <v>-1.7867999999999998E-2</v>
      </c>
      <c r="AJ128" s="21">
        <v>118</v>
      </c>
      <c r="AK128" s="21">
        <v>0.493591</v>
      </c>
      <c r="AL128">
        <f t="shared" si="18"/>
        <v>17.867999999999999</v>
      </c>
      <c r="AM128">
        <f t="shared" si="19"/>
        <v>8.8309373759999996</v>
      </c>
      <c r="AP128" s="9"/>
      <c r="AQ128" s="21">
        <v>1.15585</v>
      </c>
      <c r="AR128" s="21">
        <v>293.572</v>
      </c>
      <c r="AS128" s="21">
        <v>-1.7517100000000001E-2</v>
      </c>
      <c r="AT128" s="21">
        <v>118</v>
      </c>
      <c r="AU128" s="21">
        <v>1.1554</v>
      </c>
      <c r="AV128">
        <f t="shared" si="20"/>
        <v>17.517099999999999</v>
      </c>
      <c r="AW128">
        <f t="shared" si="21"/>
        <v>20.247140035000001</v>
      </c>
      <c r="AX128" s="9"/>
      <c r="AY128" s="21">
        <v>0.494232</v>
      </c>
      <c r="AZ128" s="21">
        <v>364.00200000000001</v>
      </c>
      <c r="BA128" s="21">
        <v>-1.78345E-2</v>
      </c>
      <c r="BB128" s="21">
        <v>118</v>
      </c>
      <c r="BC128" s="21">
        <v>0.493896</v>
      </c>
      <c r="BD128">
        <f t="shared" si="22"/>
        <v>17.834499999999998</v>
      </c>
      <c r="BE128">
        <f t="shared" si="23"/>
        <v>8.8143806040000001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1.15082</v>
      </c>
      <c r="H129" s="21">
        <v>29.987400000000001</v>
      </c>
      <c r="I129" s="21">
        <v>-1.75446E-2</v>
      </c>
      <c r="J129" s="21">
        <v>119</v>
      </c>
      <c r="K129" s="21">
        <v>1.1496</v>
      </c>
      <c r="L129">
        <f t="shared" si="12"/>
        <v>17.544599999999999</v>
      </c>
      <c r="M129">
        <f t="shared" si="13"/>
        <v>20.190676571999997</v>
      </c>
      <c r="N129" s="9"/>
      <c r="O129" s="21">
        <v>0.49926799999999999</v>
      </c>
      <c r="P129" s="21">
        <v>101.748</v>
      </c>
      <c r="Q129" s="21">
        <v>-1.7871100000000001E-2</v>
      </c>
      <c r="R129" s="21">
        <v>119</v>
      </c>
      <c r="S129" s="21">
        <v>0.49890099999999998</v>
      </c>
      <c r="T129">
        <f t="shared" si="14"/>
        <v>17.871100000000002</v>
      </c>
      <c r="U129">
        <f t="shared" si="15"/>
        <v>8.9224683548000012</v>
      </c>
      <c r="X129" s="9"/>
      <c r="Y129" s="21">
        <v>1.15082</v>
      </c>
      <c r="Z129" s="21">
        <v>169.423</v>
      </c>
      <c r="AA129" s="21">
        <v>-1.7529300000000001E-2</v>
      </c>
      <c r="AB129" s="21">
        <v>119</v>
      </c>
      <c r="AC129" s="21">
        <v>1.1492899999999999</v>
      </c>
      <c r="AD129">
        <f t="shared" si="16"/>
        <v>17.529300000000003</v>
      </c>
      <c r="AE129">
        <f t="shared" si="17"/>
        <v>20.173069026000004</v>
      </c>
      <c r="AF129" s="9"/>
      <c r="AG129" s="21">
        <v>0.49926799999999999</v>
      </c>
      <c r="AH129" s="21">
        <v>235.96799999999999</v>
      </c>
      <c r="AI129" s="21">
        <v>-1.78619E-2</v>
      </c>
      <c r="AJ129" s="21">
        <v>119</v>
      </c>
      <c r="AK129" s="21">
        <v>0.49877899999999997</v>
      </c>
      <c r="AL129">
        <f t="shared" si="18"/>
        <v>17.861899999999999</v>
      </c>
      <c r="AM129">
        <f t="shared" si="19"/>
        <v>8.9178750891999989</v>
      </c>
      <c r="AP129" s="9"/>
      <c r="AQ129" s="21">
        <v>1.15082</v>
      </c>
      <c r="AR129" s="21">
        <v>293.673</v>
      </c>
      <c r="AS129" s="21">
        <v>-1.7513999999999998E-2</v>
      </c>
      <c r="AT129" s="21">
        <v>119</v>
      </c>
      <c r="AU129" s="21">
        <v>1.15021</v>
      </c>
      <c r="AV129">
        <f t="shared" si="20"/>
        <v>17.513999999999999</v>
      </c>
      <c r="AW129">
        <f t="shared" si="21"/>
        <v>20.15546148</v>
      </c>
      <c r="AX129" s="9"/>
      <c r="AY129" s="21">
        <v>0.49926799999999999</v>
      </c>
      <c r="AZ129" s="21">
        <v>364.10300000000001</v>
      </c>
      <c r="BA129" s="21">
        <v>-1.7822299999999999E-2</v>
      </c>
      <c r="BB129" s="21">
        <v>119</v>
      </c>
      <c r="BC129" s="21">
        <v>0.498749</v>
      </c>
      <c r="BD129">
        <f t="shared" si="22"/>
        <v>17.822299999999998</v>
      </c>
      <c r="BE129">
        <f t="shared" si="23"/>
        <v>8.8981040763999992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1.14578</v>
      </c>
      <c r="H130" s="21">
        <v>30.088200000000001</v>
      </c>
      <c r="I130" s="21">
        <v>-1.75446E-2</v>
      </c>
      <c r="J130" s="21">
        <v>120</v>
      </c>
      <c r="K130" s="21">
        <v>1.1450199999999999</v>
      </c>
      <c r="L130">
        <f t="shared" si="12"/>
        <v>17.544599999999999</v>
      </c>
      <c r="M130">
        <f t="shared" si="13"/>
        <v>20.102251788</v>
      </c>
      <c r="N130" s="9"/>
      <c r="O130" s="21">
        <v>0.50430299999999995</v>
      </c>
      <c r="P130" s="21">
        <v>101.848</v>
      </c>
      <c r="Q130" s="21">
        <v>-1.78741E-2</v>
      </c>
      <c r="R130" s="21">
        <v>120</v>
      </c>
      <c r="S130" s="21">
        <v>0.50384499999999999</v>
      </c>
      <c r="T130">
        <f t="shared" si="14"/>
        <v>17.874100000000002</v>
      </c>
      <c r="U130">
        <f t="shared" si="15"/>
        <v>9.0139622523000007</v>
      </c>
      <c r="X130" s="9"/>
      <c r="Y130" s="21">
        <v>1.14578</v>
      </c>
      <c r="Z130" s="21">
        <v>169.523</v>
      </c>
      <c r="AA130" s="21">
        <v>-1.7532300000000001E-2</v>
      </c>
      <c r="AB130" s="21">
        <v>120</v>
      </c>
      <c r="AC130" s="21">
        <v>1.1447099999999999</v>
      </c>
      <c r="AD130">
        <f t="shared" si="16"/>
        <v>17.532299999999999</v>
      </c>
      <c r="AE130">
        <f t="shared" si="17"/>
        <v>20.088158694000001</v>
      </c>
      <c r="AF130" s="9"/>
      <c r="AG130" s="21">
        <v>0.50430299999999995</v>
      </c>
      <c r="AH130" s="21">
        <v>236.06800000000001</v>
      </c>
      <c r="AI130" s="21">
        <v>-1.78589E-2</v>
      </c>
      <c r="AJ130" s="21">
        <v>120</v>
      </c>
      <c r="AK130" s="21">
        <v>0.50363199999999997</v>
      </c>
      <c r="AL130">
        <f t="shared" si="18"/>
        <v>17.858900000000002</v>
      </c>
      <c r="AM130">
        <f t="shared" si="19"/>
        <v>9.0062968466999997</v>
      </c>
      <c r="AP130" s="9"/>
      <c r="AQ130" s="21">
        <v>1.14578</v>
      </c>
      <c r="AR130" s="21">
        <v>293.77300000000002</v>
      </c>
      <c r="AS130" s="21">
        <v>-1.7526199999999999E-2</v>
      </c>
      <c r="AT130" s="21">
        <v>120</v>
      </c>
      <c r="AU130" s="21">
        <v>1.1447099999999999</v>
      </c>
      <c r="AV130">
        <f t="shared" si="20"/>
        <v>17.526199999999999</v>
      </c>
      <c r="AW130">
        <f t="shared" si="21"/>
        <v>20.081169436</v>
      </c>
      <c r="AX130" s="9"/>
      <c r="AY130" s="21">
        <v>0.50430299999999995</v>
      </c>
      <c r="AZ130" s="21">
        <v>364.20299999999997</v>
      </c>
      <c r="BA130" s="21">
        <v>-1.7828400000000001E-2</v>
      </c>
      <c r="BB130" s="21">
        <v>120</v>
      </c>
      <c r="BC130" s="21">
        <v>0.50378400000000001</v>
      </c>
      <c r="BD130">
        <f t="shared" si="22"/>
        <v>17.828400000000002</v>
      </c>
      <c r="BE130">
        <f t="shared" si="23"/>
        <v>8.9909156051999997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1.1407499999999999</v>
      </c>
      <c r="H131" s="21">
        <v>30.1889</v>
      </c>
      <c r="I131" s="21">
        <v>-1.7550699999999999E-2</v>
      </c>
      <c r="J131" s="21">
        <v>121</v>
      </c>
      <c r="K131" s="21">
        <v>1.1401399999999999</v>
      </c>
      <c r="L131">
        <f t="shared" si="12"/>
        <v>17.550699999999999</v>
      </c>
      <c r="M131">
        <f t="shared" si="13"/>
        <v>20.020961024999998</v>
      </c>
      <c r="N131" s="9"/>
      <c r="O131" s="21">
        <v>0.50933799999999996</v>
      </c>
      <c r="P131" s="21">
        <v>101.949</v>
      </c>
      <c r="Q131" s="21">
        <v>-1.7864999999999999E-2</v>
      </c>
      <c r="R131" s="21">
        <v>121</v>
      </c>
      <c r="S131" s="21">
        <v>0.50866699999999998</v>
      </c>
      <c r="T131">
        <f t="shared" si="14"/>
        <v>17.864999999999998</v>
      </c>
      <c r="U131">
        <f t="shared" si="15"/>
        <v>9.0993233699999987</v>
      </c>
      <c r="X131" s="9"/>
      <c r="Y131" s="21">
        <v>1.1407499999999999</v>
      </c>
      <c r="Z131" s="21">
        <v>169.624</v>
      </c>
      <c r="AA131" s="21">
        <v>-1.75354E-2</v>
      </c>
      <c r="AB131" s="21">
        <v>121</v>
      </c>
      <c r="AC131" s="21">
        <v>1.1401399999999999</v>
      </c>
      <c r="AD131">
        <f t="shared" si="16"/>
        <v>17.535399999999999</v>
      </c>
      <c r="AE131">
        <f t="shared" si="17"/>
        <v>20.003507549999998</v>
      </c>
      <c r="AF131" s="9"/>
      <c r="AG131" s="21">
        <v>0.50933799999999996</v>
      </c>
      <c r="AH131" s="21">
        <v>236.16900000000001</v>
      </c>
      <c r="AI131" s="21">
        <v>-1.7852799999999999E-2</v>
      </c>
      <c r="AJ131" s="21">
        <v>121</v>
      </c>
      <c r="AK131" s="21">
        <v>0.50878900000000005</v>
      </c>
      <c r="AL131">
        <f t="shared" si="18"/>
        <v>17.852799999999998</v>
      </c>
      <c r="AM131">
        <f t="shared" si="19"/>
        <v>9.093109446399998</v>
      </c>
      <c r="AP131" s="9"/>
      <c r="AQ131" s="21">
        <v>1.1407499999999999</v>
      </c>
      <c r="AR131" s="21">
        <v>293.87400000000002</v>
      </c>
      <c r="AS131" s="21">
        <v>-1.7529300000000001E-2</v>
      </c>
      <c r="AT131" s="21">
        <v>121</v>
      </c>
      <c r="AU131" s="21">
        <v>1.1401399999999999</v>
      </c>
      <c r="AV131">
        <f t="shared" si="20"/>
        <v>17.529300000000003</v>
      </c>
      <c r="AW131">
        <f t="shared" si="21"/>
        <v>19.996548975000003</v>
      </c>
      <c r="AX131" s="9"/>
      <c r="AY131" s="21">
        <v>0.50933799999999996</v>
      </c>
      <c r="AZ131" s="21">
        <v>364.30399999999997</v>
      </c>
      <c r="BA131" s="21">
        <v>-1.7828400000000001E-2</v>
      </c>
      <c r="BB131" s="21">
        <v>121</v>
      </c>
      <c r="BC131" s="21">
        <v>0.50878900000000005</v>
      </c>
      <c r="BD131">
        <f t="shared" si="22"/>
        <v>17.828400000000002</v>
      </c>
      <c r="BE131">
        <f t="shared" si="23"/>
        <v>9.0806815992000001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1.13571</v>
      </c>
      <c r="H132" s="21">
        <v>30.2896</v>
      </c>
      <c r="I132" s="21">
        <v>-1.7550699999999999E-2</v>
      </c>
      <c r="J132" s="21">
        <v>122</v>
      </c>
      <c r="K132" s="21">
        <v>1.1346400000000001</v>
      </c>
      <c r="L132">
        <f t="shared" si="12"/>
        <v>17.550699999999999</v>
      </c>
      <c r="M132">
        <f t="shared" si="13"/>
        <v>19.932505496999998</v>
      </c>
      <c r="N132" s="9"/>
      <c r="O132" s="21">
        <v>0.514374</v>
      </c>
      <c r="P132" s="21">
        <v>102.05</v>
      </c>
      <c r="Q132" s="21">
        <v>-1.78619E-2</v>
      </c>
      <c r="R132" s="21">
        <v>122</v>
      </c>
      <c r="S132" s="21">
        <v>0.51403799999999999</v>
      </c>
      <c r="T132">
        <f t="shared" si="14"/>
        <v>17.861899999999999</v>
      </c>
      <c r="U132">
        <f t="shared" si="15"/>
        <v>9.1876969505999995</v>
      </c>
      <c r="X132" s="9"/>
      <c r="Y132" s="21">
        <v>1.13571</v>
      </c>
      <c r="Z132" s="21">
        <v>169.72499999999999</v>
      </c>
      <c r="AA132" s="21">
        <v>-1.7538499999999999E-2</v>
      </c>
      <c r="AB132" s="21">
        <v>122</v>
      </c>
      <c r="AC132" s="21">
        <v>1.1358600000000001</v>
      </c>
      <c r="AD132">
        <f t="shared" si="16"/>
        <v>17.538499999999999</v>
      </c>
      <c r="AE132">
        <f t="shared" si="17"/>
        <v>19.918649835</v>
      </c>
      <c r="AF132" s="9"/>
      <c r="AG132" s="21">
        <v>0.514374</v>
      </c>
      <c r="AH132" s="21">
        <v>236.27</v>
      </c>
      <c r="AI132" s="21">
        <v>-1.7855800000000002E-2</v>
      </c>
      <c r="AJ132" s="21">
        <v>122</v>
      </c>
      <c r="AK132" s="21">
        <v>0.51391600000000004</v>
      </c>
      <c r="AL132">
        <f t="shared" si="18"/>
        <v>17.855800000000002</v>
      </c>
      <c r="AM132">
        <f t="shared" si="19"/>
        <v>9.1845592692000011</v>
      </c>
      <c r="AP132" s="9"/>
      <c r="AQ132" s="21">
        <v>1.13571</v>
      </c>
      <c r="AR132" s="21">
        <v>293.97500000000002</v>
      </c>
      <c r="AS132" s="21">
        <v>-1.7526199999999999E-2</v>
      </c>
      <c r="AT132" s="21">
        <v>122</v>
      </c>
      <c r="AU132" s="21">
        <v>1.1346400000000001</v>
      </c>
      <c r="AV132">
        <f t="shared" si="20"/>
        <v>17.526199999999999</v>
      </c>
      <c r="AW132">
        <f t="shared" si="21"/>
        <v>19.904680601999999</v>
      </c>
      <c r="AX132" s="9"/>
      <c r="AY132" s="21">
        <v>0.514374</v>
      </c>
      <c r="AZ132" s="21">
        <v>364.40499999999997</v>
      </c>
      <c r="BA132" s="21">
        <v>-1.78192E-2</v>
      </c>
      <c r="BB132" s="21">
        <v>122</v>
      </c>
      <c r="BC132" s="21">
        <v>0.51379399999999997</v>
      </c>
      <c r="BD132">
        <f t="shared" si="22"/>
        <v>17.819199999999999</v>
      </c>
      <c r="BE132">
        <f t="shared" si="23"/>
        <v>9.1657331807999984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1.1306799999999999</v>
      </c>
      <c r="H133" s="21">
        <v>30.3903</v>
      </c>
      <c r="I133" s="21">
        <v>-1.7553699999999998E-2</v>
      </c>
      <c r="J133" s="21">
        <v>123</v>
      </c>
      <c r="K133" s="21">
        <v>1.1294599999999999</v>
      </c>
      <c r="L133">
        <f t="shared" si="12"/>
        <v>17.553699999999999</v>
      </c>
      <c r="M133">
        <f t="shared" si="13"/>
        <v>19.847617515999996</v>
      </c>
      <c r="N133" s="9"/>
      <c r="O133" s="21">
        <v>0.51940900000000001</v>
      </c>
      <c r="P133" s="21">
        <v>102.15</v>
      </c>
      <c r="Q133" s="21">
        <v>-1.78619E-2</v>
      </c>
      <c r="R133" s="21">
        <v>123</v>
      </c>
      <c r="S133" s="21">
        <v>0.51882899999999998</v>
      </c>
      <c r="T133">
        <f t="shared" si="14"/>
        <v>17.861899999999999</v>
      </c>
      <c r="U133">
        <f t="shared" si="15"/>
        <v>9.2776316170999991</v>
      </c>
      <c r="X133" s="9"/>
      <c r="Y133" s="21">
        <v>1.1306799999999999</v>
      </c>
      <c r="Z133" s="21">
        <v>169.82599999999999</v>
      </c>
      <c r="AA133" s="21">
        <v>-1.7538499999999999E-2</v>
      </c>
      <c r="AB133" s="21">
        <v>123</v>
      </c>
      <c r="AC133" s="21">
        <v>1.1288499999999999</v>
      </c>
      <c r="AD133">
        <f t="shared" si="16"/>
        <v>17.538499999999999</v>
      </c>
      <c r="AE133">
        <f t="shared" si="17"/>
        <v>19.830431179999998</v>
      </c>
      <c r="AF133" s="9"/>
      <c r="AG133" s="21">
        <v>0.51940900000000001</v>
      </c>
      <c r="AH133" s="21">
        <v>236.37100000000001</v>
      </c>
      <c r="AI133" s="21">
        <v>-1.7855800000000002E-2</v>
      </c>
      <c r="AJ133" s="21">
        <v>123</v>
      </c>
      <c r="AK133" s="21">
        <v>0.51885999999999999</v>
      </c>
      <c r="AL133">
        <f t="shared" si="18"/>
        <v>17.855800000000002</v>
      </c>
      <c r="AM133">
        <f t="shared" si="19"/>
        <v>9.2744632222000014</v>
      </c>
      <c r="AP133" s="9"/>
      <c r="AQ133" s="21">
        <v>1.1306799999999999</v>
      </c>
      <c r="AR133" s="21">
        <v>294.07499999999999</v>
      </c>
      <c r="AS133" s="21">
        <v>-1.7532300000000001E-2</v>
      </c>
      <c r="AT133" s="21">
        <v>123</v>
      </c>
      <c r="AU133" s="21">
        <v>1.1294599999999999</v>
      </c>
      <c r="AV133">
        <f t="shared" si="20"/>
        <v>17.532299999999999</v>
      </c>
      <c r="AW133">
        <f t="shared" si="21"/>
        <v>19.823420963999997</v>
      </c>
      <c r="AX133" s="9"/>
      <c r="AY133" s="21">
        <v>0.51940900000000001</v>
      </c>
      <c r="AZ133" s="21">
        <v>364.50599999999997</v>
      </c>
      <c r="BA133" s="21">
        <v>-1.7816200000000001E-2</v>
      </c>
      <c r="BB133" s="21">
        <v>123</v>
      </c>
      <c r="BC133" s="21">
        <v>0.51940900000000001</v>
      </c>
      <c r="BD133">
        <f t="shared" si="22"/>
        <v>17.816200000000002</v>
      </c>
      <c r="BE133">
        <f t="shared" si="23"/>
        <v>9.253894625800001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1.12564</v>
      </c>
      <c r="H134" s="21">
        <v>30.491</v>
      </c>
      <c r="I134" s="21">
        <v>-1.7556800000000001E-2</v>
      </c>
      <c r="J134" s="21">
        <v>124</v>
      </c>
      <c r="K134" s="21">
        <v>1.1245700000000001</v>
      </c>
      <c r="L134">
        <f t="shared" si="12"/>
        <v>17.556800000000003</v>
      </c>
      <c r="M134">
        <f t="shared" si="13"/>
        <v>19.762636352000001</v>
      </c>
      <c r="N134" s="9"/>
      <c r="O134" s="21">
        <v>0.52444500000000005</v>
      </c>
      <c r="P134" s="21">
        <v>102.251</v>
      </c>
      <c r="Q134" s="21">
        <v>-1.78589E-2</v>
      </c>
      <c r="R134" s="21">
        <v>124</v>
      </c>
      <c r="S134" s="21">
        <v>0.52432299999999998</v>
      </c>
      <c r="T134">
        <f t="shared" si="14"/>
        <v>17.858900000000002</v>
      </c>
      <c r="U134">
        <f t="shared" si="15"/>
        <v>9.3660108105000024</v>
      </c>
      <c r="X134" s="9"/>
      <c r="Y134" s="21">
        <v>1.12564</v>
      </c>
      <c r="Z134" s="21">
        <v>169.92599999999999</v>
      </c>
      <c r="AA134" s="21">
        <v>-1.75354E-2</v>
      </c>
      <c r="AB134" s="21">
        <v>124</v>
      </c>
      <c r="AC134" s="21">
        <v>1.1251800000000001</v>
      </c>
      <c r="AD134">
        <f t="shared" si="16"/>
        <v>17.535399999999999</v>
      </c>
      <c r="AE134">
        <f t="shared" si="17"/>
        <v>19.738547655999998</v>
      </c>
      <c r="AF134" s="9"/>
      <c r="AG134" s="21">
        <v>0.52444500000000005</v>
      </c>
      <c r="AH134" s="21">
        <v>236.471</v>
      </c>
      <c r="AI134" s="21">
        <v>-1.7852799999999999E-2</v>
      </c>
      <c r="AJ134" s="21">
        <v>124</v>
      </c>
      <c r="AK134" s="21">
        <v>0.52395599999999998</v>
      </c>
      <c r="AL134">
        <f t="shared" si="18"/>
        <v>17.852799999999998</v>
      </c>
      <c r="AM134">
        <f t="shared" si="19"/>
        <v>9.3628116959999996</v>
      </c>
      <c r="AP134" s="9"/>
      <c r="AQ134" s="21">
        <v>1.12564</v>
      </c>
      <c r="AR134" s="21">
        <v>294.17599999999999</v>
      </c>
      <c r="AS134" s="21">
        <v>-1.75354E-2</v>
      </c>
      <c r="AT134" s="21">
        <v>124</v>
      </c>
      <c r="AU134" s="21">
        <v>1.1245700000000001</v>
      </c>
      <c r="AV134">
        <f t="shared" si="20"/>
        <v>17.535399999999999</v>
      </c>
      <c r="AW134">
        <f t="shared" si="21"/>
        <v>19.738547655999998</v>
      </c>
      <c r="AX134" s="9"/>
      <c r="AY134" s="21">
        <v>0.52444500000000005</v>
      </c>
      <c r="AZ134" s="21">
        <v>364.60599999999999</v>
      </c>
      <c r="BA134" s="21">
        <v>-1.7816200000000001E-2</v>
      </c>
      <c r="BB134" s="21">
        <v>124</v>
      </c>
      <c r="BC134" s="21">
        <v>0.52377300000000004</v>
      </c>
      <c r="BD134">
        <f t="shared" si="22"/>
        <v>17.816200000000002</v>
      </c>
      <c r="BE134">
        <f t="shared" si="23"/>
        <v>9.3436170090000026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1.1206100000000001</v>
      </c>
      <c r="H135" s="21">
        <v>30.591699999999999</v>
      </c>
      <c r="I135" s="21">
        <v>-1.7556800000000001E-2</v>
      </c>
      <c r="J135" s="21">
        <v>125</v>
      </c>
      <c r="K135" s="21">
        <v>1.11938</v>
      </c>
      <c r="L135">
        <f t="shared" si="12"/>
        <v>17.556800000000003</v>
      </c>
      <c r="M135">
        <f t="shared" si="13"/>
        <v>19.674325648000003</v>
      </c>
      <c r="N135" s="9"/>
      <c r="O135" s="21">
        <v>0.52947999999999995</v>
      </c>
      <c r="P135" s="21">
        <v>102.352</v>
      </c>
      <c r="Q135" s="21">
        <v>-1.7855800000000002E-2</v>
      </c>
      <c r="R135" s="21">
        <v>125</v>
      </c>
      <c r="S135" s="21">
        <v>0.529358</v>
      </c>
      <c r="T135">
        <f t="shared" si="14"/>
        <v>17.855800000000002</v>
      </c>
      <c r="U135">
        <f t="shared" si="15"/>
        <v>9.4542889839999997</v>
      </c>
      <c r="X135" s="9"/>
      <c r="Y135" s="21">
        <v>1.1206100000000001</v>
      </c>
      <c r="Z135" s="21">
        <v>170.02699999999999</v>
      </c>
      <c r="AA135" s="21">
        <v>-1.7541500000000002E-2</v>
      </c>
      <c r="AB135" s="21">
        <v>125</v>
      </c>
      <c r="AC135" s="21">
        <v>1.1200000000000001</v>
      </c>
      <c r="AD135">
        <f t="shared" si="16"/>
        <v>17.541500000000003</v>
      </c>
      <c r="AE135">
        <f t="shared" si="17"/>
        <v>19.657180315000005</v>
      </c>
      <c r="AF135" s="9"/>
      <c r="AG135" s="21">
        <v>0.52947999999999995</v>
      </c>
      <c r="AH135" s="21">
        <v>236.572</v>
      </c>
      <c r="AI135" s="21">
        <v>-1.78497E-2</v>
      </c>
      <c r="AJ135" s="21">
        <v>125</v>
      </c>
      <c r="AK135" s="21">
        <v>0.52896100000000001</v>
      </c>
      <c r="AL135">
        <f t="shared" si="18"/>
        <v>17.849699999999999</v>
      </c>
      <c r="AM135">
        <f t="shared" si="19"/>
        <v>9.4510591559999977</v>
      </c>
      <c r="AP135" s="9"/>
      <c r="AQ135" s="21">
        <v>1.1206100000000001</v>
      </c>
      <c r="AR135" s="21">
        <v>294.27699999999999</v>
      </c>
      <c r="AS135" s="21">
        <v>-1.75354E-2</v>
      </c>
      <c r="AT135" s="21">
        <v>125</v>
      </c>
      <c r="AU135" s="21">
        <v>1.1200000000000001</v>
      </c>
      <c r="AV135">
        <f t="shared" si="20"/>
        <v>17.535399999999999</v>
      </c>
      <c r="AW135">
        <f t="shared" si="21"/>
        <v>19.650344594</v>
      </c>
      <c r="AX135" s="9"/>
      <c r="AY135" s="21">
        <v>0.52947999999999995</v>
      </c>
      <c r="AZ135" s="21">
        <v>364.70699999999999</v>
      </c>
      <c r="BA135" s="21">
        <v>-1.78192E-2</v>
      </c>
      <c r="BB135" s="21">
        <v>125</v>
      </c>
      <c r="BC135" s="21">
        <v>0.52929700000000002</v>
      </c>
      <c r="BD135">
        <f t="shared" si="22"/>
        <v>17.819199999999999</v>
      </c>
      <c r="BE135">
        <f t="shared" si="23"/>
        <v>9.4349100159999981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1.11557</v>
      </c>
      <c r="H136" s="21">
        <v>30.692399999999999</v>
      </c>
      <c r="I136" s="21">
        <v>-1.7562899999999999E-2</v>
      </c>
      <c r="J136" s="21">
        <v>126</v>
      </c>
      <c r="K136" s="21">
        <v>1.11511</v>
      </c>
      <c r="L136">
        <f t="shared" si="12"/>
        <v>17.562899999999999</v>
      </c>
      <c r="M136">
        <f t="shared" si="13"/>
        <v>19.592644352999997</v>
      </c>
      <c r="N136" s="9"/>
      <c r="O136" s="21">
        <v>0.53451499999999996</v>
      </c>
      <c r="P136" s="21">
        <v>102.453</v>
      </c>
      <c r="Q136" s="21">
        <v>-1.7855800000000002E-2</v>
      </c>
      <c r="R136" s="21">
        <v>126</v>
      </c>
      <c r="S136" s="21">
        <v>0.53378300000000001</v>
      </c>
      <c r="T136">
        <f t="shared" si="14"/>
        <v>17.855800000000002</v>
      </c>
      <c r="U136">
        <f t="shared" si="15"/>
        <v>9.544192937</v>
      </c>
      <c r="X136" s="9"/>
      <c r="Y136" s="21">
        <v>1.11557</v>
      </c>
      <c r="Z136" s="21">
        <v>170.12799999999999</v>
      </c>
      <c r="AA136" s="21">
        <v>-1.7541500000000002E-2</v>
      </c>
      <c r="AB136" s="21">
        <v>126</v>
      </c>
      <c r="AC136" s="21">
        <v>1.1145</v>
      </c>
      <c r="AD136">
        <f t="shared" si="16"/>
        <v>17.541500000000003</v>
      </c>
      <c r="AE136">
        <f t="shared" si="17"/>
        <v>19.568771155000004</v>
      </c>
      <c r="AF136" s="9"/>
      <c r="AG136" s="21">
        <v>0.53451499999999996</v>
      </c>
      <c r="AH136" s="21">
        <v>236.673</v>
      </c>
      <c r="AI136" s="21">
        <v>-1.7852799999999999E-2</v>
      </c>
      <c r="AJ136" s="21">
        <v>126</v>
      </c>
      <c r="AK136" s="21">
        <v>0.53390499999999996</v>
      </c>
      <c r="AL136">
        <f t="shared" si="18"/>
        <v>17.852799999999998</v>
      </c>
      <c r="AM136">
        <f t="shared" si="19"/>
        <v>9.5425893919999982</v>
      </c>
      <c r="AP136" s="9"/>
      <c r="AQ136" s="21">
        <v>1.11557</v>
      </c>
      <c r="AR136" s="21">
        <v>294.37799999999999</v>
      </c>
      <c r="AS136" s="21">
        <v>-1.75354E-2</v>
      </c>
      <c r="AT136" s="21">
        <v>126</v>
      </c>
      <c r="AU136" s="21">
        <v>1.1148100000000001</v>
      </c>
      <c r="AV136">
        <f t="shared" si="20"/>
        <v>17.535399999999999</v>
      </c>
      <c r="AW136">
        <f t="shared" si="21"/>
        <v>19.561966177999999</v>
      </c>
      <c r="AX136" s="9"/>
      <c r="AY136" s="21">
        <v>0.53451499999999996</v>
      </c>
      <c r="AZ136" s="21">
        <v>364.80799999999999</v>
      </c>
      <c r="BA136" s="21">
        <v>-1.7816200000000001E-2</v>
      </c>
      <c r="BB136" s="21">
        <v>126</v>
      </c>
      <c r="BC136" s="21">
        <v>0.533752</v>
      </c>
      <c r="BD136">
        <f t="shared" si="22"/>
        <v>17.816200000000002</v>
      </c>
      <c r="BE136">
        <f t="shared" si="23"/>
        <v>9.5230261430000009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1.11053</v>
      </c>
      <c r="H137" s="21">
        <v>30.793099999999999</v>
      </c>
      <c r="I137" s="21">
        <v>-1.7565899999999999E-2</v>
      </c>
      <c r="J137" s="21">
        <v>127</v>
      </c>
      <c r="K137" s="21">
        <v>1.10992</v>
      </c>
      <c r="L137">
        <f t="shared" si="12"/>
        <v>17.565899999999999</v>
      </c>
      <c r="M137">
        <f t="shared" si="13"/>
        <v>19.507458926999998</v>
      </c>
      <c r="N137" s="9"/>
      <c r="O137" s="21">
        <v>0.539551</v>
      </c>
      <c r="P137" s="21">
        <v>102.553</v>
      </c>
      <c r="Q137" s="21">
        <v>-1.78497E-2</v>
      </c>
      <c r="R137" s="21">
        <v>127</v>
      </c>
      <c r="S137" s="21">
        <v>0.53900099999999995</v>
      </c>
      <c r="T137">
        <f t="shared" si="14"/>
        <v>17.849699999999999</v>
      </c>
      <c r="U137">
        <f t="shared" si="15"/>
        <v>9.6308234846999987</v>
      </c>
      <c r="X137" s="9"/>
      <c r="Y137" s="21">
        <v>1.11053</v>
      </c>
      <c r="Z137" s="21">
        <v>170.22800000000001</v>
      </c>
      <c r="AA137" s="21">
        <v>-1.7541500000000002E-2</v>
      </c>
      <c r="AB137" s="21">
        <v>127</v>
      </c>
      <c r="AC137" s="21">
        <v>1.10992</v>
      </c>
      <c r="AD137">
        <f t="shared" si="16"/>
        <v>17.541500000000003</v>
      </c>
      <c r="AE137">
        <f t="shared" si="17"/>
        <v>19.480361995000003</v>
      </c>
      <c r="AF137" s="9"/>
      <c r="AG137" s="21">
        <v>0.539551</v>
      </c>
      <c r="AH137" s="21">
        <v>236.773</v>
      </c>
      <c r="AI137" s="21">
        <v>-1.78467E-2</v>
      </c>
      <c r="AJ137" s="21">
        <v>127</v>
      </c>
      <c r="AK137" s="21">
        <v>0.53909300000000004</v>
      </c>
      <c r="AL137">
        <f t="shared" si="18"/>
        <v>17.846699999999998</v>
      </c>
      <c r="AM137">
        <f t="shared" si="19"/>
        <v>9.6292048316999992</v>
      </c>
      <c r="AP137" s="9"/>
      <c r="AQ137" s="21">
        <v>1.11053</v>
      </c>
      <c r="AR137" s="21">
        <v>294.47800000000001</v>
      </c>
      <c r="AS137" s="21">
        <v>-1.7541500000000002E-2</v>
      </c>
      <c r="AT137" s="21">
        <v>127</v>
      </c>
      <c r="AU137" s="21">
        <v>1.1102300000000001</v>
      </c>
      <c r="AV137">
        <f t="shared" si="20"/>
        <v>17.541500000000003</v>
      </c>
      <c r="AW137">
        <f t="shared" si="21"/>
        <v>19.480361995000003</v>
      </c>
      <c r="AX137" s="9"/>
      <c r="AY137" s="21">
        <v>0.539551</v>
      </c>
      <c r="AZ137" s="21">
        <v>364.90800000000002</v>
      </c>
      <c r="BA137" s="21">
        <v>-1.7810099999999999E-2</v>
      </c>
      <c r="BB137" s="21">
        <v>127</v>
      </c>
      <c r="BC137" s="21">
        <v>0.538879</v>
      </c>
      <c r="BD137">
        <f t="shared" si="22"/>
        <v>17.810099999999998</v>
      </c>
      <c r="BE137">
        <f t="shared" si="23"/>
        <v>9.6094572650999996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1.1054999999999999</v>
      </c>
      <c r="H138" s="21">
        <v>30.893799999999999</v>
      </c>
      <c r="I138" s="21">
        <v>-1.7572000000000001E-2</v>
      </c>
      <c r="J138" s="21">
        <v>128</v>
      </c>
      <c r="K138" s="21">
        <v>1.1047400000000001</v>
      </c>
      <c r="L138">
        <f t="shared" si="12"/>
        <v>17.571999999999999</v>
      </c>
      <c r="M138">
        <f t="shared" si="13"/>
        <v>19.425845999999996</v>
      </c>
      <c r="N138" s="9"/>
      <c r="O138" s="21">
        <v>0.54458600000000001</v>
      </c>
      <c r="P138" s="21">
        <v>102.654</v>
      </c>
      <c r="Q138" s="21">
        <v>-1.78497E-2</v>
      </c>
      <c r="R138" s="21">
        <v>128</v>
      </c>
      <c r="S138" s="21">
        <v>0.54397600000000002</v>
      </c>
      <c r="T138">
        <f t="shared" si="14"/>
        <v>17.849699999999999</v>
      </c>
      <c r="U138">
        <f t="shared" si="15"/>
        <v>9.7206967241999997</v>
      </c>
      <c r="X138" s="9"/>
      <c r="Y138" s="21">
        <v>1.1054999999999999</v>
      </c>
      <c r="Z138" s="21">
        <v>170.32900000000001</v>
      </c>
      <c r="AA138" s="21">
        <v>-1.7553699999999998E-2</v>
      </c>
      <c r="AB138" s="21">
        <v>128</v>
      </c>
      <c r="AC138" s="21">
        <v>1.10443</v>
      </c>
      <c r="AD138">
        <f t="shared" si="16"/>
        <v>17.553699999999999</v>
      </c>
      <c r="AE138">
        <f t="shared" si="17"/>
        <v>19.405615349999998</v>
      </c>
      <c r="AF138" s="9"/>
      <c r="AG138" s="21">
        <v>0.54458600000000001</v>
      </c>
      <c r="AH138" s="21">
        <v>236.874</v>
      </c>
      <c r="AI138" s="21">
        <v>-1.7843600000000001E-2</v>
      </c>
      <c r="AJ138" s="21">
        <v>128</v>
      </c>
      <c r="AK138" s="21">
        <v>0.54418900000000003</v>
      </c>
      <c r="AL138">
        <f t="shared" si="18"/>
        <v>17.843600000000002</v>
      </c>
      <c r="AM138">
        <f t="shared" si="19"/>
        <v>9.7173747496000011</v>
      </c>
      <c r="AP138" s="9"/>
      <c r="AQ138" s="21">
        <v>1.1054999999999999</v>
      </c>
      <c r="AR138" s="21">
        <v>294.57900000000001</v>
      </c>
      <c r="AS138" s="21">
        <v>-1.7550699999999999E-2</v>
      </c>
      <c r="AT138" s="21">
        <v>128</v>
      </c>
      <c r="AU138" s="21">
        <v>1.1041300000000001</v>
      </c>
      <c r="AV138">
        <f t="shared" si="20"/>
        <v>17.550699999999999</v>
      </c>
      <c r="AW138">
        <f t="shared" si="21"/>
        <v>19.402298849999998</v>
      </c>
      <c r="AX138" s="9"/>
      <c r="AY138" s="21">
        <v>0.54458600000000001</v>
      </c>
      <c r="AZ138" s="21">
        <v>365.00900000000001</v>
      </c>
      <c r="BA138" s="21">
        <v>-1.7810099999999999E-2</v>
      </c>
      <c r="BB138" s="21">
        <v>128</v>
      </c>
      <c r="BC138" s="21">
        <v>0.54422000000000004</v>
      </c>
      <c r="BD138">
        <f t="shared" si="22"/>
        <v>17.810099999999998</v>
      </c>
      <c r="BE138">
        <f t="shared" si="23"/>
        <v>9.6991311185999987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1.10046</v>
      </c>
      <c r="H139" s="21">
        <v>30.994499999999999</v>
      </c>
      <c r="I139" s="21">
        <v>-1.7569000000000001E-2</v>
      </c>
      <c r="J139" s="21">
        <v>129</v>
      </c>
      <c r="K139" s="21">
        <v>1.09985</v>
      </c>
      <c r="L139">
        <f t="shared" si="12"/>
        <v>17.569000000000003</v>
      </c>
      <c r="M139">
        <f t="shared" si="13"/>
        <v>19.333981740000002</v>
      </c>
      <c r="N139" s="9"/>
      <c r="O139" s="21">
        <v>0.54962200000000005</v>
      </c>
      <c r="P139" s="21">
        <v>102.755</v>
      </c>
      <c r="Q139" s="21">
        <v>-1.78467E-2</v>
      </c>
      <c r="R139" s="21">
        <v>129</v>
      </c>
      <c r="S139" s="21">
        <v>0.54916399999999999</v>
      </c>
      <c r="T139">
        <f t="shared" si="14"/>
        <v>17.846699999999998</v>
      </c>
      <c r="U139">
        <f t="shared" si="15"/>
        <v>9.8089389473999997</v>
      </c>
      <c r="X139" s="9"/>
      <c r="Y139" s="21">
        <v>1.10046</v>
      </c>
      <c r="Z139" s="21">
        <v>170.43</v>
      </c>
      <c r="AA139" s="21">
        <v>-1.7553699999999998E-2</v>
      </c>
      <c r="AB139" s="21">
        <v>129</v>
      </c>
      <c r="AC139" s="21">
        <v>1.09985</v>
      </c>
      <c r="AD139">
        <f t="shared" si="16"/>
        <v>17.553699999999999</v>
      </c>
      <c r="AE139">
        <f t="shared" si="17"/>
        <v>19.317144702</v>
      </c>
      <c r="AF139" s="9"/>
      <c r="AG139" s="21">
        <v>0.54962200000000005</v>
      </c>
      <c r="AH139" s="21">
        <v>236.97499999999999</v>
      </c>
      <c r="AI139" s="21">
        <v>-1.7843600000000001E-2</v>
      </c>
      <c r="AJ139" s="21">
        <v>129</v>
      </c>
      <c r="AK139" s="21">
        <v>0.54852299999999998</v>
      </c>
      <c r="AL139">
        <f t="shared" si="18"/>
        <v>17.843600000000002</v>
      </c>
      <c r="AM139">
        <f t="shared" si="19"/>
        <v>9.8072351192000013</v>
      </c>
      <c r="AP139" s="9"/>
      <c r="AQ139" s="21">
        <v>1.10046</v>
      </c>
      <c r="AR139" s="21">
        <v>294.68</v>
      </c>
      <c r="AS139" s="21">
        <v>-1.75476E-2</v>
      </c>
      <c r="AT139" s="21">
        <v>129</v>
      </c>
      <c r="AU139" s="21">
        <v>1.09985</v>
      </c>
      <c r="AV139">
        <f t="shared" si="20"/>
        <v>17.547599999999999</v>
      </c>
      <c r="AW139">
        <f t="shared" si="21"/>
        <v>19.310431896000001</v>
      </c>
      <c r="AX139" s="9"/>
      <c r="AY139" s="21">
        <v>0.54962200000000005</v>
      </c>
      <c r="AZ139" s="21">
        <v>365.11</v>
      </c>
      <c r="BA139" s="21">
        <v>-1.7807E-2</v>
      </c>
      <c r="BB139" s="21">
        <v>129</v>
      </c>
      <c r="BC139" s="21">
        <v>0.54888899999999996</v>
      </c>
      <c r="BD139">
        <f t="shared" si="22"/>
        <v>17.806999999999999</v>
      </c>
      <c r="BE139">
        <f t="shared" si="23"/>
        <v>9.7871189540000003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1.0954299999999999</v>
      </c>
      <c r="H140" s="21">
        <v>31.095199999999998</v>
      </c>
      <c r="I140" s="21">
        <v>-1.7572000000000001E-2</v>
      </c>
      <c r="J140" s="21">
        <v>130</v>
      </c>
      <c r="K140" s="21">
        <v>1.09497</v>
      </c>
      <c r="L140">
        <f t="shared" ref="L140:L203" si="24">-I140/$F$2*1000</f>
        <v>17.571999999999999</v>
      </c>
      <c r="M140">
        <f t="shared" ref="M140:M203" si="25">L140*G140</f>
        <v>19.248895959999999</v>
      </c>
      <c r="N140" s="9"/>
      <c r="O140" s="21">
        <v>0.55465699999999996</v>
      </c>
      <c r="P140" s="21">
        <v>102.855</v>
      </c>
      <c r="Q140" s="21">
        <v>-1.78467E-2</v>
      </c>
      <c r="R140" s="21">
        <v>130</v>
      </c>
      <c r="S140" s="21">
        <v>0.55413800000000002</v>
      </c>
      <c r="T140">
        <f t="shared" ref="T140:T203" si="26">-Q140/$F$2*1000</f>
        <v>17.846699999999998</v>
      </c>
      <c r="U140">
        <f t="shared" ref="U140:U203" si="27">T140*O140</f>
        <v>9.898797081899998</v>
      </c>
      <c r="X140" s="9"/>
      <c r="Y140" s="21">
        <v>1.0954299999999999</v>
      </c>
      <c r="Z140" s="21">
        <v>170.53</v>
      </c>
      <c r="AA140" s="21">
        <v>-1.7556800000000001E-2</v>
      </c>
      <c r="AB140" s="21">
        <v>130</v>
      </c>
      <c r="AC140" s="21">
        <v>1.09436</v>
      </c>
      <c r="AD140">
        <f t="shared" ref="AD140:AD203" si="28">-AA140/$F$2*1000</f>
        <v>17.556800000000003</v>
      </c>
      <c r="AE140">
        <f t="shared" ref="AE140:AE203" si="29">AD140*Y140</f>
        <v>19.232245424000002</v>
      </c>
      <c r="AF140" s="9"/>
      <c r="AG140" s="21">
        <v>0.55465699999999996</v>
      </c>
      <c r="AH140" s="21">
        <v>237.07599999999999</v>
      </c>
      <c r="AI140" s="21">
        <v>-1.7837499999999999E-2</v>
      </c>
      <c r="AJ140" s="21">
        <v>130</v>
      </c>
      <c r="AK140" s="21">
        <v>0.55404699999999996</v>
      </c>
      <c r="AL140">
        <f t="shared" ref="AL140:AL203" si="30">-AI140/$F$2*1000</f>
        <v>17.837499999999999</v>
      </c>
      <c r="AM140">
        <f t="shared" ref="AM140:AM203" si="31">AL140*AG140</f>
        <v>9.8936942374999983</v>
      </c>
      <c r="AP140" s="9"/>
      <c r="AQ140" s="21">
        <v>1.0954299999999999</v>
      </c>
      <c r="AR140" s="21">
        <v>294.77999999999997</v>
      </c>
      <c r="AS140" s="21">
        <v>-1.7550699999999999E-2</v>
      </c>
      <c r="AT140" s="21">
        <v>130</v>
      </c>
      <c r="AU140" s="21">
        <v>1.09467</v>
      </c>
      <c r="AV140">
        <f t="shared" ref="AV140:AV203" si="32">-AS140/$F$2*1000</f>
        <v>17.550699999999999</v>
      </c>
      <c r="AW140">
        <f t="shared" ref="AW140:AW203" si="33">AV140*AQ140</f>
        <v>19.225563300999998</v>
      </c>
      <c r="AX140" s="9"/>
      <c r="AY140" s="21">
        <v>0.55465699999999996</v>
      </c>
      <c r="AZ140" s="21">
        <v>365.21100000000001</v>
      </c>
      <c r="BA140" s="21">
        <v>-1.7800900000000001E-2</v>
      </c>
      <c r="BB140" s="21">
        <v>130</v>
      </c>
      <c r="BC140" s="21">
        <v>0.554199</v>
      </c>
      <c r="BD140">
        <f t="shared" ref="BD140:BD203" si="34">-BA140/$F$2*1000</f>
        <v>17.800900000000002</v>
      </c>
      <c r="BE140">
        <f t="shared" ref="BE140:BE203" si="35">BD140*AY140</f>
        <v>9.8733937912999998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1.09039</v>
      </c>
      <c r="H141" s="21">
        <v>31.195900000000002</v>
      </c>
      <c r="I141" s="21">
        <v>-1.7584200000000001E-2</v>
      </c>
      <c r="J141" s="21">
        <v>131</v>
      </c>
      <c r="K141" s="21">
        <v>1.08978</v>
      </c>
      <c r="L141">
        <f t="shared" si="24"/>
        <v>17.584200000000003</v>
      </c>
      <c r="M141">
        <f t="shared" si="25"/>
        <v>19.173635838000003</v>
      </c>
      <c r="N141" s="9"/>
      <c r="O141" s="21">
        <v>0.55969199999999997</v>
      </c>
      <c r="P141" s="21">
        <v>102.956</v>
      </c>
      <c r="Q141" s="21">
        <v>-1.7840600000000002E-2</v>
      </c>
      <c r="R141" s="21">
        <v>131</v>
      </c>
      <c r="S141" s="21">
        <v>0.55932599999999999</v>
      </c>
      <c r="T141">
        <f t="shared" si="26"/>
        <v>17.840600000000002</v>
      </c>
      <c r="U141">
        <f t="shared" si="27"/>
        <v>9.985241095200001</v>
      </c>
      <c r="X141" s="9"/>
      <c r="Y141" s="21">
        <v>1.09039</v>
      </c>
      <c r="Z141" s="21">
        <v>170.631</v>
      </c>
      <c r="AA141" s="21">
        <v>-1.7556800000000001E-2</v>
      </c>
      <c r="AB141" s="21">
        <v>131</v>
      </c>
      <c r="AC141" s="21">
        <v>1.08948</v>
      </c>
      <c r="AD141">
        <f t="shared" si="28"/>
        <v>17.556800000000003</v>
      </c>
      <c r="AE141">
        <f t="shared" si="29"/>
        <v>19.143759152000001</v>
      </c>
      <c r="AF141" s="9"/>
      <c r="AG141" s="21">
        <v>0.55969199999999997</v>
      </c>
      <c r="AH141" s="21">
        <v>237.17599999999999</v>
      </c>
      <c r="AI141" s="21">
        <v>-1.78345E-2</v>
      </c>
      <c r="AJ141" s="21">
        <v>131</v>
      </c>
      <c r="AK141" s="21">
        <v>0.55932599999999999</v>
      </c>
      <c r="AL141">
        <f t="shared" si="30"/>
        <v>17.834499999999998</v>
      </c>
      <c r="AM141">
        <f t="shared" si="31"/>
        <v>9.9818269739999987</v>
      </c>
      <c r="AP141" s="9"/>
      <c r="AQ141" s="21">
        <v>1.09039</v>
      </c>
      <c r="AR141" s="21">
        <v>294.88099999999997</v>
      </c>
      <c r="AS141" s="21">
        <v>-1.7556800000000001E-2</v>
      </c>
      <c r="AT141" s="21">
        <v>131</v>
      </c>
      <c r="AU141" s="21">
        <v>1.08978</v>
      </c>
      <c r="AV141">
        <f t="shared" si="32"/>
        <v>17.556800000000003</v>
      </c>
      <c r="AW141">
        <f t="shared" si="33"/>
        <v>19.143759152000001</v>
      </c>
      <c r="AX141" s="9"/>
      <c r="AY141" s="21">
        <v>0.55969199999999997</v>
      </c>
      <c r="AZ141" s="21">
        <v>365.31099999999998</v>
      </c>
      <c r="BA141" s="21">
        <v>-1.7800900000000001E-2</v>
      </c>
      <c r="BB141" s="21">
        <v>131</v>
      </c>
      <c r="BC141" s="21">
        <v>0.55911299999999997</v>
      </c>
      <c r="BD141">
        <f t="shared" si="34"/>
        <v>17.800900000000002</v>
      </c>
      <c r="BE141">
        <f t="shared" si="35"/>
        <v>9.9630213228000013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1.0853600000000001</v>
      </c>
      <c r="H142" s="21">
        <v>31.296700000000001</v>
      </c>
      <c r="I142" s="21">
        <v>-1.75873E-2</v>
      </c>
      <c r="J142" s="21">
        <v>132</v>
      </c>
      <c r="K142" s="21">
        <v>1.0845899999999999</v>
      </c>
      <c r="L142">
        <f t="shared" si="24"/>
        <v>17.587299999999999</v>
      </c>
      <c r="M142">
        <f t="shared" si="25"/>
        <v>19.088551928000001</v>
      </c>
      <c r="N142" s="9"/>
      <c r="O142" s="21">
        <v>0.56472800000000001</v>
      </c>
      <c r="P142" s="21">
        <v>103.057</v>
      </c>
      <c r="Q142" s="21">
        <v>-1.78467E-2</v>
      </c>
      <c r="R142" s="21">
        <v>132</v>
      </c>
      <c r="S142" s="21">
        <v>0.56436200000000003</v>
      </c>
      <c r="T142">
        <f t="shared" si="26"/>
        <v>17.846699999999998</v>
      </c>
      <c r="U142">
        <f t="shared" si="27"/>
        <v>10.078531197599998</v>
      </c>
      <c r="X142" s="9"/>
      <c r="Y142" s="21">
        <v>1.0853600000000001</v>
      </c>
      <c r="Z142" s="21">
        <v>170.732</v>
      </c>
      <c r="AA142" s="21">
        <v>-1.75598E-2</v>
      </c>
      <c r="AB142" s="21">
        <v>132</v>
      </c>
      <c r="AC142" s="21">
        <v>1.0839799999999999</v>
      </c>
      <c r="AD142">
        <f t="shared" si="28"/>
        <v>17.559799999999999</v>
      </c>
      <c r="AE142">
        <f t="shared" si="29"/>
        <v>19.058704528</v>
      </c>
      <c r="AF142" s="9"/>
      <c r="AG142" s="21">
        <v>0.56472800000000001</v>
      </c>
      <c r="AH142" s="21">
        <v>237.27699999999999</v>
      </c>
      <c r="AI142" s="21">
        <v>-1.78345E-2</v>
      </c>
      <c r="AJ142" s="21">
        <v>132</v>
      </c>
      <c r="AK142" s="21">
        <v>0.56423999999999996</v>
      </c>
      <c r="AL142">
        <f t="shared" si="30"/>
        <v>17.834499999999998</v>
      </c>
      <c r="AM142">
        <f t="shared" si="31"/>
        <v>10.071641516</v>
      </c>
      <c r="AP142" s="9"/>
      <c r="AQ142" s="21">
        <v>1.0853600000000001</v>
      </c>
      <c r="AR142" s="21">
        <v>294.98200000000003</v>
      </c>
      <c r="AS142" s="21">
        <v>-1.7550699999999999E-2</v>
      </c>
      <c r="AT142" s="21">
        <v>132</v>
      </c>
      <c r="AU142" s="21">
        <v>1.0845899999999999</v>
      </c>
      <c r="AV142">
        <f t="shared" si="32"/>
        <v>17.550699999999999</v>
      </c>
      <c r="AW142">
        <f t="shared" si="33"/>
        <v>19.048827752000001</v>
      </c>
      <c r="AX142" s="9"/>
      <c r="AY142" s="21">
        <v>0.56472800000000001</v>
      </c>
      <c r="AZ142" s="21">
        <v>365.41199999999998</v>
      </c>
      <c r="BA142" s="21">
        <v>-1.7800900000000001E-2</v>
      </c>
      <c r="BB142" s="21">
        <v>132</v>
      </c>
      <c r="BC142" s="21">
        <v>0.564056</v>
      </c>
      <c r="BD142">
        <f t="shared" si="34"/>
        <v>17.800900000000002</v>
      </c>
      <c r="BE142">
        <f t="shared" si="35"/>
        <v>10.052666655200001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1.0803199999999999</v>
      </c>
      <c r="H143" s="21">
        <v>31.397400000000001</v>
      </c>
      <c r="I143" s="21">
        <v>-1.7581200000000002E-2</v>
      </c>
      <c r="J143" s="21">
        <v>133</v>
      </c>
      <c r="K143" s="21">
        <v>1.07941</v>
      </c>
      <c r="L143">
        <f t="shared" si="24"/>
        <v>17.581200000000003</v>
      </c>
      <c r="M143">
        <f t="shared" si="25"/>
        <v>18.993321984000001</v>
      </c>
      <c r="N143" s="9"/>
      <c r="O143" s="21">
        <v>0.56976300000000002</v>
      </c>
      <c r="P143" s="21">
        <v>103.158</v>
      </c>
      <c r="Q143" s="21">
        <v>-1.7837499999999999E-2</v>
      </c>
      <c r="R143" s="21">
        <v>133</v>
      </c>
      <c r="S143" s="21">
        <v>0.56933599999999995</v>
      </c>
      <c r="T143">
        <f t="shared" si="26"/>
        <v>17.837499999999999</v>
      </c>
      <c r="U143">
        <f t="shared" si="27"/>
        <v>10.1631475125</v>
      </c>
      <c r="X143" s="9"/>
      <c r="Y143" s="21">
        <v>1.0803199999999999</v>
      </c>
      <c r="Z143" s="21">
        <v>170.833</v>
      </c>
      <c r="AA143" s="21">
        <v>-1.75598E-2</v>
      </c>
      <c r="AB143" s="21">
        <v>133</v>
      </c>
      <c r="AC143" s="21">
        <v>1.0803199999999999</v>
      </c>
      <c r="AD143">
        <f t="shared" si="28"/>
        <v>17.559799999999999</v>
      </c>
      <c r="AE143">
        <f t="shared" si="29"/>
        <v>18.970203135999999</v>
      </c>
      <c r="AF143" s="9"/>
      <c r="AG143" s="21">
        <v>0.56976300000000002</v>
      </c>
      <c r="AH143" s="21">
        <v>237.37799999999999</v>
      </c>
      <c r="AI143" s="21">
        <v>-1.7828400000000001E-2</v>
      </c>
      <c r="AJ143" s="21">
        <v>133</v>
      </c>
      <c r="AK143" s="21">
        <v>0.56936600000000004</v>
      </c>
      <c r="AL143">
        <f t="shared" si="30"/>
        <v>17.828400000000002</v>
      </c>
      <c r="AM143">
        <f t="shared" si="31"/>
        <v>10.157962669200002</v>
      </c>
      <c r="AP143" s="9"/>
      <c r="AQ143" s="21">
        <v>1.0803199999999999</v>
      </c>
      <c r="AR143" s="21">
        <v>295.08300000000003</v>
      </c>
      <c r="AS143" s="21">
        <v>-1.75598E-2</v>
      </c>
      <c r="AT143" s="21">
        <v>133</v>
      </c>
      <c r="AU143" s="21">
        <v>1.07941</v>
      </c>
      <c r="AV143">
        <f t="shared" si="32"/>
        <v>17.559799999999999</v>
      </c>
      <c r="AW143">
        <f t="shared" si="33"/>
        <v>18.970203135999999</v>
      </c>
      <c r="AX143" s="9"/>
      <c r="AY143" s="21">
        <v>0.56976300000000002</v>
      </c>
      <c r="AZ143" s="21">
        <v>365.51299999999998</v>
      </c>
      <c r="BA143" s="21">
        <v>-1.7800900000000001E-2</v>
      </c>
      <c r="BB143" s="21">
        <v>133</v>
      </c>
      <c r="BC143" s="21">
        <v>0.56918299999999999</v>
      </c>
      <c r="BD143">
        <f t="shared" si="34"/>
        <v>17.800900000000002</v>
      </c>
      <c r="BE143">
        <f t="shared" si="35"/>
        <v>10.142294186700001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1.0752900000000001</v>
      </c>
      <c r="H144" s="21">
        <v>31.498100000000001</v>
      </c>
      <c r="I144" s="21">
        <v>-1.7584200000000001E-2</v>
      </c>
      <c r="J144" s="21">
        <v>134</v>
      </c>
      <c r="K144" s="21">
        <v>1.07361</v>
      </c>
      <c r="L144">
        <f t="shared" si="24"/>
        <v>17.584200000000003</v>
      </c>
      <c r="M144">
        <f t="shared" si="25"/>
        <v>18.908114418000004</v>
      </c>
      <c r="N144" s="9"/>
      <c r="O144" s="21">
        <v>0.57479899999999995</v>
      </c>
      <c r="P144" s="21">
        <v>103.258</v>
      </c>
      <c r="Q144" s="21">
        <v>-1.7831400000000001E-2</v>
      </c>
      <c r="R144" s="21">
        <v>134</v>
      </c>
      <c r="S144" s="21">
        <v>0.57446299999999995</v>
      </c>
      <c r="T144">
        <f t="shared" si="26"/>
        <v>17.831400000000002</v>
      </c>
      <c r="U144">
        <f t="shared" si="27"/>
        <v>10.249470888599999</v>
      </c>
      <c r="X144" s="9"/>
      <c r="Y144" s="21">
        <v>1.0752900000000001</v>
      </c>
      <c r="Z144" s="21">
        <v>170.93299999999999</v>
      </c>
      <c r="AA144" s="21">
        <v>-1.7565899999999999E-2</v>
      </c>
      <c r="AB144" s="21">
        <v>134</v>
      </c>
      <c r="AC144" s="21">
        <v>1.0751299999999999</v>
      </c>
      <c r="AD144">
        <f t="shared" si="28"/>
        <v>17.565899999999999</v>
      </c>
      <c r="AE144">
        <f t="shared" si="29"/>
        <v>18.888436610999999</v>
      </c>
      <c r="AF144" s="9"/>
      <c r="AG144" s="21">
        <v>0.57479899999999995</v>
      </c>
      <c r="AH144" s="21">
        <v>237.47800000000001</v>
      </c>
      <c r="AI144" s="21">
        <v>-1.7825299999999999E-2</v>
      </c>
      <c r="AJ144" s="21">
        <v>134</v>
      </c>
      <c r="AK144" s="21">
        <v>0.57461499999999999</v>
      </c>
      <c r="AL144">
        <f t="shared" si="30"/>
        <v>17.825299999999999</v>
      </c>
      <c r="AM144">
        <f t="shared" si="31"/>
        <v>10.245964614699998</v>
      </c>
      <c r="AP144" s="9"/>
      <c r="AQ144" s="21">
        <v>1.0752900000000001</v>
      </c>
      <c r="AR144" s="21">
        <v>295.18299999999999</v>
      </c>
      <c r="AS144" s="21">
        <v>-1.7562899999999999E-2</v>
      </c>
      <c r="AT144" s="21">
        <v>134</v>
      </c>
      <c r="AU144" s="21">
        <v>1.07483</v>
      </c>
      <c r="AV144">
        <f t="shared" si="32"/>
        <v>17.562899999999999</v>
      </c>
      <c r="AW144">
        <f t="shared" si="33"/>
        <v>18.885210741000002</v>
      </c>
      <c r="AX144" s="9"/>
      <c r="AY144" s="21">
        <v>0.57479899999999995</v>
      </c>
      <c r="AZ144" s="21">
        <v>365.613</v>
      </c>
      <c r="BA144" s="21">
        <v>-1.7797899999999998E-2</v>
      </c>
      <c r="BB144" s="21">
        <v>134</v>
      </c>
      <c r="BC144" s="21">
        <v>0.57418800000000003</v>
      </c>
      <c r="BD144">
        <f t="shared" si="34"/>
        <v>17.797899999999998</v>
      </c>
      <c r="BE144">
        <f t="shared" si="35"/>
        <v>10.230215122099999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1.0702499999999999</v>
      </c>
      <c r="H145" s="21">
        <v>31.598800000000001</v>
      </c>
      <c r="I145" s="21">
        <v>-1.75873E-2</v>
      </c>
      <c r="J145" s="21">
        <v>135</v>
      </c>
      <c r="K145" s="21">
        <v>1.0702499999999999</v>
      </c>
      <c r="L145">
        <f t="shared" si="24"/>
        <v>17.587299999999999</v>
      </c>
      <c r="M145">
        <f t="shared" si="25"/>
        <v>18.822807824999998</v>
      </c>
      <c r="N145" s="9"/>
      <c r="O145" s="21">
        <v>0.57983399999999996</v>
      </c>
      <c r="P145" s="21">
        <v>103.35899999999999</v>
      </c>
      <c r="Q145" s="21">
        <v>-1.7828400000000001E-2</v>
      </c>
      <c r="R145" s="21">
        <v>135</v>
      </c>
      <c r="S145" s="21">
        <v>0.57992600000000005</v>
      </c>
      <c r="T145">
        <f t="shared" si="26"/>
        <v>17.828400000000002</v>
      </c>
      <c r="U145">
        <f t="shared" si="27"/>
        <v>10.337512485600001</v>
      </c>
      <c r="X145" s="9"/>
      <c r="Y145" s="21">
        <v>1.0702499999999999</v>
      </c>
      <c r="Z145" s="21">
        <v>171.03399999999999</v>
      </c>
      <c r="AA145" s="21">
        <v>-1.75751E-2</v>
      </c>
      <c r="AB145" s="21">
        <v>135</v>
      </c>
      <c r="AC145" s="21">
        <v>1.0690299999999999</v>
      </c>
      <c r="AD145">
        <f t="shared" si="28"/>
        <v>17.575099999999999</v>
      </c>
      <c r="AE145">
        <f t="shared" si="29"/>
        <v>18.809750774999998</v>
      </c>
      <c r="AF145" s="9"/>
      <c r="AG145" s="21">
        <v>0.57983399999999996</v>
      </c>
      <c r="AH145" s="21">
        <v>237.57900000000001</v>
      </c>
      <c r="AI145" s="21">
        <v>-1.7825299999999999E-2</v>
      </c>
      <c r="AJ145" s="21">
        <v>135</v>
      </c>
      <c r="AK145" s="21">
        <v>0.57949799999999996</v>
      </c>
      <c r="AL145">
        <f t="shared" si="30"/>
        <v>17.825299999999999</v>
      </c>
      <c r="AM145">
        <f t="shared" si="31"/>
        <v>10.335715000199999</v>
      </c>
      <c r="AP145" s="9"/>
      <c r="AQ145" s="21">
        <v>1.0702499999999999</v>
      </c>
      <c r="AR145" s="21">
        <v>295.28399999999999</v>
      </c>
      <c r="AS145" s="21">
        <v>-1.7565899999999999E-2</v>
      </c>
      <c r="AT145" s="21">
        <v>135</v>
      </c>
      <c r="AU145" s="21">
        <v>1.0696399999999999</v>
      </c>
      <c r="AV145">
        <f t="shared" si="32"/>
        <v>17.565899999999999</v>
      </c>
      <c r="AW145">
        <f t="shared" si="33"/>
        <v>18.799904474999998</v>
      </c>
      <c r="AX145" s="9"/>
      <c r="AY145" s="21">
        <v>0.57983399999999996</v>
      </c>
      <c r="AZ145" s="21">
        <v>365.714</v>
      </c>
      <c r="BA145" s="21">
        <v>-1.7797899999999998E-2</v>
      </c>
      <c r="BB145" s="21">
        <v>135</v>
      </c>
      <c r="BC145" s="21">
        <v>0.57922399999999996</v>
      </c>
      <c r="BD145">
        <f t="shared" si="34"/>
        <v>17.797899999999998</v>
      </c>
      <c r="BE145">
        <f t="shared" si="35"/>
        <v>10.319827548599999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1.0652200000000001</v>
      </c>
      <c r="H146" s="21">
        <v>31.6995</v>
      </c>
      <c r="I146" s="21">
        <v>-1.7584200000000001E-2</v>
      </c>
      <c r="J146" s="21">
        <v>136</v>
      </c>
      <c r="K146" s="21">
        <v>1.0647599999999999</v>
      </c>
      <c r="L146">
        <f t="shared" si="24"/>
        <v>17.584200000000003</v>
      </c>
      <c r="M146">
        <f t="shared" si="25"/>
        <v>18.731041524000005</v>
      </c>
      <c r="N146" s="9"/>
      <c r="O146" s="21">
        <v>0.58486899999999997</v>
      </c>
      <c r="P146" s="21">
        <v>103.46</v>
      </c>
      <c r="Q146" s="21">
        <v>-1.78345E-2</v>
      </c>
      <c r="R146" s="21">
        <v>136</v>
      </c>
      <c r="S146" s="21">
        <v>0.58431999999999995</v>
      </c>
      <c r="T146">
        <f t="shared" si="26"/>
        <v>17.834499999999998</v>
      </c>
      <c r="U146">
        <f t="shared" si="27"/>
        <v>10.430846180499998</v>
      </c>
      <c r="X146" s="9"/>
      <c r="Y146" s="21">
        <v>1.0652200000000001</v>
      </c>
      <c r="Z146" s="21">
        <v>171.13499999999999</v>
      </c>
      <c r="AA146" s="21">
        <v>-1.7572000000000001E-2</v>
      </c>
      <c r="AB146" s="21">
        <v>136</v>
      </c>
      <c r="AC146" s="21">
        <v>1.0635399999999999</v>
      </c>
      <c r="AD146">
        <f t="shared" si="28"/>
        <v>17.571999999999999</v>
      </c>
      <c r="AE146">
        <f t="shared" si="29"/>
        <v>18.718045839999998</v>
      </c>
      <c r="AF146" s="9"/>
      <c r="AG146" s="21">
        <v>0.58486899999999997</v>
      </c>
      <c r="AH146" s="21">
        <v>237.68</v>
      </c>
      <c r="AI146" s="21">
        <v>-1.7828400000000001E-2</v>
      </c>
      <c r="AJ146" s="21">
        <v>136</v>
      </c>
      <c r="AK146" s="21">
        <v>0.58435099999999995</v>
      </c>
      <c r="AL146">
        <f t="shared" si="30"/>
        <v>17.828400000000002</v>
      </c>
      <c r="AM146">
        <f t="shared" si="31"/>
        <v>10.4272784796</v>
      </c>
      <c r="AP146" s="9"/>
      <c r="AQ146" s="21">
        <v>1.0652200000000001</v>
      </c>
      <c r="AR146" s="21">
        <v>295.38499999999999</v>
      </c>
      <c r="AS146" s="21">
        <v>-1.7562899999999999E-2</v>
      </c>
      <c r="AT146" s="21">
        <v>136</v>
      </c>
      <c r="AU146" s="21">
        <v>1.0641499999999999</v>
      </c>
      <c r="AV146">
        <f t="shared" si="32"/>
        <v>17.562899999999999</v>
      </c>
      <c r="AW146">
        <f t="shared" si="33"/>
        <v>18.708352338000001</v>
      </c>
      <c r="AX146" s="9"/>
      <c r="AY146" s="21">
        <v>0.58486899999999997</v>
      </c>
      <c r="AZ146" s="21">
        <v>365.815</v>
      </c>
      <c r="BA146" s="21">
        <v>-1.7785599999999999E-2</v>
      </c>
      <c r="BB146" s="21">
        <v>136</v>
      </c>
      <c r="BC146" s="21">
        <v>0.58425899999999997</v>
      </c>
      <c r="BD146">
        <f t="shared" si="34"/>
        <v>17.785599999999999</v>
      </c>
      <c r="BE146">
        <f t="shared" si="35"/>
        <v>10.402246086399998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1.0601799999999999</v>
      </c>
      <c r="H147" s="21">
        <v>31.8002</v>
      </c>
      <c r="I147" s="21">
        <v>-1.75873E-2</v>
      </c>
      <c r="J147" s="21">
        <v>137</v>
      </c>
      <c r="K147" s="21">
        <v>1.0592699999999999</v>
      </c>
      <c r="L147">
        <f t="shared" si="24"/>
        <v>17.587299999999999</v>
      </c>
      <c r="M147">
        <f t="shared" si="25"/>
        <v>18.645703713999996</v>
      </c>
      <c r="N147" s="9"/>
      <c r="O147" s="21">
        <v>0.58990500000000001</v>
      </c>
      <c r="P147" s="21">
        <v>103.56</v>
      </c>
      <c r="Q147" s="21">
        <v>-1.7825299999999999E-2</v>
      </c>
      <c r="R147" s="21">
        <v>137</v>
      </c>
      <c r="S147" s="21">
        <v>0.58938599999999997</v>
      </c>
      <c r="T147">
        <f t="shared" si="26"/>
        <v>17.825299999999999</v>
      </c>
      <c r="U147">
        <f t="shared" si="27"/>
        <v>10.5152335965</v>
      </c>
      <c r="X147" s="9"/>
      <c r="Y147" s="21">
        <v>1.0601799999999999</v>
      </c>
      <c r="Z147" s="21">
        <v>171.23500000000001</v>
      </c>
      <c r="AA147" s="21">
        <v>-1.7578099999999999E-2</v>
      </c>
      <c r="AB147" s="21">
        <v>137</v>
      </c>
      <c r="AC147" s="21">
        <v>1.0595699999999999</v>
      </c>
      <c r="AD147">
        <f t="shared" si="28"/>
        <v>17.578099999999999</v>
      </c>
      <c r="AE147">
        <f t="shared" si="29"/>
        <v>18.635950057999999</v>
      </c>
      <c r="AF147" s="9"/>
      <c r="AG147" s="21">
        <v>0.58990500000000001</v>
      </c>
      <c r="AH147" s="21">
        <v>237.78</v>
      </c>
      <c r="AI147" s="21">
        <v>-1.7825299999999999E-2</v>
      </c>
      <c r="AJ147" s="21">
        <v>137</v>
      </c>
      <c r="AK147" s="21">
        <v>0.58966099999999999</v>
      </c>
      <c r="AL147">
        <f t="shared" si="30"/>
        <v>17.825299999999999</v>
      </c>
      <c r="AM147">
        <f t="shared" si="31"/>
        <v>10.5152335965</v>
      </c>
      <c r="AP147" s="9"/>
      <c r="AQ147" s="21">
        <v>1.0601799999999999</v>
      </c>
      <c r="AR147" s="21">
        <v>295.48500000000001</v>
      </c>
      <c r="AS147" s="21">
        <v>-1.7572000000000001E-2</v>
      </c>
      <c r="AT147" s="21">
        <v>137</v>
      </c>
      <c r="AU147" s="21">
        <v>1.0595699999999999</v>
      </c>
      <c r="AV147">
        <f t="shared" si="32"/>
        <v>17.571999999999999</v>
      </c>
      <c r="AW147">
        <f t="shared" si="33"/>
        <v>18.629482959999997</v>
      </c>
      <c r="AX147" s="9"/>
      <c r="AY147" s="21">
        <v>0.58990500000000001</v>
      </c>
      <c r="AZ147" s="21">
        <v>365.916</v>
      </c>
      <c r="BA147" s="21">
        <v>-1.7788700000000001E-2</v>
      </c>
      <c r="BB147" s="21">
        <v>137</v>
      </c>
      <c r="BC147" s="21">
        <v>0.58914200000000005</v>
      </c>
      <c r="BD147">
        <f t="shared" si="34"/>
        <v>17.788700000000002</v>
      </c>
      <c r="BE147">
        <f t="shared" si="35"/>
        <v>10.493643073500001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1.05515</v>
      </c>
      <c r="H148" s="21">
        <v>31.9009</v>
      </c>
      <c r="I148" s="21">
        <v>-1.7599500000000001E-2</v>
      </c>
      <c r="J148" s="21">
        <v>138</v>
      </c>
      <c r="K148" s="21">
        <v>1.0546899999999999</v>
      </c>
      <c r="L148">
        <f t="shared" si="24"/>
        <v>17.599499999999999</v>
      </c>
      <c r="M148">
        <f t="shared" si="25"/>
        <v>18.570112424999998</v>
      </c>
      <c r="N148" s="9"/>
      <c r="O148" s="21">
        <v>0.59494000000000002</v>
      </c>
      <c r="P148" s="21">
        <v>103.661</v>
      </c>
      <c r="Q148" s="21">
        <v>-1.7828400000000001E-2</v>
      </c>
      <c r="R148" s="21">
        <v>138</v>
      </c>
      <c r="S148" s="21">
        <v>0.59445199999999998</v>
      </c>
      <c r="T148">
        <f t="shared" si="26"/>
        <v>17.828400000000002</v>
      </c>
      <c r="U148">
        <f t="shared" si="27"/>
        <v>10.606828296000002</v>
      </c>
      <c r="X148" s="9"/>
      <c r="Y148" s="21">
        <v>1.05515</v>
      </c>
      <c r="Z148" s="21">
        <v>171.33600000000001</v>
      </c>
      <c r="AA148" s="21">
        <v>-1.7578099999999999E-2</v>
      </c>
      <c r="AB148" s="21">
        <v>138</v>
      </c>
      <c r="AC148" s="21">
        <v>1.0534699999999999</v>
      </c>
      <c r="AD148">
        <f t="shared" si="28"/>
        <v>17.578099999999999</v>
      </c>
      <c r="AE148">
        <f t="shared" si="29"/>
        <v>18.547532215</v>
      </c>
      <c r="AF148" s="9"/>
      <c r="AG148" s="21">
        <v>0.59494000000000002</v>
      </c>
      <c r="AH148" s="21">
        <v>237.881</v>
      </c>
      <c r="AI148" s="21">
        <v>-1.7825299999999999E-2</v>
      </c>
      <c r="AJ148" s="21">
        <v>138</v>
      </c>
      <c r="AK148" s="21">
        <v>0.59454300000000004</v>
      </c>
      <c r="AL148">
        <f t="shared" si="30"/>
        <v>17.825299999999999</v>
      </c>
      <c r="AM148">
        <f t="shared" si="31"/>
        <v>10.604983982</v>
      </c>
      <c r="AP148" s="9"/>
      <c r="AQ148" s="21">
        <v>1.05515</v>
      </c>
      <c r="AR148" s="21">
        <v>295.58600000000001</v>
      </c>
      <c r="AS148" s="21">
        <v>-1.75751E-2</v>
      </c>
      <c r="AT148" s="21">
        <v>138</v>
      </c>
      <c r="AU148" s="21">
        <v>1.0546899999999999</v>
      </c>
      <c r="AV148">
        <f t="shared" si="32"/>
        <v>17.575099999999999</v>
      </c>
      <c r="AW148">
        <f t="shared" si="33"/>
        <v>18.544366764999999</v>
      </c>
      <c r="AX148" s="9"/>
      <c r="AY148" s="21">
        <v>0.59494000000000002</v>
      </c>
      <c r="AZ148" s="21">
        <v>366.01600000000002</v>
      </c>
      <c r="BA148" s="21">
        <v>-1.7785599999999999E-2</v>
      </c>
      <c r="BB148" s="21">
        <v>138</v>
      </c>
      <c r="BC148" s="21">
        <v>0.59411599999999998</v>
      </c>
      <c r="BD148">
        <f t="shared" si="34"/>
        <v>17.785599999999999</v>
      </c>
      <c r="BE148">
        <f t="shared" si="35"/>
        <v>10.581364863999999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1.0501100000000001</v>
      </c>
      <c r="H149" s="21">
        <v>32.001600000000003</v>
      </c>
      <c r="I149" s="21">
        <v>-1.7599500000000001E-2</v>
      </c>
      <c r="J149" s="21">
        <v>139</v>
      </c>
      <c r="K149" s="21">
        <v>1.0491900000000001</v>
      </c>
      <c r="L149">
        <f t="shared" si="24"/>
        <v>17.599499999999999</v>
      </c>
      <c r="M149">
        <f t="shared" si="25"/>
        <v>18.481410945</v>
      </c>
      <c r="N149" s="9"/>
      <c r="O149" s="21">
        <v>0.59997599999999995</v>
      </c>
      <c r="P149" s="21">
        <v>103.762</v>
      </c>
      <c r="Q149" s="21">
        <v>-1.7822299999999999E-2</v>
      </c>
      <c r="R149" s="21">
        <v>139</v>
      </c>
      <c r="S149" s="21">
        <v>0.599213</v>
      </c>
      <c r="T149">
        <f t="shared" si="26"/>
        <v>17.822299999999998</v>
      </c>
      <c r="U149">
        <f t="shared" si="27"/>
        <v>10.692952264799999</v>
      </c>
      <c r="X149" s="9"/>
      <c r="Y149" s="21">
        <v>1.0501100000000001</v>
      </c>
      <c r="Z149" s="21">
        <v>171.43700000000001</v>
      </c>
      <c r="AA149" s="21">
        <v>-1.75873E-2</v>
      </c>
      <c r="AB149" s="21">
        <v>139</v>
      </c>
      <c r="AC149" s="21">
        <v>1.0495000000000001</v>
      </c>
      <c r="AD149">
        <f t="shared" si="28"/>
        <v>17.587299999999999</v>
      </c>
      <c r="AE149">
        <f t="shared" si="29"/>
        <v>18.468599603000001</v>
      </c>
      <c r="AF149" s="9"/>
      <c r="AG149" s="21">
        <v>0.59997599999999995</v>
      </c>
      <c r="AH149" s="21">
        <v>237.982</v>
      </c>
      <c r="AI149" s="21">
        <v>-1.7816200000000001E-2</v>
      </c>
      <c r="AJ149" s="21">
        <v>139</v>
      </c>
      <c r="AK149" s="21">
        <v>0.59954799999999997</v>
      </c>
      <c r="AL149">
        <f t="shared" si="30"/>
        <v>17.816200000000002</v>
      </c>
      <c r="AM149">
        <f t="shared" si="31"/>
        <v>10.6892924112</v>
      </c>
      <c r="AP149" s="9"/>
      <c r="AQ149" s="21">
        <v>1.0501100000000001</v>
      </c>
      <c r="AR149" s="21">
        <v>295.68700000000001</v>
      </c>
      <c r="AS149" s="21">
        <v>-1.7572000000000001E-2</v>
      </c>
      <c r="AT149" s="21">
        <v>139</v>
      </c>
      <c r="AU149" s="21">
        <v>1.0488900000000001</v>
      </c>
      <c r="AV149">
        <f t="shared" si="32"/>
        <v>17.571999999999999</v>
      </c>
      <c r="AW149">
        <f t="shared" si="33"/>
        <v>18.452532919999999</v>
      </c>
      <c r="AX149" s="9"/>
      <c r="AY149" s="21">
        <v>0.59997599999999995</v>
      </c>
      <c r="AZ149" s="21">
        <v>366.11700000000002</v>
      </c>
      <c r="BA149" s="21">
        <v>-1.7782599999999999E-2</v>
      </c>
      <c r="BB149" s="21">
        <v>139</v>
      </c>
      <c r="BC149" s="21">
        <v>0.59942600000000001</v>
      </c>
      <c r="BD149">
        <f t="shared" si="34"/>
        <v>17.782599999999999</v>
      </c>
      <c r="BE149">
        <f t="shared" si="35"/>
        <v>10.669133217599999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1.0450699999999999</v>
      </c>
      <c r="H150" s="21">
        <v>32.1023</v>
      </c>
      <c r="I150" s="21">
        <v>-1.76025E-2</v>
      </c>
      <c r="J150" s="21">
        <v>140</v>
      </c>
      <c r="K150" s="21">
        <v>1.0440100000000001</v>
      </c>
      <c r="L150">
        <f t="shared" si="24"/>
        <v>17.602499999999999</v>
      </c>
      <c r="M150">
        <f t="shared" si="25"/>
        <v>18.395844674999999</v>
      </c>
      <c r="N150" s="9"/>
      <c r="O150" s="21">
        <v>0.60501099999999997</v>
      </c>
      <c r="P150" s="21">
        <v>103.86199999999999</v>
      </c>
      <c r="Q150" s="21">
        <v>-1.78192E-2</v>
      </c>
      <c r="R150" s="21">
        <v>140</v>
      </c>
      <c r="S150" s="21">
        <v>0.60464499999999999</v>
      </c>
      <c r="T150">
        <f t="shared" si="26"/>
        <v>17.819199999999999</v>
      </c>
      <c r="U150">
        <f t="shared" si="27"/>
        <v>10.780812011199998</v>
      </c>
      <c r="X150" s="9"/>
      <c r="Y150" s="21">
        <v>1.0450699999999999</v>
      </c>
      <c r="Z150" s="21">
        <v>171.53800000000001</v>
      </c>
      <c r="AA150" s="21">
        <v>-1.7584200000000001E-2</v>
      </c>
      <c r="AB150" s="21">
        <v>140</v>
      </c>
      <c r="AC150" s="21">
        <v>1.0446200000000001</v>
      </c>
      <c r="AD150">
        <f t="shared" si="28"/>
        <v>17.584200000000003</v>
      </c>
      <c r="AE150">
        <f t="shared" si="29"/>
        <v>18.376719894000001</v>
      </c>
      <c r="AF150" s="9"/>
      <c r="AG150" s="21">
        <v>0.60501099999999997</v>
      </c>
      <c r="AH150" s="21">
        <v>238.083</v>
      </c>
      <c r="AI150" s="21">
        <v>-1.7810099999999999E-2</v>
      </c>
      <c r="AJ150" s="21">
        <v>140</v>
      </c>
      <c r="AK150" s="21">
        <v>0.60430899999999999</v>
      </c>
      <c r="AL150">
        <f t="shared" si="30"/>
        <v>17.810099999999998</v>
      </c>
      <c r="AM150">
        <f t="shared" si="31"/>
        <v>10.775306411099999</v>
      </c>
      <c r="AP150" s="9"/>
      <c r="AQ150" s="21">
        <v>1.0450699999999999</v>
      </c>
      <c r="AR150" s="21">
        <v>295.78699999999998</v>
      </c>
      <c r="AS150" s="21">
        <v>-1.7578099999999999E-2</v>
      </c>
      <c r="AT150" s="21">
        <v>140</v>
      </c>
      <c r="AU150" s="21">
        <v>1.0443100000000001</v>
      </c>
      <c r="AV150">
        <f t="shared" si="32"/>
        <v>17.578099999999999</v>
      </c>
      <c r="AW150">
        <f t="shared" si="33"/>
        <v>18.370344966999998</v>
      </c>
      <c r="AX150" s="9"/>
      <c r="AY150" s="21">
        <v>0.60501099999999997</v>
      </c>
      <c r="AZ150" s="21">
        <v>366.21800000000002</v>
      </c>
      <c r="BA150" s="21">
        <v>-1.7785599999999999E-2</v>
      </c>
      <c r="BB150" s="21">
        <v>140</v>
      </c>
      <c r="BC150" s="21">
        <v>0.60415600000000003</v>
      </c>
      <c r="BD150">
        <f t="shared" si="34"/>
        <v>17.785599999999999</v>
      </c>
      <c r="BE150">
        <f t="shared" si="35"/>
        <v>10.760483641599999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1.0400400000000001</v>
      </c>
      <c r="H151" s="21">
        <v>32.203000000000003</v>
      </c>
      <c r="I151" s="21">
        <v>-1.7605599999999999E-2</v>
      </c>
      <c r="J151" s="21">
        <v>141</v>
      </c>
      <c r="K151" s="21">
        <v>1.03973</v>
      </c>
      <c r="L151">
        <f t="shared" si="24"/>
        <v>17.605599999999999</v>
      </c>
      <c r="M151">
        <f t="shared" si="25"/>
        <v>18.310528223999999</v>
      </c>
      <c r="N151" s="9"/>
      <c r="O151" s="21">
        <v>0.61004599999999998</v>
      </c>
      <c r="P151" s="21">
        <v>103.96299999999999</v>
      </c>
      <c r="Q151" s="21">
        <v>-1.7816200000000001E-2</v>
      </c>
      <c r="R151" s="21">
        <v>141</v>
      </c>
      <c r="S151" s="21">
        <v>0.60922200000000004</v>
      </c>
      <c r="T151">
        <f t="shared" si="26"/>
        <v>17.816200000000002</v>
      </c>
      <c r="U151">
        <f t="shared" si="27"/>
        <v>10.8687015452</v>
      </c>
      <c r="X151" s="9"/>
      <c r="Y151" s="21">
        <v>1.0400400000000001</v>
      </c>
      <c r="Z151" s="21">
        <v>171.63800000000001</v>
      </c>
      <c r="AA151" s="21">
        <v>-1.75873E-2</v>
      </c>
      <c r="AB151" s="21">
        <v>141</v>
      </c>
      <c r="AC151" s="21">
        <v>1.0394300000000001</v>
      </c>
      <c r="AD151">
        <f t="shared" si="28"/>
        <v>17.587299999999999</v>
      </c>
      <c r="AE151">
        <f t="shared" si="29"/>
        <v>18.291495491999999</v>
      </c>
      <c r="AF151" s="9"/>
      <c r="AG151" s="21">
        <v>0.61004599999999998</v>
      </c>
      <c r="AH151" s="21">
        <v>238.18299999999999</v>
      </c>
      <c r="AI151" s="21">
        <v>-1.7813099999999998E-2</v>
      </c>
      <c r="AJ151" s="21">
        <v>141</v>
      </c>
      <c r="AK151" s="21">
        <v>0.60907</v>
      </c>
      <c r="AL151">
        <f t="shared" si="30"/>
        <v>17.813099999999999</v>
      </c>
      <c r="AM151">
        <f t="shared" si="31"/>
        <v>10.866810402599999</v>
      </c>
      <c r="AP151" s="9"/>
      <c r="AQ151" s="21">
        <v>1.0400400000000001</v>
      </c>
      <c r="AR151" s="21">
        <v>295.88799999999998</v>
      </c>
      <c r="AS151" s="21">
        <v>-1.7572000000000001E-2</v>
      </c>
      <c r="AT151" s="21">
        <v>141</v>
      </c>
      <c r="AU151" s="21">
        <v>1.0394300000000001</v>
      </c>
      <c r="AV151">
        <f t="shared" si="32"/>
        <v>17.571999999999999</v>
      </c>
      <c r="AW151">
        <f t="shared" si="33"/>
        <v>18.275582880000002</v>
      </c>
      <c r="AX151" s="9"/>
      <c r="AY151" s="21">
        <v>0.61004599999999998</v>
      </c>
      <c r="AZ151" s="21">
        <v>366.31799999999998</v>
      </c>
      <c r="BA151" s="21">
        <v>-1.77795E-2</v>
      </c>
      <c r="BB151" s="21">
        <v>141</v>
      </c>
      <c r="BC151" s="21">
        <v>0.60907</v>
      </c>
      <c r="BD151">
        <f t="shared" si="34"/>
        <v>17.779499999999999</v>
      </c>
      <c r="BE151">
        <f t="shared" si="35"/>
        <v>10.846312856999999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1.0349999999999999</v>
      </c>
      <c r="H152" s="21">
        <v>32.303699999999999</v>
      </c>
      <c r="I152" s="21">
        <v>-1.7611700000000001E-2</v>
      </c>
      <c r="J152" s="21">
        <v>142</v>
      </c>
      <c r="K152" s="21">
        <v>1.0339400000000001</v>
      </c>
      <c r="L152">
        <f t="shared" si="24"/>
        <v>17.611700000000003</v>
      </c>
      <c r="M152">
        <f t="shared" si="25"/>
        <v>18.228109500000002</v>
      </c>
      <c r="N152" s="9"/>
      <c r="O152" s="21">
        <v>0.61508200000000002</v>
      </c>
      <c r="P152" s="21">
        <v>104.06399999999999</v>
      </c>
      <c r="Q152" s="21">
        <v>-1.78192E-2</v>
      </c>
      <c r="R152" s="21">
        <v>142</v>
      </c>
      <c r="S152" s="21">
        <v>0.61441000000000001</v>
      </c>
      <c r="T152">
        <f t="shared" si="26"/>
        <v>17.819199999999999</v>
      </c>
      <c r="U152">
        <f t="shared" si="27"/>
        <v>10.960269174399999</v>
      </c>
      <c r="X152" s="9"/>
      <c r="Y152" s="21">
        <v>1.0349999999999999</v>
      </c>
      <c r="Z152" s="21">
        <v>171.739</v>
      </c>
      <c r="AA152" s="21">
        <v>-1.75903E-2</v>
      </c>
      <c r="AB152" s="21">
        <v>142</v>
      </c>
      <c r="AC152" s="21">
        <v>1.0345500000000001</v>
      </c>
      <c r="AD152">
        <f t="shared" si="28"/>
        <v>17.590299999999999</v>
      </c>
      <c r="AE152">
        <f t="shared" si="29"/>
        <v>18.205960499999996</v>
      </c>
      <c r="AF152" s="9"/>
      <c r="AG152" s="21">
        <v>0.61508200000000002</v>
      </c>
      <c r="AH152" s="21">
        <v>238.28399999999999</v>
      </c>
      <c r="AI152" s="21">
        <v>-1.7807E-2</v>
      </c>
      <c r="AJ152" s="21">
        <v>142</v>
      </c>
      <c r="AK152" s="21">
        <v>0.61413600000000002</v>
      </c>
      <c r="AL152">
        <f t="shared" si="30"/>
        <v>17.806999999999999</v>
      </c>
      <c r="AM152">
        <f t="shared" si="31"/>
        <v>10.952765174</v>
      </c>
      <c r="AP152" s="9"/>
      <c r="AQ152" s="21">
        <v>1.0349999999999999</v>
      </c>
      <c r="AR152" s="21">
        <v>295.98899999999998</v>
      </c>
      <c r="AS152" s="21">
        <v>-1.75873E-2</v>
      </c>
      <c r="AT152" s="21">
        <v>142</v>
      </c>
      <c r="AU152" s="21">
        <v>1.03424</v>
      </c>
      <c r="AV152">
        <f t="shared" si="32"/>
        <v>17.587299999999999</v>
      </c>
      <c r="AW152">
        <f t="shared" si="33"/>
        <v>18.202855499999998</v>
      </c>
      <c r="AX152" s="9"/>
      <c r="AY152" s="21">
        <v>0.61508200000000002</v>
      </c>
      <c r="AZ152" s="21">
        <v>366.41899999999998</v>
      </c>
      <c r="BA152" s="21">
        <v>-1.77795E-2</v>
      </c>
      <c r="BB152" s="21">
        <v>142</v>
      </c>
      <c r="BC152" s="21">
        <v>0.61459399999999997</v>
      </c>
      <c r="BD152">
        <f t="shared" si="34"/>
        <v>17.779499999999999</v>
      </c>
      <c r="BE152">
        <f t="shared" si="35"/>
        <v>10.935850418999999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1.0299700000000001</v>
      </c>
      <c r="H153" s="21">
        <v>32.404400000000003</v>
      </c>
      <c r="I153" s="21">
        <v>-1.7611700000000001E-2</v>
      </c>
      <c r="J153" s="21">
        <v>143</v>
      </c>
      <c r="K153" s="21">
        <v>1.02905</v>
      </c>
      <c r="L153">
        <f t="shared" si="24"/>
        <v>17.611700000000003</v>
      </c>
      <c r="M153">
        <f t="shared" si="25"/>
        <v>18.139522649000003</v>
      </c>
      <c r="N153" s="9"/>
      <c r="O153" s="21">
        <v>0.62011700000000003</v>
      </c>
      <c r="P153" s="21">
        <v>104.16500000000001</v>
      </c>
      <c r="Q153" s="21">
        <v>-1.7816200000000001E-2</v>
      </c>
      <c r="R153" s="21">
        <v>143</v>
      </c>
      <c r="S153" s="21">
        <v>0.61996499999999999</v>
      </c>
      <c r="T153">
        <f t="shared" si="26"/>
        <v>17.816200000000002</v>
      </c>
      <c r="U153">
        <f t="shared" si="27"/>
        <v>11.048128495400002</v>
      </c>
      <c r="X153" s="9"/>
      <c r="Y153" s="21">
        <v>1.0299700000000001</v>
      </c>
      <c r="Z153" s="21">
        <v>171.84</v>
      </c>
      <c r="AA153" s="21">
        <v>-1.7599500000000001E-2</v>
      </c>
      <c r="AB153" s="21">
        <v>143</v>
      </c>
      <c r="AC153" s="21">
        <v>1.02905</v>
      </c>
      <c r="AD153">
        <f t="shared" si="28"/>
        <v>17.599499999999999</v>
      </c>
      <c r="AE153">
        <f t="shared" si="29"/>
        <v>18.126957014999999</v>
      </c>
      <c r="AF153" s="9"/>
      <c r="AG153" s="21">
        <v>0.62011700000000003</v>
      </c>
      <c r="AH153" s="21">
        <v>238.38499999999999</v>
      </c>
      <c r="AI153" s="21">
        <v>-1.7807E-2</v>
      </c>
      <c r="AJ153" s="21">
        <v>143</v>
      </c>
      <c r="AK153" s="21">
        <v>0.61959799999999998</v>
      </c>
      <c r="AL153">
        <f t="shared" si="30"/>
        <v>17.806999999999999</v>
      </c>
      <c r="AM153">
        <f t="shared" si="31"/>
        <v>11.042423419</v>
      </c>
      <c r="AP153" s="9"/>
      <c r="AQ153" s="21">
        <v>1.0299700000000001</v>
      </c>
      <c r="AR153" s="21">
        <v>296.08999999999997</v>
      </c>
      <c r="AS153" s="21">
        <v>-1.75873E-2</v>
      </c>
      <c r="AT153" s="21">
        <v>143</v>
      </c>
      <c r="AU153" s="21">
        <v>1.02905</v>
      </c>
      <c r="AV153">
        <f t="shared" si="32"/>
        <v>17.587299999999999</v>
      </c>
      <c r="AW153">
        <f t="shared" si="33"/>
        <v>18.114391381000001</v>
      </c>
      <c r="AX153" s="9"/>
      <c r="AY153" s="21">
        <v>0.62011700000000003</v>
      </c>
      <c r="AZ153" s="21">
        <v>366.52</v>
      </c>
      <c r="BA153" s="21">
        <v>-1.7770399999999999E-2</v>
      </c>
      <c r="BB153" s="21">
        <v>143</v>
      </c>
      <c r="BC153" s="21">
        <v>0.61956800000000001</v>
      </c>
      <c r="BD153">
        <f t="shared" si="34"/>
        <v>17.770399999999999</v>
      </c>
      <c r="BE153">
        <f t="shared" si="35"/>
        <v>11.0197271368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1.0249299999999999</v>
      </c>
      <c r="H154" s="21">
        <v>32.505099999999999</v>
      </c>
      <c r="I154" s="21">
        <v>-1.7605599999999999E-2</v>
      </c>
      <c r="J154" s="21">
        <v>144</v>
      </c>
      <c r="K154" s="21">
        <v>1.0244800000000001</v>
      </c>
      <c r="L154">
        <f t="shared" si="24"/>
        <v>17.605599999999999</v>
      </c>
      <c r="M154">
        <f t="shared" si="25"/>
        <v>18.044507607999996</v>
      </c>
      <c r="N154" s="9"/>
      <c r="O154" s="21">
        <v>0.62515299999999996</v>
      </c>
      <c r="P154" s="21">
        <v>104.265</v>
      </c>
      <c r="Q154" s="21">
        <v>-1.7816200000000001E-2</v>
      </c>
      <c r="R154" s="21">
        <v>144</v>
      </c>
      <c r="S154" s="21">
        <v>0.624664</v>
      </c>
      <c r="T154">
        <f t="shared" si="26"/>
        <v>17.816200000000002</v>
      </c>
      <c r="U154">
        <f t="shared" si="27"/>
        <v>11.1378508786</v>
      </c>
      <c r="X154" s="9"/>
      <c r="Y154" s="21">
        <v>1.0249299999999999</v>
      </c>
      <c r="Z154" s="21">
        <v>171.94</v>
      </c>
      <c r="AA154" s="21">
        <v>-1.76025E-2</v>
      </c>
      <c r="AB154" s="21">
        <v>144</v>
      </c>
      <c r="AC154" s="21">
        <v>1.02478</v>
      </c>
      <c r="AD154">
        <f t="shared" si="28"/>
        <v>17.602499999999999</v>
      </c>
      <c r="AE154">
        <f t="shared" si="29"/>
        <v>18.041330324999997</v>
      </c>
      <c r="AF154" s="9"/>
      <c r="AG154" s="21">
        <v>0.62515299999999996</v>
      </c>
      <c r="AH154" s="21">
        <v>238.48500000000001</v>
      </c>
      <c r="AI154" s="21">
        <v>-1.7800900000000001E-2</v>
      </c>
      <c r="AJ154" s="21">
        <v>144</v>
      </c>
      <c r="AK154" s="21">
        <v>0.62463400000000002</v>
      </c>
      <c r="AL154">
        <f t="shared" si="30"/>
        <v>17.800900000000002</v>
      </c>
      <c r="AM154">
        <f t="shared" si="31"/>
        <v>11.128286037700001</v>
      </c>
      <c r="AP154" s="9"/>
      <c r="AQ154" s="21">
        <v>1.0249299999999999</v>
      </c>
      <c r="AR154" s="21">
        <v>296.19</v>
      </c>
      <c r="AS154" s="21">
        <v>-1.7596400000000002E-2</v>
      </c>
      <c r="AT154" s="21">
        <v>144</v>
      </c>
      <c r="AU154" s="21">
        <v>1.02356</v>
      </c>
      <c r="AV154">
        <f t="shared" si="32"/>
        <v>17.596400000000003</v>
      </c>
      <c r="AW154">
        <f t="shared" si="33"/>
        <v>18.035078252000002</v>
      </c>
      <c r="AX154" s="9"/>
      <c r="AY154" s="21">
        <v>0.62515299999999996</v>
      </c>
      <c r="AZ154" s="21">
        <v>366.62</v>
      </c>
      <c r="BA154" s="21">
        <v>-1.7773400000000002E-2</v>
      </c>
      <c r="BB154" s="21">
        <v>144</v>
      </c>
      <c r="BC154" s="21">
        <v>0.62481699999999996</v>
      </c>
      <c r="BD154">
        <f t="shared" si="34"/>
        <v>17.773400000000002</v>
      </c>
      <c r="BE154">
        <f t="shared" si="35"/>
        <v>11.1110943302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1.0199</v>
      </c>
      <c r="H155" s="21">
        <v>32.605899999999998</v>
      </c>
      <c r="I155" s="21">
        <v>-1.7620799999999999E-2</v>
      </c>
      <c r="J155" s="21">
        <v>145</v>
      </c>
      <c r="K155" s="21">
        <v>1.01868</v>
      </c>
      <c r="L155">
        <f t="shared" si="24"/>
        <v>17.620799999999999</v>
      </c>
      <c r="M155">
        <f t="shared" si="25"/>
        <v>17.971453919999998</v>
      </c>
      <c r="N155" s="9"/>
      <c r="O155" s="21">
        <v>0.63018799999999997</v>
      </c>
      <c r="P155" s="21">
        <v>104.366</v>
      </c>
      <c r="Q155" s="21">
        <v>-1.7813099999999998E-2</v>
      </c>
      <c r="R155" s="21">
        <v>145</v>
      </c>
      <c r="S155" s="21">
        <v>0.62970000000000004</v>
      </c>
      <c r="T155">
        <f t="shared" si="26"/>
        <v>17.813099999999999</v>
      </c>
      <c r="U155">
        <f t="shared" si="27"/>
        <v>11.225601862799998</v>
      </c>
      <c r="X155" s="9"/>
      <c r="Y155" s="21">
        <v>1.0199</v>
      </c>
      <c r="Z155" s="21">
        <v>172.041</v>
      </c>
      <c r="AA155" s="21">
        <v>-1.7596400000000002E-2</v>
      </c>
      <c r="AB155" s="21">
        <v>145</v>
      </c>
      <c r="AC155" s="21">
        <v>1.01929</v>
      </c>
      <c r="AD155">
        <f t="shared" si="28"/>
        <v>17.596400000000003</v>
      </c>
      <c r="AE155">
        <f t="shared" si="29"/>
        <v>17.946568360000004</v>
      </c>
      <c r="AF155" s="9"/>
      <c r="AG155" s="21">
        <v>0.63018799999999997</v>
      </c>
      <c r="AH155" s="21">
        <v>238.58600000000001</v>
      </c>
      <c r="AI155" s="21">
        <v>-1.7804E-2</v>
      </c>
      <c r="AJ155" s="21">
        <v>145</v>
      </c>
      <c r="AK155" s="21">
        <v>0.62945600000000002</v>
      </c>
      <c r="AL155">
        <f t="shared" si="30"/>
        <v>17.804000000000002</v>
      </c>
      <c r="AM155">
        <f t="shared" si="31"/>
        <v>11.219867152000001</v>
      </c>
      <c r="AP155" s="9"/>
      <c r="AQ155" s="21">
        <v>1.0199</v>
      </c>
      <c r="AR155" s="21">
        <v>296.291</v>
      </c>
      <c r="AS155" s="21">
        <v>-1.7599500000000001E-2</v>
      </c>
      <c r="AT155" s="21">
        <v>145</v>
      </c>
      <c r="AU155" s="21">
        <v>1.01898</v>
      </c>
      <c r="AV155">
        <f t="shared" si="32"/>
        <v>17.599499999999999</v>
      </c>
      <c r="AW155">
        <f t="shared" si="33"/>
        <v>17.949730049999999</v>
      </c>
      <c r="AX155" s="9"/>
      <c r="AY155" s="21">
        <v>0.63018799999999997</v>
      </c>
      <c r="AZ155" s="21">
        <v>366.721</v>
      </c>
      <c r="BA155" s="21">
        <v>-1.77673E-2</v>
      </c>
      <c r="BB155" s="21">
        <v>145</v>
      </c>
      <c r="BC155" s="21">
        <v>0.63027999999999995</v>
      </c>
      <c r="BD155">
        <f t="shared" si="34"/>
        <v>17.767299999999999</v>
      </c>
      <c r="BE155">
        <f t="shared" si="35"/>
        <v>11.196739252399999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1.0148600000000001</v>
      </c>
      <c r="H156" s="21">
        <v>32.706600000000002</v>
      </c>
      <c r="I156" s="21">
        <v>-1.7620799999999999E-2</v>
      </c>
      <c r="J156" s="21">
        <v>146</v>
      </c>
      <c r="K156" s="21">
        <v>1.0141</v>
      </c>
      <c r="L156">
        <f t="shared" si="24"/>
        <v>17.620799999999999</v>
      </c>
      <c r="M156">
        <f t="shared" si="25"/>
        <v>17.882645088</v>
      </c>
      <c r="N156" s="9"/>
      <c r="O156" s="21">
        <v>0.63522299999999998</v>
      </c>
      <c r="P156" s="21">
        <v>104.467</v>
      </c>
      <c r="Q156" s="21">
        <v>-1.7810099999999999E-2</v>
      </c>
      <c r="R156" s="21">
        <v>146</v>
      </c>
      <c r="S156" s="21">
        <v>0.63446000000000002</v>
      </c>
      <c r="T156">
        <f t="shared" si="26"/>
        <v>17.810099999999998</v>
      </c>
      <c r="U156">
        <f t="shared" si="27"/>
        <v>11.313385152299999</v>
      </c>
      <c r="X156" s="9"/>
      <c r="Y156" s="21">
        <v>1.0148600000000001</v>
      </c>
      <c r="Z156" s="21">
        <v>172.142</v>
      </c>
      <c r="AA156" s="21">
        <v>-1.7605599999999999E-2</v>
      </c>
      <c r="AB156" s="21">
        <v>146</v>
      </c>
      <c r="AC156" s="21">
        <v>1.01349</v>
      </c>
      <c r="AD156">
        <f t="shared" si="28"/>
        <v>17.605599999999999</v>
      </c>
      <c r="AE156">
        <f t="shared" si="29"/>
        <v>17.867219216000002</v>
      </c>
      <c r="AF156" s="9"/>
      <c r="AG156" s="21">
        <v>0.63522299999999998</v>
      </c>
      <c r="AH156" s="21">
        <v>238.68700000000001</v>
      </c>
      <c r="AI156" s="21">
        <v>-1.7804E-2</v>
      </c>
      <c r="AJ156" s="21">
        <v>146</v>
      </c>
      <c r="AK156" s="21">
        <v>0.63458300000000001</v>
      </c>
      <c r="AL156">
        <f t="shared" si="30"/>
        <v>17.804000000000002</v>
      </c>
      <c r="AM156">
        <f t="shared" si="31"/>
        <v>11.309510292000001</v>
      </c>
      <c r="AP156" s="9"/>
      <c r="AQ156" s="21">
        <v>1.0148600000000001</v>
      </c>
      <c r="AR156" s="21">
        <v>296.392</v>
      </c>
      <c r="AS156" s="21">
        <v>-1.76025E-2</v>
      </c>
      <c r="AT156" s="21">
        <v>146</v>
      </c>
      <c r="AU156" s="21">
        <v>1.0141</v>
      </c>
      <c r="AV156">
        <f t="shared" si="32"/>
        <v>17.602499999999999</v>
      </c>
      <c r="AW156">
        <f t="shared" si="33"/>
        <v>17.864073149999999</v>
      </c>
      <c r="AX156" s="9"/>
      <c r="AY156" s="21">
        <v>0.63522299999999998</v>
      </c>
      <c r="AZ156" s="21">
        <v>366.822</v>
      </c>
      <c r="BA156" s="21">
        <v>-1.77643E-2</v>
      </c>
      <c r="BB156" s="21">
        <v>146</v>
      </c>
      <c r="BC156" s="21">
        <v>0.634552</v>
      </c>
      <c r="BD156">
        <f t="shared" si="34"/>
        <v>17.764299999999999</v>
      </c>
      <c r="BE156">
        <f t="shared" si="35"/>
        <v>11.284291938899999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1.00983</v>
      </c>
      <c r="H157" s="21">
        <v>32.807299999999998</v>
      </c>
      <c r="I157" s="21">
        <v>-1.7620799999999999E-2</v>
      </c>
      <c r="J157" s="21">
        <v>147</v>
      </c>
      <c r="K157" s="21">
        <v>1.00891</v>
      </c>
      <c r="L157">
        <f t="shared" si="24"/>
        <v>17.620799999999999</v>
      </c>
      <c r="M157">
        <f t="shared" si="25"/>
        <v>17.794012463999998</v>
      </c>
      <c r="N157" s="9"/>
      <c r="O157" s="21">
        <v>0.64025900000000002</v>
      </c>
      <c r="P157" s="21">
        <v>104.56699999999999</v>
      </c>
      <c r="Q157" s="21">
        <v>-1.7807E-2</v>
      </c>
      <c r="R157" s="21">
        <v>147</v>
      </c>
      <c r="S157" s="21">
        <v>0.63977099999999998</v>
      </c>
      <c r="T157">
        <f t="shared" si="26"/>
        <v>17.806999999999999</v>
      </c>
      <c r="U157">
        <f t="shared" si="27"/>
        <v>11.401092013</v>
      </c>
      <c r="X157" s="9"/>
      <c r="Y157" s="21">
        <v>1.00983</v>
      </c>
      <c r="Z157" s="21">
        <v>172.24199999999999</v>
      </c>
      <c r="AA157" s="21">
        <v>-1.7605599999999999E-2</v>
      </c>
      <c r="AB157" s="21">
        <v>147</v>
      </c>
      <c r="AC157" s="21">
        <v>1.0067699999999999</v>
      </c>
      <c r="AD157">
        <f t="shared" si="28"/>
        <v>17.605599999999999</v>
      </c>
      <c r="AE157">
        <f t="shared" si="29"/>
        <v>17.778663047999999</v>
      </c>
      <c r="AF157" s="9"/>
      <c r="AG157" s="21">
        <v>0.64025900000000002</v>
      </c>
      <c r="AH157" s="21">
        <v>238.78800000000001</v>
      </c>
      <c r="AI157" s="21">
        <v>-1.7800900000000001E-2</v>
      </c>
      <c r="AJ157" s="21">
        <v>147</v>
      </c>
      <c r="AK157" s="21">
        <v>0.64004499999999998</v>
      </c>
      <c r="AL157">
        <f t="shared" si="30"/>
        <v>17.800900000000002</v>
      </c>
      <c r="AM157">
        <f t="shared" si="31"/>
        <v>11.397186433100002</v>
      </c>
      <c r="AP157" s="9"/>
      <c r="AQ157" s="21">
        <v>1.00983</v>
      </c>
      <c r="AR157" s="21">
        <v>296.49200000000002</v>
      </c>
      <c r="AS157" s="21">
        <v>-1.7596400000000002E-2</v>
      </c>
      <c r="AT157" s="21">
        <v>147</v>
      </c>
      <c r="AU157" s="21">
        <v>1.0083</v>
      </c>
      <c r="AV157">
        <f t="shared" si="32"/>
        <v>17.596400000000003</v>
      </c>
      <c r="AW157">
        <f t="shared" si="33"/>
        <v>17.769372612000002</v>
      </c>
      <c r="AX157" s="9"/>
      <c r="AY157" s="21">
        <v>0.64025900000000002</v>
      </c>
      <c r="AZ157" s="21">
        <v>366.923</v>
      </c>
      <c r="BA157" s="21">
        <v>-1.77643E-2</v>
      </c>
      <c r="BB157" s="21">
        <v>147</v>
      </c>
      <c r="BC157" s="21">
        <v>0.63949599999999995</v>
      </c>
      <c r="BD157">
        <f t="shared" si="34"/>
        <v>17.764299999999999</v>
      </c>
      <c r="BE157">
        <f t="shared" si="35"/>
        <v>11.3737529537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1.0047900000000001</v>
      </c>
      <c r="H158" s="21">
        <v>32.908000000000001</v>
      </c>
      <c r="I158" s="21">
        <v>-1.7627E-2</v>
      </c>
      <c r="J158" s="21">
        <v>148</v>
      </c>
      <c r="K158" s="21">
        <v>1.00403</v>
      </c>
      <c r="L158">
        <f t="shared" si="24"/>
        <v>17.626999999999999</v>
      </c>
      <c r="M158">
        <f t="shared" si="25"/>
        <v>17.711433329999998</v>
      </c>
      <c r="N158" s="9"/>
      <c r="O158" s="21">
        <v>0.64529400000000003</v>
      </c>
      <c r="P158" s="21">
        <v>104.66800000000001</v>
      </c>
      <c r="Q158" s="21">
        <v>-1.7804E-2</v>
      </c>
      <c r="R158" s="21">
        <v>148</v>
      </c>
      <c r="S158" s="21">
        <v>0.64474500000000001</v>
      </c>
      <c r="T158">
        <f t="shared" si="26"/>
        <v>17.804000000000002</v>
      </c>
      <c r="U158">
        <f t="shared" si="27"/>
        <v>11.488814376000002</v>
      </c>
      <c r="X158" s="9"/>
      <c r="Y158" s="21">
        <v>1.0047900000000001</v>
      </c>
      <c r="Z158" s="21">
        <v>172.34299999999999</v>
      </c>
      <c r="AA158" s="21">
        <v>-1.7623900000000001E-2</v>
      </c>
      <c r="AB158" s="21">
        <v>148</v>
      </c>
      <c r="AC158" s="21">
        <v>1.00403</v>
      </c>
      <c r="AD158">
        <f t="shared" si="28"/>
        <v>17.623900000000003</v>
      </c>
      <c r="AE158">
        <f t="shared" si="29"/>
        <v>17.708318481000003</v>
      </c>
      <c r="AF158" s="9"/>
      <c r="AG158" s="21">
        <v>0.64529400000000003</v>
      </c>
      <c r="AH158" s="21">
        <v>238.88800000000001</v>
      </c>
      <c r="AI158" s="21">
        <v>-1.7804E-2</v>
      </c>
      <c r="AJ158" s="21">
        <v>148</v>
      </c>
      <c r="AK158" s="21">
        <v>0.64523299999999995</v>
      </c>
      <c r="AL158">
        <f t="shared" si="30"/>
        <v>17.804000000000002</v>
      </c>
      <c r="AM158">
        <f t="shared" si="31"/>
        <v>11.488814376000002</v>
      </c>
      <c r="AP158" s="9"/>
      <c r="AQ158" s="21">
        <v>1.0047900000000001</v>
      </c>
      <c r="AR158" s="21">
        <v>296.59300000000002</v>
      </c>
      <c r="AS158" s="21">
        <v>-1.7605599999999999E-2</v>
      </c>
      <c r="AT158" s="21">
        <v>148</v>
      </c>
      <c r="AU158" s="21">
        <v>1.0043299999999999</v>
      </c>
      <c r="AV158">
        <f t="shared" si="32"/>
        <v>17.605599999999999</v>
      </c>
      <c r="AW158">
        <f t="shared" si="33"/>
        <v>17.689930824000001</v>
      </c>
      <c r="AX158" s="9"/>
      <c r="AY158" s="21">
        <v>0.64529400000000003</v>
      </c>
      <c r="AZ158" s="21">
        <v>367.02300000000002</v>
      </c>
      <c r="BA158" s="21">
        <v>-1.7761200000000001E-2</v>
      </c>
      <c r="BB158" s="21">
        <v>148</v>
      </c>
      <c r="BC158" s="21">
        <v>0.64453099999999997</v>
      </c>
      <c r="BD158">
        <f t="shared" si="34"/>
        <v>17.761200000000002</v>
      </c>
      <c r="BE158">
        <f t="shared" si="35"/>
        <v>11.461195792800002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0.99975599999999998</v>
      </c>
      <c r="H159" s="21">
        <v>33.008699999999997</v>
      </c>
      <c r="I159" s="21">
        <v>-1.7623900000000001E-2</v>
      </c>
      <c r="J159" s="21">
        <v>149</v>
      </c>
      <c r="K159" s="21">
        <v>0.99914599999999998</v>
      </c>
      <c r="L159">
        <f t="shared" si="24"/>
        <v>17.623900000000003</v>
      </c>
      <c r="M159">
        <f t="shared" si="25"/>
        <v>17.619599768400001</v>
      </c>
      <c r="N159" s="9"/>
      <c r="O159" s="21">
        <v>0.65032999999999996</v>
      </c>
      <c r="P159" s="21">
        <v>104.76900000000001</v>
      </c>
      <c r="Q159" s="21">
        <v>-1.77948E-2</v>
      </c>
      <c r="R159" s="21">
        <v>149</v>
      </c>
      <c r="S159" s="21">
        <v>0.64968899999999996</v>
      </c>
      <c r="T159">
        <f t="shared" si="26"/>
        <v>17.794799999999999</v>
      </c>
      <c r="U159">
        <f t="shared" si="27"/>
        <v>11.572492283999999</v>
      </c>
      <c r="X159" s="9"/>
      <c r="Y159" s="21">
        <v>0.99975599999999998</v>
      </c>
      <c r="Z159" s="21">
        <v>172.44399999999999</v>
      </c>
      <c r="AA159" s="21">
        <v>-1.7627E-2</v>
      </c>
      <c r="AB159" s="21">
        <v>149</v>
      </c>
      <c r="AC159" s="21">
        <v>0.99853499999999995</v>
      </c>
      <c r="AD159">
        <f t="shared" si="28"/>
        <v>17.626999999999999</v>
      </c>
      <c r="AE159">
        <f t="shared" si="29"/>
        <v>17.622699011999998</v>
      </c>
      <c r="AF159" s="9"/>
      <c r="AG159" s="21">
        <v>0.65032999999999996</v>
      </c>
      <c r="AH159" s="21">
        <v>238.989</v>
      </c>
      <c r="AI159" s="21">
        <v>-1.7800900000000001E-2</v>
      </c>
      <c r="AJ159" s="21">
        <v>149</v>
      </c>
      <c r="AK159" s="21">
        <v>0.64999399999999996</v>
      </c>
      <c r="AL159">
        <f t="shared" si="30"/>
        <v>17.800900000000002</v>
      </c>
      <c r="AM159">
        <f t="shared" si="31"/>
        <v>11.576459297000001</v>
      </c>
      <c r="AP159" s="9"/>
      <c r="AQ159" s="21">
        <v>0.99975599999999998</v>
      </c>
      <c r="AR159" s="21">
        <v>296.69400000000002</v>
      </c>
      <c r="AS159" s="21">
        <v>-1.7605599999999999E-2</v>
      </c>
      <c r="AT159" s="21">
        <v>149</v>
      </c>
      <c r="AU159" s="21">
        <v>0.99945099999999998</v>
      </c>
      <c r="AV159">
        <f t="shared" si="32"/>
        <v>17.605599999999999</v>
      </c>
      <c r="AW159">
        <f t="shared" si="33"/>
        <v>17.601304233599997</v>
      </c>
      <c r="AX159" s="9"/>
      <c r="AY159" s="21">
        <v>0.65032999999999996</v>
      </c>
      <c r="AZ159" s="21">
        <v>367.12400000000002</v>
      </c>
      <c r="BA159" s="21">
        <v>-1.77643E-2</v>
      </c>
      <c r="BB159" s="21">
        <v>149</v>
      </c>
      <c r="BC159" s="21">
        <v>0.64975000000000005</v>
      </c>
      <c r="BD159">
        <f t="shared" si="34"/>
        <v>17.764299999999999</v>
      </c>
      <c r="BE159">
        <f t="shared" si="35"/>
        <v>11.552657218999999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0.99472000000000005</v>
      </c>
      <c r="H160" s="21">
        <v>33.109400000000001</v>
      </c>
      <c r="I160" s="21">
        <v>-1.7633099999999999E-2</v>
      </c>
      <c r="J160" s="21">
        <v>150</v>
      </c>
      <c r="K160" s="21">
        <v>0.99395800000000001</v>
      </c>
      <c r="L160">
        <f t="shared" si="24"/>
        <v>17.633099999999999</v>
      </c>
      <c r="M160">
        <f t="shared" si="25"/>
        <v>17.539997232000001</v>
      </c>
      <c r="N160" s="9"/>
      <c r="O160" s="21">
        <v>0.65536499999999998</v>
      </c>
      <c r="P160" s="21">
        <v>104.87</v>
      </c>
      <c r="Q160" s="21">
        <v>-1.7800900000000001E-2</v>
      </c>
      <c r="R160" s="21">
        <v>150</v>
      </c>
      <c r="S160" s="21">
        <v>0.65481599999999995</v>
      </c>
      <c r="T160">
        <f t="shared" si="26"/>
        <v>17.800900000000002</v>
      </c>
      <c r="U160">
        <f t="shared" si="27"/>
        <v>11.666086828500001</v>
      </c>
      <c r="X160" s="9"/>
      <c r="Y160" s="21">
        <v>0.99472000000000005</v>
      </c>
      <c r="Z160" s="21">
        <v>172.54499999999999</v>
      </c>
      <c r="AA160" s="21">
        <v>-1.763E-2</v>
      </c>
      <c r="AB160" s="21">
        <v>150</v>
      </c>
      <c r="AC160" s="21">
        <v>0.99395800000000001</v>
      </c>
      <c r="AD160">
        <f t="shared" si="28"/>
        <v>17.63</v>
      </c>
      <c r="AE160">
        <f t="shared" si="29"/>
        <v>17.536913599999998</v>
      </c>
      <c r="AF160" s="9"/>
      <c r="AG160" s="21">
        <v>0.65536499999999998</v>
      </c>
      <c r="AH160" s="21">
        <v>239.09</v>
      </c>
      <c r="AI160" s="21">
        <v>-1.7804E-2</v>
      </c>
      <c r="AJ160" s="21">
        <v>150</v>
      </c>
      <c r="AK160" s="21">
        <v>0.65505999999999998</v>
      </c>
      <c r="AL160">
        <f t="shared" si="30"/>
        <v>17.804000000000002</v>
      </c>
      <c r="AM160">
        <f t="shared" si="31"/>
        <v>11.668118460000001</v>
      </c>
      <c r="AP160" s="9"/>
      <c r="AQ160" s="21">
        <v>0.99472000000000005</v>
      </c>
      <c r="AR160" s="21">
        <v>296.79500000000002</v>
      </c>
      <c r="AS160" s="21">
        <v>-1.7605599999999999E-2</v>
      </c>
      <c r="AT160" s="21">
        <v>150</v>
      </c>
      <c r="AU160" s="21">
        <v>0.99395800000000001</v>
      </c>
      <c r="AV160">
        <f t="shared" si="32"/>
        <v>17.605599999999999</v>
      </c>
      <c r="AW160">
        <f t="shared" si="33"/>
        <v>17.512642432</v>
      </c>
      <c r="AX160" s="9"/>
      <c r="AY160" s="21">
        <v>0.65536499999999998</v>
      </c>
      <c r="AZ160" s="21">
        <v>367.22500000000002</v>
      </c>
      <c r="BA160" s="21">
        <v>-1.7758199999999998E-2</v>
      </c>
      <c r="BB160" s="21">
        <v>150</v>
      </c>
      <c r="BC160" s="21">
        <v>0.65481599999999995</v>
      </c>
      <c r="BD160">
        <f t="shared" si="34"/>
        <v>17.758199999999999</v>
      </c>
      <c r="BE160">
        <f t="shared" si="35"/>
        <v>11.638102742999999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0.98968500000000004</v>
      </c>
      <c r="H161" s="21">
        <v>33.210099999999997</v>
      </c>
      <c r="I161" s="21">
        <v>-1.7633099999999999E-2</v>
      </c>
      <c r="J161" s="21">
        <v>151</v>
      </c>
      <c r="K161" s="21">
        <v>0.98877000000000004</v>
      </c>
      <c r="L161">
        <f t="shared" si="24"/>
        <v>17.633099999999999</v>
      </c>
      <c r="M161">
        <f t="shared" si="25"/>
        <v>17.4512145735</v>
      </c>
      <c r="N161" s="9"/>
      <c r="O161" s="21">
        <v>0.66039999999999999</v>
      </c>
      <c r="P161" s="21">
        <v>104.97</v>
      </c>
      <c r="Q161" s="21">
        <v>-1.7797899999999998E-2</v>
      </c>
      <c r="R161" s="21">
        <v>151</v>
      </c>
      <c r="S161" s="21">
        <v>0.65994299999999995</v>
      </c>
      <c r="T161">
        <f t="shared" si="26"/>
        <v>17.797899999999998</v>
      </c>
      <c r="U161">
        <f t="shared" si="27"/>
        <v>11.753733159999999</v>
      </c>
      <c r="X161" s="9"/>
      <c r="Y161" s="21">
        <v>0.98968500000000004</v>
      </c>
      <c r="Z161" s="21">
        <v>172.64500000000001</v>
      </c>
      <c r="AA161" s="21">
        <v>-1.7620799999999999E-2</v>
      </c>
      <c r="AB161" s="21">
        <v>151</v>
      </c>
      <c r="AC161" s="21">
        <v>0.98877000000000004</v>
      </c>
      <c r="AD161">
        <f t="shared" si="28"/>
        <v>17.620799999999999</v>
      </c>
      <c r="AE161">
        <f t="shared" si="29"/>
        <v>17.439041448000001</v>
      </c>
      <c r="AF161" s="9"/>
      <c r="AG161" s="21">
        <v>0.66039999999999999</v>
      </c>
      <c r="AH161" s="21">
        <v>239.19</v>
      </c>
      <c r="AI161" s="21">
        <v>-1.7791700000000001E-2</v>
      </c>
      <c r="AJ161" s="21">
        <v>151</v>
      </c>
      <c r="AK161" s="21">
        <v>0.65991200000000005</v>
      </c>
      <c r="AL161">
        <f t="shared" si="30"/>
        <v>17.791700000000002</v>
      </c>
      <c r="AM161">
        <f t="shared" si="31"/>
        <v>11.749638680000002</v>
      </c>
      <c r="AP161" s="9"/>
      <c r="AQ161" s="21">
        <v>0.98968500000000004</v>
      </c>
      <c r="AR161" s="21">
        <v>296.89499999999998</v>
      </c>
      <c r="AS161" s="21">
        <v>-1.7608599999999999E-2</v>
      </c>
      <c r="AT161" s="21">
        <v>151</v>
      </c>
      <c r="AU161" s="21">
        <v>0.98877000000000004</v>
      </c>
      <c r="AV161">
        <f t="shared" si="32"/>
        <v>17.608599999999999</v>
      </c>
      <c r="AW161">
        <f t="shared" si="33"/>
        <v>17.426967291</v>
      </c>
      <c r="AX161" s="9"/>
      <c r="AY161" s="21">
        <v>0.66039999999999999</v>
      </c>
      <c r="AZ161" s="21">
        <v>367.32499999999999</v>
      </c>
      <c r="BA161" s="21">
        <v>-1.7761200000000001E-2</v>
      </c>
      <c r="BB161" s="21">
        <v>151</v>
      </c>
      <c r="BC161" s="21">
        <v>0.65972900000000001</v>
      </c>
      <c r="BD161">
        <f t="shared" si="34"/>
        <v>17.761200000000002</v>
      </c>
      <c r="BE161">
        <f t="shared" si="35"/>
        <v>11.729496480000002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0.98465000000000003</v>
      </c>
      <c r="H162" s="21">
        <v>33.3108</v>
      </c>
      <c r="I162" s="21">
        <v>-1.7636099999999998E-2</v>
      </c>
      <c r="J162" s="21">
        <v>152</v>
      </c>
      <c r="K162" s="21">
        <v>0.98419199999999996</v>
      </c>
      <c r="L162">
        <f t="shared" si="24"/>
        <v>17.636099999999999</v>
      </c>
      <c r="M162">
        <f t="shared" si="25"/>
        <v>17.365385865</v>
      </c>
      <c r="N162" s="9"/>
      <c r="O162" s="21">
        <v>0.66543600000000003</v>
      </c>
      <c r="P162" s="21">
        <v>105.071</v>
      </c>
      <c r="Q162" s="21">
        <v>-1.7791700000000001E-2</v>
      </c>
      <c r="R162" s="21">
        <v>152</v>
      </c>
      <c r="S162" s="21">
        <v>0.66479500000000002</v>
      </c>
      <c r="T162">
        <f t="shared" si="26"/>
        <v>17.791700000000002</v>
      </c>
      <c r="U162">
        <f t="shared" si="27"/>
        <v>11.839237681200002</v>
      </c>
      <c r="X162" s="9"/>
      <c r="Y162" s="21">
        <v>0.98465000000000003</v>
      </c>
      <c r="Z162" s="21">
        <v>172.74600000000001</v>
      </c>
      <c r="AA162" s="21">
        <v>-1.7623900000000001E-2</v>
      </c>
      <c r="AB162" s="21">
        <v>152</v>
      </c>
      <c r="AC162" s="21">
        <v>0.98327600000000004</v>
      </c>
      <c r="AD162">
        <f t="shared" si="28"/>
        <v>17.623900000000003</v>
      </c>
      <c r="AE162">
        <f t="shared" si="29"/>
        <v>17.353373135000002</v>
      </c>
      <c r="AF162" s="9"/>
      <c r="AG162" s="21">
        <v>0.66543600000000003</v>
      </c>
      <c r="AH162" s="21">
        <v>239.291</v>
      </c>
      <c r="AI162" s="21">
        <v>-1.7791700000000001E-2</v>
      </c>
      <c r="AJ162" s="21">
        <v>152</v>
      </c>
      <c r="AK162" s="21">
        <v>0.66461199999999998</v>
      </c>
      <c r="AL162">
        <f t="shared" si="30"/>
        <v>17.791700000000002</v>
      </c>
      <c r="AM162">
        <f t="shared" si="31"/>
        <v>11.839237681200002</v>
      </c>
      <c r="AP162" s="9"/>
      <c r="AQ162" s="21">
        <v>0.98465000000000003</v>
      </c>
      <c r="AR162" s="21">
        <v>296.99599999999998</v>
      </c>
      <c r="AS162" s="21">
        <v>-1.7611700000000001E-2</v>
      </c>
      <c r="AT162" s="21">
        <v>152</v>
      </c>
      <c r="AU162" s="21">
        <v>0.98419199999999996</v>
      </c>
      <c r="AV162">
        <f t="shared" si="32"/>
        <v>17.611700000000003</v>
      </c>
      <c r="AW162">
        <f t="shared" si="33"/>
        <v>17.341360405000003</v>
      </c>
      <c r="AX162" s="9"/>
      <c r="AY162" s="21">
        <v>0.66543600000000003</v>
      </c>
      <c r="AZ162" s="21">
        <v>367.42599999999999</v>
      </c>
      <c r="BA162" s="21">
        <v>-1.7746000000000001E-2</v>
      </c>
      <c r="BB162" s="21">
        <v>152</v>
      </c>
      <c r="BC162" s="21">
        <v>0.66473400000000005</v>
      </c>
      <c r="BD162">
        <f t="shared" si="34"/>
        <v>17.746000000000002</v>
      </c>
      <c r="BE162">
        <f t="shared" si="35"/>
        <v>11.808827256000002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0.97961399999999998</v>
      </c>
      <c r="H163" s="21">
        <v>33.411499999999997</v>
      </c>
      <c r="I163" s="21">
        <v>-1.7636099999999998E-2</v>
      </c>
      <c r="J163" s="21">
        <v>153</v>
      </c>
      <c r="K163" s="21">
        <v>0.97930899999999999</v>
      </c>
      <c r="L163">
        <f t="shared" si="24"/>
        <v>17.636099999999999</v>
      </c>
      <c r="M163">
        <f t="shared" si="25"/>
        <v>17.276570465399999</v>
      </c>
      <c r="N163" s="9"/>
      <c r="O163" s="21">
        <v>0.67047100000000004</v>
      </c>
      <c r="P163" s="21">
        <v>105.172</v>
      </c>
      <c r="Q163" s="21">
        <v>-1.7791700000000001E-2</v>
      </c>
      <c r="R163" s="21">
        <v>153</v>
      </c>
      <c r="S163" s="21">
        <v>0.66973899999999997</v>
      </c>
      <c r="T163">
        <f t="shared" si="26"/>
        <v>17.791700000000002</v>
      </c>
      <c r="U163">
        <f t="shared" si="27"/>
        <v>11.928818890700002</v>
      </c>
      <c r="X163" s="9"/>
      <c r="Y163" s="21">
        <v>0.97961399999999998</v>
      </c>
      <c r="Z163" s="21">
        <v>172.84700000000001</v>
      </c>
      <c r="AA163" s="21">
        <v>-1.7623900000000001E-2</v>
      </c>
      <c r="AB163" s="21">
        <v>153</v>
      </c>
      <c r="AC163" s="21">
        <v>0.97900399999999999</v>
      </c>
      <c r="AD163">
        <f t="shared" si="28"/>
        <v>17.623900000000003</v>
      </c>
      <c r="AE163">
        <f t="shared" si="29"/>
        <v>17.264619174600004</v>
      </c>
      <c r="AF163" s="9"/>
      <c r="AG163" s="21">
        <v>0.67047100000000004</v>
      </c>
      <c r="AH163" s="21">
        <v>239.392</v>
      </c>
      <c r="AI163" s="21">
        <v>-1.7791700000000001E-2</v>
      </c>
      <c r="AJ163" s="21">
        <v>153</v>
      </c>
      <c r="AK163" s="21">
        <v>0.66943399999999997</v>
      </c>
      <c r="AL163">
        <f t="shared" si="30"/>
        <v>17.791700000000002</v>
      </c>
      <c r="AM163">
        <f t="shared" si="31"/>
        <v>11.928818890700002</v>
      </c>
      <c r="AP163" s="9"/>
      <c r="AQ163" s="21">
        <v>0.97961399999999998</v>
      </c>
      <c r="AR163" s="21">
        <v>297.09699999999998</v>
      </c>
      <c r="AS163" s="21">
        <v>-1.7611700000000001E-2</v>
      </c>
      <c r="AT163" s="21">
        <v>153</v>
      </c>
      <c r="AU163" s="21">
        <v>0.97900399999999999</v>
      </c>
      <c r="AV163">
        <f t="shared" si="32"/>
        <v>17.611700000000003</v>
      </c>
      <c r="AW163">
        <f t="shared" si="33"/>
        <v>17.252667883800001</v>
      </c>
      <c r="AX163" s="9"/>
      <c r="AY163" s="21">
        <v>0.67047100000000004</v>
      </c>
      <c r="AZ163" s="21">
        <v>367.52699999999999</v>
      </c>
      <c r="BA163" s="21">
        <v>-1.7749000000000001E-2</v>
      </c>
      <c r="BB163" s="21">
        <v>153</v>
      </c>
      <c r="BC163" s="21">
        <v>0.66976899999999995</v>
      </c>
      <c r="BD163">
        <f t="shared" si="34"/>
        <v>17.749000000000002</v>
      </c>
      <c r="BE163">
        <f t="shared" si="35"/>
        <v>11.900189779000002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0.97457899999999997</v>
      </c>
      <c r="H164" s="21">
        <v>33.5122</v>
      </c>
      <c r="I164" s="21">
        <v>-1.7645299999999999E-2</v>
      </c>
      <c r="J164" s="21">
        <v>154</v>
      </c>
      <c r="K164" s="21">
        <v>0.97351100000000002</v>
      </c>
      <c r="L164">
        <f t="shared" si="24"/>
        <v>17.645299999999999</v>
      </c>
      <c r="M164">
        <f t="shared" si="25"/>
        <v>17.196738828699999</v>
      </c>
      <c r="N164" s="9"/>
      <c r="O164" s="21">
        <v>0.67550699999999997</v>
      </c>
      <c r="P164" s="21">
        <v>105.27200000000001</v>
      </c>
      <c r="Q164" s="21">
        <v>-1.77948E-2</v>
      </c>
      <c r="R164" s="21">
        <v>154</v>
      </c>
      <c r="S164" s="21">
        <v>0.67498800000000003</v>
      </c>
      <c r="T164">
        <f t="shared" si="26"/>
        <v>17.794799999999999</v>
      </c>
      <c r="U164">
        <f t="shared" si="27"/>
        <v>12.020511963599999</v>
      </c>
      <c r="X164" s="9"/>
      <c r="Y164" s="21">
        <v>0.97457899999999997</v>
      </c>
      <c r="Z164" s="21">
        <v>172.947</v>
      </c>
      <c r="AA164" s="21">
        <v>-1.7627E-2</v>
      </c>
      <c r="AB164" s="21">
        <v>154</v>
      </c>
      <c r="AC164" s="21">
        <v>0.97412100000000001</v>
      </c>
      <c r="AD164">
        <f t="shared" si="28"/>
        <v>17.626999999999999</v>
      </c>
      <c r="AE164">
        <f t="shared" si="29"/>
        <v>17.178904032999998</v>
      </c>
      <c r="AF164" s="9"/>
      <c r="AG164" s="21">
        <v>0.67550699999999997</v>
      </c>
      <c r="AH164" s="21">
        <v>239.49299999999999</v>
      </c>
      <c r="AI164" s="21">
        <v>-1.7791700000000001E-2</v>
      </c>
      <c r="AJ164" s="21">
        <v>154</v>
      </c>
      <c r="AK164" s="21">
        <v>0.67495700000000003</v>
      </c>
      <c r="AL164">
        <f t="shared" si="30"/>
        <v>17.791700000000002</v>
      </c>
      <c r="AM164">
        <f t="shared" si="31"/>
        <v>12.0184178919</v>
      </c>
      <c r="AP164" s="9"/>
      <c r="AQ164" s="21">
        <v>0.97457899999999997</v>
      </c>
      <c r="AR164" s="21">
        <v>297.197</v>
      </c>
      <c r="AS164" s="21">
        <v>-1.7617799999999999E-2</v>
      </c>
      <c r="AT164" s="21">
        <v>154</v>
      </c>
      <c r="AU164" s="21">
        <v>0.97381600000000001</v>
      </c>
      <c r="AV164">
        <f t="shared" si="32"/>
        <v>17.617799999999999</v>
      </c>
      <c r="AW164">
        <f t="shared" si="33"/>
        <v>17.169937906199998</v>
      </c>
      <c r="AX164" s="9"/>
      <c r="AY164" s="21">
        <v>0.67550699999999997</v>
      </c>
      <c r="AZ164" s="21">
        <v>367.62799999999999</v>
      </c>
      <c r="BA164" s="21">
        <v>-1.7746000000000001E-2</v>
      </c>
      <c r="BB164" s="21">
        <v>154</v>
      </c>
      <c r="BC164" s="21">
        <v>0.67486599999999997</v>
      </c>
      <c r="BD164">
        <f t="shared" si="34"/>
        <v>17.746000000000002</v>
      </c>
      <c r="BE164">
        <f t="shared" si="35"/>
        <v>11.987547222000002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0.96954300000000004</v>
      </c>
      <c r="H165" s="21">
        <v>33.612900000000003</v>
      </c>
      <c r="I165" s="21">
        <v>-1.7645299999999999E-2</v>
      </c>
      <c r="J165" s="21">
        <v>155</v>
      </c>
      <c r="K165" s="21">
        <v>0.96893300000000004</v>
      </c>
      <c r="L165">
        <f t="shared" si="24"/>
        <v>17.645299999999999</v>
      </c>
      <c r="M165">
        <f t="shared" si="25"/>
        <v>17.107877097900001</v>
      </c>
      <c r="N165" s="9"/>
      <c r="O165" s="21">
        <v>0.68054199999999998</v>
      </c>
      <c r="P165" s="21">
        <v>105.373</v>
      </c>
      <c r="Q165" s="21">
        <v>-1.7791700000000001E-2</v>
      </c>
      <c r="R165" s="21">
        <v>155</v>
      </c>
      <c r="S165" s="21">
        <v>0.679871</v>
      </c>
      <c r="T165">
        <f t="shared" si="26"/>
        <v>17.791700000000002</v>
      </c>
      <c r="U165">
        <f t="shared" si="27"/>
        <v>12.107999101400001</v>
      </c>
      <c r="X165" s="9"/>
      <c r="Y165" s="21">
        <v>0.96954300000000004</v>
      </c>
      <c r="Z165" s="21">
        <v>173.048</v>
      </c>
      <c r="AA165" s="21">
        <v>-1.76422E-2</v>
      </c>
      <c r="AB165" s="21">
        <v>155</v>
      </c>
      <c r="AC165" s="21">
        <v>0.96893300000000004</v>
      </c>
      <c r="AD165">
        <f t="shared" si="28"/>
        <v>17.642199999999999</v>
      </c>
      <c r="AE165">
        <f t="shared" si="29"/>
        <v>17.104871514599999</v>
      </c>
      <c r="AF165" s="9"/>
      <c r="AG165" s="21">
        <v>0.68054199999999998</v>
      </c>
      <c r="AH165" s="21">
        <v>239.59299999999999</v>
      </c>
      <c r="AI165" s="21">
        <v>-1.77795E-2</v>
      </c>
      <c r="AJ165" s="21">
        <v>155</v>
      </c>
      <c r="AK165" s="21">
        <v>0.680145</v>
      </c>
      <c r="AL165">
        <f t="shared" si="30"/>
        <v>17.779499999999999</v>
      </c>
      <c r="AM165">
        <f t="shared" si="31"/>
        <v>12.099696488999999</v>
      </c>
      <c r="AP165" s="9"/>
      <c r="AQ165" s="21">
        <v>0.96954300000000004</v>
      </c>
      <c r="AR165" s="21">
        <v>297.298</v>
      </c>
      <c r="AS165" s="21">
        <v>-1.7617799999999999E-2</v>
      </c>
      <c r="AT165" s="21">
        <v>155</v>
      </c>
      <c r="AU165" s="21">
        <v>0.96893300000000004</v>
      </c>
      <c r="AV165">
        <f t="shared" si="32"/>
        <v>17.617799999999999</v>
      </c>
      <c r="AW165">
        <f t="shared" si="33"/>
        <v>17.081214665400001</v>
      </c>
      <c r="AX165" s="9"/>
      <c r="AY165" s="21">
        <v>0.68054199999999998</v>
      </c>
      <c r="AZ165" s="21">
        <v>367.72800000000001</v>
      </c>
      <c r="BA165" s="21">
        <v>-1.7746000000000001E-2</v>
      </c>
      <c r="BB165" s="21">
        <v>155</v>
      </c>
      <c r="BC165" s="21">
        <v>0.67990099999999998</v>
      </c>
      <c r="BD165">
        <f t="shared" si="34"/>
        <v>17.746000000000002</v>
      </c>
      <c r="BE165">
        <f t="shared" si="35"/>
        <v>12.076898332000001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0.96450800000000003</v>
      </c>
      <c r="H166" s="21">
        <v>33.7136</v>
      </c>
      <c r="I166" s="21">
        <v>-1.7645299999999999E-2</v>
      </c>
      <c r="J166" s="21">
        <v>156</v>
      </c>
      <c r="K166" s="21">
        <v>0.96343999999999996</v>
      </c>
      <c r="L166">
        <f t="shared" si="24"/>
        <v>17.645299999999999</v>
      </c>
      <c r="M166">
        <f t="shared" si="25"/>
        <v>17.019033012399998</v>
      </c>
      <c r="N166" s="9"/>
      <c r="O166" s="21">
        <v>0.68557699999999999</v>
      </c>
      <c r="P166" s="21">
        <v>105.474</v>
      </c>
      <c r="Q166" s="21">
        <v>-1.7788700000000001E-2</v>
      </c>
      <c r="R166" s="21">
        <v>156</v>
      </c>
      <c r="S166" s="21">
        <v>0.684998</v>
      </c>
      <c r="T166">
        <f t="shared" si="26"/>
        <v>17.788700000000002</v>
      </c>
      <c r="U166">
        <f t="shared" si="27"/>
        <v>12.195523579900001</v>
      </c>
      <c r="X166" s="9"/>
      <c r="Y166" s="21">
        <v>0.96450800000000003</v>
      </c>
      <c r="Z166" s="21">
        <v>173.149</v>
      </c>
      <c r="AA166" s="21">
        <v>-1.76422E-2</v>
      </c>
      <c r="AB166" s="21">
        <v>156</v>
      </c>
      <c r="AC166" s="21">
        <v>0.96374499999999996</v>
      </c>
      <c r="AD166">
        <f t="shared" si="28"/>
        <v>17.642199999999999</v>
      </c>
      <c r="AE166">
        <f t="shared" si="29"/>
        <v>17.016043037599999</v>
      </c>
      <c r="AF166" s="9"/>
      <c r="AG166" s="21">
        <v>0.68557699999999999</v>
      </c>
      <c r="AH166" s="21">
        <v>239.69399999999999</v>
      </c>
      <c r="AI166" s="21">
        <v>-1.77795E-2</v>
      </c>
      <c r="AJ166" s="21">
        <v>156</v>
      </c>
      <c r="AK166" s="21">
        <v>0.68505899999999997</v>
      </c>
      <c r="AL166">
        <f t="shared" si="30"/>
        <v>17.779499999999999</v>
      </c>
      <c r="AM166">
        <f t="shared" si="31"/>
        <v>12.189216271499999</v>
      </c>
      <c r="AP166" s="9"/>
      <c r="AQ166" s="21">
        <v>0.96450800000000003</v>
      </c>
      <c r="AR166" s="21">
        <v>297.399</v>
      </c>
      <c r="AS166" s="21">
        <v>-1.7620799999999999E-2</v>
      </c>
      <c r="AT166" s="21">
        <v>156</v>
      </c>
      <c r="AU166" s="21">
        <v>0.96435499999999996</v>
      </c>
      <c r="AV166">
        <f t="shared" si="32"/>
        <v>17.620799999999999</v>
      </c>
      <c r="AW166">
        <f t="shared" si="33"/>
        <v>16.995402566399999</v>
      </c>
      <c r="AX166" s="9"/>
      <c r="AY166" s="21">
        <v>0.68557699999999999</v>
      </c>
      <c r="AZ166" s="21">
        <v>367.82900000000001</v>
      </c>
      <c r="BA166" s="21">
        <v>-1.7746000000000001E-2</v>
      </c>
      <c r="BB166" s="21">
        <v>156</v>
      </c>
      <c r="BC166" s="21">
        <v>0.68527199999999999</v>
      </c>
      <c r="BD166">
        <f t="shared" si="34"/>
        <v>17.746000000000002</v>
      </c>
      <c r="BE166">
        <f t="shared" si="35"/>
        <v>12.166249442000002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0.95947300000000002</v>
      </c>
      <c r="H167" s="21">
        <v>33.814399999999999</v>
      </c>
      <c r="I167" s="21">
        <v>-1.7648299999999999E-2</v>
      </c>
      <c r="J167" s="21">
        <v>157</v>
      </c>
      <c r="K167" s="21">
        <v>0.95825199999999999</v>
      </c>
      <c r="L167">
        <f t="shared" si="24"/>
        <v>17.648299999999999</v>
      </c>
      <c r="M167">
        <f t="shared" si="25"/>
        <v>16.9330673459</v>
      </c>
      <c r="N167" s="9"/>
      <c r="O167" s="21">
        <v>0.69061300000000003</v>
      </c>
      <c r="P167" s="21">
        <v>105.575</v>
      </c>
      <c r="Q167" s="21">
        <v>-1.7788700000000001E-2</v>
      </c>
      <c r="R167" s="21">
        <v>157</v>
      </c>
      <c r="S167" s="21">
        <v>0.690002</v>
      </c>
      <c r="T167">
        <f t="shared" si="26"/>
        <v>17.788700000000002</v>
      </c>
      <c r="U167">
        <f t="shared" si="27"/>
        <v>12.285107473100002</v>
      </c>
      <c r="X167" s="9"/>
      <c r="Y167" s="21">
        <v>0.95947300000000002</v>
      </c>
      <c r="Z167" s="21">
        <v>173.25</v>
      </c>
      <c r="AA167" s="21">
        <v>-1.7654400000000001E-2</v>
      </c>
      <c r="AB167" s="21">
        <v>157</v>
      </c>
      <c r="AC167" s="21">
        <v>0.95947300000000002</v>
      </c>
      <c r="AD167">
        <f t="shared" si="28"/>
        <v>17.654399999999999</v>
      </c>
      <c r="AE167">
        <f t="shared" si="29"/>
        <v>16.9389201312</v>
      </c>
      <c r="AF167" s="9"/>
      <c r="AG167" s="21">
        <v>0.69061300000000003</v>
      </c>
      <c r="AH167" s="21">
        <v>239.79499999999999</v>
      </c>
      <c r="AI167" s="21">
        <v>-1.77795E-2</v>
      </c>
      <c r="AJ167" s="21">
        <v>157</v>
      </c>
      <c r="AK167" s="21">
        <v>0.69045999999999996</v>
      </c>
      <c r="AL167">
        <f t="shared" si="30"/>
        <v>17.779499999999999</v>
      </c>
      <c r="AM167">
        <f t="shared" si="31"/>
        <v>12.2787538335</v>
      </c>
      <c r="AP167" s="9"/>
      <c r="AQ167" s="21">
        <v>0.95947300000000002</v>
      </c>
      <c r="AR167" s="21">
        <v>297.5</v>
      </c>
      <c r="AS167" s="21">
        <v>-1.7623900000000001E-2</v>
      </c>
      <c r="AT167" s="21">
        <v>157</v>
      </c>
      <c r="AU167" s="21">
        <v>0.95855699999999999</v>
      </c>
      <c r="AV167">
        <f t="shared" si="32"/>
        <v>17.623900000000003</v>
      </c>
      <c r="AW167">
        <f t="shared" si="33"/>
        <v>16.909656204700003</v>
      </c>
      <c r="AX167" s="9"/>
      <c r="AY167" s="21">
        <v>0.69061300000000003</v>
      </c>
      <c r="AZ167" s="21">
        <v>367.93</v>
      </c>
      <c r="BA167" s="21">
        <v>-1.7733800000000001E-2</v>
      </c>
      <c r="BB167" s="21">
        <v>157</v>
      </c>
      <c r="BC167" s="21">
        <v>0.69015499999999996</v>
      </c>
      <c r="BD167">
        <f t="shared" si="34"/>
        <v>17.733800000000002</v>
      </c>
      <c r="BE167">
        <f t="shared" si="35"/>
        <v>12.247192819400002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0.95443699999999998</v>
      </c>
      <c r="H168" s="21">
        <v>33.915100000000002</v>
      </c>
      <c r="I168" s="21">
        <v>-1.7651400000000001E-2</v>
      </c>
      <c r="J168" s="21">
        <v>158</v>
      </c>
      <c r="K168" s="21">
        <v>0.95336900000000002</v>
      </c>
      <c r="L168">
        <f t="shared" si="24"/>
        <v>17.651400000000002</v>
      </c>
      <c r="M168">
        <f t="shared" si="25"/>
        <v>16.847149261800002</v>
      </c>
      <c r="N168" s="9"/>
      <c r="O168" s="21">
        <v>0.69564800000000004</v>
      </c>
      <c r="P168" s="21">
        <v>105.675</v>
      </c>
      <c r="Q168" s="21">
        <v>-1.7785599999999999E-2</v>
      </c>
      <c r="R168" s="21">
        <v>158</v>
      </c>
      <c r="S168" s="21">
        <v>0.69503800000000004</v>
      </c>
      <c r="T168">
        <f t="shared" si="26"/>
        <v>17.785599999999999</v>
      </c>
      <c r="U168">
        <f t="shared" si="27"/>
        <v>12.372517068800001</v>
      </c>
      <c r="X168" s="9"/>
      <c r="Y168" s="21">
        <v>0.95443699999999998</v>
      </c>
      <c r="Z168" s="21">
        <v>173.35</v>
      </c>
      <c r="AA168" s="21">
        <v>-1.7636099999999998E-2</v>
      </c>
      <c r="AB168" s="21">
        <v>158</v>
      </c>
      <c r="AC168" s="21">
        <v>0.95336900000000002</v>
      </c>
      <c r="AD168">
        <f t="shared" si="28"/>
        <v>17.636099999999999</v>
      </c>
      <c r="AE168">
        <f t="shared" si="29"/>
        <v>16.832546375699998</v>
      </c>
      <c r="AF168" s="9"/>
      <c r="AG168" s="21">
        <v>0.69564800000000004</v>
      </c>
      <c r="AH168" s="21">
        <v>239.89500000000001</v>
      </c>
      <c r="AI168" s="21">
        <v>-1.7773400000000002E-2</v>
      </c>
      <c r="AJ168" s="21">
        <v>158</v>
      </c>
      <c r="AK168" s="21">
        <v>0.69506800000000002</v>
      </c>
      <c r="AL168">
        <f t="shared" si="30"/>
        <v>17.773400000000002</v>
      </c>
      <c r="AM168">
        <f t="shared" si="31"/>
        <v>12.364030163200002</v>
      </c>
      <c r="AP168" s="9"/>
      <c r="AQ168" s="21">
        <v>0.95443699999999998</v>
      </c>
      <c r="AR168" s="21">
        <v>297.60000000000002</v>
      </c>
      <c r="AS168" s="21">
        <v>-1.7623900000000001E-2</v>
      </c>
      <c r="AT168" s="21">
        <v>158</v>
      </c>
      <c r="AU168" s="21">
        <v>0.95367400000000002</v>
      </c>
      <c r="AV168">
        <f t="shared" si="32"/>
        <v>17.623900000000003</v>
      </c>
      <c r="AW168">
        <f t="shared" si="33"/>
        <v>16.820902244300001</v>
      </c>
      <c r="AX168" s="9"/>
      <c r="AY168" s="21">
        <v>0.69564800000000004</v>
      </c>
      <c r="AZ168" s="21">
        <v>368.03</v>
      </c>
      <c r="BA168" s="21">
        <v>-1.77368E-2</v>
      </c>
      <c r="BB168" s="21">
        <v>158</v>
      </c>
      <c r="BC168" s="21">
        <v>0.69500700000000004</v>
      </c>
      <c r="BD168">
        <f t="shared" si="34"/>
        <v>17.736799999999999</v>
      </c>
      <c r="BE168">
        <f t="shared" si="35"/>
        <v>12.338569446399999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0.94940199999999997</v>
      </c>
      <c r="H169" s="21">
        <v>34.015799999999999</v>
      </c>
      <c r="I169" s="21">
        <v>-1.76575E-2</v>
      </c>
      <c r="J169" s="21">
        <v>159</v>
      </c>
      <c r="K169" s="21">
        <v>0.94879199999999997</v>
      </c>
      <c r="L169">
        <f t="shared" si="24"/>
        <v>17.657499999999999</v>
      </c>
      <c r="M169">
        <f t="shared" si="25"/>
        <v>16.764065814999999</v>
      </c>
      <c r="N169" s="9"/>
      <c r="O169" s="21">
        <v>0.70068399999999997</v>
      </c>
      <c r="P169" s="21">
        <v>105.776</v>
      </c>
      <c r="Q169" s="21">
        <v>-1.7776500000000001E-2</v>
      </c>
      <c r="R169" s="21">
        <v>159</v>
      </c>
      <c r="S169" s="21">
        <v>0.69998199999999999</v>
      </c>
      <c r="T169">
        <f t="shared" si="26"/>
        <v>17.776500000000002</v>
      </c>
      <c r="U169">
        <f t="shared" si="27"/>
        <v>12.455709126</v>
      </c>
      <c r="X169" s="9"/>
      <c r="Y169" s="21">
        <v>0.94940199999999997</v>
      </c>
      <c r="Z169" s="21">
        <v>173.45099999999999</v>
      </c>
      <c r="AA169" s="21">
        <v>-1.7654400000000001E-2</v>
      </c>
      <c r="AB169" s="21">
        <v>159</v>
      </c>
      <c r="AC169" s="21">
        <v>0.94879199999999997</v>
      </c>
      <c r="AD169">
        <f t="shared" si="28"/>
        <v>17.654399999999999</v>
      </c>
      <c r="AE169">
        <f t="shared" si="29"/>
        <v>16.761122668799999</v>
      </c>
      <c r="AF169" s="9"/>
      <c r="AG169" s="21">
        <v>0.70068399999999997</v>
      </c>
      <c r="AH169" s="21">
        <v>239.99600000000001</v>
      </c>
      <c r="AI169" s="21">
        <v>-1.7770399999999999E-2</v>
      </c>
      <c r="AJ169" s="21">
        <v>159</v>
      </c>
      <c r="AK169" s="21">
        <v>0.69998199999999999</v>
      </c>
      <c r="AL169">
        <f t="shared" si="30"/>
        <v>17.770399999999999</v>
      </c>
      <c r="AM169">
        <f t="shared" si="31"/>
        <v>12.451434953599998</v>
      </c>
      <c r="AP169" s="9"/>
      <c r="AQ169" s="21">
        <v>0.94940199999999997</v>
      </c>
      <c r="AR169" s="21">
        <v>297.70100000000002</v>
      </c>
      <c r="AS169" s="21">
        <v>-1.7633099999999999E-2</v>
      </c>
      <c r="AT169" s="21">
        <v>159</v>
      </c>
      <c r="AU169" s="21">
        <v>0.94848600000000005</v>
      </c>
      <c r="AV169">
        <f t="shared" si="32"/>
        <v>17.633099999999999</v>
      </c>
      <c r="AW169">
        <f t="shared" si="33"/>
        <v>16.740900406199998</v>
      </c>
      <c r="AX169" s="9"/>
      <c r="AY169" s="21">
        <v>0.70068399999999997</v>
      </c>
      <c r="AZ169" s="21">
        <v>368.13099999999997</v>
      </c>
      <c r="BA169" s="21">
        <v>-1.77368E-2</v>
      </c>
      <c r="BB169" s="21">
        <v>159</v>
      </c>
      <c r="BC169" s="21">
        <v>0.70016500000000004</v>
      </c>
      <c r="BD169">
        <f t="shared" si="34"/>
        <v>17.736799999999999</v>
      </c>
      <c r="BE169">
        <f t="shared" si="35"/>
        <v>12.427891971199999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0.94436600000000004</v>
      </c>
      <c r="H170" s="21">
        <v>34.116500000000002</v>
      </c>
      <c r="I170" s="21">
        <v>-1.7666600000000001E-2</v>
      </c>
      <c r="J170" s="21">
        <v>160</v>
      </c>
      <c r="K170" s="21">
        <v>0.943604</v>
      </c>
      <c r="L170">
        <f t="shared" si="24"/>
        <v>17.666600000000003</v>
      </c>
      <c r="M170">
        <f t="shared" si="25"/>
        <v>16.683736375600002</v>
      </c>
      <c r="N170" s="9"/>
      <c r="O170" s="21">
        <v>0.70571899999999999</v>
      </c>
      <c r="P170" s="21">
        <v>105.877</v>
      </c>
      <c r="Q170" s="21">
        <v>-1.7782599999999999E-2</v>
      </c>
      <c r="R170" s="21">
        <v>160</v>
      </c>
      <c r="S170" s="21">
        <v>0.70498700000000003</v>
      </c>
      <c r="T170">
        <f t="shared" si="26"/>
        <v>17.782599999999999</v>
      </c>
      <c r="U170">
        <f t="shared" si="27"/>
        <v>12.549518689399999</v>
      </c>
      <c r="X170" s="9"/>
      <c r="Y170" s="21">
        <v>0.94436600000000004</v>
      </c>
      <c r="Z170" s="21">
        <v>173.55199999999999</v>
      </c>
      <c r="AA170" s="21">
        <v>-1.76422E-2</v>
      </c>
      <c r="AB170" s="21">
        <v>160</v>
      </c>
      <c r="AC170" s="21">
        <v>0.943909</v>
      </c>
      <c r="AD170">
        <f t="shared" si="28"/>
        <v>17.642199999999999</v>
      </c>
      <c r="AE170">
        <f t="shared" si="29"/>
        <v>16.660693845200001</v>
      </c>
      <c r="AF170" s="9"/>
      <c r="AG170" s="21">
        <v>0.70571899999999999</v>
      </c>
      <c r="AH170" s="21">
        <v>240.09700000000001</v>
      </c>
      <c r="AI170" s="21">
        <v>-1.7770399999999999E-2</v>
      </c>
      <c r="AJ170" s="21">
        <v>160</v>
      </c>
      <c r="AK170" s="21">
        <v>0.70526100000000003</v>
      </c>
      <c r="AL170">
        <f t="shared" si="30"/>
        <v>17.770399999999999</v>
      </c>
      <c r="AM170">
        <f t="shared" si="31"/>
        <v>12.540908917599999</v>
      </c>
      <c r="AP170" s="9"/>
      <c r="AQ170" s="21">
        <v>0.94436600000000004</v>
      </c>
      <c r="AR170" s="21">
        <v>297.80200000000002</v>
      </c>
      <c r="AS170" s="21">
        <v>-1.763E-2</v>
      </c>
      <c r="AT170" s="21">
        <v>160</v>
      </c>
      <c r="AU170" s="21">
        <v>0.94299299999999997</v>
      </c>
      <c r="AV170">
        <f t="shared" si="32"/>
        <v>17.63</v>
      </c>
      <c r="AW170">
        <f t="shared" si="33"/>
        <v>16.649172579999998</v>
      </c>
      <c r="AX170" s="9"/>
      <c r="AY170" s="21">
        <v>0.70571899999999999</v>
      </c>
      <c r="AZ170" s="21">
        <v>368.23200000000003</v>
      </c>
      <c r="BA170" s="21">
        <v>-1.7733800000000001E-2</v>
      </c>
      <c r="BB170" s="21">
        <v>160</v>
      </c>
      <c r="BC170" s="21">
        <v>0.705017</v>
      </c>
      <c r="BD170">
        <f t="shared" si="34"/>
        <v>17.733800000000002</v>
      </c>
      <c r="BE170">
        <f t="shared" si="35"/>
        <v>12.515079602200002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0.93933100000000003</v>
      </c>
      <c r="H171" s="21">
        <v>34.217199999999998</v>
      </c>
      <c r="I171" s="21">
        <v>-1.7666600000000001E-2</v>
      </c>
      <c r="J171" s="21">
        <v>161</v>
      </c>
      <c r="K171" s="21">
        <v>0.937805</v>
      </c>
      <c r="L171">
        <f t="shared" si="24"/>
        <v>17.666600000000003</v>
      </c>
      <c r="M171">
        <f t="shared" si="25"/>
        <v>16.594785044600002</v>
      </c>
      <c r="N171" s="9"/>
      <c r="O171" s="21">
        <v>0.710754</v>
      </c>
      <c r="P171" s="21">
        <v>105.977</v>
      </c>
      <c r="Q171" s="21">
        <v>-1.7773400000000002E-2</v>
      </c>
      <c r="R171" s="21">
        <v>161</v>
      </c>
      <c r="S171" s="21">
        <v>0.71002200000000004</v>
      </c>
      <c r="T171">
        <f t="shared" si="26"/>
        <v>17.773400000000002</v>
      </c>
      <c r="U171">
        <f t="shared" si="27"/>
        <v>12.632515143600001</v>
      </c>
      <c r="X171" s="9"/>
      <c r="Y171" s="21">
        <v>0.93933100000000003</v>
      </c>
      <c r="Z171" s="21">
        <v>173.65199999999999</v>
      </c>
      <c r="AA171" s="21">
        <v>-1.7645299999999999E-2</v>
      </c>
      <c r="AB171" s="21">
        <v>161</v>
      </c>
      <c r="AC171" s="21">
        <v>0.93872100000000003</v>
      </c>
      <c r="AD171">
        <f t="shared" si="28"/>
        <v>17.645299999999999</v>
      </c>
      <c r="AE171">
        <f t="shared" si="29"/>
        <v>16.574777294299999</v>
      </c>
      <c r="AF171" s="9"/>
      <c r="AG171" s="21">
        <v>0.710754</v>
      </c>
      <c r="AH171" s="21">
        <v>240.197</v>
      </c>
      <c r="AI171" s="21">
        <v>-1.7770399999999999E-2</v>
      </c>
      <c r="AJ171" s="21">
        <v>161</v>
      </c>
      <c r="AK171" s="21">
        <v>0.710144</v>
      </c>
      <c r="AL171">
        <f t="shared" si="30"/>
        <v>17.770399999999999</v>
      </c>
      <c r="AM171">
        <f t="shared" si="31"/>
        <v>12.630382881599999</v>
      </c>
      <c r="AP171" s="9"/>
      <c r="AQ171" s="21">
        <v>0.93933100000000003</v>
      </c>
      <c r="AR171" s="21">
        <v>297.90199999999999</v>
      </c>
      <c r="AS171" s="21">
        <v>-1.7633099999999999E-2</v>
      </c>
      <c r="AT171" s="21">
        <v>161</v>
      </c>
      <c r="AU171" s="21">
        <v>0.93902600000000003</v>
      </c>
      <c r="AV171">
        <f t="shared" si="32"/>
        <v>17.633099999999999</v>
      </c>
      <c r="AW171">
        <f t="shared" si="33"/>
        <v>16.563317456099998</v>
      </c>
      <c r="AX171" s="9"/>
      <c r="AY171" s="21">
        <v>0.710754</v>
      </c>
      <c r="AZ171" s="21">
        <v>368.33300000000003</v>
      </c>
      <c r="BA171" s="21">
        <v>-1.7727699999999999E-2</v>
      </c>
      <c r="BB171" s="21">
        <v>161</v>
      </c>
      <c r="BC171" s="21">
        <v>0.71026599999999995</v>
      </c>
      <c r="BD171">
        <f t="shared" si="34"/>
        <v>17.727699999999999</v>
      </c>
      <c r="BE171">
        <f t="shared" si="35"/>
        <v>12.6000336858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0.93429600000000002</v>
      </c>
      <c r="H172" s="21">
        <v>34.317900000000002</v>
      </c>
      <c r="I172" s="21">
        <v>-1.7660499999999999E-2</v>
      </c>
      <c r="J172" s="21">
        <v>162</v>
      </c>
      <c r="K172" s="21">
        <v>0.93353299999999995</v>
      </c>
      <c r="L172">
        <f t="shared" si="24"/>
        <v>17.660499999999999</v>
      </c>
      <c r="M172">
        <f t="shared" si="25"/>
        <v>16.500134507999999</v>
      </c>
      <c r="N172" s="9"/>
      <c r="O172" s="21">
        <v>0.71579000000000004</v>
      </c>
      <c r="P172" s="21">
        <v>106.078</v>
      </c>
      <c r="Q172" s="21">
        <v>-1.7776500000000001E-2</v>
      </c>
      <c r="R172" s="21">
        <v>162</v>
      </c>
      <c r="S172" s="21">
        <v>0.71523999999999999</v>
      </c>
      <c r="T172">
        <f t="shared" si="26"/>
        <v>17.776500000000002</v>
      </c>
      <c r="U172">
        <f t="shared" si="27"/>
        <v>12.724240935000003</v>
      </c>
      <c r="X172" s="9"/>
      <c r="Y172" s="21">
        <v>0.93429600000000002</v>
      </c>
      <c r="Z172" s="21">
        <v>173.75299999999999</v>
      </c>
      <c r="AA172" s="21">
        <v>-1.76422E-2</v>
      </c>
      <c r="AB172" s="21">
        <v>162</v>
      </c>
      <c r="AC172" s="21">
        <v>0.93414299999999995</v>
      </c>
      <c r="AD172">
        <f t="shared" si="28"/>
        <v>17.642199999999999</v>
      </c>
      <c r="AE172">
        <f t="shared" si="29"/>
        <v>16.483036891199998</v>
      </c>
      <c r="AF172" s="9"/>
      <c r="AG172" s="21">
        <v>0.71579000000000004</v>
      </c>
      <c r="AH172" s="21">
        <v>240.298</v>
      </c>
      <c r="AI172" s="21">
        <v>-1.7761200000000001E-2</v>
      </c>
      <c r="AJ172" s="21">
        <v>162</v>
      </c>
      <c r="AK172" s="21">
        <v>0.71514900000000003</v>
      </c>
      <c r="AL172">
        <f t="shared" si="30"/>
        <v>17.761200000000002</v>
      </c>
      <c r="AM172">
        <f t="shared" si="31"/>
        <v>12.713289348000002</v>
      </c>
      <c r="AP172" s="9"/>
      <c r="AQ172" s="21">
        <v>0.93429600000000002</v>
      </c>
      <c r="AR172" s="21">
        <v>298.00299999999999</v>
      </c>
      <c r="AS172" s="21">
        <v>-1.7639200000000001E-2</v>
      </c>
      <c r="AT172" s="21">
        <v>162</v>
      </c>
      <c r="AU172" s="21">
        <v>0.93383799999999995</v>
      </c>
      <c r="AV172">
        <f t="shared" si="32"/>
        <v>17.639200000000002</v>
      </c>
      <c r="AW172">
        <f t="shared" si="33"/>
        <v>16.480234003200003</v>
      </c>
      <c r="AX172" s="9"/>
      <c r="AY172" s="21">
        <v>0.71579000000000004</v>
      </c>
      <c r="AZ172" s="21">
        <v>368.43299999999999</v>
      </c>
      <c r="BA172" s="21">
        <v>-1.7733800000000001E-2</v>
      </c>
      <c r="BB172" s="21">
        <v>162</v>
      </c>
      <c r="BC172" s="21">
        <v>0.71481300000000003</v>
      </c>
      <c r="BD172">
        <f t="shared" si="34"/>
        <v>17.733800000000002</v>
      </c>
      <c r="BE172">
        <f t="shared" si="35"/>
        <v>12.693676702000003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0.92925999999999997</v>
      </c>
      <c r="H173" s="21">
        <v>34.418599999999998</v>
      </c>
      <c r="I173" s="21">
        <v>-1.7666600000000001E-2</v>
      </c>
      <c r="J173" s="21">
        <v>163</v>
      </c>
      <c r="K173" s="21">
        <v>0.92834499999999998</v>
      </c>
      <c r="L173">
        <f t="shared" si="24"/>
        <v>17.666600000000003</v>
      </c>
      <c r="M173">
        <f t="shared" si="25"/>
        <v>16.416864716000003</v>
      </c>
      <c r="N173" s="9"/>
      <c r="O173" s="21">
        <v>0.72082500000000005</v>
      </c>
      <c r="P173" s="21">
        <v>106.179</v>
      </c>
      <c r="Q173" s="21">
        <v>-1.7770399999999999E-2</v>
      </c>
      <c r="R173" s="21">
        <v>163</v>
      </c>
      <c r="S173" s="21">
        <v>0.72042799999999996</v>
      </c>
      <c r="T173">
        <f t="shared" si="26"/>
        <v>17.770399999999999</v>
      </c>
      <c r="U173">
        <f t="shared" si="27"/>
        <v>12.80934858</v>
      </c>
      <c r="X173" s="9"/>
      <c r="Y173" s="21">
        <v>0.92925999999999997</v>
      </c>
      <c r="Z173" s="21">
        <v>173.85400000000001</v>
      </c>
      <c r="AA173" s="21">
        <v>-1.7651400000000001E-2</v>
      </c>
      <c r="AB173" s="21">
        <v>163</v>
      </c>
      <c r="AC173" s="21">
        <v>0.92864999999999998</v>
      </c>
      <c r="AD173">
        <f t="shared" si="28"/>
        <v>17.651400000000002</v>
      </c>
      <c r="AE173">
        <f t="shared" si="29"/>
        <v>16.402739964000002</v>
      </c>
      <c r="AF173" s="9"/>
      <c r="AG173" s="21">
        <v>0.72082500000000005</v>
      </c>
      <c r="AH173" s="21">
        <v>240.399</v>
      </c>
      <c r="AI173" s="21">
        <v>-1.7761200000000001E-2</v>
      </c>
      <c r="AJ173" s="21">
        <v>163</v>
      </c>
      <c r="AK173" s="21">
        <v>0.72012299999999996</v>
      </c>
      <c r="AL173">
        <f t="shared" si="30"/>
        <v>17.761200000000002</v>
      </c>
      <c r="AM173">
        <f t="shared" si="31"/>
        <v>12.802716990000002</v>
      </c>
      <c r="AP173" s="9"/>
      <c r="AQ173" s="21">
        <v>0.92925999999999997</v>
      </c>
      <c r="AR173" s="21">
        <v>298.10399999999998</v>
      </c>
      <c r="AS173" s="21">
        <v>-1.7645299999999999E-2</v>
      </c>
      <c r="AT173" s="21">
        <v>163</v>
      </c>
      <c r="AU173" s="21">
        <v>0.92803999999999998</v>
      </c>
      <c r="AV173">
        <f t="shared" si="32"/>
        <v>17.645299999999999</v>
      </c>
      <c r="AW173">
        <f t="shared" si="33"/>
        <v>16.397071477999997</v>
      </c>
      <c r="AX173" s="9"/>
      <c r="AY173" s="21">
        <v>0.72082500000000005</v>
      </c>
      <c r="AZ173" s="21">
        <v>368.53399999999999</v>
      </c>
      <c r="BA173" s="21">
        <v>-1.7730699999999999E-2</v>
      </c>
      <c r="BB173" s="21">
        <v>163</v>
      </c>
      <c r="BC173" s="21">
        <v>0.72036699999999998</v>
      </c>
      <c r="BD173">
        <f t="shared" si="34"/>
        <v>17.730699999999999</v>
      </c>
      <c r="BE173">
        <f t="shared" si="35"/>
        <v>12.7807318275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0.92422499999999996</v>
      </c>
      <c r="H174" s="21">
        <v>34.519300000000001</v>
      </c>
      <c r="I174" s="21">
        <v>-1.7675799999999998E-2</v>
      </c>
      <c r="J174" s="21">
        <v>164</v>
      </c>
      <c r="K174" s="21">
        <v>0.92346200000000001</v>
      </c>
      <c r="L174">
        <f t="shared" si="24"/>
        <v>17.675799999999999</v>
      </c>
      <c r="M174">
        <f t="shared" si="25"/>
        <v>16.336416255</v>
      </c>
      <c r="N174" s="9"/>
      <c r="O174" s="21">
        <v>0.72586099999999998</v>
      </c>
      <c r="P174" s="21">
        <v>106.279</v>
      </c>
      <c r="Q174" s="21">
        <v>-1.77673E-2</v>
      </c>
      <c r="R174" s="21">
        <v>164</v>
      </c>
      <c r="S174" s="21">
        <v>0.72552499999999998</v>
      </c>
      <c r="T174">
        <f t="shared" si="26"/>
        <v>17.767299999999999</v>
      </c>
      <c r="U174">
        <f t="shared" si="27"/>
        <v>12.896590145299999</v>
      </c>
      <c r="X174" s="9"/>
      <c r="Y174" s="21">
        <v>0.92422499999999996</v>
      </c>
      <c r="Z174" s="21">
        <v>173.95500000000001</v>
      </c>
      <c r="AA174" s="21">
        <v>-1.7645299999999999E-2</v>
      </c>
      <c r="AB174" s="21">
        <v>164</v>
      </c>
      <c r="AC174" s="21">
        <v>0.92315700000000001</v>
      </c>
      <c r="AD174">
        <f t="shared" si="28"/>
        <v>17.645299999999999</v>
      </c>
      <c r="AE174">
        <f t="shared" si="29"/>
        <v>16.308227392499997</v>
      </c>
      <c r="AF174" s="9"/>
      <c r="AG174" s="21">
        <v>0.72586099999999998</v>
      </c>
      <c r="AH174" s="21">
        <v>240.5</v>
      </c>
      <c r="AI174" s="21">
        <v>-1.7761200000000001E-2</v>
      </c>
      <c r="AJ174" s="21">
        <v>164</v>
      </c>
      <c r="AK174" s="21">
        <v>0.725464</v>
      </c>
      <c r="AL174">
        <f t="shared" si="30"/>
        <v>17.761200000000002</v>
      </c>
      <c r="AM174">
        <f t="shared" si="31"/>
        <v>12.892162393200001</v>
      </c>
      <c r="AP174" s="9"/>
      <c r="AQ174" s="21">
        <v>0.92422499999999996</v>
      </c>
      <c r="AR174" s="21">
        <v>298.20400000000001</v>
      </c>
      <c r="AS174" s="21">
        <v>-1.7645299999999999E-2</v>
      </c>
      <c r="AT174" s="21">
        <v>164</v>
      </c>
      <c r="AU174" s="21">
        <v>0.92285200000000001</v>
      </c>
      <c r="AV174">
        <f t="shared" si="32"/>
        <v>17.645299999999999</v>
      </c>
      <c r="AW174">
        <f t="shared" si="33"/>
        <v>16.308227392499997</v>
      </c>
      <c r="AX174" s="9"/>
      <c r="AY174" s="21">
        <v>0.72586099999999998</v>
      </c>
      <c r="AZ174" s="21">
        <v>368.63499999999999</v>
      </c>
      <c r="BA174" s="21">
        <v>-1.7727699999999999E-2</v>
      </c>
      <c r="BB174" s="21">
        <v>164</v>
      </c>
      <c r="BC174" s="21">
        <v>0.72540300000000002</v>
      </c>
      <c r="BD174">
        <f t="shared" si="34"/>
        <v>17.727699999999999</v>
      </c>
      <c r="BE174">
        <f t="shared" si="35"/>
        <v>12.867846049699999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0.91918900000000003</v>
      </c>
      <c r="H175" s="21">
        <v>34.619999999999997</v>
      </c>
      <c r="I175" s="21">
        <v>-1.76697E-2</v>
      </c>
      <c r="J175" s="21">
        <v>165</v>
      </c>
      <c r="K175" s="21">
        <v>0.91857900000000003</v>
      </c>
      <c r="L175">
        <f t="shared" si="24"/>
        <v>17.669699999999999</v>
      </c>
      <c r="M175">
        <f t="shared" si="25"/>
        <v>16.241793873300001</v>
      </c>
      <c r="N175" s="9"/>
      <c r="O175" s="21">
        <v>0.73089599999999999</v>
      </c>
      <c r="P175" s="21">
        <v>106.38</v>
      </c>
      <c r="Q175" s="21">
        <v>-1.77643E-2</v>
      </c>
      <c r="R175" s="21">
        <v>165</v>
      </c>
      <c r="S175" s="21">
        <v>0.73028599999999999</v>
      </c>
      <c r="T175">
        <f t="shared" si="26"/>
        <v>17.764299999999999</v>
      </c>
      <c r="U175">
        <f t="shared" si="27"/>
        <v>12.983855812799998</v>
      </c>
      <c r="X175" s="9"/>
      <c r="Y175" s="21">
        <v>0.91918900000000003</v>
      </c>
      <c r="Z175" s="21">
        <v>174.05500000000001</v>
      </c>
      <c r="AA175" s="21">
        <v>-1.7654400000000001E-2</v>
      </c>
      <c r="AB175" s="21">
        <v>165</v>
      </c>
      <c r="AC175" s="21">
        <v>0.91888400000000003</v>
      </c>
      <c r="AD175">
        <f t="shared" si="28"/>
        <v>17.654399999999999</v>
      </c>
      <c r="AE175">
        <f t="shared" si="29"/>
        <v>16.2277302816</v>
      </c>
      <c r="AF175" s="9"/>
      <c r="AG175" s="21">
        <v>0.73089599999999999</v>
      </c>
      <c r="AH175" s="21">
        <v>240.6</v>
      </c>
      <c r="AI175" s="21">
        <v>-1.77673E-2</v>
      </c>
      <c r="AJ175" s="21">
        <v>165</v>
      </c>
      <c r="AK175" s="21">
        <v>0.73083500000000001</v>
      </c>
      <c r="AL175">
        <f t="shared" si="30"/>
        <v>17.767299999999999</v>
      </c>
      <c r="AM175">
        <f t="shared" si="31"/>
        <v>12.986048500799999</v>
      </c>
      <c r="AP175" s="9"/>
      <c r="AQ175" s="21">
        <v>0.91918900000000003</v>
      </c>
      <c r="AR175" s="21">
        <v>298.30500000000001</v>
      </c>
      <c r="AS175" s="21">
        <v>-1.7645299999999999E-2</v>
      </c>
      <c r="AT175" s="21">
        <v>165</v>
      </c>
      <c r="AU175" s="21">
        <v>0.91827400000000003</v>
      </c>
      <c r="AV175">
        <f t="shared" si="32"/>
        <v>17.645299999999999</v>
      </c>
      <c r="AW175">
        <f t="shared" si="33"/>
        <v>16.219365661699999</v>
      </c>
      <c r="AX175" s="9"/>
      <c r="AY175" s="21">
        <v>0.73089599999999999</v>
      </c>
      <c r="AZ175" s="21">
        <v>368.73500000000001</v>
      </c>
      <c r="BA175" s="21">
        <v>-1.7727699999999999E-2</v>
      </c>
      <c r="BB175" s="21">
        <v>165</v>
      </c>
      <c r="BC175" s="21">
        <v>0.73059099999999999</v>
      </c>
      <c r="BD175">
        <f t="shared" si="34"/>
        <v>17.727699999999999</v>
      </c>
      <c r="BE175">
        <f t="shared" si="35"/>
        <v>12.957105019199998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0.91415400000000002</v>
      </c>
      <c r="H176" s="21">
        <v>34.720700000000001</v>
      </c>
      <c r="I176" s="21">
        <v>-1.7675799999999998E-2</v>
      </c>
      <c r="J176" s="21">
        <v>166</v>
      </c>
      <c r="K176" s="21">
        <v>0.91369599999999995</v>
      </c>
      <c r="L176">
        <f t="shared" si="24"/>
        <v>17.675799999999999</v>
      </c>
      <c r="M176">
        <f t="shared" si="25"/>
        <v>16.158403273199998</v>
      </c>
      <c r="N176" s="9"/>
      <c r="O176" s="21">
        <v>0.735931</v>
      </c>
      <c r="P176" s="21">
        <v>106.48099999999999</v>
      </c>
      <c r="Q176" s="21">
        <v>-1.7758199999999998E-2</v>
      </c>
      <c r="R176" s="21">
        <v>166</v>
      </c>
      <c r="S176" s="21">
        <v>0.73541299999999998</v>
      </c>
      <c r="T176">
        <f t="shared" si="26"/>
        <v>17.758199999999999</v>
      </c>
      <c r="U176">
        <f t="shared" si="27"/>
        <v>13.068809884199998</v>
      </c>
      <c r="X176" s="9"/>
      <c r="Y176" s="21">
        <v>0.91415400000000002</v>
      </c>
      <c r="Z176" s="21">
        <v>174.15600000000001</v>
      </c>
      <c r="AA176" s="21">
        <v>-1.7654400000000001E-2</v>
      </c>
      <c r="AB176" s="21">
        <v>166</v>
      </c>
      <c r="AC176" s="21">
        <v>0.91430699999999998</v>
      </c>
      <c r="AD176">
        <f t="shared" si="28"/>
        <v>17.654399999999999</v>
      </c>
      <c r="AE176">
        <f t="shared" si="29"/>
        <v>16.138840377600001</v>
      </c>
      <c r="AF176" s="9"/>
      <c r="AG176" s="21">
        <v>0.735931</v>
      </c>
      <c r="AH176" s="21">
        <v>240.70099999999999</v>
      </c>
      <c r="AI176" s="21">
        <v>-1.7761200000000001E-2</v>
      </c>
      <c r="AJ176" s="21">
        <v>166</v>
      </c>
      <c r="AK176" s="21">
        <v>0.734985</v>
      </c>
      <c r="AL176">
        <f t="shared" si="30"/>
        <v>17.761200000000002</v>
      </c>
      <c r="AM176">
        <f t="shared" si="31"/>
        <v>13.071017677200002</v>
      </c>
      <c r="AP176" s="9"/>
      <c r="AQ176" s="21">
        <v>0.91415400000000002</v>
      </c>
      <c r="AR176" s="21">
        <v>298.40600000000001</v>
      </c>
      <c r="AS176" s="21">
        <v>-1.7648299999999999E-2</v>
      </c>
      <c r="AT176" s="21">
        <v>166</v>
      </c>
      <c r="AU176" s="21">
        <v>0.91278099999999995</v>
      </c>
      <c r="AV176">
        <f t="shared" si="32"/>
        <v>17.648299999999999</v>
      </c>
      <c r="AW176">
        <f t="shared" si="33"/>
        <v>16.1332640382</v>
      </c>
      <c r="AX176" s="9"/>
      <c r="AY176" s="21">
        <v>0.735931</v>
      </c>
      <c r="AZ176" s="21">
        <v>368.83600000000001</v>
      </c>
      <c r="BA176" s="21">
        <v>-1.7721600000000001E-2</v>
      </c>
      <c r="BB176" s="21">
        <v>166</v>
      </c>
      <c r="BC176" s="21">
        <v>0.73544299999999996</v>
      </c>
      <c r="BD176">
        <f t="shared" si="34"/>
        <v>17.721600000000002</v>
      </c>
      <c r="BE176">
        <f t="shared" si="35"/>
        <v>13.041874809600001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0.90911900000000001</v>
      </c>
      <c r="H177" s="21">
        <v>34.821399999999997</v>
      </c>
      <c r="I177" s="21">
        <v>-1.76849E-2</v>
      </c>
      <c r="J177" s="21">
        <v>167</v>
      </c>
      <c r="K177" s="21">
        <v>0.90820299999999998</v>
      </c>
      <c r="L177">
        <f t="shared" si="24"/>
        <v>17.684899999999999</v>
      </c>
      <c r="M177">
        <f t="shared" si="25"/>
        <v>16.077678603100001</v>
      </c>
      <c r="N177" s="9"/>
      <c r="O177" s="21">
        <v>0.74096700000000004</v>
      </c>
      <c r="P177" s="21">
        <v>106.58199999999999</v>
      </c>
      <c r="Q177" s="21">
        <v>-1.7761200000000001E-2</v>
      </c>
      <c r="R177" s="21">
        <v>167</v>
      </c>
      <c r="S177" s="21">
        <v>0.74038700000000002</v>
      </c>
      <c r="T177">
        <f t="shared" si="26"/>
        <v>17.761200000000002</v>
      </c>
      <c r="U177">
        <f t="shared" si="27"/>
        <v>13.160463080400003</v>
      </c>
      <c r="X177" s="9"/>
      <c r="Y177" s="21">
        <v>0.90911900000000001</v>
      </c>
      <c r="Z177" s="21">
        <v>174.25700000000001</v>
      </c>
      <c r="AA177" s="21">
        <v>-1.7660499999999999E-2</v>
      </c>
      <c r="AB177" s="21">
        <v>167</v>
      </c>
      <c r="AC177" s="21">
        <v>0.90820299999999998</v>
      </c>
      <c r="AD177">
        <f t="shared" si="28"/>
        <v>17.660499999999999</v>
      </c>
      <c r="AE177">
        <f t="shared" si="29"/>
        <v>16.055496099500001</v>
      </c>
      <c r="AF177" s="9"/>
      <c r="AG177" s="21">
        <v>0.74096700000000004</v>
      </c>
      <c r="AH177" s="21">
        <v>240.80199999999999</v>
      </c>
      <c r="AI177" s="21">
        <v>-1.7755099999999999E-2</v>
      </c>
      <c r="AJ177" s="21">
        <v>167</v>
      </c>
      <c r="AK177" s="21">
        <v>0.74056999999999995</v>
      </c>
      <c r="AL177">
        <f t="shared" si="30"/>
        <v>17.755099999999999</v>
      </c>
      <c r="AM177">
        <f t="shared" si="31"/>
        <v>13.1559431817</v>
      </c>
      <c r="AP177" s="9"/>
      <c r="AQ177" s="21">
        <v>0.90911900000000001</v>
      </c>
      <c r="AR177" s="21">
        <v>298.50700000000001</v>
      </c>
      <c r="AS177" s="21">
        <v>-1.7651400000000001E-2</v>
      </c>
      <c r="AT177" s="21">
        <v>167</v>
      </c>
      <c r="AU177" s="21">
        <v>0.90850799999999998</v>
      </c>
      <c r="AV177">
        <f t="shared" si="32"/>
        <v>17.651400000000002</v>
      </c>
      <c r="AW177">
        <f t="shared" si="33"/>
        <v>16.047223116600001</v>
      </c>
      <c r="AX177" s="9"/>
      <c r="AY177" s="21">
        <v>0.74096700000000004</v>
      </c>
      <c r="AZ177" s="21">
        <v>368.93700000000001</v>
      </c>
      <c r="BA177" s="21">
        <v>-1.77246E-2</v>
      </c>
      <c r="BB177" s="21">
        <v>167</v>
      </c>
      <c r="BC177" s="21">
        <v>0.74038700000000002</v>
      </c>
      <c r="BD177">
        <f t="shared" si="34"/>
        <v>17.724599999999999</v>
      </c>
      <c r="BE177">
        <f t="shared" si="35"/>
        <v>13.1333436882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0.90408299999999997</v>
      </c>
      <c r="H178" s="21">
        <v>34.9221</v>
      </c>
      <c r="I178" s="21">
        <v>-1.7678800000000001E-2</v>
      </c>
      <c r="J178" s="21">
        <v>168</v>
      </c>
      <c r="K178" s="21">
        <v>0.90271000000000001</v>
      </c>
      <c r="L178">
        <f t="shared" si="24"/>
        <v>17.678800000000003</v>
      </c>
      <c r="M178">
        <f t="shared" si="25"/>
        <v>15.983102540400001</v>
      </c>
      <c r="N178" s="9"/>
      <c r="O178" s="21">
        <v>0.74600200000000005</v>
      </c>
      <c r="P178" s="21">
        <v>106.682</v>
      </c>
      <c r="Q178" s="21">
        <v>-1.7758199999999998E-2</v>
      </c>
      <c r="R178" s="21">
        <v>168</v>
      </c>
      <c r="S178" s="21">
        <v>0.74551400000000001</v>
      </c>
      <c r="T178">
        <f t="shared" si="26"/>
        <v>17.758199999999999</v>
      </c>
      <c r="U178">
        <f t="shared" si="27"/>
        <v>13.247652716399999</v>
      </c>
      <c r="X178" s="9"/>
      <c r="Y178" s="21">
        <v>0.90408299999999997</v>
      </c>
      <c r="Z178" s="21">
        <v>174.357</v>
      </c>
      <c r="AA178" s="21">
        <v>-1.7660499999999999E-2</v>
      </c>
      <c r="AB178" s="21">
        <v>168</v>
      </c>
      <c r="AC178" s="21">
        <v>0.90271000000000001</v>
      </c>
      <c r="AD178">
        <f t="shared" si="28"/>
        <v>17.660499999999999</v>
      </c>
      <c r="AE178">
        <f t="shared" si="29"/>
        <v>15.966557821499999</v>
      </c>
      <c r="AF178" s="9"/>
      <c r="AG178" s="21">
        <v>0.74600200000000005</v>
      </c>
      <c r="AH178" s="21">
        <v>240.90199999999999</v>
      </c>
      <c r="AI178" s="21">
        <v>-1.77521E-2</v>
      </c>
      <c r="AJ178" s="21">
        <v>168</v>
      </c>
      <c r="AK178" s="21">
        <v>0.74536100000000005</v>
      </c>
      <c r="AL178">
        <f t="shared" si="30"/>
        <v>17.752099999999999</v>
      </c>
      <c r="AM178">
        <f t="shared" si="31"/>
        <v>13.2431021042</v>
      </c>
      <c r="AP178" s="9"/>
      <c r="AQ178" s="21">
        <v>0.90408299999999997</v>
      </c>
      <c r="AR178" s="21">
        <v>298.60700000000003</v>
      </c>
      <c r="AS178" s="21">
        <v>-1.76575E-2</v>
      </c>
      <c r="AT178" s="21">
        <v>168</v>
      </c>
      <c r="AU178" s="21">
        <v>0.90301500000000001</v>
      </c>
      <c r="AV178">
        <f t="shared" si="32"/>
        <v>17.657499999999999</v>
      </c>
      <c r="AW178">
        <f t="shared" si="33"/>
        <v>15.963845572499999</v>
      </c>
      <c r="AX178" s="9"/>
      <c r="AY178" s="21">
        <v>0.74600200000000005</v>
      </c>
      <c r="AZ178" s="21">
        <v>369.03699999999998</v>
      </c>
      <c r="BA178" s="21">
        <v>-1.7715499999999999E-2</v>
      </c>
      <c r="BB178" s="21">
        <v>168</v>
      </c>
      <c r="BC178" s="21">
        <v>0.74554399999999998</v>
      </c>
      <c r="BD178">
        <f t="shared" si="34"/>
        <v>17.715499999999999</v>
      </c>
      <c r="BE178">
        <f t="shared" si="35"/>
        <v>13.215798431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0.89904799999999996</v>
      </c>
      <c r="H179" s="21">
        <v>35.022799999999997</v>
      </c>
      <c r="I179" s="21">
        <v>-1.7678800000000001E-2</v>
      </c>
      <c r="J179" s="21">
        <v>169</v>
      </c>
      <c r="K179" s="21">
        <v>0.89904799999999996</v>
      </c>
      <c r="L179">
        <f t="shared" si="24"/>
        <v>17.678800000000003</v>
      </c>
      <c r="M179">
        <f t="shared" si="25"/>
        <v>15.894089782400002</v>
      </c>
      <c r="N179" s="9"/>
      <c r="O179" s="21">
        <v>0.75103799999999998</v>
      </c>
      <c r="P179" s="21">
        <v>106.783</v>
      </c>
      <c r="Q179" s="21">
        <v>-1.7755099999999999E-2</v>
      </c>
      <c r="R179" s="21">
        <v>169</v>
      </c>
      <c r="S179" s="21">
        <v>0.75036599999999998</v>
      </c>
      <c r="T179">
        <f t="shared" si="26"/>
        <v>17.755099999999999</v>
      </c>
      <c r="U179">
        <f t="shared" si="27"/>
        <v>13.334754793799998</v>
      </c>
      <c r="X179" s="9"/>
      <c r="Y179" s="21">
        <v>0.89904799999999996</v>
      </c>
      <c r="Z179" s="21">
        <v>174.458</v>
      </c>
      <c r="AA179" s="21">
        <v>-1.7663600000000002E-2</v>
      </c>
      <c r="AB179" s="21">
        <v>169</v>
      </c>
      <c r="AC179" s="21">
        <v>0.89874299999999996</v>
      </c>
      <c r="AD179">
        <f t="shared" si="28"/>
        <v>17.663600000000002</v>
      </c>
      <c r="AE179">
        <f t="shared" si="29"/>
        <v>15.880424252800001</v>
      </c>
      <c r="AF179" s="9"/>
      <c r="AG179" s="21">
        <v>0.75103799999999998</v>
      </c>
      <c r="AH179" s="21">
        <v>241.00299999999999</v>
      </c>
      <c r="AI179" s="21">
        <v>-1.7755099999999999E-2</v>
      </c>
      <c r="AJ179" s="21">
        <v>169</v>
      </c>
      <c r="AK179" s="21">
        <v>0.75036599999999998</v>
      </c>
      <c r="AL179">
        <f t="shared" si="30"/>
        <v>17.755099999999999</v>
      </c>
      <c r="AM179">
        <f t="shared" si="31"/>
        <v>13.334754793799998</v>
      </c>
      <c r="AP179" s="9"/>
      <c r="AQ179" s="21">
        <v>0.89904799999999996</v>
      </c>
      <c r="AR179" s="21">
        <v>298.70800000000003</v>
      </c>
      <c r="AS179" s="21">
        <v>-1.7654400000000001E-2</v>
      </c>
      <c r="AT179" s="21">
        <v>169</v>
      </c>
      <c r="AU179" s="21">
        <v>0.89874299999999996</v>
      </c>
      <c r="AV179">
        <f t="shared" si="32"/>
        <v>17.654399999999999</v>
      </c>
      <c r="AW179">
        <f t="shared" si="33"/>
        <v>15.872153011199998</v>
      </c>
      <c r="AX179" s="9"/>
      <c r="AY179" s="21">
        <v>0.75103799999999998</v>
      </c>
      <c r="AZ179" s="21">
        <v>369.13799999999998</v>
      </c>
      <c r="BA179" s="21">
        <v>-1.7706300000000001E-2</v>
      </c>
      <c r="BB179" s="21">
        <v>169</v>
      </c>
      <c r="BC179" s="21">
        <v>0.75051900000000005</v>
      </c>
      <c r="BD179">
        <f t="shared" si="34"/>
        <v>17.706300000000002</v>
      </c>
      <c r="BE179">
        <f t="shared" si="35"/>
        <v>13.298104139400001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0.89401200000000003</v>
      </c>
      <c r="H180" s="21">
        <v>35.123600000000003</v>
      </c>
      <c r="I180" s="21">
        <v>-1.76819E-2</v>
      </c>
      <c r="J180" s="21">
        <v>170</v>
      </c>
      <c r="K180" s="21">
        <v>0.89263899999999996</v>
      </c>
      <c r="L180">
        <f t="shared" si="24"/>
        <v>17.681899999999999</v>
      </c>
      <c r="M180">
        <f t="shared" si="25"/>
        <v>15.8078307828</v>
      </c>
      <c r="N180" s="9"/>
      <c r="O180" s="21">
        <v>0.756073</v>
      </c>
      <c r="P180" s="21">
        <v>106.884</v>
      </c>
      <c r="Q180" s="21">
        <v>-1.7758199999999998E-2</v>
      </c>
      <c r="R180" s="21">
        <v>170</v>
      </c>
      <c r="S180" s="21">
        <v>0.75592000000000004</v>
      </c>
      <c r="T180">
        <f t="shared" si="26"/>
        <v>17.758199999999999</v>
      </c>
      <c r="U180">
        <f t="shared" si="27"/>
        <v>13.426495548599998</v>
      </c>
      <c r="X180" s="9"/>
      <c r="Y180" s="21">
        <v>0.89401200000000003</v>
      </c>
      <c r="Z180" s="21">
        <v>174.559</v>
      </c>
      <c r="AA180" s="21">
        <v>-1.7666600000000001E-2</v>
      </c>
      <c r="AB180" s="21">
        <v>170</v>
      </c>
      <c r="AC180" s="21">
        <v>0.89294399999999996</v>
      </c>
      <c r="AD180">
        <f t="shared" si="28"/>
        <v>17.666600000000003</v>
      </c>
      <c r="AE180">
        <f t="shared" si="29"/>
        <v>15.794152399200003</v>
      </c>
      <c r="AF180" s="9"/>
      <c r="AG180" s="21">
        <v>0.756073</v>
      </c>
      <c r="AH180" s="21">
        <v>241.10400000000001</v>
      </c>
      <c r="AI180" s="21">
        <v>-1.7746000000000001E-2</v>
      </c>
      <c r="AJ180" s="21">
        <v>170</v>
      </c>
      <c r="AK180" s="21">
        <v>0.75500500000000004</v>
      </c>
      <c r="AL180">
        <f t="shared" si="30"/>
        <v>17.746000000000002</v>
      </c>
      <c r="AM180">
        <f t="shared" si="31"/>
        <v>13.417271458000002</v>
      </c>
      <c r="AP180" s="9"/>
      <c r="AQ180" s="21">
        <v>0.89401200000000003</v>
      </c>
      <c r="AR180" s="21">
        <v>298.80900000000003</v>
      </c>
      <c r="AS180" s="21">
        <v>-1.7660499999999999E-2</v>
      </c>
      <c r="AT180" s="21">
        <v>170</v>
      </c>
      <c r="AU180" s="21">
        <v>0.89294399999999996</v>
      </c>
      <c r="AV180">
        <f t="shared" si="32"/>
        <v>17.660499999999999</v>
      </c>
      <c r="AW180">
        <f t="shared" si="33"/>
        <v>15.788698926</v>
      </c>
      <c r="AX180" s="9"/>
      <c r="AY180" s="21">
        <v>0.756073</v>
      </c>
      <c r="AZ180" s="21">
        <v>369.23899999999998</v>
      </c>
      <c r="BA180" s="21">
        <v>-1.7715499999999999E-2</v>
      </c>
      <c r="BB180" s="21">
        <v>170</v>
      </c>
      <c r="BC180" s="21">
        <v>0.75500500000000004</v>
      </c>
      <c r="BD180">
        <f t="shared" si="34"/>
        <v>17.715499999999999</v>
      </c>
      <c r="BE180">
        <f t="shared" si="35"/>
        <v>13.394211231499998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0.88897700000000002</v>
      </c>
      <c r="H181" s="21">
        <v>35.224299999999999</v>
      </c>
      <c r="I181" s="21">
        <v>-1.7687999999999999E-2</v>
      </c>
      <c r="J181" s="21">
        <v>171</v>
      </c>
      <c r="K181" s="21">
        <v>0.88745099999999999</v>
      </c>
      <c r="L181">
        <f t="shared" si="24"/>
        <v>17.687999999999999</v>
      </c>
      <c r="M181">
        <f t="shared" si="25"/>
        <v>15.724225175999999</v>
      </c>
      <c r="N181" s="9"/>
      <c r="O181" s="21">
        <v>0.76110800000000001</v>
      </c>
      <c r="P181" s="21">
        <v>106.98399999999999</v>
      </c>
      <c r="Q181" s="21">
        <v>-1.77521E-2</v>
      </c>
      <c r="R181" s="21">
        <v>171</v>
      </c>
      <c r="S181" s="21">
        <v>0.76049800000000001</v>
      </c>
      <c r="T181">
        <f t="shared" si="26"/>
        <v>17.752099999999999</v>
      </c>
      <c r="U181">
        <f t="shared" si="27"/>
        <v>13.511265326799998</v>
      </c>
      <c r="X181" s="9"/>
      <c r="Y181" s="21">
        <v>0.88897700000000002</v>
      </c>
      <c r="Z181" s="21">
        <v>174.65899999999999</v>
      </c>
      <c r="AA181" s="21">
        <v>-1.76697E-2</v>
      </c>
      <c r="AB181" s="21">
        <v>171</v>
      </c>
      <c r="AC181" s="21">
        <v>0.88836700000000002</v>
      </c>
      <c r="AD181">
        <f t="shared" si="28"/>
        <v>17.669699999999999</v>
      </c>
      <c r="AE181">
        <f t="shared" si="29"/>
        <v>15.707956896899999</v>
      </c>
      <c r="AF181" s="9"/>
      <c r="AG181" s="21">
        <v>0.76110800000000001</v>
      </c>
      <c r="AH181" s="21">
        <v>241.20500000000001</v>
      </c>
      <c r="AI181" s="21">
        <v>-1.7742899999999999E-2</v>
      </c>
      <c r="AJ181" s="21">
        <v>171</v>
      </c>
      <c r="AK181" s="21">
        <v>0.76110800000000001</v>
      </c>
      <c r="AL181">
        <f t="shared" si="30"/>
        <v>17.742899999999999</v>
      </c>
      <c r="AM181">
        <f t="shared" si="31"/>
        <v>13.504263133199998</v>
      </c>
      <c r="AP181" s="9"/>
      <c r="AQ181" s="21">
        <v>0.88897700000000002</v>
      </c>
      <c r="AR181" s="21">
        <v>298.90899999999999</v>
      </c>
      <c r="AS181" s="21">
        <v>-1.7660499999999999E-2</v>
      </c>
      <c r="AT181" s="21">
        <v>171</v>
      </c>
      <c r="AU181" s="21">
        <v>0.88836700000000002</v>
      </c>
      <c r="AV181">
        <f t="shared" si="32"/>
        <v>17.660499999999999</v>
      </c>
      <c r="AW181">
        <f t="shared" si="33"/>
        <v>15.699778308499999</v>
      </c>
      <c r="AX181" s="9"/>
      <c r="AY181" s="21">
        <v>0.76110800000000001</v>
      </c>
      <c r="AZ181" s="21">
        <v>369.34</v>
      </c>
      <c r="BA181" s="21">
        <v>-1.77124E-2</v>
      </c>
      <c r="BB181" s="21">
        <v>171</v>
      </c>
      <c r="BC181" s="21">
        <v>0.76049800000000001</v>
      </c>
      <c r="BD181">
        <f t="shared" si="34"/>
        <v>17.712399999999999</v>
      </c>
      <c r="BE181">
        <f t="shared" si="35"/>
        <v>13.481049339199998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0.88394200000000001</v>
      </c>
      <c r="H182" s="21">
        <v>35.325000000000003</v>
      </c>
      <c r="I182" s="21">
        <v>-1.7690999999999998E-2</v>
      </c>
      <c r="J182" s="21">
        <v>172</v>
      </c>
      <c r="K182" s="21">
        <v>0.88256800000000002</v>
      </c>
      <c r="L182">
        <f t="shared" si="24"/>
        <v>17.690999999999999</v>
      </c>
      <c r="M182">
        <f t="shared" si="25"/>
        <v>15.637817922</v>
      </c>
      <c r="N182" s="9"/>
      <c r="O182" s="21">
        <v>0.76614400000000005</v>
      </c>
      <c r="P182" s="21">
        <v>107.08499999999999</v>
      </c>
      <c r="Q182" s="21">
        <v>-1.7746000000000001E-2</v>
      </c>
      <c r="R182" s="21">
        <v>172</v>
      </c>
      <c r="S182" s="21">
        <v>0.76507599999999998</v>
      </c>
      <c r="T182">
        <f t="shared" si="26"/>
        <v>17.746000000000002</v>
      </c>
      <c r="U182">
        <f t="shared" si="27"/>
        <v>13.595991424000003</v>
      </c>
      <c r="X182" s="9"/>
      <c r="Y182" s="21">
        <v>0.88394200000000001</v>
      </c>
      <c r="Z182" s="21">
        <v>174.76</v>
      </c>
      <c r="AA182" s="21">
        <v>-1.7675799999999998E-2</v>
      </c>
      <c r="AB182" s="21">
        <v>172</v>
      </c>
      <c r="AC182" s="21">
        <v>0.88317900000000005</v>
      </c>
      <c r="AD182">
        <f t="shared" si="28"/>
        <v>17.675799999999999</v>
      </c>
      <c r="AE182">
        <f t="shared" si="29"/>
        <v>15.624382003599999</v>
      </c>
      <c r="AF182" s="9"/>
      <c r="AG182" s="21">
        <v>0.76614400000000005</v>
      </c>
      <c r="AH182" s="21">
        <v>241.30500000000001</v>
      </c>
      <c r="AI182" s="21">
        <v>-1.7749000000000001E-2</v>
      </c>
      <c r="AJ182" s="21">
        <v>172</v>
      </c>
      <c r="AK182" s="21">
        <v>0.76538099999999998</v>
      </c>
      <c r="AL182">
        <f t="shared" si="30"/>
        <v>17.749000000000002</v>
      </c>
      <c r="AM182">
        <f t="shared" si="31"/>
        <v>13.598289856000003</v>
      </c>
      <c r="AP182" s="9"/>
      <c r="AQ182" s="21">
        <v>0.88394200000000001</v>
      </c>
      <c r="AR182" s="21">
        <v>299.01</v>
      </c>
      <c r="AS182" s="21">
        <v>-1.7666600000000001E-2</v>
      </c>
      <c r="AT182" s="21">
        <v>172</v>
      </c>
      <c r="AU182" s="21">
        <v>0.88317900000000005</v>
      </c>
      <c r="AV182">
        <f t="shared" si="32"/>
        <v>17.666600000000003</v>
      </c>
      <c r="AW182">
        <f t="shared" si="33"/>
        <v>15.616249737200002</v>
      </c>
      <c r="AX182" s="9"/>
      <c r="AY182" s="21">
        <v>0.76614400000000005</v>
      </c>
      <c r="AZ182" s="21">
        <v>369.44</v>
      </c>
      <c r="BA182" s="21">
        <v>-1.77094E-2</v>
      </c>
      <c r="BB182" s="21">
        <v>172</v>
      </c>
      <c r="BC182" s="21">
        <v>0.76568599999999998</v>
      </c>
      <c r="BD182">
        <f t="shared" si="34"/>
        <v>17.709399999999999</v>
      </c>
      <c r="BE182">
        <f t="shared" si="35"/>
        <v>13.567950553599999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0.87890599999999997</v>
      </c>
      <c r="H183" s="21">
        <v>35.425699999999999</v>
      </c>
      <c r="I183" s="21">
        <v>-1.7700199999999999E-2</v>
      </c>
      <c r="J183" s="21">
        <v>173</v>
      </c>
      <c r="K183" s="21">
        <v>0.87768599999999997</v>
      </c>
      <c r="L183">
        <f t="shared" si="24"/>
        <v>17.700199999999999</v>
      </c>
      <c r="M183">
        <f t="shared" si="25"/>
        <v>15.556811981199999</v>
      </c>
      <c r="N183" s="9"/>
      <c r="O183" s="21">
        <v>0.77117899999999995</v>
      </c>
      <c r="P183" s="21">
        <v>107.18600000000001</v>
      </c>
      <c r="Q183" s="21">
        <v>-1.7746000000000001E-2</v>
      </c>
      <c r="R183" s="21">
        <v>173</v>
      </c>
      <c r="S183" s="21">
        <v>0.77117899999999995</v>
      </c>
      <c r="T183">
        <f t="shared" si="26"/>
        <v>17.746000000000002</v>
      </c>
      <c r="U183">
        <f t="shared" si="27"/>
        <v>13.685342534</v>
      </c>
      <c r="X183" s="9"/>
      <c r="Y183" s="21">
        <v>0.87890599999999997</v>
      </c>
      <c r="Z183" s="21">
        <v>174.86099999999999</v>
      </c>
      <c r="AA183" s="21">
        <v>-1.7675799999999998E-2</v>
      </c>
      <c r="AB183" s="21">
        <v>173</v>
      </c>
      <c r="AC183" s="21">
        <v>0.87829599999999997</v>
      </c>
      <c r="AD183">
        <f t="shared" si="28"/>
        <v>17.675799999999999</v>
      </c>
      <c r="AE183">
        <f t="shared" si="29"/>
        <v>15.535366674799999</v>
      </c>
      <c r="AF183" s="9"/>
      <c r="AG183" s="21">
        <v>0.77117899999999995</v>
      </c>
      <c r="AH183" s="21">
        <v>241.40600000000001</v>
      </c>
      <c r="AI183" s="21">
        <v>-1.7742899999999999E-2</v>
      </c>
      <c r="AJ183" s="21">
        <v>173</v>
      </c>
      <c r="AK183" s="21">
        <v>0.77056899999999995</v>
      </c>
      <c r="AL183">
        <f t="shared" si="30"/>
        <v>17.742899999999999</v>
      </c>
      <c r="AM183">
        <f t="shared" si="31"/>
        <v>13.682951879099997</v>
      </c>
      <c r="AP183" s="9"/>
      <c r="AQ183" s="21">
        <v>0.87890599999999997</v>
      </c>
      <c r="AR183" s="21">
        <v>299.11099999999999</v>
      </c>
      <c r="AS183" s="21">
        <v>-1.7663600000000002E-2</v>
      </c>
      <c r="AT183" s="21">
        <v>173</v>
      </c>
      <c r="AU183" s="21">
        <v>0.87799099999999997</v>
      </c>
      <c r="AV183">
        <f t="shared" si="32"/>
        <v>17.663600000000002</v>
      </c>
      <c r="AW183">
        <f t="shared" si="33"/>
        <v>15.524644021600002</v>
      </c>
      <c r="AX183" s="9"/>
      <c r="AY183" s="21">
        <v>0.77117899999999995</v>
      </c>
      <c r="AZ183" s="21">
        <v>369.541</v>
      </c>
      <c r="BA183" s="21">
        <v>-1.77094E-2</v>
      </c>
      <c r="BB183" s="21">
        <v>173</v>
      </c>
      <c r="BC183" s="21">
        <v>0.77087399999999995</v>
      </c>
      <c r="BD183">
        <f t="shared" si="34"/>
        <v>17.709399999999999</v>
      </c>
      <c r="BE183">
        <f t="shared" si="35"/>
        <v>13.657117382599997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0.87387099999999995</v>
      </c>
      <c r="H184" s="21">
        <v>35.526400000000002</v>
      </c>
      <c r="I184" s="21">
        <v>-1.7700199999999999E-2</v>
      </c>
      <c r="J184" s="21">
        <v>174</v>
      </c>
      <c r="K184" s="21">
        <v>0.87371799999999999</v>
      </c>
      <c r="L184">
        <f t="shared" si="24"/>
        <v>17.700199999999999</v>
      </c>
      <c r="M184">
        <f t="shared" si="25"/>
        <v>15.467691474199999</v>
      </c>
      <c r="N184" s="9"/>
      <c r="O184" s="21">
        <v>0.77621499999999999</v>
      </c>
      <c r="P184" s="21">
        <v>107.28700000000001</v>
      </c>
      <c r="Q184" s="21">
        <v>-1.7749000000000001E-2</v>
      </c>
      <c r="R184" s="21">
        <v>174</v>
      </c>
      <c r="S184" s="21">
        <v>0.77545200000000003</v>
      </c>
      <c r="T184">
        <f t="shared" si="26"/>
        <v>17.749000000000002</v>
      </c>
      <c r="U184">
        <f t="shared" si="27"/>
        <v>13.777040035000002</v>
      </c>
      <c r="X184" s="9"/>
      <c r="Y184" s="21">
        <v>0.87387099999999995</v>
      </c>
      <c r="Z184" s="21">
        <v>174.96199999999999</v>
      </c>
      <c r="AA184" s="21">
        <v>-1.7675799999999998E-2</v>
      </c>
      <c r="AB184" s="21">
        <v>174</v>
      </c>
      <c r="AC184" s="21">
        <v>0.872803</v>
      </c>
      <c r="AD184">
        <f t="shared" si="28"/>
        <v>17.675799999999999</v>
      </c>
      <c r="AE184">
        <f t="shared" si="29"/>
        <v>15.446369021799999</v>
      </c>
      <c r="AF184" s="9"/>
      <c r="AG184" s="21">
        <v>0.77621499999999999</v>
      </c>
      <c r="AH184" s="21">
        <v>241.50700000000001</v>
      </c>
      <c r="AI184" s="21">
        <v>-1.7742899999999999E-2</v>
      </c>
      <c r="AJ184" s="21">
        <v>174</v>
      </c>
      <c r="AK184" s="21">
        <v>0.77575700000000003</v>
      </c>
      <c r="AL184">
        <f t="shared" si="30"/>
        <v>17.742899999999999</v>
      </c>
      <c r="AM184">
        <f t="shared" si="31"/>
        <v>13.772305123499999</v>
      </c>
      <c r="AP184" s="9"/>
      <c r="AQ184" s="21">
        <v>0.87387099999999995</v>
      </c>
      <c r="AR184" s="21">
        <v>299.21199999999999</v>
      </c>
      <c r="AS184" s="21">
        <v>-1.7666600000000001E-2</v>
      </c>
      <c r="AT184" s="21">
        <v>174</v>
      </c>
      <c r="AU184" s="21">
        <v>0.87341299999999999</v>
      </c>
      <c r="AV184">
        <f t="shared" si="32"/>
        <v>17.666600000000003</v>
      </c>
      <c r="AW184">
        <f t="shared" si="33"/>
        <v>15.438329408600001</v>
      </c>
      <c r="AX184" s="9"/>
      <c r="AY184" s="21">
        <v>0.77621499999999999</v>
      </c>
      <c r="AZ184" s="21">
        <v>369.642</v>
      </c>
      <c r="BA184" s="21">
        <v>-1.7703199999999999E-2</v>
      </c>
      <c r="BB184" s="21">
        <v>174</v>
      </c>
      <c r="BC184" s="21">
        <v>0.77575700000000003</v>
      </c>
      <c r="BD184">
        <f t="shared" si="34"/>
        <v>17.703199999999999</v>
      </c>
      <c r="BE184">
        <f t="shared" si="35"/>
        <v>13.741489388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0.86883500000000002</v>
      </c>
      <c r="H185" s="21">
        <v>35.627099999999999</v>
      </c>
      <c r="I185" s="21">
        <v>-1.7703199999999999E-2</v>
      </c>
      <c r="J185" s="21">
        <v>175</v>
      </c>
      <c r="K185" s="21">
        <v>0.86792000000000002</v>
      </c>
      <c r="L185">
        <f t="shared" si="24"/>
        <v>17.703199999999999</v>
      </c>
      <c r="M185">
        <f t="shared" si="25"/>
        <v>15.381159772</v>
      </c>
      <c r="N185" s="9"/>
      <c r="O185" s="21">
        <v>0.78125</v>
      </c>
      <c r="P185" s="21">
        <v>107.387</v>
      </c>
      <c r="Q185" s="21">
        <v>-1.7739899999999999E-2</v>
      </c>
      <c r="R185" s="21">
        <v>175</v>
      </c>
      <c r="S185" s="21">
        <v>0.78064</v>
      </c>
      <c r="T185">
        <f t="shared" si="26"/>
        <v>17.739899999999999</v>
      </c>
      <c r="U185">
        <f t="shared" si="27"/>
        <v>13.859296874999998</v>
      </c>
      <c r="X185" s="9"/>
      <c r="Y185" s="21">
        <v>0.86883500000000002</v>
      </c>
      <c r="Z185" s="21">
        <v>175.06200000000001</v>
      </c>
      <c r="AA185" s="21">
        <v>-1.76819E-2</v>
      </c>
      <c r="AB185" s="21">
        <v>175</v>
      </c>
      <c r="AC185" s="21">
        <v>0.86822500000000002</v>
      </c>
      <c r="AD185">
        <f t="shared" si="28"/>
        <v>17.681899999999999</v>
      </c>
      <c r="AE185">
        <f t="shared" si="29"/>
        <v>15.362653586499999</v>
      </c>
      <c r="AF185" s="9"/>
      <c r="AG185" s="21">
        <v>0.78125</v>
      </c>
      <c r="AH185" s="21">
        <v>241.607</v>
      </c>
      <c r="AI185" s="21">
        <v>-1.7739899999999999E-2</v>
      </c>
      <c r="AJ185" s="21">
        <v>175</v>
      </c>
      <c r="AK185" s="21">
        <v>0.78064</v>
      </c>
      <c r="AL185">
        <f t="shared" si="30"/>
        <v>17.739899999999999</v>
      </c>
      <c r="AM185">
        <f t="shared" si="31"/>
        <v>13.859296874999998</v>
      </c>
      <c r="AP185" s="9"/>
      <c r="AQ185" s="21">
        <v>0.86883500000000002</v>
      </c>
      <c r="AR185" s="21">
        <v>299.31200000000001</v>
      </c>
      <c r="AS185" s="21">
        <v>-1.7675799999999998E-2</v>
      </c>
      <c r="AT185" s="21">
        <v>175</v>
      </c>
      <c r="AU185" s="21">
        <v>0.86792000000000002</v>
      </c>
      <c r="AV185">
        <f t="shared" si="32"/>
        <v>17.675799999999999</v>
      </c>
      <c r="AW185">
        <f t="shared" si="33"/>
        <v>15.357353693</v>
      </c>
      <c r="AX185" s="9"/>
      <c r="AY185" s="21">
        <v>0.78125</v>
      </c>
      <c r="AZ185" s="21">
        <v>369.74200000000002</v>
      </c>
      <c r="BA185" s="21">
        <v>-1.7703199999999999E-2</v>
      </c>
      <c r="BB185" s="21">
        <v>175</v>
      </c>
      <c r="BC185" s="21">
        <v>0.78064</v>
      </c>
      <c r="BD185">
        <f t="shared" si="34"/>
        <v>17.703199999999999</v>
      </c>
      <c r="BE185">
        <f t="shared" si="35"/>
        <v>13.830625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0.86380000000000001</v>
      </c>
      <c r="H186" s="21">
        <v>35.727800000000002</v>
      </c>
      <c r="I186" s="21">
        <v>-1.76971E-2</v>
      </c>
      <c r="J186" s="21">
        <v>176</v>
      </c>
      <c r="K186" s="21">
        <v>0.86395299999999997</v>
      </c>
      <c r="L186">
        <f t="shared" si="24"/>
        <v>17.697099999999999</v>
      </c>
      <c r="M186">
        <f t="shared" si="25"/>
        <v>15.28675498</v>
      </c>
      <c r="N186" s="9"/>
      <c r="O186" s="21">
        <v>0.78628500000000001</v>
      </c>
      <c r="P186" s="21">
        <v>107.488</v>
      </c>
      <c r="Q186" s="21">
        <v>-1.7746000000000001E-2</v>
      </c>
      <c r="R186" s="21">
        <v>176</v>
      </c>
      <c r="S186" s="21">
        <v>0.78521700000000005</v>
      </c>
      <c r="T186">
        <f t="shared" si="26"/>
        <v>17.746000000000002</v>
      </c>
      <c r="U186">
        <f t="shared" si="27"/>
        <v>13.953413610000002</v>
      </c>
      <c r="X186" s="9"/>
      <c r="Y186" s="21">
        <v>0.86380000000000001</v>
      </c>
      <c r="Z186" s="21">
        <v>175.16300000000001</v>
      </c>
      <c r="AA186" s="21">
        <v>-1.76849E-2</v>
      </c>
      <c r="AB186" s="21">
        <v>176</v>
      </c>
      <c r="AC186" s="21">
        <v>0.86334200000000005</v>
      </c>
      <c r="AD186">
        <f t="shared" si="28"/>
        <v>17.684899999999999</v>
      </c>
      <c r="AE186">
        <f t="shared" si="29"/>
        <v>15.27621662</v>
      </c>
      <c r="AF186" s="9"/>
      <c r="AG186" s="21">
        <v>0.78628500000000001</v>
      </c>
      <c r="AH186" s="21">
        <v>241.708</v>
      </c>
      <c r="AI186" s="21">
        <v>-1.77368E-2</v>
      </c>
      <c r="AJ186" s="21">
        <v>176</v>
      </c>
      <c r="AK186" s="21">
        <v>0.78582799999999997</v>
      </c>
      <c r="AL186">
        <f t="shared" si="30"/>
        <v>17.736799999999999</v>
      </c>
      <c r="AM186">
        <f t="shared" si="31"/>
        <v>13.946179787999998</v>
      </c>
      <c r="AP186" s="9"/>
      <c r="AQ186" s="21">
        <v>0.86380000000000001</v>
      </c>
      <c r="AR186" s="21">
        <v>299.41300000000001</v>
      </c>
      <c r="AS186" s="21">
        <v>-1.76819E-2</v>
      </c>
      <c r="AT186" s="21">
        <v>176</v>
      </c>
      <c r="AU186" s="21">
        <v>0.86334200000000005</v>
      </c>
      <c r="AV186">
        <f t="shared" si="32"/>
        <v>17.681899999999999</v>
      </c>
      <c r="AW186">
        <f t="shared" si="33"/>
        <v>15.27362522</v>
      </c>
      <c r="AX186" s="9"/>
      <c r="AY186" s="21">
        <v>0.78628500000000001</v>
      </c>
      <c r="AZ186" s="21">
        <v>369.84300000000002</v>
      </c>
      <c r="BA186" s="21">
        <v>-1.7700199999999999E-2</v>
      </c>
      <c r="BB186" s="21">
        <v>176</v>
      </c>
      <c r="BC186" s="21">
        <v>0.78613299999999997</v>
      </c>
      <c r="BD186">
        <f t="shared" si="34"/>
        <v>17.700199999999999</v>
      </c>
      <c r="BE186">
        <f t="shared" si="35"/>
        <v>13.917401756999999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0.858765</v>
      </c>
      <c r="H187" s="21">
        <v>35.828499999999998</v>
      </c>
      <c r="I187" s="21">
        <v>-1.7703199999999999E-2</v>
      </c>
      <c r="J187" s="21">
        <v>177</v>
      </c>
      <c r="K187" s="21">
        <v>0.85845899999999997</v>
      </c>
      <c r="L187">
        <f t="shared" si="24"/>
        <v>17.703199999999999</v>
      </c>
      <c r="M187">
        <f t="shared" si="25"/>
        <v>15.202888547999999</v>
      </c>
      <c r="N187" s="9"/>
      <c r="O187" s="21">
        <v>0.79132100000000005</v>
      </c>
      <c r="P187" s="21">
        <v>107.589</v>
      </c>
      <c r="Q187" s="21">
        <v>-1.7733800000000001E-2</v>
      </c>
      <c r="R187" s="21">
        <v>177</v>
      </c>
      <c r="S187" s="21">
        <v>0.79071000000000002</v>
      </c>
      <c r="T187">
        <f t="shared" si="26"/>
        <v>17.733800000000002</v>
      </c>
      <c r="U187">
        <f t="shared" si="27"/>
        <v>14.033128349800002</v>
      </c>
      <c r="X187" s="9"/>
      <c r="Y187" s="21">
        <v>0.858765</v>
      </c>
      <c r="Z187" s="21">
        <v>175.26400000000001</v>
      </c>
      <c r="AA187" s="21">
        <v>-1.7687999999999999E-2</v>
      </c>
      <c r="AB187" s="21">
        <v>177</v>
      </c>
      <c r="AC187" s="21">
        <v>0.85845899999999997</v>
      </c>
      <c r="AD187">
        <f t="shared" si="28"/>
        <v>17.687999999999999</v>
      </c>
      <c r="AE187">
        <f t="shared" si="29"/>
        <v>15.189835319999998</v>
      </c>
      <c r="AF187" s="9"/>
      <c r="AG187" s="21">
        <v>0.79132100000000005</v>
      </c>
      <c r="AH187" s="21">
        <v>241.809</v>
      </c>
      <c r="AI187" s="21">
        <v>-1.77368E-2</v>
      </c>
      <c r="AJ187" s="21">
        <v>177</v>
      </c>
      <c r="AK187" s="21">
        <v>0.79040500000000002</v>
      </c>
      <c r="AL187">
        <f t="shared" si="30"/>
        <v>17.736799999999999</v>
      </c>
      <c r="AM187">
        <f t="shared" si="31"/>
        <v>14.0355023128</v>
      </c>
      <c r="AP187" s="9"/>
      <c r="AQ187" s="21">
        <v>0.858765</v>
      </c>
      <c r="AR187" s="21">
        <v>299.51400000000001</v>
      </c>
      <c r="AS187" s="21">
        <v>-1.76819E-2</v>
      </c>
      <c r="AT187" s="21">
        <v>177</v>
      </c>
      <c r="AU187" s="21">
        <v>0.858765</v>
      </c>
      <c r="AV187">
        <f t="shared" si="32"/>
        <v>17.681899999999999</v>
      </c>
      <c r="AW187">
        <f t="shared" si="33"/>
        <v>15.184596853499999</v>
      </c>
      <c r="AX187" s="9"/>
      <c r="AY187" s="21">
        <v>0.79132100000000005</v>
      </c>
      <c r="AZ187" s="21">
        <v>369.94400000000002</v>
      </c>
      <c r="BA187" s="21">
        <v>-1.7700199999999999E-2</v>
      </c>
      <c r="BB187" s="21">
        <v>177</v>
      </c>
      <c r="BC187" s="21">
        <v>0.79071000000000002</v>
      </c>
      <c r="BD187">
        <f t="shared" si="34"/>
        <v>17.700199999999999</v>
      </c>
      <c r="BE187">
        <f t="shared" si="35"/>
        <v>14.0065399642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0.85372899999999996</v>
      </c>
      <c r="H188" s="21">
        <v>35.929200000000002</v>
      </c>
      <c r="I188" s="21">
        <v>-1.77124E-2</v>
      </c>
      <c r="J188" s="21">
        <v>178</v>
      </c>
      <c r="K188" s="21">
        <v>0.852966</v>
      </c>
      <c r="L188">
        <f t="shared" si="24"/>
        <v>17.712399999999999</v>
      </c>
      <c r="M188">
        <f t="shared" si="25"/>
        <v>15.121589539599999</v>
      </c>
      <c r="N188" s="9"/>
      <c r="O188" s="21">
        <v>0.79635599999999995</v>
      </c>
      <c r="P188" s="21">
        <v>107.68899999999999</v>
      </c>
      <c r="Q188" s="21">
        <v>-1.7733800000000001E-2</v>
      </c>
      <c r="R188" s="21">
        <v>178</v>
      </c>
      <c r="S188" s="21">
        <v>0.794983</v>
      </c>
      <c r="T188">
        <f t="shared" si="26"/>
        <v>17.733800000000002</v>
      </c>
      <c r="U188">
        <f t="shared" si="27"/>
        <v>14.122418032800001</v>
      </c>
      <c r="X188" s="9"/>
      <c r="Y188" s="21">
        <v>0.85372899999999996</v>
      </c>
      <c r="Z188" s="21">
        <v>175.364</v>
      </c>
      <c r="AA188" s="21">
        <v>-1.7694100000000001E-2</v>
      </c>
      <c r="AB188" s="21">
        <v>178</v>
      </c>
      <c r="AC188" s="21">
        <v>0.852966</v>
      </c>
      <c r="AD188">
        <f t="shared" si="28"/>
        <v>17.694100000000002</v>
      </c>
      <c r="AE188">
        <f t="shared" si="29"/>
        <v>15.105966298900002</v>
      </c>
      <c r="AF188" s="9"/>
      <c r="AG188" s="21">
        <v>0.79635599999999995</v>
      </c>
      <c r="AH188" s="21">
        <v>241.91</v>
      </c>
      <c r="AI188" s="21">
        <v>-1.7730699999999999E-2</v>
      </c>
      <c r="AJ188" s="21">
        <v>178</v>
      </c>
      <c r="AK188" s="21">
        <v>0.79589799999999999</v>
      </c>
      <c r="AL188">
        <f t="shared" si="30"/>
        <v>17.730699999999999</v>
      </c>
      <c r="AM188">
        <f t="shared" si="31"/>
        <v>14.119949329199999</v>
      </c>
      <c r="AP188" s="9"/>
      <c r="AQ188" s="21">
        <v>0.85372899999999996</v>
      </c>
      <c r="AR188" s="21">
        <v>299.61399999999998</v>
      </c>
      <c r="AS188" s="21">
        <v>-1.7678800000000001E-2</v>
      </c>
      <c r="AT188" s="21">
        <v>178</v>
      </c>
      <c r="AU188" s="21">
        <v>0.852661</v>
      </c>
      <c r="AV188">
        <f t="shared" si="32"/>
        <v>17.678800000000003</v>
      </c>
      <c r="AW188">
        <f t="shared" si="33"/>
        <v>15.092904245200002</v>
      </c>
      <c r="AX188" s="9"/>
      <c r="AY188" s="21">
        <v>0.79635599999999995</v>
      </c>
      <c r="AZ188" s="21">
        <v>370.04500000000002</v>
      </c>
      <c r="BA188" s="21">
        <v>-1.7690999999999998E-2</v>
      </c>
      <c r="BB188" s="21">
        <v>178</v>
      </c>
      <c r="BC188" s="21">
        <v>0.79589799999999999</v>
      </c>
      <c r="BD188">
        <f t="shared" si="34"/>
        <v>17.690999999999999</v>
      </c>
      <c r="BE188">
        <f t="shared" si="35"/>
        <v>14.088333995999998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0.84869399999999995</v>
      </c>
      <c r="H189" s="21">
        <v>36.029899999999998</v>
      </c>
      <c r="I189" s="21">
        <v>-1.7706300000000001E-2</v>
      </c>
      <c r="J189" s="21">
        <v>179</v>
      </c>
      <c r="K189" s="21">
        <v>0.84808300000000003</v>
      </c>
      <c r="L189">
        <f t="shared" si="24"/>
        <v>17.706300000000002</v>
      </c>
      <c r="M189">
        <f t="shared" si="25"/>
        <v>15.027230572200001</v>
      </c>
      <c r="N189" s="9"/>
      <c r="O189" s="21">
        <v>0.80139199999999999</v>
      </c>
      <c r="P189" s="21">
        <v>107.79</v>
      </c>
      <c r="Q189" s="21">
        <v>-1.7733800000000001E-2</v>
      </c>
      <c r="R189" s="21">
        <v>179</v>
      </c>
      <c r="S189" s="21">
        <v>0.80169699999999999</v>
      </c>
      <c r="T189">
        <f t="shared" si="26"/>
        <v>17.733800000000002</v>
      </c>
      <c r="U189">
        <f t="shared" si="27"/>
        <v>14.211725449600001</v>
      </c>
      <c r="X189" s="9"/>
      <c r="Y189" s="21">
        <v>0.84869399999999995</v>
      </c>
      <c r="Z189" s="21">
        <v>175.465</v>
      </c>
      <c r="AA189" s="21">
        <v>-1.7694100000000001E-2</v>
      </c>
      <c r="AB189" s="21">
        <v>179</v>
      </c>
      <c r="AC189" s="21">
        <v>0.84747300000000003</v>
      </c>
      <c r="AD189">
        <f t="shared" si="28"/>
        <v>17.694100000000002</v>
      </c>
      <c r="AE189">
        <f t="shared" si="29"/>
        <v>15.016876505400001</v>
      </c>
      <c r="AF189" s="9"/>
      <c r="AG189" s="21">
        <v>0.80139199999999999</v>
      </c>
      <c r="AH189" s="21">
        <v>242.01</v>
      </c>
      <c r="AI189" s="21">
        <v>-1.7730699999999999E-2</v>
      </c>
      <c r="AJ189" s="21">
        <v>179</v>
      </c>
      <c r="AK189" s="21">
        <v>0.80078099999999997</v>
      </c>
      <c r="AL189">
        <f t="shared" si="30"/>
        <v>17.730699999999999</v>
      </c>
      <c r="AM189">
        <f t="shared" si="31"/>
        <v>14.209241134399999</v>
      </c>
      <c r="AP189" s="9"/>
      <c r="AQ189" s="21">
        <v>0.84869399999999995</v>
      </c>
      <c r="AR189" s="21">
        <v>299.71499999999997</v>
      </c>
      <c r="AS189" s="21">
        <v>-1.7687999999999999E-2</v>
      </c>
      <c r="AT189" s="21">
        <v>179</v>
      </c>
      <c r="AU189" s="21">
        <v>0.84716800000000003</v>
      </c>
      <c r="AV189">
        <f t="shared" si="32"/>
        <v>17.687999999999999</v>
      </c>
      <c r="AW189">
        <f t="shared" si="33"/>
        <v>15.011699471999998</v>
      </c>
      <c r="AX189" s="9"/>
      <c r="AY189" s="21">
        <v>0.80139199999999999</v>
      </c>
      <c r="AZ189" s="21">
        <v>370.14499999999998</v>
      </c>
      <c r="BA189" s="21">
        <v>-1.76849E-2</v>
      </c>
      <c r="BB189" s="21">
        <v>179</v>
      </c>
      <c r="BC189" s="21">
        <v>0.80139199999999999</v>
      </c>
      <c r="BD189">
        <f t="shared" si="34"/>
        <v>17.684899999999999</v>
      </c>
      <c r="BE189">
        <f t="shared" si="35"/>
        <v>14.1725373808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0.84365800000000002</v>
      </c>
      <c r="H190" s="21">
        <v>36.130600000000001</v>
      </c>
      <c r="I190" s="21">
        <v>-1.77094E-2</v>
      </c>
      <c r="J190" s="21">
        <v>180</v>
      </c>
      <c r="K190" s="21">
        <v>0.84289599999999998</v>
      </c>
      <c r="L190">
        <f t="shared" si="24"/>
        <v>17.709399999999999</v>
      </c>
      <c r="M190">
        <f t="shared" si="25"/>
        <v>14.9406769852</v>
      </c>
      <c r="N190" s="9"/>
      <c r="O190" s="21">
        <v>0.806427</v>
      </c>
      <c r="P190" s="21">
        <v>107.89100000000001</v>
      </c>
      <c r="Q190" s="21">
        <v>-1.7727699999999999E-2</v>
      </c>
      <c r="R190" s="21">
        <v>180</v>
      </c>
      <c r="S190" s="21">
        <v>0.80535900000000005</v>
      </c>
      <c r="T190">
        <f t="shared" si="26"/>
        <v>17.727699999999999</v>
      </c>
      <c r="U190">
        <f t="shared" si="27"/>
        <v>14.2960959279</v>
      </c>
      <c r="X190" s="9"/>
      <c r="Y190" s="21">
        <v>0.84365800000000002</v>
      </c>
      <c r="Z190" s="21">
        <v>175.566</v>
      </c>
      <c r="AA190" s="21">
        <v>-1.7700199999999999E-2</v>
      </c>
      <c r="AB190" s="21">
        <v>180</v>
      </c>
      <c r="AC190" s="21">
        <v>0.84320099999999998</v>
      </c>
      <c r="AD190">
        <f t="shared" si="28"/>
        <v>17.700199999999999</v>
      </c>
      <c r="AE190">
        <f t="shared" si="29"/>
        <v>14.932915331599999</v>
      </c>
      <c r="AF190" s="9"/>
      <c r="AG190" s="21">
        <v>0.806427</v>
      </c>
      <c r="AH190" s="21">
        <v>242.11099999999999</v>
      </c>
      <c r="AI190" s="21">
        <v>-1.77246E-2</v>
      </c>
      <c r="AJ190" s="21">
        <v>180</v>
      </c>
      <c r="AK190" s="21">
        <v>0.80566400000000005</v>
      </c>
      <c r="AL190">
        <f t="shared" si="30"/>
        <v>17.724599999999999</v>
      </c>
      <c r="AM190">
        <f t="shared" si="31"/>
        <v>14.293596004199999</v>
      </c>
      <c r="AP190" s="9"/>
      <c r="AQ190" s="21">
        <v>0.84365800000000002</v>
      </c>
      <c r="AR190" s="21">
        <v>299.81599999999997</v>
      </c>
      <c r="AS190" s="21">
        <v>-1.7690999999999998E-2</v>
      </c>
      <c r="AT190" s="21">
        <v>180</v>
      </c>
      <c r="AU190" s="21">
        <v>0.84320099999999998</v>
      </c>
      <c r="AV190">
        <f t="shared" si="32"/>
        <v>17.690999999999999</v>
      </c>
      <c r="AW190">
        <f t="shared" si="33"/>
        <v>14.925153677999999</v>
      </c>
      <c r="AX190" s="9"/>
      <c r="AY190" s="21">
        <v>0.806427</v>
      </c>
      <c r="AZ190" s="21">
        <v>370.24599999999998</v>
      </c>
      <c r="BA190" s="21">
        <v>-1.76849E-2</v>
      </c>
      <c r="BB190" s="21">
        <v>180</v>
      </c>
      <c r="BC190" s="21">
        <v>0.80566400000000005</v>
      </c>
      <c r="BD190">
        <f t="shared" si="34"/>
        <v>17.684899999999999</v>
      </c>
      <c r="BE190">
        <f t="shared" si="35"/>
        <v>14.2615808523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0.83862300000000001</v>
      </c>
      <c r="H191" s="21">
        <v>36.231299999999997</v>
      </c>
      <c r="I191" s="21">
        <v>-1.7718500000000002E-2</v>
      </c>
      <c r="J191" s="21">
        <v>181</v>
      </c>
      <c r="K191" s="21">
        <v>0.83831800000000001</v>
      </c>
      <c r="L191">
        <f t="shared" si="24"/>
        <v>17.718500000000002</v>
      </c>
      <c r="M191">
        <f t="shared" si="25"/>
        <v>14.859141625500001</v>
      </c>
      <c r="N191" s="9"/>
      <c r="O191" s="21">
        <v>0.81146200000000002</v>
      </c>
      <c r="P191" s="21">
        <v>107.992</v>
      </c>
      <c r="Q191" s="21">
        <v>-1.7730699999999999E-2</v>
      </c>
      <c r="R191" s="21">
        <v>181</v>
      </c>
      <c r="S191" s="21">
        <v>0.81085200000000002</v>
      </c>
      <c r="T191">
        <f t="shared" si="26"/>
        <v>17.730699999999999</v>
      </c>
      <c r="U191">
        <f t="shared" si="27"/>
        <v>14.3877892834</v>
      </c>
      <c r="X191" s="9"/>
      <c r="Y191" s="21">
        <v>0.83862300000000001</v>
      </c>
      <c r="Z191" s="21">
        <v>175.667</v>
      </c>
      <c r="AA191" s="21">
        <v>-1.76971E-2</v>
      </c>
      <c r="AB191" s="21">
        <v>181</v>
      </c>
      <c r="AC191" s="21">
        <v>0.83831800000000001</v>
      </c>
      <c r="AD191">
        <f t="shared" si="28"/>
        <v>17.697099999999999</v>
      </c>
      <c r="AE191">
        <f t="shared" si="29"/>
        <v>14.8411950933</v>
      </c>
      <c r="AF191" s="9"/>
      <c r="AG191" s="21">
        <v>0.81146200000000002</v>
      </c>
      <c r="AH191" s="21">
        <v>242.21199999999999</v>
      </c>
      <c r="AI191" s="21">
        <v>-1.77246E-2</v>
      </c>
      <c r="AJ191" s="21">
        <v>181</v>
      </c>
      <c r="AK191" s="21">
        <v>0.81085200000000002</v>
      </c>
      <c r="AL191">
        <f t="shared" si="30"/>
        <v>17.724599999999999</v>
      </c>
      <c r="AM191">
        <f t="shared" si="31"/>
        <v>14.382839365199999</v>
      </c>
      <c r="AP191" s="9"/>
      <c r="AQ191" s="21">
        <v>0.83862300000000001</v>
      </c>
      <c r="AR191" s="21">
        <v>299.91699999999997</v>
      </c>
      <c r="AS191" s="21">
        <v>-1.7687999999999999E-2</v>
      </c>
      <c r="AT191" s="21">
        <v>181</v>
      </c>
      <c r="AU191" s="21">
        <v>0.83831800000000001</v>
      </c>
      <c r="AV191">
        <f t="shared" si="32"/>
        <v>17.687999999999999</v>
      </c>
      <c r="AW191">
        <f t="shared" si="33"/>
        <v>14.833563624</v>
      </c>
      <c r="AX191" s="9"/>
      <c r="AY191" s="21">
        <v>0.81146200000000002</v>
      </c>
      <c r="AZ191" s="21">
        <v>370.34699999999998</v>
      </c>
      <c r="BA191" s="21">
        <v>-1.76819E-2</v>
      </c>
      <c r="BB191" s="21">
        <v>181</v>
      </c>
      <c r="BC191" s="21">
        <v>0.81085200000000002</v>
      </c>
      <c r="BD191">
        <f t="shared" si="34"/>
        <v>17.681899999999999</v>
      </c>
      <c r="BE191">
        <f t="shared" si="35"/>
        <v>14.348189937799999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0.833588</v>
      </c>
      <c r="H192" s="21">
        <v>36.332099999999997</v>
      </c>
      <c r="I192" s="21">
        <v>-1.7718500000000002E-2</v>
      </c>
      <c r="J192" s="21">
        <v>182</v>
      </c>
      <c r="K192" s="21">
        <v>0.83374000000000004</v>
      </c>
      <c r="L192">
        <f t="shared" si="24"/>
        <v>17.718500000000002</v>
      </c>
      <c r="M192">
        <f t="shared" si="25"/>
        <v>14.769928978000001</v>
      </c>
      <c r="N192" s="9"/>
      <c r="O192" s="21">
        <v>0.81649799999999995</v>
      </c>
      <c r="P192" s="21">
        <v>108.092</v>
      </c>
      <c r="Q192" s="21">
        <v>-1.7727699999999999E-2</v>
      </c>
      <c r="R192" s="21">
        <v>182</v>
      </c>
      <c r="S192" s="21">
        <v>0.81542999999999999</v>
      </c>
      <c r="T192">
        <f t="shared" si="26"/>
        <v>17.727699999999999</v>
      </c>
      <c r="U192">
        <f t="shared" si="27"/>
        <v>14.474631594599998</v>
      </c>
      <c r="X192" s="9"/>
      <c r="Y192" s="21">
        <v>0.833588</v>
      </c>
      <c r="Z192" s="21">
        <v>175.767</v>
      </c>
      <c r="AA192" s="21">
        <v>-1.7700199999999999E-2</v>
      </c>
      <c r="AB192" s="21">
        <v>182</v>
      </c>
      <c r="AC192" s="21">
        <v>0.83313000000000004</v>
      </c>
      <c r="AD192">
        <f t="shared" si="28"/>
        <v>17.700199999999999</v>
      </c>
      <c r="AE192">
        <f t="shared" si="29"/>
        <v>14.754674317599999</v>
      </c>
      <c r="AF192" s="9"/>
      <c r="AG192" s="21">
        <v>0.81649799999999995</v>
      </c>
      <c r="AH192" s="21">
        <v>242.31200000000001</v>
      </c>
      <c r="AI192" s="21">
        <v>-1.77246E-2</v>
      </c>
      <c r="AJ192" s="21">
        <v>182</v>
      </c>
      <c r="AK192" s="21">
        <v>0.81603999999999999</v>
      </c>
      <c r="AL192">
        <f t="shared" si="30"/>
        <v>17.724599999999999</v>
      </c>
      <c r="AM192">
        <f t="shared" si="31"/>
        <v>14.472100450799998</v>
      </c>
      <c r="AP192" s="9"/>
      <c r="AQ192" s="21">
        <v>0.833588</v>
      </c>
      <c r="AR192" s="21">
        <v>300.017</v>
      </c>
      <c r="AS192" s="21">
        <v>-1.7690999999999998E-2</v>
      </c>
      <c r="AT192" s="21">
        <v>182</v>
      </c>
      <c r="AU192" s="21">
        <v>0.83343500000000004</v>
      </c>
      <c r="AV192">
        <f t="shared" si="32"/>
        <v>17.690999999999999</v>
      </c>
      <c r="AW192">
        <f t="shared" si="33"/>
        <v>14.747005307999999</v>
      </c>
      <c r="AX192" s="9"/>
      <c r="AY192" s="21">
        <v>0.81649799999999995</v>
      </c>
      <c r="AZ192" s="21">
        <v>370.447</v>
      </c>
      <c r="BA192" s="21">
        <v>-1.76849E-2</v>
      </c>
      <c r="BB192" s="21">
        <v>182</v>
      </c>
      <c r="BC192" s="21">
        <v>0.81573499999999999</v>
      </c>
      <c r="BD192">
        <f t="shared" si="34"/>
        <v>17.684899999999999</v>
      </c>
      <c r="BE192">
        <f t="shared" si="35"/>
        <v>14.439685480199998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0.82855199999999996</v>
      </c>
      <c r="H193" s="21">
        <v>36.4328</v>
      </c>
      <c r="I193" s="21">
        <v>-1.7721600000000001E-2</v>
      </c>
      <c r="J193" s="21">
        <v>183</v>
      </c>
      <c r="K193" s="21">
        <v>0.82855199999999996</v>
      </c>
      <c r="L193">
        <f t="shared" si="24"/>
        <v>17.721600000000002</v>
      </c>
      <c r="M193">
        <f t="shared" si="25"/>
        <v>14.6832671232</v>
      </c>
      <c r="N193" s="9"/>
      <c r="O193" s="21">
        <v>0.82153299999999996</v>
      </c>
      <c r="P193" s="21">
        <v>108.193</v>
      </c>
      <c r="Q193" s="21">
        <v>-1.7730699999999999E-2</v>
      </c>
      <c r="R193" s="21">
        <v>183</v>
      </c>
      <c r="S193" s="21">
        <v>0.82061799999999996</v>
      </c>
      <c r="T193">
        <f t="shared" si="26"/>
        <v>17.730699999999999</v>
      </c>
      <c r="U193">
        <f t="shared" si="27"/>
        <v>14.566355163099999</v>
      </c>
      <c r="X193" s="9"/>
      <c r="Y193" s="21">
        <v>0.82855199999999996</v>
      </c>
      <c r="Z193" s="21">
        <v>175.86799999999999</v>
      </c>
      <c r="AA193" s="21">
        <v>-1.7700199999999999E-2</v>
      </c>
      <c r="AB193" s="21">
        <v>183</v>
      </c>
      <c r="AC193" s="21">
        <v>0.82763699999999996</v>
      </c>
      <c r="AD193">
        <f t="shared" si="28"/>
        <v>17.700199999999999</v>
      </c>
      <c r="AE193">
        <f t="shared" si="29"/>
        <v>14.665536110399998</v>
      </c>
      <c r="AF193" s="9"/>
      <c r="AG193" s="21">
        <v>0.82153299999999996</v>
      </c>
      <c r="AH193" s="21">
        <v>242.41300000000001</v>
      </c>
      <c r="AI193" s="21">
        <v>-1.77124E-2</v>
      </c>
      <c r="AJ193" s="21">
        <v>183</v>
      </c>
      <c r="AK193" s="21">
        <v>0.82153299999999996</v>
      </c>
      <c r="AL193">
        <f t="shared" si="30"/>
        <v>17.712399999999999</v>
      </c>
      <c r="AM193">
        <f t="shared" si="31"/>
        <v>14.551321109199998</v>
      </c>
      <c r="AP193" s="9"/>
      <c r="AQ193" s="21">
        <v>0.82855199999999996</v>
      </c>
      <c r="AR193" s="21">
        <v>300.11799999999999</v>
      </c>
      <c r="AS193" s="21">
        <v>-1.7690999999999998E-2</v>
      </c>
      <c r="AT193" s="21">
        <v>183</v>
      </c>
      <c r="AU193" s="21">
        <v>0.82794199999999996</v>
      </c>
      <c r="AV193">
        <f t="shared" si="32"/>
        <v>17.690999999999999</v>
      </c>
      <c r="AW193">
        <f t="shared" si="33"/>
        <v>14.657913431999999</v>
      </c>
      <c r="AX193" s="9"/>
      <c r="AY193" s="21">
        <v>0.82153299999999996</v>
      </c>
      <c r="AZ193" s="21">
        <v>370.548</v>
      </c>
      <c r="BA193" s="21">
        <v>-1.7687999999999999E-2</v>
      </c>
      <c r="BB193" s="21">
        <v>183</v>
      </c>
      <c r="BC193" s="21">
        <v>0.82031299999999996</v>
      </c>
      <c r="BD193">
        <f t="shared" si="34"/>
        <v>17.687999999999999</v>
      </c>
      <c r="BE193">
        <f t="shared" si="35"/>
        <v>14.531275703999999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0.82351700000000005</v>
      </c>
      <c r="H194" s="21">
        <v>36.533499999999997</v>
      </c>
      <c r="I194" s="21">
        <v>-1.77246E-2</v>
      </c>
      <c r="J194" s="21">
        <v>184</v>
      </c>
      <c r="K194" s="21">
        <v>0.82366899999999998</v>
      </c>
      <c r="L194">
        <f t="shared" si="24"/>
        <v>17.724599999999999</v>
      </c>
      <c r="M194">
        <f t="shared" si="25"/>
        <v>14.5965094182</v>
      </c>
      <c r="N194" s="9"/>
      <c r="O194" s="21">
        <v>0.826569</v>
      </c>
      <c r="P194" s="21">
        <v>108.294</v>
      </c>
      <c r="Q194" s="21">
        <v>-1.7721600000000001E-2</v>
      </c>
      <c r="R194" s="21">
        <v>184</v>
      </c>
      <c r="S194" s="21">
        <v>0.82550000000000001</v>
      </c>
      <c r="T194">
        <f t="shared" si="26"/>
        <v>17.721600000000002</v>
      </c>
      <c r="U194">
        <f t="shared" si="27"/>
        <v>14.648125190400002</v>
      </c>
      <c r="X194" s="9"/>
      <c r="Y194" s="21">
        <v>0.82351700000000005</v>
      </c>
      <c r="Z194" s="21">
        <v>175.96899999999999</v>
      </c>
      <c r="AA194" s="21">
        <v>-1.7703199999999999E-2</v>
      </c>
      <c r="AB194" s="21">
        <v>184</v>
      </c>
      <c r="AC194" s="21">
        <v>0.82305899999999999</v>
      </c>
      <c r="AD194">
        <f t="shared" si="28"/>
        <v>17.703199999999999</v>
      </c>
      <c r="AE194">
        <f t="shared" si="29"/>
        <v>14.578886154399999</v>
      </c>
      <c r="AF194" s="9"/>
      <c r="AG194" s="21">
        <v>0.826569</v>
      </c>
      <c r="AH194" s="21">
        <v>242.51400000000001</v>
      </c>
      <c r="AI194" s="21">
        <v>-1.7715499999999999E-2</v>
      </c>
      <c r="AJ194" s="21">
        <v>184</v>
      </c>
      <c r="AK194" s="21">
        <v>0.82611100000000004</v>
      </c>
      <c r="AL194">
        <f t="shared" si="30"/>
        <v>17.715499999999999</v>
      </c>
      <c r="AM194">
        <f t="shared" si="31"/>
        <v>14.643083119499998</v>
      </c>
      <c r="AP194" s="9"/>
      <c r="AQ194" s="21">
        <v>0.82351700000000005</v>
      </c>
      <c r="AR194" s="21">
        <v>300.21899999999999</v>
      </c>
      <c r="AS194" s="21">
        <v>-1.76971E-2</v>
      </c>
      <c r="AT194" s="21">
        <v>184</v>
      </c>
      <c r="AU194" s="21">
        <v>0.82305899999999999</v>
      </c>
      <c r="AV194">
        <f t="shared" si="32"/>
        <v>17.697099999999999</v>
      </c>
      <c r="AW194">
        <f t="shared" si="33"/>
        <v>14.573862700699999</v>
      </c>
      <c r="AX194" s="9"/>
      <c r="AY194" s="21">
        <v>0.826569</v>
      </c>
      <c r="AZ194" s="21">
        <v>370.649</v>
      </c>
      <c r="BA194" s="21">
        <v>-1.76819E-2</v>
      </c>
      <c r="BB194" s="21">
        <v>184</v>
      </c>
      <c r="BC194" s="21">
        <v>0.82550000000000001</v>
      </c>
      <c r="BD194">
        <f t="shared" si="34"/>
        <v>17.681899999999999</v>
      </c>
      <c r="BE194">
        <f t="shared" si="35"/>
        <v>14.615310401099999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0.81848100000000001</v>
      </c>
      <c r="H195" s="21">
        <v>36.6342</v>
      </c>
      <c r="I195" s="21">
        <v>-1.7730699999999999E-2</v>
      </c>
      <c r="J195" s="21">
        <v>185</v>
      </c>
      <c r="K195" s="21">
        <v>0.81787100000000001</v>
      </c>
      <c r="L195">
        <f t="shared" si="24"/>
        <v>17.730699999999999</v>
      </c>
      <c r="M195">
        <f t="shared" si="25"/>
        <v>14.5122410667</v>
      </c>
      <c r="N195" s="9"/>
      <c r="O195" s="21">
        <v>0.83160400000000001</v>
      </c>
      <c r="P195" s="21">
        <v>108.39400000000001</v>
      </c>
      <c r="Q195" s="21">
        <v>-1.7721600000000001E-2</v>
      </c>
      <c r="R195" s="21">
        <v>185</v>
      </c>
      <c r="S195" s="21">
        <v>0.83099400000000001</v>
      </c>
      <c r="T195">
        <f t="shared" si="26"/>
        <v>17.721600000000002</v>
      </c>
      <c r="U195">
        <f t="shared" si="27"/>
        <v>14.737353446400002</v>
      </c>
      <c r="X195" s="9"/>
      <c r="Y195" s="21">
        <v>0.81848100000000001</v>
      </c>
      <c r="Z195" s="21">
        <v>176.06899999999999</v>
      </c>
      <c r="AA195" s="21">
        <v>-1.7706300000000001E-2</v>
      </c>
      <c r="AB195" s="21">
        <v>185</v>
      </c>
      <c r="AC195" s="21">
        <v>0.81787100000000001</v>
      </c>
      <c r="AD195">
        <f t="shared" si="28"/>
        <v>17.706300000000002</v>
      </c>
      <c r="AE195">
        <f t="shared" si="29"/>
        <v>14.492270130300001</v>
      </c>
      <c r="AF195" s="9"/>
      <c r="AG195" s="21">
        <v>0.83160400000000001</v>
      </c>
      <c r="AH195" s="21">
        <v>242.614</v>
      </c>
      <c r="AI195" s="21">
        <v>-1.7715499999999999E-2</v>
      </c>
      <c r="AJ195" s="21">
        <v>185</v>
      </c>
      <c r="AK195" s="21">
        <v>0.83099400000000001</v>
      </c>
      <c r="AL195">
        <f t="shared" si="30"/>
        <v>17.715499999999999</v>
      </c>
      <c r="AM195">
        <f t="shared" si="31"/>
        <v>14.732280661999999</v>
      </c>
      <c r="AP195" s="9"/>
      <c r="AQ195" s="21">
        <v>0.81848100000000001</v>
      </c>
      <c r="AR195" s="21">
        <v>300.31900000000002</v>
      </c>
      <c r="AS195" s="21">
        <v>-1.7700199999999999E-2</v>
      </c>
      <c r="AT195" s="21">
        <v>185</v>
      </c>
      <c r="AU195" s="21">
        <v>0.81787100000000001</v>
      </c>
      <c r="AV195">
        <f t="shared" si="32"/>
        <v>17.700199999999999</v>
      </c>
      <c r="AW195">
        <f t="shared" si="33"/>
        <v>14.4872773962</v>
      </c>
      <c r="AX195" s="9"/>
      <c r="AY195" s="21">
        <v>0.83160400000000001</v>
      </c>
      <c r="AZ195" s="21">
        <v>370.75</v>
      </c>
      <c r="BA195" s="21">
        <v>-1.7675799999999998E-2</v>
      </c>
      <c r="BB195" s="21">
        <v>185</v>
      </c>
      <c r="BC195" s="21">
        <v>0.83099400000000001</v>
      </c>
      <c r="BD195">
        <f t="shared" si="34"/>
        <v>17.675799999999999</v>
      </c>
      <c r="BE195">
        <f t="shared" si="35"/>
        <v>14.699265983199998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0.813446</v>
      </c>
      <c r="H196" s="21">
        <v>36.734900000000003</v>
      </c>
      <c r="I196" s="21">
        <v>-1.7730699999999999E-2</v>
      </c>
      <c r="J196" s="21">
        <v>186</v>
      </c>
      <c r="K196" s="21">
        <v>0.81207300000000004</v>
      </c>
      <c r="L196">
        <f t="shared" si="24"/>
        <v>17.730699999999999</v>
      </c>
      <c r="M196">
        <f t="shared" si="25"/>
        <v>14.422966992199999</v>
      </c>
      <c r="N196" s="9"/>
      <c r="O196" s="21">
        <v>0.83663900000000002</v>
      </c>
      <c r="P196" s="21">
        <v>108.495</v>
      </c>
      <c r="Q196" s="21">
        <v>-1.7727699999999999E-2</v>
      </c>
      <c r="R196" s="21">
        <v>186</v>
      </c>
      <c r="S196" s="21">
        <v>0.83587599999999995</v>
      </c>
      <c r="T196">
        <f t="shared" si="26"/>
        <v>17.727699999999999</v>
      </c>
      <c r="U196">
        <f t="shared" si="27"/>
        <v>14.831685200299999</v>
      </c>
      <c r="X196" s="9"/>
      <c r="Y196" s="21">
        <v>0.813446</v>
      </c>
      <c r="Z196" s="21">
        <v>176.17</v>
      </c>
      <c r="AA196" s="21">
        <v>-1.77124E-2</v>
      </c>
      <c r="AB196" s="21">
        <v>186</v>
      </c>
      <c r="AC196" s="21">
        <v>0.81268300000000004</v>
      </c>
      <c r="AD196">
        <f t="shared" si="28"/>
        <v>17.712399999999999</v>
      </c>
      <c r="AE196">
        <f t="shared" si="29"/>
        <v>14.408080930399999</v>
      </c>
      <c r="AF196" s="9"/>
      <c r="AG196" s="21">
        <v>0.83663900000000002</v>
      </c>
      <c r="AH196" s="21">
        <v>242.715</v>
      </c>
      <c r="AI196" s="21">
        <v>-1.77124E-2</v>
      </c>
      <c r="AJ196" s="21">
        <v>186</v>
      </c>
      <c r="AK196" s="21">
        <v>0.83648699999999998</v>
      </c>
      <c r="AL196">
        <f t="shared" si="30"/>
        <v>17.712399999999999</v>
      </c>
      <c r="AM196">
        <f t="shared" si="31"/>
        <v>14.818884623599999</v>
      </c>
      <c r="AP196" s="9"/>
      <c r="AQ196" s="21">
        <v>0.813446</v>
      </c>
      <c r="AR196" s="21">
        <v>300.42</v>
      </c>
      <c r="AS196" s="21">
        <v>-1.7706300000000001E-2</v>
      </c>
      <c r="AT196" s="21">
        <v>186</v>
      </c>
      <c r="AU196" s="21">
        <v>0.81268300000000004</v>
      </c>
      <c r="AV196">
        <f t="shared" si="32"/>
        <v>17.706300000000002</v>
      </c>
      <c r="AW196">
        <f t="shared" si="33"/>
        <v>14.403118909800002</v>
      </c>
      <c r="AX196" s="9"/>
      <c r="AY196" s="21">
        <v>0.83663900000000002</v>
      </c>
      <c r="AZ196" s="21">
        <v>370.85</v>
      </c>
      <c r="BA196" s="21">
        <v>-1.76727E-2</v>
      </c>
      <c r="BB196" s="21">
        <v>186</v>
      </c>
      <c r="BC196" s="21">
        <v>0.83557099999999995</v>
      </c>
      <c r="BD196">
        <f t="shared" si="34"/>
        <v>17.672699999999999</v>
      </c>
      <c r="BE196">
        <f t="shared" si="35"/>
        <v>14.785670055299999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0.80841099999999999</v>
      </c>
      <c r="H197" s="21">
        <v>36.835599999999999</v>
      </c>
      <c r="I197" s="21">
        <v>-1.7730699999999999E-2</v>
      </c>
      <c r="J197" s="21">
        <v>187</v>
      </c>
      <c r="K197" s="21">
        <v>0.80779999999999996</v>
      </c>
      <c r="L197">
        <f t="shared" si="24"/>
        <v>17.730699999999999</v>
      </c>
      <c r="M197">
        <f t="shared" si="25"/>
        <v>14.333692917699999</v>
      </c>
      <c r="N197" s="9"/>
      <c r="O197" s="21">
        <v>0.84167499999999995</v>
      </c>
      <c r="P197" s="21">
        <v>108.596</v>
      </c>
      <c r="Q197" s="21">
        <v>-1.77094E-2</v>
      </c>
      <c r="R197" s="21">
        <v>187</v>
      </c>
      <c r="S197" s="21">
        <v>0.84106400000000003</v>
      </c>
      <c r="T197">
        <f t="shared" si="26"/>
        <v>17.709399999999999</v>
      </c>
      <c r="U197">
        <f t="shared" si="27"/>
        <v>14.905559244999997</v>
      </c>
      <c r="X197" s="9"/>
      <c r="Y197" s="21">
        <v>0.80841099999999999</v>
      </c>
      <c r="Z197" s="21">
        <v>176.27099999999999</v>
      </c>
      <c r="AA197" s="21">
        <v>-1.77124E-2</v>
      </c>
      <c r="AB197" s="21">
        <v>187</v>
      </c>
      <c r="AC197" s="21">
        <v>0.80841099999999999</v>
      </c>
      <c r="AD197">
        <f t="shared" si="28"/>
        <v>17.712399999999999</v>
      </c>
      <c r="AE197">
        <f t="shared" si="29"/>
        <v>14.3188989964</v>
      </c>
      <c r="AF197" s="9"/>
      <c r="AG197" s="21">
        <v>0.84167499999999995</v>
      </c>
      <c r="AH197" s="21">
        <v>242.816</v>
      </c>
      <c r="AI197" s="21">
        <v>-1.77094E-2</v>
      </c>
      <c r="AJ197" s="21">
        <v>187</v>
      </c>
      <c r="AK197" s="21">
        <v>0.84106400000000003</v>
      </c>
      <c r="AL197">
        <f t="shared" si="30"/>
        <v>17.709399999999999</v>
      </c>
      <c r="AM197">
        <f t="shared" si="31"/>
        <v>14.905559244999997</v>
      </c>
      <c r="AP197" s="9"/>
      <c r="AQ197" s="21">
        <v>0.80841099999999999</v>
      </c>
      <c r="AR197" s="21">
        <v>300.52100000000002</v>
      </c>
      <c r="AS197" s="21">
        <v>-1.7706300000000001E-2</v>
      </c>
      <c r="AT197" s="21">
        <v>187</v>
      </c>
      <c r="AU197" s="21">
        <v>0.80779999999999996</v>
      </c>
      <c r="AV197">
        <f t="shared" si="32"/>
        <v>17.706300000000002</v>
      </c>
      <c r="AW197">
        <f t="shared" si="33"/>
        <v>14.313967689300002</v>
      </c>
      <c r="AX197" s="9"/>
      <c r="AY197" s="21">
        <v>0.84167499999999995</v>
      </c>
      <c r="AZ197" s="21">
        <v>370.95100000000002</v>
      </c>
      <c r="BA197" s="21">
        <v>-1.76727E-2</v>
      </c>
      <c r="BB197" s="21">
        <v>187</v>
      </c>
      <c r="BC197" s="21">
        <v>0.84014900000000003</v>
      </c>
      <c r="BD197">
        <f t="shared" si="34"/>
        <v>17.672699999999999</v>
      </c>
      <c r="BE197">
        <f t="shared" si="35"/>
        <v>14.874669772499999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0.80337499999999995</v>
      </c>
      <c r="H198" s="21">
        <v>36.936300000000003</v>
      </c>
      <c r="I198" s="21">
        <v>-1.7733800000000001E-2</v>
      </c>
      <c r="J198" s="21">
        <v>188</v>
      </c>
      <c r="K198" s="21">
        <v>0.80230699999999999</v>
      </c>
      <c r="L198">
        <f t="shared" si="24"/>
        <v>17.733800000000002</v>
      </c>
      <c r="M198">
        <f t="shared" si="25"/>
        <v>14.246891575000001</v>
      </c>
      <c r="N198" s="9"/>
      <c r="O198" s="21">
        <v>0.84670999999999996</v>
      </c>
      <c r="P198" s="21">
        <v>108.696</v>
      </c>
      <c r="Q198" s="21">
        <v>-1.77124E-2</v>
      </c>
      <c r="R198" s="21">
        <v>188</v>
      </c>
      <c r="S198" s="21">
        <v>0.845642</v>
      </c>
      <c r="T198">
        <f t="shared" si="26"/>
        <v>17.712399999999999</v>
      </c>
      <c r="U198">
        <f t="shared" si="27"/>
        <v>14.997266203999999</v>
      </c>
      <c r="X198" s="9"/>
      <c r="Y198" s="21">
        <v>0.80337499999999995</v>
      </c>
      <c r="Z198" s="21">
        <v>176.37200000000001</v>
      </c>
      <c r="AA198" s="21">
        <v>-1.7718500000000002E-2</v>
      </c>
      <c r="AB198" s="21">
        <v>188</v>
      </c>
      <c r="AC198" s="21">
        <v>0.80291699999999999</v>
      </c>
      <c r="AD198">
        <f t="shared" si="28"/>
        <v>17.718500000000002</v>
      </c>
      <c r="AE198">
        <f t="shared" si="29"/>
        <v>14.234599937500001</v>
      </c>
      <c r="AF198" s="9"/>
      <c r="AG198" s="21">
        <v>0.84670999999999996</v>
      </c>
      <c r="AH198" s="21">
        <v>242.917</v>
      </c>
      <c r="AI198" s="21">
        <v>-1.77094E-2</v>
      </c>
      <c r="AJ198" s="21">
        <v>188</v>
      </c>
      <c r="AK198" s="21">
        <v>0.845947</v>
      </c>
      <c r="AL198">
        <f t="shared" si="30"/>
        <v>17.709399999999999</v>
      </c>
      <c r="AM198">
        <f t="shared" si="31"/>
        <v>14.994726073999999</v>
      </c>
      <c r="AP198" s="9"/>
      <c r="AQ198" s="21">
        <v>0.80337499999999995</v>
      </c>
      <c r="AR198" s="21">
        <v>300.62099999999998</v>
      </c>
      <c r="AS198" s="21">
        <v>-1.7706300000000001E-2</v>
      </c>
      <c r="AT198" s="21">
        <v>188</v>
      </c>
      <c r="AU198" s="21">
        <v>0.80261199999999999</v>
      </c>
      <c r="AV198">
        <f t="shared" si="32"/>
        <v>17.706300000000002</v>
      </c>
      <c r="AW198">
        <f t="shared" si="33"/>
        <v>14.224798762500001</v>
      </c>
      <c r="AX198" s="9"/>
      <c r="AY198" s="21">
        <v>0.84670999999999996</v>
      </c>
      <c r="AZ198" s="21">
        <v>371.05200000000002</v>
      </c>
      <c r="BA198" s="21">
        <v>-1.76727E-2</v>
      </c>
      <c r="BB198" s="21">
        <v>188</v>
      </c>
      <c r="BC198" s="21">
        <v>0.845947</v>
      </c>
      <c r="BD198">
        <f t="shared" si="34"/>
        <v>17.672699999999999</v>
      </c>
      <c r="BE198">
        <f t="shared" si="35"/>
        <v>14.963651816999999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0.79834000000000005</v>
      </c>
      <c r="H199" s="21">
        <v>37.036999999999999</v>
      </c>
      <c r="I199" s="21">
        <v>-1.77368E-2</v>
      </c>
      <c r="J199" s="21">
        <v>189</v>
      </c>
      <c r="K199" s="21">
        <v>0.79711900000000002</v>
      </c>
      <c r="L199">
        <f t="shared" si="24"/>
        <v>17.736799999999999</v>
      </c>
      <c r="M199">
        <f t="shared" si="25"/>
        <v>14.159996912</v>
      </c>
      <c r="N199" s="9"/>
      <c r="O199" s="21">
        <v>0.851746</v>
      </c>
      <c r="P199" s="21">
        <v>108.797</v>
      </c>
      <c r="Q199" s="21">
        <v>-1.77124E-2</v>
      </c>
      <c r="R199" s="21">
        <v>189</v>
      </c>
      <c r="S199" s="21">
        <v>0.85082999999999998</v>
      </c>
      <c r="T199">
        <f t="shared" si="26"/>
        <v>17.712399999999999</v>
      </c>
      <c r="U199">
        <f t="shared" si="27"/>
        <v>15.0864658504</v>
      </c>
      <c r="X199" s="9"/>
      <c r="Y199" s="21">
        <v>0.79834000000000005</v>
      </c>
      <c r="Z199" s="21">
        <v>176.47200000000001</v>
      </c>
      <c r="AA199" s="21">
        <v>-1.7718500000000002E-2</v>
      </c>
      <c r="AB199" s="21">
        <v>189</v>
      </c>
      <c r="AC199" s="21">
        <v>0.79742400000000002</v>
      </c>
      <c r="AD199">
        <f t="shared" si="28"/>
        <v>17.718500000000002</v>
      </c>
      <c r="AE199">
        <f t="shared" si="29"/>
        <v>14.145387290000002</v>
      </c>
      <c r="AF199" s="9"/>
      <c r="AG199" s="21">
        <v>0.851746</v>
      </c>
      <c r="AH199" s="21">
        <v>243.017</v>
      </c>
      <c r="AI199" s="21">
        <v>-1.7706300000000001E-2</v>
      </c>
      <c r="AJ199" s="21">
        <v>189</v>
      </c>
      <c r="AK199" s="21">
        <v>0.85082999999999998</v>
      </c>
      <c r="AL199">
        <f t="shared" si="30"/>
        <v>17.706300000000002</v>
      </c>
      <c r="AM199">
        <f t="shared" si="31"/>
        <v>15.081270199800002</v>
      </c>
      <c r="AP199" s="9"/>
      <c r="AQ199" s="21">
        <v>0.79834000000000005</v>
      </c>
      <c r="AR199" s="21">
        <v>300.72199999999998</v>
      </c>
      <c r="AS199" s="21">
        <v>-1.77124E-2</v>
      </c>
      <c r="AT199" s="21">
        <v>189</v>
      </c>
      <c r="AU199" s="21">
        <v>0.79742400000000002</v>
      </c>
      <c r="AV199">
        <f t="shared" si="32"/>
        <v>17.712399999999999</v>
      </c>
      <c r="AW199">
        <f t="shared" si="33"/>
        <v>14.140517416</v>
      </c>
      <c r="AX199" s="9"/>
      <c r="AY199" s="21">
        <v>0.851746</v>
      </c>
      <c r="AZ199" s="21">
        <v>371.15199999999999</v>
      </c>
      <c r="BA199" s="21">
        <v>-1.76697E-2</v>
      </c>
      <c r="BB199" s="21">
        <v>189</v>
      </c>
      <c r="BC199" s="21">
        <v>0.85143999999999997</v>
      </c>
      <c r="BD199">
        <f t="shared" si="34"/>
        <v>17.669699999999999</v>
      </c>
      <c r="BE199">
        <f t="shared" si="35"/>
        <v>15.0500962962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0.79330400000000001</v>
      </c>
      <c r="H200" s="21">
        <v>37.137700000000002</v>
      </c>
      <c r="I200" s="21">
        <v>-1.7742899999999999E-2</v>
      </c>
      <c r="J200" s="21">
        <v>190</v>
      </c>
      <c r="K200" s="21">
        <v>0.79254199999999997</v>
      </c>
      <c r="L200">
        <f t="shared" si="24"/>
        <v>17.742899999999999</v>
      </c>
      <c r="M200">
        <f t="shared" si="25"/>
        <v>14.075513541599999</v>
      </c>
      <c r="N200" s="9"/>
      <c r="O200" s="21">
        <v>0.85678100000000001</v>
      </c>
      <c r="P200" s="21">
        <v>108.898</v>
      </c>
      <c r="Q200" s="21">
        <v>-1.77124E-2</v>
      </c>
      <c r="R200" s="21">
        <v>190</v>
      </c>
      <c r="S200" s="21">
        <v>0.85540799999999995</v>
      </c>
      <c r="T200">
        <f t="shared" si="26"/>
        <v>17.712399999999999</v>
      </c>
      <c r="U200">
        <f t="shared" si="27"/>
        <v>15.175647784399999</v>
      </c>
      <c r="X200" s="9"/>
      <c r="Y200" s="21">
        <v>0.79330400000000001</v>
      </c>
      <c r="Z200" s="21">
        <v>176.57300000000001</v>
      </c>
      <c r="AA200" s="21">
        <v>-1.7718500000000002E-2</v>
      </c>
      <c r="AB200" s="21">
        <v>190</v>
      </c>
      <c r="AC200" s="21">
        <v>0.79223600000000005</v>
      </c>
      <c r="AD200">
        <f t="shared" si="28"/>
        <v>17.718500000000002</v>
      </c>
      <c r="AE200">
        <f t="shared" si="29"/>
        <v>14.056156924000001</v>
      </c>
      <c r="AF200" s="9"/>
      <c r="AG200" s="21">
        <v>0.85678100000000001</v>
      </c>
      <c r="AH200" s="21">
        <v>243.11799999999999</v>
      </c>
      <c r="AI200" s="21">
        <v>-1.7703199999999999E-2</v>
      </c>
      <c r="AJ200" s="21">
        <v>190</v>
      </c>
      <c r="AK200" s="21">
        <v>0.85601799999999995</v>
      </c>
      <c r="AL200">
        <f t="shared" si="30"/>
        <v>17.703199999999999</v>
      </c>
      <c r="AM200">
        <f t="shared" si="31"/>
        <v>15.167765399199999</v>
      </c>
      <c r="AP200" s="9"/>
      <c r="AQ200" s="21">
        <v>0.79330400000000001</v>
      </c>
      <c r="AR200" s="21">
        <v>300.82299999999998</v>
      </c>
      <c r="AS200" s="21">
        <v>-1.77124E-2</v>
      </c>
      <c r="AT200" s="21">
        <v>190</v>
      </c>
      <c r="AU200" s="21">
        <v>0.79254199999999997</v>
      </c>
      <c r="AV200">
        <f t="shared" si="32"/>
        <v>17.712399999999999</v>
      </c>
      <c r="AW200">
        <f t="shared" si="33"/>
        <v>14.051317769599999</v>
      </c>
      <c r="AX200" s="9"/>
      <c r="AY200" s="21">
        <v>0.85678100000000001</v>
      </c>
      <c r="AZ200" s="21">
        <v>371.25299999999999</v>
      </c>
      <c r="BA200" s="21">
        <v>-1.7666600000000001E-2</v>
      </c>
      <c r="BB200" s="21">
        <v>190</v>
      </c>
      <c r="BC200" s="21">
        <v>0.85601799999999995</v>
      </c>
      <c r="BD200">
        <f t="shared" si="34"/>
        <v>17.666600000000003</v>
      </c>
      <c r="BE200">
        <f t="shared" si="35"/>
        <v>15.136407214600002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0.788269</v>
      </c>
      <c r="H201" s="21">
        <v>37.238399999999999</v>
      </c>
      <c r="I201" s="21">
        <v>-1.7742899999999999E-2</v>
      </c>
      <c r="J201" s="21">
        <v>191</v>
      </c>
      <c r="K201" s="21">
        <v>0.787659</v>
      </c>
      <c r="L201">
        <f t="shared" si="24"/>
        <v>17.742899999999999</v>
      </c>
      <c r="M201">
        <f t="shared" si="25"/>
        <v>13.986178040099999</v>
      </c>
      <c r="N201" s="9"/>
      <c r="O201" s="21">
        <v>0.86181600000000003</v>
      </c>
      <c r="P201" s="21">
        <v>108.999</v>
      </c>
      <c r="Q201" s="21">
        <v>-1.7706300000000001E-2</v>
      </c>
      <c r="R201" s="21">
        <v>191</v>
      </c>
      <c r="S201" s="21">
        <v>0.86120600000000003</v>
      </c>
      <c r="T201">
        <f t="shared" si="26"/>
        <v>17.706300000000002</v>
      </c>
      <c r="U201">
        <f t="shared" si="27"/>
        <v>15.259572640800002</v>
      </c>
      <c r="X201" s="9"/>
      <c r="Y201" s="21">
        <v>0.788269</v>
      </c>
      <c r="Z201" s="21">
        <v>176.67400000000001</v>
      </c>
      <c r="AA201" s="21">
        <v>-1.7730699999999999E-2</v>
      </c>
      <c r="AB201" s="21">
        <v>191</v>
      </c>
      <c r="AC201" s="21">
        <v>0.78674299999999997</v>
      </c>
      <c r="AD201">
        <f t="shared" si="28"/>
        <v>17.730699999999999</v>
      </c>
      <c r="AE201">
        <f t="shared" si="29"/>
        <v>13.976561158299999</v>
      </c>
      <c r="AF201" s="9"/>
      <c r="AG201" s="21">
        <v>0.86181600000000003</v>
      </c>
      <c r="AH201" s="21">
        <v>243.21899999999999</v>
      </c>
      <c r="AI201" s="21">
        <v>-1.7700199999999999E-2</v>
      </c>
      <c r="AJ201" s="21">
        <v>191</v>
      </c>
      <c r="AK201" s="21">
        <v>0.86090100000000003</v>
      </c>
      <c r="AL201">
        <f t="shared" si="30"/>
        <v>17.700199999999999</v>
      </c>
      <c r="AM201">
        <f t="shared" si="31"/>
        <v>15.254315563199999</v>
      </c>
      <c r="AP201" s="9"/>
      <c r="AQ201" s="21">
        <v>0.788269</v>
      </c>
      <c r="AR201" s="21">
        <v>300.92399999999998</v>
      </c>
      <c r="AS201" s="21">
        <v>-1.77124E-2</v>
      </c>
      <c r="AT201" s="21">
        <v>191</v>
      </c>
      <c r="AU201" s="21">
        <v>0.78704799999999997</v>
      </c>
      <c r="AV201">
        <f t="shared" si="32"/>
        <v>17.712399999999999</v>
      </c>
      <c r="AW201">
        <f t="shared" si="33"/>
        <v>13.9621358356</v>
      </c>
      <c r="AX201" s="9"/>
      <c r="AY201" s="21">
        <v>0.86181600000000003</v>
      </c>
      <c r="AZ201" s="21">
        <v>371.35399999999998</v>
      </c>
      <c r="BA201" s="21">
        <v>-1.76575E-2</v>
      </c>
      <c r="BB201" s="21">
        <v>191</v>
      </c>
      <c r="BC201" s="21">
        <v>0.86090100000000003</v>
      </c>
      <c r="BD201">
        <f t="shared" si="34"/>
        <v>17.657499999999999</v>
      </c>
      <c r="BE201">
        <f t="shared" si="35"/>
        <v>15.21751602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0.78323399999999999</v>
      </c>
      <c r="H202" s="21">
        <v>37.339100000000002</v>
      </c>
      <c r="I202" s="21">
        <v>-1.7746000000000001E-2</v>
      </c>
      <c r="J202" s="21">
        <v>192</v>
      </c>
      <c r="K202" s="21">
        <v>0.78308100000000003</v>
      </c>
      <c r="L202">
        <f t="shared" si="24"/>
        <v>17.746000000000002</v>
      </c>
      <c r="M202">
        <f t="shared" si="25"/>
        <v>13.899270564000002</v>
      </c>
      <c r="N202" s="9"/>
      <c r="O202" s="21">
        <v>0.86685199999999996</v>
      </c>
      <c r="P202" s="21">
        <v>109.099</v>
      </c>
      <c r="Q202" s="21">
        <v>-1.7700199999999999E-2</v>
      </c>
      <c r="R202" s="21">
        <v>192</v>
      </c>
      <c r="S202" s="21">
        <v>0.866394</v>
      </c>
      <c r="T202">
        <f t="shared" si="26"/>
        <v>17.700199999999999</v>
      </c>
      <c r="U202">
        <f t="shared" si="27"/>
        <v>15.343453770399998</v>
      </c>
      <c r="X202" s="9"/>
      <c r="Y202" s="21">
        <v>0.78323399999999999</v>
      </c>
      <c r="Z202" s="21">
        <v>176.774</v>
      </c>
      <c r="AA202" s="21">
        <v>-1.7730699999999999E-2</v>
      </c>
      <c r="AB202" s="21">
        <v>192</v>
      </c>
      <c r="AC202" s="21">
        <v>0.78277600000000003</v>
      </c>
      <c r="AD202">
        <f t="shared" si="28"/>
        <v>17.730699999999999</v>
      </c>
      <c r="AE202">
        <f t="shared" si="29"/>
        <v>13.887287083799999</v>
      </c>
      <c r="AF202" s="9"/>
      <c r="AG202" s="21">
        <v>0.86685199999999996</v>
      </c>
      <c r="AH202" s="21">
        <v>243.31899999999999</v>
      </c>
      <c r="AI202" s="21">
        <v>-1.76971E-2</v>
      </c>
      <c r="AJ202" s="21">
        <v>192</v>
      </c>
      <c r="AK202" s="21">
        <v>0.865479</v>
      </c>
      <c r="AL202">
        <f t="shared" si="30"/>
        <v>17.697099999999999</v>
      </c>
      <c r="AM202">
        <f t="shared" si="31"/>
        <v>15.340766529199998</v>
      </c>
      <c r="AP202" s="9"/>
      <c r="AQ202" s="21">
        <v>0.78323399999999999</v>
      </c>
      <c r="AR202" s="21">
        <v>301.024</v>
      </c>
      <c r="AS202" s="21">
        <v>-1.7721600000000001E-2</v>
      </c>
      <c r="AT202" s="21">
        <v>192</v>
      </c>
      <c r="AU202" s="21">
        <v>0.78216600000000003</v>
      </c>
      <c r="AV202">
        <f t="shared" si="32"/>
        <v>17.721600000000002</v>
      </c>
      <c r="AW202">
        <f t="shared" si="33"/>
        <v>13.880159654400002</v>
      </c>
      <c r="AX202" s="9"/>
      <c r="AY202" s="21">
        <v>0.86685199999999996</v>
      </c>
      <c r="AZ202" s="21">
        <v>371.45400000000001</v>
      </c>
      <c r="BA202" s="21">
        <v>-1.7660499999999999E-2</v>
      </c>
      <c r="BB202" s="21">
        <v>192</v>
      </c>
      <c r="BC202" s="21">
        <v>0.866089</v>
      </c>
      <c r="BD202">
        <f t="shared" si="34"/>
        <v>17.660499999999999</v>
      </c>
      <c r="BE202">
        <f t="shared" si="35"/>
        <v>15.309039745999998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0.77819799999999995</v>
      </c>
      <c r="H203" s="21">
        <v>37.439799999999998</v>
      </c>
      <c r="I203" s="21">
        <v>-1.7749000000000001E-2</v>
      </c>
      <c r="J203" s="21">
        <v>193</v>
      </c>
      <c r="K203" s="21">
        <v>0.77728299999999995</v>
      </c>
      <c r="L203">
        <f t="shared" si="24"/>
        <v>17.749000000000002</v>
      </c>
      <c r="M203">
        <f t="shared" si="25"/>
        <v>13.812236302000001</v>
      </c>
      <c r="N203" s="9"/>
      <c r="O203" s="21">
        <v>0.87188699999999997</v>
      </c>
      <c r="P203" s="21">
        <v>109.2</v>
      </c>
      <c r="Q203" s="21">
        <v>-1.7706300000000001E-2</v>
      </c>
      <c r="R203" s="21">
        <v>193</v>
      </c>
      <c r="S203" s="21">
        <v>0.87127699999999997</v>
      </c>
      <c r="T203">
        <f t="shared" si="26"/>
        <v>17.706300000000002</v>
      </c>
      <c r="U203">
        <f t="shared" si="27"/>
        <v>15.437892788100001</v>
      </c>
      <c r="X203" s="9"/>
      <c r="Y203" s="21">
        <v>0.77819799999999995</v>
      </c>
      <c r="Z203" s="21">
        <v>176.875</v>
      </c>
      <c r="AA203" s="21">
        <v>-1.77368E-2</v>
      </c>
      <c r="AB203" s="21">
        <v>193</v>
      </c>
      <c r="AC203" s="21">
        <v>0.77789299999999995</v>
      </c>
      <c r="AD203">
        <f t="shared" si="28"/>
        <v>17.736799999999999</v>
      </c>
      <c r="AE203">
        <f t="shared" si="29"/>
        <v>13.802742286399997</v>
      </c>
      <c r="AF203" s="9"/>
      <c r="AG203" s="21">
        <v>0.87188699999999997</v>
      </c>
      <c r="AH203" s="21">
        <v>243.42</v>
      </c>
      <c r="AI203" s="21">
        <v>-1.7694100000000001E-2</v>
      </c>
      <c r="AJ203" s="21">
        <v>193</v>
      </c>
      <c r="AK203" s="21">
        <v>0.87188699999999997</v>
      </c>
      <c r="AL203">
        <f t="shared" si="30"/>
        <v>17.694100000000002</v>
      </c>
      <c r="AM203">
        <f t="shared" si="31"/>
        <v>15.427255766700002</v>
      </c>
      <c r="AP203" s="9"/>
      <c r="AQ203" s="21">
        <v>0.77819799999999995</v>
      </c>
      <c r="AR203" s="21">
        <v>301.125</v>
      </c>
      <c r="AS203" s="21">
        <v>-1.77246E-2</v>
      </c>
      <c r="AT203" s="21">
        <v>193</v>
      </c>
      <c r="AU203" s="21">
        <v>0.77789299999999995</v>
      </c>
      <c r="AV203">
        <f t="shared" si="32"/>
        <v>17.724599999999999</v>
      </c>
      <c r="AW203">
        <f t="shared" si="33"/>
        <v>13.793248270799998</v>
      </c>
      <c r="AX203" s="9"/>
      <c r="AY203" s="21">
        <v>0.87188699999999997</v>
      </c>
      <c r="AZ203" s="21">
        <v>371.55500000000001</v>
      </c>
      <c r="BA203" s="21">
        <v>-1.76575E-2</v>
      </c>
      <c r="BB203" s="21">
        <v>193</v>
      </c>
      <c r="BC203" s="21">
        <v>0.87158199999999997</v>
      </c>
      <c r="BD203">
        <f t="shared" si="34"/>
        <v>17.657499999999999</v>
      </c>
      <c r="BE203">
        <f t="shared" si="35"/>
        <v>15.395344702499999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0.77316300000000004</v>
      </c>
      <c r="H204" s="21">
        <v>37.540500000000002</v>
      </c>
      <c r="I204" s="21">
        <v>-1.7749000000000001E-2</v>
      </c>
      <c r="J204" s="21">
        <v>194</v>
      </c>
      <c r="K204" s="21">
        <v>0.77270499999999998</v>
      </c>
      <c r="L204">
        <f t="shared" ref="L204:L267" si="36">-I204/$F$2*1000</f>
        <v>17.749000000000002</v>
      </c>
      <c r="M204">
        <f t="shared" ref="M204:M267" si="37">L204*G204</f>
        <v>13.722870087000002</v>
      </c>
      <c r="N204" s="9"/>
      <c r="O204" s="21">
        <v>0.87692300000000001</v>
      </c>
      <c r="P204" s="21">
        <v>109.301</v>
      </c>
      <c r="Q204" s="21">
        <v>-1.76971E-2</v>
      </c>
      <c r="R204" s="21">
        <v>194</v>
      </c>
      <c r="S204" s="21">
        <v>0.87616000000000005</v>
      </c>
      <c r="T204">
        <f t="shared" ref="T204:T267" si="38">-Q204/$F$2*1000</f>
        <v>17.697099999999999</v>
      </c>
      <c r="U204">
        <f t="shared" ref="U204:U267" si="39">T204*O204</f>
        <v>15.518994023299999</v>
      </c>
      <c r="X204" s="9"/>
      <c r="Y204" s="21">
        <v>0.77316300000000004</v>
      </c>
      <c r="Z204" s="21">
        <v>176.976</v>
      </c>
      <c r="AA204" s="21">
        <v>-1.7742899999999999E-2</v>
      </c>
      <c r="AB204" s="21">
        <v>194</v>
      </c>
      <c r="AC204" s="21">
        <v>0.77270499999999998</v>
      </c>
      <c r="AD204">
        <f t="shared" ref="AD204:AD267" si="40">-AA204/$F$2*1000</f>
        <v>17.742899999999999</v>
      </c>
      <c r="AE204">
        <f t="shared" ref="AE204:AE267" si="41">AD204*Y204</f>
        <v>13.718153792699999</v>
      </c>
      <c r="AF204" s="9"/>
      <c r="AG204" s="21">
        <v>0.87692300000000001</v>
      </c>
      <c r="AH204" s="21">
        <v>243.52099999999999</v>
      </c>
      <c r="AI204" s="21">
        <v>-1.7694100000000001E-2</v>
      </c>
      <c r="AJ204" s="21">
        <v>194</v>
      </c>
      <c r="AK204" s="21">
        <v>0.87677000000000005</v>
      </c>
      <c r="AL204">
        <f t="shared" ref="AL204:AL267" si="42">-AI204/$F$2*1000</f>
        <v>17.694100000000002</v>
      </c>
      <c r="AM204">
        <f t="shared" ref="AM204:AM267" si="43">AL204*AG204</f>
        <v>15.516363254300002</v>
      </c>
      <c r="AP204" s="9"/>
      <c r="AQ204" s="21">
        <v>0.77316300000000004</v>
      </c>
      <c r="AR204" s="21">
        <v>301.226</v>
      </c>
      <c r="AS204" s="21">
        <v>-1.77246E-2</v>
      </c>
      <c r="AT204" s="21">
        <v>194</v>
      </c>
      <c r="AU204" s="21">
        <v>0.77209499999999998</v>
      </c>
      <c r="AV204">
        <f t="shared" ref="AV204:AV267" si="44">-AS204/$F$2*1000</f>
        <v>17.724599999999999</v>
      </c>
      <c r="AW204">
        <f t="shared" ref="AW204:AW267" si="45">AV204*AQ204</f>
        <v>13.7040049098</v>
      </c>
      <c r="AX204" s="9"/>
      <c r="AY204" s="21">
        <v>0.87692300000000001</v>
      </c>
      <c r="AZ204" s="21">
        <v>371.65600000000001</v>
      </c>
      <c r="BA204" s="21">
        <v>-1.7654400000000001E-2</v>
      </c>
      <c r="BB204" s="21">
        <v>194</v>
      </c>
      <c r="BC204" s="21">
        <v>0.87646500000000005</v>
      </c>
      <c r="BD204">
        <f t="shared" ref="BD204:BD267" si="46">-BA204/$F$2*1000</f>
        <v>17.654399999999999</v>
      </c>
      <c r="BE204">
        <f t="shared" ref="BE204:BE267" si="47">BD204*AY204</f>
        <v>15.4815494112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0.768127</v>
      </c>
      <c r="H205" s="21">
        <v>37.641300000000001</v>
      </c>
      <c r="I205" s="21">
        <v>-1.7755099999999999E-2</v>
      </c>
      <c r="J205" s="21">
        <v>195</v>
      </c>
      <c r="K205" s="21">
        <v>0.76721200000000001</v>
      </c>
      <c r="L205">
        <f t="shared" si="36"/>
        <v>17.755099999999999</v>
      </c>
      <c r="M205">
        <f t="shared" si="37"/>
        <v>13.638171697699999</v>
      </c>
      <c r="N205" s="9"/>
      <c r="O205" s="21">
        <v>0.88195800000000002</v>
      </c>
      <c r="P205" s="21">
        <v>109.401</v>
      </c>
      <c r="Q205" s="21">
        <v>-1.7694100000000001E-2</v>
      </c>
      <c r="R205" s="21">
        <v>195</v>
      </c>
      <c r="S205" s="21">
        <v>0.88104199999999999</v>
      </c>
      <c r="T205">
        <f t="shared" si="38"/>
        <v>17.694100000000002</v>
      </c>
      <c r="U205">
        <f t="shared" si="39"/>
        <v>15.605453047800003</v>
      </c>
      <c r="X205" s="9"/>
      <c r="Y205" s="21">
        <v>0.768127</v>
      </c>
      <c r="Z205" s="21">
        <v>177.07599999999999</v>
      </c>
      <c r="AA205" s="21">
        <v>-1.7742899999999999E-2</v>
      </c>
      <c r="AB205" s="21">
        <v>195</v>
      </c>
      <c r="AC205" s="21">
        <v>0.767517</v>
      </c>
      <c r="AD205">
        <f t="shared" si="40"/>
        <v>17.742899999999999</v>
      </c>
      <c r="AE205">
        <f t="shared" si="41"/>
        <v>13.628800548299999</v>
      </c>
      <c r="AF205" s="9"/>
      <c r="AG205" s="21">
        <v>0.88195800000000002</v>
      </c>
      <c r="AH205" s="21">
        <v>243.62200000000001</v>
      </c>
      <c r="AI205" s="21">
        <v>-1.7690999999999998E-2</v>
      </c>
      <c r="AJ205" s="21">
        <v>195</v>
      </c>
      <c r="AK205" s="21">
        <v>0.88104199999999999</v>
      </c>
      <c r="AL205">
        <f t="shared" si="42"/>
        <v>17.690999999999999</v>
      </c>
      <c r="AM205">
        <f t="shared" si="43"/>
        <v>15.602718977999999</v>
      </c>
      <c r="AP205" s="9"/>
      <c r="AQ205" s="21">
        <v>0.768127</v>
      </c>
      <c r="AR205" s="21">
        <v>301.32600000000002</v>
      </c>
      <c r="AS205" s="21">
        <v>-1.77246E-2</v>
      </c>
      <c r="AT205" s="21">
        <v>195</v>
      </c>
      <c r="AU205" s="21">
        <v>0.767822</v>
      </c>
      <c r="AV205">
        <f t="shared" si="44"/>
        <v>17.724599999999999</v>
      </c>
      <c r="AW205">
        <f t="shared" si="45"/>
        <v>13.6147438242</v>
      </c>
      <c r="AX205" s="9"/>
      <c r="AY205" s="21">
        <v>0.88195800000000002</v>
      </c>
      <c r="AZ205" s="21">
        <v>371.75700000000001</v>
      </c>
      <c r="BA205" s="21">
        <v>-1.7654400000000001E-2</v>
      </c>
      <c r="BB205" s="21">
        <v>195</v>
      </c>
      <c r="BC205" s="21">
        <v>0.88134800000000002</v>
      </c>
      <c r="BD205">
        <f t="shared" si="46"/>
        <v>17.654399999999999</v>
      </c>
      <c r="BE205">
        <f t="shared" si="47"/>
        <v>15.5704393152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0.76309199999999999</v>
      </c>
      <c r="H206" s="21">
        <v>37.741999999999997</v>
      </c>
      <c r="I206" s="21">
        <v>-1.7761200000000001E-2</v>
      </c>
      <c r="J206" s="21">
        <v>196</v>
      </c>
      <c r="K206" s="21">
        <v>0.76232900000000003</v>
      </c>
      <c r="L206">
        <f t="shared" si="36"/>
        <v>17.761200000000002</v>
      </c>
      <c r="M206">
        <f t="shared" si="37"/>
        <v>13.553429630400002</v>
      </c>
      <c r="N206" s="9"/>
      <c r="O206" s="21">
        <v>0.88699300000000003</v>
      </c>
      <c r="P206" s="21">
        <v>109.502</v>
      </c>
      <c r="Q206" s="21">
        <v>-1.7700199999999999E-2</v>
      </c>
      <c r="R206" s="21">
        <v>196</v>
      </c>
      <c r="S206" s="21">
        <v>0.88561999999999996</v>
      </c>
      <c r="T206">
        <f t="shared" si="38"/>
        <v>17.700199999999999</v>
      </c>
      <c r="U206">
        <f t="shared" si="39"/>
        <v>15.699953498599999</v>
      </c>
      <c r="X206" s="9"/>
      <c r="Y206" s="21">
        <v>0.76309199999999999</v>
      </c>
      <c r="Z206" s="21">
        <v>177.17699999999999</v>
      </c>
      <c r="AA206" s="21">
        <v>-1.7739899999999999E-2</v>
      </c>
      <c r="AB206" s="21">
        <v>196</v>
      </c>
      <c r="AC206" s="21">
        <v>0.76263400000000003</v>
      </c>
      <c r="AD206">
        <f t="shared" si="40"/>
        <v>17.739899999999999</v>
      </c>
      <c r="AE206">
        <f t="shared" si="41"/>
        <v>13.537175770799999</v>
      </c>
      <c r="AF206" s="9"/>
      <c r="AG206" s="21">
        <v>0.88699300000000003</v>
      </c>
      <c r="AH206" s="21">
        <v>243.72200000000001</v>
      </c>
      <c r="AI206" s="21">
        <v>-1.7694100000000001E-2</v>
      </c>
      <c r="AJ206" s="21">
        <v>196</v>
      </c>
      <c r="AK206" s="21">
        <v>0.88653599999999999</v>
      </c>
      <c r="AL206">
        <f t="shared" si="42"/>
        <v>17.694100000000002</v>
      </c>
      <c r="AM206">
        <f t="shared" si="43"/>
        <v>15.694542841300002</v>
      </c>
      <c r="AP206" s="9"/>
      <c r="AQ206" s="21">
        <v>0.76309199999999999</v>
      </c>
      <c r="AR206" s="21">
        <v>301.42700000000002</v>
      </c>
      <c r="AS206" s="21">
        <v>-1.7727699999999999E-2</v>
      </c>
      <c r="AT206" s="21">
        <v>196</v>
      </c>
      <c r="AU206" s="21">
        <v>0.76232900000000003</v>
      </c>
      <c r="AV206">
        <f t="shared" si="44"/>
        <v>17.727699999999999</v>
      </c>
      <c r="AW206">
        <f t="shared" si="45"/>
        <v>13.527866048399998</v>
      </c>
      <c r="AX206" s="9"/>
      <c r="AY206" s="21">
        <v>0.88699300000000003</v>
      </c>
      <c r="AZ206" s="21">
        <v>371.85700000000003</v>
      </c>
      <c r="BA206" s="21">
        <v>-1.76575E-2</v>
      </c>
      <c r="BB206" s="21">
        <v>196</v>
      </c>
      <c r="BC206" s="21">
        <v>0.88622999999999996</v>
      </c>
      <c r="BD206">
        <f t="shared" si="46"/>
        <v>17.657499999999999</v>
      </c>
      <c r="BE206">
        <f t="shared" si="47"/>
        <v>15.662078897499999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0.75805699999999998</v>
      </c>
      <c r="H207" s="21">
        <v>37.842700000000001</v>
      </c>
      <c r="I207" s="21">
        <v>-1.77673E-2</v>
      </c>
      <c r="J207" s="21">
        <v>197</v>
      </c>
      <c r="K207" s="21">
        <v>0.75683599999999995</v>
      </c>
      <c r="L207">
        <f t="shared" si="36"/>
        <v>17.767299999999999</v>
      </c>
      <c r="M207">
        <f t="shared" si="37"/>
        <v>13.468626136099999</v>
      </c>
      <c r="N207" s="9"/>
      <c r="O207" s="21">
        <v>0.89202899999999996</v>
      </c>
      <c r="P207" s="21">
        <v>109.60299999999999</v>
      </c>
      <c r="Q207" s="21">
        <v>-1.7700199999999999E-2</v>
      </c>
      <c r="R207" s="21">
        <v>197</v>
      </c>
      <c r="S207" s="21">
        <v>0.89080800000000004</v>
      </c>
      <c r="T207">
        <f t="shared" si="38"/>
        <v>17.700199999999999</v>
      </c>
      <c r="U207">
        <f t="shared" si="39"/>
        <v>15.789091705799999</v>
      </c>
      <c r="X207" s="9"/>
      <c r="Y207" s="21">
        <v>0.75805699999999998</v>
      </c>
      <c r="Z207" s="21">
        <v>177.27799999999999</v>
      </c>
      <c r="AA207" s="21">
        <v>-1.7746000000000001E-2</v>
      </c>
      <c r="AB207" s="21">
        <v>197</v>
      </c>
      <c r="AC207" s="21">
        <v>0.75744599999999995</v>
      </c>
      <c r="AD207">
        <f t="shared" si="40"/>
        <v>17.746000000000002</v>
      </c>
      <c r="AE207">
        <f t="shared" si="41"/>
        <v>13.452479522000001</v>
      </c>
      <c r="AF207" s="9"/>
      <c r="AG207" s="21">
        <v>0.89202899999999996</v>
      </c>
      <c r="AH207" s="21">
        <v>243.82300000000001</v>
      </c>
      <c r="AI207" s="21">
        <v>-1.76819E-2</v>
      </c>
      <c r="AJ207" s="21">
        <v>197</v>
      </c>
      <c r="AK207" s="21">
        <v>0.89111300000000004</v>
      </c>
      <c r="AL207">
        <f t="shared" si="42"/>
        <v>17.681899999999999</v>
      </c>
      <c r="AM207">
        <f t="shared" si="43"/>
        <v>15.772767575099998</v>
      </c>
      <c r="AP207" s="9"/>
      <c r="AQ207" s="21">
        <v>0.75805699999999998</v>
      </c>
      <c r="AR207" s="21">
        <v>301.52800000000002</v>
      </c>
      <c r="AS207" s="21">
        <v>-1.7730699999999999E-2</v>
      </c>
      <c r="AT207" s="21">
        <v>197</v>
      </c>
      <c r="AU207" s="21">
        <v>0.75653099999999995</v>
      </c>
      <c r="AV207">
        <f t="shared" si="44"/>
        <v>17.730699999999999</v>
      </c>
      <c r="AW207">
        <f t="shared" si="45"/>
        <v>13.440881249899999</v>
      </c>
      <c r="AX207" s="9"/>
      <c r="AY207" s="21">
        <v>0.89202899999999996</v>
      </c>
      <c r="AZ207" s="21">
        <v>371.95800000000003</v>
      </c>
      <c r="BA207" s="21">
        <v>-1.7648299999999999E-2</v>
      </c>
      <c r="BB207" s="21">
        <v>197</v>
      </c>
      <c r="BC207" s="21">
        <v>0.89050300000000004</v>
      </c>
      <c r="BD207">
        <f t="shared" si="46"/>
        <v>17.648299999999999</v>
      </c>
      <c r="BE207">
        <f t="shared" si="47"/>
        <v>15.742795400699999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0.75302100000000005</v>
      </c>
      <c r="H208" s="21">
        <v>37.943399999999997</v>
      </c>
      <c r="I208" s="21">
        <v>-1.7770399999999999E-2</v>
      </c>
      <c r="J208" s="21">
        <v>198</v>
      </c>
      <c r="K208" s="21">
        <v>0.75225799999999998</v>
      </c>
      <c r="L208">
        <f t="shared" si="36"/>
        <v>17.770399999999999</v>
      </c>
      <c r="M208">
        <f t="shared" si="37"/>
        <v>13.3814843784</v>
      </c>
      <c r="N208" s="9"/>
      <c r="O208" s="21">
        <v>0.89706399999999997</v>
      </c>
      <c r="P208" s="21">
        <v>109.70399999999999</v>
      </c>
      <c r="Q208" s="21">
        <v>-1.7687999999999999E-2</v>
      </c>
      <c r="R208" s="21">
        <v>198</v>
      </c>
      <c r="S208" s="21">
        <v>0.89569100000000001</v>
      </c>
      <c r="T208">
        <f t="shared" si="38"/>
        <v>17.687999999999999</v>
      </c>
      <c r="U208">
        <f t="shared" si="39"/>
        <v>15.867268031999998</v>
      </c>
      <c r="X208" s="9"/>
      <c r="Y208" s="21">
        <v>0.75302100000000005</v>
      </c>
      <c r="Z208" s="21">
        <v>177.37899999999999</v>
      </c>
      <c r="AA208" s="21">
        <v>-1.7749000000000001E-2</v>
      </c>
      <c r="AB208" s="21">
        <v>198</v>
      </c>
      <c r="AC208" s="21">
        <v>0.75256299999999998</v>
      </c>
      <c r="AD208">
        <f t="shared" si="40"/>
        <v>17.749000000000002</v>
      </c>
      <c r="AE208">
        <f t="shared" si="41"/>
        <v>13.365369729000003</v>
      </c>
      <c r="AF208" s="9"/>
      <c r="AG208" s="21">
        <v>0.89706399999999997</v>
      </c>
      <c r="AH208" s="21">
        <v>243.92400000000001</v>
      </c>
      <c r="AI208" s="21">
        <v>-1.7687999999999999E-2</v>
      </c>
      <c r="AJ208" s="21">
        <v>198</v>
      </c>
      <c r="AK208" s="21">
        <v>0.89630100000000001</v>
      </c>
      <c r="AL208">
        <f t="shared" si="42"/>
        <v>17.687999999999999</v>
      </c>
      <c r="AM208">
        <f t="shared" si="43"/>
        <v>15.867268031999998</v>
      </c>
      <c r="AP208" s="9"/>
      <c r="AQ208" s="21">
        <v>0.75302100000000005</v>
      </c>
      <c r="AR208" s="21">
        <v>301.62900000000002</v>
      </c>
      <c r="AS208" s="21">
        <v>-1.77368E-2</v>
      </c>
      <c r="AT208" s="21">
        <v>198</v>
      </c>
      <c r="AU208" s="21">
        <v>0.75195299999999998</v>
      </c>
      <c r="AV208">
        <f t="shared" si="44"/>
        <v>17.736799999999999</v>
      </c>
      <c r="AW208">
        <f t="shared" si="45"/>
        <v>13.3561828728</v>
      </c>
      <c r="AX208" s="9"/>
      <c r="AY208" s="21">
        <v>0.89706399999999997</v>
      </c>
      <c r="AZ208" s="21">
        <v>372.05900000000003</v>
      </c>
      <c r="BA208" s="21">
        <v>-1.7645299999999999E-2</v>
      </c>
      <c r="BB208" s="21">
        <v>198</v>
      </c>
      <c r="BC208" s="21">
        <v>0.89599600000000001</v>
      </c>
      <c r="BD208">
        <f t="shared" si="46"/>
        <v>17.645299999999999</v>
      </c>
      <c r="BE208">
        <f t="shared" si="47"/>
        <v>15.828963399199999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0.74798600000000004</v>
      </c>
      <c r="H209" s="21">
        <v>38.0441</v>
      </c>
      <c r="I209" s="21">
        <v>-1.7773400000000002E-2</v>
      </c>
      <c r="J209" s="21">
        <v>199</v>
      </c>
      <c r="K209" s="21">
        <v>0.74740600000000001</v>
      </c>
      <c r="L209">
        <f t="shared" si="36"/>
        <v>17.773400000000002</v>
      </c>
      <c r="M209">
        <f t="shared" si="37"/>
        <v>13.294254372400003</v>
      </c>
      <c r="N209" s="9"/>
      <c r="O209" s="21">
        <v>0.90210000000000001</v>
      </c>
      <c r="P209" s="21">
        <v>109.804</v>
      </c>
      <c r="Q209" s="21">
        <v>-1.7687999999999999E-2</v>
      </c>
      <c r="R209" s="21">
        <v>199</v>
      </c>
      <c r="S209" s="21">
        <v>0.90148899999999998</v>
      </c>
      <c r="T209">
        <f t="shared" si="38"/>
        <v>17.687999999999999</v>
      </c>
      <c r="U209">
        <f t="shared" si="39"/>
        <v>15.956344799999998</v>
      </c>
      <c r="X209" s="9"/>
      <c r="Y209" s="21">
        <v>0.74798600000000004</v>
      </c>
      <c r="Z209" s="21">
        <v>177.47900000000001</v>
      </c>
      <c r="AA209" s="21">
        <v>-1.77521E-2</v>
      </c>
      <c r="AB209" s="21">
        <v>199</v>
      </c>
      <c r="AC209" s="21">
        <v>0.74716199999999999</v>
      </c>
      <c r="AD209">
        <f t="shared" si="40"/>
        <v>17.752099999999999</v>
      </c>
      <c r="AE209">
        <f t="shared" si="41"/>
        <v>13.2783222706</v>
      </c>
      <c r="AF209" s="9"/>
      <c r="AG209" s="21">
        <v>0.90210000000000001</v>
      </c>
      <c r="AH209" s="21">
        <v>244.024</v>
      </c>
      <c r="AI209" s="21">
        <v>-1.76849E-2</v>
      </c>
      <c r="AJ209" s="21">
        <v>199</v>
      </c>
      <c r="AK209" s="21">
        <v>0.90179399999999998</v>
      </c>
      <c r="AL209">
        <f t="shared" si="42"/>
        <v>17.684899999999999</v>
      </c>
      <c r="AM209">
        <f t="shared" si="43"/>
        <v>15.953548289999999</v>
      </c>
      <c r="AP209" s="9"/>
      <c r="AQ209" s="21">
        <v>0.74798600000000004</v>
      </c>
      <c r="AR209" s="21">
        <v>301.72899999999998</v>
      </c>
      <c r="AS209" s="21">
        <v>-1.77368E-2</v>
      </c>
      <c r="AT209" s="21">
        <v>199</v>
      </c>
      <c r="AU209" s="21">
        <v>0.74713099999999999</v>
      </c>
      <c r="AV209">
        <f t="shared" si="44"/>
        <v>17.736799999999999</v>
      </c>
      <c r="AW209">
        <f t="shared" si="45"/>
        <v>13.2668780848</v>
      </c>
      <c r="AX209" s="9"/>
      <c r="AY209" s="21">
        <v>0.90210000000000001</v>
      </c>
      <c r="AZ209" s="21">
        <v>372.15899999999999</v>
      </c>
      <c r="BA209" s="21">
        <v>-1.7648299999999999E-2</v>
      </c>
      <c r="BB209" s="21">
        <v>199</v>
      </c>
      <c r="BC209" s="21">
        <v>0.90087899999999999</v>
      </c>
      <c r="BD209">
        <f t="shared" si="46"/>
        <v>17.648299999999999</v>
      </c>
      <c r="BE209">
        <f t="shared" si="47"/>
        <v>15.920531429999999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0.74295</v>
      </c>
      <c r="H210" s="21">
        <v>38.144799999999996</v>
      </c>
      <c r="I210" s="21">
        <v>-1.7770399999999999E-2</v>
      </c>
      <c r="J210" s="21">
        <v>200</v>
      </c>
      <c r="K210" s="21">
        <v>0.74234</v>
      </c>
      <c r="L210">
        <f t="shared" si="36"/>
        <v>17.770399999999999</v>
      </c>
      <c r="M210">
        <f t="shared" si="37"/>
        <v>13.202518679999999</v>
      </c>
      <c r="N210" s="9"/>
      <c r="O210" s="21">
        <v>0.90713500000000002</v>
      </c>
      <c r="P210" s="21">
        <v>109.905</v>
      </c>
      <c r="Q210" s="21">
        <v>-1.7690999999999998E-2</v>
      </c>
      <c r="R210" s="21">
        <v>200</v>
      </c>
      <c r="S210" s="21">
        <v>0.90667699999999996</v>
      </c>
      <c r="T210">
        <f t="shared" si="38"/>
        <v>17.690999999999999</v>
      </c>
      <c r="U210">
        <f t="shared" si="39"/>
        <v>16.048125285000001</v>
      </c>
      <c r="X210" s="9"/>
      <c r="Y210" s="21">
        <v>0.74295</v>
      </c>
      <c r="Z210" s="21">
        <v>177.58</v>
      </c>
      <c r="AA210" s="21">
        <v>-1.7755099999999999E-2</v>
      </c>
      <c r="AB210" s="21">
        <v>200</v>
      </c>
      <c r="AC210" s="21">
        <v>0.74231000000000003</v>
      </c>
      <c r="AD210">
        <f t="shared" si="40"/>
        <v>17.755099999999999</v>
      </c>
      <c r="AE210">
        <f t="shared" si="41"/>
        <v>13.191151544999999</v>
      </c>
      <c r="AF210" s="9"/>
      <c r="AG210" s="21">
        <v>0.90713500000000002</v>
      </c>
      <c r="AH210" s="21">
        <v>244.125</v>
      </c>
      <c r="AI210" s="21">
        <v>-1.7678800000000001E-2</v>
      </c>
      <c r="AJ210" s="21">
        <v>200</v>
      </c>
      <c r="AK210" s="21">
        <v>0.90667699999999996</v>
      </c>
      <c r="AL210">
        <f t="shared" si="42"/>
        <v>17.678800000000003</v>
      </c>
      <c r="AM210">
        <f t="shared" si="43"/>
        <v>16.037058238000004</v>
      </c>
      <c r="AP210" s="9"/>
      <c r="AQ210" s="21">
        <v>0.74295</v>
      </c>
      <c r="AR210" s="21">
        <v>301.83</v>
      </c>
      <c r="AS210" s="21">
        <v>-1.77368E-2</v>
      </c>
      <c r="AT210" s="21">
        <v>200</v>
      </c>
      <c r="AU210" s="21">
        <v>0.74243199999999998</v>
      </c>
      <c r="AV210">
        <f t="shared" si="44"/>
        <v>17.736799999999999</v>
      </c>
      <c r="AW210">
        <f t="shared" si="45"/>
        <v>13.177555559999998</v>
      </c>
      <c r="AX210" s="9"/>
      <c r="AY210" s="21">
        <v>0.90713500000000002</v>
      </c>
      <c r="AZ210" s="21">
        <v>372.26</v>
      </c>
      <c r="BA210" s="21">
        <v>-1.7645299999999999E-2</v>
      </c>
      <c r="BB210" s="21">
        <v>200</v>
      </c>
      <c r="BC210" s="21">
        <v>0.90637199999999996</v>
      </c>
      <c r="BD210">
        <f t="shared" si="46"/>
        <v>17.645299999999999</v>
      </c>
      <c r="BE210">
        <f t="shared" si="47"/>
        <v>16.006669215500001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0.73791499999999999</v>
      </c>
      <c r="H211" s="21">
        <v>38.2455</v>
      </c>
      <c r="I211" s="21">
        <v>-1.7770399999999999E-2</v>
      </c>
      <c r="J211" s="21">
        <v>201</v>
      </c>
      <c r="K211" s="21">
        <v>0.73767099999999997</v>
      </c>
      <c r="L211">
        <f t="shared" si="36"/>
        <v>17.770399999999999</v>
      </c>
      <c r="M211">
        <f t="shared" si="37"/>
        <v>13.113044715999999</v>
      </c>
      <c r="N211" s="9"/>
      <c r="O211" s="21">
        <v>0.91217000000000004</v>
      </c>
      <c r="P211" s="21">
        <v>110.006</v>
      </c>
      <c r="Q211" s="21">
        <v>-1.7687999999999999E-2</v>
      </c>
      <c r="R211" s="21">
        <v>201</v>
      </c>
      <c r="S211" s="21">
        <v>0.91125500000000004</v>
      </c>
      <c r="T211">
        <f t="shared" si="38"/>
        <v>17.687999999999999</v>
      </c>
      <c r="U211">
        <f t="shared" si="39"/>
        <v>16.13446296</v>
      </c>
      <c r="X211" s="9"/>
      <c r="Y211" s="21">
        <v>0.73791499999999999</v>
      </c>
      <c r="Z211" s="21">
        <v>177.68100000000001</v>
      </c>
      <c r="AA211" s="21">
        <v>-1.7755099999999999E-2</v>
      </c>
      <c r="AB211" s="21">
        <v>201</v>
      </c>
      <c r="AC211" s="21">
        <v>0.73724400000000001</v>
      </c>
      <c r="AD211">
        <f t="shared" si="40"/>
        <v>17.755099999999999</v>
      </c>
      <c r="AE211">
        <f t="shared" si="41"/>
        <v>13.101754616499999</v>
      </c>
      <c r="AF211" s="9"/>
      <c r="AG211" s="21">
        <v>0.91217000000000004</v>
      </c>
      <c r="AH211" s="21">
        <v>244.226</v>
      </c>
      <c r="AI211" s="21">
        <v>-1.7675799999999998E-2</v>
      </c>
      <c r="AJ211" s="21">
        <v>201</v>
      </c>
      <c r="AK211" s="21">
        <v>0.91217000000000004</v>
      </c>
      <c r="AL211">
        <f t="shared" si="42"/>
        <v>17.675799999999999</v>
      </c>
      <c r="AM211">
        <f t="shared" si="43"/>
        <v>16.123334486000001</v>
      </c>
      <c r="AP211" s="9"/>
      <c r="AQ211" s="21">
        <v>0.73791499999999999</v>
      </c>
      <c r="AR211" s="21">
        <v>301.93099999999998</v>
      </c>
      <c r="AS211" s="21">
        <v>-1.7742899999999999E-2</v>
      </c>
      <c r="AT211" s="21">
        <v>201</v>
      </c>
      <c r="AU211" s="21">
        <v>0.73739600000000005</v>
      </c>
      <c r="AV211">
        <f t="shared" si="44"/>
        <v>17.742899999999999</v>
      </c>
      <c r="AW211">
        <f t="shared" si="45"/>
        <v>13.092752053499998</v>
      </c>
      <c r="AX211" s="9"/>
      <c r="AY211" s="21">
        <v>0.91217000000000004</v>
      </c>
      <c r="AZ211" s="21">
        <v>372.36099999999999</v>
      </c>
      <c r="BA211" s="21">
        <v>-1.7639200000000001E-2</v>
      </c>
      <c r="BB211" s="21">
        <v>201</v>
      </c>
      <c r="BC211" s="21">
        <v>0.91156000000000004</v>
      </c>
      <c r="BD211">
        <f t="shared" si="46"/>
        <v>17.639200000000002</v>
      </c>
      <c r="BE211">
        <f t="shared" si="47"/>
        <v>16.089949064000002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0.73287999999999998</v>
      </c>
      <c r="H212" s="21">
        <v>38.346200000000003</v>
      </c>
      <c r="I212" s="21">
        <v>-1.7770399999999999E-2</v>
      </c>
      <c r="J212" s="21">
        <v>202</v>
      </c>
      <c r="K212" s="21">
        <v>0.73220799999999997</v>
      </c>
      <c r="L212">
        <f t="shared" si="36"/>
        <v>17.770399999999999</v>
      </c>
      <c r="M212">
        <f t="shared" si="37"/>
        <v>13.023570751999998</v>
      </c>
      <c r="N212" s="9"/>
      <c r="O212" s="21">
        <v>0.91720599999999997</v>
      </c>
      <c r="P212" s="21">
        <v>110.10599999999999</v>
      </c>
      <c r="Q212" s="21">
        <v>-1.76849E-2</v>
      </c>
      <c r="R212" s="21">
        <v>202</v>
      </c>
      <c r="S212" s="21">
        <v>0.91613800000000001</v>
      </c>
      <c r="T212">
        <f t="shared" si="38"/>
        <v>17.684899999999999</v>
      </c>
      <c r="U212">
        <f t="shared" si="39"/>
        <v>16.220696389399997</v>
      </c>
      <c r="X212" s="9"/>
      <c r="Y212" s="21">
        <v>0.73287999999999998</v>
      </c>
      <c r="Z212" s="21">
        <v>177.78100000000001</v>
      </c>
      <c r="AA212" s="21">
        <v>-1.7755099999999999E-2</v>
      </c>
      <c r="AB212" s="21">
        <v>202</v>
      </c>
      <c r="AC212" s="21">
        <v>0.731873</v>
      </c>
      <c r="AD212">
        <f t="shared" si="40"/>
        <v>17.755099999999999</v>
      </c>
      <c r="AE212">
        <f t="shared" si="41"/>
        <v>13.012357687999998</v>
      </c>
      <c r="AF212" s="9"/>
      <c r="AG212" s="21">
        <v>0.91720599999999997</v>
      </c>
      <c r="AH212" s="21">
        <v>244.327</v>
      </c>
      <c r="AI212" s="21">
        <v>-1.76727E-2</v>
      </c>
      <c r="AJ212" s="21">
        <v>202</v>
      </c>
      <c r="AK212" s="21">
        <v>0.91674800000000001</v>
      </c>
      <c r="AL212">
        <f t="shared" si="42"/>
        <v>17.672699999999999</v>
      </c>
      <c r="AM212">
        <f t="shared" si="43"/>
        <v>16.209506476199998</v>
      </c>
      <c r="AP212" s="9"/>
      <c r="AQ212" s="21">
        <v>0.73287999999999998</v>
      </c>
      <c r="AR212" s="21">
        <v>302.03100000000001</v>
      </c>
      <c r="AS212" s="21">
        <v>-1.7749000000000001E-2</v>
      </c>
      <c r="AT212" s="21">
        <v>202</v>
      </c>
      <c r="AU212" s="21">
        <v>0.73223899999999997</v>
      </c>
      <c r="AV212">
        <f t="shared" si="44"/>
        <v>17.749000000000002</v>
      </c>
      <c r="AW212">
        <f t="shared" si="45"/>
        <v>13.007887120000001</v>
      </c>
      <c r="AX212" s="9"/>
      <c r="AY212" s="21">
        <v>0.91720599999999997</v>
      </c>
      <c r="AZ212" s="21">
        <v>372.46199999999999</v>
      </c>
      <c r="BA212" s="21">
        <v>-1.7633099999999999E-2</v>
      </c>
      <c r="BB212" s="21">
        <v>202</v>
      </c>
      <c r="BC212" s="21">
        <v>0.91644300000000001</v>
      </c>
      <c r="BD212">
        <f t="shared" si="46"/>
        <v>17.633099999999999</v>
      </c>
      <c r="BE212">
        <f t="shared" si="47"/>
        <v>16.173185118599999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0.72784400000000005</v>
      </c>
      <c r="H213" s="21">
        <v>38.446899999999999</v>
      </c>
      <c r="I213" s="21">
        <v>-1.77795E-2</v>
      </c>
      <c r="J213" s="21">
        <v>203</v>
      </c>
      <c r="K213" s="21">
        <v>0.72702</v>
      </c>
      <c r="L213">
        <f t="shared" si="36"/>
        <v>17.779499999999999</v>
      </c>
      <c r="M213">
        <f t="shared" si="37"/>
        <v>12.940702397999999</v>
      </c>
      <c r="N213" s="9"/>
      <c r="O213" s="21">
        <v>0.92224099999999998</v>
      </c>
      <c r="P213" s="21">
        <v>110.20699999999999</v>
      </c>
      <c r="Q213" s="21">
        <v>-1.7678800000000001E-2</v>
      </c>
      <c r="R213" s="21">
        <v>203</v>
      </c>
      <c r="S213" s="21">
        <v>0.92132599999999998</v>
      </c>
      <c r="T213">
        <f t="shared" si="38"/>
        <v>17.678800000000003</v>
      </c>
      <c r="U213">
        <f t="shared" si="39"/>
        <v>16.304114190800004</v>
      </c>
      <c r="X213" s="9"/>
      <c r="Y213" s="21">
        <v>0.72784400000000005</v>
      </c>
      <c r="Z213" s="21">
        <v>177.88200000000001</v>
      </c>
      <c r="AA213" s="21">
        <v>-1.7758199999999998E-2</v>
      </c>
      <c r="AB213" s="21">
        <v>203</v>
      </c>
      <c r="AC213" s="21">
        <v>0.72738599999999998</v>
      </c>
      <c r="AD213">
        <f t="shared" si="40"/>
        <v>17.758199999999999</v>
      </c>
      <c r="AE213">
        <f t="shared" si="41"/>
        <v>12.925199320799999</v>
      </c>
      <c r="AF213" s="9"/>
      <c r="AG213" s="21">
        <v>0.92224099999999998</v>
      </c>
      <c r="AH213" s="21">
        <v>244.42699999999999</v>
      </c>
      <c r="AI213" s="21">
        <v>-1.7663600000000002E-2</v>
      </c>
      <c r="AJ213" s="21">
        <v>203</v>
      </c>
      <c r="AK213" s="21">
        <v>0.92071499999999995</v>
      </c>
      <c r="AL213">
        <f t="shared" si="42"/>
        <v>17.663600000000002</v>
      </c>
      <c r="AM213">
        <f t="shared" si="43"/>
        <v>16.290096127600002</v>
      </c>
      <c r="AP213" s="9"/>
      <c r="AQ213" s="21">
        <v>0.72784400000000005</v>
      </c>
      <c r="AR213" s="21">
        <v>302.13200000000001</v>
      </c>
      <c r="AS213" s="21">
        <v>-1.7746000000000001E-2</v>
      </c>
      <c r="AT213" s="21">
        <v>203</v>
      </c>
      <c r="AU213" s="21">
        <v>0.727051</v>
      </c>
      <c r="AV213">
        <f t="shared" si="44"/>
        <v>17.746000000000002</v>
      </c>
      <c r="AW213">
        <f t="shared" si="45"/>
        <v>12.916319624000002</v>
      </c>
      <c r="AX213" s="9"/>
      <c r="AY213" s="21">
        <v>0.92224099999999998</v>
      </c>
      <c r="AZ213" s="21">
        <v>372.56200000000001</v>
      </c>
      <c r="BA213" s="21">
        <v>-1.7633099999999999E-2</v>
      </c>
      <c r="BB213" s="21">
        <v>203</v>
      </c>
      <c r="BC213" s="21">
        <v>0.92163099999999998</v>
      </c>
      <c r="BD213">
        <f t="shared" si="46"/>
        <v>17.633099999999999</v>
      </c>
      <c r="BE213">
        <f t="shared" si="47"/>
        <v>16.261967777099997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0.72280900000000003</v>
      </c>
      <c r="H214" s="21">
        <v>38.547600000000003</v>
      </c>
      <c r="I214" s="21">
        <v>-1.7782599999999999E-2</v>
      </c>
      <c r="J214" s="21">
        <v>204</v>
      </c>
      <c r="K214" s="21">
        <v>0.72213700000000003</v>
      </c>
      <c r="L214">
        <f t="shared" si="36"/>
        <v>17.782599999999999</v>
      </c>
      <c r="M214">
        <f t="shared" si="37"/>
        <v>12.853423323399999</v>
      </c>
      <c r="N214" s="9"/>
      <c r="O214" s="21">
        <v>0.92727700000000002</v>
      </c>
      <c r="P214" s="21">
        <v>110.30800000000001</v>
      </c>
      <c r="Q214" s="21">
        <v>-1.76819E-2</v>
      </c>
      <c r="R214" s="21">
        <v>204</v>
      </c>
      <c r="S214" s="21">
        <v>0.92651399999999995</v>
      </c>
      <c r="T214">
        <f t="shared" si="38"/>
        <v>17.681899999999999</v>
      </c>
      <c r="U214">
        <f t="shared" si="39"/>
        <v>16.396019186299998</v>
      </c>
      <c r="X214" s="9"/>
      <c r="Y214" s="21">
        <v>0.72280900000000003</v>
      </c>
      <c r="Z214" s="21">
        <v>177.983</v>
      </c>
      <c r="AA214" s="21">
        <v>-1.7761200000000001E-2</v>
      </c>
      <c r="AB214" s="21">
        <v>204</v>
      </c>
      <c r="AC214" s="21">
        <v>0.72189300000000001</v>
      </c>
      <c r="AD214">
        <f t="shared" si="40"/>
        <v>17.761200000000002</v>
      </c>
      <c r="AE214">
        <f t="shared" si="41"/>
        <v>12.837955210800002</v>
      </c>
      <c r="AF214" s="9"/>
      <c r="AG214" s="21">
        <v>0.92727700000000002</v>
      </c>
      <c r="AH214" s="21">
        <v>244.52799999999999</v>
      </c>
      <c r="AI214" s="21">
        <v>-1.76697E-2</v>
      </c>
      <c r="AJ214" s="21">
        <v>204</v>
      </c>
      <c r="AK214" s="21">
        <v>0.92681899999999995</v>
      </c>
      <c r="AL214">
        <f t="shared" si="42"/>
        <v>17.669699999999999</v>
      </c>
      <c r="AM214">
        <f t="shared" si="43"/>
        <v>16.384706406899998</v>
      </c>
      <c r="AP214" s="9"/>
      <c r="AQ214" s="21">
        <v>0.72280900000000003</v>
      </c>
      <c r="AR214" s="21">
        <v>302.233</v>
      </c>
      <c r="AS214" s="21">
        <v>-1.77521E-2</v>
      </c>
      <c r="AT214" s="21">
        <v>204</v>
      </c>
      <c r="AU214" s="21">
        <v>0.72244299999999995</v>
      </c>
      <c r="AV214">
        <f t="shared" si="44"/>
        <v>17.752099999999999</v>
      </c>
      <c r="AW214">
        <f t="shared" si="45"/>
        <v>12.8313776489</v>
      </c>
      <c r="AX214" s="9"/>
      <c r="AY214" s="21">
        <v>0.92727700000000002</v>
      </c>
      <c r="AZ214" s="21">
        <v>372.66300000000001</v>
      </c>
      <c r="BA214" s="21">
        <v>-1.7636099999999998E-2</v>
      </c>
      <c r="BB214" s="21">
        <v>204</v>
      </c>
      <c r="BC214" s="21">
        <v>0.92651399999999995</v>
      </c>
      <c r="BD214">
        <f t="shared" si="46"/>
        <v>17.636099999999999</v>
      </c>
      <c r="BE214">
        <f t="shared" si="47"/>
        <v>16.353549899699999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0.71777299999999999</v>
      </c>
      <c r="H215" s="21">
        <v>38.648299999999999</v>
      </c>
      <c r="I215" s="21">
        <v>-1.7785599999999999E-2</v>
      </c>
      <c r="J215" s="21">
        <v>205</v>
      </c>
      <c r="K215" s="21">
        <v>0.71737700000000004</v>
      </c>
      <c r="L215">
        <f t="shared" si="36"/>
        <v>17.785599999999999</v>
      </c>
      <c r="M215">
        <f t="shared" si="37"/>
        <v>12.766023468799998</v>
      </c>
      <c r="N215" s="9"/>
      <c r="O215" s="21">
        <v>0.93231200000000003</v>
      </c>
      <c r="P215" s="21">
        <v>110.408</v>
      </c>
      <c r="Q215" s="21">
        <v>-1.7675799999999998E-2</v>
      </c>
      <c r="R215" s="21">
        <v>205</v>
      </c>
      <c r="S215" s="21">
        <v>0.931396</v>
      </c>
      <c r="T215">
        <f t="shared" si="38"/>
        <v>17.675799999999999</v>
      </c>
      <c r="U215">
        <f t="shared" si="39"/>
        <v>16.479360449599998</v>
      </c>
      <c r="X215" s="9"/>
      <c r="Y215" s="21">
        <v>0.71777299999999999</v>
      </c>
      <c r="Z215" s="21">
        <v>178.084</v>
      </c>
      <c r="AA215" s="21">
        <v>-1.77673E-2</v>
      </c>
      <c r="AB215" s="21">
        <v>205</v>
      </c>
      <c r="AC215" s="21">
        <v>0.71737700000000004</v>
      </c>
      <c r="AD215">
        <f t="shared" si="40"/>
        <v>17.767299999999999</v>
      </c>
      <c r="AE215">
        <f t="shared" si="41"/>
        <v>12.752888222899999</v>
      </c>
      <c r="AF215" s="9"/>
      <c r="AG215" s="21">
        <v>0.93231200000000003</v>
      </c>
      <c r="AH215" s="21">
        <v>244.62899999999999</v>
      </c>
      <c r="AI215" s="21">
        <v>-1.7666600000000001E-2</v>
      </c>
      <c r="AJ215" s="21">
        <v>205</v>
      </c>
      <c r="AK215" s="21">
        <v>0.93170200000000003</v>
      </c>
      <c r="AL215">
        <f t="shared" si="42"/>
        <v>17.666600000000003</v>
      </c>
      <c r="AM215">
        <f t="shared" si="43"/>
        <v>16.470783179200001</v>
      </c>
      <c r="AP215" s="9"/>
      <c r="AQ215" s="21">
        <v>0.71777299999999999</v>
      </c>
      <c r="AR215" s="21">
        <v>302.334</v>
      </c>
      <c r="AS215" s="21">
        <v>-1.77521E-2</v>
      </c>
      <c r="AT215" s="21">
        <v>205</v>
      </c>
      <c r="AU215" s="21">
        <v>0.71716299999999999</v>
      </c>
      <c r="AV215">
        <f t="shared" si="44"/>
        <v>17.752099999999999</v>
      </c>
      <c r="AW215">
        <f t="shared" si="45"/>
        <v>12.741978073299999</v>
      </c>
      <c r="AX215" s="9"/>
      <c r="AY215" s="21">
        <v>0.93231200000000003</v>
      </c>
      <c r="AZ215" s="21">
        <v>372.76400000000001</v>
      </c>
      <c r="BA215" s="21">
        <v>-1.7633099999999999E-2</v>
      </c>
      <c r="BB215" s="21">
        <v>205</v>
      </c>
      <c r="BC215" s="21">
        <v>0.93200700000000003</v>
      </c>
      <c r="BD215">
        <f t="shared" si="46"/>
        <v>17.633099999999999</v>
      </c>
      <c r="BE215">
        <f t="shared" si="47"/>
        <v>16.4395507272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0.71273799999999998</v>
      </c>
      <c r="H216" s="21">
        <v>38.749000000000002</v>
      </c>
      <c r="I216" s="21">
        <v>-1.77948E-2</v>
      </c>
      <c r="J216" s="21">
        <v>206</v>
      </c>
      <c r="K216" s="21">
        <v>0.712341</v>
      </c>
      <c r="L216">
        <f t="shared" si="36"/>
        <v>17.794799999999999</v>
      </c>
      <c r="M216">
        <f t="shared" si="37"/>
        <v>12.683030162399998</v>
      </c>
      <c r="N216" s="9"/>
      <c r="O216" s="21">
        <v>0.93734700000000004</v>
      </c>
      <c r="P216" s="21">
        <v>110.509</v>
      </c>
      <c r="Q216" s="21">
        <v>-1.7678800000000001E-2</v>
      </c>
      <c r="R216" s="21">
        <v>206</v>
      </c>
      <c r="S216" s="21">
        <v>0.93689</v>
      </c>
      <c r="T216">
        <f t="shared" si="38"/>
        <v>17.678800000000003</v>
      </c>
      <c r="U216">
        <f t="shared" si="39"/>
        <v>16.571170143600003</v>
      </c>
      <c r="X216" s="9"/>
      <c r="Y216" s="21">
        <v>0.71273799999999998</v>
      </c>
      <c r="Z216" s="21">
        <v>178.184</v>
      </c>
      <c r="AA216" s="21">
        <v>-1.77673E-2</v>
      </c>
      <c r="AB216" s="21">
        <v>206</v>
      </c>
      <c r="AC216" s="21">
        <v>0.71209699999999998</v>
      </c>
      <c r="AD216">
        <f t="shared" si="40"/>
        <v>17.767299999999999</v>
      </c>
      <c r="AE216">
        <f t="shared" si="41"/>
        <v>12.6634298674</v>
      </c>
      <c r="AF216" s="9"/>
      <c r="AG216" s="21">
        <v>0.93734700000000004</v>
      </c>
      <c r="AH216" s="21">
        <v>244.72900000000001</v>
      </c>
      <c r="AI216" s="21">
        <v>-1.7660499999999999E-2</v>
      </c>
      <c r="AJ216" s="21">
        <v>206</v>
      </c>
      <c r="AK216" s="21">
        <v>0.93658399999999997</v>
      </c>
      <c r="AL216">
        <f t="shared" si="42"/>
        <v>17.660499999999999</v>
      </c>
      <c r="AM216">
        <f t="shared" si="43"/>
        <v>16.554016693499999</v>
      </c>
      <c r="AP216" s="9"/>
      <c r="AQ216" s="21">
        <v>0.71273799999999998</v>
      </c>
      <c r="AR216" s="21">
        <v>302.43400000000003</v>
      </c>
      <c r="AS216" s="21">
        <v>-1.7755099999999999E-2</v>
      </c>
      <c r="AT216" s="21">
        <v>206</v>
      </c>
      <c r="AU216" s="21">
        <v>0.71206700000000001</v>
      </c>
      <c r="AV216">
        <f t="shared" si="44"/>
        <v>17.755099999999999</v>
      </c>
      <c r="AW216">
        <f t="shared" si="45"/>
        <v>12.654734463799999</v>
      </c>
      <c r="AX216" s="9"/>
      <c r="AY216" s="21">
        <v>0.93734700000000004</v>
      </c>
      <c r="AZ216" s="21">
        <v>372.86399999999998</v>
      </c>
      <c r="BA216" s="21">
        <v>-1.7623900000000001E-2</v>
      </c>
      <c r="BB216" s="21">
        <v>206</v>
      </c>
      <c r="BC216" s="21">
        <v>0.93658399999999997</v>
      </c>
      <c r="BD216">
        <f t="shared" si="46"/>
        <v>17.623900000000003</v>
      </c>
      <c r="BE216">
        <f t="shared" si="47"/>
        <v>16.519709793300002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0.70770299999999997</v>
      </c>
      <c r="H217" s="21">
        <v>38.849800000000002</v>
      </c>
      <c r="I217" s="21">
        <v>-1.7788700000000001E-2</v>
      </c>
      <c r="J217" s="21">
        <v>207</v>
      </c>
      <c r="K217" s="21">
        <v>0.70761099999999999</v>
      </c>
      <c r="L217">
        <f t="shared" si="36"/>
        <v>17.788700000000002</v>
      </c>
      <c r="M217">
        <f t="shared" si="37"/>
        <v>12.589116356100002</v>
      </c>
      <c r="N217" s="9"/>
      <c r="O217" s="21">
        <v>0.94238299999999997</v>
      </c>
      <c r="P217" s="21">
        <v>110.61</v>
      </c>
      <c r="Q217" s="21">
        <v>-1.76697E-2</v>
      </c>
      <c r="R217" s="21">
        <v>207</v>
      </c>
      <c r="S217" s="21">
        <v>0.94207799999999997</v>
      </c>
      <c r="T217">
        <f t="shared" si="38"/>
        <v>17.669699999999999</v>
      </c>
      <c r="U217">
        <f t="shared" si="39"/>
        <v>16.651624895099999</v>
      </c>
      <c r="X217" s="9"/>
      <c r="Y217" s="21">
        <v>0.70770299999999997</v>
      </c>
      <c r="Z217" s="21">
        <v>178.285</v>
      </c>
      <c r="AA217" s="21">
        <v>-1.77673E-2</v>
      </c>
      <c r="AB217" s="21">
        <v>207</v>
      </c>
      <c r="AC217" s="21">
        <v>0.70797699999999997</v>
      </c>
      <c r="AD217">
        <f t="shared" si="40"/>
        <v>17.767299999999999</v>
      </c>
      <c r="AE217">
        <f t="shared" si="41"/>
        <v>12.573971511899998</v>
      </c>
      <c r="AF217" s="9"/>
      <c r="AG217" s="21">
        <v>0.94238299999999997</v>
      </c>
      <c r="AH217" s="21">
        <v>244.83</v>
      </c>
      <c r="AI217" s="21">
        <v>-1.7660499999999999E-2</v>
      </c>
      <c r="AJ217" s="21">
        <v>207</v>
      </c>
      <c r="AK217" s="21">
        <v>0.94146700000000005</v>
      </c>
      <c r="AL217">
        <f t="shared" si="42"/>
        <v>17.660499999999999</v>
      </c>
      <c r="AM217">
        <f t="shared" si="43"/>
        <v>16.6429549715</v>
      </c>
      <c r="AP217" s="9"/>
      <c r="AQ217" s="21">
        <v>0.70770299999999997</v>
      </c>
      <c r="AR217" s="21">
        <v>302.53500000000003</v>
      </c>
      <c r="AS217" s="21">
        <v>-1.7758199999999998E-2</v>
      </c>
      <c r="AT217" s="21">
        <v>207</v>
      </c>
      <c r="AU217" s="21">
        <v>0.70739700000000005</v>
      </c>
      <c r="AV217">
        <f t="shared" si="44"/>
        <v>17.758199999999999</v>
      </c>
      <c r="AW217">
        <f t="shared" si="45"/>
        <v>12.567531414599998</v>
      </c>
      <c r="AX217" s="9"/>
      <c r="AY217" s="21">
        <v>0.94238299999999997</v>
      </c>
      <c r="AZ217" s="21">
        <v>372.96499999999997</v>
      </c>
      <c r="BA217" s="21">
        <v>-1.7627E-2</v>
      </c>
      <c r="BB217" s="21">
        <v>207</v>
      </c>
      <c r="BC217" s="21">
        <v>0.94116200000000005</v>
      </c>
      <c r="BD217">
        <f t="shared" si="46"/>
        <v>17.626999999999999</v>
      </c>
      <c r="BE217">
        <f t="shared" si="47"/>
        <v>16.611385141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0.70266700000000004</v>
      </c>
      <c r="H218" s="21">
        <v>38.950499999999998</v>
      </c>
      <c r="I218" s="21">
        <v>-1.7785599999999999E-2</v>
      </c>
      <c r="J218" s="21">
        <v>208</v>
      </c>
      <c r="K218" s="21">
        <v>0.70211800000000002</v>
      </c>
      <c r="L218">
        <f t="shared" si="36"/>
        <v>17.785599999999999</v>
      </c>
      <c r="M218">
        <f t="shared" si="37"/>
        <v>12.4973541952</v>
      </c>
      <c r="N218" s="9"/>
      <c r="O218" s="21">
        <v>0.94741799999999998</v>
      </c>
      <c r="P218" s="21">
        <v>110.711</v>
      </c>
      <c r="Q218" s="21">
        <v>-1.7663600000000002E-2</v>
      </c>
      <c r="R218" s="21">
        <v>208</v>
      </c>
      <c r="S218" s="21">
        <v>0.94726600000000005</v>
      </c>
      <c r="T218">
        <f t="shared" si="38"/>
        <v>17.663600000000002</v>
      </c>
      <c r="U218">
        <f t="shared" si="39"/>
        <v>16.7348125848</v>
      </c>
      <c r="X218" s="9"/>
      <c r="Y218" s="21">
        <v>0.70266700000000004</v>
      </c>
      <c r="Z218" s="21">
        <v>178.386</v>
      </c>
      <c r="AA218" s="21">
        <v>-1.7770399999999999E-2</v>
      </c>
      <c r="AB218" s="21">
        <v>208</v>
      </c>
      <c r="AC218" s="21">
        <v>0.702484</v>
      </c>
      <c r="AD218">
        <f t="shared" si="40"/>
        <v>17.770399999999999</v>
      </c>
      <c r="AE218">
        <f t="shared" si="41"/>
        <v>12.486673656799999</v>
      </c>
      <c r="AF218" s="9"/>
      <c r="AG218" s="21">
        <v>0.94741799999999998</v>
      </c>
      <c r="AH218" s="21">
        <v>244.93100000000001</v>
      </c>
      <c r="AI218" s="21">
        <v>-1.7660499999999999E-2</v>
      </c>
      <c r="AJ218" s="21">
        <v>208</v>
      </c>
      <c r="AK218" s="21">
        <v>0.94635000000000002</v>
      </c>
      <c r="AL218">
        <f t="shared" si="42"/>
        <v>17.660499999999999</v>
      </c>
      <c r="AM218">
        <f t="shared" si="43"/>
        <v>16.731875588999998</v>
      </c>
      <c r="AP218" s="9"/>
      <c r="AQ218" s="21">
        <v>0.70266700000000004</v>
      </c>
      <c r="AR218" s="21">
        <v>302.63600000000002</v>
      </c>
      <c r="AS218" s="21">
        <v>-1.7761200000000001E-2</v>
      </c>
      <c r="AT218" s="21">
        <v>208</v>
      </c>
      <c r="AU218" s="21">
        <v>0.70205700000000004</v>
      </c>
      <c r="AV218">
        <f t="shared" si="44"/>
        <v>17.761200000000002</v>
      </c>
      <c r="AW218">
        <f t="shared" si="45"/>
        <v>12.480209120400003</v>
      </c>
      <c r="AX218" s="9"/>
      <c r="AY218" s="21">
        <v>0.94741799999999998</v>
      </c>
      <c r="AZ218" s="21">
        <v>373.06599999999997</v>
      </c>
      <c r="BA218" s="21">
        <v>-1.7620799999999999E-2</v>
      </c>
      <c r="BB218" s="21">
        <v>208</v>
      </c>
      <c r="BC218" s="21">
        <v>0.94604500000000002</v>
      </c>
      <c r="BD218">
        <f t="shared" si="46"/>
        <v>17.620799999999999</v>
      </c>
      <c r="BE218">
        <f t="shared" si="47"/>
        <v>16.6942630944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0.69763200000000003</v>
      </c>
      <c r="H219" s="21">
        <v>39.051200000000001</v>
      </c>
      <c r="I219" s="21">
        <v>-1.7788700000000001E-2</v>
      </c>
      <c r="J219" s="21">
        <v>209</v>
      </c>
      <c r="K219" s="21">
        <v>0.69747899999999996</v>
      </c>
      <c r="L219">
        <f t="shared" si="36"/>
        <v>17.788700000000002</v>
      </c>
      <c r="M219">
        <f t="shared" si="37"/>
        <v>12.409966358400002</v>
      </c>
      <c r="N219" s="9"/>
      <c r="O219" s="21">
        <v>0.95245400000000002</v>
      </c>
      <c r="P219" s="21">
        <v>110.81100000000001</v>
      </c>
      <c r="Q219" s="21">
        <v>-1.76697E-2</v>
      </c>
      <c r="R219" s="21">
        <v>209</v>
      </c>
      <c r="S219" s="21">
        <v>0.95184299999999999</v>
      </c>
      <c r="T219">
        <f t="shared" si="38"/>
        <v>17.669699999999999</v>
      </c>
      <c r="U219">
        <f t="shared" si="39"/>
        <v>16.829576443800001</v>
      </c>
      <c r="X219" s="9"/>
      <c r="Y219" s="21">
        <v>0.69763200000000003</v>
      </c>
      <c r="Z219" s="21">
        <v>178.48599999999999</v>
      </c>
      <c r="AA219" s="21">
        <v>-1.7776500000000001E-2</v>
      </c>
      <c r="AB219" s="21">
        <v>209</v>
      </c>
      <c r="AC219" s="21">
        <v>0.69741799999999998</v>
      </c>
      <c r="AD219">
        <f t="shared" si="40"/>
        <v>17.776500000000002</v>
      </c>
      <c r="AE219">
        <f t="shared" si="41"/>
        <v>12.401455248000001</v>
      </c>
      <c r="AF219" s="9"/>
      <c r="AG219" s="21">
        <v>0.95245400000000002</v>
      </c>
      <c r="AH219" s="21">
        <v>245.03100000000001</v>
      </c>
      <c r="AI219" s="21">
        <v>-1.7660499999999999E-2</v>
      </c>
      <c r="AJ219" s="21">
        <v>209</v>
      </c>
      <c r="AK219" s="21">
        <v>0.95184299999999999</v>
      </c>
      <c r="AL219">
        <f t="shared" si="42"/>
        <v>17.660499999999999</v>
      </c>
      <c r="AM219">
        <f t="shared" si="43"/>
        <v>16.820813866999998</v>
      </c>
      <c r="AP219" s="9"/>
      <c r="AQ219" s="21">
        <v>0.69763200000000003</v>
      </c>
      <c r="AR219" s="21">
        <v>302.73599999999999</v>
      </c>
      <c r="AS219" s="21">
        <v>-1.7758199999999998E-2</v>
      </c>
      <c r="AT219" s="21">
        <v>209</v>
      </c>
      <c r="AU219" s="21">
        <v>0.69708300000000001</v>
      </c>
      <c r="AV219">
        <f t="shared" si="44"/>
        <v>17.758199999999999</v>
      </c>
      <c r="AW219">
        <f t="shared" si="45"/>
        <v>12.3886885824</v>
      </c>
      <c r="AX219" s="9"/>
      <c r="AY219" s="21">
        <v>0.95245400000000002</v>
      </c>
      <c r="AZ219" s="21">
        <v>373.166</v>
      </c>
      <c r="BA219" s="21">
        <v>-1.7623900000000001E-2</v>
      </c>
      <c r="BB219" s="21">
        <v>209</v>
      </c>
      <c r="BC219" s="21">
        <v>0.950928</v>
      </c>
      <c r="BD219">
        <f t="shared" si="46"/>
        <v>17.623900000000003</v>
      </c>
      <c r="BE219">
        <f t="shared" si="47"/>
        <v>16.785954050600004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0.69259599999999999</v>
      </c>
      <c r="H220" s="21">
        <v>39.151899999999998</v>
      </c>
      <c r="I220" s="21">
        <v>-1.7800900000000001E-2</v>
      </c>
      <c r="J220" s="21">
        <v>210</v>
      </c>
      <c r="K220" s="21">
        <v>0.69198599999999999</v>
      </c>
      <c r="L220">
        <f t="shared" si="36"/>
        <v>17.800900000000002</v>
      </c>
      <c r="M220">
        <f t="shared" si="37"/>
        <v>12.328832136400001</v>
      </c>
      <c r="N220" s="9"/>
      <c r="O220" s="21">
        <v>0.95748900000000003</v>
      </c>
      <c r="P220" s="21">
        <v>110.91200000000001</v>
      </c>
      <c r="Q220" s="21">
        <v>-1.7663600000000002E-2</v>
      </c>
      <c r="R220" s="21">
        <v>210</v>
      </c>
      <c r="S220" s="21">
        <v>0.95733599999999996</v>
      </c>
      <c r="T220">
        <f t="shared" si="38"/>
        <v>17.663600000000002</v>
      </c>
      <c r="U220">
        <f t="shared" si="39"/>
        <v>16.912702700400004</v>
      </c>
      <c r="X220" s="9"/>
      <c r="Y220" s="21">
        <v>0.69259599999999999</v>
      </c>
      <c r="Z220" s="21">
        <v>178.58699999999999</v>
      </c>
      <c r="AA220" s="21">
        <v>-1.7776500000000001E-2</v>
      </c>
      <c r="AB220" s="21">
        <v>210</v>
      </c>
      <c r="AC220" s="21">
        <v>0.69186400000000003</v>
      </c>
      <c r="AD220">
        <f t="shared" si="40"/>
        <v>17.776500000000002</v>
      </c>
      <c r="AE220">
        <f t="shared" si="41"/>
        <v>12.311932794000001</v>
      </c>
      <c r="AF220" s="9"/>
      <c r="AG220" s="21">
        <v>0.95748900000000003</v>
      </c>
      <c r="AH220" s="21">
        <v>245.13200000000001</v>
      </c>
      <c r="AI220" s="21">
        <v>-1.7654400000000001E-2</v>
      </c>
      <c r="AJ220" s="21">
        <v>210</v>
      </c>
      <c r="AK220" s="21">
        <v>0.95642099999999997</v>
      </c>
      <c r="AL220">
        <f t="shared" si="42"/>
        <v>17.654399999999999</v>
      </c>
      <c r="AM220">
        <f t="shared" si="43"/>
        <v>16.903893801599999</v>
      </c>
      <c r="AP220" s="9"/>
      <c r="AQ220" s="21">
        <v>0.69259599999999999</v>
      </c>
      <c r="AR220" s="21">
        <v>302.83699999999999</v>
      </c>
      <c r="AS220" s="21">
        <v>-1.77673E-2</v>
      </c>
      <c r="AT220" s="21">
        <v>210</v>
      </c>
      <c r="AU220" s="21">
        <v>0.69195600000000002</v>
      </c>
      <c r="AV220">
        <f t="shared" si="44"/>
        <v>17.767299999999999</v>
      </c>
      <c r="AW220">
        <f t="shared" si="45"/>
        <v>12.305560910799999</v>
      </c>
      <c r="AX220" s="9"/>
      <c r="AY220" s="21">
        <v>0.95748900000000003</v>
      </c>
      <c r="AZ220" s="21">
        <v>373.267</v>
      </c>
      <c r="BA220" s="21">
        <v>-1.7620799999999999E-2</v>
      </c>
      <c r="BB220" s="21">
        <v>210</v>
      </c>
      <c r="BC220" s="21">
        <v>0.95703099999999997</v>
      </c>
      <c r="BD220">
        <f t="shared" si="46"/>
        <v>17.620799999999999</v>
      </c>
      <c r="BE220">
        <f t="shared" si="47"/>
        <v>16.871722171199998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0.68756099999999998</v>
      </c>
      <c r="H221" s="21">
        <v>39.252600000000001</v>
      </c>
      <c r="I221" s="21">
        <v>-1.7797899999999998E-2</v>
      </c>
      <c r="J221" s="21">
        <v>211</v>
      </c>
      <c r="K221" s="21">
        <v>0.68698099999999995</v>
      </c>
      <c r="L221">
        <f t="shared" si="36"/>
        <v>17.797899999999998</v>
      </c>
      <c r="M221">
        <f t="shared" si="37"/>
        <v>12.237141921899999</v>
      </c>
      <c r="N221" s="9"/>
      <c r="O221" s="21">
        <v>0.96252400000000005</v>
      </c>
      <c r="P221" s="21">
        <v>111.01300000000001</v>
      </c>
      <c r="Q221" s="21">
        <v>-1.7663600000000002E-2</v>
      </c>
      <c r="R221" s="21">
        <v>211</v>
      </c>
      <c r="S221" s="21">
        <v>0.96191400000000005</v>
      </c>
      <c r="T221">
        <f t="shared" si="38"/>
        <v>17.663600000000002</v>
      </c>
      <c r="U221">
        <f t="shared" si="39"/>
        <v>17.001638926400002</v>
      </c>
      <c r="X221" s="9"/>
      <c r="Y221" s="21">
        <v>0.68756099999999998</v>
      </c>
      <c r="Z221" s="21">
        <v>178.68799999999999</v>
      </c>
      <c r="AA221" s="21">
        <v>-1.7785599999999999E-2</v>
      </c>
      <c r="AB221" s="21">
        <v>211</v>
      </c>
      <c r="AC221" s="21">
        <v>0.68704200000000004</v>
      </c>
      <c r="AD221">
        <f t="shared" si="40"/>
        <v>17.785599999999999</v>
      </c>
      <c r="AE221">
        <f t="shared" si="41"/>
        <v>12.228684921599999</v>
      </c>
      <c r="AF221" s="9"/>
      <c r="AG221" s="21">
        <v>0.96252400000000005</v>
      </c>
      <c r="AH221" s="21">
        <v>245.233</v>
      </c>
      <c r="AI221" s="21">
        <v>-1.7654400000000001E-2</v>
      </c>
      <c r="AJ221" s="21">
        <v>211</v>
      </c>
      <c r="AK221" s="21">
        <v>0.96130400000000005</v>
      </c>
      <c r="AL221">
        <f t="shared" si="42"/>
        <v>17.654399999999999</v>
      </c>
      <c r="AM221">
        <f t="shared" si="43"/>
        <v>16.992783705600001</v>
      </c>
      <c r="AP221" s="9"/>
      <c r="AQ221" s="21">
        <v>0.68756099999999998</v>
      </c>
      <c r="AR221" s="21">
        <v>302.93799999999999</v>
      </c>
      <c r="AS221" s="21">
        <v>-1.77643E-2</v>
      </c>
      <c r="AT221" s="21">
        <v>211</v>
      </c>
      <c r="AU221" s="21">
        <v>0.68704200000000004</v>
      </c>
      <c r="AV221">
        <f t="shared" si="44"/>
        <v>17.764299999999999</v>
      </c>
      <c r="AW221">
        <f t="shared" si="45"/>
        <v>12.214039872299999</v>
      </c>
      <c r="AX221" s="9"/>
      <c r="AY221" s="21">
        <v>0.96252400000000005</v>
      </c>
      <c r="AZ221" s="21">
        <v>373.36799999999999</v>
      </c>
      <c r="BA221" s="21">
        <v>-1.7611700000000001E-2</v>
      </c>
      <c r="BB221" s="21">
        <v>211</v>
      </c>
      <c r="BC221" s="21">
        <v>0.96160900000000005</v>
      </c>
      <c r="BD221">
        <f t="shared" si="46"/>
        <v>17.611700000000003</v>
      </c>
      <c r="BE221">
        <f t="shared" si="47"/>
        <v>16.951683930800002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0.68252599999999997</v>
      </c>
      <c r="H222" s="21">
        <v>39.353299999999997</v>
      </c>
      <c r="I222" s="21">
        <v>-1.7800900000000001E-2</v>
      </c>
      <c r="J222" s="21">
        <v>212</v>
      </c>
      <c r="K222" s="21">
        <v>0.68176300000000001</v>
      </c>
      <c r="L222">
        <f t="shared" si="36"/>
        <v>17.800900000000002</v>
      </c>
      <c r="M222">
        <f t="shared" si="37"/>
        <v>12.149577073400001</v>
      </c>
      <c r="N222" s="9"/>
      <c r="O222" s="21">
        <v>0.96755999999999998</v>
      </c>
      <c r="P222" s="21">
        <v>111.113</v>
      </c>
      <c r="Q222" s="21">
        <v>-1.7654400000000001E-2</v>
      </c>
      <c r="R222" s="21">
        <v>212</v>
      </c>
      <c r="S222" s="21">
        <v>0.96679700000000002</v>
      </c>
      <c r="T222">
        <f t="shared" si="38"/>
        <v>17.654399999999999</v>
      </c>
      <c r="U222">
        <f t="shared" si="39"/>
        <v>17.081691264</v>
      </c>
      <c r="X222" s="9"/>
      <c r="Y222" s="21">
        <v>0.68252599999999997</v>
      </c>
      <c r="Z222" s="21">
        <v>178.78899999999999</v>
      </c>
      <c r="AA222" s="21">
        <v>-1.7782599999999999E-2</v>
      </c>
      <c r="AB222" s="21">
        <v>212</v>
      </c>
      <c r="AC222" s="21">
        <v>0.68194600000000005</v>
      </c>
      <c r="AD222">
        <f t="shared" si="40"/>
        <v>17.782599999999999</v>
      </c>
      <c r="AE222">
        <f t="shared" si="41"/>
        <v>12.137086847599999</v>
      </c>
      <c r="AF222" s="9"/>
      <c r="AG222" s="21">
        <v>0.96755999999999998</v>
      </c>
      <c r="AH222" s="21">
        <v>245.334</v>
      </c>
      <c r="AI222" s="21">
        <v>-1.7651400000000001E-2</v>
      </c>
      <c r="AJ222" s="21">
        <v>212</v>
      </c>
      <c r="AK222" s="21">
        <v>0.96710200000000002</v>
      </c>
      <c r="AL222">
        <f t="shared" si="42"/>
        <v>17.651400000000002</v>
      </c>
      <c r="AM222">
        <f t="shared" si="43"/>
        <v>17.078788584000002</v>
      </c>
      <c r="AP222" s="9"/>
      <c r="AQ222" s="21">
        <v>0.68252599999999997</v>
      </c>
      <c r="AR222" s="21">
        <v>303.03800000000001</v>
      </c>
      <c r="AS222" s="21">
        <v>-1.77673E-2</v>
      </c>
      <c r="AT222" s="21">
        <v>212</v>
      </c>
      <c r="AU222" s="21">
        <v>0.68194600000000005</v>
      </c>
      <c r="AV222">
        <f t="shared" si="44"/>
        <v>17.767299999999999</v>
      </c>
      <c r="AW222">
        <f t="shared" si="45"/>
        <v>12.126644199799999</v>
      </c>
      <c r="AX222" s="9"/>
      <c r="AY222" s="21">
        <v>0.96755999999999998</v>
      </c>
      <c r="AZ222" s="21">
        <v>373.46899999999999</v>
      </c>
      <c r="BA222" s="21">
        <v>-1.76147E-2</v>
      </c>
      <c r="BB222" s="21">
        <v>212</v>
      </c>
      <c r="BC222" s="21">
        <v>0.96618700000000002</v>
      </c>
      <c r="BD222">
        <f t="shared" si="46"/>
        <v>17.614699999999999</v>
      </c>
      <c r="BE222">
        <f t="shared" si="47"/>
        <v>17.043279131999999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0.67749000000000004</v>
      </c>
      <c r="H223" s="21">
        <v>39.454000000000001</v>
      </c>
      <c r="I223" s="21">
        <v>-1.7807E-2</v>
      </c>
      <c r="J223" s="21">
        <v>213</v>
      </c>
      <c r="K223" s="21">
        <v>0.67666599999999999</v>
      </c>
      <c r="L223">
        <f t="shared" si="36"/>
        <v>17.806999999999999</v>
      </c>
      <c r="M223">
        <f t="shared" si="37"/>
        <v>12.06406443</v>
      </c>
      <c r="N223" s="9"/>
      <c r="O223" s="21">
        <v>0.97259499999999999</v>
      </c>
      <c r="P223" s="21">
        <v>111.214</v>
      </c>
      <c r="Q223" s="21">
        <v>-1.7651400000000001E-2</v>
      </c>
      <c r="R223" s="21">
        <v>213</v>
      </c>
      <c r="S223" s="21">
        <v>0.97137499999999999</v>
      </c>
      <c r="T223">
        <f t="shared" si="38"/>
        <v>17.651400000000002</v>
      </c>
      <c r="U223">
        <f t="shared" si="39"/>
        <v>17.167663383000001</v>
      </c>
      <c r="X223" s="9"/>
      <c r="Y223" s="21">
        <v>0.67749000000000004</v>
      </c>
      <c r="Z223" s="21">
        <v>178.88900000000001</v>
      </c>
      <c r="AA223" s="21">
        <v>-1.7782599999999999E-2</v>
      </c>
      <c r="AB223" s="21">
        <v>213</v>
      </c>
      <c r="AC223" s="21">
        <v>0.67684900000000003</v>
      </c>
      <c r="AD223">
        <f t="shared" si="40"/>
        <v>17.782599999999999</v>
      </c>
      <c r="AE223">
        <f t="shared" si="41"/>
        <v>12.047533674</v>
      </c>
      <c r="AF223" s="9"/>
      <c r="AG223" s="21">
        <v>0.97259499999999999</v>
      </c>
      <c r="AH223" s="21">
        <v>245.434</v>
      </c>
      <c r="AI223" s="21">
        <v>-1.7645299999999999E-2</v>
      </c>
      <c r="AJ223" s="21">
        <v>213</v>
      </c>
      <c r="AK223" s="21">
        <v>0.97198499999999999</v>
      </c>
      <c r="AL223">
        <f t="shared" si="42"/>
        <v>17.645299999999999</v>
      </c>
      <c r="AM223">
        <f t="shared" si="43"/>
        <v>17.1617305535</v>
      </c>
      <c r="AP223" s="9"/>
      <c r="AQ223" s="21">
        <v>0.67749000000000004</v>
      </c>
      <c r="AR223" s="21">
        <v>303.13900000000001</v>
      </c>
      <c r="AS223" s="21">
        <v>-1.7776500000000001E-2</v>
      </c>
      <c r="AT223" s="21">
        <v>213</v>
      </c>
      <c r="AU223" s="21">
        <v>0.67688000000000004</v>
      </c>
      <c r="AV223">
        <f t="shared" si="44"/>
        <v>17.776500000000002</v>
      </c>
      <c r="AW223">
        <f t="shared" si="45"/>
        <v>12.043400985000002</v>
      </c>
      <c r="AX223" s="9"/>
      <c r="AY223" s="21">
        <v>0.97259499999999999</v>
      </c>
      <c r="AZ223" s="21">
        <v>373.56900000000002</v>
      </c>
      <c r="BA223" s="21">
        <v>-1.7605599999999999E-2</v>
      </c>
      <c r="BB223" s="21">
        <v>213</v>
      </c>
      <c r="BC223" s="21">
        <v>0.97167999999999999</v>
      </c>
      <c r="BD223">
        <f t="shared" si="46"/>
        <v>17.605599999999999</v>
      </c>
      <c r="BE223">
        <f t="shared" si="47"/>
        <v>17.123118531999999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0.67245500000000002</v>
      </c>
      <c r="H224" s="21">
        <v>39.554699999999997</v>
      </c>
      <c r="I224" s="21">
        <v>-1.7807E-2</v>
      </c>
      <c r="J224" s="21">
        <v>214</v>
      </c>
      <c r="K224" s="21">
        <v>0.67178300000000002</v>
      </c>
      <c r="L224">
        <f t="shared" si="36"/>
        <v>17.806999999999999</v>
      </c>
      <c r="M224">
        <f t="shared" si="37"/>
        <v>11.974406184999999</v>
      </c>
      <c r="N224" s="9"/>
      <c r="O224" s="21">
        <v>0.97763100000000003</v>
      </c>
      <c r="P224" s="21">
        <v>111.315</v>
      </c>
      <c r="Q224" s="21">
        <v>-1.76575E-2</v>
      </c>
      <c r="R224" s="21">
        <v>214</v>
      </c>
      <c r="S224" s="21">
        <v>0.97686799999999996</v>
      </c>
      <c r="T224">
        <f t="shared" si="38"/>
        <v>17.657499999999999</v>
      </c>
      <c r="U224">
        <f t="shared" si="39"/>
        <v>17.262519382499999</v>
      </c>
      <c r="X224" s="9"/>
      <c r="Y224" s="21">
        <v>0.67245500000000002</v>
      </c>
      <c r="Z224" s="21">
        <v>178.99</v>
      </c>
      <c r="AA224" s="21">
        <v>-1.7791700000000001E-2</v>
      </c>
      <c r="AB224" s="21">
        <v>214</v>
      </c>
      <c r="AC224" s="21">
        <v>0.67193599999999998</v>
      </c>
      <c r="AD224">
        <f t="shared" si="40"/>
        <v>17.791700000000002</v>
      </c>
      <c r="AE224">
        <f t="shared" si="41"/>
        <v>11.964117623500002</v>
      </c>
      <c r="AF224" s="9"/>
      <c r="AG224" s="21">
        <v>0.97763100000000003</v>
      </c>
      <c r="AH224" s="21">
        <v>245.535</v>
      </c>
      <c r="AI224" s="21">
        <v>-1.76422E-2</v>
      </c>
      <c r="AJ224" s="21">
        <v>214</v>
      </c>
      <c r="AK224" s="21">
        <v>0.97686799999999996</v>
      </c>
      <c r="AL224">
        <f t="shared" si="42"/>
        <v>17.642199999999999</v>
      </c>
      <c r="AM224">
        <f t="shared" si="43"/>
        <v>17.2475616282</v>
      </c>
      <c r="AP224" s="9"/>
      <c r="AQ224" s="21">
        <v>0.67245500000000002</v>
      </c>
      <c r="AR224" s="21">
        <v>303.24</v>
      </c>
      <c r="AS224" s="21">
        <v>-1.7773400000000002E-2</v>
      </c>
      <c r="AT224" s="21">
        <v>214</v>
      </c>
      <c r="AU224" s="21">
        <v>0.671875</v>
      </c>
      <c r="AV224">
        <f t="shared" si="44"/>
        <v>17.773400000000002</v>
      </c>
      <c r="AW224">
        <f t="shared" si="45"/>
        <v>11.951811697000002</v>
      </c>
      <c r="AX224" s="9"/>
      <c r="AY224" s="21">
        <v>0.97763100000000003</v>
      </c>
      <c r="AZ224" s="21">
        <v>373.67</v>
      </c>
      <c r="BA224" s="21">
        <v>-1.7611700000000001E-2</v>
      </c>
      <c r="BB224" s="21">
        <v>214</v>
      </c>
      <c r="BC224" s="21">
        <v>0.97717299999999996</v>
      </c>
      <c r="BD224">
        <f t="shared" si="46"/>
        <v>17.611700000000003</v>
      </c>
      <c r="BE224">
        <f t="shared" si="47"/>
        <v>17.217743882700002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0.66741899999999998</v>
      </c>
      <c r="H225" s="21">
        <v>39.6554</v>
      </c>
      <c r="I225" s="21">
        <v>-1.7810099999999999E-2</v>
      </c>
      <c r="J225" s="21">
        <v>215</v>
      </c>
      <c r="K225" s="21">
        <v>0.66708400000000001</v>
      </c>
      <c r="L225">
        <f t="shared" si="36"/>
        <v>17.810099999999998</v>
      </c>
      <c r="M225">
        <f t="shared" si="37"/>
        <v>11.886799131899998</v>
      </c>
      <c r="N225" s="9"/>
      <c r="O225" s="21">
        <v>0.98266600000000004</v>
      </c>
      <c r="P225" s="21">
        <v>111.416</v>
      </c>
      <c r="Q225" s="21">
        <v>-1.7651400000000001E-2</v>
      </c>
      <c r="R225" s="21">
        <v>215</v>
      </c>
      <c r="S225" s="21">
        <v>0.98175000000000001</v>
      </c>
      <c r="T225">
        <f t="shared" si="38"/>
        <v>17.651400000000002</v>
      </c>
      <c r="U225">
        <f t="shared" si="39"/>
        <v>17.345430632400003</v>
      </c>
      <c r="X225" s="9"/>
      <c r="Y225" s="21">
        <v>0.66741899999999998</v>
      </c>
      <c r="Z225" s="21">
        <v>179.09100000000001</v>
      </c>
      <c r="AA225" s="21">
        <v>-1.7785599999999999E-2</v>
      </c>
      <c r="AB225" s="21">
        <v>215</v>
      </c>
      <c r="AC225" s="21">
        <v>0.66665600000000003</v>
      </c>
      <c r="AD225">
        <f t="shared" si="40"/>
        <v>17.785599999999999</v>
      </c>
      <c r="AE225">
        <f t="shared" si="41"/>
        <v>11.870447366399999</v>
      </c>
      <c r="AF225" s="9"/>
      <c r="AG225" s="21">
        <v>0.98266600000000004</v>
      </c>
      <c r="AH225" s="21">
        <v>245.636</v>
      </c>
      <c r="AI225" s="21">
        <v>-1.76422E-2</v>
      </c>
      <c r="AJ225" s="21">
        <v>215</v>
      </c>
      <c r="AK225" s="21">
        <v>0.98144500000000001</v>
      </c>
      <c r="AL225">
        <f t="shared" si="42"/>
        <v>17.642199999999999</v>
      </c>
      <c r="AM225">
        <f t="shared" si="43"/>
        <v>17.3363901052</v>
      </c>
      <c r="AP225" s="9"/>
      <c r="AQ225" s="21">
        <v>0.66741899999999998</v>
      </c>
      <c r="AR225" s="21">
        <v>303.34100000000001</v>
      </c>
      <c r="AS225" s="21">
        <v>-1.7776500000000001E-2</v>
      </c>
      <c r="AT225" s="21">
        <v>215</v>
      </c>
      <c r="AU225" s="21">
        <v>0.66711399999999998</v>
      </c>
      <c r="AV225">
        <f t="shared" si="44"/>
        <v>17.776500000000002</v>
      </c>
      <c r="AW225">
        <f t="shared" si="45"/>
        <v>11.864373853500002</v>
      </c>
      <c r="AX225" s="9"/>
      <c r="AY225" s="21">
        <v>0.98266600000000004</v>
      </c>
      <c r="AZ225" s="21">
        <v>373.77100000000002</v>
      </c>
      <c r="BA225" s="21">
        <v>-1.7605599999999999E-2</v>
      </c>
      <c r="BB225" s="21">
        <v>215</v>
      </c>
      <c r="BC225" s="21">
        <v>0.98175000000000001</v>
      </c>
      <c r="BD225">
        <f t="shared" si="46"/>
        <v>17.605599999999999</v>
      </c>
      <c r="BE225">
        <f t="shared" si="47"/>
        <v>17.300424529600001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0.66238399999999997</v>
      </c>
      <c r="H226" s="21">
        <v>39.756100000000004</v>
      </c>
      <c r="I226" s="21">
        <v>-1.7810099999999999E-2</v>
      </c>
      <c r="J226" s="21">
        <v>216</v>
      </c>
      <c r="K226" s="21">
        <v>0.66204799999999997</v>
      </c>
      <c r="L226">
        <f t="shared" si="36"/>
        <v>17.810099999999998</v>
      </c>
      <c r="M226">
        <f t="shared" si="37"/>
        <v>11.797125278399999</v>
      </c>
      <c r="N226" s="9"/>
      <c r="O226" s="21">
        <v>0.98770100000000005</v>
      </c>
      <c r="P226" s="21">
        <v>111.51600000000001</v>
      </c>
      <c r="Q226" s="21">
        <v>-1.7648299999999999E-2</v>
      </c>
      <c r="R226" s="21">
        <v>216</v>
      </c>
      <c r="S226" s="21">
        <v>0.98785400000000001</v>
      </c>
      <c r="T226">
        <f t="shared" si="38"/>
        <v>17.648299999999999</v>
      </c>
      <c r="U226">
        <f t="shared" si="39"/>
        <v>17.4312435583</v>
      </c>
      <c r="X226" s="9"/>
      <c r="Y226" s="21">
        <v>0.66238399999999997</v>
      </c>
      <c r="Z226" s="21">
        <v>179.191</v>
      </c>
      <c r="AA226" s="21">
        <v>-1.77948E-2</v>
      </c>
      <c r="AB226" s="21">
        <v>216</v>
      </c>
      <c r="AC226" s="21">
        <v>0.661713</v>
      </c>
      <c r="AD226">
        <f t="shared" si="40"/>
        <v>17.794799999999999</v>
      </c>
      <c r="AE226">
        <f t="shared" si="41"/>
        <v>11.786990803199998</v>
      </c>
      <c r="AF226" s="9"/>
      <c r="AG226" s="21">
        <v>0.98770100000000005</v>
      </c>
      <c r="AH226" s="21">
        <v>245.73599999999999</v>
      </c>
      <c r="AI226" s="21">
        <v>-1.7645299999999999E-2</v>
      </c>
      <c r="AJ226" s="21">
        <v>216</v>
      </c>
      <c r="AK226" s="21">
        <v>0.98754900000000001</v>
      </c>
      <c r="AL226">
        <f t="shared" si="42"/>
        <v>17.645299999999999</v>
      </c>
      <c r="AM226">
        <f t="shared" si="43"/>
        <v>17.428280455300001</v>
      </c>
      <c r="AP226" s="9"/>
      <c r="AQ226" s="21">
        <v>0.66238399999999997</v>
      </c>
      <c r="AR226" s="21">
        <v>303.44099999999997</v>
      </c>
      <c r="AS226" s="21">
        <v>-1.77795E-2</v>
      </c>
      <c r="AT226" s="21">
        <v>216</v>
      </c>
      <c r="AU226" s="21">
        <v>0.66162100000000001</v>
      </c>
      <c r="AV226">
        <f t="shared" si="44"/>
        <v>17.779499999999999</v>
      </c>
      <c r="AW226">
        <f t="shared" si="45"/>
        <v>11.776856327999999</v>
      </c>
      <c r="AX226" s="9"/>
      <c r="AY226" s="21">
        <v>0.98770100000000005</v>
      </c>
      <c r="AZ226" s="21">
        <v>373.87099999999998</v>
      </c>
      <c r="BA226" s="21">
        <v>-1.7599500000000001E-2</v>
      </c>
      <c r="BB226" s="21">
        <v>216</v>
      </c>
      <c r="BC226" s="21">
        <v>0.98724400000000001</v>
      </c>
      <c r="BD226">
        <f t="shared" si="46"/>
        <v>17.599499999999999</v>
      </c>
      <c r="BE226">
        <f t="shared" si="47"/>
        <v>17.383043749500001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0.65734899999999996</v>
      </c>
      <c r="H227" s="21">
        <v>39.8568</v>
      </c>
      <c r="I227" s="21">
        <v>-1.7810099999999999E-2</v>
      </c>
      <c r="J227" s="21">
        <v>217</v>
      </c>
      <c r="K227" s="21">
        <v>0.65710400000000002</v>
      </c>
      <c r="L227">
        <f t="shared" si="36"/>
        <v>17.810099999999998</v>
      </c>
      <c r="M227">
        <f t="shared" si="37"/>
        <v>11.707451424899999</v>
      </c>
      <c r="N227" s="9"/>
      <c r="O227" s="21">
        <v>0.99273699999999998</v>
      </c>
      <c r="P227" s="21">
        <v>111.617</v>
      </c>
      <c r="Q227" s="21">
        <v>-1.7648299999999999E-2</v>
      </c>
      <c r="R227" s="21">
        <v>217</v>
      </c>
      <c r="S227" s="21">
        <v>0.99151599999999995</v>
      </c>
      <c r="T227">
        <f t="shared" si="38"/>
        <v>17.648299999999999</v>
      </c>
      <c r="U227">
        <f t="shared" si="39"/>
        <v>17.520120397099998</v>
      </c>
      <c r="X227" s="9"/>
      <c r="Y227" s="21">
        <v>0.65734899999999996</v>
      </c>
      <c r="Z227" s="21">
        <v>179.292</v>
      </c>
      <c r="AA227" s="21">
        <v>-1.77948E-2</v>
      </c>
      <c r="AB227" s="21">
        <v>217</v>
      </c>
      <c r="AC227" s="21">
        <v>0.65725699999999998</v>
      </c>
      <c r="AD227">
        <f t="shared" si="40"/>
        <v>17.794799999999999</v>
      </c>
      <c r="AE227">
        <f t="shared" si="41"/>
        <v>11.697393985199998</v>
      </c>
      <c r="AF227" s="9"/>
      <c r="AG227" s="21">
        <v>0.99273699999999998</v>
      </c>
      <c r="AH227" s="21">
        <v>245.83699999999999</v>
      </c>
      <c r="AI227" s="21">
        <v>-1.7636099999999998E-2</v>
      </c>
      <c r="AJ227" s="21">
        <v>217</v>
      </c>
      <c r="AK227" s="21">
        <v>0.99212599999999995</v>
      </c>
      <c r="AL227">
        <f t="shared" si="42"/>
        <v>17.636099999999999</v>
      </c>
      <c r="AM227">
        <f t="shared" si="43"/>
        <v>17.5080090057</v>
      </c>
      <c r="AP227" s="9"/>
      <c r="AQ227" s="21">
        <v>0.65734899999999996</v>
      </c>
      <c r="AR227" s="21">
        <v>303.54199999999997</v>
      </c>
      <c r="AS227" s="21">
        <v>-1.77795E-2</v>
      </c>
      <c r="AT227" s="21">
        <v>217</v>
      </c>
      <c r="AU227" s="21">
        <v>0.65777600000000003</v>
      </c>
      <c r="AV227">
        <f t="shared" si="44"/>
        <v>17.779499999999999</v>
      </c>
      <c r="AW227">
        <f t="shared" si="45"/>
        <v>11.687336545499999</v>
      </c>
      <c r="AX227" s="9"/>
      <c r="AY227" s="21">
        <v>0.99273699999999998</v>
      </c>
      <c r="AZ227" s="21">
        <v>373.97199999999998</v>
      </c>
      <c r="BA227" s="21">
        <v>-1.7599500000000001E-2</v>
      </c>
      <c r="BB227" s="21">
        <v>217</v>
      </c>
      <c r="BC227" s="21">
        <v>0.99151599999999995</v>
      </c>
      <c r="BD227">
        <f t="shared" si="46"/>
        <v>17.599499999999999</v>
      </c>
      <c r="BE227">
        <f t="shared" si="47"/>
        <v>17.4716748315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0.65231300000000003</v>
      </c>
      <c r="H228" s="21">
        <v>39.957500000000003</v>
      </c>
      <c r="I228" s="21">
        <v>-1.7813099999999998E-2</v>
      </c>
      <c r="J228" s="21">
        <v>218</v>
      </c>
      <c r="K228" s="21">
        <v>0.65154999999999996</v>
      </c>
      <c r="L228">
        <f t="shared" si="36"/>
        <v>17.813099999999999</v>
      </c>
      <c r="M228">
        <f t="shared" si="37"/>
        <v>11.6197167003</v>
      </c>
      <c r="N228" s="9"/>
      <c r="O228" s="21">
        <v>0.99777199999999999</v>
      </c>
      <c r="P228" s="21">
        <v>111.718</v>
      </c>
      <c r="Q228" s="21">
        <v>-1.7648299999999999E-2</v>
      </c>
      <c r="R228" s="21">
        <v>218</v>
      </c>
      <c r="S228" s="21">
        <v>0.99700900000000003</v>
      </c>
      <c r="T228">
        <f t="shared" si="38"/>
        <v>17.648299999999999</v>
      </c>
      <c r="U228">
        <f t="shared" si="39"/>
        <v>17.6089795876</v>
      </c>
      <c r="X228" s="9"/>
      <c r="Y228" s="21">
        <v>0.65231300000000003</v>
      </c>
      <c r="Z228" s="21">
        <v>179.393</v>
      </c>
      <c r="AA228" s="21">
        <v>-1.7804E-2</v>
      </c>
      <c r="AB228" s="21">
        <v>218</v>
      </c>
      <c r="AC228" s="21">
        <v>0.65182499999999999</v>
      </c>
      <c r="AD228">
        <f t="shared" si="40"/>
        <v>17.804000000000002</v>
      </c>
      <c r="AE228">
        <f t="shared" si="41"/>
        <v>11.613780652000003</v>
      </c>
      <c r="AF228" s="9"/>
      <c r="AG228" s="21">
        <v>0.99777199999999999</v>
      </c>
      <c r="AH228" s="21">
        <v>245.93799999999999</v>
      </c>
      <c r="AI228" s="21">
        <v>-1.7636099999999998E-2</v>
      </c>
      <c r="AJ228" s="21">
        <v>218</v>
      </c>
      <c r="AK228" s="21">
        <v>0.99700900000000003</v>
      </c>
      <c r="AL228">
        <f t="shared" si="42"/>
        <v>17.636099999999999</v>
      </c>
      <c r="AM228">
        <f t="shared" si="43"/>
        <v>17.596806769200001</v>
      </c>
      <c r="AP228" s="9"/>
      <c r="AQ228" s="21">
        <v>0.65231300000000003</v>
      </c>
      <c r="AR228" s="21">
        <v>303.64299999999997</v>
      </c>
      <c r="AS228" s="21">
        <v>-1.7785599999999999E-2</v>
      </c>
      <c r="AT228" s="21">
        <v>218</v>
      </c>
      <c r="AU228" s="21">
        <v>0.65145900000000001</v>
      </c>
      <c r="AV228">
        <f t="shared" si="44"/>
        <v>17.785599999999999</v>
      </c>
      <c r="AW228">
        <f t="shared" si="45"/>
        <v>11.6017780928</v>
      </c>
      <c r="AX228" s="9"/>
      <c r="AY228" s="21">
        <v>0.99777199999999999</v>
      </c>
      <c r="AZ228" s="21">
        <v>374.07299999999998</v>
      </c>
      <c r="BA228" s="21">
        <v>-1.7596400000000002E-2</v>
      </c>
      <c r="BB228" s="21">
        <v>218</v>
      </c>
      <c r="BC228" s="21">
        <v>0.99670400000000003</v>
      </c>
      <c r="BD228">
        <f t="shared" si="46"/>
        <v>17.596400000000003</v>
      </c>
      <c r="BE228">
        <f t="shared" si="47"/>
        <v>17.557195220800004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0.64727800000000002</v>
      </c>
      <c r="H229" s="21">
        <v>40.058199999999999</v>
      </c>
      <c r="I229" s="21">
        <v>-1.78192E-2</v>
      </c>
      <c r="J229" s="21">
        <v>219</v>
      </c>
      <c r="K229" s="21">
        <v>0.64681999999999995</v>
      </c>
      <c r="L229">
        <f t="shared" si="36"/>
        <v>17.819199999999999</v>
      </c>
      <c r="M229">
        <f t="shared" si="37"/>
        <v>11.5339761376</v>
      </c>
      <c r="N229" s="9"/>
      <c r="O229" s="21">
        <v>1.00281</v>
      </c>
      <c r="P229" s="21">
        <v>111.818</v>
      </c>
      <c r="Q229" s="21">
        <v>-1.7636099999999998E-2</v>
      </c>
      <c r="R229" s="21">
        <v>219</v>
      </c>
      <c r="S229" s="21">
        <v>1.0022</v>
      </c>
      <c r="T229">
        <f t="shared" si="38"/>
        <v>17.636099999999999</v>
      </c>
      <c r="U229">
        <f t="shared" si="39"/>
        <v>17.685657441</v>
      </c>
      <c r="X229" s="9"/>
      <c r="Y229" s="21">
        <v>0.64727800000000002</v>
      </c>
      <c r="Z229" s="21">
        <v>179.49299999999999</v>
      </c>
      <c r="AA229" s="21">
        <v>-1.7807E-2</v>
      </c>
      <c r="AB229" s="21">
        <v>219</v>
      </c>
      <c r="AC229" s="21">
        <v>0.64666699999999999</v>
      </c>
      <c r="AD229">
        <f t="shared" si="40"/>
        <v>17.806999999999999</v>
      </c>
      <c r="AE229">
        <f t="shared" si="41"/>
        <v>11.526079346</v>
      </c>
      <c r="AF229" s="9"/>
      <c r="AG229" s="21">
        <v>1.00281</v>
      </c>
      <c r="AH229" s="21">
        <v>246.03899999999999</v>
      </c>
      <c r="AI229" s="21">
        <v>-1.7636099999999998E-2</v>
      </c>
      <c r="AJ229" s="21">
        <v>219</v>
      </c>
      <c r="AK229" s="21">
        <v>1.00159</v>
      </c>
      <c r="AL229">
        <f t="shared" si="42"/>
        <v>17.636099999999999</v>
      </c>
      <c r="AM229">
        <f t="shared" si="43"/>
        <v>17.685657441</v>
      </c>
      <c r="AP229" s="9"/>
      <c r="AQ229" s="21">
        <v>0.64727800000000002</v>
      </c>
      <c r="AR229" s="21">
        <v>303.74299999999999</v>
      </c>
      <c r="AS229" s="21">
        <v>-1.7788700000000001E-2</v>
      </c>
      <c r="AT229" s="21">
        <v>219</v>
      </c>
      <c r="AU229" s="21">
        <v>0.646698</v>
      </c>
      <c r="AV229">
        <f t="shared" si="44"/>
        <v>17.788700000000002</v>
      </c>
      <c r="AW229">
        <f t="shared" si="45"/>
        <v>11.514234158600003</v>
      </c>
      <c r="AX229" s="9"/>
      <c r="AY229" s="21">
        <v>1.00281</v>
      </c>
      <c r="AZ229" s="21">
        <v>374.17399999999998</v>
      </c>
      <c r="BA229" s="21">
        <v>-1.75903E-2</v>
      </c>
      <c r="BB229" s="21">
        <v>219</v>
      </c>
      <c r="BC229" s="21">
        <v>1.0022</v>
      </c>
      <c r="BD229">
        <f t="shared" si="46"/>
        <v>17.590299999999999</v>
      </c>
      <c r="BE229">
        <f t="shared" si="47"/>
        <v>17.639728742999999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0.64224199999999998</v>
      </c>
      <c r="H230" s="21">
        <v>40.158999999999999</v>
      </c>
      <c r="I230" s="21">
        <v>-1.7828400000000001E-2</v>
      </c>
      <c r="J230" s="21">
        <v>220</v>
      </c>
      <c r="K230" s="21">
        <v>0.641571</v>
      </c>
      <c r="L230">
        <f t="shared" si="36"/>
        <v>17.828400000000002</v>
      </c>
      <c r="M230">
        <f t="shared" si="37"/>
        <v>11.450147272800001</v>
      </c>
      <c r="N230" s="9"/>
      <c r="O230" s="21">
        <v>1.0078400000000001</v>
      </c>
      <c r="P230" s="21">
        <v>111.919</v>
      </c>
      <c r="Q230" s="21">
        <v>-1.7639200000000001E-2</v>
      </c>
      <c r="R230" s="21">
        <v>220</v>
      </c>
      <c r="S230" s="21">
        <v>1.0067699999999999</v>
      </c>
      <c r="T230">
        <f t="shared" si="38"/>
        <v>17.639200000000002</v>
      </c>
      <c r="U230">
        <f t="shared" si="39"/>
        <v>17.777491328000004</v>
      </c>
      <c r="X230" s="9"/>
      <c r="Y230" s="21">
        <v>0.64224199999999998</v>
      </c>
      <c r="Z230" s="21">
        <v>179.59399999999999</v>
      </c>
      <c r="AA230" s="21">
        <v>-1.7804E-2</v>
      </c>
      <c r="AB230" s="21">
        <v>220</v>
      </c>
      <c r="AC230" s="21">
        <v>0.64135699999999995</v>
      </c>
      <c r="AD230">
        <f t="shared" si="40"/>
        <v>17.804000000000002</v>
      </c>
      <c r="AE230">
        <f t="shared" si="41"/>
        <v>11.434476568000001</v>
      </c>
      <c r="AF230" s="9"/>
      <c r="AG230" s="21">
        <v>1.0078400000000001</v>
      </c>
      <c r="AH230" s="21">
        <v>246.13900000000001</v>
      </c>
      <c r="AI230" s="21">
        <v>-1.7627E-2</v>
      </c>
      <c r="AJ230" s="21">
        <v>220</v>
      </c>
      <c r="AK230" s="21">
        <v>1.00708</v>
      </c>
      <c r="AL230">
        <f t="shared" si="42"/>
        <v>17.626999999999999</v>
      </c>
      <c r="AM230">
        <f t="shared" si="43"/>
        <v>17.765195680000001</v>
      </c>
      <c r="AP230" s="9"/>
      <c r="AQ230" s="21">
        <v>0.64224199999999998</v>
      </c>
      <c r="AR230" s="21">
        <v>303.84399999999999</v>
      </c>
      <c r="AS230" s="21">
        <v>-1.7791700000000001E-2</v>
      </c>
      <c r="AT230" s="21">
        <v>220</v>
      </c>
      <c r="AU230" s="21">
        <v>0.64163199999999998</v>
      </c>
      <c r="AV230">
        <f t="shared" si="44"/>
        <v>17.791700000000002</v>
      </c>
      <c r="AW230">
        <f t="shared" si="45"/>
        <v>11.426576991400001</v>
      </c>
      <c r="AX230" s="9"/>
      <c r="AY230" s="21">
        <v>1.0078400000000001</v>
      </c>
      <c r="AZ230" s="21">
        <v>374.274</v>
      </c>
      <c r="BA230" s="21">
        <v>-1.7584200000000001E-2</v>
      </c>
      <c r="BB230" s="21">
        <v>220</v>
      </c>
      <c r="BC230" s="21">
        <v>1.00647</v>
      </c>
      <c r="BD230">
        <f t="shared" si="46"/>
        <v>17.584200000000003</v>
      </c>
      <c r="BE230">
        <f t="shared" si="47"/>
        <v>17.722060128000003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0.63720699999999997</v>
      </c>
      <c r="H231" s="21">
        <v>40.259700000000002</v>
      </c>
      <c r="I231" s="21">
        <v>-1.7822299999999999E-2</v>
      </c>
      <c r="J231" s="21">
        <v>221</v>
      </c>
      <c r="K231" s="21">
        <v>0.63723799999999997</v>
      </c>
      <c r="L231">
        <f t="shared" si="36"/>
        <v>17.822299999999998</v>
      </c>
      <c r="M231">
        <f t="shared" si="37"/>
        <v>11.356494316099999</v>
      </c>
      <c r="N231" s="9"/>
      <c r="O231" s="21">
        <v>1.01288</v>
      </c>
      <c r="P231" s="21">
        <v>112.02</v>
      </c>
      <c r="Q231" s="21">
        <v>-1.7636099999999998E-2</v>
      </c>
      <c r="R231" s="21">
        <v>221</v>
      </c>
      <c r="S231" s="21">
        <v>1.01227</v>
      </c>
      <c r="T231">
        <f t="shared" si="38"/>
        <v>17.636099999999999</v>
      </c>
      <c r="U231">
        <f t="shared" si="39"/>
        <v>17.863252967999998</v>
      </c>
      <c r="X231" s="9"/>
      <c r="Y231" s="21">
        <v>0.63720699999999997</v>
      </c>
      <c r="Z231" s="21">
        <v>179.69499999999999</v>
      </c>
      <c r="AA231" s="21">
        <v>-1.7800900000000001E-2</v>
      </c>
      <c r="AB231" s="21">
        <v>221</v>
      </c>
      <c r="AC231" s="21">
        <v>0.63680999999999999</v>
      </c>
      <c r="AD231">
        <f t="shared" si="40"/>
        <v>17.800900000000002</v>
      </c>
      <c r="AE231">
        <f t="shared" si="41"/>
        <v>11.342858086300001</v>
      </c>
      <c r="AF231" s="9"/>
      <c r="AG231" s="21">
        <v>1.01288</v>
      </c>
      <c r="AH231" s="21">
        <v>246.24</v>
      </c>
      <c r="AI231" s="21">
        <v>-1.7620799999999999E-2</v>
      </c>
      <c r="AJ231" s="21">
        <v>221</v>
      </c>
      <c r="AK231" s="21">
        <v>1.01166</v>
      </c>
      <c r="AL231">
        <f t="shared" si="42"/>
        <v>17.620799999999999</v>
      </c>
      <c r="AM231">
        <f t="shared" si="43"/>
        <v>17.847755904</v>
      </c>
      <c r="AP231" s="9"/>
      <c r="AQ231" s="21">
        <v>0.63720699999999997</v>
      </c>
      <c r="AR231" s="21">
        <v>303.94499999999999</v>
      </c>
      <c r="AS231" s="21">
        <v>-1.77948E-2</v>
      </c>
      <c r="AT231" s="21">
        <v>221</v>
      </c>
      <c r="AU231" s="21">
        <v>0.63668800000000003</v>
      </c>
      <c r="AV231">
        <f t="shared" si="44"/>
        <v>17.794799999999999</v>
      </c>
      <c r="AW231">
        <f t="shared" si="45"/>
        <v>11.338971123599999</v>
      </c>
      <c r="AX231" s="9"/>
      <c r="AY231" s="21">
        <v>1.01288</v>
      </c>
      <c r="AZ231" s="21">
        <v>374.375</v>
      </c>
      <c r="BA231" s="21">
        <v>-1.75873E-2</v>
      </c>
      <c r="BB231" s="21">
        <v>221</v>
      </c>
      <c r="BC231" s="21">
        <v>1.01196</v>
      </c>
      <c r="BD231">
        <f t="shared" si="46"/>
        <v>17.587299999999999</v>
      </c>
      <c r="BE231">
        <f t="shared" si="47"/>
        <v>17.813824424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0.63217199999999996</v>
      </c>
      <c r="H232" s="21">
        <v>40.360399999999998</v>
      </c>
      <c r="I232" s="21">
        <v>-1.7837499999999999E-2</v>
      </c>
      <c r="J232" s="21">
        <v>222</v>
      </c>
      <c r="K232" s="21">
        <v>0.63165300000000002</v>
      </c>
      <c r="L232">
        <f t="shared" si="36"/>
        <v>17.837499999999999</v>
      </c>
      <c r="M232">
        <f t="shared" si="37"/>
        <v>11.276368049999999</v>
      </c>
      <c r="N232" s="9"/>
      <c r="O232" s="21">
        <v>1.0179100000000001</v>
      </c>
      <c r="P232" s="21">
        <v>112.121</v>
      </c>
      <c r="Q232" s="21">
        <v>-1.7633099999999999E-2</v>
      </c>
      <c r="R232" s="21">
        <v>222</v>
      </c>
      <c r="S232" s="21">
        <v>1.01746</v>
      </c>
      <c r="T232">
        <f t="shared" si="38"/>
        <v>17.633099999999999</v>
      </c>
      <c r="U232">
        <f t="shared" si="39"/>
        <v>17.948908821</v>
      </c>
      <c r="X232" s="9"/>
      <c r="Y232" s="21">
        <v>0.63217199999999996</v>
      </c>
      <c r="Z232" s="21">
        <v>179.79599999999999</v>
      </c>
      <c r="AA232" s="21">
        <v>-1.7807E-2</v>
      </c>
      <c r="AB232" s="21">
        <v>222</v>
      </c>
      <c r="AC232" s="21">
        <v>0.63153099999999995</v>
      </c>
      <c r="AD232">
        <f t="shared" si="40"/>
        <v>17.806999999999999</v>
      </c>
      <c r="AE232">
        <f t="shared" si="41"/>
        <v>11.257086803999998</v>
      </c>
      <c r="AF232" s="9"/>
      <c r="AG232" s="21">
        <v>1.0179100000000001</v>
      </c>
      <c r="AH232" s="21">
        <v>246.34100000000001</v>
      </c>
      <c r="AI232" s="21">
        <v>-1.7617799999999999E-2</v>
      </c>
      <c r="AJ232" s="21">
        <v>222</v>
      </c>
      <c r="AK232" s="21">
        <v>1.01715</v>
      </c>
      <c r="AL232">
        <f t="shared" si="42"/>
        <v>17.617799999999999</v>
      </c>
      <c r="AM232">
        <f t="shared" si="43"/>
        <v>17.933334798000001</v>
      </c>
      <c r="AP232" s="9"/>
      <c r="AQ232" s="21">
        <v>0.63217199999999996</v>
      </c>
      <c r="AR232" s="21">
        <v>304.04599999999999</v>
      </c>
      <c r="AS232" s="21">
        <v>-1.7797899999999998E-2</v>
      </c>
      <c r="AT232" s="21">
        <v>222</v>
      </c>
      <c r="AU232" s="21">
        <v>0.63153099999999995</v>
      </c>
      <c r="AV232">
        <f t="shared" si="44"/>
        <v>17.797899999999998</v>
      </c>
      <c r="AW232">
        <f t="shared" si="45"/>
        <v>11.251334038799998</v>
      </c>
      <c r="AX232" s="9"/>
      <c r="AY232" s="21">
        <v>1.0179100000000001</v>
      </c>
      <c r="AZ232" s="21">
        <v>374.476</v>
      </c>
      <c r="BA232" s="21">
        <v>-1.7584200000000001E-2</v>
      </c>
      <c r="BB232" s="21">
        <v>222</v>
      </c>
      <c r="BC232" s="21">
        <v>1.01685</v>
      </c>
      <c r="BD232">
        <f t="shared" si="46"/>
        <v>17.584200000000003</v>
      </c>
      <c r="BE232">
        <f t="shared" si="47"/>
        <v>17.899133022000004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0.62713600000000003</v>
      </c>
      <c r="H233" s="21">
        <v>40.461100000000002</v>
      </c>
      <c r="I233" s="21">
        <v>-1.7837499999999999E-2</v>
      </c>
      <c r="J233" s="21">
        <v>223</v>
      </c>
      <c r="K233" s="21">
        <v>0.62661699999999998</v>
      </c>
      <c r="L233">
        <f t="shared" si="36"/>
        <v>17.837499999999999</v>
      </c>
      <c r="M233">
        <f t="shared" si="37"/>
        <v>11.1865384</v>
      </c>
      <c r="N233" s="9"/>
      <c r="O233" s="21">
        <v>1.02295</v>
      </c>
      <c r="P233" s="21">
        <v>112.221</v>
      </c>
      <c r="Q233" s="21">
        <v>-1.7633099999999999E-2</v>
      </c>
      <c r="R233" s="21">
        <v>223</v>
      </c>
      <c r="S233" s="21">
        <v>1.02142</v>
      </c>
      <c r="T233">
        <f t="shared" si="38"/>
        <v>17.633099999999999</v>
      </c>
      <c r="U233">
        <f t="shared" si="39"/>
        <v>18.037779645000001</v>
      </c>
      <c r="X233" s="9"/>
      <c r="Y233" s="21">
        <v>0.62713600000000003</v>
      </c>
      <c r="Z233" s="21">
        <v>179.89599999999999</v>
      </c>
      <c r="AA233" s="21">
        <v>-1.7813099999999998E-2</v>
      </c>
      <c r="AB233" s="21">
        <v>223</v>
      </c>
      <c r="AC233" s="21">
        <v>0.62664799999999998</v>
      </c>
      <c r="AD233">
        <f t="shared" si="40"/>
        <v>17.813099999999999</v>
      </c>
      <c r="AE233">
        <f t="shared" si="41"/>
        <v>11.171236281599999</v>
      </c>
      <c r="AF233" s="9"/>
      <c r="AG233" s="21">
        <v>1.02295</v>
      </c>
      <c r="AH233" s="21">
        <v>246.441</v>
      </c>
      <c r="AI233" s="21">
        <v>-1.7623900000000001E-2</v>
      </c>
      <c r="AJ233" s="21">
        <v>223</v>
      </c>
      <c r="AK233" s="21">
        <v>1.02142</v>
      </c>
      <c r="AL233">
        <f t="shared" si="42"/>
        <v>17.623900000000003</v>
      </c>
      <c r="AM233">
        <f t="shared" si="43"/>
        <v>18.028368505000003</v>
      </c>
      <c r="AP233" s="9"/>
      <c r="AQ233" s="21">
        <v>0.62713600000000003</v>
      </c>
      <c r="AR233" s="21">
        <v>304.14600000000002</v>
      </c>
      <c r="AS233" s="21">
        <v>-1.7800900000000001E-2</v>
      </c>
      <c r="AT233" s="21">
        <v>223</v>
      </c>
      <c r="AU233" s="21">
        <v>0.62704499999999996</v>
      </c>
      <c r="AV233">
        <f t="shared" si="44"/>
        <v>17.800900000000002</v>
      </c>
      <c r="AW233">
        <f t="shared" si="45"/>
        <v>11.163585222400002</v>
      </c>
      <c r="AX233" s="9"/>
      <c r="AY233" s="21">
        <v>1.02295</v>
      </c>
      <c r="AZ233" s="21">
        <v>374.57600000000002</v>
      </c>
      <c r="BA233" s="21">
        <v>-1.75873E-2</v>
      </c>
      <c r="BB233" s="21">
        <v>223</v>
      </c>
      <c r="BC233" s="21">
        <v>1.02112</v>
      </c>
      <c r="BD233">
        <f t="shared" si="46"/>
        <v>17.587299999999999</v>
      </c>
      <c r="BE233">
        <f t="shared" si="47"/>
        <v>17.990928534999998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0.62210100000000002</v>
      </c>
      <c r="H234" s="21">
        <v>40.561799999999998</v>
      </c>
      <c r="I234" s="21">
        <v>-1.78345E-2</v>
      </c>
      <c r="J234" s="21">
        <v>224</v>
      </c>
      <c r="K234" s="21">
        <v>0.62155199999999999</v>
      </c>
      <c r="L234">
        <f t="shared" si="36"/>
        <v>17.834499999999998</v>
      </c>
      <c r="M234">
        <f t="shared" si="37"/>
        <v>11.094860284499999</v>
      </c>
      <c r="N234" s="9"/>
      <c r="O234" s="21">
        <v>1.0279799999999999</v>
      </c>
      <c r="P234" s="21">
        <v>112.322</v>
      </c>
      <c r="Q234" s="21">
        <v>-1.763E-2</v>
      </c>
      <c r="R234" s="21">
        <v>224</v>
      </c>
      <c r="S234" s="21">
        <v>1.0269200000000001</v>
      </c>
      <c r="T234">
        <f t="shared" si="38"/>
        <v>17.63</v>
      </c>
      <c r="U234">
        <f t="shared" si="39"/>
        <v>18.123287399999999</v>
      </c>
      <c r="X234" s="9"/>
      <c r="Y234" s="21">
        <v>0.62210100000000002</v>
      </c>
      <c r="Z234" s="21">
        <v>179.99700000000001</v>
      </c>
      <c r="AA234" s="21">
        <v>-1.7810099999999999E-2</v>
      </c>
      <c r="AB234" s="21">
        <v>224</v>
      </c>
      <c r="AC234" s="21">
        <v>0.62100200000000005</v>
      </c>
      <c r="AD234">
        <f t="shared" si="40"/>
        <v>17.810099999999998</v>
      </c>
      <c r="AE234">
        <f t="shared" si="41"/>
        <v>11.079681020099999</v>
      </c>
      <c r="AF234" s="9"/>
      <c r="AG234" s="21">
        <v>1.0279799999999999</v>
      </c>
      <c r="AH234" s="21">
        <v>246.542</v>
      </c>
      <c r="AI234" s="21">
        <v>-1.76147E-2</v>
      </c>
      <c r="AJ234" s="21">
        <v>224</v>
      </c>
      <c r="AK234" s="21">
        <v>1.02722</v>
      </c>
      <c r="AL234">
        <f t="shared" si="42"/>
        <v>17.614699999999999</v>
      </c>
      <c r="AM234">
        <f t="shared" si="43"/>
        <v>18.107559305999999</v>
      </c>
      <c r="AP234" s="9"/>
      <c r="AQ234" s="21">
        <v>0.62210100000000002</v>
      </c>
      <c r="AR234" s="21">
        <v>304.24700000000001</v>
      </c>
      <c r="AS234" s="21">
        <v>-1.7804E-2</v>
      </c>
      <c r="AT234" s="21">
        <v>224</v>
      </c>
      <c r="AU234" s="21">
        <v>0.62155199999999999</v>
      </c>
      <c r="AV234">
        <f t="shared" si="44"/>
        <v>17.804000000000002</v>
      </c>
      <c r="AW234">
        <f t="shared" si="45"/>
        <v>11.075886204000001</v>
      </c>
      <c r="AX234" s="9"/>
      <c r="AY234" s="21">
        <v>1.0279799999999999</v>
      </c>
      <c r="AZ234" s="21">
        <v>374.67700000000002</v>
      </c>
      <c r="BA234" s="21">
        <v>-1.7581200000000002E-2</v>
      </c>
      <c r="BB234" s="21">
        <v>224</v>
      </c>
      <c r="BC234" s="21">
        <v>1.0269200000000001</v>
      </c>
      <c r="BD234">
        <f t="shared" si="46"/>
        <v>17.581200000000003</v>
      </c>
      <c r="BE234">
        <f t="shared" si="47"/>
        <v>18.073121975999999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0.61706499999999997</v>
      </c>
      <c r="H235" s="21">
        <v>40.662500000000001</v>
      </c>
      <c r="I235" s="21">
        <v>-1.7837499999999999E-2</v>
      </c>
      <c r="J235" s="21">
        <v>225</v>
      </c>
      <c r="K235" s="21">
        <v>0.61596700000000004</v>
      </c>
      <c r="L235">
        <f t="shared" si="36"/>
        <v>17.837499999999999</v>
      </c>
      <c r="M235">
        <f t="shared" si="37"/>
        <v>11.006896937499999</v>
      </c>
      <c r="N235" s="9"/>
      <c r="O235" s="21">
        <v>1.03302</v>
      </c>
      <c r="P235" s="21">
        <v>112.423</v>
      </c>
      <c r="Q235" s="21">
        <v>-1.7633099999999999E-2</v>
      </c>
      <c r="R235" s="21">
        <v>225</v>
      </c>
      <c r="S235" s="21">
        <v>1.0318000000000001</v>
      </c>
      <c r="T235">
        <f t="shared" si="38"/>
        <v>17.633099999999999</v>
      </c>
      <c r="U235">
        <f t="shared" si="39"/>
        <v>18.215344962</v>
      </c>
      <c r="X235" s="9"/>
      <c r="Y235" s="21">
        <v>0.61706499999999997</v>
      </c>
      <c r="Z235" s="21">
        <v>180.09800000000001</v>
      </c>
      <c r="AA235" s="21">
        <v>-1.7810099999999999E-2</v>
      </c>
      <c r="AB235" s="21">
        <v>225</v>
      </c>
      <c r="AC235" s="21">
        <v>0.61651599999999995</v>
      </c>
      <c r="AD235">
        <f t="shared" si="40"/>
        <v>17.810099999999998</v>
      </c>
      <c r="AE235">
        <f t="shared" si="41"/>
        <v>10.989989356499999</v>
      </c>
      <c r="AF235" s="9"/>
      <c r="AG235" s="21">
        <v>1.03302</v>
      </c>
      <c r="AH235" s="21">
        <v>246.643</v>
      </c>
      <c r="AI235" s="21">
        <v>-1.7617799999999999E-2</v>
      </c>
      <c r="AJ235" s="21">
        <v>225</v>
      </c>
      <c r="AK235" s="21">
        <v>1.0321</v>
      </c>
      <c r="AL235">
        <f t="shared" si="42"/>
        <v>17.617799999999999</v>
      </c>
      <c r="AM235">
        <f t="shared" si="43"/>
        <v>18.199539756</v>
      </c>
      <c r="AP235" s="9"/>
      <c r="AQ235" s="21">
        <v>0.61706499999999997</v>
      </c>
      <c r="AR235" s="21">
        <v>304.34800000000001</v>
      </c>
      <c r="AS235" s="21">
        <v>-1.7804E-2</v>
      </c>
      <c r="AT235" s="21">
        <v>225</v>
      </c>
      <c r="AU235" s="21">
        <v>0.61633300000000002</v>
      </c>
      <c r="AV235">
        <f t="shared" si="44"/>
        <v>17.804000000000002</v>
      </c>
      <c r="AW235">
        <f t="shared" si="45"/>
        <v>10.986225260000001</v>
      </c>
      <c r="AX235" s="9"/>
      <c r="AY235" s="21">
        <v>1.03302</v>
      </c>
      <c r="AZ235" s="21">
        <v>374.77800000000002</v>
      </c>
      <c r="BA235" s="21">
        <v>-1.7578099999999999E-2</v>
      </c>
      <c r="BB235" s="21">
        <v>225</v>
      </c>
      <c r="BC235" s="21">
        <v>1.0321</v>
      </c>
      <c r="BD235">
        <f t="shared" si="46"/>
        <v>17.578099999999999</v>
      </c>
      <c r="BE235">
        <f t="shared" si="47"/>
        <v>18.158528862000001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0.61202999999999996</v>
      </c>
      <c r="H236" s="21">
        <v>40.763199999999998</v>
      </c>
      <c r="I236" s="21">
        <v>-1.7837499999999999E-2</v>
      </c>
      <c r="J236" s="21">
        <v>226</v>
      </c>
      <c r="K236" s="21">
        <v>0.61184700000000003</v>
      </c>
      <c r="L236">
        <f t="shared" si="36"/>
        <v>17.837499999999999</v>
      </c>
      <c r="M236">
        <f t="shared" si="37"/>
        <v>10.917085124999998</v>
      </c>
      <c r="N236" s="9"/>
      <c r="O236" s="21">
        <v>1.03806</v>
      </c>
      <c r="P236" s="21">
        <v>112.523</v>
      </c>
      <c r="Q236" s="21">
        <v>-1.7617799999999999E-2</v>
      </c>
      <c r="R236" s="21">
        <v>226</v>
      </c>
      <c r="S236" s="21">
        <v>1.03729</v>
      </c>
      <c r="T236">
        <f t="shared" si="38"/>
        <v>17.617799999999999</v>
      </c>
      <c r="U236">
        <f t="shared" si="39"/>
        <v>18.288333467999998</v>
      </c>
      <c r="X236" s="9"/>
      <c r="Y236" s="21">
        <v>0.61202999999999996</v>
      </c>
      <c r="Z236" s="21">
        <v>180.19800000000001</v>
      </c>
      <c r="AA236" s="21">
        <v>-1.78192E-2</v>
      </c>
      <c r="AB236" s="21">
        <v>226</v>
      </c>
      <c r="AC236" s="21">
        <v>0.61178600000000005</v>
      </c>
      <c r="AD236">
        <f t="shared" si="40"/>
        <v>17.819199999999999</v>
      </c>
      <c r="AE236">
        <f t="shared" si="41"/>
        <v>10.905884975999998</v>
      </c>
      <c r="AF236" s="9"/>
      <c r="AG236" s="21">
        <v>1.03806</v>
      </c>
      <c r="AH236" s="21">
        <v>246.744</v>
      </c>
      <c r="AI236" s="21">
        <v>-1.7617799999999999E-2</v>
      </c>
      <c r="AJ236" s="21">
        <v>226</v>
      </c>
      <c r="AK236" s="21">
        <v>1.0369900000000001</v>
      </c>
      <c r="AL236">
        <f t="shared" si="42"/>
        <v>17.617799999999999</v>
      </c>
      <c r="AM236">
        <f t="shared" si="43"/>
        <v>18.288333467999998</v>
      </c>
      <c r="AP236" s="9"/>
      <c r="AQ236" s="21">
        <v>0.61202999999999996</v>
      </c>
      <c r="AR236" s="21">
        <v>304.44799999999998</v>
      </c>
      <c r="AS236" s="21">
        <v>-1.7807E-2</v>
      </c>
      <c r="AT236" s="21">
        <v>226</v>
      </c>
      <c r="AU236" s="21">
        <v>0.61151100000000003</v>
      </c>
      <c r="AV236">
        <f t="shared" si="44"/>
        <v>17.806999999999999</v>
      </c>
      <c r="AW236">
        <f t="shared" si="45"/>
        <v>10.898418209999999</v>
      </c>
      <c r="AX236" s="9"/>
      <c r="AY236" s="21">
        <v>1.03806</v>
      </c>
      <c r="AZ236" s="21">
        <v>374.87900000000002</v>
      </c>
      <c r="BA236" s="21">
        <v>-1.7581200000000002E-2</v>
      </c>
      <c r="BB236" s="21">
        <v>226</v>
      </c>
      <c r="BC236" s="21">
        <v>1.03729</v>
      </c>
      <c r="BD236">
        <f t="shared" si="46"/>
        <v>17.581200000000003</v>
      </c>
      <c r="BE236">
        <f t="shared" si="47"/>
        <v>18.250340472000001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0.60699499999999995</v>
      </c>
      <c r="H237" s="21">
        <v>40.863900000000001</v>
      </c>
      <c r="I237" s="21">
        <v>-1.7840600000000002E-2</v>
      </c>
      <c r="J237" s="21">
        <v>227</v>
      </c>
      <c r="K237" s="21">
        <v>0.60638400000000003</v>
      </c>
      <c r="L237">
        <f t="shared" si="36"/>
        <v>17.840600000000002</v>
      </c>
      <c r="M237">
        <f t="shared" si="37"/>
        <v>10.829154997</v>
      </c>
      <c r="N237" s="9"/>
      <c r="O237" s="21">
        <v>1.0430900000000001</v>
      </c>
      <c r="P237" s="21">
        <v>112.624</v>
      </c>
      <c r="Q237" s="21">
        <v>-1.7617799999999999E-2</v>
      </c>
      <c r="R237" s="21">
        <v>227</v>
      </c>
      <c r="S237" s="21">
        <v>1.0421800000000001</v>
      </c>
      <c r="T237">
        <f t="shared" si="38"/>
        <v>17.617799999999999</v>
      </c>
      <c r="U237">
        <f t="shared" si="39"/>
        <v>18.376951002000002</v>
      </c>
      <c r="X237" s="9"/>
      <c r="Y237" s="21">
        <v>0.60699499999999995</v>
      </c>
      <c r="Z237" s="21">
        <v>180.29900000000001</v>
      </c>
      <c r="AA237" s="21">
        <v>-1.78192E-2</v>
      </c>
      <c r="AB237" s="21">
        <v>227</v>
      </c>
      <c r="AC237" s="21">
        <v>0.60668900000000003</v>
      </c>
      <c r="AD237">
        <f t="shared" si="40"/>
        <v>17.819199999999999</v>
      </c>
      <c r="AE237">
        <f t="shared" si="41"/>
        <v>10.816165303999998</v>
      </c>
      <c r="AF237" s="9"/>
      <c r="AG237" s="21">
        <v>1.0430900000000001</v>
      </c>
      <c r="AH237" s="21">
        <v>246.84399999999999</v>
      </c>
      <c r="AI237" s="21">
        <v>-1.7611700000000001E-2</v>
      </c>
      <c r="AJ237" s="21">
        <v>227</v>
      </c>
      <c r="AK237" s="21">
        <v>1.0434000000000001</v>
      </c>
      <c r="AL237">
        <f t="shared" si="42"/>
        <v>17.611700000000003</v>
      </c>
      <c r="AM237">
        <f t="shared" si="43"/>
        <v>18.370588153000003</v>
      </c>
      <c r="AP237" s="9"/>
      <c r="AQ237" s="21">
        <v>0.60699499999999995</v>
      </c>
      <c r="AR237" s="21">
        <v>304.54899999999998</v>
      </c>
      <c r="AS237" s="21">
        <v>-1.7807E-2</v>
      </c>
      <c r="AT237" s="21">
        <v>227</v>
      </c>
      <c r="AU237" s="21">
        <v>0.60638400000000003</v>
      </c>
      <c r="AV237">
        <f t="shared" si="44"/>
        <v>17.806999999999999</v>
      </c>
      <c r="AW237">
        <f t="shared" si="45"/>
        <v>10.808759964999998</v>
      </c>
      <c r="AX237" s="9"/>
      <c r="AY237" s="21">
        <v>1.0430900000000001</v>
      </c>
      <c r="AZ237" s="21">
        <v>374.97899999999998</v>
      </c>
      <c r="BA237" s="21">
        <v>-1.7581200000000002E-2</v>
      </c>
      <c r="BB237" s="21">
        <v>227</v>
      </c>
      <c r="BC237" s="21">
        <v>1.0421800000000001</v>
      </c>
      <c r="BD237">
        <f t="shared" si="46"/>
        <v>17.581200000000003</v>
      </c>
      <c r="BE237">
        <f t="shared" si="47"/>
        <v>18.338773908000004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0.60195900000000002</v>
      </c>
      <c r="H238" s="21">
        <v>40.964599999999997</v>
      </c>
      <c r="I238" s="21">
        <v>-1.78467E-2</v>
      </c>
      <c r="J238" s="21">
        <v>228</v>
      </c>
      <c r="K238" s="21">
        <v>0.60165400000000002</v>
      </c>
      <c r="L238">
        <f t="shared" si="36"/>
        <v>17.846699999999998</v>
      </c>
      <c r="M238">
        <f t="shared" si="37"/>
        <v>10.7429816853</v>
      </c>
      <c r="N238" s="9"/>
      <c r="O238" s="21">
        <v>1.04813</v>
      </c>
      <c r="P238" s="21">
        <v>112.72499999999999</v>
      </c>
      <c r="Q238" s="21">
        <v>-1.7620799999999999E-2</v>
      </c>
      <c r="R238" s="21">
        <v>228</v>
      </c>
      <c r="S238" s="21">
        <v>1.0470600000000001</v>
      </c>
      <c r="T238">
        <f t="shared" si="38"/>
        <v>17.620799999999999</v>
      </c>
      <c r="U238">
        <f t="shared" si="39"/>
        <v>18.468889103999999</v>
      </c>
      <c r="X238" s="9"/>
      <c r="Y238" s="21">
        <v>0.60195900000000002</v>
      </c>
      <c r="Z238" s="21">
        <v>180.4</v>
      </c>
      <c r="AA238" s="21">
        <v>-1.78192E-2</v>
      </c>
      <c r="AB238" s="21">
        <v>228</v>
      </c>
      <c r="AC238" s="21">
        <v>0.60113499999999997</v>
      </c>
      <c r="AD238">
        <f t="shared" si="40"/>
        <v>17.819199999999999</v>
      </c>
      <c r="AE238">
        <f t="shared" si="41"/>
        <v>10.726427812799999</v>
      </c>
      <c r="AF238" s="9"/>
      <c r="AG238" s="21">
        <v>1.04813</v>
      </c>
      <c r="AH238" s="21">
        <v>246.94499999999999</v>
      </c>
      <c r="AI238" s="21">
        <v>-1.7608599999999999E-2</v>
      </c>
      <c r="AJ238" s="21">
        <v>228</v>
      </c>
      <c r="AK238" s="21">
        <v>1.0470600000000001</v>
      </c>
      <c r="AL238">
        <f t="shared" si="42"/>
        <v>17.608599999999999</v>
      </c>
      <c r="AM238">
        <f t="shared" si="43"/>
        <v>18.456101917999998</v>
      </c>
      <c r="AP238" s="9"/>
      <c r="AQ238" s="21">
        <v>0.60195900000000002</v>
      </c>
      <c r="AR238" s="21">
        <v>304.64999999999998</v>
      </c>
      <c r="AS238" s="21">
        <v>-1.7810099999999999E-2</v>
      </c>
      <c r="AT238" s="21">
        <v>228</v>
      </c>
      <c r="AU238" s="21">
        <v>0.60104400000000002</v>
      </c>
      <c r="AV238">
        <f t="shared" si="44"/>
        <v>17.810099999999998</v>
      </c>
      <c r="AW238">
        <f t="shared" si="45"/>
        <v>10.720949985899999</v>
      </c>
      <c r="AX238" s="9"/>
      <c r="AY238" s="21">
        <v>1.04813</v>
      </c>
      <c r="AZ238" s="21">
        <v>375.08</v>
      </c>
      <c r="BA238" s="21">
        <v>-1.7569000000000001E-2</v>
      </c>
      <c r="BB238" s="21">
        <v>228</v>
      </c>
      <c r="BC238" s="21">
        <v>1.0470600000000001</v>
      </c>
      <c r="BD238">
        <f t="shared" si="46"/>
        <v>17.569000000000003</v>
      </c>
      <c r="BE238">
        <f t="shared" si="47"/>
        <v>18.414595970000004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0.59692400000000001</v>
      </c>
      <c r="H239" s="21">
        <v>41.065300000000001</v>
      </c>
      <c r="I239" s="21">
        <v>-1.78467E-2</v>
      </c>
      <c r="J239" s="21">
        <v>229</v>
      </c>
      <c r="K239" s="21">
        <v>0.59631299999999998</v>
      </c>
      <c r="L239">
        <f t="shared" si="36"/>
        <v>17.846699999999998</v>
      </c>
      <c r="M239">
        <f t="shared" si="37"/>
        <v>10.653123550799998</v>
      </c>
      <c r="N239" s="9"/>
      <c r="O239" s="21">
        <v>1.0531600000000001</v>
      </c>
      <c r="P239" s="21">
        <v>112.825</v>
      </c>
      <c r="Q239" s="21">
        <v>-1.76147E-2</v>
      </c>
      <c r="R239" s="21">
        <v>229</v>
      </c>
      <c r="S239" s="21">
        <v>1.0525500000000001</v>
      </c>
      <c r="T239">
        <f t="shared" si="38"/>
        <v>17.614699999999999</v>
      </c>
      <c r="U239">
        <f t="shared" si="39"/>
        <v>18.551097452</v>
      </c>
      <c r="X239" s="9"/>
      <c r="Y239" s="21">
        <v>0.59692400000000001</v>
      </c>
      <c r="Z239" s="21">
        <v>180.501</v>
      </c>
      <c r="AA239" s="21">
        <v>-1.7825299999999999E-2</v>
      </c>
      <c r="AB239" s="21">
        <v>229</v>
      </c>
      <c r="AC239" s="21">
        <v>0.59674099999999997</v>
      </c>
      <c r="AD239">
        <f t="shared" si="40"/>
        <v>17.825299999999999</v>
      </c>
      <c r="AE239">
        <f t="shared" si="41"/>
        <v>10.6403493772</v>
      </c>
      <c r="AF239" s="9"/>
      <c r="AG239" s="21">
        <v>1.0531600000000001</v>
      </c>
      <c r="AH239" s="21">
        <v>247.04599999999999</v>
      </c>
      <c r="AI239" s="21">
        <v>-1.7608599999999999E-2</v>
      </c>
      <c r="AJ239" s="21">
        <v>229</v>
      </c>
      <c r="AK239" s="21">
        <v>1.0528599999999999</v>
      </c>
      <c r="AL239">
        <f t="shared" si="42"/>
        <v>17.608599999999999</v>
      </c>
      <c r="AM239">
        <f t="shared" si="43"/>
        <v>18.544673176</v>
      </c>
      <c r="AP239" s="9"/>
      <c r="AQ239" s="21">
        <v>0.59692400000000001</v>
      </c>
      <c r="AR239" s="21">
        <v>304.75099999999998</v>
      </c>
      <c r="AS239" s="21">
        <v>-1.7816200000000001E-2</v>
      </c>
      <c r="AT239" s="21">
        <v>229</v>
      </c>
      <c r="AU239" s="21">
        <v>0.59631299999999998</v>
      </c>
      <c r="AV239">
        <f t="shared" si="44"/>
        <v>17.816200000000002</v>
      </c>
      <c r="AW239">
        <f t="shared" si="45"/>
        <v>10.634917368800002</v>
      </c>
      <c r="AX239" s="9"/>
      <c r="AY239" s="21">
        <v>1.0531600000000001</v>
      </c>
      <c r="AZ239" s="21">
        <v>375.18099999999998</v>
      </c>
      <c r="BA239" s="21">
        <v>-1.7565899999999999E-2</v>
      </c>
      <c r="BB239" s="21">
        <v>229</v>
      </c>
      <c r="BC239" s="21">
        <v>1.0528599999999999</v>
      </c>
      <c r="BD239">
        <f t="shared" si="46"/>
        <v>17.565899999999999</v>
      </c>
      <c r="BE239">
        <f t="shared" si="47"/>
        <v>18.499703243999999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0.59188799999999997</v>
      </c>
      <c r="H240" s="21">
        <v>41.165999999999997</v>
      </c>
      <c r="I240" s="21">
        <v>-1.78467E-2</v>
      </c>
      <c r="J240" s="21">
        <v>230</v>
      </c>
      <c r="K240" s="21">
        <v>0.59146100000000001</v>
      </c>
      <c r="L240">
        <f t="shared" si="36"/>
        <v>17.846699999999998</v>
      </c>
      <c r="M240">
        <f t="shared" si="37"/>
        <v>10.563247569599998</v>
      </c>
      <c r="N240" s="9"/>
      <c r="O240" s="21">
        <v>1.0582</v>
      </c>
      <c r="P240" s="21">
        <v>112.926</v>
      </c>
      <c r="Q240" s="21">
        <v>-1.7611700000000001E-2</v>
      </c>
      <c r="R240" s="21">
        <v>230</v>
      </c>
      <c r="S240" s="21">
        <v>1.0577399999999999</v>
      </c>
      <c r="T240">
        <f t="shared" si="38"/>
        <v>17.611700000000003</v>
      </c>
      <c r="U240">
        <f t="shared" si="39"/>
        <v>18.636700940000004</v>
      </c>
      <c r="X240" s="9"/>
      <c r="Y240" s="21">
        <v>0.59188799999999997</v>
      </c>
      <c r="Z240" s="21">
        <v>180.601</v>
      </c>
      <c r="AA240" s="21">
        <v>-1.7828400000000001E-2</v>
      </c>
      <c r="AB240" s="21">
        <v>230</v>
      </c>
      <c r="AC240" s="21">
        <v>0.59106400000000003</v>
      </c>
      <c r="AD240">
        <f t="shared" si="40"/>
        <v>17.828400000000002</v>
      </c>
      <c r="AE240">
        <f t="shared" si="41"/>
        <v>10.552416019200001</v>
      </c>
      <c r="AF240" s="9"/>
      <c r="AG240" s="21">
        <v>1.0582</v>
      </c>
      <c r="AH240" s="21">
        <v>247.14599999999999</v>
      </c>
      <c r="AI240" s="21">
        <v>-1.76025E-2</v>
      </c>
      <c r="AJ240" s="21">
        <v>230</v>
      </c>
      <c r="AK240" s="21">
        <v>1.0571299999999999</v>
      </c>
      <c r="AL240">
        <f t="shared" si="42"/>
        <v>17.602499999999999</v>
      </c>
      <c r="AM240">
        <f t="shared" si="43"/>
        <v>18.626965500000001</v>
      </c>
      <c r="AP240" s="9"/>
      <c r="AQ240" s="21">
        <v>0.59188799999999997</v>
      </c>
      <c r="AR240" s="21">
        <v>304.851</v>
      </c>
      <c r="AS240" s="21">
        <v>-1.78192E-2</v>
      </c>
      <c r="AT240" s="21">
        <v>230</v>
      </c>
      <c r="AU240" s="21">
        <v>0.59103399999999995</v>
      </c>
      <c r="AV240">
        <f t="shared" si="44"/>
        <v>17.819199999999999</v>
      </c>
      <c r="AW240">
        <f t="shared" si="45"/>
        <v>10.546970649599999</v>
      </c>
      <c r="AX240" s="9"/>
      <c r="AY240" s="21">
        <v>1.0582</v>
      </c>
      <c r="AZ240" s="21">
        <v>375.28100000000001</v>
      </c>
      <c r="BA240" s="21">
        <v>-1.7565899999999999E-2</v>
      </c>
      <c r="BB240" s="21">
        <v>230</v>
      </c>
      <c r="BC240" s="21">
        <v>1.0574300000000001</v>
      </c>
      <c r="BD240">
        <f t="shared" si="46"/>
        <v>17.565899999999999</v>
      </c>
      <c r="BE240">
        <f t="shared" si="47"/>
        <v>18.58823538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0.58685299999999996</v>
      </c>
      <c r="H241" s="21">
        <v>41.2667</v>
      </c>
      <c r="I241" s="21">
        <v>-1.78467E-2</v>
      </c>
      <c r="J241" s="21">
        <v>231</v>
      </c>
      <c r="K241" s="21">
        <v>0.586395</v>
      </c>
      <c r="L241">
        <f t="shared" si="36"/>
        <v>17.846699999999998</v>
      </c>
      <c r="M241">
        <f t="shared" si="37"/>
        <v>10.473389435099998</v>
      </c>
      <c r="N241" s="9"/>
      <c r="O241" s="21">
        <v>1.0632299999999999</v>
      </c>
      <c r="P241" s="21">
        <v>113.027</v>
      </c>
      <c r="Q241" s="21">
        <v>-1.7611700000000001E-2</v>
      </c>
      <c r="R241" s="21">
        <v>231</v>
      </c>
      <c r="S241" s="21">
        <v>1.0623199999999999</v>
      </c>
      <c r="T241">
        <f t="shared" si="38"/>
        <v>17.611700000000003</v>
      </c>
      <c r="U241">
        <f t="shared" si="39"/>
        <v>18.725287791</v>
      </c>
      <c r="X241" s="9"/>
      <c r="Y241" s="21">
        <v>0.58685299999999996</v>
      </c>
      <c r="Z241" s="21">
        <v>180.702</v>
      </c>
      <c r="AA241" s="21">
        <v>-1.7831400000000001E-2</v>
      </c>
      <c r="AB241" s="21">
        <v>231</v>
      </c>
      <c r="AC241" s="21">
        <v>0.58630400000000005</v>
      </c>
      <c r="AD241">
        <f t="shared" si="40"/>
        <v>17.831400000000002</v>
      </c>
      <c r="AE241">
        <f t="shared" si="41"/>
        <v>10.464410584200001</v>
      </c>
      <c r="AF241" s="9"/>
      <c r="AG241" s="21">
        <v>1.0632299999999999</v>
      </c>
      <c r="AH241" s="21">
        <v>247.24700000000001</v>
      </c>
      <c r="AI241" s="21">
        <v>-1.7599500000000001E-2</v>
      </c>
      <c r="AJ241" s="21">
        <v>231</v>
      </c>
      <c r="AK241" s="21">
        <v>1.0626199999999999</v>
      </c>
      <c r="AL241">
        <f t="shared" si="42"/>
        <v>17.599499999999999</v>
      </c>
      <c r="AM241">
        <f t="shared" si="43"/>
        <v>18.712316384999998</v>
      </c>
      <c r="AP241" s="9"/>
      <c r="AQ241" s="21">
        <v>0.58685299999999996</v>
      </c>
      <c r="AR241" s="21">
        <v>304.952</v>
      </c>
      <c r="AS241" s="21">
        <v>-1.78192E-2</v>
      </c>
      <c r="AT241" s="21">
        <v>231</v>
      </c>
      <c r="AU241" s="21">
        <v>0.58633400000000002</v>
      </c>
      <c r="AV241">
        <f t="shared" si="44"/>
        <v>17.819199999999999</v>
      </c>
      <c r="AW241">
        <f t="shared" si="45"/>
        <v>10.457250977599998</v>
      </c>
      <c r="AX241" s="9"/>
      <c r="AY241" s="21">
        <v>1.0632299999999999</v>
      </c>
      <c r="AZ241" s="21">
        <v>375.38200000000001</v>
      </c>
      <c r="BA241" s="21">
        <v>-1.7562899999999999E-2</v>
      </c>
      <c r="BB241" s="21">
        <v>231</v>
      </c>
      <c r="BC241" s="21">
        <v>1.0620099999999999</v>
      </c>
      <c r="BD241">
        <f t="shared" si="46"/>
        <v>17.562899999999999</v>
      </c>
      <c r="BE241">
        <f t="shared" si="47"/>
        <v>18.673402166999995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0.58181799999999995</v>
      </c>
      <c r="H242" s="21">
        <v>41.3675</v>
      </c>
      <c r="I242" s="21">
        <v>-1.7855800000000002E-2</v>
      </c>
      <c r="J242" s="21">
        <v>232</v>
      </c>
      <c r="K242" s="21">
        <v>0.58120700000000003</v>
      </c>
      <c r="L242">
        <f t="shared" si="36"/>
        <v>17.855800000000002</v>
      </c>
      <c r="M242">
        <f t="shared" si="37"/>
        <v>10.388825844399999</v>
      </c>
      <c r="N242" s="9"/>
      <c r="O242" s="21">
        <v>1.0682700000000001</v>
      </c>
      <c r="P242" s="21">
        <v>113.128</v>
      </c>
      <c r="Q242" s="21">
        <v>-1.7608599999999999E-2</v>
      </c>
      <c r="R242" s="21">
        <v>232</v>
      </c>
      <c r="S242" s="21">
        <v>1.0674999999999999</v>
      </c>
      <c r="T242">
        <f t="shared" si="38"/>
        <v>17.608599999999999</v>
      </c>
      <c r="U242">
        <f t="shared" si="39"/>
        <v>18.810739122000001</v>
      </c>
      <c r="X242" s="9"/>
      <c r="Y242" s="21">
        <v>0.58181799999999995</v>
      </c>
      <c r="Z242" s="21">
        <v>180.803</v>
      </c>
      <c r="AA242" s="21">
        <v>-1.7831400000000001E-2</v>
      </c>
      <c r="AB242" s="21">
        <v>232</v>
      </c>
      <c r="AC242" s="21">
        <v>0.58120700000000003</v>
      </c>
      <c r="AD242">
        <f t="shared" si="40"/>
        <v>17.831400000000002</v>
      </c>
      <c r="AE242">
        <f t="shared" si="41"/>
        <v>10.3746294852</v>
      </c>
      <c r="AF242" s="9"/>
      <c r="AG242" s="21">
        <v>1.0682700000000001</v>
      </c>
      <c r="AH242" s="21">
        <v>247.34800000000001</v>
      </c>
      <c r="AI242" s="21">
        <v>-1.7596400000000002E-2</v>
      </c>
      <c r="AJ242" s="21">
        <v>232</v>
      </c>
      <c r="AK242" s="21">
        <v>1.0678099999999999</v>
      </c>
      <c r="AL242">
        <f t="shared" si="42"/>
        <v>17.596400000000003</v>
      </c>
      <c r="AM242">
        <f t="shared" si="43"/>
        <v>18.797706228000003</v>
      </c>
      <c r="AP242" s="9"/>
      <c r="AQ242" s="21">
        <v>0.58181799999999995</v>
      </c>
      <c r="AR242" s="21">
        <v>305.053</v>
      </c>
      <c r="AS242" s="21">
        <v>-1.7825299999999999E-2</v>
      </c>
      <c r="AT242" s="21">
        <v>232</v>
      </c>
      <c r="AU242" s="21">
        <v>0.57943699999999998</v>
      </c>
      <c r="AV242">
        <f t="shared" si="44"/>
        <v>17.825299999999999</v>
      </c>
      <c r="AW242">
        <f t="shared" si="45"/>
        <v>10.371080395399998</v>
      </c>
      <c r="AX242" s="9"/>
      <c r="AY242" s="21">
        <v>1.0682700000000001</v>
      </c>
      <c r="AZ242" s="21">
        <v>375.483</v>
      </c>
      <c r="BA242" s="21">
        <v>-1.7562899999999999E-2</v>
      </c>
      <c r="BB242" s="21">
        <v>232</v>
      </c>
      <c r="BC242" s="21">
        <v>1.0671999999999999</v>
      </c>
      <c r="BD242">
        <f t="shared" si="46"/>
        <v>17.562899999999999</v>
      </c>
      <c r="BE242">
        <f t="shared" si="47"/>
        <v>18.761919183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0.57678200000000002</v>
      </c>
      <c r="H243" s="21">
        <v>41.468200000000003</v>
      </c>
      <c r="I243" s="21">
        <v>-1.78589E-2</v>
      </c>
      <c r="J243" s="21">
        <v>233</v>
      </c>
      <c r="K243" s="21">
        <v>0.57632399999999995</v>
      </c>
      <c r="L243">
        <f t="shared" si="36"/>
        <v>17.858900000000002</v>
      </c>
      <c r="M243">
        <f t="shared" si="37"/>
        <v>10.300692059800001</v>
      </c>
      <c r="N243" s="9"/>
      <c r="O243" s="21">
        <v>1.0732999999999999</v>
      </c>
      <c r="P243" s="21">
        <v>113.22799999999999</v>
      </c>
      <c r="Q243" s="21">
        <v>-1.76025E-2</v>
      </c>
      <c r="R243" s="21">
        <v>233</v>
      </c>
      <c r="S243" s="21">
        <v>1.07239</v>
      </c>
      <c r="T243">
        <f t="shared" si="38"/>
        <v>17.602499999999999</v>
      </c>
      <c r="U243">
        <f t="shared" si="39"/>
        <v>18.892763249999998</v>
      </c>
      <c r="X243" s="9"/>
      <c r="Y243" s="21">
        <v>0.57678200000000002</v>
      </c>
      <c r="Z243" s="21">
        <v>180.90299999999999</v>
      </c>
      <c r="AA243" s="21">
        <v>-1.7831400000000001E-2</v>
      </c>
      <c r="AB243" s="21">
        <v>233</v>
      </c>
      <c r="AC243" s="21">
        <v>0.57632399999999995</v>
      </c>
      <c r="AD243">
        <f t="shared" si="40"/>
        <v>17.831400000000002</v>
      </c>
      <c r="AE243">
        <f t="shared" si="41"/>
        <v>10.284830554800001</v>
      </c>
      <c r="AF243" s="9"/>
      <c r="AG243" s="21">
        <v>1.0732999999999999</v>
      </c>
      <c r="AH243" s="21">
        <v>247.44800000000001</v>
      </c>
      <c r="AI243" s="21">
        <v>-1.75903E-2</v>
      </c>
      <c r="AJ243" s="21">
        <v>233</v>
      </c>
      <c r="AK243" s="21">
        <v>1.07239</v>
      </c>
      <c r="AL243">
        <f t="shared" si="42"/>
        <v>17.590299999999999</v>
      </c>
      <c r="AM243">
        <f t="shared" si="43"/>
        <v>18.879668989999999</v>
      </c>
      <c r="AP243" s="9"/>
      <c r="AQ243" s="21">
        <v>0.57678200000000002</v>
      </c>
      <c r="AR243" s="21">
        <v>305.15300000000002</v>
      </c>
      <c r="AS243" s="21">
        <v>-1.7822299999999999E-2</v>
      </c>
      <c r="AT243" s="21">
        <v>233</v>
      </c>
      <c r="AU243" s="21">
        <v>0.57617200000000002</v>
      </c>
      <c r="AV243">
        <f t="shared" si="44"/>
        <v>17.822299999999998</v>
      </c>
      <c r="AW243">
        <f t="shared" si="45"/>
        <v>10.279581838599999</v>
      </c>
      <c r="AX243" s="9"/>
      <c r="AY243" s="21">
        <v>1.0732999999999999</v>
      </c>
      <c r="AZ243" s="21">
        <v>375.58300000000003</v>
      </c>
      <c r="BA243" s="21">
        <v>-1.7556800000000001E-2</v>
      </c>
      <c r="BB243" s="21">
        <v>233</v>
      </c>
      <c r="BC243" s="21">
        <v>1.0720799999999999</v>
      </c>
      <c r="BD243">
        <f t="shared" si="46"/>
        <v>17.556800000000003</v>
      </c>
      <c r="BE243">
        <f t="shared" si="47"/>
        <v>18.843713440000002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0.57174700000000001</v>
      </c>
      <c r="H244" s="21">
        <v>41.568899999999999</v>
      </c>
      <c r="I244" s="21">
        <v>-1.7864999999999999E-2</v>
      </c>
      <c r="J244" s="21">
        <v>234</v>
      </c>
      <c r="K244" s="21">
        <v>0.57128900000000005</v>
      </c>
      <c r="L244">
        <f t="shared" si="36"/>
        <v>17.864999999999998</v>
      </c>
      <c r="M244">
        <f t="shared" si="37"/>
        <v>10.214260155</v>
      </c>
      <c r="N244" s="9"/>
      <c r="O244" s="21">
        <v>1.0783400000000001</v>
      </c>
      <c r="P244" s="21">
        <v>113.32899999999999</v>
      </c>
      <c r="Q244" s="21">
        <v>-1.76025E-2</v>
      </c>
      <c r="R244" s="21">
        <v>234</v>
      </c>
      <c r="S244" s="21">
        <v>1.07758</v>
      </c>
      <c r="T244">
        <f t="shared" si="38"/>
        <v>17.602499999999999</v>
      </c>
      <c r="U244">
        <f t="shared" si="39"/>
        <v>18.981479849999999</v>
      </c>
      <c r="X244" s="9"/>
      <c r="Y244" s="21">
        <v>0.57174700000000001</v>
      </c>
      <c r="Z244" s="21">
        <v>181.00399999999999</v>
      </c>
      <c r="AA244" s="21">
        <v>-1.7840600000000002E-2</v>
      </c>
      <c r="AB244" s="21">
        <v>234</v>
      </c>
      <c r="AC244" s="21">
        <v>0.57119799999999998</v>
      </c>
      <c r="AD244">
        <f t="shared" si="40"/>
        <v>17.840600000000002</v>
      </c>
      <c r="AE244">
        <f t="shared" si="41"/>
        <v>10.200309528200002</v>
      </c>
      <c r="AF244" s="9"/>
      <c r="AG244" s="21">
        <v>1.0783400000000001</v>
      </c>
      <c r="AH244" s="21">
        <v>247.54900000000001</v>
      </c>
      <c r="AI244" s="21">
        <v>-1.7593399999999999E-2</v>
      </c>
      <c r="AJ244" s="21">
        <v>234</v>
      </c>
      <c r="AK244" s="21">
        <v>1.0778799999999999</v>
      </c>
      <c r="AL244">
        <f t="shared" si="42"/>
        <v>17.593399999999999</v>
      </c>
      <c r="AM244">
        <f t="shared" si="43"/>
        <v>18.971666956</v>
      </c>
      <c r="AP244" s="9"/>
      <c r="AQ244" s="21">
        <v>0.57174700000000001</v>
      </c>
      <c r="AR244" s="21">
        <v>305.25400000000002</v>
      </c>
      <c r="AS244" s="21">
        <v>-1.7828400000000001E-2</v>
      </c>
      <c r="AT244" s="21">
        <v>234</v>
      </c>
      <c r="AU244" s="21">
        <v>0.57156399999999996</v>
      </c>
      <c r="AV244">
        <f t="shared" si="44"/>
        <v>17.828400000000002</v>
      </c>
      <c r="AW244">
        <f t="shared" si="45"/>
        <v>10.193334214800002</v>
      </c>
      <c r="AX244" s="9"/>
      <c r="AY244" s="21">
        <v>1.0783400000000001</v>
      </c>
      <c r="AZ244" s="21">
        <v>375.68400000000003</v>
      </c>
      <c r="BA244" s="21">
        <v>-1.7556800000000001E-2</v>
      </c>
      <c r="BB244" s="21">
        <v>234</v>
      </c>
      <c r="BC244" s="21">
        <v>1.0772699999999999</v>
      </c>
      <c r="BD244">
        <f t="shared" si="46"/>
        <v>17.556800000000003</v>
      </c>
      <c r="BE244">
        <f t="shared" si="47"/>
        <v>18.932199712000003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0.56671099999999996</v>
      </c>
      <c r="H245" s="21">
        <v>41.669600000000003</v>
      </c>
      <c r="I245" s="21">
        <v>-1.78619E-2</v>
      </c>
      <c r="J245" s="21">
        <v>235</v>
      </c>
      <c r="K245" s="21">
        <v>0.56619299999999995</v>
      </c>
      <c r="L245">
        <f t="shared" si="36"/>
        <v>17.861899999999999</v>
      </c>
      <c r="M245">
        <f t="shared" si="37"/>
        <v>10.122535210899999</v>
      </c>
      <c r="N245" s="9"/>
      <c r="O245" s="21">
        <v>1.0833699999999999</v>
      </c>
      <c r="P245" s="21">
        <v>113.43</v>
      </c>
      <c r="Q245" s="21">
        <v>-1.7596400000000002E-2</v>
      </c>
      <c r="R245" s="21">
        <v>235</v>
      </c>
      <c r="S245" s="21">
        <v>1.0827599999999999</v>
      </c>
      <c r="T245">
        <f t="shared" si="38"/>
        <v>17.596400000000003</v>
      </c>
      <c r="U245">
        <f t="shared" si="39"/>
        <v>19.063411868000003</v>
      </c>
      <c r="X245" s="9"/>
      <c r="Y245" s="21">
        <v>0.56671099999999996</v>
      </c>
      <c r="Z245" s="21">
        <v>181.10499999999999</v>
      </c>
      <c r="AA245" s="21">
        <v>-1.7843600000000001E-2</v>
      </c>
      <c r="AB245" s="21">
        <v>235</v>
      </c>
      <c r="AC245" s="21">
        <v>0.56607099999999999</v>
      </c>
      <c r="AD245">
        <f t="shared" si="40"/>
        <v>17.843600000000002</v>
      </c>
      <c r="AE245">
        <f t="shared" si="41"/>
        <v>10.112164399600001</v>
      </c>
      <c r="AF245" s="9"/>
      <c r="AG245" s="21">
        <v>1.0833699999999999</v>
      </c>
      <c r="AH245" s="21">
        <v>247.65</v>
      </c>
      <c r="AI245" s="21">
        <v>-1.75873E-2</v>
      </c>
      <c r="AJ245" s="21">
        <v>235</v>
      </c>
      <c r="AK245" s="21">
        <v>1.08185</v>
      </c>
      <c r="AL245">
        <f t="shared" si="42"/>
        <v>17.587299999999999</v>
      </c>
      <c r="AM245">
        <f t="shared" si="43"/>
        <v>19.053553201</v>
      </c>
      <c r="AP245" s="9"/>
      <c r="AQ245" s="21">
        <v>0.56671099999999996</v>
      </c>
      <c r="AR245" s="21">
        <v>305.35500000000002</v>
      </c>
      <c r="AS245" s="21">
        <v>-1.7828400000000001E-2</v>
      </c>
      <c r="AT245" s="21">
        <v>235</v>
      </c>
      <c r="AU245" s="21">
        <v>0.56591800000000003</v>
      </c>
      <c r="AV245">
        <f t="shared" si="44"/>
        <v>17.828400000000002</v>
      </c>
      <c r="AW245">
        <f t="shared" si="45"/>
        <v>10.103550392400001</v>
      </c>
      <c r="AX245" s="9"/>
      <c r="AY245" s="21">
        <v>1.0833699999999999</v>
      </c>
      <c r="AZ245" s="21">
        <v>375.78500000000003</v>
      </c>
      <c r="BA245" s="21">
        <v>-1.7556800000000001E-2</v>
      </c>
      <c r="BB245" s="21">
        <v>235</v>
      </c>
      <c r="BC245" s="21">
        <v>1.08246</v>
      </c>
      <c r="BD245">
        <f t="shared" si="46"/>
        <v>17.556800000000003</v>
      </c>
      <c r="BE245">
        <f t="shared" si="47"/>
        <v>19.020510416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0.56167599999999995</v>
      </c>
      <c r="H246" s="21">
        <v>41.770299999999999</v>
      </c>
      <c r="I246" s="21">
        <v>-1.7864999999999999E-2</v>
      </c>
      <c r="J246" s="21">
        <v>236</v>
      </c>
      <c r="K246" s="21">
        <v>0.56039399999999995</v>
      </c>
      <c r="L246">
        <f t="shared" si="36"/>
        <v>17.864999999999998</v>
      </c>
      <c r="M246">
        <f t="shared" si="37"/>
        <v>10.034341739999999</v>
      </c>
      <c r="N246" s="9"/>
      <c r="O246" s="21">
        <v>1.0884100000000001</v>
      </c>
      <c r="P246" s="21">
        <v>113.53</v>
      </c>
      <c r="Q246" s="21">
        <v>-1.7596400000000002E-2</v>
      </c>
      <c r="R246" s="21">
        <v>236</v>
      </c>
      <c r="S246" s="21">
        <v>1.08795</v>
      </c>
      <c r="T246">
        <f t="shared" si="38"/>
        <v>17.596400000000003</v>
      </c>
      <c r="U246">
        <f t="shared" si="39"/>
        <v>19.152097724000004</v>
      </c>
      <c r="X246" s="9"/>
      <c r="Y246" s="21">
        <v>0.56167599999999995</v>
      </c>
      <c r="Z246" s="21">
        <v>181.20599999999999</v>
      </c>
      <c r="AA246" s="21">
        <v>-1.78497E-2</v>
      </c>
      <c r="AB246" s="21">
        <v>236</v>
      </c>
      <c r="AC246" s="21">
        <v>0.56109600000000004</v>
      </c>
      <c r="AD246">
        <f t="shared" si="40"/>
        <v>17.849699999999999</v>
      </c>
      <c r="AE246">
        <f t="shared" si="41"/>
        <v>10.025748097199997</v>
      </c>
      <c r="AF246" s="9"/>
      <c r="AG246" s="21">
        <v>1.0884100000000001</v>
      </c>
      <c r="AH246" s="21">
        <v>247.751</v>
      </c>
      <c r="AI246" s="21">
        <v>-1.7584200000000001E-2</v>
      </c>
      <c r="AJ246" s="21">
        <v>236</v>
      </c>
      <c r="AK246" s="21">
        <v>1.08795</v>
      </c>
      <c r="AL246">
        <f t="shared" si="42"/>
        <v>17.584200000000003</v>
      </c>
      <c r="AM246">
        <f t="shared" si="43"/>
        <v>19.138819122000005</v>
      </c>
      <c r="AP246" s="9"/>
      <c r="AQ246" s="21">
        <v>0.56167599999999995</v>
      </c>
      <c r="AR246" s="21">
        <v>305.45499999999998</v>
      </c>
      <c r="AS246" s="21">
        <v>-1.7831400000000001E-2</v>
      </c>
      <c r="AT246" s="21">
        <v>236</v>
      </c>
      <c r="AU246" s="21">
        <v>0.56082200000000004</v>
      </c>
      <c r="AV246">
        <f t="shared" si="44"/>
        <v>17.831400000000002</v>
      </c>
      <c r="AW246">
        <f t="shared" si="45"/>
        <v>10.015469426400001</v>
      </c>
      <c r="AX246" s="9"/>
      <c r="AY246" s="21">
        <v>1.0884100000000001</v>
      </c>
      <c r="AZ246" s="21">
        <v>375.88600000000002</v>
      </c>
      <c r="BA246" s="21">
        <v>-1.7550699999999999E-2</v>
      </c>
      <c r="BB246" s="21">
        <v>236</v>
      </c>
      <c r="BC246" s="21">
        <v>1.08734</v>
      </c>
      <c r="BD246">
        <f t="shared" si="46"/>
        <v>17.550699999999999</v>
      </c>
      <c r="BE246">
        <f t="shared" si="47"/>
        <v>19.102357387000001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0.55664100000000005</v>
      </c>
      <c r="H247" s="21">
        <v>41.871000000000002</v>
      </c>
      <c r="I247" s="21">
        <v>-1.7867999999999998E-2</v>
      </c>
      <c r="J247" s="21">
        <v>237</v>
      </c>
      <c r="K247" s="21">
        <v>0.55615199999999998</v>
      </c>
      <c r="L247">
        <f t="shared" si="36"/>
        <v>17.867999999999999</v>
      </c>
      <c r="M247">
        <f t="shared" si="37"/>
        <v>9.9460613880000004</v>
      </c>
      <c r="N247" s="9"/>
      <c r="O247" s="21">
        <v>1.09344</v>
      </c>
      <c r="P247" s="21">
        <v>113.631</v>
      </c>
      <c r="Q247" s="21">
        <v>-1.7596400000000002E-2</v>
      </c>
      <c r="R247" s="21">
        <v>237</v>
      </c>
      <c r="S247" s="21">
        <v>1.09222</v>
      </c>
      <c r="T247">
        <f t="shared" si="38"/>
        <v>17.596400000000003</v>
      </c>
      <c r="U247">
        <f t="shared" si="39"/>
        <v>19.240607616000002</v>
      </c>
      <c r="X247" s="9"/>
      <c r="Y247" s="21">
        <v>0.55664100000000005</v>
      </c>
      <c r="Z247" s="21">
        <v>181.30600000000001</v>
      </c>
      <c r="AA247" s="21">
        <v>-1.78497E-2</v>
      </c>
      <c r="AB247" s="21">
        <v>237</v>
      </c>
      <c r="AC247" s="21">
        <v>0.55593899999999996</v>
      </c>
      <c r="AD247">
        <f t="shared" si="40"/>
        <v>17.849699999999999</v>
      </c>
      <c r="AE247">
        <f t="shared" si="41"/>
        <v>9.9358748577</v>
      </c>
      <c r="AF247" s="9"/>
      <c r="AG247" s="21">
        <v>1.09344</v>
      </c>
      <c r="AH247" s="21">
        <v>247.851</v>
      </c>
      <c r="AI247" s="21">
        <v>-1.7572000000000001E-2</v>
      </c>
      <c r="AJ247" s="21">
        <v>237</v>
      </c>
      <c r="AK247" s="21">
        <v>1.09222</v>
      </c>
      <c r="AL247">
        <f t="shared" si="42"/>
        <v>17.571999999999999</v>
      </c>
      <c r="AM247">
        <f t="shared" si="43"/>
        <v>19.213927679999998</v>
      </c>
      <c r="AP247" s="9"/>
      <c r="AQ247" s="21">
        <v>0.55664100000000005</v>
      </c>
      <c r="AR247" s="21">
        <v>305.55599999999998</v>
      </c>
      <c r="AS247" s="21">
        <v>-1.7840600000000002E-2</v>
      </c>
      <c r="AT247" s="21">
        <v>237</v>
      </c>
      <c r="AU247" s="21">
        <v>0.55542000000000002</v>
      </c>
      <c r="AV247">
        <f t="shared" si="44"/>
        <v>17.840600000000002</v>
      </c>
      <c r="AW247">
        <f t="shared" si="45"/>
        <v>9.9308094246000014</v>
      </c>
      <c r="AX247" s="9"/>
      <c r="AY247" s="21">
        <v>1.09344</v>
      </c>
      <c r="AZ247" s="21">
        <v>375.98599999999999</v>
      </c>
      <c r="BA247" s="21">
        <v>-1.75476E-2</v>
      </c>
      <c r="BB247" s="21">
        <v>237</v>
      </c>
      <c r="BC247" s="21">
        <v>1.09253</v>
      </c>
      <c r="BD247">
        <f t="shared" si="46"/>
        <v>17.547599999999999</v>
      </c>
      <c r="BE247">
        <f t="shared" si="47"/>
        <v>19.187247743999997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0.55160500000000001</v>
      </c>
      <c r="H248" s="21">
        <v>41.971699999999998</v>
      </c>
      <c r="I248" s="21">
        <v>-1.7877199999999999E-2</v>
      </c>
      <c r="J248" s="21">
        <v>238</v>
      </c>
      <c r="K248" s="21">
        <v>0.55111699999999997</v>
      </c>
      <c r="L248">
        <f t="shared" si="36"/>
        <v>17.877199999999998</v>
      </c>
      <c r="M248">
        <f t="shared" si="37"/>
        <v>9.8611529059999992</v>
      </c>
      <c r="N248" s="9"/>
      <c r="O248" s="21">
        <v>1.0984799999999999</v>
      </c>
      <c r="P248" s="21">
        <v>113.732</v>
      </c>
      <c r="Q248" s="21">
        <v>-1.75873E-2</v>
      </c>
      <c r="R248" s="21">
        <v>238</v>
      </c>
      <c r="S248" s="21">
        <v>1.09711</v>
      </c>
      <c r="T248">
        <f t="shared" si="38"/>
        <v>17.587299999999999</v>
      </c>
      <c r="U248">
        <f t="shared" si="39"/>
        <v>19.319297303999996</v>
      </c>
      <c r="X248" s="9"/>
      <c r="Y248" s="21">
        <v>0.55160500000000001</v>
      </c>
      <c r="Z248" s="21">
        <v>181.40700000000001</v>
      </c>
      <c r="AA248" s="21">
        <v>-1.78497E-2</v>
      </c>
      <c r="AB248" s="21">
        <v>238</v>
      </c>
      <c r="AC248" s="21">
        <v>0.55105599999999999</v>
      </c>
      <c r="AD248">
        <f t="shared" si="40"/>
        <v>17.849699999999999</v>
      </c>
      <c r="AE248">
        <f t="shared" si="41"/>
        <v>9.8459837685</v>
      </c>
      <c r="AF248" s="9"/>
      <c r="AG248" s="21">
        <v>1.0984799999999999</v>
      </c>
      <c r="AH248" s="21">
        <v>247.952</v>
      </c>
      <c r="AI248" s="21">
        <v>-1.7584200000000001E-2</v>
      </c>
      <c r="AJ248" s="21">
        <v>238</v>
      </c>
      <c r="AK248" s="21">
        <v>1.09772</v>
      </c>
      <c r="AL248">
        <f t="shared" si="42"/>
        <v>17.584200000000003</v>
      </c>
      <c r="AM248">
        <f t="shared" si="43"/>
        <v>19.315892016000003</v>
      </c>
      <c r="AP248" s="9"/>
      <c r="AQ248" s="21">
        <v>0.55160500000000001</v>
      </c>
      <c r="AR248" s="21">
        <v>305.65699999999998</v>
      </c>
      <c r="AS248" s="21">
        <v>-1.7840600000000002E-2</v>
      </c>
      <c r="AT248" s="21">
        <v>238</v>
      </c>
      <c r="AU248" s="21">
        <v>0.55127000000000004</v>
      </c>
      <c r="AV248">
        <f t="shared" si="44"/>
        <v>17.840600000000002</v>
      </c>
      <c r="AW248">
        <f t="shared" si="45"/>
        <v>9.8409641630000007</v>
      </c>
      <c r="AX248" s="9"/>
      <c r="AY248" s="21">
        <v>1.0984799999999999</v>
      </c>
      <c r="AZ248" s="21">
        <v>376.08699999999999</v>
      </c>
      <c r="BA248" s="21">
        <v>-1.7541500000000002E-2</v>
      </c>
      <c r="BB248" s="21">
        <v>238</v>
      </c>
      <c r="BC248" s="21">
        <v>1.09802</v>
      </c>
      <c r="BD248">
        <f t="shared" si="46"/>
        <v>17.541500000000003</v>
      </c>
      <c r="BE248">
        <f t="shared" si="47"/>
        <v>19.26898692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0.54657</v>
      </c>
      <c r="H249" s="21">
        <v>42.072400000000002</v>
      </c>
      <c r="I249" s="21">
        <v>-1.7867999999999998E-2</v>
      </c>
      <c r="J249" s="21">
        <v>239</v>
      </c>
      <c r="K249" s="21">
        <v>0.54580700000000004</v>
      </c>
      <c r="L249">
        <f t="shared" si="36"/>
        <v>17.867999999999999</v>
      </c>
      <c r="M249">
        <f t="shared" si="37"/>
        <v>9.7661127599999986</v>
      </c>
      <c r="N249" s="9"/>
      <c r="O249" s="21">
        <v>1.1035200000000001</v>
      </c>
      <c r="P249" s="21">
        <v>113.833</v>
      </c>
      <c r="Q249" s="21">
        <v>-1.7578099999999999E-2</v>
      </c>
      <c r="R249" s="21">
        <v>239</v>
      </c>
      <c r="S249" s="21">
        <v>1.1035200000000001</v>
      </c>
      <c r="T249">
        <f t="shared" si="38"/>
        <v>17.578099999999999</v>
      </c>
      <c r="U249">
        <f t="shared" si="39"/>
        <v>19.397784911999999</v>
      </c>
      <c r="X249" s="9"/>
      <c r="Y249" s="21">
        <v>0.54657</v>
      </c>
      <c r="Z249" s="21">
        <v>181.50800000000001</v>
      </c>
      <c r="AA249" s="21">
        <v>-1.7852799999999999E-2</v>
      </c>
      <c r="AB249" s="21">
        <v>239</v>
      </c>
      <c r="AC249" s="21">
        <v>0.54598999999999998</v>
      </c>
      <c r="AD249">
        <f t="shared" si="40"/>
        <v>17.852799999999998</v>
      </c>
      <c r="AE249">
        <f t="shared" si="41"/>
        <v>9.7578048959999997</v>
      </c>
      <c r="AF249" s="9"/>
      <c r="AG249" s="21">
        <v>1.1035200000000001</v>
      </c>
      <c r="AH249" s="21">
        <v>248.053</v>
      </c>
      <c r="AI249" s="21">
        <v>-1.75751E-2</v>
      </c>
      <c r="AJ249" s="21">
        <v>239</v>
      </c>
      <c r="AK249" s="21">
        <v>1.10229</v>
      </c>
      <c r="AL249">
        <f t="shared" si="42"/>
        <v>17.575099999999999</v>
      </c>
      <c r="AM249">
        <f t="shared" si="43"/>
        <v>19.394474352</v>
      </c>
      <c r="AP249" s="9"/>
      <c r="AQ249" s="21">
        <v>0.54657</v>
      </c>
      <c r="AR249" s="21">
        <v>305.75799999999998</v>
      </c>
      <c r="AS249" s="21">
        <v>-1.7837499999999999E-2</v>
      </c>
      <c r="AT249" s="21">
        <v>239</v>
      </c>
      <c r="AU249" s="21">
        <v>0.54611200000000004</v>
      </c>
      <c r="AV249">
        <f t="shared" si="44"/>
        <v>17.837499999999999</v>
      </c>
      <c r="AW249">
        <f t="shared" si="45"/>
        <v>9.7494423749999992</v>
      </c>
      <c r="AX249" s="9"/>
      <c r="AY249" s="21">
        <v>1.1035200000000001</v>
      </c>
      <c r="AZ249" s="21">
        <v>376.18799999999999</v>
      </c>
      <c r="BA249" s="21">
        <v>-1.7541500000000002E-2</v>
      </c>
      <c r="BB249" s="21">
        <v>239</v>
      </c>
      <c r="BC249" s="21">
        <v>1.1029100000000001</v>
      </c>
      <c r="BD249">
        <f t="shared" si="46"/>
        <v>17.541500000000003</v>
      </c>
      <c r="BE249">
        <f t="shared" si="47"/>
        <v>19.357396080000004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0.54153399999999996</v>
      </c>
      <c r="H250" s="21">
        <v>42.173099999999998</v>
      </c>
      <c r="I250" s="21">
        <v>-1.7877199999999999E-2</v>
      </c>
      <c r="J250" s="21">
        <v>240</v>
      </c>
      <c r="K250" s="21">
        <v>0.54095499999999996</v>
      </c>
      <c r="L250">
        <f t="shared" si="36"/>
        <v>17.877199999999998</v>
      </c>
      <c r="M250">
        <f t="shared" si="37"/>
        <v>9.681111624799998</v>
      </c>
      <c r="N250" s="9"/>
      <c r="O250" s="21">
        <v>1.1085499999999999</v>
      </c>
      <c r="P250" s="21">
        <v>113.93300000000001</v>
      </c>
      <c r="Q250" s="21">
        <v>-1.75903E-2</v>
      </c>
      <c r="R250" s="21">
        <v>240</v>
      </c>
      <c r="S250" s="21">
        <v>1.1077900000000001</v>
      </c>
      <c r="T250">
        <f t="shared" si="38"/>
        <v>17.590299999999999</v>
      </c>
      <c r="U250">
        <f t="shared" si="39"/>
        <v>19.499727064999998</v>
      </c>
      <c r="X250" s="9"/>
      <c r="Y250" s="21">
        <v>0.54153399999999996</v>
      </c>
      <c r="Z250" s="21">
        <v>181.608</v>
      </c>
      <c r="AA250" s="21">
        <v>-1.7855800000000002E-2</v>
      </c>
      <c r="AB250" s="21">
        <v>240</v>
      </c>
      <c r="AC250" s="21">
        <v>0.54101600000000005</v>
      </c>
      <c r="AD250">
        <f t="shared" si="40"/>
        <v>17.855800000000002</v>
      </c>
      <c r="AE250">
        <f t="shared" si="41"/>
        <v>9.6695227972000009</v>
      </c>
      <c r="AF250" s="9"/>
      <c r="AG250" s="21">
        <v>1.1085499999999999</v>
      </c>
      <c r="AH250" s="21">
        <v>248.15299999999999</v>
      </c>
      <c r="AI250" s="21">
        <v>-1.75751E-2</v>
      </c>
      <c r="AJ250" s="21">
        <v>240</v>
      </c>
      <c r="AK250" s="21">
        <v>1.10809</v>
      </c>
      <c r="AL250">
        <f t="shared" si="42"/>
        <v>17.575099999999999</v>
      </c>
      <c r="AM250">
        <f t="shared" si="43"/>
        <v>19.482877104999996</v>
      </c>
      <c r="AP250" s="9"/>
      <c r="AQ250" s="21">
        <v>0.54153399999999996</v>
      </c>
      <c r="AR250" s="21">
        <v>305.858</v>
      </c>
      <c r="AS250" s="21">
        <v>-1.7843600000000001E-2</v>
      </c>
      <c r="AT250" s="21">
        <v>240</v>
      </c>
      <c r="AU250" s="21">
        <v>0.54135100000000003</v>
      </c>
      <c r="AV250">
        <f t="shared" si="44"/>
        <v>17.843600000000002</v>
      </c>
      <c r="AW250">
        <f t="shared" si="45"/>
        <v>9.6629160824000007</v>
      </c>
      <c r="AX250" s="9"/>
      <c r="AY250" s="21">
        <v>1.1085499999999999</v>
      </c>
      <c r="AZ250" s="21">
        <v>376.28800000000001</v>
      </c>
      <c r="BA250" s="21">
        <v>-1.7532300000000001E-2</v>
      </c>
      <c r="BB250" s="21">
        <v>240</v>
      </c>
      <c r="BC250" s="21">
        <v>1.10809</v>
      </c>
      <c r="BD250">
        <f t="shared" si="46"/>
        <v>17.532299999999999</v>
      </c>
      <c r="BE250">
        <f t="shared" si="47"/>
        <v>19.435431164999997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0.53649899999999995</v>
      </c>
      <c r="H251" s="21">
        <v>42.273800000000001</v>
      </c>
      <c r="I251" s="21">
        <v>-1.7880199999999999E-2</v>
      </c>
      <c r="J251" s="21">
        <v>241</v>
      </c>
      <c r="K251" s="21">
        <v>0.53643799999999997</v>
      </c>
      <c r="L251">
        <f t="shared" si="36"/>
        <v>17.880199999999999</v>
      </c>
      <c r="M251">
        <f t="shared" si="37"/>
        <v>9.5927094197999985</v>
      </c>
      <c r="N251" s="9"/>
      <c r="O251" s="21">
        <v>1.1135900000000001</v>
      </c>
      <c r="P251" s="21">
        <v>114.03400000000001</v>
      </c>
      <c r="Q251" s="21">
        <v>-1.7584200000000001E-2</v>
      </c>
      <c r="R251" s="21">
        <v>241</v>
      </c>
      <c r="S251" s="21">
        <v>1.11267</v>
      </c>
      <c r="T251">
        <f t="shared" si="38"/>
        <v>17.584200000000003</v>
      </c>
      <c r="U251">
        <f t="shared" si="39"/>
        <v>19.581589278000003</v>
      </c>
      <c r="X251" s="9"/>
      <c r="Y251" s="21">
        <v>0.53649899999999995</v>
      </c>
      <c r="Z251" s="21">
        <v>181.709</v>
      </c>
      <c r="AA251" s="21">
        <v>-1.78589E-2</v>
      </c>
      <c r="AB251" s="21">
        <v>241</v>
      </c>
      <c r="AC251" s="21">
        <v>0.53595000000000004</v>
      </c>
      <c r="AD251">
        <f t="shared" si="40"/>
        <v>17.858900000000002</v>
      </c>
      <c r="AE251">
        <f t="shared" si="41"/>
        <v>9.5812819911000009</v>
      </c>
      <c r="AF251" s="9"/>
      <c r="AG251" s="21">
        <v>1.1135900000000001</v>
      </c>
      <c r="AH251" s="21">
        <v>248.25399999999999</v>
      </c>
      <c r="AI251" s="21">
        <v>-1.75751E-2</v>
      </c>
      <c r="AJ251" s="21">
        <v>241</v>
      </c>
      <c r="AK251" s="21">
        <v>1.1129800000000001</v>
      </c>
      <c r="AL251">
        <f t="shared" si="42"/>
        <v>17.575099999999999</v>
      </c>
      <c r="AM251">
        <f t="shared" si="43"/>
        <v>19.571455609000001</v>
      </c>
      <c r="AP251" s="9"/>
      <c r="AQ251" s="21">
        <v>0.53649899999999995</v>
      </c>
      <c r="AR251" s="21">
        <v>305.959</v>
      </c>
      <c r="AS251" s="21">
        <v>-1.78467E-2</v>
      </c>
      <c r="AT251" s="21">
        <v>241</v>
      </c>
      <c r="AU251" s="21">
        <v>0.53579699999999997</v>
      </c>
      <c r="AV251">
        <f t="shared" si="44"/>
        <v>17.846699999999998</v>
      </c>
      <c r="AW251">
        <f t="shared" si="45"/>
        <v>9.5747367032999975</v>
      </c>
      <c r="AX251" s="9"/>
      <c r="AY251" s="21">
        <v>1.1135900000000001</v>
      </c>
      <c r="AZ251" s="21">
        <v>376.38900000000001</v>
      </c>
      <c r="BA251" s="21">
        <v>-1.75354E-2</v>
      </c>
      <c r="BB251" s="21">
        <v>241</v>
      </c>
      <c r="BC251" s="21">
        <v>1.1129800000000001</v>
      </c>
      <c r="BD251">
        <f t="shared" si="46"/>
        <v>17.535399999999999</v>
      </c>
      <c r="BE251">
        <f t="shared" si="47"/>
        <v>19.527246086000002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0.53146400000000005</v>
      </c>
      <c r="H252" s="21">
        <v>42.374499999999998</v>
      </c>
      <c r="I252" s="21">
        <v>-1.7883300000000001E-2</v>
      </c>
      <c r="J252" s="21">
        <v>242</v>
      </c>
      <c r="K252" s="21">
        <v>0.53085300000000002</v>
      </c>
      <c r="L252">
        <f t="shared" si="36"/>
        <v>17.883300000000002</v>
      </c>
      <c r="M252">
        <f t="shared" si="37"/>
        <v>9.5043301512000014</v>
      </c>
      <c r="N252" s="9"/>
      <c r="O252" s="21">
        <v>1.1186199999999999</v>
      </c>
      <c r="P252" s="21">
        <v>114.13500000000001</v>
      </c>
      <c r="Q252" s="21">
        <v>-1.7584200000000001E-2</v>
      </c>
      <c r="R252" s="21">
        <v>242</v>
      </c>
      <c r="S252" s="21">
        <v>1.11816</v>
      </c>
      <c r="T252">
        <f t="shared" si="38"/>
        <v>17.584200000000003</v>
      </c>
      <c r="U252">
        <f t="shared" si="39"/>
        <v>19.670037804000003</v>
      </c>
      <c r="X252" s="9"/>
      <c r="Y252" s="21">
        <v>0.53146400000000005</v>
      </c>
      <c r="Z252" s="21">
        <v>181.81</v>
      </c>
      <c r="AA252" s="21">
        <v>-1.78619E-2</v>
      </c>
      <c r="AB252" s="21">
        <v>242</v>
      </c>
      <c r="AC252" s="21">
        <v>0.53085300000000002</v>
      </c>
      <c r="AD252">
        <f t="shared" si="40"/>
        <v>17.861899999999999</v>
      </c>
      <c r="AE252">
        <f t="shared" si="41"/>
        <v>9.4929568216</v>
      </c>
      <c r="AF252" s="9"/>
      <c r="AG252" s="21">
        <v>1.1186199999999999</v>
      </c>
      <c r="AH252" s="21">
        <v>248.35499999999999</v>
      </c>
      <c r="AI252" s="21">
        <v>-1.7569000000000001E-2</v>
      </c>
      <c r="AJ252" s="21">
        <v>242</v>
      </c>
      <c r="AK252" s="21">
        <v>1.11755</v>
      </c>
      <c r="AL252">
        <f t="shared" si="42"/>
        <v>17.569000000000003</v>
      </c>
      <c r="AM252">
        <f t="shared" si="43"/>
        <v>19.653034780000002</v>
      </c>
      <c r="AP252" s="9"/>
      <c r="AQ252" s="21">
        <v>0.53146400000000005</v>
      </c>
      <c r="AR252" s="21">
        <v>306.06</v>
      </c>
      <c r="AS252" s="21">
        <v>-1.7852799999999999E-2</v>
      </c>
      <c r="AT252" s="21">
        <v>242</v>
      </c>
      <c r="AU252" s="21">
        <v>0.53088400000000002</v>
      </c>
      <c r="AV252">
        <f t="shared" si="44"/>
        <v>17.852799999999998</v>
      </c>
      <c r="AW252">
        <f t="shared" si="45"/>
        <v>9.4881204992000008</v>
      </c>
      <c r="AX252" s="9"/>
      <c r="AY252" s="21">
        <v>1.1186199999999999</v>
      </c>
      <c r="AZ252" s="21">
        <v>376.49</v>
      </c>
      <c r="BA252" s="21">
        <v>-1.7538499999999999E-2</v>
      </c>
      <c r="BB252" s="21">
        <v>242</v>
      </c>
      <c r="BC252" s="21">
        <v>1.11755</v>
      </c>
      <c r="BD252">
        <f t="shared" si="46"/>
        <v>17.538499999999999</v>
      </c>
      <c r="BE252">
        <f t="shared" si="47"/>
        <v>19.61891687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0.52642800000000001</v>
      </c>
      <c r="H253" s="21">
        <v>42.475200000000001</v>
      </c>
      <c r="I253" s="21">
        <v>-1.7883300000000001E-2</v>
      </c>
      <c r="J253" s="21">
        <v>243</v>
      </c>
      <c r="K253" s="21">
        <v>0.52606200000000003</v>
      </c>
      <c r="L253">
        <f t="shared" si="36"/>
        <v>17.883300000000002</v>
      </c>
      <c r="M253">
        <f t="shared" si="37"/>
        <v>9.4142698524000004</v>
      </c>
      <c r="N253" s="9"/>
      <c r="O253" s="21">
        <v>1.1236600000000001</v>
      </c>
      <c r="P253" s="21">
        <v>114.235</v>
      </c>
      <c r="Q253" s="21">
        <v>-1.7578099999999999E-2</v>
      </c>
      <c r="R253" s="21">
        <v>243</v>
      </c>
      <c r="S253" s="21">
        <v>1.1230500000000001</v>
      </c>
      <c r="T253">
        <f t="shared" si="38"/>
        <v>17.578099999999999</v>
      </c>
      <c r="U253">
        <f t="shared" si="39"/>
        <v>19.751807846000002</v>
      </c>
      <c r="X253" s="9"/>
      <c r="Y253" s="21">
        <v>0.52642800000000001</v>
      </c>
      <c r="Z253" s="21">
        <v>181.91</v>
      </c>
      <c r="AA253" s="21">
        <v>-1.7864999999999999E-2</v>
      </c>
      <c r="AB253" s="21">
        <v>243</v>
      </c>
      <c r="AC253" s="21">
        <v>0.52606200000000003</v>
      </c>
      <c r="AD253">
        <f t="shared" si="40"/>
        <v>17.864999999999998</v>
      </c>
      <c r="AE253">
        <f t="shared" si="41"/>
        <v>9.4046362199999987</v>
      </c>
      <c r="AF253" s="9"/>
      <c r="AG253" s="21">
        <v>1.1236600000000001</v>
      </c>
      <c r="AH253" s="21">
        <v>248.45599999999999</v>
      </c>
      <c r="AI253" s="21">
        <v>-1.7565899999999999E-2</v>
      </c>
      <c r="AJ253" s="21">
        <v>243</v>
      </c>
      <c r="AK253" s="21">
        <v>1.1224400000000001</v>
      </c>
      <c r="AL253">
        <f t="shared" si="42"/>
        <v>17.565899999999999</v>
      </c>
      <c r="AM253">
        <f t="shared" si="43"/>
        <v>19.738099194</v>
      </c>
      <c r="AP253" s="9"/>
      <c r="AQ253" s="21">
        <v>0.52642800000000001</v>
      </c>
      <c r="AR253" s="21">
        <v>306.16000000000003</v>
      </c>
      <c r="AS253" s="21">
        <v>-1.7852799999999999E-2</v>
      </c>
      <c r="AT253" s="21">
        <v>243</v>
      </c>
      <c r="AU253" s="21">
        <v>0.52554299999999998</v>
      </c>
      <c r="AV253">
        <f t="shared" si="44"/>
        <v>17.852799999999998</v>
      </c>
      <c r="AW253">
        <f t="shared" si="45"/>
        <v>9.3982137983999987</v>
      </c>
      <c r="AX253" s="9"/>
      <c r="AY253" s="21">
        <v>1.1236600000000001</v>
      </c>
      <c r="AZ253" s="21">
        <v>376.59100000000001</v>
      </c>
      <c r="BA253" s="21">
        <v>-1.7532300000000001E-2</v>
      </c>
      <c r="BB253" s="21">
        <v>243</v>
      </c>
      <c r="BC253" s="21">
        <v>1.1230500000000001</v>
      </c>
      <c r="BD253">
        <f t="shared" si="46"/>
        <v>17.532299999999999</v>
      </c>
      <c r="BE253">
        <f t="shared" si="47"/>
        <v>19.700344218000001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0.521393</v>
      </c>
      <c r="H254" s="21">
        <v>42.575899999999997</v>
      </c>
      <c r="I254" s="21">
        <v>-1.78894E-2</v>
      </c>
      <c r="J254" s="21">
        <v>244</v>
      </c>
      <c r="K254" s="21">
        <v>0.52035500000000001</v>
      </c>
      <c r="L254">
        <f t="shared" si="36"/>
        <v>17.889399999999998</v>
      </c>
      <c r="M254">
        <f t="shared" si="37"/>
        <v>9.3274079341999983</v>
      </c>
      <c r="N254" s="9"/>
      <c r="O254" s="21">
        <v>1.12869</v>
      </c>
      <c r="P254" s="21">
        <v>114.336</v>
      </c>
      <c r="Q254" s="21">
        <v>-1.7572000000000001E-2</v>
      </c>
      <c r="R254" s="21">
        <v>244</v>
      </c>
      <c r="S254" s="21">
        <v>1.1273200000000001</v>
      </c>
      <c r="T254">
        <f t="shared" si="38"/>
        <v>17.571999999999999</v>
      </c>
      <c r="U254">
        <f t="shared" si="39"/>
        <v>19.833340679999999</v>
      </c>
      <c r="X254" s="9"/>
      <c r="Y254" s="21">
        <v>0.521393</v>
      </c>
      <c r="Z254" s="21">
        <v>182.011</v>
      </c>
      <c r="AA254" s="21">
        <v>-1.78741E-2</v>
      </c>
      <c r="AB254" s="21">
        <v>244</v>
      </c>
      <c r="AC254" s="21">
        <v>0.521088</v>
      </c>
      <c r="AD254">
        <f t="shared" si="40"/>
        <v>17.874100000000002</v>
      </c>
      <c r="AE254">
        <f t="shared" si="41"/>
        <v>9.3194306213000004</v>
      </c>
      <c r="AF254" s="9"/>
      <c r="AG254" s="21">
        <v>1.12869</v>
      </c>
      <c r="AH254" s="21">
        <v>248.55600000000001</v>
      </c>
      <c r="AI254" s="21">
        <v>-1.7569000000000001E-2</v>
      </c>
      <c r="AJ254" s="21">
        <v>244</v>
      </c>
      <c r="AK254" s="21">
        <v>1.1285400000000001</v>
      </c>
      <c r="AL254">
        <f t="shared" si="42"/>
        <v>17.569000000000003</v>
      </c>
      <c r="AM254">
        <f t="shared" si="43"/>
        <v>19.829954610000001</v>
      </c>
      <c r="AP254" s="9"/>
      <c r="AQ254" s="21">
        <v>0.521393</v>
      </c>
      <c r="AR254" s="21">
        <v>306.26100000000002</v>
      </c>
      <c r="AS254" s="21">
        <v>-1.7852799999999999E-2</v>
      </c>
      <c r="AT254" s="21">
        <v>244</v>
      </c>
      <c r="AU254" s="21">
        <v>0.52084399999999997</v>
      </c>
      <c r="AV254">
        <f t="shared" si="44"/>
        <v>17.852799999999998</v>
      </c>
      <c r="AW254">
        <f t="shared" si="45"/>
        <v>9.3083249503999994</v>
      </c>
      <c r="AX254" s="9"/>
      <c r="AY254" s="21">
        <v>1.12869</v>
      </c>
      <c r="AZ254" s="21">
        <v>376.69099999999997</v>
      </c>
      <c r="BA254" s="21">
        <v>-1.7529300000000001E-2</v>
      </c>
      <c r="BB254" s="21">
        <v>244</v>
      </c>
      <c r="BC254" s="21">
        <v>1.1279300000000001</v>
      </c>
      <c r="BD254">
        <f t="shared" si="46"/>
        <v>17.529300000000003</v>
      </c>
      <c r="BE254">
        <f t="shared" si="47"/>
        <v>19.785145617000001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0.51635699999999995</v>
      </c>
      <c r="H255" s="21">
        <v>42.676699999999997</v>
      </c>
      <c r="I255" s="21">
        <v>-1.7892499999999999E-2</v>
      </c>
      <c r="J255" s="21">
        <v>245</v>
      </c>
      <c r="K255" s="21">
        <v>0.51590000000000003</v>
      </c>
      <c r="L255">
        <f t="shared" si="36"/>
        <v>17.892499999999998</v>
      </c>
      <c r="M255">
        <f t="shared" si="37"/>
        <v>9.2389176224999989</v>
      </c>
      <c r="N255" s="9"/>
      <c r="O255" s="21">
        <v>1.1337299999999999</v>
      </c>
      <c r="P255" s="21">
        <v>114.437</v>
      </c>
      <c r="Q255" s="21">
        <v>-1.7572000000000001E-2</v>
      </c>
      <c r="R255" s="21">
        <v>245</v>
      </c>
      <c r="S255" s="21">
        <v>1.1328100000000001</v>
      </c>
      <c r="T255">
        <f t="shared" si="38"/>
        <v>17.571999999999999</v>
      </c>
      <c r="U255">
        <f t="shared" si="39"/>
        <v>19.921903559999997</v>
      </c>
      <c r="X255" s="9"/>
      <c r="Y255" s="21">
        <v>0.51635699999999995</v>
      </c>
      <c r="Z255" s="21">
        <v>182.11199999999999</v>
      </c>
      <c r="AA255" s="21">
        <v>-1.7871100000000001E-2</v>
      </c>
      <c r="AB255" s="21">
        <v>245</v>
      </c>
      <c r="AC255" s="21">
        <v>0.51666299999999998</v>
      </c>
      <c r="AD255">
        <f t="shared" si="40"/>
        <v>17.871100000000002</v>
      </c>
      <c r="AE255">
        <f t="shared" si="41"/>
        <v>9.2278675827000001</v>
      </c>
      <c r="AF255" s="9"/>
      <c r="AG255" s="21">
        <v>1.1337299999999999</v>
      </c>
      <c r="AH255" s="21">
        <v>248.65700000000001</v>
      </c>
      <c r="AI255" s="21">
        <v>-1.75598E-2</v>
      </c>
      <c r="AJ255" s="21">
        <v>245</v>
      </c>
      <c r="AK255" s="21">
        <v>1.1334200000000001</v>
      </c>
      <c r="AL255">
        <f t="shared" si="42"/>
        <v>17.559799999999999</v>
      </c>
      <c r="AM255">
        <f t="shared" si="43"/>
        <v>19.908072053999998</v>
      </c>
      <c r="AP255" s="9"/>
      <c r="AQ255" s="21">
        <v>0.51635699999999995</v>
      </c>
      <c r="AR255" s="21">
        <v>306.36200000000002</v>
      </c>
      <c r="AS255" s="21">
        <v>-1.7855800000000002E-2</v>
      </c>
      <c r="AT255" s="21">
        <v>245</v>
      </c>
      <c r="AU255" s="21">
        <v>0.51590000000000003</v>
      </c>
      <c r="AV255">
        <f t="shared" si="44"/>
        <v>17.855800000000002</v>
      </c>
      <c r="AW255">
        <f t="shared" si="45"/>
        <v>9.2199673206000003</v>
      </c>
      <c r="AX255" s="9"/>
      <c r="AY255" s="21">
        <v>1.1337299999999999</v>
      </c>
      <c r="AZ255" s="21">
        <v>376.79199999999997</v>
      </c>
      <c r="BA255" s="21">
        <v>-1.75201E-2</v>
      </c>
      <c r="BB255" s="21">
        <v>245</v>
      </c>
      <c r="BC255" s="21">
        <v>1.1331199999999999</v>
      </c>
      <c r="BD255">
        <f t="shared" si="46"/>
        <v>17.520099999999999</v>
      </c>
      <c r="BE255">
        <f t="shared" si="47"/>
        <v>19.863062972999998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0.51132200000000005</v>
      </c>
      <c r="H256" s="21">
        <v>42.7774</v>
      </c>
      <c r="I256" s="21">
        <v>-1.7892499999999999E-2</v>
      </c>
      <c r="J256" s="21">
        <v>246</v>
      </c>
      <c r="K256" s="21">
        <v>0.51086399999999998</v>
      </c>
      <c r="L256">
        <f t="shared" si="36"/>
        <v>17.892499999999998</v>
      </c>
      <c r="M256">
        <f t="shared" si="37"/>
        <v>9.1488288850000004</v>
      </c>
      <c r="N256" s="9"/>
      <c r="O256" s="21">
        <v>1.13876</v>
      </c>
      <c r="P256" s="21">
        <v>114.538</v>
      </c>
      <c r="Q256" s="21">
        <v>-1.7569000000000001E-2</v>
      </c>
      <c r="R256" s="21">
        <v>246</v>
      </c>
      <c r="S256" s="21">
        <v>1.1373899999999999</v>
      </c>
      <c r="T256">
        <f t="shared" si="38"/>
        <v>17.569000000000003</v>
      </c>
      <c r="U256">
        <f t="shared" si="39"/>
        <v>20.006874440000004</v>
      </c>
      <c r="X256" s="9"/>
      <c r="Y256" s="21">
        <v>0.51132200000000005</v>
      </c>
      <c r="Z256" s="21">
        <v>182.21299999999999</v>
      </c>
      <c r="AA256" s="21">
        <v>-1.78741E-2</v>
      </c>
      <c r="AB256" s="21">
        <v>246</v>
      </c>
      <c r="AC256" s="21">
        <v>0.51083400000000001</v>
      </c>
      <c r="AD256">
        <f t="shared" si="40"/>
        <v>17.874100000000002</v>
      </c>
      <c r="AE256">
        <f t="shared" si="41"/>
        <v>9.1394205602000014</v>
      </c>
      <c r="AF256" s="9"/>
      <c r="AG256" s="21">
        <v>1.13876</v>
      </c>
      <c r="AH256" s="21">
        <v>248.75800000000001</v>
      </c>
      <c r="AI256" s="21">
        <v>-1.75598E-2</v>
      </c>
      <c r="AJ256" s="21">
        <v>246</v>
      </c>
      <c r="AK256" s="21">
        <v>1.1383099999999999</v>
      </c>
      <c r="AL256">
        <f t="shared" si="42"/>
        <v>17.559799999999999</v>
      </c>
      <c r="AM256">
        <f t="shared" si="43"/>
        <v>19.996397847999997</v>
      </c>
      <c r="AP256" s="9"/>
      <c r="AQ256" s="21">
        <v>0.51132200000000005</v>
      </c>
      <c r="AR256" s="21">
        <v>306.46300000000002</v>
      </c>
      <c r="AS256" s="21">
        <v>-1.7855800000000002E-2</v>
      </c>
      <c r="AT256" s="21">
        <v>246</v>
      </c>
      <c r="AU256" s="21">
        <v>0.51077300000000003</v>
      </c>
      <c r="AV256">
        <f t="shared" si="44"/>
        <v>17.855800000000002</v>
      </c>
      <c r="AW256">
        <f t="shared" si="45"/>
        <v>9.1300633676000018</v>
      </c>
      <c r="AX256" s="9"/>
      <c r="AY256" s="21">
        <v>1.13876</v>
      </c>
      <c r="AZ256" s="21">
        <v>376.89299999999997</v>
      </c>
      <c r="BA256" s="21">
        <v>-1.7523199999999999E-2</v>
      </c>
      <c r="BB256" s="21">
        <v>246</v>
      </c>
      <c r="BC256" s="21">
        <v>1.1376999999999999</v>
      </c>
      <c r="BD256">
        <f t="shared" si="46"/>
        <v>17.523199999999999</v>
      </c>
      <c r="BE256">
        <f t="shared" si="47"/>
        <v>19.954719231999999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0.50628700000000004</v>
      </c>
      <c r="H257" s="21">
        <v>42.878100000000003</v>
      </c>
      <c r="I257" s="21">
        <v>-1.7895500000000002E-2</v>
      </c>
      <c r="J257" s="21">
        <v>247</v>
      </c>
      <c r="K257" s="21">
        <v>0.50595100000000004</v>
      </c>
      <c r="L257">
        <f t="shared" si="36"/>
        <v>17.895500000000002</v>
      </c>
      <c r="M257">
        <f t="shared" si="37"/>
        <v>9.060259008500001</v>
      </c>
      <c r="N257" s="9"/>
      <c r="O257" s="21">
        <v>1.1437999999999999</v>
      </c>
      <c r="P257" s="21">
        <v>114.63800000000001</v>
      </c>
      <c r="Q257" s="21">
        <v>-1.7565899999999999E-2</v>
      </c>
      <c r="R257" s="21">
        <v>247</v>
      </c>
      <c r="S257" s="21">
        <v>1.1431899999999999</v>
      </c>
      <c r="T257">
        <f t="shared" si="38"/>
        <v>17.565899999999999</v>
      </c>
      <c r="U257">
        <f t="shared" si="39"/>
        <v>20.091876419999998</v>
      </c>
      <c r="X257" s="9"/>
      <c r="Y257" s="21">
        <v>0.50628700000000004</v>
      </c>
      <c r="Z257" s="21">
        <v>182.31299999999999</v>
      </c>
      <c r="AA257" s="21">
        <v>-1.7877199999999999E-2</v>
      </c>
      <c r="AB257" s="21">
        <v>247</v>
      </c>
      <c r="AC257" s="21">
        <v>0.50585899999999995</v>
      </c>
      <c r="AD257">
        <f t="shared" si="40"/>
        <v>17.877199999999998</v>
      </c>
      <c r="AE257">
        <f t="shared" si="41"/>
        <v>9.0509939563999993</v>
      </c>
      <c r="AF257" s="9"/>
      <c r="AG257" s="21">
        <v>1.1437999999999999</v>
      </c>
      <c r="AH257" s="21">
        <v>248.858</v>
      </c>
      <c r="AI257" s="21">
        <v>-1.7550699999999999E-2</v>
      </c>
      <c r="AJ257" s="21">
        <v>247</v>
      </c>
      <c r="AK257" s="21">
        <v>1.1431899999999999</v>
      </c>
      <c r="AL257">
        <f t="shared" si="42"/>
        <v>17.550699999999999</v>
      </c>
      <c r="AM257">
        <f t="shared" si="43"/>
        <v>20.074490659999999</v>
      </c>
      <c r="AP257" s="9"/>
      <c r="AQ257" s="21">
        <v>0.50628700000000004</v>
      </c>
      <c r="AR257" s="21">
        <v>306.56299999999999</v>
      </c>
      <c r="AS257" s="21">
        <v>-1.78589E-2</v>
      </c>
      <c r="AT257" s="21">
        <v>247</v>
      </c>
      <c r="AU257" s="21">
        <v>0.50564600000000004</v>
      </c>
      <c r="AV257">
        <f t="shared" si="44"/>
        <v>17.858900000000002</v>
      </c>
      <c r="AW257">
        <f t="shared" si="45"/>
        <v>9.0417289043000011</v>
      </c>
      <c r="AX257" s="9"/>
      <c r="AY257" s="21">
        <v>1.1437999999999999</v>
      </c>
      <c r="AZ257" s="21">
        <v>376.99299999999999</v>
      </c>
      <c r="BA257" s="21">
        <v>-1.7517100000000001E-2</v>
      </c>
      <c r="BB257" s="21">
        <v>247</v>
      </c>
      <c r="BC257" s="21">
        <v>1.1428799999999999</v>
      </c>
      <c r="BD257">
        <f t="shared" si="46"/>
        <v>17.517099999999999</v>
      </c>
      <c r="BE257">
        <f t="shared" si="47"/>
        <v>20.036058979999996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0.501251</v>
      </c>
      <c r="H258" s="21">
        <v>42.9788</v>
      </c>
      <c r="I258" s="21">
        <v>-1.79016E-2</v>
      </c>
      <c r="J258" s="21">
        <v>248</v>
      </c>
      <c r="K258" s="21">
        <v>0.500641</v>
      </c>
      <c r="L258">
        <f t="shared" si="36"/>
        <v>17.901599999999998</v>
      </c>
      <c r="M258">
        <f t="shared" si="37"/>
        <v>8.9731949015999994</v>
      </c>
      <c r="N258" s="9"/>
      <c r="O258" s="21">
        <v>1.14883</v>
      </c>
      <c r="P258" s="21">
        <v>114.739</v>
      </c>
      <c r="Q258" s="21">
        <v>-1.7562899999999999E-2</v>
      </c>
      <c r="R258" s="21">
        <v>248</v>
      </c>
      <c r="S258" s="21">
        <v>1.1486799999999999</v>
      </c>
      <c r="T258">
        <f t="shared" si="38"/>
        <v>17.562899999999999</v>
      </c>
      <c r="U258">
        <f t="shared" si="39"/>
        <v>20.176786406999998</v>
      </c>
      <c r="X258" s="9"/>
      <c r="Y258" s="21">
        <v>0.501251</v>
      </c>
      <c r="Z258" s="21">
        <v>182.41399999999999</v>
      </c>
      <c r="AA258" s="21">
        <v>-1.7877199999999999E-2</v>
      </c>
      <c r="AB258" s="21">
        <v>248</v>
      </c>
      <c r="AC258" s="21">
        <v>0.50082400000000005</v>
      </c>
      <c r="AD258">
        <f t="shared" si="40"/>
        <v>17.877199999999998</v>
      </c>
      <c r="AE258">
        <f t="shared" si="41"/>
        <v>8.9609643771999998</v>
      </c>
      <c r="AF258" s="9"/>
      <c r="AG258" s="21">
        <v>1.14883</v>
      </c>
      <c r="AH258" s="21">
        <v>248.959</v>
      </c>
      <c r="AI258" s="21">
        <v>-1.7553699999999998E-2</v>
      </c>
      <c r="AJ258" s="21">
        <v>248</v>
      </c>
      <c r="AK258" s="21">
        <v>1.1480699999999999</v>
      </c>
      <c r="AL258">
        <f t="shared" si="42"/>
        <v>17.553699999999999</v>
      </c>
      <c r="AM258">
        <f t="shared" si="43"/>
        <v>20.166217171</v>
      </c>
      <c r="AP258" s="9"/>
      <c r="AQ258" s="21">
        <v>0.501251</v>
      </c>
      <c r="AR258" s="21">
        <v>306.66399999999999</v>
      </c>
      <c r="AS258" s="21">
        <v>-1.7864999999999999E-2</v>
      </c>
      <c r="AT258" s="21">
        <v>248</v>
      </c>
      <c r="AU258" s="21">
        <v>0.50076299999999996</v>
      </c>
      <c r="AV258">
        <f t="shared" si="44"/>
        <v>17.864999999999998</v>
      </c>
      <c r="AW258">
        <f t="shared" si="45"/>
        <v>8.954849115</v>
      </c>
      <c r="AX258" s="9"/>
      <c r="AY258" s="21">
        <v>1.14883</v>
      </c>
      <c r="AZ258" s="21">
        <v>377.09399999999999</v>
      </c>
      <c r="BA258" s="21">
        <v>-1.7513999999999998E-2</v>
      </c>
      <c r="BB258" s="21">
        <v>248</v>
      </c>
      <c r="BC258" s="21">
        <v>1.1480699999999999</v>
      </c>
      <c r="BD258">
        <f t="shared" si="46"/>
        <v>17.513999999999999</v>
      </c>
      <c r="BE258">
        <f t="shared" si="47"/>
        <v>20.120608619999999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0.49621599999999999</v>
      </c>
      <c r="H259" s="21">
        <v>43.079500000000003</v>
      </c>
      <c r="I259" s="21">
        <v>-1.7904699999999999E-2</v>
      </c>
      <c r="J259" s="21">
        <v>249</v>
      </c>
      <c r="K259" s="21">
        <v>0.496033</v>
      </c>
      <c r="L259">
        <f t="shared" si="36"/>
        <v>17.904699999999998</v>
      </c>
      <c r="M259">
        <f t="shared" si="37"/>
        <v>8.8845986151999998</v>
      </c>
      <c r="N259" s="9"/>
      <c r="O259" s="21">
        <v>1.15387</v>
      </c>
      <c r="P259" s="21">
        <v>114.84</v>
      </c>
      <c r="Q259" s="21">
        <v>-1.7562899999999999E-2</v>
      </c>
      <c r="R259" s="21">
        <v>249</v>
      </c>
      <c r="S259" s="21">
        <v>1.15326</v>
      </c>
      <c r="T259">
        <f t="shared" si="38"/>
        <v>17.562899999999999</v>
      </c>
      <c r="U259">
        <f t="shared" si="39"/>
        <v>20.265303422999999</v>
      </c>
      <c r="X259" s="9"/>
      <c r="Y259" s="21">
        <v>0.49621599999999999</v>
      </c>
      <c r="Z259" s="21">
        <v>182.51499999999999</v>
      </c>
      <c r="AA259" s="21">
        <v>-1.7880199999999999E-2</v>
      </c>
      <c r="AB259" s="21">
        <v>249</v>
      </c>
      <c r="AC259" s="21">
        <v>0.49566700000000002</v>
      </c>
      <c r="AD259">
        <f t="shared" si="40"/>
        <v>17.880199999999999</v>
      </c>
      <c r="AE259">
        <f t="shared" si="41"/>
        <v>8.8724413231999986</v>
      </c>
      <c r="AF259" s="9"/>
      <c r="AG259" s="21">
        <v>1.15387</v>
      </c>
      <c r="AH259" s="21">
        <v>249.06</v>
      </c>
      <c r="AI259" s="21">
        <v>-1.75476E-2</v>
      </c>
      <c r="AJ259" s="21">
        <v>249</v>
      </c>
      <c r="AK259" s="21">
        <v>1.15326</v>
      </c>
      <c r="AL259">
        <f t="shared" si="42"/>
        <v>17.547599999999999</v>
      </c>
      <c r="AM259">
        <f t="shared" si="43"/>
        <v>20.247649211999999</v>
      </c>
      <c r="AP259" s="9"/>
      <c r="AQ259" s="21">
        <v>0.49621599999999999</v>
      </c>
      <c r="AR259" s="21">
        <v>306.76499999999999</v>
      </c>
      <c r="AS259" s="21">
        <v>-1.7864999999999999E-2</v>
      </c>
      <c r="AT259" s="21">
        <v>249</v>
      </c>
      <c r="AU259" s="21">
        <v>0.49597200000000002</v>
      </c>
      <c r="AV259">
        <f t="shared" si="44"/>
        <v>17.864999999999998</v>
      </c>
      <c r="AW259">
        <f t="shared" si="45"/>
        <v>8.8648988399999986</v>
      </c>
      <c r="AX259" s="9"/>
      <c r="AY259" s="21">
        <v>1.15387</v>
      </c>
      <c r="AZ259" s="21">
        <v>377.19499999999999</v>
      </c>
      <c r="BA259" s="21">
        <v>-1.7517100000000001E-2</v>
      </c>
      <c r="BB259" s="21">
        <v>249</v>
      </c>
      <c r="BC259" s="21">
        <v>1.1529499999999999</v>
      </c>
      <c r="BD259">
        <f t="shared" si="46"/>
        <v>17.517099999999999</v>
      </c>
      <c r="BE259">
        <f t="shared" si="47"/>
        <v>20.212456177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0.49118000000000001</v>
      </c>
      <c r="H260" s="21">
        <v>43.180199999999999</v>
      </c>
      <c r="I260" s="21">
        <v>-1.7907699999999999E-2</v>
      </c>
      <c r="J260" s="21">
        <v>250</v>
      </c>
      <c r="K260" s="21">
        <v>0.49020399999999997</v>
      </c>
      <c r="L260">
        <f t="shared" si="36"/>
        <v>17.907699999999998</v>
      </c>
      <c r="M260">
        <f t="shared" si="37"/>
        <v>8.7959040860000002</v>
      </c>
      <c r="N260" s="9"/>
      <c r="O260" s="21">
        <v>1.1589100000000001</v>
      </c>
      <c r="P260" s="21">
        <v>114.94</v>
      </c>
      <c r="Q260" s="21">
        <v>-1.7562899999999999E-2</v>
      </c>
      <c r="R260" s="21">
        <v>250</v>
      </c>
      <c r="S260" s="21">
        <v>1.1575299999999999</v>
      </c>
      <c r="T260">
        <f t="shared" si="38"/>
        <v>17.562899999999999</v>
      </c>
      <c r="U260">
        <f t="shared" si="39"/>
        <v>20.353820439</v>
      </c>
      <c r="X260" s="9"/>
      <c r="Y260" s="21">
        <v>0.49118000000000001</v>
      </c>
      <c r="Z260" s="21">
        <v>182.61500000000001</v>
      </c>
      <c r="AA260" s="21">
        <v>-1.78864E-2</v>
      </c>
      <c r="AB260" s="21">
        <v>250</v>
      </c>
      <c r="AC260" s="21">
        <v>0.490448</v>
      </c>
      <c r="AD260">
        <f t="shared" si="40"/>
        <v>17.886400000000002</v>
      </c>
      <c r="AE260">
        <f t="shared" si="41"/>
        <v>8.7854419520000011</v>
      </c>
      <c r="AF260" s="9"/>
      <c r="AG260" s="21">
        <v>1.1589100000000001</v>
      </c>
      <c r="AH260" s="21">
        <v>249.16</v>
      </c>
      <c r="AI260" s="21">
        <v>-1.75476E-2</v>
      </c>
      <c r="AJ260" s="21">
        <v>250</v>
      </c>
      <c r="AK260" s="21">
        <v>1.15784</v>
      </c>
      <c r="AL260">
        <f t="shared" si="42"/>
        <v>17.547599999999999</v>
      </c>
      <c r="AM260">
        <f t="shared" si="43"/>
        <v>20.336089116</v>
      </c>
      <c r="AP260" s="9"/>
      <c r="AQ260" s="21">
        <v>0.49118000000000001</v>
      </c>
      <c r="AR260" s="21">
        <v>306.86500000000001</v>
      </c>
      <c r="AS260" s="21">
        <v>-1.7871100000000001E-2</v>
      </c>
      <c r="AT260" s="21">
        <v>250</v>
      </c>
      <c r="AU260" s="21">
        <v>0.49053999999999998</v>
      </c>
      <c r="AV260">
        <f t="shared" si="44"/>
        <v>17.871100000000002</v>
      </c>
      <c r="AW260">
        <f t="shared" si="45"/>
        <v>8.7779268980000005</v>
      </c>
      <c r="AX260" s="9"/>
      <c r="AY260" s="21">
        <v>1.1589100000000001</v>
      </c>
      <c r="AZ260" s="21">
        <v>377.29599999999999</v>
      </c>
      <c r="BA260" s="21">
        <v>-1.7517100000000001E-2</v>
      </c>
      <c r="BB260" s="21">
        <v>250</v>
      </c>
      <c r="BC260" s="21">
        <v>1.15784</v>
      </c>
      <c r="BD260">
        <f t="shared" si="46"/>
        <v>17.517099999999999</v>
      </c>
      <c r="BE260">
        <f t="shared" si="47"/>
        <v>20.300742361000001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0.48614499999999999</v>
      </c>
      <c r="H261" s="21">
        <v>43.280900000000003</v>
      </c>
      <c r="I261" s="21">
        <v>-1.7910800000000001E-2</v>
      </c>
      <c r="J261" s="21">
        <v>251</v>
      </c>
      <c r="K261" s="21">
        <v>0.48513800000000001</v>
      </c>
      <c r="L261">
        <f t="shared" si="36"/>
        <v>17.910800000000002</v>
      </c>
      <c r="M261">
        <f t="shared" si="37"/>
        <v>8.7072458660000009</v>
      </c>
      <c r="N261" s="9"/>
      <c r="O261" s="21">
        <v>1.16394</v>
      </c>
      <c r="P261" s="21">
        <v>115.041</v>
      </c>
      <c r="Q261" s="21">
        <v>-1.7556800000000001E-2</v>
      </c>
      <c r="R261" s="21">
        <v>251</v>
      </c>
      <c r="S261" s="21">
        <v>1.1630199999999999</v>
      </c>
      <c r="T261">
        <f t="shared" si="38"/>
        <v>17.556800000000003</v>
      </c>
      <c r="U261">
        <f t="shared" si="39"/>
        <v>20.435061792000003</v>
      </c>
      <c r="X261" s="9"/>
      <c r="Y261" s="21">
        <v>0.48614499999999999</v>
      </c>
      <c r="Z261" s="21">
        <v>182.71600000000001</v>
      </c>
      <c r="AA261" s="21">
        <v>-1.7883300000000001E-2</v>
      </c>
      <c r="AB261" s="21">
        <v>251</v>
      </c>
      <c r="AC261" s="21">
        <v>0.48550399999999999</v>
      </c>
      <c r="AD261">
        <f t="shared" si="40"/>
        <v>17.883300000000002</v>
      </c>
      <c r="AE261">
        <f t="shared" si="41"/>
        <v>8.6938768785000011</v>
      </c>
      <c r="AF261" s="9"/>
      <c r="AG261" s="21">
        <v>1.16394</v>
      </c>
      <c r="AH261" s="21">
        <v>249.261</v>
      </c>
      <c r="AI261" s="21">
        <v>-1.75476E-2</v>
      </c>
      <c r="AJ261" s="21">
        <v>251</v>
      </c>
      <c r="AK261" s="21">
        <v>1.16272</v>
      </c>
      <c r="AL261">
        <f t="shared" si="42"/>
        <v>17.547599999999999</v>
      </c>
      <c r="AM261">
        <f t="shared" si="43"/>
        <v>20.424353543999999</v>
      </c>
      <c r="AP261" s="9"/>
      <c r="AQ261" s="21">
        <v>0.48614499999999999</v>
      </c>
      <c r="AR261" s="21">
        <v>306.96600000000001</v>
      </c>
      <c r="AS261" s="21">
        <v>-1.7867999999999998E-2</v>
      </c>
      <c r="AT261" s="21">
        <v>251</v>
      </c>
      <c r="AU261" s="21">
        <v>0.48556500000000002</v>
      </c>
      <c r="AV261">
        <f t="shared" si="44"/>
        <v>17.867999999999999</v>
      </c>
      <c r="AW261">
        <f t="shared" si="45"/>
        <v>8.6864388599999991</v>
      </c>
      <c r="AX261" s="9"/>
      <c r="AY261" s="21">
        <v>1.16394</v>
      </c>
      <c r="AZ261" s="21">
        <v>377.39600000000002</v>
      </c>
      <c r="BA261" s="21">
        <v>-1.7513999999999998E-2</v>
      </c>
      <c r="BB261" s="21">
        <v>251</v>
      </c>
      <c r="BC261" s="21">
        <v>1.1630199999999999</v>
      </c>
      <c r="BD261">
        <f t="shared" si="46"/>
        <v>17.513999999999999</v>
      </c>
      <c r="BE261">
        <f t="shared" si="47"/>
        <v>20.38524516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0.48110999999999998</v>
      </c>
      <c r="H262" s="21">
        <v>43.381599999999999</v>
      </c>
      <c r="I262" s="21">
        <v>-1.7913800000000001E-2</v>
      </c>
      <c r="J262" s="21">
        <v>252</v>
      </c>
      <c r="K262" s="21">
        <v>0.48065200000000002</v>
      </c>
      <c r="L262">
        <f t="shared" si="36"/>
        <v>17.913800000000002</v>
      </c>
      <c r="M262">
        <f t="shared" si="37"/>
        <v>8.6185083179999999</v>
      </c>
      <c r="N262" s="9"/>
      <c r="O262" s="21">
        <v>1.1689799999999999</v>
      </c>
      <c r="P262" s="21">
        <v>115.142</v>
      </c>
      <c r="Q262" s="21">
        <v>-1.7550699999999999E-2</v>
      </c>
      <c r="R262" s="21">
        <v>252</v>
      </c>
      <c r="S262" s="21">
        <v>1.16852</v>
      </c>
      <c r="T262">
        <f t="shared" si="38"/>
        <v>17.550699999999999</v>
      </c>
      <c r="U262">
        <f t="shared" si="39"/>
        <v>20.516417285999996</v>
      </c>
      <c r="X262" s="9"/>
      <c r="Y262" s="21">
        <v>0.48110999999999998</v>
      </c>
      <c r="Z262" s="21">
        <v>182.81700000000001</v>
      </c>
      <c r="AA262" s="21">
        <v>-1.7892499999999999E-2</v>
      </c>
      <c r="AB262" s="21">
        <v>252</v>
      </c>
      <c r="AC262" s="21">
        <v>0.48034700000000002</v>
      </c>
      <c r="AD262">
        <f t="shared" si="40"/>
        <v>17.892499999999998</v>
      </c>
      <c r="AE262">
        <f t="shared" si="41"/>
        <v>8.6082606749999986</v>
      </c>
      <c r="AF262" s="9"/>
      <c r="AG262" s="21">
        <v>1.1689799999999999</v>
      </c>
      <c r="AH262" s="21">
        <v>249.36199999999999</v>
      </c>
      <c r="AI262" s="21">
        <v>-1.75446E-2</v>
      </c>
      <c r="AJ262" s="21">
        <v>252</v>
      </c>
      <c r="AK262" s="21">
        <v>1.16974</v>
      </c>
      <c r="AL262">
        <f t="shared" si="42"/>
        <v>17.544599999999999</v>
      </c>
      <c r="AM262">
        <f t="shared" si="43"/>
        <v>20.509286507999999</v>
      </c>
      <c r="AP262" s="9"/>
      <c r="AQ262" s="21">
        <v>0.48110999999999998</v>
      </c>
      <c r="AR262" s="21">
        <v>307.06700000000001</v>
      </c>
      <c r="AS262" s="21">
        <v>-1.7880199999999999E-2</v>
      </c>
      <c r="AT262" s="21">
        <v>252</v>
      </c>
      <c r="AU262" s="21">
        <v>0.48043799999999998</v>
      </c>
      <c r="AV262">
        <f t="shared" si="44"/>
        <v>17.880199999999999</v>
      </c>
      <c r="AW262">
        <f t="shared" si="45"/>
        <v>8.6023430219999995</v>
      </c>
      <c r="AX262" s="9"/>
      <c r="AY262" s="21">
        <v>1.1689799999999999</v>
      </c>
      <c r="AZ262" s="21">
        <v>377.49700000000001</v>
      </c>
      <c r="BA262" s="21">
        <v>-1.7510999999999999E-2</v>
      </c>
      <c r="BB262" s="21">
        <v>252</v>
      </c>
      <c r="BC262" s="21">
        <v>1.16821</v>
      </c>
      <c r="BD262">
        <f t="shared" si="46"/>
        <v>17.510999999999999</v>
      </c>
      <c r="BE262">
        <f t="shared" si="47"/>
        <v>20.470008779999997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0.476074</v>
      </c>
      <c r="H263" s="21">
        <v>43.482300000000002</v>
      </c>
      <c r="I263" s="21">
        <v>-1.7919899999999999E-2</v>
      </c>
      <c r="J263" s="21">
        <v>253</v>
      </c>
      <c r="K263" s="21">
        <v>0.475769</v>
      </c>
      <c r="L263">
        <f t="shared" si="36"/>
        <v>17.919899999999998</v>
      </c>
      <c r="M263">
        <f t="shared" si="37"/>
        <v>8.5311984725999999</v>
      </c>
      <c r="N263" s="9"/>
      <c r="O263" s="21">
        <v>1.17401</v>
      </c>
      <c r="P263" s="21">
        <v>115.242</v>
      </c>
      <c r="Q263" s="21">
        <v>-1.7550699999999999E-2</v>
      </c>
      <c r="R263" s="21">
        <v>253</v>
      </c>
      <c r="S263" s="21">
        <v>1.1734</v>
      </c>
      <c r="T263">
        <f t="shared" si="38"/>
        <v>17.550699999999999</v>
      </c>
      <c r="U263">
        <f t="shared" si="39"/>
        <v>20.604697306999999</v>
      </c>
      <c r="X263" s="9"/>
      <c r="Y263" s="21">
        <v>0.476074</v>
      </c>
      <c r="Z263" s="21">
        <v>182.91800000000001</v>
      </c>
      <c r="AA263" s="21">
        <v>-1.7895500000000002E-2</v>
      </c>
      <c r="AB263" s="21">
        <v>253</v>
      </c>
      <c r="AC263" s="21">
        <v>0.47497600000000001</v>
      </c>
      <c r="AD263">
        <f t="shared" si="40"/>
        <v>17.895500000000002</v>
      </c>
      <c r="AE263">
        <f t="shared" si="41"/>
        <v>8.5195822670000005</v>
      </c>
      <c r="AF263" s="9"/>
      <c r="AG263" s="21">
        <v>1.17401</v>
      </c>
      <c r="AH263" s="21">
        <v>249.46299999999999</v>
      </c>
      <c r="AI263" s="21">
        <v>-1.7538499999999999E-2</v>
      </c>
      <c r="AJ263" s="21">
        <v>253</v>
      </c>
      <c r="AK263" s="21">
        <v>1.1731</v>
      </c>
      <c r="AL263">
        <f t="shared" si="42"/>
        <v>17.538499999999999</v>
      </c>
      <c r="AM263">
        <f t="shared" si="43"/>
        <v>20.590374385000001</v>
      </c>
      <c r="AP263" s="9"/>
      <c r="AQ263" s="21">
        <v>0.476074</v>
      </c>
      <c r="AR263" s="21">
        <v>307.16800000000001</v>
      </c>
      <c r="AS263" s="21">
        <v>-1.7877199999999999E-2</v>
      </c>
      <c r="AT263" s="21">
        <v>253</v>
      </c>
      <c r="AU263" s="21">
        <v>0.47537200000000002</v>
      </c>
      <c r="AV263">
        <f t="shared" si="44"/>
        <v>17.877199999999998</v>
      </c>
      <c r="AW263">
        <f t="shared" si="45"/>
        <v>8.5108701127999993</v>
      </c>
      <c r="AX263" s="9"/>
      <c r="AY263" s="21">
        <v>1.17401</v>
      </c>
      <c r="AZ263" s="21">
        <v>377.59800000000001</v>
      </c>
      <c r="BA263" s="21">
        <v>-1.75049E-2</v>
      </c>
      <c r="BB263" s="21">
        <v>253</v>
      </c>
      <c r="BC263" s="21">
        <v>1.1734</v>
      </c>
      <c r="BD263">
        <f t="shared" si="46"/>
        <v>17.504899999999999</v>
      </c>
      <c r="BE263">
        <f t="shared" si="47"/>
        <v>20.550927648999998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0.47103899999999999</v>
      </c>
      <c r="H264" s="21">
        <v>43.582999999999998</v>
      </c>
      <c r="I264" s="21">
        <v>-1.7913800000000001E-2</v>
      </c>
      <c r="J264" s="21">
        <v>254</v>
      </c>
      <c r="K264" s="21">
        <v>0.47045900000000002</v>
      </c>
      <c r="L264">
        <f t="shared" si="36"/>
        <v>17.913800000000002</v>
      </c>
      <c r="M264">
        <f t="shared" si="37"/>
        <v>8.4380984382000008</v>
      </c>
      <c r="N264" s="9"/>
      <c r="O264" s="21">
        <v>1.1790499999999999</v>
      </c>
      <c r="P264" s="21">
        <v>115.343</v>
      </c>
      <c r="Q264" s="21">
        <v>-1.7553699999999998E-2</v>
      </c>
      <c r="R264" s="21">
        <v>254</v>
      </c>
      <c r="S264" s="21">
        <v>1.17798</v>
      </c>
      <c r="T264">
        <f t="shared" si="38"/>
        <v>17.553699999999999</v>
      </c>
      <c r="U264">
        <f t="shared" si="39"/>
        <v>20.696689984999999</v>
      </c>
      <c r="X264" s="9"/>
      <c r="Y264" s="21">
        <v>0.47103899999999999</v>
      </c>
      <c r="Z264" s="21">
        <v>183.018</v>
      </c>
      <c r="AA264" s="21">
        <v>-1.7898600000000001E-2</v>
      </c>
      <c r="AB264" s="21">
        <v>254</v>
      </c>
      <c r="AC264" s="21">
        <v>0.47061199999999997</v>
      </c>
      <c r="AD264">
        <f t="shared" si="40"/>
        <v>17.898600000000002</v>
      </c>
      <c r="AE264">
        <f t="shared" si="41"/>
        <v>8.4309386454000013</v>
      </c>
      <c r="AF264" s="9"/>
      <c r="AG264" s="21">
        <v>1.1790499999999999</v>
      </c>
      <c r="AH264" s="21">
        <v>249.56299999999999</v>
      </c>
      <c r="AI264" s="21">
        <v>-1.7532300000000001E-2</v>
      </c>
      <c r="AJ264" s="21">
        <v>254</v>
      </c>
      <c r="AK264" s="21">
        <v>1.17859</v>
      </c>
      <c r="AL264">
        <f t="shared" si="42"/>
        <v>17.532299999999999</v>
      </c>
      <c r="AM264">
        <f t="shared" si="43"/>
        <v>20.671458314999999</v>
      </c>
      <c r="AP264" s="9"/>
      <c r="AQ264" s="21">
        <v>0.47103899999999999</v>
      </c>
      <c r="AR264" s="21">
        <v>307.26799999999997</v>
      </c>
      <c r="AS264" s="21">
        <v>-1.7877199999999999E-2</v>
      </c>
      <c r="AT264" s="21">
        <v>254</v>
      </c>
      <c r="AU264" s="21">
        <v>0.47049000000000002</v>
      </c>
      <c r="AV264">
        <f t="shared" si="44"/>
        <v>17.877199999999998</v>
      </c>
      <c r="AW264">
        <f t="shared" si="45"/>
        <v>8.4208584107999993</v>
      </c>
      <c r="AX264" s="9"/>
      <c r="AY264" s="21">
        <v>1.1790499999999999</v>
      </c>
      <c r="AZ264" s="21">
        <v>377.69799999999998</v>
      </c>
      <c r="BA264" s="21">
        <v>-1.7501800000000001E-2</v>
      </c>
      <c r="BB264" s="21">
        <v>254</v>
      </c>
      <c r="BC264" s="21">
        <v>1.17798</v>
      </c>
      <c r="BD264">
        <f t="shared" si="46"/>
        <v>17.501800000000003</v>
      </c>
      <c r="BE264">
        <f t="shared" si="47"/>
        <v>20.635497290000004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0.466003</v>
      </c>
      <c r="H265" s="21">
        <v>43.683700000000002</v>
      </c>
      <c r="I265" s="21">
        <v>-1.7916899999999999E-2</v>
      </c>
      <c r="J265" s="21">
        <v>255</v>
      </c>
      <c r="K265" s="21">
        <v>0.465393</v>
      </c>
      <c r="L265">
        <f t="shared" si="36"/>
        <v>17.916899999999998</v>
      </c>
      <c r="M265">
        <f t="shared" si="37"/>
        <v>8.3493291506999991</v>
      </c>
      <c r="N265" s="9"/>
      <c r="O265" s="21">
        <v>1.18408</v>
      </c>
      <c r="P265" s="21">
        <v>115.444</v>
      </c>
      <c r="Q265" s="21">
        <v>-1.75476E-2</v>
      </c>
      <c r="R265" s="21">
        <v>255</v>
      </c>
      <c r="S265" s="21">
        <v>1.18286</v>
      </c>
      <c r="T265">
        <f t="shared" si="38"/>
        <v>17.547599999999999</v>
      </c>
      <c r="U265">
        <f t="shared" si="39"/>
        <v>20.777762207999999</v>
      </c>
      <c r="X265" s="9"/>
      <c r="Y265" s="21">
        <v>0.466003</v>
      </c>
      <c r="Z265" s="21">
        <v>183.119</v>
      </c>
      <c r="AA265" s="21">
        <v>-1.79016E-2</v>
      </c>
      <c r="AB265" s="21">
        <v>255</v>
      </c>
      <c r="AC265" s="21">
        <v>0.46551500000000001</v>
      </c>
      <c r="AD265">
        <f t="shared" si="40"/>
        <v>17.901599999999998</v>
      </c>
      <c r="AE265">
        <f t="shared" si="41"/>
        <v>8.3421993047999994</v>
      </c>
      <c r="AF265" s="9"/>
      <c r="AG265" s="21">
        <v>1.18408</v>
      </c>
      <c r="AH265" s="21">
        <v>249.66399999999999</v>
      </c>
      <c r="AI265" s="21">
        <v>-1.75354E-2</v>
      </c>
      <c r="AJ265" s="21">
        <v>255</v>
      </c>
      <c r="AK265" s="21">
        <v>1.18347</v>
      </c>
      <c r="AL265">
        <f t="shared" si="42"/>
        <v>17.535399999999999</v>
      </c>
      <c r="AM265">
        <f t="shared" si="43"/>
        <v>20.763316432</v>
      </c>
      <c r="AP265" s="9"/>
      <c r="AQ265" s="21">
        <v>0.466003</v>
      </c>
      <c r="AR265" s="21">
        <v>307.36900000000003</v>
      </c>
      <c r="AS265" s="21">
        <v>-1.7883300000000001E-2</v>
      </c>
      <c r="AT265" s="21">
        <v>255</v>
      </c>
      <c r="AU265" s="21">
        <v>0.46548499999999998</v>
      </c>
      <c r="AV265">
        <f t="shared" si="44"/>
        <v>17.883300000000002</v>
      </c>
      <c r="AW265">
        <f t="shared" si="45"/>
        <v>8.3336714499000006</v>
      </c>
      <c r="AX265" s="9"/>
      <c r="AY265" s="21">
        <v>1.18408</v>
      </c>
      <c r="AZ265" s="21">
        <v>377.79899999999998</v>
      </c>
      <c r="BA265" s="21">
        <v>-1.75049E-2</v>
      </c>
      <c r="BB265" s="21">
        <v>255</v>
      </c>
      <c r="BC265" s="21">
        <v>1.1831700000000001</v>
      </c>
      <c r="BD265">
        <f t="shared" si="46"/>
        <v>17.504899999999999</v>
      </c>
      <c r="BE265">
        <f t="shared" si="47"/>
        <v>20.727201992000001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0.46096799999999999</v>
      </c>
      <c r="H266" s="21">
        <v>43.784399999999998</v>
      </c>
      <c r="I266" s="21">
        <v>-1.7923000000000001E-2</v>
      </c>
      <c r="J266" s="21">
        <v>256</v>
      </c>
      <c r="K266" s="21">
        <v>0.46050999999999997</v>
      </c>
      <c r="L266">
        <f t="shared" si="36"/>
        <v>17.923000000000002</v>
      </c>
      <c r="M266">
        <f t="shared" si="37"/>
        <v>8.2619294640000014</v>
      </c>
      <c r="N266" s="9"/>
      <c r="O266" s="21">
        <v>1.18912</v>
      </c>
      <c r="P266" s="21">
        <v>115.545</v>
      </c>
      <c r="Q266" s="21">
        <v>-1.7541500000000002E-2</v>
      </c>
      <c r="R266" s="21">
        <v>256</v>
      </c>
      <c r="S266" s="21">
        <v>1.18835</v>
      </c>
      <c r="T266">
        <f t="shared" si="38"/>
        <v>17.541500000000003</v>
      </c>
      <c r="U266">
        <f t="shared" si="39"/>
        <v>20.858948480000002</v>
      </c>
      <c r="X266" s="9"/>
      <c r="Y266" s="21">
        <v>0.46096799999999999</v>
      </c>
      <c r="Z266" s="21">
        <v>183.22</v>
      </c>
      <c r="AA266" s="21">
        <v>-1.79016E-2</v>
      </c>
      <c r="AB266" s="21">
        <v>256</v>
      </c>
      <c r="AC266" s="21">
        <v>0.46038800000000002</v>
      </c>
      <c r="AD266">
        <f t="shared" si="40"/>
        <v>17.901599999999998</v>
      </c>
      <c r="AE266">
        <f t="shared" si="41"/>
        <v>8.2520647487999987</v>
      </c>
      <c r="AF266" s="9"/>
      <c r="AG266" s="21">
        <v>1.18912</v>
      </c>
      <c r="AH266" s="21">
        <v>249.76499999999999</v>
      </c>
      <c r="AI266" s="21">
        <v>-1.75354E-2</v>
      </c>
      <c r="AJ266" s="21">
        <v>256</v>
      </c>
      <c r="AK266" s="21">
        <v>1.18774</v>
      </c>
      <c r="AL266">
        <f t="shared" si="42"/>
        <v>17.535399999999999</v>
      </c>
      <c r="AM266">
        <f t="shared" si="43"/>
        <v>20.851694847999998</v>
      </c>
      <c r="AP266" s="9"/>
      <c r="AQ266" s="21">
        <v>0.46096799999999999</v>
      </c>
      <c r="AR266" s="21">
        <v>307.47000000000003</v>
      </c>
      <c r="AS266" s="21">
        <v>-1.78864E-2</v>
      </c>
      <c r="AT266" s="21">
        <v>256</v>
      </c>
      <c r="AU266" s="21">
        <v>0.461426</v>
      </c>
      <c r="AV266">
        <f t="shared" si="44"/>
        <v>17.886400000000002</v>
      </c>
      <c r="AW266">
        <f t="shared" si="45"/>
        <v>8.2450580352000014</v>
      </c>
      <c r="AX266" s="9"/>
      <c r="AY266" s="21">
        <v>1.18912</v>
      </c>
      <c r="AZ266" s="21">
        <v>377.9</v>
      </c>
      <c r="BA266" s="21">
        <v>-1.7498799999999998E-2</v>
      </c>
      <c r="BB266" s="21">
        <v>256</v>
      </c>
      <c r="BC266" s="21">
        <v>1.1880500000000001</v>
      </c>
      <c r="BD266">
        <f t="shared" si="46"/>
        <v>17.498799999999999</v>
      </c>
      <c r="BE266">
        <f t="shared" si="47"/>
        <v>20.808173055999998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0.45593299999999998</v>
      </c>
      <c r="H267" s="21">
        <v>43.885199999999998</v>
      </c>
      <c r="I267" s="21">
        <v>-1.79291E-2</v>
      </c>
      <c r="J267" s="21">
        <v>257</v>
      </c>
      <c r="K267" s="21">
        <v>0.455536</v>
      </c>
      <c r="L267">
        <f t="shared" si="36"/>
        <v>17.929099999999998</v>
      </c>
      <c r="M267">
        <f t="shared" si="37"/>
        <v>8.174468350299998</v>
      </c>
      <c r="N267" s="9"/>
      <c r="O267" s="21">
        <v>1.19415</v>
      </c>
      <c r="P267" s="21">
        <v>115.645</v>
      </c>
      <c r="Q267" s="21">
        <v>-1.75354E-2</v>
      </c>
      <c r="R267" s="21">
        <v>257</v>
      </c>
      <c r="S267" s="21">
        <v>1.19354</v>
      </c>
      <c r="T267">
        <f t="shared" si="38"/>
        <v>17.535399999999999</v>
      </c>
      <c r="U267">
        <f t="shared" si="39"/>
        <v>20.939897909999999</v>
      </c>
      <c r="X267" s="9"/>
      <c r="Y267" s="21">
        <v>0.45593299999999998</v>
      </c>
      <c r="Z267" s="21">
        <v>183.32</v>
      </c>
      <c r="AA267" s="21">
        <v>-1.79016E-2</v>
      </c>
      <c r="AB267" s="21">
        <v>257</v>
      </c>
      <c r="AC267" s="21">
        <v>0.45547500000000002</v>
      </c>
      <c r="AD267">
        <f t="shared" si="40"/>
        <v>17.901599999999998</v>
      </c>
      <c r="AE267">
        <f t="shared" si="41"/>
        <v>8.1619301927999981</v>
      </c>
      <c r="AF267" s="9"/>
      <c r="AG267" s="21">
        <v>1.19415</v>
      </c>
      <c r="AH267" s="21">
        <v>249.86500000000001</v>
      </c>
      <c r="AI267" s="21">
        <v>-1.75354E-2</v>
      </c>
      <c r="AJ267" s="21">
        <v>257</v>
      </c>
      <c r="AK267" s="21">
        <v>1.1932400000000001</v>
      </c>
      <c r="AL267">
        <f t="shared" si="42"/>
        <v>17.535399999999999</v>
      </c>
      <c r="AM267">
        <f t="shared" si="43"/>
        <v>20.939897909999999</v>
      </c>
      <c r="AP267" s="9"/>
      <c r="AQ267" s="21">
        <v>0.45593299999999998</v>
      </c>
      <c r="AR267" s="21">
        <v>307.57</v>
      </c>
      <c r="AS267" s="21">
        <v>-1.7892499999999999E-2</v>
      </c>
      <c r="AT267" s="21">
        <v>257</v>
      </c>
      <c r="AU267" s="21">
        <v>0.455322</v>
      </c>
      <c r="AV267">
        <f t="shared" si="44"/>
        <v>17.892499999999998</v>
      </c>
      <c r="AW267">
        <f t="shared" si="45"/>
        <v>8.1577812024999989</v>
      </c>
      <c r="AX267" s="9"/>
      <c r="AY267" s="21">
        <v>1.19415</v>
      </c>
      <c r="AZ267" s="21">
        <v>378</v>
      </c>
      <c r="BA267" s="21">
        <v>-1.7486600000000001E-2</v>
      </c>
      <c r="BB267" s="21">
        <v>257</v>
      </c>
      <c r="BC267" s="21">
        <v>1.19354</v>
      </c>
      <c r="BD267">
        <f t="shared" si="46"/>
        <v>17.486600000000003</v>
      </c>
      <c r="BE267">
        <f t="shared" si="47"/>
        <v>20.881623390000005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0.45089699999999999</v>
      </c>
      <c r="H268" s="21">
        <v>43.985900000000001</v>
      </c>
      <c r="I268" s="21">
        <v>-1.79291E-2</v>
      </c>
      <c r="J268" s="21">
        <v>258</v>
      </c>
      <c r="K268" s="21">
        <v>0.450409</v>
      </c>
      <c r="L268">
        <f t="shared" ref="L268:L331" si="48">-I268/$F$2*1000</f>
        <v>17.929099999999998</v>
      </c>
      <c r="M268">
        <f t="shared" ref="M268:M331" si="49">L268*G268</f>
        <v>8.0841774027</v>
      </c>
      <c r="N268" s="9"/>
      <c r="O268" s="21">
        <v>1.19919</v>
      </c>
      <c r="P268" s="21">
        <v>115.746</v>
      </c>
      <c r="Q268" s="21">
        <v>-1.7538499999999999E-2</v>
      </c>
      <c r="R268" s="21">
        <v>258</v>
      </c>
      <c r="S268" s="21">
        <v>1.1987300000000001</v>
      </c>
      <c r="T268">
        <f t="shared" ref="T268:T331" si="50">-Q268/$F$2*1000</f>
        <v>17.538499999999999</v>
      </c>
      <c r="U268">
        <f t="shared" ref="U268:U331" si="51">T268*O268</f>
        <v>21.031993815</v>
      </c>
      <c r="X268" s="9"/>
      <c r="Y268" s="21">
        <v>0.45089699999999999</v>
      </c>
      <c r="Z268" s="21">
        <v>183.42099999999999</v>
      </c>
      <c r="AA268" s="21">
        <v>-1.79016E-2</v>
      </c>
      <c r="AB268" s="21">
        <v>258</v>
      </c>
      <c r="AC268" s="21">
        <v>0.45074500000000001</v>
      </c>
      <c r="AD268">
        <f t="shared" ref="AD268:AD331" si="52">-AA268/$F$2*1000</f>
        <v>17.901599999999998</v>
      </c>
      <c r="AE268">
        <f t="shared" ref="AE268:AE331" si="53">AD268*Y268</f>
        <v>8.0717777351999995</v>
      </c>
      <c r="AF268" s="9"/>
      <c r="AG268" s="21">
        <v>1.19919</v>
      </c>
      <c r="AH268" s="21">
        <v>249.96600000000001</v>
      </c>
      <c r="AI268" s="21">
        <v>-1.7526199999999999E-2</v>
      </c>
      <c r="AJ268" s="21">
        <v>258</v>
      </c>
      <c r="AK268" s="21">
        <v>1.1981200000000001</v>
      </c>
      <c r="AL268">
        <f t="shared" ref="AL268:AL331" si="54">-AI268/$F$2*1000</f>
        <v>17.526199999999999</v>
      </c>
      <c r="AM268">
        <f t="shared" ref="AM268:AM331" si="55">AL268*AG268</f>
        <v>21.017243777999997</v>
      </c>
      <c r="AP268" s="9"/>
      <c r="AQ268" s="21">
        <v>0.45089699999999999</v>
      </c>
      <c r="AR268" s="21">
        <v>307.67099999999999</v>
      </c>
      <c r="AS268" s="21">
        <v>-1.7892499999999999E-2</v>
      </c>
      <c r="AT268" s="21">
        <v>258</v>
      </c>
      <c r="AU268" s="21">
        <v>0.45053100000000001</v>
      </c>
      <c r="AV268">
        <f t="shared" ref="AV268:AV331" si="56">-AS268/$F$2*1000</f>
        <v>17.892499999999998</v>
      </c>
      <c r="AW268">
        <f t="shared" ref="AW268:AW331" si="57">AV268*AQ268</f>
        <v>8.0676745724999996</v>
      </c>
      <c r="AX268" s="9"/>
      <c r="AY268" s="21">
        <v>1.19919</v>
      </c>
      <c r="AZ268" s="21">
        <v>378.101</v>
      </c>
      <c r="BA268" s="21">
        <v>-1.7489600000000001E-2</v>
      </c>
      <c r="BB268" s="21">
        <v>258</v>
      </c>
      <c r="BC268" s="21">
        <v>1.1984300000000001</v>
      </c>
      <c r="BD268">
        <f t="shared" ref="BD268:BD331" si="58">-BA268/$F$2*1000</f>
        <v>17.489599999999999</v>
      </c>
      <c r="BE268">
        <f t="shared" ref="BE268:BE331" si="59">BD268*AY268</f>
        <v>20.973353423999999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0.44586199999999998</v>
      </c>
      <c r="H269" s="21">
        <v>44.086599999999997</v>
      </c>
      <c r="I269" s="21">
        <v>-1.7932099999999999E-2</v>
      </c>
      <c r="J269" s="21">
        <v>259</v>
      </c>
      <c r="K269" s="21">
        <v>0.44583099999999998</v>
      </c>
      <c r="L269">
        <f t="shared" si="48"/>
        <v>17.932099999999998</v>
      </c>
      <c r="M269">
        <f t="shared" si="49"/>
        <v>7.9952419701999986</v>
      </c>
      <c r="N269" s="9"/>
      <c r="O269" s="21">
        <v>1.2042200000000001</v>
      </c>
      <c r="P269" s="21">
        <v>115.84699999999999</v>
      </c>
      <c r="Q269" s="21">
        <v>-1.7538499999999999E-2</v>
      </c>
      <c r="R269" s="21">
        <v>259</v>
      </c>
      <c r="S269" s="21">
        <v>1.2036100000000001</v>
      </c>
      <c r="T269">
        <f t="shared" si="50"/>
        <v>17.538499999999999</v>
      </c>
      <c r="U269">
        <f t="shared" si="51"/>
        <v>21.120212469999998</v>
      </c>
      <c r="X269" s="9"/>
      <c r="Y269" s="21">
        <v>0.44586199999999998</v>
      </c>
      <c r="Z269" s="21">
        <v>183.52199999999999</v>
      </c>
      <c r="AA269" s="21">
        <v>-1.79016E-2</v>
      </c>
      <c r="AB269" s="21">
        <v>259</v>
      </c>
      <c r="AC269" s="21">
        <v>0.44552599999999998</v>
      </c>
      <c r="AD269">
        <f t="shared" si="52"/>
        <v>17.901599999999998</v>
      </c>
      <c r="AE269">
        <f t="shared" si="53"/>
        <v>7.9816431791999989</v>
      </c>
      <c r="AF269" s="9"/>
      <c r="AG269" s="21">
        <v>1.2042200000000001</v>
      </c>
      <c r="AH269" s="21">
        <v>250.06700000000001</v>
      </c>
      <c r="AI269" s="21">
        <v>-1.7529300000000001E-2</v>
      </c>
      <c r="AJ269" s="21">
        <v>259</v>
      </c>
      <c r="AK269" s="21">
        <v>1.2039200000000001</v>
      </c>
      <c r="AL269">
        <f t="shared" si="54"/>
        <v>17.529300000000003</v>
      </c>
      <c r="AM269">
        <f t="shared" si="55"/>
        <v>21.109133646000004</v>
      </c>
      <c r="AP269" s="9"/>
      <c r="AQ269" s="21">
        <v>0.44586199999999998</v>
      </c>
      <c r="AR269" s="21">
        <v>307.77199999999999</v>
      </c>
      <c r="AS269" s="21">
        <v>-1.7898600000000001E-2</v>
      </c>
      <c r="AT269" s="21">
        <v>259</v>
      </c>
      <c r="AU269" s="21">
        <v>0.44516</v>
      </c>
      <c r="AV269">
        <f t="shared" si="56"/>
        <v>17.898600000000002</v>
      </c>
      <c r="AW269">
        <f t="shared" si="57"/>
        <v>7.9803055932000007</v>
      </c>
      <c r="AX269" s="9"/>
      <c r="AY269" s="21">
        <v>1.2042200000000001</v>
      </c>
      <c r="AZ269" s="21">
        <v>378.202</v>
      </c>
      <c r="BA269" s="21">
        <v>-1.7489600000000001E-2</v>
      </c>
      <c r="BB269" s="21">
        <v>259</v>
      </c>
      <c r="BC269" s="21">
        <v>1.2036100000000001</v>
      </c>
      <c r="BD269">
        <f t="shared" si="58"/>
        <v>17.489599999999999</v>
      </c>
      <c r="BE269">
        <f t="shared" si="59"/>
        <v>21.061326112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0.440826</v>
      </c>
      <c r="H270" s="21">
        <v>44.1873</v>
      </c>
      <c r="I270" s="21">
        <v>-1.7935199999999998E-2</v>
      </c>
      <c r="J270" s="21">
        <v>260</v>
      </c>
      <c r="K270" s="21">
        <v>0.43963600000000003</v>
      </c>
      <c r="L270">
        <f t="shared" si="48"/>
        <v>17.935199999999998</v>
      </c>
      <c r="M270">
        <f t="shared" si="49"/>
        <v>7.9063024751999995</v>
      </c>
      <c r="N270" s="9"/>
      <c r="O270" s="21">
        <v>1.20926</v>
      </c>
      <c r="P270" s="21">
        <v>115.947</v>
      </c>
      <c r="Q270" s="21">
        <v>-1.7532300000000001E-2</v>
      </c>
      <c r="R270" s="21">
        <v>260</v>
      </c>
      <c r="S270" s="21">
        <v>1.2081900000000001</v>
      </c>
      <c r="T270">
        <f t="shared" si="50"/>
        <v>17.532299999999999</v>
      </c>
      <c r="U270">
        <f t="shared" si="51"/>
        <v>21.201109098</v>
      </c>
      <c r="X270" s="9"/>
      <c r="Y270" s="21">
        <v>0.440826</v>
      </c>
      <c r="Z270" s="21">
        <v>183.62299999999999</v>
      </c>
      <c r="AA270" s="21">
        <v>-1.7907699999999999E-2</v>
      </c>
      <c r="AB270" s="21">
        <v>260</v>
      </c>
      <c r="AC270" s="21">
        <v>0.44036900000000001</v>
      </c>
      <c r="AD270">
        <f t="shared" si="52"/>
        <v>17.907699999999998</v>
      </c>
      <c r="AE270">
        <f t="shared" si="53"/>
        <v>7.8941797601999992</v>
      </c>
      <c r="AF270" s="9"/>
      <c r="AG270" s="21">
        <v>1.20926</v>
      </c>
      <c r="AH270" s="21">
        <v>250.16800000000001</v>
      </c>
      <c r="AI270" s="21">
        <v>-1.7523199999999999E-2</v>
      </c>
      <c r="AJ270" s="21">
        <v>260</v>
      </c>
      <c r="AK270" s="21">
        <v>1.2088000000000001</v>
      </c>
      <c r="AL270">
        <f t="shared" si="54"/>
        <v>17.523199999999999</v>
      </c>
      <c r="AM270">
        <f t="shared" si="55"/>
        <v>21.190104831999999</v>
      </c>
      <c r="AP270" s="9"/>
      <c r="AQ270" s="21">
        <v>0.440826</v>
      </c>
      <c r="AR270" s="21">
        <v>307.87200000000001</v>
      </c>
      <c r="AS270" s="21">
        <v>-1.79016E-2</v>
      </c>
      <c r="AT270" s="21">
        <v>260</v>
      </c>
      <c r="AU270" s="21">
        <v>0.44033800000000001</v>
      </c>
      <c r="AV270">
        <f t="shared" si="56"/>
        <v>17.901599999999998</v>
      </c>
      <c r="AW270">
        <f t="shared" si="57"/>
        <v>7.8914907215999994</v>
      </c>
      <c r="AX270" s="9"/>
      <c r="AY270" s="21">
        <v>1.20926</v>
      </c>
      <c r="AZ270" s="21">
        <v>378.303</v>
      </c>
      <c r="BA270" s="21">
        <v>-1.7483499999999999E-2</v>
      </c>
      <c r="BB270" s="21">
        <v>260</v>
      </c>
      <c r="BC270" s="21">
        <v>1.2084999999999999</v>
      </c>
      <c r="BD270">
        <f t="shared" si="58"/>
        <v>17.483499999999999</v>
      </c>
      <c r="BE270">
        <f t="shared" si="59"/>
        <v>21.142097209999999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0.43579099999999998</v>
      </c>
      <c r="H271" s="21">
        <v>44.287999999999997</v>
      </c>
      <c r="I271" s="21">
        <v>-1.7935199999999998E-2</v>
      </c>
      <c r="J271" s="21">
        <v>261</v>
      </c>
      <c r="K271" s="21">
        <v>0.43502800000000003</v>
      </c>
      <c r="L271">
        <f t="shared" si="48"/>
        <v>17.935199999999998</v>
      </c>
      <c r="M271">
        <f t="shared" si="49"/>
        <v>7.8159987431999989</v>
      </c>
      <c r="N271" s="9"/>
      <c r="O271" s="21">
        <v>1.2142900000000001</v>
      </c>
      <c r="P271" s="21">
        <v>116.048</v>
      </c>
      <c r="Q271" s="21">
        <v>-1.7529300000000001E-2</v>
      </c>
      <c r="R271" s="21">
        <v>261</v>
      </c>
      <c r="S271" s="21">
        <v>1.2136800000000001</v>
      </c>
      <c r="T271">
        <f t="shared" si="50"/>
        <v>17.529300000000003</v>
      </c>
      <c r="U271">
        <f t="shared" si="51"/>
        <v>21.285653697000004</v>
      </c>
      <c r="X271" s="9"/>
      <c r="Y271" s="21">
        <v>0.43579099999999998</v>
      </c>
      <c r="Z271" s="21">
        <v>183.72300000000001</v>
      </c>
      <c r="AA271" s="21">
        <v>-1.7916899999999999E-2</v>
      </c>
      <c r="AB271" s="21">
        <v>261</v>
      </c>
      <c r="AC271" s="21">
        <v>0.43514999999999998</v>
      </c>
      <c r="AD271">
        <f t="shared" si="52"/>
        <v>17.916899999999998</v>
      </c>
      <c r="AE271">
        <f t="shared" si="53"/>
        <v>7.8080237678999991</v>
      </c>
      <c r="AF271" s="9"/>
      <c r="AG271" s="21">
        <v>1.2142900000000001</v>
      </c>
      <c r="AH271" s="21">
        <v>250.268</v>
      </c>
      <c r="AI271" s="21">
        <v>-1.7517100000000001E-2</v>
      </c>
      <c r="AJ271" s="21">
        <v>261</v>
      </c>
      <c r="AK271" s="21">
        <v>1.2136800000000001</v>
      </c>
      <c r="AL271">
        <f t="shared" si="54"/>
        <v>17.517099999999999</v>
      </c>
      <c r="AM271">
        <f t="shared" si="55"/>
        <v>21.270839359</v>
      </c>
      <c r="AP271" s="9"/>
      <c r="AQ271" s="21">
        <v>0.43579099999999998</v>
      </c>
      <c r="AR271" s="21">
        <v>307.97300000000001</v>
      </c>
      <c r="AS271" s="21">
        <v>-1.79016E-2</v>
      </c>
      <c r="AT271" s="21">
        <v>261</v>
      </c>
      <c r="AU271" s="21">
        <v>0.43505899999999997</v>
      </c>
      <c r="AV271">
        <f t="shared" si="56"/>
        <v>17.901599999999998</v>
      </c>
      <c r="AW271">
        <f t="shared" si="57"/>
        <v>7.8013561655999988</v>
      </c>
      <c r="AX271" s="9"/>
      <c r="AY271" s="21">
        <v>1.2142900000000001</v>
      </c>
      <c r="AZ271" s="21">
        <v>378.40300000000002</v>
      </c>
      <c r="BA271" s="21">
        <v>-1.7483499999999999E-2</v>
      </c>
      <c r="BB271" s="21">
        <v>261</v>
      </c>
      <c r="BC271" s="21">
        <v>1.2133799999999999</v>
      </c>
      <c r="BD271">
        <f t="shared" si="58"/>
        <v>17.483499999999999</v>
      </c>
      <c r="BE271">
        <f t="shared" si="59"/>
        <v>21.230039215000001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0.43075600000000003</v>
      </c>
      <c r="H272" s="21">
        <v>44.3887</v>
      </c>
      <c r="I272" s="21">
        <v>-1.7938200000000001E-2</v>
      </c>
      <c r="J272" s="21">
        <v>262</v>
      </c>
      <c r="K272" s="21">
        <v>0.430145</v>
      </c>
      <c r="L272">
        <f t="shared" si="48"/>
        <v>17.938200000000002</v>
      </c>
      <c r="M272">
        <f t="shared" si="49"/>
        <v>7.7269872792000012</v>
      </c>
      <c r="N272" s="9"/>
      <c r="O272" s="21">
        <v>1.21933</v>
      </c>
      <c r="P272" s="21">
        <v>116.149</v>
      </c>
      <c r="Q272" s="21">
        <v>-1.75354E-2</v>
      </c>
      <c r="R272" s="21">
        <v>262</v>
      </c>
      <c r="S272" s="21">
        <v>1.2182599999999999</v>
      </c>
      <c r="T272">
        <f t="shared" si="50"/>
        <v>17.535399999999999</v>
      </c>
      <c r="U272">
        <f t="shared" si="51"/>
        <v>21.381439281999999</v>
      </c>
      <c r="X272" s="9"/>
      <c r="Y272" s="21">
        <v>0.43075600000000003</v>
      </c>
      <c r="Z272" s="21">
        <v>183.82400000000001</v>
      </c>
      <c r="AA272" s="21">
        <v>-1.7923000000000001E-2</v>
      </c>
      <c r="AB272" s="21">
        <v>262</v>
      </c>
      <c r="AC272" s="21">
        <v>0.43026700000000001</v>
      </c>
      <c r="AD272">
        <f t="shared" si="52"/>
        <v>17.923000000000002</v>
      </c>
      <c r="AE272">
        <f t="shared" si="53"/>
        <v>7.7204397880000011</v>
      </c>
      <c r="AF272" s="9"/>
      <c r="AG272" s="21">
        <v>1.21933</v>
      </c>
      <c r="AH272" s="21">
        <v>250.369</v>
      </c>
      <c r="AI272" s="21">
        <v>-1.7523199999999999E-2</v>
      </c>
      <c r="AJ272" s="21">
        <v>262</v>
      </c>
      <c r="AK272" s="21">
        <v>1.2182599999999999</v>
      </c>
      <c r="AL272">
        <f t="shared" si="54"/>
        <v>17.523199999999999</v>
      </c>
      <c r="AM272">
        <f t="shared" si="55"/>
        <v>21.366563455999998</v>
      </c>
      <c r="AP272" s="9"/>
      <c r="AQ272" s="21">
        <v>0.43075600000000003</v>
      </c>
      <c r="AR272" s="21">
        <v>308.07400000000001</v>
      </c>
      <c r="AS272" s="21">
        <v>-1.7895500000000002E-2</v>
      </c>
      <c r="AT272" s="21">
        <v>262</v>
      </c>
      <c r="AU272" s="21">
        <v>0.430145</v>
      </c>
      <c r="AV272">
        <f t="shared" si="56"/>
        <v>17.895500000000002</v>
      </c>
      <c r="AW272">
        <f t="shared" si="57"/>
        <v>7.7085939980000013</v>
      </c>
      <c r="AX272" s="9"/>
      <c r="AY272" s="21">
        <v>1.21933</v>
      </c>
      <c r="AZ272" s="21">
        <v>378.50400000000002</v>
      </c>
      <c r="BA272" s="21">
        <v>-1.7483499999999999E-2</v>
      </c>
      <c r="BB272" s="21">
        <v>262</v>
      </c>
      <c r="BC272" s="21">
        <v>1.2188699999999999</v>
      </c>
      <c r="BD272">
        <f t="shared" si="58"/>
        <v>17.483499999999999</v>
      </c>
      <c r="BE272">
        <f t="shared" si="59"/>
        <v>21.318156054999999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0.42571999999999999</v>
      </c>
      <c r="H273" s="21">
        <v>44.489400000000003</v>
      </c>
      <c r="I273" s="21">
        <v>-1.79443E-2</v>
      </c>
      <c r="J273" s="21">
        <v>263</v>
      </c>
      <c r="K273" s="21">
        <v>0.42517100000000002</v>
      </c>
      <c r="L273">
        <f t="shared" si="48"/>
        <v>17.944299999999998</v>
      </c>
      <c r="M273">
        <f t="shared" si="49"/>
        <v>7.6392473959999991</v>
      </c>
      <c r="N273" s="9"/>
      <c r="O273" s="21">
        <v>1.22437</v>
      </c>
      <c r="P273" s="21">
        <v>116.25</v>
      </c>
      <c r="Q273" s="21">
        <v>-1.7523199999999999E-2</v>
      </c>
      <c r="R273" s="21">
        <v>263</v>
      </c>
      <c r="S273" s="21">
        <v>1.2234499999999999</v>
      </c>
      <c r="T273">
        <f t="shared" si="50"/>
        <v>17.523199999999999</v>
      </c>
      <c r="U273">
        <f t="shared" si="51"/>
        <v>21.454880383999999</v>
      </c>
      <c r="X273" s="9"/>
      <c r="Y273" s="21">
        <v>0.42571999999999999</v>
      </c>
      <c r="Z273" s="21">
        <v>183.92500000000001</v>
      </c>
      <c r="AA273" s="21">
        <v>-1.7919899999999999E-2</v>
      </c>
      <c r="AB273" s="21">
        <v>263</v>
      </c>
      <c r="AC273" s="21">
        <v>0.42535400000000001</v>
      </c>
      <c r="AD273">
        <f t="shared" si="52"/>
        <v>17.919899999999998</v>
      </c>
      <c r="AE273">
        <f t="shared" si="53"/>
        <v>7.6288598279999995</v>
      </c>
      <c r="AF273" s="9"/>
      <c r="AG273" s="21">
        <v>1.22437</v>
      </c>
      <c r="AH273" s="21">
        <v>250.47</v>
      </c>
      <c r="AI273" s="21">
        <v>-1.7510999999999999E-2</v>
      </c>
      <c r="AJ273" s="21">
        <v>263</v>
      </c>
      <c r="AK273" s="21">
        <v>1.2237499999999999</v>
      </c>
      <c r="AL273">
        <f t="shared" si="54"/>
        <v>17.510999999999999</v>
      </c>
      <c r="AM273">
        <f t="shared" si="55"/>
        <v>21.439943069999998</v>
      </c>
      <c r="AP273" s="9"/>
      <c r="AQ273" s="21">
        <v>0.42571999999999999</v>
      </c>
      <c r="AR273" s="21">
        <v>308.17500000000001</v>
      </c>
      <c r="AS273" s="21">
        <v>-1.7904699999999999E-2</v>
      </c>
      <c r="AT273" s="21">
        <v>263</v>
      </c>
      <c r="AU273" s="21">
        <v>0.42510999999999999</v>
      </c>
      <c r="AV273">
        <f t="shared" si="56"/>
        <v>17.904699999999998</v>
      </c>
      <c r="AW273">
        <f t="shared" si="57"/>
        <v>7.6223888839999994</v>
      </c>
      <c r="AX273" s="9"/>
      <c r="AY273" s="21">
        <v>1.22437</v>
      </c>
      <c r="AZ273" s="21">
        <v>378.60500000000002</v>
      </c>
      <c r="BA273" s="21">
        <v>-1.7474400000000001E-2</v>
      </c>
      <c r="BB273" s="21">
        <v>263</v>
      </c>
      <c r="BC273" s="21">
        <v>1.2234499999999999</v>
      </c>
      <c r="BD273">
        <f t="shared" si="58"/>
        <v>17.474400000000003</v>
      </c>
      <c r="BE273">
        <f t="shared" si="59"/>
        <v>21.395131128000003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0.42068499999999998</v>
      </c>
      <c r="H274" s="21">
        <v>44.5901</v>
      </c>
      <c r="I274" s="21">
        <v>-1.79443E-2</v>
      </c>
      <c r="J274" s="21">
        <v>264</v>
      </c>
      <c r="K274" s="21">
        <v>0.42028799999999999</v>
      </c>
      <c r="L274">
        <f t="shared" si="48"/>
        <v>17.944299999999998</v>
      </c>
      <c r="M274">
        <f t="shared" si="49"/>
        <v>7.5488978454999991</v>
      </c>
      <c r="N274" s="9"/>
      <c r="O274" s="21">
        <v>1.2294</v>
      </c>
      <c r="P274" s="21">
        <v>116.35</v>
      </c>
      <c r="Q274" s="21">
        <v>-1.7513999999999998E-2</v>
      </c>
      <c r="R274" s="21">
        <v>264</v>
      </c>
      <c r="S274" s="21">
        <v>1.2283299999999999</v>
      </c>
      <c r="T274">
        <f t="shared" si="50"/>
        <v>17.513999999999999</v>
      </c>
      <c r="U274">
        <f t="shared" si="51"/>
        <v>21.531711600000001</v>
      </c>
      <c r="X274" s="9"/>
      <c r="Y274" s="21">
        <v>0.42068499999999998</v>
      </c>
      <c r="Z274" s="21">
        <v>184.02500000000001</v>
      </c>
      <c r="AA274" s="21">
        <v>-1.7926000000000001E-2</v>
      </c>
      <c r="AB274" s="21">
        <v>264</v>
      </c>
      <c r="AC274" s="21">
        <v>0.42019699999999999</v>
      </c>
      <c r="AD274">
        <f t="shared" si="52"/>
        <v>17.926000000000002</v>
      </c>
      <c r="AE274">
        <f t="shared" si="53"/>
        <v>7.5411993100000005</v>
      </c>
      <c r="AF274" s="9"/>
      <c r="AG274" s="21">
        <v>1.2294</v>
      </c>
      <c r="AH274" s="21">
        <v>250.57</v>
      </c>
      <c r="AI274" s="21">
        <v>-1.7513999999999998E-2</v>
      </c>
      <c r="AJ274" s="21">
        <v>264</v>
      </c>
      <c r="AK274" s="21">
        <v>1.22925</v>
      </c>
      <c r="AL274">
        <f t="shared" si="54"/>
        <v>17.513999999999999</v>
      </c>
      <c r="AM274">
        <f t="shared" si="55"/>
        <v>21.531711600000001</v>
      </c>
      <c r="AP274" s="9"/>
      <c r="AQ274" s="21">
        <v>0.42068499999999998</v>
      </c>
      <c r="AR274" s="21">
        <v>308.27499999999998</v>
      </c>
      <c r="AS274" s="21">
        <v>-1.7904699999999999E-2</v>
      </c>
      <c r="AT274" s="21">
        <v>264</v>
      </c>
      <c r="AU274" s="21">
        <v>0.42050199999999999</v>
      </c>
      <c r="AV274">
        <f t="shared" si="56"/>
        <v>17.904699999999998</v>
      </c>
      <c r="AW274">
        <f t="shared" si="57"/>
        <v>7.5322387194999987</v>
      </c>
      <c r="AX274" s="9"/>
      <c r="AY274" s="21">
        <v>1.2294</v>
      </c>
      <c r="AZ274" s="21">
        <v>378.70499999999998</v>
      </c>
      <c r="BA274" s="21">
        <v>-1.7474400000000001E-2</v>
      </c>
      <c r="BB274" s="21">
        <v>264</v>
      </c>
      <c r="BC274" s="21">
        <v>1.22925</v>
      </c>
      <c r="BD274">
        <f t="shared" si="58"/>
        <v>17.474400000000003</v>
      </c>
      <c r="BE274">
        <f t="shared" si="59"/>
        <v>21.483027360000005</v>
      </c>
    </row>
    <row r="275" spans="6:101" x14ac:dyDescent="0.25">
      <c r="F275" s="9"/>
      <c r="G275" s="21">
        <v>0.41564899999999999</v>
      </c>
      <c r="H275" s="21">
        <v>44.690800000000003</v>
      </c>
      <c r="I275" s="21">
        <v>-1.7950399999999998E-2</v>
      </c>
      <c r="J275" s="21">
        <v>265</v>
      </c>
      <c r="K275" s="21">
        <v>0.41497800000000001</v>
      </c>
      <c r="L275">
        <f t="shared" si="48"/>
        <v>17.950399999999998</v>
      </c>
      <c r="M275">
        <f t="shared" si="49"/>
        <v>7.4610658095999991</v>
      </c>
      <c r="N275" s="9"/>
      <c r="O275" s="21">
        <v>1.23444</v>
      </c>
      <c r="P275" s="21">
        <v>116.45099999999999</v>
      </c>
      <c r="Q275" s="21">
        <v>-1.7513999999999998E-2</v>
      </c>
      <c r="R275" s="21">
        <v>265</v>
      </c>
      <c r="S275" s="21">
        <v>1.2341299999999999</v>
      </c>
      <c r="T275">
        <f t="shared" si="50"/>
        <v>17.513999999999999</v>
      </c>
      <c r="U275">
        <f t="shared" si="51"/>
        <v>21.619982159999999</v>
      </c>
      <c r="X275" s="9"/>
      <c r="Y275" s="21">
        <v>0.41564899999999999</v>
      </c>
      <c r="Z275" s="21">
        <v>184.126</v>
      </c>
      <c r="AA275" s="21">
        <v>-1.7926000000000001E-2</v>
      </c>
      <c r="AB275" s="21">
        <v>265</v>
      </c>
      <c r="AC275" s="21">
        <v>0.41525299999999998</v>
      </c>
      <c r="AD275">
        <f t="shared" si="52"/>
        <v>17.926000000000002</v>
      </c>
      <c r="AE275">
        <f t="shared" si="53"/>
        <v>7.4509239740000011</v>
      </c>
      <c r="AF275" s="9"/>
      <c r="AG275" s="21">
        <v>1.23444</v>
      </c>
      <c r="AH275" s="21">
        <v>250.67099999999999</v>
      </c>
      <c r="AI275" s="21">
        <v>-1.75049E-2</v>
      </c>
      <c r="AJ275" s="21">
        <v>265</v>
      </c>
      <c r="AK275" s="21">
        <v>1.2335199999999999</v>
      </c>
      <c r="AL275">
        <f t="shared" si="54"/>
        <v>17.504899999999999</v>
      </c>
      <c r="AM275">
        <f t="shared" si="55"/>
        <v>21.608748755999997</v>
      </c>
      <c r="AP275" s="9"/>
      <c r="AQ275" s="21">
        <v>0.41564899999999999</v>
      </c>
      <c r="AR275" s="21">
        <v>308.37599999999998</v>
      </c>
      <c r="AS275" s="21">
        <v>-1.7910800000000001E-2</v>
      </c>
      <c r="AT275" s="21">
        <v>265</v>
      </c>
      <c r="AU275" s="21">
        <v>0.414825</v>
      </c>
      <c r="AV275">
        <f t="shared" si="56"/>
        <v>17.910800000000002</v>
      </c>
      <c r="AW275">
        <f t="shared" si="57"/>
        <v>7.4446061092000004</v>
      </c>
      <c r="AX275" s="9"/>
      <c r="AY275" s="21">
        <v>1.23444</v>
      </c>
      <c r="AZ275" s="21">
        <v>378.80599999999998</v>
      </c>
      <c r="BA275" s="21">
        <v>-1.74652E-2</v>
      </c>
      <c r="BB275" s="21">
        <v>265</v>
      </c>
      <c r="BC275" s="21">
        <v>1.23383</v>
      </c>
      <c r="BD275">
        <f t="shared" si="58"/>
        <v>17.465199999999999</v>
      </c>
      <c r="BE275">
        <f t="shared" si="59"/>
        <v>21.559741488</v>
      </c>
    </row>
    <row r="276" spans="6:101" x14ac:dyDescent="0.25">
      <c r="F276" s="9"/>
      <c r="G276" s="21">
        <v>0.41061399999999998</v>
      </c>
      <c r="H276" s="21">
        <v>44.791499999999999</v>
      </c>
      <c r="I276" s="21">
        <v>-1.7947399999999999E-2</v>
      </c>
      <c r="J276" s="21">
        <v>266</v>
      </c>
      <c r="K276" s="21">
        <v>0.41009499999999999</v>
      </c>
      <c r="L276">
        <f t="shared" si="48"/>
        <v>17.947399999999998</v>
      </c>
      <c r="M276">
        <f t="shared" si="49"/>
        <v>7.3694537035999987</v>
      </c>
      <c r="N276" s="9"/>
      <c r="O276" s="21">
        <v>1.2394700000000001</v>
      </c>
      <c r="P276" s="21">
        <v>116.55200000000001</v>
      </c>
      <c r="Q276" s="21">
        <v>-1.7517100000000001E-2</v>
      </c>
      <c r="R276" s="21">
        <v>266</v>
      </c>
      <c r="S276" s="21">
        <v>1.23932</v>
      </c>
      <c r="T276">
        <f t="shared" si="50"/>
        <v>17.517099999999999</v>
      </c>
      <c r="U276">
        <f t="shared" si="51"/>
        <v>21.711919937000001</v>
      </c>
      <c r="X276" s="9"/>
      <c r="Y276" s="21">
        <v>0.41061399999999998</v>
      </c>
      <c r="Z276" s="21">
        <v>184.227</v>
      </c>
      <c r="AA276" s="21">
        <v>-1.7926000000000001E-2</v>
      </c>
      <c r="AB276" s="21">
        <v>266</v>
      </c>
      <c r="AC276" s="21">
        <v>0.41033900000000001</v>
      </c>
      <c r="AD276">
        <f t="shared" si="52"/>
        <v>17.926000000000002</v>
      </c>
      <c r="AE276">
        <f t="shared" si="53"/>
        <v>7.3606665640000006</v>
      </c>
      <c r="AF276" s="9"/>
      <c r="AG276" s="21">
        <v>1.2394700000000001</v>
      </c>
      <c r="AH276" s="21">
        <v>250.77199999999999</v>
      </c>
      <c r="AI276" s="21">
        <v>-1.74927E-2</v>
      </c>
      <c r="AJ276" s="21">
        <v>266</v>
      </c>
      <c r="AK276" s="21">
        <v>1.2383999999999999</v>
      </c>
      <c r="AL276">
        <f t="shared" si="54"/>
        <v>17.492699999999999</v>
      </c>
      <c r="AM276">
        <f t="shared" si="55"/>
        <v>21.681676869</v>
      </c>
      <c r="AP276" s="9"/>
      <c r="AQ276" s="21">
        <v>0.41061399999999998</v>
      </c>
      <c r="AR276" s="21">
        <v>308.47699999999998</v>
      </c>
      <c r="AS276" s="21">
        <v>-1.7916899999999999E-2</v>
      </c>
      <c r="AT276" s="21">
        <v>266</v>
      </c>
      <c r="AU276" s="21">
        <v>0.41043099999999999</v>
      </c>
      <c r="AV276">
        <f t="shared" si="56"/>
        <v>17.916899999999998</v>
      </c>
      <c r="AW276">
        <f t="shared" si="57"/>
        <v>7.3569299765999991</v>
      </c>
      <c r="AX276" s="9"/>
      <c r="AY276" s="21">
        <v>1.2394700000000001</v>
      </c>
      <c r="AZ276" s="21">
        <v>378.90699999999998</v>
      </c>
      <c r="BA276" s="21">
        <v>-1.74652E-2</v>
      </c>
      <c r="BB276" s="21">
        <v>266</v>
      </c>
      <c r="BC276" s="21">
        <v>1.2390099999999999</v>
      </c>
      <c r="BD276">
        <f t="shared" si="58"/>
        <v>17.465199999999999</v>
      </c>
      <c r="BE276">
        <f t="shared" si="59"/>
        <v>21.647591444</v>
      </c>
    </row>
    <row r="277" spans="6:101" x14ac:dyDescent="0.25">
      <c r="F277" s="9"/>
      <c r="G277" s="21">
        <v>0.40557900000000002</v>
      </c>
      <c r="H277" s="21">
        <v>44.892200000000003</v>
      </c>
      <c r="I277" s="21">
        <v>-1.7947399999999999E-2</v>
      </c>
      <c r="J277" s="21">
        <v>267</v>
      </c>
      <c r="K277" s="21">
        <v>0.40524300000000002</v>
      </c>
      <c r="L277">
        <f t="shared" si="48"/>
        <v>17.947399999999998</v>
      </c>
      <c r="M277">
        <f t="shared" si="49"/>
        <v>7.2790885445999995</v>
      </c>
      <c r="N277" s="9"/>
      <c r="O277" s="21">
        <v>1.24451</v>
      </c>
      <c r="P277" s="21">
        <v>116.652</v>
      </c>
      <c r="Q277" s="21">
        <v>-1.7513999999999998E-2</v>
      </c>
      <c r="R277" s="21">
        <v>267</v>
      </c>
      <c r="S277" s="21">
        <v>1.24359</v>
      </c>
      <c r="T277">
        <f t="shared" si="50"/>
        <v>17.513999999999999</v>
      </c>
      <c r="U277">
        <f t="shared" si="51"/>
        <v>21.796348139999999</v>
      </c>
      <c r="X277" s="9"/>
      <c r="Y277" s="21">
        <v>0.40557900000000002</v>
      </c>
      <c r="Z277" s="21">
        <v>184.327</v>
      </c>
      <c r="AA277" s="21">
        <v>-1.7935199999999998E-2</v>
      </c>
      <c r="AB277" s="21">
        <v>267</v>
      </c>
      <c r="AC277" s="21">
        <v>0.40509000000000001</v>
      </c>
      <c r="AD277">
        <f t="shared" si="52"/>
        <v>17.935199999999998</v>
      </c>
      <c r="AE277">
        <f t="shared" si="53"/>
        <v>7.2741404807999999</v>
      </c>
      <c r="AF277" s="9"/>
      <c r="AG277" s="21">
        <v>1.24451</v>
      </c>
      <c r="AH277" s="21">
        <v>250.87299999999999</v>
      </c>
      <c r="AI277" s="21">
        <v>-1.7498799999999998E-2</v>
      </c>
      <c r="AJ277" s="21">
        <v>267</v>
      </c>
      <c r="AK277" s="21">
        <v>1.2439</v>
      </c>
      <c r="AL277">
        <f t="shared" si="54"/>
        <v>17.498799999999999</v>
      </c>
      <c r="AM277">
        <f t="shared" si="55"/>
        <v>21.777431587999999</v>
      </c>
      <c r="AP277" s="9"/>
      <c r="AQ277" s="21">
        <v>0.40557900000000002</v>
      </c>
      <c r="AR277" s="21">
        <v>308.577</v>
      </c>
      <c r="AS277" s="21">
        <v>-1.7913800000000001E-2</v>
      </c>
      <c r="AT277" s="21">
        <v>267</v>
      </c>
      <c r="AU277" s="21">
        <v>0.404999</v>
      </c>
      <c r="AV277">
        <f t="shared" si="56"/>
        <v>17.913800000000002</v>
      </c>
      <c r="AW277">
        <f t="shared" si="57"/>
        <v>7.2654610902000014</v>
      </c>
      <c r="AX277" s="9"/>
      <c r="AY277" s="21">
        <v>1.24451</v>
      </c>
      <c r="AZ277" s="21">
        <v>379.00799999999998</v>
      </c>
      <c r="BA277" s="21">
        <v>-1.7471299999999999E-2</v>
      </c>
      <c r="BB277" s="21">
        <v>267</v>
      </c>
      <c r="BC277" s="21">
        <v>1.24329</v>
      </c>
      <c r="BD277">
        <f t="shared" si="58"/>
        <v>17.471299999999999</v>
      </c>
      <c r="BE277">
        <f t="shared" si="59"/>
        <v>21.743207562999999</v>
      </c>
    </row>
    <row r="278" spans="6:101" x14ac:dyDescent="0.25">
      <c r="F278" s="9"/>
      <c r="G278" s="21">
        <v>0.40054299999999998</v>
      </c>
      <c r="H278" s="21">
        <v>44.992899999999999</v>
      </c>
      <c r="I278" s="21">
        <v>-1.7959599999999999E-2</v>
      </c>
      <c r="J278" s="21">
        <v>268</v>
      </c>
      <c r="K278" s="21">
        <v>0.39996300000000001</v>
      </c>
      <c r="L278">
        <f t="shared" si="48"/>
        <v>17.959599999999998</v>
      </c>
      <c r="M278">
        <f t="shared" si="49"/>
        <v>7.1935920627999987</v>
      </c>
      <c r="N278" s="9"/>
      <c r="O278" s="21">
        <v>1.2495400000000001</v>
      </c>
      <c r="P278" s="21">
        <v>116.753</v>
      </c>
      <c r="Q278" s="21">
        <v>-1.75079E-2</v>
      </c>
      <c r="R278" s="21">
        <v>268</v>
      </c>
      <c r="S278" s="21">
        <v>1.24878</v>
      </c>
      <c r="T278">
        <f t="shared" si="50"/>
        <v>17.507899999999999</v>
      </c>
      <c r="U278">
        <f t="shared" si="51"/>
        <v>21.876821366000001</v>
      </c>
      <c r="X278" s="9"/>
      <c r="Y278" s="21">
        <v>0.40054299999999998</v>
      </c>
      <c r="Z278" s="21">
        <v>184.428</v>
      </c>
      <c r="AA278" s="21">
        <v>-1.7932099999999999E-2</v>
      </c>
      <c r="AB278" s="21">
        <v>268</v>
      </c>
      <c r="AC278" s="21">
        <v>0.400146</v>
      </c>
      <c r="AD278">
        <f t="shared" si="52"/>
        <v>17.932099999999998</v>
      </c>
      <c r="AE278">
        <f t="shared" si="53"/>
        <v>7.1825771302999994</v>
      </c>
      <c r="AF278" s="9"/>
      <c r="AG278" s="21">
        <v>1.2495400000000001</v>
      </c>
      <c r="AH278" s="21">
        <v>250.97300000000001</v>
      </c>
      <c r="AI278" s="21">
        <v>-1.7501800000000001E-2</v>
      </c>
      <c r="AJ278" s="21">
        <v>268</v>
      </c>
      <c r="AK278" s="21">
        <v>1.24908</v>
      </c>
      <c r="AL278">
        <f t="shared" si="54"/>
        <v>17.501800000000003</v>
      </c>
      <c r="AM278">
        <f t="shared" si="55"/>
        <v>21.869199172000005</v>
      </c>
      <c r="AP278" s="9"/>
      <c r="AQ278" s="21">
        <v>0.40054299999999998</v>
      </c>
      <c r="AR278" s="21">
        <v>308.678</v>
      </c>
      <c r="AS278" s="21">
        <v>-1.7926000000000001E-2</v>
      </c>
      <c r="AT278" s="21">
        <v>268</v>
      </c>
      <c r="AU278" s="21">
        <v>0.40002399999999999</v>
      </c>
      <c r="AV278">
        <f t="shared" si="56"/>
        <v>17.926000000000002</v>
      </c>
      <c r="AW278">
        <f t="shared" si="57"/>
        <v>7.1801338180000007</v>
      </c>
      <c r="AX278" s="9"/>
      <c r="AY278" s="21">
        <v>1.2495400000000001</v>
      </c>
      <c r="AZ278" s="21">
        <v>379.108</v>
      </c>
      <c r="BA278" s="21">
        <v>-1.74652E-2</v>
      </c>
      <c r="BB278" s="21">
        <v>268</v>
      </c>
      <c r="BC278" s="21">
        <v>1.24908</v>
      </c>
      <c r="BD278">
        <f t="shared" si="58"/>
        <v>17.465199999999999</v>
      </c>
      <c r="BE278">
        <f t="shared" si="59"/>
        <v>21.823466008</v>
      </c>
    </row>
    <row r="279" spans="6:101" x14ac:dyDescent="0.25">
      <c r="F279" s="9"/>
      <c r="G279" s="21">
        <v>0.39550800000000003</v>
      </c>
      <c r="H279" s="21">
        <v>45.093600000000002</v>
      </c>
      <c r="I279" s="21">
        <v>-1.79565E-2</v>
      </c>
      <c r="J279" s="21">
        <v>269</v>
      </c>
      <c r="K279" s="21">
        <v>0.39517200000000002</v>
      </c>
      <c r="L279">
        <f t="shared" si="48"/>
        <v>17.956500000000002</v>
      </c>
      <c r="M279">
        <f t="shared" si="49"/>
        <v>7.1019394020000011</v>
      </c>
      <c r="N279" s="9"/>
      <c r="O279" s="21">
        <v>1.25458</v>
      </c>
      <c r="P279" s="21">
        <v>116.854</v>
      </c>
      <c r="Q279" s="21">
        <v>-1.75079E-2</v>
      </c>
      <c r="R279" s="21">
        <v>269</v>
      </c>
      <c r="S279" s="21">
        <v>1.25397</v>
      </c>
      <c r="T279">
        <f t="shared" si="50"/>
        <v>17.507899999999999</v>
      </c>
      <c r="U279">
        <f t="shared" si="51"/>
        <v>21.965061181999999</v>
      </c>
      <c r="X279" s="9"/>
      <c r="Y279" s="21">
        <v>0.39550800000000003</v>
      </c>
      <c r="Z279" s="21">
        <v>184.529</v>
      </c>
      <c r="AA279" s="21">
        <v>-1.7938200000000001E-2</v>
      </c>
      <c r="AB279" s="21">
        <v>269</v>
      </c>
      <c r="AC279" s="21">
        <v>0.39498899999999998</v>
      </c>
      <c r="AD279">
        <f t="shared" si="52"/>
        <v>17.938200000000002</v>
      </c>
      <c r="AE279">
        <f t="shared" si="53"/>
        <v>7.094701605600001</v>
      </c>
      <c r="AF279" s="9"/>
      <c r="AG279" s="21">
        <v>1.25458</v>
      </c>
      <c r="AH279" s="21">
        <v>251.07400000000001</v>
      </c>
      <c r="AI279" s="21">
        <v>-1.75079E-2</v>
      </c>
      <c r="AJ279" s="21">
        <v>269</v>
      </c>
      <c r="AK279" s="21">
        <v>1.25336</v>
      </c>
      <c r="AL279">
        <f t="shared" si="54"/>
        <v>17.507899999999999</v>
      </c>
      <c r="AM279">
        <f t="shared" si="55"/>
        <v>21.965061181999999</v>
      </c>
      <c r="AP279" s="9"/>
      <c r="AQ279" s="21">
        <v>0.39550800000000003</v>
      </c>
      <c r="AR279" s="21">
        <v>308.779</v>
      </c>
      <c r="AS279" s="21">
        <v>-1.7926000000000001E-2</v>
      </c>
      <c r="AT279" s="21">
        <v>269</v>
      </c>
      <c r="AU279" s="21">
        <v>0.39480599999999999</v>
      </c>
      <c r="AV279">
        <f t="shared" si="56"/>
        <v>17.926000000000002</v>
      </c>
      <c r="AW279">
        <f t="shared" si="57"/>
        <v>7.0898764080000012</v>
      </c>
      <c r="AX279" s="9"/>
      <c r="AY279" s="21">
        <v>1.25458</v>
      </c>
      <c r="AZ279" s="21">
        <v>379.209</v>
      </c>
      <c r="BA279" s="21">
        <v>-1.7456099999999999E-2</v>
      </c>
      <c r="BB279" s="21">
        <v>269</v>
      </c>
      <c r="BC279" s="21">
        <v>1.25397</v>
      </c>
      <c r="BD279">
        <f t="shared" si="58"/>
        <v>17.456099999999999</v>
      </c>
      <c r="BE279">
        <f t="shared" si="59"/>
        <v>21.900073937999998</v>
      </c>
    </row>
    <row r="280" spans="6:101" x14ac:dyDescent="0.25">
      <c r="F280" s="9"/>
      <c r="G280" s="21">
        <v>0.39047199999999999</v>
      </c>
      <c r="H280" s="21">
        <v>45.194400000000002</v>
      </c>
      <c r="I280" s="21">
        <v>-1.79565E-2</v>
      </c>
      <c r="J280" s="21">
        <v>270</v>
      </c>
      <c r="K280" s="21">
        <v>0.389679</v>
      </c>
      <c r="L280">
        <f t="shared" si="48"/>
        <v>17.956500000000002</v>
      </c>
      <c r="M280">
        <f t="shared" si="49"/>
        <v>7.0115104680000009</v>
      </c>
      <c r="N280" s="9"/>
      <c r="O280" s="21">
        <v>1.2596099999999999</v>
      </c>
      <c r="P280" s="21">
        <v>116.955</v>
      </c>
      <c r="Q280" s="21">
        <v>-1.7501800000000001E-2</v>
      </c>
      <c r="R280" s="21">
        <v>270</v>
      </c>
      <c r="S280" s="21">
        <v>1.25885</v>
      </c>
      <c r="T280">
        <f t="shared" si="50"/>
        <v>17.501800000000003</v>
      </c>
      <c r="U280">
        <f t="shared" si="51"/>
        <v>22.045442298000001</v>
      </c>
      <c r="X280" s="9"/>
      <c r="Y280" s="21">
        <v>0.39047199999999999</v>
      </c>
      <c r="Z280" s="21">
        <v>184.63</v>
      </c>
      <c r="AA280" s="21">
        <v>-1.7947399999999999E-2</v>
      </c>
      <c r="AB280" s="21">
        <v>270</v>
      </c>
      <c r="AC280" s="21">
        <v>0.39071699999999998</v>
      </c>
      <c r="AD280">
        <f t="shared" si="52"/>
        <v>17.947399999999998</v>
      </c>
      <c r="AE280">
        <f t="shared" si="53"/>
        <v>7.0079571727999994</v>
      </c>
      <c r="AF280" s="9"/>
      <c r="AG280" s="21">
        <v>1.2596099999999999</v>
      </c>
      <c r="AH280" s="21">
        <v>251.17500000000001</v>
      </c>
      <c r="AI280" s="21">
        <v>-1.7489600000000001E-2</v>
      </c>
      <c r="AJ280" s="21">
        <v>270</v>
      </c>
      <c r="AK280" s="21">
        <v>1.25854</v>
      </c>
      <c r="AL280">
        <f t="shared" si="54"/>
        <v>17.489599999999999</v>
      </c>
      <c r="AM280">
        <f t="shared" si="55"/>
        <v>22.030075055999998</v>
      </c>
      <c r="AP280" s="9"/>
      <c r="AQ280" s="21">
        <v>0.39047199999999999</v>
      </c>
      <c r="AR280" s="21">
        <v>308.88</v>
      </c>
      <c r="AS280" s="21">
        <v>-1.7923000000000001E-2</v>
      </c>
      <c r="AT280" s="21">
        <v>270</v>
      </c>
      <c r="AU280" s="21">
        <v>0.39016699999999999</v>
      </c>
      <c r="AV280">
        <f t="shared" si="56"/>
        <v>17.923000000000002</v>
      </c>
      <c r="AW280">
        <f t="shared" si="57"/>
        <v>6.9984296560000008</v>
      </c>
      <c r="AX280" s="9"/>
      <c r="AY280" s="21">
        <v>1.2596099999999999</v>
      </c>
      <c r="AZ280" s="21">
        <v>379.31</v>
      </c>
      <c r="BA280" s="21">
        <v>-1.7453E-2</v>
      </c>
      <c r="BB280" s="21">
        <v>270</v>
      </c>
      <c r="BC280" s="21">
        <v>1.25824</v>
      </c>
      <c r="BD280">
        <f t="shared" si="58"/>
        <v>17.452999999999999</v>
      </c>
      <c r="BE280">
        <f t="shared" si="59"/>
        <v>21.983973329999998</v>
      </c>
    </row>
    <row r="281" spans="6:101" x14ac:dyDescent="0.25">
      <c r="F281" s="9"/>
      <c r="G281" s="21">
        <v>0.38543699999999997</v>
      </c>
      <c r="H281" s="21">
        <v>45.295099999999998</v>
      </c>
      <c r="I281" s="21">
        <v>-1.7962599999999999E-2</v>
      </c>
      <c r="J281" s="21">
        <v>271</v>
      </c>
      <c r="K281" s="21">
        <v>0.38494899999999999</v>
      </c>
      <c r="L281">
        <f t="shared" si="48"/>
        <v>17.962599999999998</v>
      </c>
      <c r="M281">
        <f t="shared" si="49"/>
        <v>6.9234506561999991</v>
      </c>
      <c r="N281" s="9"/>
      <c r="O281" s="21">
        <v>1.2646500000000001</v>
      </c>
      <c r="P281" s="21">
        <v>117.05500000000001</v>
      </c>
      <c r="Q281" s="21">
        <v>-1.7501800000000001E-2</v>
      </c>
      <c r="R281" s="21">
        <v>271</v>
      </c>
      <c r="S281" s="21">
        <v>1.26373</v>
      </c>
      <c r="T281">
        <f t="shared" si="50"/>
        <v>17.501800000000003</v>
      </c>
      <c r="U281">
        <f t="shared" si="51"/>
        <v>22.133651370000006</v>
      </c>
      <c r="X281" s="9"/>
      <c r="Y281" s="21">
        <v>0.38543699999999997</v>
      </c>
      <c r="Z281" s="21">
        <v>184.73</v>
      </c>
      <c r="AA281" s="21">
        <v>-1.7953500000000001E-2</v>
      </c>
      <c r="AB281" s="21">
        <v>271</v>
      </c>
      <c r="AC281" s="21">
        <v>0.38479600000000003</v>
      </c>
      <c r="AD281">
        <f t="shared" si="52"/>
        <v>17.953500000000002</v>
      </c>
      <c r="AE281">
        <f t="shared" si="53"/>
        <v>6.9199431795000006</v>
      </c>
      <c r="AF281" s="9"/>
      <c r="AG281" s="21">
        <v>1.2646500000000001</v>
      </c>
      <c r="AH281" s="21">
        <v>251.27500000000001</v>
      </c>
      <c r="AI281" s="21">
        <v>-1.7489600000000001E-2</v>
      </c>
      <c r="AJ281" s="21">
        <v>271</v>
      </c>
      <c r="AK281" s="21">
        <v>1.26434</v>
      </c>
      <c r="AL281">
        <f t="shared" si="54"/>
        <v>17.489599999999999</v>
      </c>
      <c r="AM281">
        <f t="shared" si="55"/>
        <v>22.118222639999999</v>
      </c>
      <c r="AP281" s="9"/>
      <c r="AQ281" s="21">
        <v>0.38543699999999997</v>
      </c>
      <c r="AR281" s="21">
        <v>308.98</v>
      </c>
      <c r="AS281" s="21">
        <v>-1.79291E-2</v>
      </c>
      <c r="AT281" s="21">
        <v>271</v>
      </c>
      <c r="AU281" s="21">
        <v>0.38479600000000003</v>
      </c>
      <c r="AV281">
        <f t="shared" si="56"/>
        <v>17.929099999999998</v>
      </c>
      <c r="AW281">
        <f t="shared" si="57"/>
        <v>6.9105385166999991</v>
      </c>
      <c r="AX281" s="9"/>
      <c r="AY281" s="21">
        <v>1.2646500000000001</v>
      </c>
      <c r="AZ281" s="21">
        <v>379.41</v>
      </c>
      <c r="BA281" s="21">
        <v>-1.7446900000000001E-2</v>
      </c>
      <c r="BB281" s="21">
        <v>271</v>
      </c>
      <c r="BC281" s="21">
        <v>1.26495</v>
      </c>
      <c r="BD281">
        <f t="shared" si="58"/>
        <v>17.446900000000003</v>
      </c>
      <c r="BE281">
        <f t="shared" si="59"/>
        <v>22.064222085000004</v>
      </c>
    </row>
    <row r="282" spans="6:101" x14ac:dyDescent="0.25">
      <c r="F282" s="9"/>
      <c r="G282" s="21">
        <v>0.38040200000000002</v>
      </c>
      <c r="H282" s="21">
        <v>45.395800000000001</v>
      </c>
      <c r="I282" s="21">
        <v>-1.7965700000000001E-2</v>
      </c>
      <c r="J282" s="21">
        <v>272</v>
      </c>
      <c r="K282" s="21">
        <v>0.379913</v>
      </c>
      <c r="L282">
        <f t="shared" si="48"/>
        <v>17.965700000000002</v>
      </c>
      <c r="M282">
        <f t="shared" si="49"/>
        <v>6.8341882114000008</v>
      </c>
      <c r="N282" s="9"/>
      <c r="O282" s="21">
        <v>1.2696799999999999</v>
      </c>
      <c r="P282" s="21">
        <v>117.15600000000001</v>
      </c>
      <c r="Q282" s="21">
        <v>-1.7501800000000001E-2</v>
      </c>
      <c r="R282" s="21">
        <v>272</v>
      </c>
      <c r="S282" s="21">
        <v>1.26953</v>
      </c>
      <c r="T282">
        <f t="shared" si="50"/>
        <v>17.501800000000003</v>
      </c>
      <c r="U282">
        <f t="shared" si="51"/>
        <v>22.221685424000004</v>
      </c>
      <c r="X282" s="9"/>
      <c r="Y282" s="21">
        <v>0.38040200000000002</v>
      </c>
      <c r="Z282" s="21">
        <v>184.83099999999999</v>
      </c>
      <c r="AA282" s="21">
        <v>-1.7950399999999998E-2</v>
      </c>
      <c r="AB282" s="21">
        <v>272</v>
      </c>
      <c r="AC282" s="21">
        <v>0.379944</v>
      </c>
      <c r="AD282">
        <f t="shared" si="52"/>
        <v>17.950399999999998</v>
      </c>
      <c r="AE282">
        <f t="shared" si="53"/>
        <v>6.8283680607999999</v>
      </c>
      <c r="AF282" s="9"/>
      <c r="AG282" s="21">
        <v>1.2696799999999999</v>
      </c>
      <c r="AH282" s="21">
        <v>251.376</v>
      </c>
      <c r="AI282" s="21">
        <v>-1.74805E-2</v>
      </c>
      <c r="AJ282" s="21">
        <v>272</v>
      </c>
      <c r="AK282" s="21">
        <v>1.26892</v>
      </c>
      <c r="AL282">
        <f t="shared" si="54"/>
        <v>17.480499999999999</v>
      </c>
      <c r="AM282">
        <f t="shared" si="55"/>
        <v>22.194641239999999</v>
      </c>
      <c r="AP282" s="9"/>
      <c r="AQ282" s="21">
        <v>0.38040200000000002</v>
      </c>
      <c r="AR282" s="21">
        <v>309.08100000000002</v>
      </c>
      <c r="AS282" s="21">
        <v>-1.79291E-2</v>
      </c>
      <c r="AT282" s="21">
        <v>272</v>
      </c>
      <c r="AU282" s="21">
        <v>0.38043199999999999</v>
      </c>
      <c r="AV282">
        <f t="shared" si="56"/>
        <v>17.929099999999998</v>
      </c>
      <c r="AW282">
        <f t="shared" si="57"/>
        <v>6.8202654981999995</v>
      </c>
      <c r="AX282" s="9"/>
      <c r="AY282" s="21">
        <v>1.2696799999999999</v>
      </c>
      <c r="AZ282" s="21">
        <v>379.51100000000002</v>
      </c>
      <c r="BA282" s="21">
        <v>-1.745E-2</v>
      </c>
      <c r="BB282" s="21">
        <v>272</v>
      </c>
      <c r="BC282" s="21">
        <v>1.26892</v>
      </c>
      <c r="BD282">
        <f t="shared" si="58"/>
        <v>17.45</v>
      </c>
      <c r="BE282">
        <f t="shared" si="59"/>
        <v>22.155915999999998</v>
      </c>
    </row>
    <row r="283" spans="6:101" x14ac:dyDescent="0.25">
      <c r="F283" s="9"/>
      <c r="G283" s="21">
        <v>0.37536599999999998</v>
      </c>
      <c r="H283" s="21">
        <v>45.496499999999997</v>
      </c>
      <c r="I283" s="21">
        <v>-1.79688E-2</v>
      </c>
      <c r="J283" s="21">
        <v>273</v>
      </c>
      <c r="K283" s="21">
        <v>0.374969</v>
      </c>
      <c r="L283">
        <f t="shared" si="48"/>
        <v>17.968800000000002</v>
      </c>
      <c r="M283">
        <f t="shared" si="49"/>
        <v>6.7448765808000006</v>
      </c>
      <c r="N283" s="9"/>
      <c r="O283" s="21">
        <v>1.2747200000000001</v>
      </c>
      <c r="P283" s="21">
        <v>117.25700000000001</v>
      </c>
      <c r="Q283" s="21">
        <v>-1.7495699999999999E-2</v>
      </c>
      <c r="R283" s="21">
        <v>273</v>
      </c>
      <c r="S283" s="21">
        <v>1.27441</v>
      </c>
      <c r="T283">
        <f t="shared" si="50"/>
        <v>17.495699999999999</v>
      </c>
      <c r="U283">
        <f t="shared" si="51"/>
        <v>22.302118704000002</v>
      </c>
      <c r="X283" s="9"/>
      <c r="Y283" s="21">
        <v>0.37536599999999998</v>
      </c>
      <c r="Z283" s="21">
        <v>184.93199999999999</v>
      </c>
      <c r="AA283" s="21">
        <v>-1.7947399999999999E-2</v>
      </c>
      <c r="AB283" s="21">
        <v>273</v>
      </c>
      <c r="AC283" s="21">
        <v>0.37481700000000001</v>
      </c>
      <c r="AD283">
        <f t="shared" si="52"/>
        <v>17.947399999999998</v>
      </c>
      <c r="AE283">
        <f t="shared" si="53"/>
        <v>6.7368437483999992</v>
      </c>
      <c r="AF283" s="9"/>
      <c r="AG283" s="21">
        <v>1.2747200000000001</v>
      </c>
      <c r="AH283" s="21">
        <v>251.477</v>
      </c>
      <c r="AI283" s="21">
        <v>-1.74805E-2</v>
      </c>
      <c r="AJ283" s="21">
        <v>273</v>
      </c>
      <c r="AK283" s="21">
        <v>1.2741100000000001</v>
      </c>
      <c r="AL283">
        <f t="shared" si="54"/>
        <v>17.480499999999999</v>
      </c>
      <c r="AM283">
        <f t="shared" si="55"/>
        <v>22.28274296</v>
      </c>
      <c r="AP283" s="9"/>
      <c r="AQ283" s="21">
        <v>0.37536599999999998</v>
      </c>
      <c r="AR283" s="21">
        <v>309.18200000000002</v>
      </c>
      <c r="AS283" s="21">
        <v>-1.7932099999999999E-2</v>
      </c>
      <c r="AT283" s="21">
        <v>273</v>
      </c>
      <c r="AU283" s="21">
        <v>0.37506099999999998</v>
      </c>
      <c r="AV283">
        <f t="shared" si="56"/>
        <v>17.932099999999998</v>
      </c>
      <c r="AW283">
        <f t="shared" si="57"/>
        <v>6.7311006485999991</v>
      </c>
      <c r="AX283" s="9"/>
      <c r="AY283" s="21">
        <v>1.2747200000000001</v>
      </c>
      <c r="AZ283" s="21">
        <v>379.61200000000002</v>
      </c>
      <c r="BA283" s="21">
        <v>-1.7443799999999999E-2</v>
      </c>
      <c r="BB283" s="21">
        <v>273</v>
      </c>
      <c r="BC283" s="21">
        <v>1.2753300000000001</v>
      </c>
      <c r="BD283">
        <f t="shared" si="58"/>
        <v>17.4438</v>
      </c>
      <c r="BE283">
        <f t="shared" si="59"/>
        <v>22.235960735999999</v>
      </c>
    </row>
    <row r="284" spans="6:101" x14ac:dyDescent="0.25">
      <c r="F284" s="9"/>
      <c r="G284" s="21">
        <v>0.37033100000000002</v>
      </c>
      <c r="H284" s="21">
        <v>45.597200000000001</v>
      </c>
      <c r="I284" s="21">
        <v>-1.7974899999999999E-2</v>
      </c>
      <c r="J284" s="21">
        <v>274</v>
      </c>
      <c r="K284" s="21">
        <v>0.36969000000000002</v>
      </c>
      <c r="L284">
        <f t="shared" si="48"/>
        <v>17.974899999999998</v>
      </c>
      <c r="M284">
        <f t="shared" si="49"/>
        <v>6.6566626918999994</v>
      </c>
      <c r="N284" s="9"/>
      <c r="O284" s="21">
        <v>1.2797499999999999</v>
      </c>
      <c r="P284" s="21">
        <v>117.357</v>
      </c>
      <c r="Q284" s="21">
        <v>-1.7495699999999999E-2</v>
      </c>
      <c r="R284" s="21">
        <v>274</v>
      </c>
      <c r="S284" s="21">
        <v>1.2783800000000001</v>
      </c>
      <c r="T284">
        <f t="shared" si="50"/>
        <v>17.495699999999999</v>
      </c>
      <c r="U284">
        <f t="shared" si="51"/>
        <v>22.390122074999997</v>
      </c>
      <c r="X284" s="9"/>
      <c r="Y284" s="21">
        <v>0.37033100000000002</v>
      </c>
      <c r="Z284" s="21">
        <v>185.03200000000001</v>
      </c>
      <c r="AA284" s="21">
        <v>-1.7953500000000001E-2</v>
      </c>
      <c r="AB284" s="21">
        <v>274</v>
      </c>
      <c r="AC284" s="21">
        <v>0.36996499999999999</v>
      </c>
      <c r="AD284">
        <f t="shared" si="52"/>
        <v>17.953500000000002</v>
      </c>
      <c r="AE284">
        <f t="shared" si="53"/>
        <v>6.6487376085000012</v>
      </c>
      <c r="AF284" s="9"/>
      <c r="AG284" s="21">
        <v>1.2797499999999999</v>
      </c>
      <c r="AH284" s="21">
        <v>251.577</v>
      </c>
      <c r="AI284" s="21">
        <v>-1.7474400000000001E-2</v>
      </c>
      <c r="AJ284" s="21">
        <v>274</v>
      </c>
      <c r="AK284" s="21">
        <v>1.2793000000000001</v>
      </c>
      <c r="AL284">
        <f t="shared" si="54"/>
        <v>17.474400000000003</v>
      </c>
      <c r="AM284">
        <f t="shared" si="55"/>
        <v>22.362863400000002</v>
      </c>
      <c r="AP284" s="9"/>
      <c r="AQ284" s="21">
        <v>0.37033100000000002</v>
      </c>
      <c r="AR284" s="21">
        <v>309.28199999999998</v>
      </c>
      <c r="AS284" s="21">
        <v>-1.79413E-2</v>
      </c>
      <c r="AT284" s="21">
        <v>274</v>
      </c>
      <c r="AU284" s="21">
        <v>0.37026999999999999</v>
      </c>
      <c r="AV284">
        <f t="shared" si="56"/>
        <v>17.941300000000002</v>
      </c>
      <c r="AW284">
        <f t="shared" si="57"/>
        <v>6.6442195703000007</v>
      </c>
      <c r="AX284" s="9"/>
      <c r="AY284" s="21">
        <v>1.2797499999999999</v>
      </c>
      <c r="AZ284" s="21">
        <v>379.71300000000002</v>
      </c>
      <c r="BA284" s="21">
        <v>-1.7446900000000001E-2</v>
      </c>
      <c r="BB284" s="21">
        <v>274</v>
      </c>
      <c r="BC284" s="21">
        <v>1.2793000000000001</v>
      </c>
      <c r="BD284">
        <f t="shared" si="58"/>
        <v>17.446900000000003</v>
      </c>
      <c r="BE284">
        <f t="shared" si="59"/>
        <v>22.327670275000003</v>
      </c>
    </row>
    <row r="285" spans="6:101" x14ac:dyDescent="0.25">
      <c r="F285" s="9"/>
      <c r="G285" s="21">
        <v>0.36529499999999998</v>
      </c>
      <c r="H285" s="21">
        <v>45.697899999999997</v>
      </c>
      <c r="I285" s="21">
        <v>-1.7977900000000002E-2</v>
      </c>
      <c r="J285" s="21">
        <v>275</v>
      </c>
      <c r="K285" s="21">
        <v>0.364838</v>
      </c>
      <c r="L285">
        <f t="shared" si="48"/>
        <v>17.977900000000002</v>
      </c>
      <c r="M285">
        <f t="shared" si="49"/>
        <v>6.5672369805000006</v>
      </c>
      <c r="N285" s="9"/>
      <c r="O285" s="21">
        <v>1.2847900000000001</v>
      </c>
      <c r="P285" s="21">
        <v>117.458</v>
      </c>
      <c r="Q285" s="21">
        <v>-1.7495699999999999E-2</v>
      </c>
      <c r="R285" s="21">
        <v>275</v>
      </c>
      <c r="S285" s="21">
        <v>1.2841800000000001</v>
      </c>
      <c r="T285">
        <f t="shared" si="50"/>
        <v>17.495699999999999</v>
      </c>
      <c r="U285">
        <f t="shared" si="51"/>
        <v>22.478300403000002</v>
      </c>
      <c r="X285" s="9"/>
      <c r="Y285" s="21">
        <v>0.36529499999999998</v>
      </c>
      <c r="Z285" s="21">
        <v>185.13300000000001</v>
      </c>
      <c r="AA285" s="21">
        <v>-1.7953500000000001E-2</v>
      </c>
      <c r="AB285" s="21">
        <v>275</v>
      </c>
      <c r="AC285" s="21">
        <v>0.36486800000000003</v>
      </c>
      <c r="AD285">
        <f t="shared" si="52"/>
        <v>17.953500000000002</v>
      </c>
      <c r="AE285">
        <f t="shared" si="53"/>
        <v>6.5583237825000005</v>
      </c>
      <c r="AF285" s="9"/>
      <c r="AG285" s="21">
        <v>1.2847900000000001</v>
      </c>
      <c r="AH285" s="21">
        <v>251.678</v>
      </c>
      <c r="AI285" s="21">
        <v>-1.7477400000000001E-2</v>
      </c>
      <c r="AJ285" s="21">
        <v>275</v>
      </c>
      <c r="AK285" s="21">
        <v>1.2841800000000001</v>
      </c>
      <c r="AL285">
        <f t="shared" si="54"/>
        <v>17.477399999999999</v>
      </c>
      <c r="AM285">
        <f t="shared" si="55"/>
        <v>22.454788746000002</v>
      </c>
      <c r="AP285" s="9"/>
      <c r="AQ285" s="21">
        <v>0.36529499999999998</v>
      </c>
      <c r="AR285" s="21">
        <v>309.38299999999998</v>
      </c>
      <c r="AS285" s="21">
        <v>-1.79443E-2</v>
      </c>
      <c r="AT285" s="21">
        <v>275</v>
      </c>
      <c r="AU285" s="21">
        <v>0.36486800000000003</v>
      </c>
      <c r="AV285">
        <f t="shared" si="56"/>
        <v>17.944299999999998</v>
      </c>
      <c r="AW285">
        <f t="shared" si="57"/>
        <v>6.5549630684999993</v>
      </c>
      <c r="AX285" s="9"/>
      <c r="AY285" s="21">
        <v>1.2847900000000001</v>
      </c>
      <c r="AZ285" s="21">
        <v>379.81299999999999</v>
      </c>
      <c r="BA285" s="21">
        <v>-1.74377E-2</v>
      </c>
      <c r="BB285" s="21">
        <v>275</v>
      </c>
      <c r="BC285" s="21">
        <v>1.2838700000000001</v>
      </c>
      <c r="BD285">
        <f t="shared" si="58"/>
        <v>17.4377</v>
      </c>
      <c r="BE285">
        <f t="shared" si="59"/>
        <v>22.403782583000002</v>
      </c>
    </row>
    <row r="286" spans="6:101" x14ac:dyDescent="0.25">
      <c r="F286" s="9"/>
      <c r="G286" s="21">
        <v>0.36026000000000002</v>
      </c>
      <c r="H286" s="21">
        <v>45.7986</v>
      </c>
      <c r="I286" s="21">
        <v>-1.7977900000000002E-2</v>
      </c>
      <c r="J286" s="21">
        <v>276</v>
      </c>
      <c r="K286" s="21">
        <v>0.35980200000000001</v>
      </c>
      <c r="L286">
        <f t="shared" si="48"/>
        <v>17.977900000000002</v>
      </c>
      <c r="M286">
        <f t="shared" si="49"/>
        <v>6.4767182540000015</v>
      </c>
      <c r="N286" s="9"/>
      <c r="O286" s="21">
        <v>1.28983</v>
      </c>
      <c r="P286" s="21">
        <v>117.559</v>
      </c>
      <c r="Q286" s="21">
        <v>-1.7483499999999999E-2</v>
      </c>
      <c r="R286" s="21">
        <v>276</v>
      </c>
      <c r="S286" s="21">
        <v>1.2893699999999999</v>
      </c>
      <c r="T286">
        <f t="shared" si="50"/>
        <v>17.483499999999999</v>
      </c>
      <c r="U286">
        <f t="shared" si="51"/>
        <v>22.550742804999999</v>
      </c>
      <c r="X286" s="9"/>
      <c r="Y286" s="21">
        <v>0.36026000000000002</v>
      </c>
      <c r="Z286" s="21">
        <v>185.23400000000001</v>
      </c>
      <c r="AA286" s="21">
        <v>-1.79565E-2</v>
      </c>
      <c r="AB286" s="21">
        <v>276</v>
      </c>
      <c r="AC286" s="21">
        <v>0.35974099999999998</v>
      </c>
      <c r="AD286">
        <f t="shared" si="52"/>
        <v>17.956500000000002</v>
      </c>
      <c r="AE286">
        <f t="shared" si="53"/>
        <v>6.4690086900000008</v>
      </c>
      <c r="AF286" s="9"/>
      <c r="AG286" s="21">
        <v>1.28983</v>
      </c>
      <c r="AH286" s="21">
        <v>251.779</v>
      </c>
      <c r="AI286" s="21">
        <v>-1.7477400000000001E-2</v>
      </c>
      <c r="AJ286" s="21">
        <v>276</v>
      </c>
      <c r="AK286" s="21">
        <v>1.2887599999999999</v>
      </c>
      <c r="AL286">
        <f t="shared" si="54"/>
        <v>17.477399999999999</v>
      </c>
      <c r="AM286">
        <f t="shared" si="55"/>
        <v>22.542874842</v>
      </c>
      <c r="AP286" s="9"/>
      <c r="AQ286" s="21">
        <v>0.36026000000000002</v>
      </c>
      <c r="AR286" s="21">
        <v>309.48399999999998</v>
      </c>
      <c r="AS286" s="21">
        <v>-1.79443E-2</v>
      </c>
      <c r="AT286" s="21">
        <v>276</v>
      </c>
      <c r="AU286" s="21">
        <v>0.35977199999999998</v>
      </c>
      <c r="AV286">
        <f t="shared" si="56"/>
        <v>17.944299999999998</v>
      </c>
      <c r="AW286">
        <f t="shared" si="57"/>
        <v>6.4646135180000002</v>
      </c>
      <c r="AX286" s="9"/>
      <c r="AY286" s="21">
        <v>1.28983</v>
      </c>
      <c r="AZ286" s="21">
        <v>379.91399999999999</v>
      </c>
      <c r="BA286" s="21">
        <v>-1.74377E-2</v>
      </c>
      <c r="BB286" s="21">
        <v>276</v>
      </c>
      <c r="BC286" s="21">
        <v>1.2896700000000001</v>
      </c>
      <c r="BD286">
        <f t="shared" si="58"/>
        <v>17.4377</v>
      </c>
      <c r="BE286">
        <f t="shared" si="59"/>
        <v>22.491668591</v>
      </c>
    </row>
    <row r="287" spans="6:101" x14ac:dyDescent="0.25">
      <c r="F287" s="9"/>
      <c r="G287" s="21">
        <v>0.35522500000000001</v>
      </c>
      <c r="H287" s="21">
        <v>45.899299999999997</v>
      </c>
      <c r="I287" s="21">
        <v>-1.7981E-2</v>
      </c>
      <c r="J287" s="21">
        <v>277</v>
      </c>
      <c r="K287" s="21">
        <v>0.35467500000000002</v>
      </c>
      <c r="L287">
        <f t="shared" si="48"/>
        <v>17.981000000000002</v>
      </c>
      <c r="M287">
        <f t="shared" si="49"/>
        <v>6.3873007250000011</v>
      </c>
      <c r="N287" s="9"/>
      <c r="O287" s="21">
        <v>1.2948599999999999</v>
      </c>
      <c r="P287" s="21">
        <v>117.65900000000001</v>
      </c>
      <c r="Q287" s="21">
        <v>-1.7489600000000001E-2</v>
      </c>
      <c r="R287" s="21">
        <v>277</v>
      </c>
      <c r="S287" s="21">
        <v>1.2939499999999999</v>
      </c>
      <c r="T287">
        <f t="shared" si="50"/>
        <v>17.489599999999999</v>
      </c>
      <c r="U287">
        <f t="shared" si="51"/>
        <v>22.646583455999998</v>
      </c>
      <c r="X287" s="9"/>
      <c r="Y287" s="21">
        <v>0.35522500000000001</v>
      </c>
      <c r="Z287" s="21">
        <v>185.33500000000001</v>
      </c>
      <c r="AA287" s="21">
        <v>-1.7959599999999999E-2</v>
      </c>
      <c r="AB287" s="21">
        <v>277</v>
      </c>
      <c r="AC287" s="21">
        <v>0.354767</v>
      </c>
      <c r="AD287">
        <f t="shared" si="52"/>
        <v>17.959599999999998</v>
      </c>
      <c r="AE287">
        <f t="shared" si="53"/>
        <v>6.3796989099999992</v>
      </c>
      <c r="AF287" s="9"/>
      <c r="AG287" s="21">
        <v>1.2948599999999999</v>
      </c>
      <c r="AH287" s="21">
        <v>251.88</v>
      </c>
      <c r="AI287" s="21">
        <v>-1.7471299999999999E-2</v>
      </c>
      <c r="AJ287" s="21">
        <v>277</v>
      </c>
      <c r="AK287" s="21">
        <v>1.2948599999999999</v>
      </c>
      <c r="AL287">
        <f t="shared" si="54"/>
        <v>17.471299999999999</v>
      </c>
      <c r="AM287">
        <f t="shared" si="55"/>
        <v>22.622887517999999</v>
      </c>
      <c r="AP287" s="9"/>
      <c r="AQ287" s="21">
        <v>0.35522500000000001</v>
      </c>
      <c r="AR287" s="21">
        <v>309.584</v>
      </c>
      <c r="AS287" s="21">
        <v>-1.79443E-2</v>
      </c>
      <c r="AT287" s="21">
        <v>277</v>
      </c>
      <c r="AU287" s="21">
        <v>0.35452299999999998</v>
      </c>
      <c r="AV287">
        <f t="shared" si="56"/>
        <v>17.944299999999998</v>
      </c>
      <c r="AW287">
        <f t="shared" si="57"/>
        <v>6.3742639674999992</v>
      </c>
      <c r="AX287" s="9"/>
      <c r="AY287" s="21">
        <v>1.2948599999999999</v>
      </c>
      <c r="AZ287" s="21">
        <v>380.01499999999999</v>
      </c>
      <c r="BA287" s="21">
        <v>-1.7428599999999999E-2</v>
      </c>
      <c r="BB287" s="21">
        <v>277</v>
      </c>
      <c r="BC287" s="21">
        <v>1.2945599999999999</v>
      </c>
      <c r="BD287">
        <f t="shared" si="58"/>
        <v>17.428599999999999</v>
      </c>
      <c r="BE287">
        <f t="shared" si="59"/>
        <v>22.567596995999999</v>
      </c>
    </row>
    <row r="288" spans="6:101" x14ac:dyDescent="0.25">
      <c r="F288" s="9"/>
      <c r="G288" s="21">
        <v>0.35018899999999997</v>
      </c>
      <c r="H288" s="21">
        <v>46</v>
      </c>
      <c r="I288" s="21">
        <v>-1.7981E-2</v>
      </c>
      <c r="J288" s="21">
        <v>278</v>
      </c>
      <c r="K288" s="21">
        <v>0.35000599999999998</v>
      </c>
      <c r="L288">
        <f t="shared" si="48"/>
        <v>17.981000000000002</v>
      </c>
      <c r="M288">
        <f t="shared" si="49"/>
        <v>6.2967484090000001</v>
      </c>
      <c r="N288" s="9"/>
      <c r="O288" s="21">
        <v>1.2999000000000001</v>
      </c>
      <c r="P288" s="21">
        <v>117.76</v>
      </c>
      <c r="Q288" s="21">
        <v>-1.7474400000000001E-2</v>
      </c>
      <c r="R288" s="21">
        <v>278</v>
      </c>
      <c r="S288" s="21">
        <v>1.2994399999999999</v>
      </c>
      <c r="T288">
        <f t="shared" si="50"/>
        <v>17.474400000000003</v>
      </c>
      <c r="U288">
        <f t="shared" si="51"/>
        <v>22.714972560000003</v>
      </c>
      <c r="X288" s="9"/>
      <c r="Y288" s="21">
        <v>0.35018899999999997</v>
      </c>
      <c r="Z288" s="21">
        <v>185.435</v>
      </c>
      <c r="AA288" s="21">
        <v>-1.7965700000000001E-2</v>
      </c>
      <c r="AB288" s="21">
        <v>278</v>
      </c>
      <c r="AC288" s="21">
        <v>0.34973100000000001</v>
      </c>
      <c r="AD288">
        <f t="shared" si="52"/>
        <v>17.965700000000002</v>
      </c>
      <c r="AE288">
        <f t="shared" si="53"/>
        <v>6.2913905173</v>
      </c>
      <c r="AF288" s="9"/>
      <c r="AG288" s="21">
        <v>1.2999000000000001</v>
      </c>
      <c r="AH288" s="21">
        <v>251.98</v>
      </c>
      <c r="AI288" s="21">
        <v>-1.7471299999999999E-2</v>
      </c>
      <c r="AJ288" s="21">
        <v>278</v>
      </c>
      <c r="AK288" s="21">
        <v>1.2994399999999999</v>
      </c>
      <c r="AL288">
        <f t="shared" si="54"/>
        <v>17.471299999999999</v>
      </c>
      <c r="AM288">
        <f t="shared" si="55"/>
        <v>22.71094287</v>
      </c>
      <c r="AP288" s="9"/>
      <c r="AQ288" s="21">
        <v>0.35018899999999997</v>
      </c>
      <c r="AR288" s="21">
        <v>309.685</v>
      </c>
      <c r="AS288" s="21">
        <v>-1.7947399999999999E-2</v>
      </c>
      <c r="AT288" s="21">
        <v>278</v>
      </c>
      <c r="AU288" s="21">
        <v>0.34933500000000001</v>
      </c>
      <c r="AV288">
        <f t="shared" si="56"/>
        <v>17.947399999999998</v>
      </c>
      <c r="AW288">
        <f t="shared" si="57"/>
        <v>6.2849820585999989</v>
      </c>
      <c r="AX288" s="9"/>
      <c r="AY288" s="21">
        <v>1.2999000000000001</v>
      </c>
      <c r="AZ288" s="21">
        <v>380.11500000000001</v>
      </c>
      <c r="BA288" s="21">
        <v>-1.7428599999999999E-2</v>
      </c>
      <c r="BB288" s="21">
        <v>278</v>
      </c>
      <c r="BC288" s="21">
        <v>1.2991299999999999</v>
      </c>
      <c r="BD288">
        <f t="shared" si="58"/>
        <v>17.428599999999999</v>
      </c>
      <c r="BE288">
        <f t="shared" si="59"/>
        <v>22.65543714</v>
      </c>
    </row>
    <row r="289" spans="6:57" x14ac:dyDescent="0.25">
      <c r="F289" s="9"/>
      <c r="G289" s="21">
        <v>0.34515400000000002</v>
      </c>
      <c r="H289" s="21">
        <v>46.100700000000003</v>
      </c>
      <c r="I289" s="21">
        <v>-1.7984E-2</v>
      </c>
      <c r="J289" s="21">
        <v>279</v>
      </c>
      <c r="K289" s="21">
        <v>0.344696</v>
      </c>
      <c r="L289">
        <f t="shared" si="48"/>
        <v>17.984000000000002</v>
      </c>
      <c r="M289">
        <f t="shared" si="49"/>
        <v>6.2072495360000008</v>
      </c>
      <c r="N289" s="9"/>
      <c r="O289" s="21">
        <v>1.3049299999999999</v>
      </c>
      <c r="P289" s="21">
        <v>117.861</v>
      </c>
      <c r="Q289" s="21">
        <v>-1.7474400000000001E-2</v>
      </c>
      <c r="R289" s="21">
        <v>279</v>
      </c>
      <c r="S289" s="21">
        <v>1.3043199999999999</v>
      </c>
      <c r="T289">
        <f t="shared" si="50"/>
        <v>17.474400000000003</v>
      </c>
      <c r="U289">
        <f t="shared" si="51"/>
        <v>22.802868792000002</v>
      </c>
      <c r="X289" s="9"/>
      <c r="Y289" s="21">
        <v>0.34515400000000002</v>
      </c>
      <c r="Z289" s="21">
        <v>185.536</v>
      </c>
      <c r="AA289" s="21">
        <v>-1.7965700000000001E-2</v>
      </c>
      <c r="AB289" s="21">
        <v>279</v>
      </c>
      <c r="AC289" s="21">
        <v>0.34475699999999998</v>
      </c>
      <c r="AD289">
        <f t="shared" si="52"/>
        <v>17.965700000000002</v>
      </c>
      <c r="AE289">
        <f t="shared" si="53"/>
        <v>6.2009332178000012</v>
      </c>
      <c r="AF289" s="9"/>
      <c r="AG289" s="21">
        <v>1.3049299999999999</v>
      </c>
      <c r="AH289" s="21">
        <v>252.08099999999999</v>
      </c>
      <c r="AI289" s="21">
        <v>-1.7462200000000001E-2</v>
      </c>
      <c r="AJ289" s="21">
        <v>279</v>
      </c>
      <c r="AK289" s="21">
        <v>1.30463</v>
      </c>
      <c r="AL289">
        <f t="shared" si="54"/>
        <v>17.462199999999999</v>
      </c>
      <c r="AM289">
        <f t="shared" si="55"/>
        <v>22.786948645999999</v>
      </c>
      <c r="AP289" s="9"/>
      <c r="AQ289" s="21">
        <v>0.34515400000000002</v>
      </c>
      <c r="AR289" s="21">
        <v>309.786</v>
      </c>
      <c r="AS289" s="21">
        <v>-1.7953500000000001E-2</v>
      </c>
      <c r="AT289" s="21">
        <v>279</v>
      </c>
      <c r="AU289" s="21">
        <v>0.34512300000000001</v>
      </c>
      <c r="AV289">
        <f t="shared" si="56"/>
        <v>17.953500000000002</v>
      </c>
      <c r="AW289">
        <f t="shared" si="57"/>
        <v>6.1967223390000008</v>
      </c>
      <c r="AX289" s="9"/>
      <c r="AY289" s="21">
        <v>1.3049299999999999</v>
      </c>
      <c r="AZ289" s="21">
        <v>380.21600000000001</v>
      </c>
      <c r="BA289" s="21">
        <v>-1.7431599999999998E-2</v>
      </c>
      <c r="BB289" s="21">
        <v>279</v>
      </c>
      <c r="BC289" s="21">
        <v>1.30463</v>
      </c>
      <c r="BD289">
        <f t="shared" si="58"/>
        <v>17.4316</v>
      </c>
      <c r="BE289">
        <f t="shared" si="59"/>
        <v>22.747017787999997</v>
      </c>
    </row>
    <row r="290" spans="6:57" x14ac:dyDescent="0.25">
      <c r="F290" s="9"/>
      <c r="G290" s="21">
        <v>0.34011799999999998</v>
      </c>
      <c r="H290" s="21">
        <v>46.2014</v>
      </c>
      <c r="I290" s="21">
        <v>-1.7984E-2</v>
      </c>
      <c r="J290" s="21">
        <v>280</v>
      </c>
      <c r="K290" s="21">
        <v>0.33962999999999999</v>
      </c>
      <c r="L290">
        <f t="shared" si="48"/>
        <v>17.984000000000002</v>
      </c>
      <c r="M290">
        <f t="shared" si="49"/>
        <v>6.1166821120000003</v>
      </c>
      <c r="N290" s="9"/>
      <c r="O290" s="21">
        <v>1.3099700000000001</v>
      </c>
      <c r="P290" s="21">
        <v>117.962</v>
      </c>
      <c r="Q290" s="21">
        <v>-1.7471299999999999E-2</v>
      </c>
      <c r="R290" s="21">
        <v>280</v>
      </c>
      <c r="S290" s="21">
        <v>1.30951</v>
      </c>
      <c r="T290">
        <f t="shared" si="50"/>
        <v>17.471299999999999</v>
      </c>
      <c r="U290">
        <f t="shared" si="51"/>
        <v>22.886878861</v>
      </c>
      <c r="X290" s="9"/>
      <c r="Y290" s="21">
        <v>0.34011799999999998</v>
      </c>
      <c r="Z290" s="21">
        <v>185.637</v>
      </c>
      <c r="AA290" s="21">
        <v>-1.79718E-2</v>
      </c>
      <c r="AB290" s="21">
        <v>280</v>
      </c>
      <c r="AC290" s="21">
        <v>0.33966099999999999</v>
      </c>
      <c r="AD290">
        <f t="shared" si="52"/>
        <v>17.971799999999998</v>
      </c>
      <c r="AE290">
        <f t="shared" si="53"/>
        <v>6.1125326723999986</v>
      </c>
      <c r="AF290" s="9"/>
      <c r="AG290" s="21">
        <v>1.3099700000000001</v>
      </c>
      <c r="AH290" s="21">
        <v>252.18199999999999</v>
      </c>
      <c r="AI290" s="21">
        <v>-1.7462200000000001E-2</v>
      </c>
      <c r="AJ290" s="21">
        <v>280</v>
      </c>
      <c r="AK290" s="21">
        <v>1.3089</v>
      </c>
      <c r="AL290">
        <f t="shared" si="54"/>
        <v>17.462199999999999</v>
      </c>
      <c r="AM290">
        <f t="shared" si="55"/>
        <v>22.874958134</v>
      </c>
      <c r="AP290" s="9"/>
      <c r="AQ290" s="21">
        <v>0.34011799999999998</v>
      </c>
      <c r="AR290" s="21">
        <v>309.887</v>
      </c>
      <c r="AS290" s="21">
        <v>-1.7953500000000001E-2</v>
      </c>
      <c r="AT290" s="21">
        <v>280</v>
      </c>
      <c r="AU290" s="21">
        <v>0.33969100000000002</v>
      </c>
      <c r="AV290">
        <f t="shared" si="56"/>
        <v>17.953500000000002</v>
      </c>
      <c r="AW290">
        <f t="shared" si="57"/>
        <v>6.1063085130000001</v>
      </c>
      <c r="AX290" s="9"/>
      <c r="AY290" s="21">
        <v>1.3099700000000001</v>
      </c>
      <c r="AZ290" s="21">
        <v>380.31700000000001</v>
      </c>
      <c r="BA290" s="21">
        <v>-1.74255E-2</v>
      </c>
      <c r="BB290" s="21">
        <v>280</v>
      </c>
      <c r="BC290" s="21">
        <v>1.3091999999999999</v>
      </c>
      <c r="BD290">
        <f t="shared" si="58"/>
        <v>17.4255</v>
      </c>
      <c r="BE290">
        <f t="shared" si="59"/>
        <v>22.826882234999999</v>
      </c>
    </row>
    <row r="291" spans="6:57" x14ac:dyDescent="0.25">
      <c r="F291" s="9"/>
      <c r="G291" s="21">
        <v>0.33508300000000002</v>
      </c>
      <c r="H291" s="21">
        <v>46.302100000000003</v>
      </c>
      <c r="I291" s="21">
        <v>-1.7993200000000001E-2</v>
      </c>
      <c r="J291" s="21">
        <v>281</v>
      </c>
      <c r="K291" s="21">
        <v>0.33468599999999998</v>
      </c>
      <c r="L291">
        <f t="shared" si="48"/>
        <v>17.993200000000002</v>
      </c>
      <c r="M291">
        <f t="shared" si="49"/>
        <v>6.0292154356000012</v>
      </c>
      <c r="N291" s="9"/>
      <c r="O291" s="21">
        <v>1.3149999999999999</v>
      </c>
      <c r="P291" s="21">
        <v>118.062</v>
      </c>
      <c r="Q291" s="21">
        <v>-1.7468299999999999E-2</v>
      </c>
      <c r="R291" s="21">
        <v>281</v>
      </c>
      <c r="S291" s="21">
        <v>1.3143899999999999</v>
      </c>
      <c r="T291">
        <f t="shared" si="50"/>
        <v>17.468299999999999</v>
      </c>
      <c r="U291">
        <f t="shared" si="51"/>
        <v>22.970814499999999</v>
      </c>
      <c r="X291" s="9"/>
      <c r="Y291" s="21">
        <v>0.33508300000000002</v>
      </c>
      <c r="Z291" s="21">
        <v>185.73699999999999</v>
      </c>
      <c r="AA291" s="21">
        <v>-1.79688E-2</v>
      </c>
      <c r="AB291" s="21">
        <v>281</v>
      </c>
      <c r="AC291" s="21">
        <v>0.334534</v>
      </c>
      <c r="AD291">
        <f t="shared" si="52"/>
        <v>17.968800000000002</v>
      </c>
      <c r="AE291">
        <f t="shared" si="53"/>
        <v>6.0210394104000011</v>
      </c>
      <c r="AF291" s="9"/>
      <c r="AG291" s="21">
        <v>1.3149999999999999</v>
      </c>
      <c r="AH291" s="21">
        <v>252.28200000000001</v>
      </c>
      <c r="AI291" s="21">
        <v>-1.7456099999999999E-2</v>
      </c>
      <c r="AJ291" s="21">
        <v>281</v>
      </c>
      <c r="AK291" s="21">
        <v>1.31409</v>
      </c>
      <c r="AL291">
        <f t="shared" si="54"/>
        <v>17.456099999999999</v>
      </c>
      <c r="AM291">
        <f t="shared" si="55"/>
        <v>22.9547715</v>
      </c>
      <c r="AP291" s="9"/>
      <c r="AQ291" s="21">
        <v>0.33508300000000002</v>
      </c>
      <c r="AR291" s="21">
        <v>309.98700000000002</v>
      </c>
      <c r="AS291" s="21">
        <v>-1.79565E-2</v>
      </c>
      <c r="AT291" s="21">
        <v>281</v>
      </c>
      <c r="AU291" s="21">
        <v>0.33462500000000001</v>
      </c>
      <c r="AV291">
        <f t="shared" si="56"/>
        <v>17.956500000000002</v>
      </c>
      <c r="AW291">
        <f t="shared" si="57"/>
        <v>6.0169178895000011</v>
      </c>
      <c r="AX291" s="9"/>
      <c r="AY291" s="21">
        <v>1.3149999999999999</v>
      </c>
      <c r="AZ291" s="21">
        <v>380.41699999999997</v>
      </c>
      <c r="BA291" s="21">
        <v>-1.74225E-2</v>
      </c>
      <c r="BB291" s="21">
        <v>281</v>
      </c>
      <c r="BC291" s="21">
        <v>1.3147</v>
      </c>
      <c r="BD291">
        <f t="shared" si="58"/>
        <v>17.422499999999999</v>
      </c>
      <c r="BE291">
        <f t="shared" si="59"/>
        <v>22.910587499999998</v>
      </c>
    </row>
    <row r="292" spans="6:57" x14ac:dyDescent="0.25">
      <c r="F292" s="9"/>
      <c r="G292" s="21">
        <v>0.33004800000000001</v>
      </c>
      <c r="H292" s="21">
        <v>46.402900000000002</v>
      </c>
      <c r="I292" s="21">
        <v>-1.7993200000000001E-2</v>
      </c>
      <c r="J292" s="21">
        <v>282</v>
      </c>
      <c r="K292" s="21">
        <v>0.32952900000000002</v>
      </c>
      <c r="L292">
        <f t="shared" si="48"/>
        <v>17.993200000000002</v>
      </c>
      <c r="M292">
        <f t="shared" si="49"/>
        <v>5.9386196736000008</v>
      </c>
      <c r="N292" s="9"/>
      <c r="O292" s="21">
        <v>1.3200400000000001</v>
      </c>
      <c r="P292" s="21">
        <v>118.163</v>
      </c>
      <c r="Q292" s="21">
        <v>-1.7459100000000002E-2</v>
      </c>
      <c r="R292" s="21">
        <v>282</v>
      </c>
      <c r="S292" s="21">
        <v>1.3192699999999999</v>
      </c>
      <c r="T292">
        <f t="shared" si="50"/>
        <v>17.459100000000003</v>
      </c>
      <c r="U292">
        <f t="shared" si="51"/>
        <v>23.046710364000006</v>
      </c>
      <c r="X292" s="9"/>
      <c r="Y292" s="21">
        <v>0.33004800000000001</v>
      </c>
      <c r="Z292" s="21">
        <v>185.83799999999999</v>
      </c>
      <c r="AA292" s="21">
        <v>-1.7974899999999999E-2</v>
      </c>
      <c r="AB292" s="21">
        <v>282</v>
      </c>
      <c r="AC292" s="21">
        <v>0.32955899999999999</v>
      </c>
      <c r="AD292">
        <f t="shared" si="52"/>
        <v>17.974899999999998</v>
      </c>
      <c r="AE292">
        <f t="shared" si="53"/>
        <v>5.9325797951999997</v>
      </c>
      <c r="AF292" s="9"/>
      <c r="AG292" s="21">
        <v>1.3200400000000001</v>
      </c>
      <c r="AH292" s="21">
        <v>252.38300000000001</v>
      </c>
      <c r="AI292" s="21">
        <v>-1.7456099999999999E-2</v>
      </c>
      <c r="AJ292" s="21">
        <v>282</v>
      </c>
      <c r="AK292" s="21">
        <v>1.31958</v>
      </c>
      <c r="AL292">
        <f t="shared" si="54"/>
        <v>17.456099999999999</v>
      </c>
      <c r="AM292">
        <f t="shared" si="55"/>
        <v>23.042750244</v>
      </c>
      <c r="AP292" s="9"/>
      <c r="AQ292" s="21">
        <v>0.33004800000000001</v>
      </c>
      <c r="AR292" s="21">
        <v>310.08800000000002</v>
      </c>
      <c r="AS292" s="21">
        <v>-1.7959599999999999E-2</v>
      </c>
      <c r="AT292" s="21">
        <v>282</v>
      </c>
      <c r="AU292" s="21">
        <v>0.329376</v>
      </c>
      <c r="AV292">
        <f t="shared" si="56"/>
        <v>17.959599999999998</v>
      </c>
      <c r="AW292">
        <f t="shared" si="57"/>
        <v>5.9275300607999997</v>
      </c>
      <c r="AX292" s="9"/>
      <c r="AY292" s="21">
        <v>1.3200400000000001</v>
      </c>
      <c r="AZ292" s="21">
        <v>380.51799999999997</v>
      </c>
      <c r="BA292" s="21">
        <v>-1.7416399999999999E-2</v>
      </c>
      <c r="BB292" s="21">
        <v>282</v>
      </c>
      <c r="BC292" s="21">
        <v>1.31989</v>
      </c>
      <c r="BD292">
        <f t="shared" si="58"/>
        <v>17.416399999999999</v>
      </c>
      <c r="BE292">
        <f t="shared" si="59"/>
        <v>22.990344656000001</v>
      </c>
    </row>
    <row r="293" spans="6:57" x14ac:dyDescent="0.25">
      <c r="F293" s="9"/>
      <c r="G293" s="21">
        <v>0.32501200000000002</v>
      </c>
      <c r="H293" s="21">
        <v>46.503599999999999</v>
      </c>
      <c r="I293" s="21">
        <v>-1.79962E-2</v>
      </c>
      <c r="J293" s="21">
        <v>283</v>
      </c>
      <c r="K293" s="21">
        <v>0.32440200000000002</v>
      </c>
      <c r="L293">
        <f t="shared" si="48"/>
        <v>17.996200000000002</v>
      </c>
      <c r="M293">
        <f t="shared" si="49"/>
        <v>5.8489809544000009</v>
      </c>
      <c r="N293" s="9"/>
      <c r="O293" s="21">
        <v>1.32507</v>
      </c>
      <c r="P293" s="21">
        <v>118.264</v>
      </c>
      <c r="Q293" s="21">
        <v>-1.7459100000000002E-2</v>
      </c>
      <c r="R293" s="21">
        <v>283</v>
      </c>
      <c r="S293" s="21">
        <v>1.32507</v>
      </c>
      <c r="T293">
        <f t="shared" si="50"/>
        <v>17.459100000000003</v>
      </c>
      <c r="U293">
        <f t="shared" si="51"/>
        <v>23.134529637000004</v>
      </c>
      <c r="X293" s="9"/>
      <c r="Y293" s="21">
        <v>0.32501200000000002</v>
      </c>
      <c r="Z293" s="21">
        <v>185.93899999999999</v>
      </c>
      <c r="AA293" s="21">
        <v>-1.7974899999999999E-2</v>
      </c>
      <c r="AB293" s="21">
        <v>283</v>
      </c>
      <c r="AC293" s="21">
        <v>0.32452399999999998</v>
      </c>
      <c r="AD293">
        <f t="shared" si="52"/>
        <v>17.974899999999998</v>
      </c>
      <c r="AE293">
        <f t="shared" si="53"/>
        <v>5.8420581988000002</v>
      </c>
      <c r="AF293" s="9"/>
      <c r="AG293" s="21">
        <v>1.32507</v>
      </c>
      <c r="AH293" s="21">
        <v>252.48400000000001</v>
      </c>
      <c r="AI293" s="21">
        <v>-1.745E-2</v>
      </c>
      <c r="AJ293" s="21">
        <v>283</v>
      </c>
      <c r="AK293" s="21">
        <v>1.32446</v>
      </c>
      <c r="AL293">
        <f t="shared" si="54"/>
        <v>17.45</v>
      </c>
      <c r="AM293">
        <f t="shared" si="55"/>
        <v>23.1224715</v>
      </c>
      <c r="AP293" s="9"/>
      <c r="AQ293" s="21">
        <v>0.32501200000000002</v>
      </c>
      <c r="AR293" s="21">
        <v>310.18900000000002</v>
      </c>
      <c r="AS293" s="21">
        <v>-1.7962599999999999E-2</v>
      </c>
      <c r="AT293" s="21">
        <v>283</v>
      </c>
      <c r="AU293" s="21">
        <v>0.322266</v>
      </c>
      <c r="AV293">
        <f t="shared" si="56"/>
        <v>17.962599999999998</v>
      </c>
      <c r="AW293">
        <f t="shared" si="57"/>
        <v>5.8380605511999999</v>
      </c>
      <c r="AX293" s="9"/>
      <c r="AY293" s="21">
        <v>1.32507</v>
      </c>
      <c r="AZ293" s="21">
        <v>380.61900000000003</v>
      </c>
      <c r="BA293" s="21">
        <v>-1.7407200000000001E-2</v>
      </c>
      <c r="BB293" s="21">
        <v>283</v>
      </c>
      <c r="BC293" s="21">
        <v>1.32477</v>
      </c>
      <c r="BD293">
        <f t="shared" si="58"/>
        <v>17.4072</v>
      </c>
      <c r="BE293">
        <f t="shared" si="59"/>
        <v>23.065758503999998</v>
      </c>
    </row>
    <row r="294" spans="6:57" x14ac:dyDescent="0.25">
      <c r="F294" s="9"/>
      <c r="G294" s="21">
        <v>0.31997700000000001</v>
      </c>
      <c r="H294" s="21">
        <v>46.604300000000002</v>
      </c>
      <c r="I294" s="21">
        <v>-1.7999299999999999E-2</v>
      </c>
      <c r="J294" s="21">
        <v>284</v>
      </c>
      <c r="K294" s="21">
        <v>0.31955</v>
      </c>
      <c r="L294">
        <f t="shared" si="48"/>
        <v>17.999299999999998</v>
      </c>
      <c r="M294">
        <f t="shared" si="49"/>
        <v>5.7593620160999999</v>
      </c>
      <c r="N294" s="9"/>
      <c r="O294" s="21">
        <v>1.3301099999999999</v>
      </c>
      <c r="P294" s="21">
        <v>118.364</v>
      </c>
      <c r="Q294" s="21">
        <v>-1.7456099999999999E-2</v>
      </c>
      <c r="R294" s="21">
        <v>284</v>
      </c>
      <c r="S294" s="21">
        <v>1.32935</v>
      </c>
      <c r="T294">
        <f t="shared" si="50"/>
        <v>17.456099999999999</v>
      </c>
      <c r="U294">
        <f t="shared" si="51"/>
        <v>23.218533170999997</v>
      </c>
      <c r="X294" s="9"/>
      <c r="Y294" s="21">
        <v>0.31997700000000001</v>
      </c>
      <c r="Z294" s="21">
        <v>186.03899999999999</v>
      </c>
      <c r="AA294" s="21">
        <v>-1.7974899999999999E-2</v>
      </c>
      <c r="AB294" s="21">
        <v>284</v>
      </c>
      <c r="AC294" s="21">
        <v>0.31924400000000003</v>
      </c>
      <c r="AD294">
        <f t="shared" si="52"/>
        <v>17.974899999999998</v>
      </c>
      <c r="AE294">
        <f t="shared" si="53"/>
        <v>5.7515545772999994</v>
      </c>
      <c r="AF294" s="9"/>
      <c r="AG294" s="21">
        <v>1.3301099999999999</v>
      </c>
      <c r="AH294" s="21">
        <v>252.58500000000001</v>
      </c>
      <c r="AI294" s="21">
        <v>-1.7443799999999999E-2</v>
      </c>
      <c r="AJ294" s="21">
        <v>284</v>
      </c>
      <c r="AK294" s="21">
        <v>1.32965</v>
      </c>
      <c r="AL294">
        <f t="shared" si="54"/>
        <v>17.4438</v>
      </c>
      <c r="AM294">
        <f t="shared" si="55"/>
        <v>23.202172817999998</v>
      </c>
      <c r="AP294" s="9"/>
      <c r="AQ294" s="21">
        <v>0.31997700000000001</v>
      </c>
      <c r="AR294" s="21">
        <v>310.28899999999999</v>
      </c>
      <c r="AS294" s="21">
        <v>-1.7965700000000001E-2</v>
      </c>
      <c r="AT294" s="21">
        <v>284</v>
      </c>
      <c r="AU294" s="21">
        <v>0.31970199999999999</v>
      </c>
      <c r="AV294">
        <f t="shared" si="56"/>
        <v>17.965700000000002</v>
      </c>
      <c r="AW294">
        <f t="shared" si="57"/>
        <v>5.7486107889000007</v>
      </c>
      <c r="AX294" s="9"/>
      <c r="AY294" s="21">
        <v>1.3301099999999999</v>
      </c>
      <c r="AZ294" s="21">
        <v>380.72</v>
      </c>
      <c r="BA294" s="21">
        <v>-1.7407200000000001E-2</v>
      </c>
      <c r="BB294" s="21">
        <v>284</v>
      </c>
      <c r="BC294" s="21">
        <v>1.32965</v>
      </c>
      <c r="BD294">
        <f t="shared" si="58"/>
        <v>17.4072</v>
      </c>
      <c r="BE294">
        <f t="shared" si="59"/>
        <v>23.153490791999999</v>
      </c>
    </row>
    <row r="295" spans="6:57" x14ac:dyDescent="0.25">
      <c r="F295" s="9"/>
      <c r="G295" s="21">
        <v>0.31494100000000003</v>
      </c>
      <c r="H295" s="21">
        <v>46.704999999999998</v>
      </c>
      <c r="I295" s="21">
        <v>-1.7999299999999999E-2</v>
      </c>
      <c r="J295" s="21">
        <v>285</v>
      </c>
      <c r="K295" s="21">
        <v>0.31433100000000003</v>
      </c>
      <c r="L295">
        <f t="shared" si="48"/>
        <v>17.999299999999998</v>
      </c>
      <c r="M295">
        <f t="shared" si="49"/>
        <v>5.6687175412999995</v>
      </c>
      <c r="N295" s="9"/>
      <c r="O295" s="21">
        <v>1.33514</v>
      </c>
      <c r="P295" s="21">
        <v>118.465</v>
      </c>
      <c r="Q295" s="21">
        <v>-1.745E-2</v>
      </c>
      <c r="R295" s="21">
        <v>285</v>
      </c>
      <c r="S295" s="21">
        <v>1.33392</v>
      </c>
      <c r="T295">
        <f t="shared" si="50"/>
        <v>17.45</v>
      </c>
      <c r="U295">
        <f t="shared" si="51"/>
        <v>23.298192999999998</v>
      </c>
      <c r="X295" s="9"/>
      <c r="Y295" s="21">
        <v>0.31494100000000003</v>
      </c>
      <c r="Z295" s="21">
        <v>186.14</v>
      </c>
      <c r="AA295" s="21">
        <v>-1.7981E-2</v>
      </c>
      <c r="AB295" s="21">
        <v>285</v>
      </c>
      <c r="AC295" s="21">
        <v>0.31475799999999998</v>
      </c>
      <c r="AD295">
        <f t="shared" si="52"/>
        <v>17.981000000000002</v>
      </c>
      <c r="AE295">
        <f t="shared" si="53"/>
        <v>5.6629541210000012</v>
      </c>
      <c r="AF295" s="9"/>
      <c r="AG295" s="21">
        <v>1.33514</v>
      </c>
      <c r="AH295" s="21">
        <v>252.685</v>
      </c>
      <c r="AI295" s="21">
        <v>-1.7446900000000001E-2</v>
      </c>
      <c r="AJ295" s="21">
        <v>285</v>
      </c>
      <c r="AK295" s="21">
        <v>1.33484</v>
      </c>
      <c r="AL295">
        <f t="shared" si="54"/>
        <v>17.446900000000003</v>
      </c>
      <c r="AM295">
        <f t="shared" si="55"/>
        <v>23.294054066000005</v>
      </c>
      <c r="AP295" s="9"/>
      <c r="AQ295" s="21">
        <v>0.31494100000000003</v>
      </c>
      <c r="AR295" s="21">
        <v>310.39</v>
      </c>
      <c r="AS295" s="21">
        <v>-1.79688E-2</v>
      </c>
      <c r="AT295" s="21">
        <v>285</v>
      </c>
      <c r="AU295" s="21">
        <v>0.31417800000000001</v>
      </c>
      <c r="AV295">
        <f t="shared" si="56"/>
        <v>17.968800000000002</v>
      </c>
      <c r="AW295">
        <f t="shared" si="57"/>
        <v>5.6591118408000014</v>
      </c>
      <c r="AX295" s="9"/>
      <c r="AY295" s="21">
        <v>1.33514</v>
      </c>
      <c r="AZ295" s="21">
        <v>380.82</v>
      </c>
      <c r="BA295" s="21">
        <v>-1.7401099999999999E-2</v>
      </c>
      <c r="BB295" s="21">
        <v>285</v>
      </c>
      <c r="BC295" s="21">
        <v>1.33423</v>
      </c>
      <c r="BD295">
        <f t="shared" si="58"/>
        <v>17.4011</v>
      </c>
      <c r="BE295">
        <f t="shared" si="59"/>
        <v>23.232904653999999</v>
      </c>
    </row>
    <row r="296" spans="6:57" x14ac:dyDescent="0.25">
      <c r="F296" s="9"/>
      <c r="G296" s="21">
        <v>0.30990600000000001</v>
      </c>
      <c r="H296" s="21">
        <v>46.805700000000002</v>
      </c>
      <c r="I296" s="21">
        <v>-1.8005400000000001E-2</v>
      </c>
      <c r="J296" s="21">
        <v>286</v>
      </c>
      <c r="K296" s="21">
        <v>0.30941800000000003</v>
      </c>
      <c r="L296">
        <f t="shared" si="48"/>
        <v>18.005400000000002</v>
      </c>
      <c r="M296">
        <f t="shared" si="49"/>
        <v>5.5799814924000009</v>
      </c>
      <c r="N296" s="9"/>
      <c r="O296" s="21">
        <v>1.3401799999999999</v>
      </c>
      <c r="P296" s="21">
        <v>118.566</v>
      </c>
      <c r="Q296" s="21">
        <v>-1.745E-2</v>
      </c>
      <c r="R296" s="21">
        <v>286</v>
      </c>
      <c r="S296" s="21">
        <v>1.33972</v>
      </c>
      <c r="T296">
        <f t="shared" si="50"/>
        <v>17.45</v>
      </c>
      <c r="U296">
        <f t="shared" si="51"/>
        <v>23.386140999999999</v>
      </c>
      <c r="X296" s="9"/>
      <c r="Y296" s="21">
        <v>0.30990600000000001</v>
      </c>
      <c r="Z296" s="21">
        <v>186.24100000000001</v>
      </c>
      <c r="AA296" s="21">
        <v>-1.7987099999999999E-2</v>
      </c>
      <c r="AB296" s="21">
        <v>286</v>
      </c>
      <c r="AC296" s="21">
        <v>0.30950899999999998</v>
      </c>
      <c r="AD296">
        <f t="shared" si="52"/>
        <v>17.987099999999998</v>
      </c>
      <c r="AE296">
        <f t="shared" si="53"/>
        <v>5.5743102125999995</v>
      </c>
      <c r="AF296" s="9"/>
      <c r="AG296" s="21">
        <v>1.3401799999999999</v>
      </c>
      <c r="AH296" s="21">
        <v>252.786</v>
      </c>
      <c r="AI296" s="21">
        <v>-1.7446900000000001E-2</v>
      </c>
      <c r="AJ296" s="21">
        <v>286</v>
      </c>
      <c r="AK296" s="21">
        <v>1.33972</v>
      </c>
      <c r="AL296">
        <f t="shared" si="54"/>
        <v>17.446900000000003</v>
      </c>
      <c r="AM296">
        <f t="shared" si="55"/>
        <v>23.381986442000002</v>
      </c>
      <c r="AP296" s="9"/>
      <c r="AQ296" s="21">
        <v>0.30990600000000001</v>
      </c>
      <c r="AR296" s="21">
        <v>310.49099999999999</v>
      </c>
      <c r="AS296" s="21">
        <v>-1.7974899999999999E-2</v>
      </c>
      <c r="AT296" s="21">
        <v>286</v>
      </c>
      <c r="AU296" s="21">
        <v>0.30935699999999999</v>
      </c>
      <c r="AV296">
        <f t="shared" si="56"/>
        <v>17.974899999999998</v>
      </c>
      <c r="AW296">
        <f t="shared" si="57"/>
        <v>5.5705293594</v>
      </c>
      <c r="AX296" s="9"/>
      <c r="AY296" s="21">
        <v>1.3401799999999999</v>
      </c>
      <c r="AZ296" s="21">
        <v>380.92099999999999</v>
      </c>
      <c r="BA296" s="21">
        <v>-1.7401099999999999E-2</v>
      </c>
      <c r="BB296" s="21">
        <v>286</v>
      </c>
      <c r="BC296" s="21">
        <v>1.33911</v>
      </c>
      <c r="BD296">
        <f t="shared" si="58"/>
        <v>17.4011</v>
      </c>
      <c r="BE296">
        <f t="shared" si="59"/>
        <v>23.320606197999997</v>
      </c>
    </row>
    <row r="297" spans="6:57" x14ac:dyDescent="0.25">
      <c r="F297" s="9"/>
      <c r="G297" s="21">
        <v>0.304871</v>
      </c>
      <c r="H297" s="21">
        <v>46.906399999999998</v>
      </c>
      <c r="I297" s="21">
        <v>-1.8002299999999999E-2</v>
      </c>
      <c r="J297" s="21">
        <v>287</v>
      </c>
      <c r="K297" s="21">
        <v>0.30429099999999998</v>
      </c>
      <c r="L297">
        <f t="shared" si="48"/>
        <v>18.002299999999998</v>
      </c>
      <c r="M297">
        <f t="shared" si="49"/>
        <v>5.4883792032999992</v>
      </c>
      <c r="N297" s="9"/>
      <c r="O297" s="21">
        <v>1.34521</v>
      </c>
      <c r="P297" s="21">
        <v>118.667</v>
      </c>
      <c r="Q297" s="21">
        <v>-1.7453E-2</v>
      </c>
      <c r="R297" s="21">
        <v>287</v>
      </c>
      <c r="S297" s="21">
        <v>1.34491</v>
      </c>
      <c r="T297">
        <f t="shared" si="50"/>
        <v>17.452999999999999</v>
      </c>
      <c r="U297">
        <f t="shared" si="51"/>
        <v>23.47795013</v>
      </c>
      <c r="X297" s="9"/>
      <c r="Y297" s="21">
        <v>0.304871</v>
      </c>
      <c r="Z297" s="21">
        <v>186.34200000000001</v>
      </c>
      <c r="AA297" s="21">
        <v>-1.7984E-2</v>
      </c>
      <c r="AB297" s="21">
        <v>287</v>
      </c>
      <c r="AC297" s="21">
        <v>0.30493199999999998</v>
      </c>
      <c r="AD297">
        <f t="shared" si="52"/>
        <v>17.984000000000002</v>
      </c>
      <c r="AE297">
        <f t="shared" si="53"/>
        <v>5.482800064000001</v>
      </c>
      <c r="AF297" s="9"/>
      <c r="AG297" s="21">
        <v>1.34521</v>
      </c>
      <c r="AH297" s="21">
        <v>252.887</v>
      </c>
      <c r="AI297" s="21">
        <v>-1.7434700000000001E-2</v>
      </c>
      <c r="AJ297" s="21">
        <v>287</v>
      </c>
      <c r="AK297" s="21">
        <v>1.3443000000000001</v>
      </c>
      <c r="AL297">
        <f t="shared" si="54"/>
        <v>17.434699999999999</v>
      </c>
      <c r="AM297">
        <f t="shared" si="55"/>
        <v>23.453332787000001</v>
      </c>
      <c r="AP297" s="9"/>
      <c r="AQ297" s="21">
        <v>0.304871</v>
      </c>
      <c r="AR297" s="21">
        <v>310.59199999999998</v>
      </c>
      <c r="AS297" s="21">
        <v>-1.79718E-2</v>
      </c>
      <c r="AT297" s="21">
        <v>287</v>
      </c>
      <c r="AU297" s="21">
        <v>0.30432100000000001</v>
      </c>
      <c r="AV297">
        <f t="shared" si="56"/>
        <v>17.971799999999998</v>
      </c>
      <c r="AW297">
        <f t="shared" si="57"/>
        <v>5.4790806377999992</v>
      </c>
      <c r="AX297" s="9"/>
      <c r="AY297" s="21">
        <v>1.34521</v>
      </c>
      <c r="AZ297" s="21">
        <v>381.02199999999999</v>
      </c>
      <c r="BA297" s="21">
        <v>-1.7392000000000001E-2</v>
      </c>
      <c r="BB297" s="21">
        <v>287</v>
      </c>
      <c r="BC297" s="21">
        <v>1.3446</v>
      </c>
      <c r="BD297">
        <f t="shared" si="58"/>
        <v>17.391999999999999</v>
      </c>
      <c r="BE297">
        <f t="shared" si="59"/>
        <v>23.395892319999998</v>
      </c>
    </row>
    <row r="298" spans="6:57" x14ac:dyDescent="0.25">
      <c r="F298" s="9"/>
      <c r="G298" s="21">
        <v>0.29983500000000002</v>
      </c>
      <c r="H298" s="21">
        <v>47.007100000000001</v>
      </c>
      <c r="I298" s="21">
        <v>-1.80115E-2</v>
      </c>
      <c r="J298" s="21">
        <v>288</v>
      </c>
      <c r="K298" s="21">
        <v>0.29940800000000001</v>
      </c>
      <c r="L298">
        <f t="shared" si="48"/>
        <v>18.011499999999998</v>
      </c>
      <c r="M298">
        <f t="shared" si="49"/>
        <v>5.4004781025000002</v>
      </c>
      <c r="N298" s="9"/>
      <c r="O298" s="21">
        <v>1.35025</v>
      </c>
      <c r="P298" s="21">
        <v>118.767</v>
      </c>
      <c r="Q298" s="21">
        <v>-1.74377E-2</v>
      </c>
      <c r="R298" s="21">
        <v>288</v>
      </c>
      <c r="S298" s="21">
        <v>1.34979</v>
      </c>
      <c r="T298">
        <f t="shared" si="50"/>
        <v>17.4377</v>
      </c>
      <c r="U298">
        <f t="shared" si="51"/>
        <v>23.545254425</v>
      </c>
      <c r="X298" s="9"/>
      <c r="Y298" s="21">
        <v>0.29983500000000002</v>
      </c>
      <c r="Z298" s="21">
        <v>186.44200000000001</v>
      </c>
      <c r="AA298" s="21">
        <v>-1.7987099999999999E-2</v>
      </c>
      <c r="AB298" s="21">
        <v>288</v>
      </c>
      <c r="AC298" s="21">
        <v>0.29922500000000002</v>
      </c>
      <c r="AD298">
        <f t="shared" si="52"/>
        <v>17.987099999999998</v>
      </c>
      <c r="AE298">
        <f t="shared" si="53"/>
        <v>5.3931621284999993</v>
      </c>
      <c r="AF298" s="9"/>
      <c r="AG298" s="21">
        <v>1.35025</v>
      </c>
      <c r="AH298" s="21">
        <v>252.98699999999999</v>
      </c>
      <c r="AI298" s="21">
        <v>-1.7428599999999999E-2</v>
      </c>
      <c r="AJ298" s="21">
        <v>288</v>
      </c>
      <c r="AK298" s="21">
        <v>1.3494900000000001</v>
      </c>
      <c r="AL298">
        <f t="shared" si="54"/>
        <v>17.428599999999999</v>
      </c>
      <c r="AM298">
        <f t="shared" si="55"/>
        <v>23.532967149999998</v>
      </c>
      <c r="AP298" s="9"/>
      <c r="AQ298" s="21">
        <v>0.29983500000000002</v>
      </c>
      <c r="AR298" s="21">
        <v>310.69200000000001</v>
      </c>
      <c r="AS298" s="21">
        <v>-1.7974899999999999E-2</v>
      </c>
      <c r="AT298" s="21">
        <v>288</v>
      </c>
      <c r="AU298" s="21">
        <v>0.299286</v>
      </c>
      <c r="AV298">
        <f t="shared" si="56"/>
        <v>17.974899999999998</v>
      </c>
      <c r="AW298">
        <f t="shared" si="57"/>
        <v>5.3895041414999998</v>
      </c>
      <c r="AX298" s="9"/>
      <c r="AY298" s="21">
        <v>1.35025</v>
      </c>
      <c r="AZ298" s="21">
        <v>381.12200000000001</v>
      </c>
      <c r="BA298" s="21">
        <v>-1.7392000000000001E-2</v>
      </c>
      <c r="BB298" s="21">
        <v>288</v>
      </c>
      <c r="BC298" s="21">
        <v>1.3494900000000001</v>
      </c>
      <c r="BD298">
        <f t="shared" si="58"/>
        <v>17.391999999999999</v>
      </c>
      <c r="BE298">
        <f t="shared" si="59"/>
        <v>23.483547999999999</v>
      </c>
    </row>
    <row r="299" spans="6:57" x14ac:dyDescent="0.25">
      <c r="F299" s="9"/>
      <c r="G299" s="21">
        <v>0.29480000000000001</v>
      </c>
      <c r="H299" s="21">
        <v>47.107799999999997</v>
      </c>
      <c r="I299" s="21">
        <v>-1.80115E-2</v>
      </c>
      <c r="J299" s="21">
        <v>289</v>
      </c>
      <c r="K299" s="21">
        <v>0.29394500000000001</v>
      </c>
      <c r="L299">
        <f t="shared" si="48"/>
        <v>18.011499999999998</v>
      </c>
      <c r="M299">
        <f t="shared" si="49"/>
        <v>5.3097901999999992</v>
      </c>
      <c r="N299" s="9"/>
      <c r="O299" s="21">
        <v>1.3552900000000001</v>
      </c>
      <c r="P299" s="21">
        <v>118.86799999999999</v>
      </c>
      <c r="Q299" s="21">
        <v>-1.7428599999999999E-2</v>
      </c>
      <c r="R299" s="21">
        <v>289</v>
      </c>
      <c r="S299" s="21">
        <v>1.35406</v>
      </c>
      <c r="T299">
        <f t="shared" si="50"/>
        <v>17.428599999999999</v>
      </c>
      <c r="U299">
        <f t="shared" si="51"/>
        <v>23.620807294000002</v>
      </c>
      <c r="X299" s="9"/>
      <c r="Y299" s="21">
        <v>0.29480000000000001</v>
      </c>
      <c r="Z299" s="21">
        <v>186.54300000000001</v>
      </c>
      <c r="AA299" s="21">
        <v>-1.7993200000000001E-2</v>
      </c>
      <c r="AB299" s="21">
        <v>289</v>
      </c>
      <c r="AC299" s="21">
        <v>0.29449500000000001</v>
      </c>
      <c r="AD299">
        <f t="shared" si="52"/>
        <v>17.993200000000002</v>
      </c>
      <c r="AE299">
        <f t="shared" si="53"/>
        <v>5.3043953600000009</v>
      </c>
      <c r="AF299" s="9"/>
      <c r="AG299" s="21">
        <v>1.3552900000000001</v>
      </c>
      <c r="AH299" s="21">
        <v>253.08799999999999</v>
      </c>
      <c r="AI299" s="21">
        <v>-1.74255E-2</v>
      </c>
      <c r="AJ299" s="21">
        <v>289</v>
      </c>
      <c r="AK299" s="21">
        <v>1.3543700000000001</v>
      </c>
      <c r="AL299">
        <f t="shared" si="54"/>
        <v>17.4255</v>
      </c>
      <c r="AM299">
        <f t="shared" si="55"/>
        <v>23.616605895000003</v>
      </c>
      <c r="AP299" s="9"/>
      <c r="AQ299" s="21">
        <v>0.29480000000000001</v>
      </c>
      <c r="AR299" s="21">
        <v>310.79300000000001</v>
      </c>
      <c r="AS299" s="21">
        <v>-1.7977900000000002E-2</v>
      </c>
      <c r="AT299" s="21">
        <v>289</v>
      </c>
      <c r="AU299" s="21">
        <v>0.29394500000000001</v>
      </c>
      <c r="AV299">
        <f t="shared" si="56"/>
        <v>17.977900000000002</v>
      </c>
      <c r="AW299">
        <f t="shared" si="57"/>
        <v>5.2998849200000002</v>
      </c>
      <c r="AX299" s="9"/>
      <c r="AY299" s="21">
        <v>1.3552900000000001</v>
      </c>
      <c r="AZ299" s="21">
        <v>381.22300000000001</v>
      </c>
      <c r="BA299" s="21">
        <v>-1.73828E-2</v>
      </c>
      <c r="BB299" s="21">
        <v>289</v>
      </c>
      <c r="BC299" s="21">
        <v>1.3546800000000001</v>
      </c>
      <c r="BD299">
        <f t="shared" si="58"/>
        <v>17.3828</v>
      </c>
      <c r="BE299">
        <f t="shared" si="59"/>
        <v>23.558735012</v>
      </c>
    </row>
    <row r="300" spans="6:57" x14ac:dyDescent="0.25">
      <c r="F300" s="9"/>
      <c r="G300" s="21">
        <v>0.28976400000000002</v>
      </c>
      <c r="H300" s="21">
        <v>47.208500000000001</v>
      </c>
      <c r="I300" s="21">
        <v>-1.8014499999999999E-2</v>
      </c>
      <c r="J300" s="21">
        <v>290</v>
      </c>
      <c r="K300" s="21">
        <v>0.28942899999999999</v>
      </c>
      <c r="L300">
        <f t="shared" si="48"/>
        <v>18.014499999999998</v>
      </c>
      <c r="M300">
        <f t="shared" si="49"/>
        <v>5.2199535780000001</v>
      </c>
      <c r="N300" s="9"/>
      <c r="O300" s="21">
        <v>1.36032</v>
      </c>
      <c r="P300" s="21">
        <v>118.96899999999999</v>
      </c>
      <c r="Q300" s="21">
        <v>-1.74225E-2</v>
      </c>
      <c r="R300" s="21">
        <v>290</v>
      </c>
      <c r="S300" s="21">
        <v>1.3595600000000001</v>
      </c>
      <c r="T300">
        <f t="shared" si="50"/>
        <v>17.422499999999999</v>
      </c>
      <c r="U300">
        <f t="shared" si="51"/>
        <v>23.7001752</v>
      </c>
      <c r="X300" s="9"/>
      <c r="Y300" s="21">
        <v>0.28976400000000002</v>
      </c>
      <c r="Z300" s="21">
        <v>186.64400000000001</v>
      </c>
      <c r="AA300" s="21">
        <v>-1.7993200000000001E-2</v>
      </c>
      <c r="AB300" s="21">
        <v>290</v>
      </c>
      <c r="AC300" s="21">
        <v>0.28942899999999999</v>
      </c>
      <c r="AD300">
        <f t="shared" si="52"/>
        <v>17.993200000000002</v>
      </c>
      <c r="AE300">
        <f t="shared" si="53"/>
        <v>5.2137816048000012</v>
      </c>
      <c r="AF300" s="9"/>
      <c r="AG300" s="21">
        <v>1.36032</v>
      </c>
      <c r="AH300" s="21">
        <v>253.18899999999999</v>
      </c>
      <c r="AI300" s="21">
        <v>-1.74103E-2</v>
      </c>
      <c r="AJ300" s="21">
        <v>290</v>
      </c>
      <c r="AK300" s="21">
        <v>1.3595600000000001</v>
      </c>
      <c r="AL300">
        <f t="shared" si="54"/>
        <v>17.410299999999999</v>
      </c>
      <c r="AM300">
        <f t="shared" si="55"/>
        <v>23.683579295999998</v>
      </c>
      <c r="AP300" s="9"/>
      <c r="AQ300" s="21">
        <v>0.28976400000000002</v>
      </c>
      <c r="AR300" s="21">
        <v>310.89400000000001</v>
      </c>
      <c r="AS300" s="21">
        <v>-1.7977900000000002E-2</v>
      </c>
      <c r="AT300" s="21">
        <v>290</v>
      </c>
      <c r="AU300" s="21">
        <v>0.289215</v>
      </c>
      <c r="AV300">
        <f t="shared" si="56"/>
        <v>17.977900000000002</v>
      </c>
      <c r="AW300">
        <f t="shared" si="57"/>
        <v>5.2093482156000013</v>
      </c>
      <c r="AX300" s="9"/>
      <c r="AY300" s="21">
        <v>1.36032</v>
      </c>
      <c r="AZ300" s="21">
        <v>381.32400000000001</v>
      </c>
      <c r="BA300" s="21">
        <v>-1.7376699999999998E-2</v>
      </c>
      <c r="BB300" s="21">
        <v>290</v>
      </c>
      <c r="BC300" s="21">
        <v>1.3595600000000001</v>
      </c>
      <c r="BD300">
        <f t="shared" si="58"/>
        <v>17.3767</v>
      </c>
      <c r="BE300">
        <f t="shared" si="59"/>
        <v>23.637872544</v>
      </c>
    </row>
    <row r="301" spans="6:57" x14ac:dyDescent="0.25">
      <c r="F301" s="9"/>
      <c r="G301" s="21">
        <v>0.28472900000000001</v>
      </c>
      <c r="H301" s="21">
        <v>47.309199999999997</v>
      </c>
      <c r="I301" s="21">
        <v>-1.8020600000000001E-2</v>
      </c>
      <c r="J301" s="21">
        <v>291</v>
      </c>
      <c r="K301" s="21">
        <v>0.284302</v>
      </c>
      <c r="L301">
        <f t="shared" si="48"/>
        <v>18.020600000000002</v>
      </c>
      <c r="M301">
        <f t="shared" si="49"/>
        <v>5.130987417400001</v>
      </c>
      <c r="N301" s="9"/>
      <c r="O301" s="21">
        <v>1.3653599999999999</v>
      </c>
      <c r="P301" s="21">
        <v>119.069</v>
      </c>
      <c r="Q301" s="21">
        <v>-1.74255E-2</v>
      </c>
      <c r="R301" s="21">
        <v>291</v>
      </c>
      <c r="S301" s="21">
        <v>1.3647499999999999</v>
      </c>
      <c r="T301">
        <f t="shared" si="50"/>
        <v>17.4255</v>
      </c>
      <c r="U301">
        <f t="shared" si="51"/>
        <v>23.792080679999998</v>
      </c>
      <c r="X301" s="9"/>
      <c r="Y301" s="21">
        <v>0.28472900000000001</v>
      </c>
      <c r="Z301" s="21">
        <v>186.744</v>
      </c>
      <c r="AA301" s="21">
        <v>-1.79962E-2</v>
      </c>
      <c r="AB301" s="21">
        <v>291</v>
      </c>
      <c r="AC301" s="21">
        <v>0.283966</v>
      </c>
      <c r="AD301">
        <f t="shared" si="52"/>
        <v>17.996200000000002</v>
      </c>
      <c r="AE301">
        <f t="shared" si="53"/>
        <v>5.1240400298000006</v>
      </c>
      <c r="AF301" s="9"/>
      <c r="AG301" s="21">
        <v>1.3653599999999999</v>
      </c>
      <c r="AH301" s="21">
        <v>253.29</v>
      </c>
      <c r="AI301" s="21">
        <v>-1.74103E-2</v>
      </c>
      <c r="AJ301" s="21">
        <v>291</v>
      </c>
      <c r="AK301" s="21">
        <v>1.3644400000000001</v>
      </c>
      <c r="AL301">
        <f t="shared" si="54"/>
        <v>17.410299999999999</v>
      </c>
      <c r="AM301">
        <f t="shared" si="55"/>
        <v>23.771327207999999</v>
      </c>
      <c r="AP301" s="9"/>
      <c r="AQ301" s="21">
        <v>0.28472900000000001</v>
      </c>
      <c r="AR301" s="21">
        <v>310.99400000000003</v>
      </c>
      <c r="AS301" s="21">
        <v>-1.7974899999999999E-2</v>
      </c>
      <c r="AT301" s="21">
        <v>291</v>
      </c>
      <c r="AU301" s="21">
        <v>0.28454600000000002</v>
      </c>
      <c r="AV301">
        <f t="shared" si="56"/>
        <v>17.974899999999998</v>
      </c>
      <c r="AW301">
        <f t="shared" si="57"/>
        <v>5.1179753020999996</v>
      </c>
      <c r="AX301" s="9"/>
      <c r="AY301" s="21">
        <v>1.3653599999999999</v>
      </c>
      <c r="AZ301" s="21">
        <v>381.42500000000001</v>
      </c>
      <c r="BA301" s="21">
        <v>-1.7364500000000001E-2</v>
      </c>
      <c r="BB301" s="21">
        <v>291</v>
      </c>
      <c r="BC301" s="21">
        <v>1.3653599999999999</v>
      </c>
      <c r="BD301">
        <f t="shared" si="58"/>
        <v>17.364500000000003</v>
      </c>
      <c r="BE301">
        <f t="shared" si="59"/>
        <v>23.708793720000003</v>
      </c>
    </row>
    <row r="302" spans="6:57" x14ac:dyDescent="0.25">
      <c r="F302" s="9"/>
      <c r="G302" s="21">
        <v>0.279694</v>
      </c>
      <c r="H302" s="21">
        <v>47.4099</v>
      </c>
      <c r="I302" s="21">
        <v>-1.8020600000000001E-2</v>
      </c>
      <c r="J302" s="21">
        <v>292</v>
      </c>
      <c r="K302" s="21">
        <v>0.279144</v>
      </c>
      <c r="L302">
        <f t="shared" si="48"/>
        <v>18.020600000000002</v>
      </c>
      <c r="M302">
        <f t="shared" si="49"/>
        <v>5.0402536964000006</v>
      </c>
      <c r="N302" s="9"/>
      <c r="O302" s="21">
        <v>1.37039</v>
      </c>
      <c r="P302" s="21">
        <v>119.17</v>
      </c>
      <c r="Q302" s="21">
        <v>-1.74225E-2</v>
      </c>
      <c r="R302" s="21">
        <v>292</v>
      </c>
      <c r="S302" s="21">
        <v>1.3696299999999999</v>
      </c>
      <c r="T302">
        <f t="shared" si="50"/>
        <v>17.422499999999999</v>
      </c>
      <c r="U302">
        <f t="shared" si="51"/>
        <v>23.875619775000001</v>
      </c>
      <c r="X302" s="9"/>
      <c r="Y302" s="21">
        <v>0.279694</v>
      </c>
      <c r="Z302" s="21">
        <v>186.845</v>
      </c>
      <c r="AA302" s="21">
        <v>-1.79962E-2</v>
      </c>
      <c r="AB302" s="21">
        <v>292</v>
      </c>
      <c r="AC302" s="21">
        <v>0.27917500000000001</v>
      </c>
      <c r="AD302">
        <f t="shared" si="52"/>
        <v>17.996200000000002</v>
      </c>
      <c r="AE302">
        <f t="shared" si="53"/>
        <v>5.0334291628000001</v>
      </c>
      <c r="AF302" s="9"/>
      <c r="AG302" s="21">
        <v>1.37039</v>
      </c>
      <c r="AH302" s="21">
        <v>253.39</v>
      </c>
      <c r="AI302" s="21">
        <v>-1.7401099999999999E-2</v>
      </c>
      <c r="AJ302" s="21">
        <v>292</v>
      </c>
      <c r="AK302" s="21">
        <v>1.3702399999999999</v>
      </c>
      <c r="AL302">
        <f t="shared" si="54"/>
        <v>17.4011</v>
      </c>
      <c r="AM302">
        <f t="shared" si="55"/>
        <v>23.846293428999999</v>
      </c>
      <c r="AP302" s="9"/>
      <c r="AQ302" s="21">
        <v>0.279694</v>
      </c>
      <c r="AR302" s="21">
        <v>311.09500000000003</v>
      </c>
      <c r="AS302" s="21">
        <v>-1.7987099999999999E-2</v>
      </c>
      <c r="AT302" s="21">
        <v>292</v>
      </c>
      <c r="AU302" s="21">
        <v>0.27920499999999998</v>
      </c>
      <c r="AV302">
        <f t="shared" si="56"/>
        <v>17.987099999999998</v>
      </c>
      <c r="AW302">
        <f t="shared" si="57"/>
        <v>5.0308839473999996</v>
      </c>
      <c r="AX302" s="9"/>
      <c r="AY302" s="21">
        <v>1.37039</v>
      </c>
      <c r="AZ302" s="21">
        <v>381.52499999999998</v>
      </c>
      <c r="BA302" s="21">
        <v>-1.7361499999999998E-2</v>
      </c>
      <c r="BB302" s="21">
        <v>292</v>
      </c>
      <c r="BC302" s="21">
        <v>1.3696299999999999</v>
      </c>
      <c r="BD302">
        <f t="shared" si="58"/>
        <v>17.361499999999999</v>
      </c>
      <c r="BE302">
        <f t="shared" si="59"/>
        <v>23.792025984999999</v>
      </c>
    </row>
    <row r="303" spans="6:57" x14ac:dyDescent="0.25">
      <c r="F303" s="9"/>
      <c r="G303" s="21">
        <v>0.27465800000000001</v>
      </c>
      <c r="H303" s="21">
        <v>47.510599999999997</v>
      </c>
      <c r="I303" s="21">
        <v>-1.80237E-2</v>
      </c>
      <c r="J303" s="21">
        <v>293</v>
      </c>
      <c r="K303" s="21">
        <v>0.273926</v>
      </c>
      <c r="L303">
        <f t="shared" si="48"/>
        <v>18.023700000000002</v>
      </c>
      <c r="M303">
        <f t="shared" si="49"/>
        <v>4.9503533946000005</v>
      </c>
      <c r="N303" s="9"/>
      <c r="O303" s="21">
        <v>1.3754299999999999</v>
      </c>
      <c r="P303" s="21">
        <v>119.271</v>
      </c>
      <c r="Q303" s="21">
        <v>-1.74133E-2</v>
      </c>
      <c r="R303" s="21">
        <v>293</v>
      </c>
      <c r="S303" s="21">
        <v>1.3748199999999999</v>
      </c>
      <c r="T303">
        <f t="shared" si="50"/>
        <v>17.4133</v>
      </c>
      <c r="U303">
        <f t="shared" si="51"/>
        <v>23.950775218999997</v>
      </c>
      <c r="X303" s="9"/>
      <c r="Y303" s="21">
        <v>0.27465800000000001</v>
      </c>
      <c r="Z303" s="21">
        <v>186.946</v>
      </c>
      <c r="AA303" s="21">
        <v>-1.8005400000000001E-2</v>
      </c>
      <c r="AB303" s="21">
        <v>293</v>
      </c>
      <c r="AC303" s="21">
        <v>0.274231</v>
      </c>
      <c r="AD303">
        <f t="shared" si="52"/>
        <v>18.005400000000002</v>
      </c>
      <c r="AE303">
        <f t="shared" si="53"/>
        <v>4.9453271532000009</v>
      </c>
      <c r="AF303" s="9"/>
      <c r="AG303" s="21">
        <v>1.3754299999999999</v>
      </c>
      <c r="AH303" s="21">
        <v>253.49100000000001</v>
      </c>
      <c r="AI303" s="21">
        <v>-1.7385899999999999E-2</v>
      </c>
      <c r="AJ303" s="21">
        <v>293</v>
      </c>
      <c r="AK303" s="21">
        <v>1.3748199999999999</v>
      </c>
      <c r="AL303">
        <f t="shared" si="54"/>
        <v>17.385899999999999</v>
      </c>
      <c r="AM303">
        <f t="shared" si="55"/>
        <v>23.913088436999999</v>
      </c>
      <c r="AP303" s="9"/>
      <c r="AQ303" s="21">
        <v>0.27465800000000001</v>
      </c>
      <c r="AR303" s="21">
        <v>311.19600000000003</v>
      </c>
      <c r="AS303" s="21">
        <v>-1.7990099999999998E-2</v>
      </c>
      <c r="AT303" s="21">
        <v>293</v>
      </c>
      <c r="AU303" s="21">
        <v>0.27462799999999998</v>
      </c>
      <c r="AV303">
        <f t="shared" si="56"/>
        <v>17.990099999999998</v>
      </c>
      <c r="AW303">
        <f t="shared" si="57"/>
        <v>4.9411248857999999</v>
      </c>
      <c r="AX303" s="9"/>
      <c r="AY303" s="21">
        <v>1.3754299999999999</v>
      </c>
      <c r="AZ303" s="21">
        <v>381.62599999999998</v>
      </c>
      <c r="BA303" s="21">
        <v>-1.7346199999999999E-2</v>
      </c>
      <c r="BB303" s="21">
        <v>293</v>
      </c>
      <c r="BC303" s="21">
        <v>1.3742099999999999</v>
      </c>
      <c r="BD303">
        <f t="shared" si="58"/>
        <v>17.3462</v>
      </c>
      <c r="BE303">
        <f t="shared" si="59"/>
        <v>23.858483865999997</v>
      </c>
    </row>
    <row r="304" spans="6:57" x14ac:dyDescent="0.25">
      <c r="F304" s="9"/>
      <c r="G304" s="21">
        <v>0.269623</v>
      </c>
      <c r="H304" s="21">
        <v>47.6113</v>
      </c>
      <c r="I304" s="21">
        <v>-1.80237E-2</v>
      </c>
      <c r="J304" s="21">
        <v>294</v>
      </c>
      <c r="K304" s="21">
        <v>0.26937899999999998</v>
      </c>
      <c r="L304">
        <f t="shared" si="48"/>
        <v>18.023700000000002</v>
      </c>
      <c r="M304">
        <f t="shared" si="49"/>
        <v>4.8596040651000001</v>
      </c>
      <c r="N304" s="9"/>
      <c r="O304" s="21">
        <v>1.38046</v>
      </c>
      <c r="P304" s="21">
        <v>119.372</v>
      </c>
      <c r="Q304" s="21">
        <v>-1.7401099999999999E-2</v>
      </c>
      <c r="R304" s="21">
        <v>294</v>
      </c>
      <c r="S304" s="21">
        <v>1.3803099999999999</v>
      </c>
      <c r="T304">
        <f t="shared" si="50"/>
        <v>17.4011</v>
      </c>
      <c r="U304">
        <f t="shared" si="51"/>
        <v>24.021522506</v>
      </c>
      <c r="X304" s="9"/>
      <c r="Y304" s="21">
        <v>0.269623</v>
      </c>
      <c r="Z304" s="21">
        <v>187.047</v>
      </c>
      <c r="AA304" s="21">
        <v>-1.8008400000000001E-2</v>
      </c>
      <c r="AB304" s="21">
        <v>294</v>
      </c>
      <c r="AC304" s="21">
        <v>0.268951</v>
      </c>
      <c r="AD304">
        <f t="shared" si="52"/>
        <v>18.008400000000002</v>
      </c>
      <c r="AE304">
        <f t="shared" si="53"/>
        <v>4.8554788332000003</v>
      </c>
      <c r="AF304" s="9"/>
      <c r="AG304" s="21">
        <v>1.38046</v>
      </c>
      <c r="AH304" s="21">
        <v>253.59200000000001</v>
      </c>
      <c r="AI304" s="21">
        <v>-1.7376699999999998E-2</v>
      </c>
      <c r="AJ304" s="21">
        <v>294</v>
      </c>
      <c r="AK304" s="21">
        <v>1.3796999999999999</v>
      </c>
      <c r="AL304">
        <f t="shared" si="54"/>
        <v>17.3767</v>
      </c>
      <c r="AM304">
        <f t="shared" si="55"/>
        <v>23.987839281999999</v>
      </c>
      <c r="AP304" s="9"/>
      <c r="AQ304" s="21">
        <v>0.269623</v>
      </c>
      <c r="AR304" s="21">
        <v>311.29700000000003</v>
      </c>
      <c r="AS304" s="21">
        <v>-1.7993200000000001E-2</v>
      </c>
      <c r="AT304" s="21">
        <v>294</v>
      </c>
      <c r="AU304" s="21">
        <v>0.26879900000000001</v>
      </c>
      <c r="AV304">
        <f t="shared" si="56"/>
        <v>17.993200000000002</v>
      </c>
      <c r="AW304">
        <f t="shared" si="57"/>
        <v>4.8513805636000003</v>
      </c>
      <c r="AX304" s="9"/>
      <c r="AY304" s="21">
        <v>1.38046</v>
      </c>
      <c r="AZ304" s="21">
        <v>381.72699999999998</v>
      </c>
      <c r="BA304" s="21">
        <v>-1.7337000000000002E-2</v>
      </c>
      <c r="BB304" s="21">
        <v>294</v>
      </c>
      <c r="BC304" s="21">
        <v>1.3793899999999999</v>
      </c>
      <c r="BD304">
        <f t="shared" si="58"/>
        <v>17.337000000000003</v>
      </c>
      <c r="BE304">
        <f t="shared" si="59"/>
        <v>23.933035020000005</v>
      </c>
    </row>
    <row r="305" spans="6:57" x14ac:dyDescent="0.25">
      <c r="F305" s="9"/>
      <c r="G305" s="21">
        <v>0.26458700000000002</v>
      </c>
      <c r="H305" s="21">
        <v>47.7121</v>
      </c>
      <c r="I305" s="21">
        <v>-1.80267E-2</v>
      </c>
      <c r="J305" s="21">
        <v>295</v>
      </c>
      <c r="K305" s="21">
        <v>0.26409899999999997</v>
      </c>
      <c r="L305">
        <f t="shared" si="48"/>
        <v>18.026699999999998</v>
      </c>
      <c r="M305">
        <f t="shared" si="49"/>
        <v>4.7696304728999994</v>
      </c>
      <c r="N305" s="9"/>
      <c r="O305" s="21">
        <v>1.3855</v>
      </c>
      <c r="P305" s="21">
        <v>119.47199999999999</v>
      </c>
      <c r="Q305" s="21">
        <v>-1.7388899999999999E-2</v>
      </c>
      <c r="R305" s="21">
        <v>295</v>
      </c>
      <c r="S305" s="21">
        <v>1.3845799999999999</v>
      </c>
      <c r="T305">
        <f t="shared" si="50"/>
        <v>17.3889</v>
      </c>
      <c r="U305">
        <f t="shared" si="51"/>
        <v>24.092320949999998</v>
      </c>
      <c r="X305" s="9"/>
      <c r="Y305" s="21">
        <v>0.26458700000000002</v>
      </c>
      <c r="Z305" s="21">
        <v>187.14699999999999</v>
      </c>
      <c r="AA305" s="21">
        <v>-1.8014499999999999E-2</v>
      </c>
      <c r="AB305" s="21">
        <v>295</v>
      </c>
      <c r="AC305" s="21">
        <v>0.26419100000000001</v>
      </c>
      <c r="AD305">
        <f t="shared" si="52"/>
        <v>18.014499999999998</v>
      </c>
      <c r="AE305">
        <f t="shared" si="53"/>
        <v>4.7664025114999999</v>
      </c>
      <c r="AF305" s="9"/>
      <c r="AG305" s="21">
        <v>1.3855</v>
      </c>
      <c r="AH305" s="21">
        <v>253.69200000000001</v>
      </c>
      <c r="AI305" s="21">
        <v>-1.73706E-2</v>
      </c>
      <c r="AJ305" s="21">
        <v>295</v>
      </c>
      <c r="AK305" s="21">
        <v>1.3851899999999999</v>
      </c>
      <c r="AL305">
        <f t="shared" si="54"/>
        <v>17.3706</v>
      </c>
      <c r="AM305">
        <f t="shared" si="55"/>
        <v>24.066966299999997</v>
      </c>
      <c r="AP305" s="9"/>
      <c r="AQ305" s="21">
        <v>0.26458700000000002</v>
      </c>
      <c r="AR305" s="21">
        <v>311.39699999999999</v>
      </c>
      <c r="AS305" s="21">
        <v>-1.7993200000000001E-2</v>
      </c>
      <c r="AT305" s="21">
        <v>295</v>
      </c>
      <c r="AU305" s="21">
        <v>0.26376300000000003</v>
      </c>
      <c r="AV305">
        <f t="shared" si="56"/>
        <v>17.993200000000002</v>
      </c>
      <c r="AW305">
        <f t="shared" si="57"/>
        <v>4.7607668084000005</v>
      </c>
      <c r="AX305" s="9"/>
      <c r="AY305" s="21">
        <v>1.3855</v>
      </c>
      <c r="AZ305" s="21">
        <v>381.827</v>
      </c>
      <c r="BA305" s="21">
        <v>-1.73309E-2</v>
      </c>
      <c r="BB305" s="21">
        <v>295</v>
      </c>
      <c r="BC305" s="21">
        <v>1.38489</v>
      </c>
      <c r="BD305">
        <f t="shared" si="58"/>
        <v>17.3309</v>
      </c>
      <c r="BE305">
        <f t="shared" si="59"/>
        <v>24.01196195</v>
      </c>
    </row>
    <row r="306" spans="6:57" x14ac:dyDescent="0.25">
      <c r="F306" s="9"/>
      <c r="G306" s="21">
        <v>0.259552</v>
      </c>
      <c r="H306" s="21">
        <v>47.812800000000003</v>
      </c>
      <c r="I306" s="21">
        <v>-1.8035900000000001E-2</v>
      </c>
      <c r="J306" s="21">
        <v>296</v>
      </c>
      <c r="K306" s="21">
        <v>0.25906400000000002</v>
      </c>
      <c r="L306">
        <f t="shared" si="48"/>
        <v>18.035900000000002</v>
      </c>
      <c r="M306">
        <f t="shared" si="49"/>
        <v>4.6812539168000002</v>
      </c>
      <c r="N306" s="9"/>
      <c r="O306" s="21">
        <v>1.39053</v>
      </c>
      <c r="P306" s="21">
        <v>119.57299999999999</v>
      </c>
      <c r="Q306" s="21">
        <v>-1.7379800000000001E-2</v>
      </c>
      <c r="R306" s="21">
        <v>296</v>
      </c>
      <c r="S306" s="21">
        <v>1.38947</v>
      </c>
      <c r="T306">
        <f t="shared" si="50"/>
        <v>17.379799999999999</v>
      </c>
      <c r="U306">
        <f t="shared" si="51"/>
        <v>24.167133293999999</v>
      </c>
      <c r="X306" s="9"/>
      <c r="Y306" s="21">
        <v>0.259552</v>
      </c>
      <c r="Z306" s="21">
        <v>187.24799999999999</v>
      </c>
      <c r="AA306" s="21">
        <v>-1.8017600000000002E-2</v>
      </c>
      <c r="AB306" s="21">
        <v>296</v>
      </c>
      <c r="AC306" s="21">
        <v>0.258606</v>
      </c>
      <c r="AD306">
        <f t="shared" si="52"/>
        <v>18.017600000000002</v>
      </c>
      <c r="AE306">
        <f t="shared" si="53"/>
        <v>4.6765041152000002</v>
      </c>
      <c r="AF306" s="9"/>
      <c r="AG306" s="21">
        <v>1.39053</v>
      </c>
      <c r="AH306" s="21">
        <v>253.79300000000001</v>
      </c>
      <c r="AI306" s="21">
        <v>-1.73706E-2</v>
      </c>
      <c r="AJ306" s="21">
        <v>296</v>
      </c>
      <c r="AK306" s="21">
        <v>1.3897699999999999</v>
      </c>
      <c r="AL306">
        <f t="shared" si="54"/>
        <v>17.3706</v>
      </c>
      <c r="AM306">
        <f t="shared" si="55"/>
        <v>24.154340418</v>
      </c>
      <c r="AP306" s="9"/>
      <c r="AQ306" s="21">
        <v>0.259552</v>
      </c>
      <c r="AR306" s="21">
        <v>311.49799999999999</v>
      </c>
      <c r="AS306" s="21">
        <v>-1.7993200000000001E-2</v>
      </c>
      <c r="AT306" s="21">
        <v>296</v>
      </c>
      <c r="AU306" s="21">
        <v>0.25924700000000001</v>
      </c>
      <c r="AV306">
        <f t="shared" si="56"/>
        <v>17.993200000000002</v>
      </c>
      <c r="AW306">
        <f t="shared" si="57"/>
        <v>4.6701710464000001</v>
      </c>
      <c r="AX306" s="9"/>
      <c r="AY306" s="21">
        <v>1.39053</v>
      </c>
      <c r="AZ306" s="21">
        <v>381.928</v>
      </c>
      <c r="BA306" s="21">
        <v>-1.7321799999999998E-2</v>
      </c>
      <c r="BB306" s="21">
        <v>296</v>
      </c>
      <c r="BC306" s="21">
        <v>1.3897699999999999</v>
      </c>
      <c r="BD306">
        <f t="shared" si="58"/>
        <v>17.3218</v>
      </c>
      <c r="BE306">
        <f t="shared" si="59"/>
        <v>24.086482554</v>
      </c>
    </row>
    <row r="307" spans="6:57" x14ac:dyDescent="0.25">
      <c r="F307" s="9"/>
      <c r="G307" s="21">
        <v>0.25451699999999999</v>
      </c>
      <c r="H307" s="21">
        <v>47.913499999999999</v>
      </c>
      <c r="I307" s="21">
        <v>-1.80389E-2</v>
      </c>
      <c r="J307" s="21">
        <v>297</v>
      </c>
      <c r="K307" s="21">
        <v>0.25414999999999999</v>
      </c>
      <c r="L307">
        <f t="shared" si="48"/>
        <v>18.038900000000002</v>
      </c>
      <c r="M307">
        <f t="shared" si="49"/>
        <v>4.5912067112999999</v>
      </c>
      <c r="N307" s="9"/>
      <c r="O307" s="21">
        <v>1.39557</v>
      </c>
      <c r="P307" s="21">
        <v>119.67400000000001</v>
      </c>
      <c r="Q307" s="21">
        <v>-1.7373699999999999E-2</v>
      </c>
      <c r="R307" s="21">
        <v>297</v>
      </c>
      <c r="S307" s="21">
        <v>1.3946499999999999</v>
      </c>
      <c r="T307">
        <f t="shared" si="50"/>
        <v>17.373699999999999</v>
      </c>
      <c r="U307">
        <f t="shared" si="51"/>
        <v>24.246214508999998</v>
      </c>
      <c r="X307" s="9"/>
      <c r="Y307" s="21">
        <v>0.25451699999999999</v>
      </c>
      <c r="Z307" s="21">
        <v>187.34899999999999</v>
      </c>
      <c r="AA307" s="21">
        <v>-1.8017600000000002E-2</v>
      </c>
      <c r="AB307" s="21">
        <v>297</v>
      </c>
      <c r="AC307" s="21">
        <v>0.25469999999999998</v>
      </c>
      <c r="AD307">
        <f t="shared" si="52"/>
        <v>18.017600000000002</v>
      </c>
      <c r="AE307">
        <f t="shared" si="53"/>
        <v>4.5857854992</v>
      </c>
      <c r="AF307" s="9"/>
      <c r="AG307" s="21">
        <v>1.39557</v>
      </c>
      <c r="AH307" s="21">
        <v>253.89400000000001</v>
      </c>
      <c r="AI307" s="21">
        <v>-1.7346199999999999E-2</v>
      </c>
      <c r="AJ307" s="21">
        <v>297</v>
      </c>
      <c r="AK307" s="21">
        <v>1.39496</v>
      </c>
      <c r="AL307">
        <f t="shared" si="54"/>
        <v>17.3462</v>
      </c>
      <c r="AM307">
        <f t="shared" si="55"/>
        <v>24.207836334</v>
      </c>
      <c r="AP307" s="9"/>
      <c r="AQ307" s="21">
        <v>0.25451699999999999</v>
      </c>
      <c r="AR307" s="21">
        <v>311.59899999999999</v>
      </c>
      <c r="AS307" s="21">
        <v>-1.7993200000000001E-2</v>
      </c>
      <c r="AT307" s="21">
        <v>297</v>
      </c>
      <c r="AU307" s="21">
        <v>0.25412000000000001</v>
      </c>
      <c r="AV307">
        <f t="shared" si="56"/>
        <v>17.993200000000002</v>
      </c>
      <c r="AW307">
        <f t="shared" si="57"/>
        <v>4.5795752844000006</v>
      </c>
      <c r="AX307" s="9"/>
      <c r="AY307" s="21">
        <v>1.39557</v>
      </c>
      <c r="AZ307" s="21">
        <v>382.029</v>
      </c>
      <c r="BA307" s="21">
        <v>-1.7312600000000001E-2</v>
      </c>
      <c r="BB307" s="21">
        <v>297</v>
      </c>
      <c r="BC307" s="21">
        <v>1.39496</v>
      </c>
      <c r="BD307">
        <f t="shared" si="58"/>
        <v>17.3126</v>
      </c>
      <c r="BE307">
        <f t="shared" si="59"/>
        <v>24.160945181999999</v>
      </c>
    </row>
    <row r="308" spans="6:57" x14ac:dyDescent="0.25">
      <c r="F308" s="9"/>
      <c r="G308" s="21">
        <v>0.24948100000000001</v>
      </c>
      <c r="H308" s="21">
        <v>48.014200000000002</v>
      </c>
      <c r="I308" s="21">
        <v>-1.8035900000000001E-2</v>
      </c>
      <c r="J308" s="21">
        <v>298</v>
      </c>
      <c r="K308" s="21">
        <v>0.24899299999999999</v>
      </c>
      <c r="L308">
        <f t="shared" si="48"/>
        <v>18.035900000000002</v>
      </c>
      <c r="M308">
        <f t="shared" si="49"/>
        <v>4.4996143679000005</v>
      </c>
      <c r="N308" s="9"/>
      <c r="O308" s="21">
        <v>1.4006000000000001</v>
      </c>
      <c r="P308" s="21">
        <v>119.774</v>
      </c>
      <c r="Q308" s="21">
        <v>-1.73584E-2</v>
      </c>
      <c r="R308" s="21">
        <v>298</v>
      </c>
      <c r="S308" s="21">
        <v>1.40015</v>
      </c>
      <c r="T308">
        <f t="shared" si="50"/>
        <v>17.3584</v>
      </c>
      <c r="U308">
        <f t="shared" si="51"/>
        <v>24.31217504</v>
      </c>
      <c r="X308" s="9"/>
      <c r="Y308" s="21">
        <v>0.24948100000000001</v>
      </c>
      <c r="Z308" s="21">
        <v>187.44900000000001</v>
      </c>
      <c r="AA308" s="21">
        <v>-1.8014499999999999E-2</v>
      </c>
      <c r="AB308" s="21">
        <v>298</v>
      </c>
      <c r="AC308" s="21">
        <v>0.24899299999999999</v>
      </c>
      <c r="AD308">
        <f t="shared" si="52"/>
        <v>18.014499999999998</v>
      </c>
      <c r="AE308">
        <f t="shared" si="53"/>
        <v>4.4942754744999993</v>
      </c>
      <c r="AF308" s="9"/>
      <c r="AG308" s="21">
        <v>1.4006000000000001</v>
      </c>
      <c r="AH308" s="21">
        <v>253.994</v>
      </c>
      <c r="AI308" s="21">
        <v>-1.73431E-2</v>
      </c>
      <c r="AJ308" s="21">
        <v>298</v>
      </c>
      <c r="AK308" s="21">
        <v>1.40045</v>
      </c>
      <c r="AL308">
        <f t="shared" si="54"/>
        <v>17.3431</v>
      </c>
      <c r="AM308">
        <f t="shared" si="55"/>
        <v>24.290745860000001</v>
      </c>
      <c r="AP308" s="9"/>
      <c r="AQ308" s="21">
        <v>0.24948100000000001</v>
      </c>
      <c r="AR308" s="21">
        <v>311.69900000000001</v>
      </c>
      <c r="AS308" s="21">
        <v>-1.8005400000000001E-2</v>
      </c>
      <c r="AT308" s="21">
        <v>298</v>
      </c>
      <c r="AU308" s="21">
        <v>0.24914600000000001</v>
      </c>
      <c r="AV308">
        <f t="shared" si="56"/>
        <v>18.005400000000002</v>
      </c>
      <c r="AW308">
        <f t="shared" si="57"/>
        <v>4.4920051974000001</v>
      </c>
      <c r="AX308" s="9"/>
      <c r="AY308" s="21">
        <v>1.4006000000000001</v>
      </c>
      <c r="AZ308" s="21">
        <v>382.13</v>
      </c>
      <c r="BA308" s="21">
        <v>-1.73004E-2</v>
      </c>
      <c r="BB308" s="21">
        <v>298</v>
      </c>
      <c r="BC308" s="21">
        <v>1.39954</v>
      </c>
      <c r="BD308">
        <f t="shared" si="58"/>
        <v>17.3004</v>
      </c>
      <c r="BE308">
        <f t="shared" si="59"/>
        <v>24.230940240000002</v>
      </c>
    </row>
    <row r="309" spans="6:57" x14ac:dyDescent="0.25">
      <c r="F309" s="9"/>
      <c r="G309" s="21">
        <v>0.244446</v>
      </c>
      <c r="H309" s="21">
        <v>48.114899999999999</v>
      </c>
      <c r="I309" s="21">
        <v>-1.8044999999999999E-2</v>
      </c>
      <c r="J309" s="21">
        <v>299</v>
      </c>
      <c r="K309" s="21">
        <v>0.243927</v>
      </c>
      <c r="L309">
        <f t="shared" si="48"/>
        <v>18.044999999999998</v>
      </c>
      <c r="M309">
        <f t="shared" si="49"/>
        <v>4.4110280699999995</v>
      </c>
      <c r="N309" s="9"/>
      <c r="O309" s="21">
        <v>1.40564</v>
      </c>
      <c r="P309" s="21">
        <v>119.875</v>
      </c>
      <c r="Q309" s="21">
        <v>-1.73431E-2</v>
      </c>
      <c r="R309" s="21">
        <v>299</v>
      </c>
      <c r="S309" s="21">
        <v>1.40503</v>
      </c>
      <c r="T309">
        <f t="shared" si="50"/>
        <v>17.3431</v>
      </c>
      <c r="U309">
        <f t="shared" si="51"/>
        <v>24.378155083999999</v>
      </c>
      <c r="X309" s="9"/>
      <c r="Y309" s="21">
        <v>0.244446</v>
      </c>
      <c r="Z309" s="21">
        <v>187.55</v>
      </c>
      <c r="AA309" s="21">
        <v>-1.8017600000000002E-2</v>
      </c>
      <c r="AB309" s="21">
        <v>299</v>
      </c>
      <c r="AC309" s="21">
        <v>0.24438499999999999</v>
      </c>
      <c r="AD309">
        <f t="shared" si="52"/>
        <v>18.017600000000002</v>
      </c>
      <c r="AE309">
        <f t="shared" si="53"/>
        <v>4.4043302496000001</v>
      </c>
      <c r="AF309" s="9"/>
      <c r="AG309" s="21">
        <v>1.40564</v>
      </c>
      <c r="AH309" s="21">
        <v>254.095</v>
      </c>
      <c r="AI309" s="21">
        <v>-1.73279E-2</v>
      </c>
      <c r="AJ309" s="21">
        <v>299</v>
      </c>
      <c r="AK309" s="21">
        <v>1.40503</v>
      </c>
      <c r="AL309">
        <f t="shared" si="54"/>
        <v>17.3279</v>
      </c>
      <c r="AM309">
        <f t="shared" si="55"/>
        <v>24.356789356</v>
      </c>
      <c r="AP309" s="9"/>
      <c r="AQ309" s="21">
        <v>0.244446</v>
      </c>
      <c r="AR309" s="21">
        <v>311.8</v>
      </c>
      <c r="AS309" s="21">
        <v>-1.8002299999999999E-2</v>
      </c>
      <c r="AT309" s="21">
        <v>299</v>
      </c>
      <c r="AU309" s="21">
        <v>0.24371300000000001</v>
      </c>
      <c r="AV309">
        <f t="shared" si="56"/>
        <v>18.002299999999998</v>
      </c>
      <c r="AW309">
        <f t="shared" si="57"/>
        <v>4.4005902257999994</v>
      </c>
      <c r="AX309" s="9"/>
      <c r="AY309" s="21">
        <v>1.40564</v>
      </c>
      <c r="AZ309" s="21">
        <v>382.23</v>
      </c>
      <c r="BA309" s="21">
        <v>-1.7285200000000001E-2</v>
      </c>
      <c r="BB309" s="21">
        <v>299</v>
      </c>
      <c r="BC309" s="21">
        <v>1.40503</v>
      </c>
      <c r="BD309">
        <f t="shared" si="58"/>
        <v>17.2852</v>
      </c>
      <c r="BE309">
        <f t="shared" si="59"/>
        <v>24.296768528000001</v>
      </c>
    </row>
    <row r="310" spans="6:57" x14ac:dyDescent="0.25">
      <c r="F310" s="9"/>
      <c r="G310" s="21">
        <v>0.23941000000000001</v>
      </c>
      <c r="H310" s="21">
        <v>48.215600000000002</v>
      </c>
      <c r="I310" s="21">
        <v>-1.8044999999999999E-2</v>
      </c>
      <c r="J310" s="21">
        <v>300</v>
      </c>
      <c r="K310" s="21">
        <v>0.238953</v>
      </c>
      <c r="L310">
        <f t="shared" si="48"/>
        <v>18.044999999999998</v>
      </c>
      <c r="M310">
        <f t="shared" si="49"/>
        <v>4.3201534499999994</v>
      </c>
      <c r="N310" s="9"/>
      <c r="O310" s="21">
        <v>1.4106799999999999</v>
      </c>
      <c r="P310" s="21">
        <v>119.976</v>
      </c>
      <c r="Q310" s="21">
        <v>-1.7346199999999999E-2</v>
      </c>
      <c r="R310" s="21">
        <v>300</v>
      </c>
      <c r="S310" s="21">
        <v>1.40991</v>
      </c>
      <c r="T310">
        <f t="shared" si="50"/>
        <v>17.3462</v>
      </c>
      <c r="U310">
        <f t="shared" si="51"/>
        <v>24.469937415999997</v>
      </c>
      <c r="X310" s="9"/>
      <c r="Y310" s="21">
        <v>0.23941000000000001</v>
      </c>
      <c r="Z310" s="21">
        <v>187.65100000000001</v>
      </c>
      <c r="AA310" s="21">
        <v>-1.8020600000000001E-2</v>
      </c>
      <c r="AB310" s="21">
        <v>300</v>
      </c>
      <c r="AC310" s="21">
        <v>0.23904400000000001</v>
      </c>
      <c r="AD310">
        <f t="shared" si="52"/>
        <v>18.020600000000002</v>
      </c>
      <c r="AE310">
        <f t="shared" si="53"/>
        <v>4.3143118460000007</v>
      </c>
      <c r="AF310" s="9"/>
      <c r="AG310" s="21">
        <v>1.4106799999999999</v>
      </c>
      <c r="AH310" s="21">
        <v>254.196</v>
      </c>
      <c r="AI310" s="21">
        <v>-1.7306499999999999E-2</v>
      </c>
      <c r="AJ310" s="21">
        <v>300</v>
      </c>
      <c r="AK310" s="21">
        <v>1.40961</v>
      </c>
      <c r="AL310">
        <f t="shared" si="54"/>
        <v>17.3065</v>
      </c>
      <c r="AM310">
        <f t="shared" si="55"/>
        <v>24.413933419999999</v>
      </c>
      <c r="AP310" s="9"/>
      <c r="AQ310" s="21">
        <v>0.23941000000000001</v>
      </c>
      <c r="AR310" s="21">
        <v>311.90100000000001</v>
      </c>
      <c r="AS310" s="21">
        <v>-1.8005400000000001E-2</v>
      </c>
      <c r="AT310" s="21">
        <v>300</v>
      </c>
      <c r="AU310" s="21">
        <v>0.238953</v>
      </c>
      <c r="AV310">
        <f t="shared" si="56"/>
        <v>18.005400000000002</v>
      </c>
      <c r="AW310">
        <f t="shared" si="57"/>
        <v>4.310672814000001</v>
      </c>
      <c r="AX310" s="9"/>
      <c r="AY310" s="21">
        <v>1.4106799999999999</v>
      </c>
      <c r="AZ310" s="21">
        <v>382.33100000000002</v>
      </c>
      <c r="BA310" s="21">
        <v>-1.7279099999999999E-2</v>
      </c>
      <c r="BB310" s="21">
        <v>300</v>
      </c>
      <c r="BC310" s="21">
        <v>1.41052</v>
      </c>
      <c r="BD310">
        <f t="shared" si="58"/>
        <v>17.2791</v>
      </c>
      <c r="BE310">
        <f t="shared" si="59"/>
        <v>24.375280787999998</v>
      </c>
    </row>
    <row r="311" spans="6:57" x14ac:dyDescent="0.25">
      <c r="F311" s="9"/>
      <c r="G311" s="21">
        <v>0.234375</v>
      </c>
      <c r="H311" s="21">
        <v>48.316299999999998</v>
      </c>
      <c r="I311" s="21">
        <v>-1.80511E-2</v>
      </c>
      <c r="J311" s="21">
        <v>301</v>
      </c>
      <c r="K311" s="21">
        <v>0.234039</v>
      </c>
      <c r="L311">
        <f t="shared" si="48"/>
        <v>18.051100000000002</v>
      </c>
      <c r="M311">
        <f t="shared" si="49"/>
        <v>4.2307265625000001</v>
      </c>
      <c r="N311" s="9"/>
      <c r="O311" s="21">
        <v>1.41571</v>
      </c>
      <c r="P311" s="21">
        <v>120.07599999999999</v>
      </c>
      <c r="Q311" s="21">
        <v>-1.7318699999999999E-2</v>
      </c>
      <c r="R311" s="21">
        <v>301</v>
      </c>
      <c r="S311" s="21">
        <v>1.41449</v>
      </c>
      <c r="T311">
        <f t="shared" si="50"/>
        <v>17.3187</v>
      </c>
      <c r="U311">
        <f t="shared" si="51"/>
        <v>24.518256777000001</v>
      </c>
      <c r="X311" s="9"/>
      <c r="Y311" s="21">
        <v>0.234375</v>
      </c>
      <c r="Z311" s="21">
        <v>187.75200000000001</v>
      </c>
      <c r="AA311" s="21">
        <v>-1.80267E-2</v>
      </c>
      <c r="AB311" s="21">
        <v>301</v>
      </c>
      <c r="AC311" s="21">
        <v>0.233734</v>
      </c>
      <c r="AD311">
        <f t="shared" si="52"/>
        <v>18.026699999999998</v>
      </c>
      <c r="AE311">
        <f t="shared" si="53"/>
        <v>4.2250078124999995</v>
      </c>
      <c r="AF311" s="9"/>
      <c r="AG311" s="21">
        <v>1.41571</v>
      </c>
      <c r="AH311" s="21">
        <v>254.297</v>
      </c>
      <c r="AI311" s="21">
        <v>-1.7291299999999999E-2</v>
      </c>
      <c r="AJ311" s="21">
        <v>301</v>
      </c>
      <c r="AK311" s="21">
        <v>1.4151</v>
      </c>
      <c r="AL311">
        <f t="shared" si="54"/>
        <v>17.2913</v>
      </c>
      <c r="AM311">
        <f t="shared" si="55"/>
        <v>24.479466323</v>
      </c>
      <c r="AP311" s="9"/>
      <c r="AQ311" s="21">
        <v>0.234375</v>
      </c>
      <c r="AR311" s="21">
        <v>312.00099999999998</v>
      </c>
      <c r="AS311" s="21">
        <v>-1.8008400000000001E-2</v>
      </c>
      <c r="AT311" s="21">
        <v>301</v>
      </c>
      <c r="AU311" s="21">
        <v>0.23574800000000001</v>
      </c>
      <c r="AV311">
        <f t="shared" si="56"/>
        <v>18.008400000000002</v>
      </c>
      <c r="AW311">
        <f t="shared" si="57"/>
        <v>4.2207187500000005</v>
      </c>
      <c r="AX311" s="9"/>
      <c r="AY311" s="21">
        <v>1.41571</v>
      </c>
      <c r="AZ311" s="21">
        <v>382.43200000000002</v>
      </c>
      <c r="BA311" s="21">
        <v>-1.7254599999999998E-2</v>
      </c>
      <c r="BB311" s="21">
        <v>301</v>
      </c>
      <c r="BC311" s="21">
        <v>1.41479</v>
      </c>
      <c r="BD311">
        <f t="shared" si="58"/>
        <v>17.2546</v>
      </c>
      <c r="BE311">
        <f t="shared" si="59"/>
        <v>24.427509766</v>
      </c>
    </row>
    <row r="312" spans="6:57" x14ac:dyDescent="0.25">
      <c r="F312" s="9"/>
      <c r="G312" s="21">
        <v>0.22933999999999999</v>
      </c>
      <c r="H312" s="21">
        <v>48.417000000000002</v>
      </c>
      <c r="I312" s="21">
        <v>-1.8054199999999999E-2</v>
      </c>
      <c r="J312" s="21">
        <v>302</v>
      </c>
      <c r="K312" s="21">
        <v>0.22897300000000001</v>
      </c>
      <c r="L312">
        <f t="shared" si="48"/>
        <v>18.054199999999998</v>
      </c>
      <c r="M312">
        <f t="shared" si="49"/>
        <v>4.1405502279999995</v>
      </c>
      <c r="N312" s="9"/>
      <c r="O312" s="21">
        <v>1.42075</v>
      </c>
      <c r="P312" s="21">
        <v>120.17700000000001</v>
      </c>
      <c r="Q312" s="21">
        <v>-1.73004E-2</v>
      </c>
      <c r="R312" s="21">
        <v>302</v>
      </c>
      <c r="S312" s="21">
        <v>1.41998</v>
      </c>
      <c r="T312">
        <f t="shared" si="50"/>
        <v>17.3004</v>
      </c>
      <c r="U312">
        <f t="shared" si="51"/>
        <v>24.579543299999997</v>
      </c>
      <c r="X312" s="9"/>
      <c r="Y312" s="21">
        <v>0.22933999999999999</v>
      </c>
      <c r="Z312" s="21">
        <v>187.852</v>
      </c>
      <c r="AA312" s="21">
        <v>-1.8029799999999999E-2</v>
      </c>
      <c r="AB312" s="21">
        <v>302</v>
      </c>
      <c r="AC312" s="21">
        <v>0.22903399999999999</v>
      </c>
      <c r="AD312">
        <f t="shared" si="52"/>
        <v>18.029799999999998</v>
      </c>
      <c r="AE312">
        <f t="shared" si="53"/>
        <v>4.1349543319999995</v>
      </c>
      <c r="AF312" s="9"/>
      <c r="AG312" s="21">
        <v>1.42075</v>
      </c>
      <c r="AH312" s="21">
        <v>254.39699999999999</v>
      </c>
      <c r="AI312" s="21">
        <v>-1.7279099999999999E-2</v>
      </c>
      <c r="AJ312" s="21">
        <v>302</v>
      </c>
      <c r="AK312" s="21">
        <v>1.41998</v>
      </c>
      <c r="AL312">
        <f t="shared" si="54"/>
        <v>17.2791</v>
      </c>
      <c r="AM312">
        <f t="shared" si="55"/>
        <v>24.549281324999999</v>
      </c>
      <c r="AP312" s="9"/>
      <c r="AQ312" s="21">
        <v>0.22933999999999999</v>
      </c>
      <c r="AR312" s="21">
        <v>312.10199999999998</v>
      </c>
      <c r="AS312" s="21">
        <v>-1.8008400000000001E-2</v>
      </c>
      <c r="AT312" s="21">
        <v>302</v>
      </c>
      <c r="AU312" s="21">
        <v>0.228577</v>
      </c>
      <c r="AV312">
        <f t="shared" si="56"/>
        <v>18.008400000000002</v>
      </c>
      <c r="AW312">
        <f t="shared" si="57"/>
        <v>4.1300464560000005</v>
      </c>
      <c r="AX312" s="9"/>
      <c r="AY312" s="21">
        <v>1.42075</v>
      </c>
      <c r="AZ312" s="21">
        <v>382.53199999999998</v>
      </c>
      <c r="BA312" s="21">
        <v>-1.7242400000000001E-2</v>
      </c>
      <c r="BB312" s="21">
        <v>302</v>
      </c>
      <c r="BC312" s="21">
        <v>1.4202900000000001</v>
      </c>
      <c r="BD312">
        <f t="shared" si="58"/>
        <v>17.2424</v>
      </c>
      <c r="BE312">
        <f t="shared" si="59"/>
        <v>24.497139799999999</v>
      </c>
    </row>
    <row r="313" spans="6:57" x14ac:dyDescent="0.25">
      <c r="F313" s="9"/>
      <c r="G313" s="21">
        <v>0.224304</v>
      </c>
      <c r="H313" s="21">
        <v>48.517699999999998</v>
      </c>
      <c r="I313" s="21">
        <v>-1.8048100000000001E-2</v>
      </c>
      <c r="J313" s="21">
        <v>303</v>
      </c>
      <c r="K313" s="21">
        <v>0.224213</v>
      </c>
      <c r="L313">
        <f t="shared" si="48"/>
        <v>18.048100000000002</v>
      </c>
      <c r="M313">
        <f t="shared" si="49"/>
        <v>4.0482610224000002</v>
      </c>
      <c r="N313" s="9"/>
      <c r="O313" s="21">
        <v>1.42578</v>
      </c>
      <c r="P313" s="21">
        <v>120.27800000000001</v>
      </c>
      <c r="Q313" s="21">
        <v>-1.7291299999999999E-2</v>
      </c>
      <c r="R313" s="21">
        <v>303</v>
      </c>
      <c r="S313" s="21">
        <v>1.4248700000000001</v>
      </c>
      <c r="T313">
        <f t="shared" si="50"/>
        <v>17.2913</v>
      </c>
      <c r="U313">
        <f t="shared" si="51"/>
        <v>24.653589713999999</v>
      </c>
      <c r="X313" s="9"/>
      <c r="Y313" s="21">
        <v>0.224304</v>
      </c>
      <c r="Z313" s="21">
        <v>187.953</v>
      </c>
      <c r="AA313" s="21">
        <v>-1.8032800000000002E-2</v>
      </c>
      <c r="AB313" s="21">
        <v>303</v>
      </c>
      <c r="AC313" s="21">
        <v>0.22390699999999999</v>
      </c>
      <c r="AD313">
        <f t="shared" si="52"/>
        <v>18.032800000000002</v>
      </c>
      <c r="AE313">
        <f t="shared" si="53"/>
        <v>4.0448291712000009</v>
      </c>
      <c r="AF313" s="9"/>
      <c r="AG313" s="21">
        <v>1.42578</v>
      </c>
      <c r="AH313" s="21">
        <v>254.49799999999999</v>
      </c>
      <c r="AI313" s="21">
        <v>-1.7257700000000001E-2</v>
      </c>
      <c r="AJ313" s="21">
        <v>303</v>
      </c>
      <c r="AK313" s="21">
        <v>1.4248700000000001</v>
      </c>
      <c r="AL313">
        <f t="shared" si="54"/>
        <v>17.2577</v>
      </c>
      <c r="AM313">
        <f t="shared" si="55"/>
        <v>24.605683506000002</v>
      </c>
      <c r="AP313" s="9"/>
      <c r="AQ313" s="21">
        <v>0.224304</v>
      </c>
      <c r="AR313" s="21">
        <v>312.20299999999997</v>
      </c>
      <c r="AS313" s="21">
        <v>-1.8014499999999999E-2</v>
      </c>
      <c r="AT313" s="21">
        <v>303</v>
      </c>
      <c r="AU313" s="21">
        <v>0.223938</v>
      </c>
      <c r="AV313">
        <f t="shared" si="56"/>
        <v>18.014499999999998</v>
      </c>
      <c r="AW313">
        <f t="shared" si="57"/>
        <v>4.040724408</v>
      </c>
      <c r="AX313" s="9"/>
      <c r="AY313" s="21">
        <v>1.42578</v>
      </c>
      <c r="AZ313" s="21">
        <v>382.63299999999998</v>
      </c>
      <c r="BA313" s="21">
        <v>-1.7215000000000001E-2</v>
      </c>
      <c r="BB313" s="21">
        <v>303</v>
      </c>
      <c r="BC313" s="21">
        <v>1.4254800000000001</v>
      </c>
      <c r="BD313">
        <f t="shared" si="58"/>
        <v>17.215</v>
      </c>
      <c r="BE313">
        <f t="shared" si="59"/>
        <v>24.544802700000002</v>
      </c>
    </row>
    <row r="314" spans="6:57" x14ac:dyDescent="0.25">
      <c r="F314" s="9"/>
      <c r="G314" s="21">
        <v>0.21926899999999999</v>
      </c>
      <c r="H314" s="21">
        <v>48.618400000000001</v>
      </c>
      <c r="I314" s="21">
        <v>-1.80511E-2</v>
      </c>
      <c r="J314" s="21">
        <v>304</v>
      </c>
      <c r="K314" s="21">
        <v>0.21875</v>
      </c>
      <c r="L314">
        <f t="shared" si="48"/>
        <v>18.051100000000002</v>
      </c>
      <c r="M314">
        <f t="shared" si="49"/>
        <v>3.9580466459000001</v>
      </c>
      <c r="N314" s="9"/>
      <c r="O314" s="21">
        <v>1.43082</v>
      </c>
      <c r="P314" s="21">
        <v>120.379</v>
      </c>
      <c r="Q314" s="21">
        <v>-1.7266799999999999E-2</v>
      </c>
      <c r="R314" s="21">
        <v>304</v>
      </c>
      <c r="S314" s="21">
        <v>1.4303600000000001</v>
      </c>
      <c r="T314">
        <f t="shared" si="50"/>
        <v>17.2668</v>
      </c>
      <c r="U314">
        <f t="shared" si="51"/>
        <v>24.705682776</v>
      </c>
      <c r="X314" s="9"/>
      <c r="Y314" s="21">
        <v>0.21926899999999999</v>
      </c>
      <c r="Z314" s="21">
        <v>188.054</v>
      </c>
      <c r="AA314" s="21">
        <v>-1.8035900000000001E-2</v>
      </c>
      <c r="AB314" s="21">
        <v>304</v>
      </c>
      <c r="AC314" s="21">
        <v>0.21914700000000001</v>
      </c>
      <c r="AD314">
        <f t="shared" si="52"/>
        <v>18.035900000000002</v>
      </c>
      <c r="AE314">
        <f t="shared" si="53"/>
        <v>3.9547137571000004</v>
      </c>
      <c r="AF314" s="9"/>
      <c r="AG314" s="21">
        <v>1.43082</v>
      </c>
      <c r="AH314" s="21">
        <v>254.59899999999999</v>
      </c>
      <c r="AI314" s="21">
        <v>-1.72455E-2</v>
      </c>
      <c r="AJ314" s="21">
        <v>304</v>
      </c>
      <c r="AK314" s="21">
        <v>1.43005</v>
      </c>
      <c r="AL314">
        <f t="shared" si="54"/>
        <v>17.2455</v>
      </c>
      <c r="AM314">
        <f t="shared" si="55"/>
        <v>24.67520631</v>
      </c>
      <c r="AP314" s="9"/>
      <c r="AQ314" s="21">
        <v>0.21926899999999999</v>
      </c>
      <c r="AR314" s="21">
        <v>312.30399999999997</v>
      </c>
      <c r="AS314" s="21">
        <v>-1.8017600000000002E-2</v>
      </c>
      <c r="AT314" s="21">
        <v>304</v>
      </c>
      <c r="AU314" s="21">
        <v>0.219086</v>
      </c>
      <c r="AV314">
        <f t="shared" si="56"/>
        <v>18.017600000000002</v>
      </c>
      <c r="AW314">
        <f t="shared" si="57"/>
        <v>3.9507011344</v>
      </c>
      <c r="AX314" s="9"/>
      <c r="AY314" s="21">
        <v>1.43082</v>
      </c>
      <c r="AZ314" s="21">
        <v>382.73399999999998</v>
      </c>
      <c r="BA314" s="21">
        <v>-1.7196699999999999E-2</v>
      </c>
      <c r="BB314" s="21">
        <v>304</v>
      </c>
      <c r="BC314" s="21">
        <v>1.4303600000000001</v>
      </c>
      <c r="BD314">
        <f t="shared" si="58"/>
        <v>17.1967</v>
      </c>
      <c r="BE314">
        <f t="shared" si="59"/>
        <v>24.605382293999998</v>
      </c>
    </row>
    <row r="315" spans="6:57" x14ac:dyDescent="0.25">
      <c r="F315" s="9"/>
      <c r="G315" s="21">
        <v>0.21423300000000001</v>
      </c>
      <c r="H315" s="21">
        <v>48.719099999999997</v>
      </c>
      <c r="I315" s="21">
        <v>-1.80511E-2</v>
      </c>
      <c r="J315" s="21">
        <v>305</v>
      </c>
      <c r="K315" s="21">
        <v>0.21377599999999999</v>
      </c>
      <c r="L315">
        <f t="shared" si="48"/>
        <v>18.051100000000002</v>
      </c>
      <c r="M315">
        <f t="shared" si="49"/>
        <v>3.8671413063000006</v>
      </c>
      <c r="N315" s="9"/>
      <c r="O315" s="21">
        <v>1.4358500000000001</v>
      </c>
      <c r="P315" s="21">
        <v>120.479</v>
      </c>
      <c r="Q315" s="21">
        <v>-1.7242400000000001E-2</v>
      </c>
      <c r="R315" s="21">
        <v>305</v>
      </c>
      <c r="S315" s="21">
        <v>1.4349400000000001</v>
      </c>
      <c r="T315">
        <f t="shared" si="50"/>
        <v>17.2424</v>
      </c>
      <c r="U315">
        <f t="shared" si="51"/>
        <v>24.75750004</v>
      </c>
      <c r="X315" s="9"/>
      <c r="Y315" s="21">
        <v>0.21423300000000001</v>
      </c>
      <c r="Z315" s="21">
        <v>188.154</v>
      </c>
      <c r="AA315" s="21">
        <v>-1.8032800000000002E-2</v>
      </c>
      <c r="AB315" s="21">
        <v>305</v>
      </c>
      <c r="AC315" s="21">
        <v>0.213898</v>
      </c>
      <c r="AD315">
        <f t="shared" si="52"/>
        <v>18.032800000000002</v>
      </c>
      <c r="AE315">
        <f t="shared" si="53"/>
        <v>3.8632208424000005</v>
      </c>
      <c r="AF315" s="9"/>
      <c r="AG315" s="21">
        <v>1.4358500000000001</v>
      </c>
      <c r="AH315" s="21">
        <v>254.69900000000001</v>
      </c>
      <c r="AI315" s="21">
        <v>-1.72211E-2</v>
      </c>
      <c r="AJ315" s="21">
        <v>305</v>
      </c>
      <c r="AK315" s="21">
        <v>1.4352400000000001</v>
      </c>
      <c r="AL315">
        <f t="shared" si="54"/>
        <v>17.2211</v>
      </c>
      <c r="AM315">
        <f t="shared" si="55"/>
        <v>24.726916435</v>
      </c>
      <c r="AP315" s="9"/>
      <c r="AQ315" s="21">
        <v>0.21423300000000001</v>
      </c>
      <c r="AR315" s="21">
        <v>312.404</v>
      </c>
      <c r="AS315" s="21">
        <v>-1.8020600000000001E-2</v>
      </c>
      <c r="AT315" s="21">
        <v>305</v>
      </c>
      <c r="AU315" s="21">
        <v>0.21429400000000001</v>
      </c>
      <c r="AV315">
        <f t="shared" si="56"/>
        <v>18.020600000000002</v>
      </c>
      <c r="AW315">
        <f t="shared" si="57"/>
        <v>3.8606071998000004</v>
      </c>
      <c r="AX315" s="9"/>
      <c r="AY315" s="21">
        <v>1.4358500000000001</v>
      </c>
      <c r="AZ315" s="21">
        <v>382.834</v>
      </c>
      <c r="BA315" s="21">
        <v>-1.7178300000000001E-2</v>
      </c>
      <c r="BB315" s="21">
        <v>305</v>
      </c>
      <c r="BC315" s="21">
        <v>1.4352400000000001</v>
      </c>
      <c r="BD315">
        <f t="shared" si="58"/>
        <v>17.1783</v>
      </c>
      <c r="BE315">
        <f t="shared" si="59"/>
        <v>24.665462055000003</v>
      </c>
    </row>
    <row r="316" spans="6:57" x14ac:dyDescent="0.25">
      <c r="F316" s="9"/>
      <c r="G316" s="21">
        <v>0.209198</v>
      </c>
      <c r="H316" s="21">
        <v>48.819800000000001</v>
      </c>
      <c r="I316" s="21">
        <v>-1.8060300000000001E-2</v>
      </c>
      <c r="J316" s="21">
        <v>306</v>
      </c>
      <c r="K316" s="21">
        <v>0.20816000000000001</v>
      </c>
      <c r="L316">
        <f t="shared" si="48"/>
        <v>18.060300000000002</v>
      </c>
      <c r="M316">
        <f t="shared" si="49"/>
        <v>3.7781786394000001</v>
      </c>
      <c r="N316" s="9"/>
      <c r="O316" s="21">
        <v>1.44089</v>
      </c>
      <c r="P316" s="21">
        <v>120.58</v>
      </c>
      <c r="Q316" s="21">
        <v>-1.7224099999999999E-2</v>
      </c>
      <c r="R316" s="21">
        <v>306</v>
      </c>
      <c r="S316" s="21">
        <v>1.4404300000000001</v>
      </c>
      <c r="T316">
        <f t="shared" si="50"/>
        <v>17.2241</v>
      </c>
      <c r="U316">
        <f t="shared" si="51"/>
        <v>24.818033449000001</v>
      </c>
      <c r="X316" s="9"/>
      <c r="Y316" s="21">
        <v>0.209198</v>
      </c>
      <c r="Z316" s="21">
        <v>188.255</v>
      </c>
      <c r="AA316" s="21">
        <v>-1.8041999999999999E-2</v>
      </c>
      <c r="AB316" s="21">
        <v>306</v>
      </c>
      <c r="AC316" s="21">
        <v>0.20886199999999999</v>
      </c>
      <c r="AD316">
        <f t="shared" si="52"/>
        <v>18.041999999999998</v>
      </c>
      <c r="AE316">
        <f t="shared" si="53"/>
        <v>3.7743503159999996</v>
      </c>
      <c r="AF316" s="9"/>
      <c r="AG316" s="21">
        <v>1.44089</v>
      </c>
      <c r="AH316" s="21">
        <v>254.8</v>
      </c>
      <c r="AI316" s="21">
        <v>-1.71936E-2</v>
      </c>
      <c r="AJ316" s="21">
        <v>306</v>
      </c>
      <c r="AK316" s="21">
        <v>1.4404300000000001</v>
      </c>
      <c r="AL316">
        <f t="shared" si="54"/>
        <v>17.1936</v>
      </c>
      <c r="AM316">
        <f t="shared" si="55"/>
        <v>24.774086304000001</v>
      </c>
      <c r="AP316" s="9"/>
      <c r="AQ316" s="21">
        <v>0.209198</v>
      </c>
      <c r="AR316" s="21">
        <v>312.505</v>
      </c>
      <c r="AS316" s="21">
        <v>-1.80237E-2</v>
      </c>
      <c r="AT316" s="21">
        <v>306</v>
      </c>
      <c r="AU316" s="21">
        <v>0.20929</v>
      </c>
      <c r="AV316">
        <f t="shared" si="56"/>
        <v>18.023700000000002</v>
      </c>
      <c r="AW316">
        <f t="shared" si="57"/>
        <v>3.7705219926000004</v>
      </c>
      <c r="AX316" s="9"/>
      <c r="AY316" s="21">
        <v>1.44089</v>
      </c>
      <c r="AZ316" s="21">
        <v>382.935</v>
      </c>
      <c r="BA316" s="21">
        <v>-1.7156999999999999E-2</v>
      </c>
      <c r="BB316" s="21">
        <v>306</v>
      </c>
      <c r="BC316" s="21">
        <v>1.4401200000000001</v>
      </c>
      <c r="BD316">
        <f t="shared" si="58"/>
        <v>17.157</v>
      </c>
      <c r="BE316">
        <f t="shared" si="59"/>
        <v>24.72134973</v>
      </c>
    </row>
    <row r="317" spans="6:57" x14ac:dyDescent="0.25">
      <c r="F317" s="9"/>
      <c r="G317" s="21">
        <v>0.20416300000000001</v>
      </c>
      <c r="H317" s="21">
        <v>48.9206</v>
      </c>
      <c r="I317" s="21">
        <v>-1.80634E-2</v>
      </c>
      <c r="J317" s="21">
        <v>307</v>
      </c>
      <c r="K317" s="21">
        <v>0.20364399999999999</v>
      </c>
      <c r="L317">
        <f t="shared" si="48"/>
        <v>18.063400000000001</v>
      </c>
      <c r="M317">
        <f t="shared" si="49"/>
        <v>3.6878779342000003</v>
      </c>
      <c r="N317" s="9"/>
      <c r="O317" s="21">
        <v>1.4459200000000001</v>
      </c>
      <c r="P317" s="21">
        <v>120.681</v>
      </c>
      <c r="Q317" s="21">
        <v>-1.7199699999999998E-2</v>
      </c>
      <c r="R317" s="21">
        <v>307</v>
      </c>
      <c r="S317" s="21">
        <v>1.4450099999999999</v>
      </c>
      <c r="T317">
        <f t="shared" si="50"/>
        <v>17.1997</v>
      </c>
      <c r="U317">
        <f t="shared" si="51"/>
        <v>24.869390224</v>
      </c>
      <c r="X317" s="9"/>
      <c r="Y317" s="21">
        <v>0.20416300000000001</v>
      </c>
      <c r="Z317" s="21">
        <v>188.35599999999999</v>
      </c>
      <c r="AA317" s="21">
        <v>-1.8044999999999999E-2</v>
      </c>
      <c r="AB317" s="21">
        <v>307</v>
      </c>
      <c r="AC317" s="21">
        <v>0.20489499999999999</v>
      </c>
      <c r="AD317">
        <f t="shared" si="52"/>
        <v>18.044999999999998</v>
      </c>
      <c r="AE317">
        <f t="shared" si="53"/>
        <v>3.6841213349999999</v>
      </c>
      <c r="AF317" s="9"/>
      <c r="AG317" s="21">
        <v>1.4459200000000001</v>
      </c>
      <c r="AH317" s="21">
        <v>254.90100000000001</v>
      </c>
      <c r="AI317" s="21">
        <v>-1.7175300000000001E-2</v>
      </c>
      <c r="AJ317" s="21">
        <v>307</v>
      </c>
      <c r="AK317" s="21">
        <v>1.4447000000000001</v>
      </c>
      <c r="AL317">
        <f t="shared" si="54"/>
        <v>17.1753</v>
      </c>
      <c r="AM317">
        <f t="shared" si="55"/>
        <v>24.834109776000002</v>
      </c>
      <c r="AP317" s="9"/>
      <c r="AQ317" s="21">
        <v>0.20416300000000001</v>
      </c>
      <c r="AR317" s="21">
        <v>312.60599999999999</v>
      </c>
      <c r="AS317" s="21">
        <v>-1.8020600000000001E-2</v>
      </c>
      <c r="AT317" s="21">
        <v>307</v>
      </c>
      <c r="AU317" s="21">
        <v>0.20394899999999999</v>
      </c>
      <c r="AV317">
        <f t="shared" si="56"/>
        <v>18.020600000000002</v>
      </c>
      <c r="AW317">
        <f t="shared" si="57"/>
        <v>3.6791397578000007</v>
      </c>
      <c r="AX317" s="9"/>
      <c r="AY317" s="21">
        <v>1.4459200000000001</v>
      </c>
      <c r="AZ317" s="21">
        <v>383.036</v>
      </c>
      <c r="BA317" s="21">
        <v>-1.7126499999999999E-2</v>
      </c>
      <c r="BB317" s="21">
        <v>307</v>
      </c>
      <c r="BC317" s="21">
        <v>1.4456199999999999</v>
      </c>
      <c r="BD317">
        <f t="shared" si="58"/>
        <v>17.1265</v>
      </c>
      <c r="BE317">
        <f t="shared" si="59"/>
        <v>24.763548880000002</v>
      </c>
    </row>
    <row r="318" spans="6:57" x14ac:dyDescent="0.25">
      <c r="F318" s="9"/>
      <c r="G318" s="21">
        <v>0.199127</v>
      </c>
      <c r="H318" s="21">
        <v>49.021299999999997</v>
      </c>
      <c r="I318" s="21">
        <v>-1.80634E-2</v>
      </c>
      <c r="J318" s="21">
        <v>308</v>
      </c>
      <c r="K318" s="21">
        <v>0.19876099999999999</v>
      </c>
      <c r="L318">
        <f t="shared" si="48"/>
        <v>18.063400000000001</v>
      </c>
      <c r="M318">
        <f t="shared" si="49"/>
        <v>3.5969106518000005</v>
      </c>
      <c r="N318" s="9"/>
      <c r="O318" s="21">
        <v>1.45096</v>
      </c>
      <c r="P318" s="21">
        <v>120.78100000000001</v>
      </c>
      <c r="Q318" s="21">
        <v>-1.7175300000000001E-2</v>
      </c>
      <c r="R318" s="21">
        <v>308</v>
      </c>
      <c r="S318" s="21">
        <v>1.4504999999999999</v>
      </c>
      <c r="T318">
        <f t="shared" si="50"/>
        <v>17.1753</v>
      </c>
      <c r="U318">
        <f t="shared" si="51"/>
        <v>24.920673288</v>
      </c>
      <c r="X318" s="9"/>
      <c r="Y318" s="21">
        <v>0.199127</v>
      </c>
      <c r="Z318" s="21">
        <v>188.45599999999999</v>
      </c>
      <c r="AA318" s="21">
        <v>-1.8044999999999999E-2</v>
      </c>
      <c r="AB318" s="21">
        <v>308</v>
      </c>
      <c r="AC318" s="21">
        <v>0.198578</v>
      </c>
      <c r="AD318">
        <f t="shared" si="52"/>
        <v>18.044999999999998</v>
      </c>
      <c r="AE318">
        <f t="shared" si="53"/>
        <v>3.5932467149999998</v>
      </c>
      <c r="AF318" s="9"/>
      <c r="AG318" s="21">
        <v>1.45096</v>
      </c>
      <c r="AH318" s="21">
        <v>255.00200000000001</v>
      </c>
      <c r="AI318" s="21">
        <v>-1.7147800000000001E-2</v>
      </c>
      <c r="AJ318" s="21">
        <v>308</v>
      </c>
      <c r="AK318" s="21">
        <v>1.4495800000000001</v>
      </c>
      <c r="AL318">
        <f t="shared" si="54"/>
        <v>17.1478</v>
      </c>
      <c r="AM318">
        <f t="shared" si="55"/>
        <v>24.880771888000002</v>
      </c>
      <c r="AP318" s="9"/>
      <c r="AQ318" s="21">
        <v>0.199127</v>
      </c>
      <c r="AR318" s="21">
        <v>312.70600000000002</v>
      </c>
      <c r="AS318" s="21">
        <v>-1.80267E-2</v>
      </c>
      <c r="AT318" s="21">
        <v>308</v>
      </c>
      <c r="AU318" s="21">
        <v>0.19830300000000001</v>
      </c>
      <c r="AV318">
        <f t="shared" si="56"/>
        <v>18.026699999999998</v>
      </c>
      <c r="AW318">
        <f t="shared" si="57"/>
        <v>3.5896026908999996</v>
      </c>
      <c r="AX318" s="9"/>
      <c r="AY318" s="21">
        <v>1.45096</v>
      </c>
      <c r="AZ318" s="21">
        <v>383.137</v>
      </c>
      <c r="BA318" s="21">
        <v>-1.7105100000000002E-2</v>
      </c>
      <c r="BB318" s="21">
        <v>308</v>
      </c>
      <c r="BC318" s="21">
        <v>1.4504999999999999</v>
      </c>
      <c r="BD318">
        <f t="shared" si="58"/>
        <v>17.1051</v>
      </c>
      <c r="BE318">
        <f t="shared" si="59"/>
        <v>24.818815896</v>
      </c>
    </row>
    <row r="319" spans="6:57" x14ac:dyDescent="0.25">
      <c r="F319" s="9"/>
      <c r="G319" s="21">
        <v>0.19409199999999999</v>
      </c>
      <c r="H319" s="21">
        <v>49.122</v>
      </c>
      <c r="I319" s="21">
        <v>-1.8075600000000001E-2</v>
      </c>
      <c r="J319" s="21">
        <v>309</v>
      </c>
      <c r="K319" s="21">
        <v>0.19320699999999999</v>
      </c>
      <c r="L319">
        <f t="shared" si="48"/>
        <v>18.075600000000001</v>
      </c>
      <c r="M319">
        <f t="shared" si="49"/>
        <v>3.5083293551999999</v>
      </c>
      <c r="N319" s="9"/>
      <c r="O319" s="21">
        <v>1.4559899999999999</v>
      </c>
      <c r="P319" s="21">
        <v>120.88200000000001</v>
      </c>
      <c r="Q319" s="21">
        <v>-1.7147800000000001E-2</v>
      </c>
      <c r="R319" s="21">
        <v>309</v>
      </c>
      <c r="S319" s="21">
        <v>1.4547699999999999</v>
      </c>
      <c r="T319">
        <f t="shared" si="50"/>
        <v>17.1478</v>
      </c>
      <c r="U319">
        <f t="shared" si="51"/>
        <v>24.967025321999998</v>
      </c>
      <c r="X319" s="9"/>
      <c r="Y319" s="21">
        <v>0.19409199999999999</v>
      </c>
      <c r="Z319" s="21">
        <v>188.55699999999999</v>
      </c>
      <c r="AA319" s="21">
        <v>-1.8044999999999999E-2</v>
      </c>
      <c r="AB319" s="21">
        <v>309</v>
      </c>
      <c r="AC319" s="21">
        <v>0.19409199999999999</v>
      </c>
      <c r="AD319">
        <f t="shared" si="52"/>
        <v>18.044999999999998</v>
      </c>
      <c r="AE319">
        <f t="shared" si="53"/>
        <v>3.5023901399999993</v>
      </c>
      <c r="AF319" s="9"/>
      <c r="AG319" s="21">
        <v>1.4559899999999999</v>
      </c>
      <c r="AH319" s="21">
        <v>255.102</v>
      </c>
      <c r="AI319" s="21">
        <v>-1.71234E-2</v>
      </c>
      <c r="AJ319" s="21">
        <v>309</v>
      </c>
      <c r="AK319" s="21">
        <v>1.4556899999999999</v>
      </c>
      <c r="AL319">
        <f t="shared" si="54"/>
        <v>17.1234</v>
      </c>
      <c r="AM319">
        <f t="shared" si="55"/>
        <v>24.931499165999998</v>
      </c>
      <c r="AP319" s="9"/>
      <c r="AQ319" s="21">
        <v>0.19409199999999999</v>
      </c>
      <c r="AR319" s="21">
        <v>312.80700000000002</v>
      </c>
      <c r="AS319" s="21">
        <v>-1.8029799999999999E-2</v>
      </c>
      <c r="AT319" s="21">
        <v>309</v>
      </c>
      <c r="AU319" s="21">
        <v>0.19384799999999999</v>
      </c>
      <c r="AV319">
        <f t="shared" si="56"/>
        <v>18.029799999999998</v>
      </c>
      <c r="AW319">
        <f t="shared" si="57"/>
        <v>3.4994399415999995</v>
      </c>
      <c r="AX319" s="9"/>
      <c r="AY319" s="21">
        <v>1.4559899999999999</v>
      </c>
      <c r="AZ319" s="21">
        <v>383.23700000000002</v>
      </c>
      <c r="BA319" s="21">
        <v>-1.7077599999999998E-2</v>
      </c>
      <c r="BB319" s="21">
        <v>309</v>
      </c>
      <c r="BC319" s="21">
        <v>1.4556899999999999</v>
      </c>
      <c r="BD319">
        <f t="shared" si="58"/>
        <v>17.077599999999997</v>
      </c>
      <c r="BE319">
        <f t="shared" si="59"/>
        <v>24.864814823999993</v>
      </c>
    </row>
    <row r="320" spans="6:57" x14ac:dyDescent="0.25">
      <c r="F320" s="9"/>
      <c r="G320" s="21">
        <v>0.189056</v>
      </c>
      <c r="H320" s="21">
        <v>49.222700000000003</v>
      </c>
      <c r="I320" s="21">
        <v>-1.8072499999999998E-2</v>
      </c>
      <c r="J320" s="21">
        <v>310</v>
      </c>
      <c r="K320" s="21">
        <v>0.18859899999999999</v>
      </c>
      <c r="L320">
        <f t="shared" si="48"/>
        <v>18.072499999999998</v>
      </c>
      <c r="M320">
        <f t="shared" si="49"/>
        <v>3.4167145599999995</v>
      </c>
      <c r="N320" s="9"/>
      <c r="O320" s="21">
        <v>1.4610300000000001</v>
      </c>
      <c r="P320" s="21">
        <v>120.983</v>
      </c>
      <c r="Q320" s="21">
        <v>-1.7126499999999999E-2</v>
      </c>
      <c r="R320" s="21">
        <v>310</v>
      </c>
      <c r="S320" s="21">
        <v>1.4605699999999999</v>
      </c>
      <c r="T320">
        <f t="shared" si="50"/>
        <v>17.1265</v>
      </c>
      <c r="U320">
        <f t="shared" si="51"/>
        <v>25.022330295</v>
      </c>
      <c r="X320" s="9"/>
      <c r="Y320" s="21">
        <v>0.189056</v>
      </c>
      <c r="Z320" s="21">
        <v>188.65799999999999</v>
      </c>
      <c r="AA320" s="21">
        <v>-1.80511E-2</v>
      </c>
      <c r="AB320" s="21">
        <v>310</v>
      </c>
      <c r="AC320" s="21">
        <v>0.18862899999999999</v>
      </c>
      <c r="AD320">
        <f t="shared" si="52"/>
        <v>18.051100000000002</v>
      </c>
      <c r="AE320">
        <f t="shared" si="53"/>
        <v>3.4126687616000004</v>
      </c>
      <c r="AF320" s="9"/>
      <c r="AG320" s="21">
        <v>1.4610300000000001</v>
      </c>
      <c r="AH320" s="21">
        <v>255.203</v>
      </c>
      <c r="AI320" s="21">
        <v>-1.7080700000000001E-2</v>
      </c>
      <c r="AJ320" s="21">
        <v>310</v>
      </c>
      <c r="AK320" s="21">
        <v>1.46027</v>
      </c>
      <c r="AL320">
        <f t="shared" si="54"/>
        <v>17.0807</v>
      </c>
      <c r="AM320">
        <f t="shared" si="55"/>
        <v>24.955415121000001</v>
      </c>
      <c r="AP320" s="9"/>
      <c r="AQ320" s="21">
        <v>0.189056</v>
      </c>
      <c r="AR320" s="21">
        <v>312.90800000000002</v>
      </c>
      <c r="AS320" s="21">
        <v>-1.80389E-2</v>
      </c>
      <c r="AT320" s="21">
        <v>310</v>
      </c>
      <c r="AU320" s="21">
        <v>0.18856800000000001</v>
      </c>
      <c r="AV320">
        <f t="shared" si="56"/>
        <v>18.038900000000002</v>
      </c>
      <c r="AW320">
        <f t="shared" si="57"/>
        <v>3.4103622784000005</v>
      </c>
      <c r="AX320" s="9"/>
      <c r="AY320" s="21">
        <v>1.4610300000000001</v>
      </c>
      <c r="AZ320" s="21">
        <v>383.33800000000002</v>
      </c>
      <c r="BA320" s="21">
        <v>-1.70441E-2</v>
      </c>
      <c r="BB320" s="21">
        <v>310</v>
      </c>
      <c r="BC320" s="21">
        <v>1.46027</v>
      </c>
      <c r="BD320">
        <f t="shared" si="58"/>
        <v>17.0441</v>
      </c>
      <c r="BE320">
        <f t="shared" si="59"/>
        <v>24.901941423</v>
      </c>
    </row>
    <row r="321" spans="6:57" x14ac:dyDescent="0.25">
      <c r="F321" s="9"/>
      <c r="G321" s="21">
        <v>0.18402099999999999</v>
      </c>
      <c r="H321" s="21">
        <v>49.323399999999999</v>
      </c>
      <c r="I321" s="21">
        <v>-1.8069499999999999E-2</v>
      </c>
      <c r="J321" s="21">
        <v>311</v>
      </c>
      <c r="K321" s="21">
        <v>0.183838</v>
      </c>
      <c r="L321">
        <f t="shared" si="48"/>
        <v>18.069499999999998</v>
      </c>
      <c r="M321">
        <f t="shared" si="49"/>
        <v>3.3251674594999994</v>
      </c>
      <c r="N321" s="9"/>
      <c r="O321" s="21">
        <v>1.4660599999999999</v>
      </c>
      <c r="P321" s="21">
        <v>121.084</v>
      </c>
      <c r="Q321" s="21">
        <v>-1.7089799999999999E-2</v>
      </c>
      <c r="R321" s="21">
        <v>311</v>
      </c>
      <c r="S321" s="21">
        <v>1.4654499999999999</v>
      </c>
      <c r="T321">
        <f t="shared" si="50"/>
        <v>17.0898</v>
      </c>
      <c r="U321">
        <f t="shared" si="51"/>
        <v>25.054672187999998</v>
      </c>
      <c r="X321" s="9"/>
      <c r="Y321" s="21">
        <v>0.18402099999999999</v>
      </c>
      <c r="Z321" s="21">
        <v>188.75899999999999</v>
      </c>
      <c r="AA321" s="21">
        <v>-1.8054199999999999E-2</v>
      </c>
      <c r="AB321" s="21">
        <v>311</v>
      </c>
      <c r="AC321" s="21">
        <v>0.18368499999999999</v>
      </c>
      <c r="AD321">
        <f t="shared" si="52"/>
        <v>18.054199999999998</v>
      </c>
      <c r="AE321">
        <f t="shared" si="53"/>
        <v>3.3223519381999993</v>
      </c>
      <c r="AF321" s="9"/>
      <c r="AG321" s="21">
        <v>1.4660599999999999</v>
      </c>
      <c r="AH321" s="21">
        <v>255.304</v>
      </c>
      <c r="AI321" s="21">
        <v>-1.70563E-2</v>
      </c>
      <c r="AJ321" s="21">
        <v>311</v>
      </c>
      <c r="AK321" s="21">
        <v>1.46515</v>
      </c>
      <c r="AL321">
        <f t="shared" si="54"/>
        <v>17.0563</v>
      </c>
      <c r="AM321">
        <f t="shared" si="55"/>
        <v>25.005559177999999</v>
      </c>
      <c r="AP321" s="9"/>
      <c r="AQ321" s="21">
        <v>0.18402099999999999</v>
      </c>
      <c r="AR321" s="21">
        <v>313.00900000000001</v>
      </c>
      <c r="AS321" s="21">
        <v>-1.8041999999999999E-2</v>
      </c>
      <c r="AT321" s="21">
        <v>311</v>
      </c>
      <c r="AU321" s="21">
        <v>0.18359400000000001</v>
      </c>
      <c r="AV321">
        <f t="shared" si="56"/>
        <v>18.041999999999998</v>
      </c>
      <c r="AW321">
        <f t="shared" si="57"/>
        <v>3.3201068819999993</v>
      </c>
      <c r="AX321" s="9"/>
      <c r="AY321" s="21">
        <v>1.4660599999999999</v>
      </c>
      <c r="AZ321" s="21">
        <v>383.43900000000002</v>
      </c>
      <c r="BA321" s="21">
        <v>-1.7013500000000001E-2</v>
      </c>
      <c r="BB321" s="21">
        <v>311</v>
      </c>
      <c r="BC321" s="21">
        <v>1.4660599999999999</v>
      </c>
      <c r="BD321">
        <f t="shared" si="58"/>
        <v>17.013500000000001</v>
      </c>
      <c r="BE321">
        <f t="shared" si="59"/>
        <v>24.942811809999998</v>
      </c>
    </row>
    <row r="322" spans="6:57" x14ac:dyDescent="0.25">
      <c r="F322" s="9"/>
      <c r="G322" s="21">
        <v>0.17898600000000001</v>
      </c>
      <c r="H322" s="21">
        <v>49.424100000000003</v>
      </c>
      <c r="I322" s="21">
        <v>-1.80786E-2</v>
      </c>
      <c r="J322" s="21">
        <v>312</v>
      </c>
      <c r="K322" s="21">
        <v>0.17877199999999999</v>
      </c>
      <c r="L322">
        <f t="shared" si="48"/>
        <v>18.078600000000002</v>
      </c>
      <c r="M322">
        <f t="shared" si="49"/>
        <v>3.2358162996000006</v>
      </c>
      <c r="N322" s="9"/>
      <c r="O322" s="21">
        <v>1.4711000000000001</v>
      </c>
      <c r="P322" s="21">
        <v>121.184</v>
      </c>
      <c r="Q322" s="21">
        <v>-1.7059299999999999E-2</v>
      </c>
      <c r="R322" s="21">
        <v>312</v>
      </c>
      <c r="S322" s="21">
        <v>1.4706399999999999</v>
      </c>
      <c r="T322">
        <f t="shared" si="50"/>
        <v>17.0593</v>
      </c>
      <c r="U322">
        <f t="shared" si="51"/>
        <v>25.095936230000003</v>
      </c>
      <c r="X322" s="9"/>
      <c r="Y322" s="21">
        <v>0.17898600000000001</v>
      </c>
      <c r="Z322" s="21">
        <v>188.85900000000001</v>
      </c>
      <c r="AA322" s="21">
        <v>-1.8057299999999998E-2</v>
      </c>
      <c r="AB322" s="21">
        <v>312</v>
      </c>
      <c r="AC322" s="21">
        <v>0.17825299999999999</v>
      </c>
      <c r="AD322">
        <f t="shared" si="52"/>
        <v>18.057299999999998</v>
      </c>
      <c r="AE322">
        <f t="shared" si="53"/>
        <v>3.2320038977999999</v>
      </c>
      <c r="AF322" s="9"/>
      <c r="AG322" s="21">
        <v>1.4711000000000001</v>
      </c>
      <c r="AH322" s="21">
        <v>255.404</v>
      </c>
      <c r="AI322" s="21">
        <v>-1.7019699999999999E-2</v>
      </c>
      <c r="AJ322" s="21">
        <v>312</v>
      </c>
      <c r="AK322" s="21">
        <v>1.47034</v>
      </c>
      <c r="AL322">
        <f t="shared" si="54"/>
        <v>17.0197</v>
      </c>
      <c r="AM322">
        <f t="shared" si="55"/>
        <v>25.03768067</v>
      </c>
      <c r="AP322" s="9"/>
      <c r="AQ322" s="21">
        <v>0.17898600000000001</v>
      </c>
      <c r="AR322" s="21">
        <v>313.10899999999998</v>
      </c>
      <c r="AS322" s="21">
        <v>-1.8041999999999999E-2</v>
      </c>
      <c r="AT322" s="21">
        <v>312</v>
      </c>
      <c r="AU322" s="21">
        <v>0.17846699999999999</v>
      </c>
      <c r="AV322">
        <f t="shared" si="56"/>
        <v>18.041999999999998</v>
      </c>
      <c r="AW322">
        <f t="shared" si="57"/>
        <v>3.2292654119999997</v>
      </c>
      <c r="AX322" s="9"/>
      <c r="AY322" s="21">
        <v>1.4711000000000001</v>
      </c>
      <c r="AZ322" s="21">
        <v>383.53899999999999</v>
      </c>
      <c r="BA322" s="21">
        <v>-1.6979999999999999E-2</v>
      </c>
      <c r="BB322" s="21">
        <v>312</v>
      </c>
      <c r="BC322" s="21">
        <v>1.47034</v>
      </c>
      <c r="BD322">
        <f t="shared" si="58"/>
        <v>16.979999999999997</v>
      </c>
      <c r="BE322">
        <f t="shared" si="59"/>
        <v>24.979277999999997</v>
      </c>
    </row>
    <row r="323" spans="6:57" x14ac:dyDescent="0.25">
      <c r="F323" s="9"/>
      <c r="G323" s="21">
        <v>0.17394999999999999</v>
      </c>
      <c r="H323" s="21">
        <v>49.524799999999999</v>
      </c>
      <c r="I323" s="21">
        <v>-1.80786E-2</v>
      </c>
      <c r="J323" s="21">
        <v>313</v>
      </c>
      <c r="K323" s="21">
        <v>0.17361499999999999</v>
      </c>
      <c r="L323">
        <f t="shared" si="48"/>
        <v>18.078600000000002</v>
      </c>
      <c r="M323">
        <f t="shared" si="49"/>
        <v>3.1447724700000004</v>
      </c>
      <c r="N323" s="9"/>
      <c r="O323" s="21">
        <v>1.47614</v>
      </c>
      <c r="P323" s="21">
        <v>121.285</v>
      </c>
      <c r="Q323" s="21">
        <v>-1.7022700000000002E-2</v>
      </c>
      <c r="R323" s="21">
        <v>313</v>
      </c>
      <c r="S323" s="21">
        <v>1.4755199999999999</v>
      </c>
      <c r="T323">
        <f t="shared" si="50"/>
        <v>17.0227</v>
      </c>
      <c r="U323">
        <f t="shared" si="51"/>
        <v>25.127888378000002</v>
      </c>
      <c r="X323" s="9"/>
      <c r="Y323" s="21">
        <v>0.17394999999999999</v>
      </c>
      <c r="Z323" s="21">
        <v>188.96</v>
      </c>
      <c r="AA323" s="21">
        <v>-1.8060300000000001E-2</v>
      </c>
      <c r="AB323" s="21">
        <v>313</v>
      </c>
      <c r="AC323" s="21">
        <v>0.173401</v>
      </c>
      <c r="AD323">
        <f t="shared" si="52"/>
        <v>18.060300000000002</v>
      </c>
      <c r="AE323">
        <f t="shared" si="53"/>
        <v>3.141589185</v>
      </c>
      <c r="AF323" s="9"/>
      <c r="AG323" s="21">
        <v>1.47614</v>
      </c>
      <c r="AH323" s="21">
        <v>255.505</v>
      </c>
      <c r="AI323" s="21">
        <v>-1.6983000000000002E-2</v>
      </c>
      <c r="AJ323" s="21">
        <v>313</v>
      </c>
      <c r="AK323" s="21">
        <v>1.4755199999999999</v>
      </c>
      <c r="AL323">
        <f t="shared" si="54"/>
        <v>16.983000000000001</v>
      </c>
      <c r="AM323">
        <f t="shared" si="55"/>
        <v>25.069285620000002</v>
      </c>
      <c r="AP323" s="9"/>
      <c r="AQ323" s="21">
        <v>0.17394999999999999</v>
      </c>
      <c r="AR323" s="21">
        <v>313.20999999999998</v>
      </c>
      <c r="AS323" s="21">
        <v>-1.8044999999999999E-2</v>
      </c>
      <c r="AT323" s="21">
        <v>313</v>
      </c>
      <c r="AU323" s="21">
        <v>0.173401</v>
      </c>
      <c r="AV323">
        <f t="shared" si="56"/>
        <v>18.044999999999998</v>
      </c>
      <c r="AW323">
        <f t="shared" si="57"/>
        <v>3.1389277499999997</v>
      </c>
      <c r="AX323" s="9"/>
      <c r="AY323" s="21">
        <v>1.47614</v>
      </c>
      <c r="AZ323" s="21">
        <v>383.64</v>
      </c>
      <c r="BA323" s="21">
        <v>-1.6940299999999998E-2</v>
      </c>
      <c r="BB323" s="21">
        <v>313</v>
      </c>
      <c r="BC323" s="21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 x14ac:dyDescent="0.25">
      <c r="F324" s="9"/>
      <c r="G324" s="21">
        <v>0.16891500000000001</v>
      </c>
      <c r="H324" s="21">
        <v>49.625500000000002</v>
      </c>
      <c r="I324" s="21">
        <v>-1.8081699999999999E-2</v>
      </c>
      <c r="J324" s="21">
        <v>314</v>
      </c>
      <c r="K324" s="21">
        <v>0.168457</v>
      </c>
      <c r="L324">
        <f t="shared" si="48"/>
        <v>18.081699999999998</v>
      </c>
      <c r="M324">
        <f t="shared" si="49"/>
        <v>3.0542703554999999</v>
      </c>
      <c r="N324" s="9"/>
      <c r="O324" s="21">
        <v>1.4811700000000001</v>
      </c>
      <c r="P324" s="21">
        <v>121.386</v>
      </c>
      <c r="Q324" s="21">
        <v>-1.69891E-2</v>
      </c>
      <c r="R324" s="21">
        <v>314</v>
      </c>
      <c r="S324" s="21">
        <v>1.48041</v>
      </c>
      <c r="T324">
        <f t="shared" si="50"/>
        <v>16.989100000000001</v>
      </c>
      <c r="U324">
        <f t="shared" si="51"/>
        <v>25.163745247000001</v>
      </c>
      <c r="X324" s="9"/>
      <c r="Y324" s="21">
        <v>0.16891500000000001</v>
      </c>
      <c r="Z324" s="21">
        <v>189.06100000000001</v>
      </c>
      <c r="AA324" s="21">
        <v>-1.80664E-2</v>
      </c>
      <c r="AB324" s="21">
        <v>314</v>
      </c>
      <c r="AC324" s="21">
        <v>0.16861000000000001</v>
      </c>
      <c r="AD324">
        <f t="shared" si="52"/>
        <v>18.066400000000002</v>
      </c>
      <c r="AE324">
        <f t="shared" si="53"/>
        <v>3.0516859560000005</v>
      </c>
      <c r="AF324" s="9"/>
      <c r="AG324" s="21">
        <v>1.4811700000000001</v>
      </c>
      <c r="AH324" s="21">
        <v>255.60599999999999</v>
      </c>
      <c r="AI324" s="21">
        <v>-1.6943400000000001E-2</v>
      </c>
      <c r="AJ324" s="21">
        <v>314</v>
      </c>
      <c r="AK324" s="21">
        <v>1.48071</v>
      </c>
      <c r="AL324">
        <f t="shared" si="54"/>
        <v>16.9434</v>
      </c>
      <c r="AM324">
        <f t="shared" si="55"/>
        <v>25.096055778000004</v>
      </c>
      <c r="AP324" s="9"/>
      <c r="AQ324" s="21">
        <v>0.16891500000000001</v>
      </c>
      <c r="AR324" s="21">
        <v>313.31099999999998</v>
      </c>
      <c r="AS324" s="21">
        <v>-1.8048100000000001E-2</v>
      </c>
      <c r="AT324" s="21">
        <v>314</v>
      </c>
      <c r="AU324" s="21">
        <v>0.16839599999999999</v>
      </c>
      <c r="AV324">
        <f t="shared" si="56"/>
        <v>18.048100000000002</v>
      </c>
      <c r="AW324">
        <f t="shared" si="57"/>
        <v>3.0485948115000006</v>
      </c>
      <c r="AX324" s="9"/>
      <c r="AY324" s="21">
        <v>1.4811700000000001</v>
      </c>
      <c r="AZ324" s="21">
        <v>383.74099999999999</v>
      </c>
      <c r="BA324" s="21">
        <v>-1.68945E-2</v>
      </c>
      <c r="BB324" s="21">
        <v>314</v>
      </c>
      <c r="BC324" s="21">
        <v>1.48041</v>
      </c>
      <c r="BD324">
        <f t="shared" si="58"/>
        <v>16.894500000000001</v>
      </c>
      <c r="BE324">
        <f t="shared" si="59"/>
        <v>25.023626565000004</v>
      </c>
    </row>
    <row r="325" spans="6:57" x14ac:dyDescent="0.25">
      <c r="F325" s="9"/>
      <c r="G325" s="21">
        <v>0.163879</v>
      </c>
      <c r="H325" s="21">
        <v>49.726199999999999</v>
      </c>
      <c r="I325" s="21">
        <v>-1.8084699999999999E-2</v>
      </c>
      <c r="J325" s="21">
        <v>315</v>
      </c>
      <c r="K325" s="21">
        <v>0.16314699999999999</v>
      </c>
      <c r="L325">
        <f t="shared" si="48"/>
        <v>18.084699999999998</v>
      </c>
      <c r="M325">
        <f t="shared" si="49"/>
        <v>2.9637025512999995</v>
      </c>
      <c r="N325" s="9"/>
      <c r="O325" s="21">
        <v>1.48621</v>
      </c>
      <c r="P325" s="21">
        <v>121.486</v>
      </c>
      <c r="Q325" s="21">
        <v>-1.6937299999999999E-2</v>
      </c>
      <c r="R325" s="21">
        <v>315</v>
      </c>
      <c r="S325" s="21">
        <v>1.4856</v>
      </c>
      <c r="T325">
        <f t="shared" si="50"/>
        <v>16.9373</v>
      </c>
      <c r="U325">
        <f t="shared" si="51"/>
        <v>25.172384633</v>
      </c>
      <c r="X325" s="9"/>
      <c r="Y325" s="21">
        <v>0.163879</v>
      </c>
      <c r="Z325" s="21">
        <v>189.161</v>
      </c>
      <c r="AA325" s="21">
        <v>-1.8069499999999999E-2</v>
      </c>
      <c r="AB325" s="21">
        <v>315</v>
      </c>
      <c r="AC325" s="21">
        <v>0.16369600000000001</v>
      </c>
      <c r="AD325">
        <f t="shared" si="52"/>
        <v>18.069499999999998</v>
      </c>
      <c r="AE325">
        <f t="shared" si="53"/>
        <v>2.9612115904999996</v>
      </c>
      <c r="AF325" s="9"/>
      <c r="AG325" s="21">
        <v>1.48621</v>
      </c>
      <c r="AH325" s="21">
        <v>255.70699999999999</v>
      </c>
      <c r="AI325" s="21">
        <v>-1.6900600000000002E-2</v>
      </c>
      <c r="AJ325" s="21">
        <v>315</v>
      </c>
      <c r="AK325" s="21">
        <v>1.4859</v>
      </c>
      <c r="AL325">
        <f t="shared" si="54"/>
        <v>16.900600000000001</v>
      </c>
      <c r="AM325">
        <f t="shared" si="55"/>
        <v>25.117840726000001</v>
      </c>
      <c r="AP325" s="9"/>
      <c r="AQ325" s="21">
        <v>0.163879</v>
      </c>
      <c r="AR325" s="21">
        <v>313.411</v>
      </c>
      <c r="AS325" s="21">
        <v>-1.8054199999999999E-2</v>
      </c>
      <c r="AT325" s="21">
        <v>315</v>
      </c>
      <c r="AU325" s="21">
        <v>0.16339100000000001</v>
      </c>
      <c r="AV325">
        <f t="shared" si="56"/>
        <v>18.054199999999998</v>
      </c>
      <c r="AW325">
        <f t="shared" si="57"/>
        <v>2.9587042417999996</v>
      </c>
      <c r="AX325" s="9"/>
      <c r="AY325" s="21">
        <v>1.48621</v>
      </c>
      <c r="AZ325" s="21">
        <v>383.84199999999998</v>
      </c>
      <c r="BA325" s="21">
        <v>-1.6854899999999999E-2</v>
      </c>
      <c r="BB325" s="21">
        <v>315</v>
      </c>
      <c r="BC325" s="21">
        <v>1.4859</v>
      </c>
      <c r="BD325">
        <f t="shared" si="58"/>
        <v>16.854900000000001</v>
      </c>
      <c r="BE325">
        <f t="shared" si="59"/>
        <v>25.049920929000002</v>
      </c>
    </row>
    <row r="326" spans="6:57" x14ac:dyDescent="0.25">
      <c r="F326" s="9"/>
      <c r="G326" s="21">
        <v>0.15884400000000001</v>
      </c>
      <c r="H326" s="21">
        <v>49.826900000000002</v>
      </c>
      <c r="I326" s="21">
        <v>-1.8087800000000001E-2</v>
      </c>
      <c r="J326" s="21">
        <v>316</v>
      </c>
      <c r="K326" s="21">
        <v>0.15801999999999999</v>
      </c>
      <c r="L326">
        <f t="shared" si="48"/>
        <v>18.087800000000001</v>
      </c>
      <c r="M326">
        <f t="shared" si="49"/>
        <v>2.8731385032000003</v>
      </c>
      <c r="N326" s="9"/>
      <c r="O326" s="21">
        <v>1.4912399999999999</v>
      </c>
      <c r="P326" s="21">
        <v>121.587</v>
      </c>
      <c r="Q326" s="21">
        <v>-1.68945E-2</v>
      </c>
      <c r="R326" s="21">
        <v>316</v>
      </c>
      <c r="S326" s="21">
        <v>1.49017</v>
      </c>
      <c r="T326">
        <f t="shared" si="50"/>
        <v>16.894500000000001</v>
      </c>
      <c r="U326">
        <f t="shared" si="51"/>
        <v>25.193754179999999</v>
      </c>
      <c r="X326" s="9"/>
      <c r="Y326" s="21">
        <v>0.15884400000000001</v>
      </c>
      <c r="Z326" s="21">
        <v>189.262</v>
      </c>
      <c r="AA326" s="21">
        <v>-1.80664E-2</v>
      </c>
      <c r="AB326" s="21">
        <v>316</v>
      </c>
      <c r="AC326" s="21">
        <v>0.15832499999999999</v>
      </c>
      <c r="AD326">
        <f t="shared" si="52"/>
        <v>18.066400000000002</v>
      </c>
      <c r="AE326">
        <f t="shared" si="53"/>
        <v>2.8697392416000005</v>
      </c>
      <c r="AF326" s="9"/>
      <c r="AG326" s="21">
        <v>1.4912399999999999</v>
      </c>
      <c r="AH326" s="21">
        <v>255.80699999999999</v>
      </c>
      <c r="AI326" s="21">
        <v>-1.6845700000000002E-2</v>
      </c>
      <c r="AJ326" s="21">
        <v>316</v>
      </c>
      <c r="AK326" s="21">
        <v>1.49048</v>
      </c>
      <c r="AL326">
        <f t="shared" si="54"/>
        <v>16.845700000000001</v>
      </c>
      <c r="AM326">
        <f t="shared" si="55"/>
        <v>25.120981667999999</v>
      </c>
      <c r="AP326" s="9"/>
      <c r="AQ326" s="21">
        <v>0.15884400000000001</v>
      </c>
      <c r="AR326" s="21">
        <v>313.512</v>
      </c>
      <c r="AS326" s="21">
        <v>-1.8054199999999999E-2</v>
      </c>
      <c r="AT326" s="21">
        <v>316</v>
      </c>
      <c r="AU326" s="21">
        <v>0.15878300000000001</v>
      </c>
      <c r="AV326">
        <f t="shared" si="56"/>
        <v>18.054199999999998</v>
      </c>
      <c r="AW326">
        <f t="shared" si="57"/>
        <v>2.8678013447999997</v>
      </c>
      <c r="AX326" s="9"/>
      <c r="AY326" s="21">
        <v>1.4912399999999999</v>
      </c>
      <c r="AZ326" s="21">
        <v>383.94200000000001</v>
      </c>
      <c r="BA326" s="21">
        <v>-1.68091E-2</v>
      </c>
      <c r="BB326" s="21">
        <v>316</v>
      </c>
      <c r="BC326" s="21">
        <v>1.49048</v>
      </c>
      <c r="BD326">
        <f t="shared" si="58"/>
        <v>16.809100000000001</v>
      </c>
      <c r="BE326">
        <f t="shared" si="59"/>
        <v>25.066402283999999</v>
      </c>
    </row>
    <row r="327" spans="6:57" x14ac:dyDescent="0.25">
      <c r="F327" s="9"/>
      <c r="G327" s="21">
        <v>0.153809</v>
      </c>
      <c r="H327" s="21">
        <v>49.927599999999998</v>
      </c>
      <c r="I327" s="21">
        <v>-1.8090800000000001E-2</v>
      </c>
      <c r="J327" s="21">
        <v>317</v>
      </c>
      <c r="K327" s="21">
        <v>0.153503</v>
      </c>
      <c r="L327">
        <f t="shared" si="48"/>
        <v>18.090800000000002</v>
      </c>
      <c r="M327">
        <f t="shared" si="49"/>
        <v>2.7825278572000003</v>
      </c>
      <c r="N327" s="9"/>
      <c r="O327" s="21">
        <v>1.4962800000000001</v>
      </c>
      <c r="P327" s="21">
        <v>121.688</v>
      </c>
      <c r="Q327" s="21">
        <v>-1.68518E-2</v>
      </c>
      <c r="R327" s="21">
        <v>317</v>
      </c>
      <c r="S327" s="21">
        <v>1.4956700000000001</v>
      </c>
      <c r="T327">
        <f t="shared" si="50"/>
        <v>16.851800000000001</v>
      </c>
      <c r="U327">
        <f t="shared" si="51"/>
        <v>25.215011304000001</v>
      </c>
      <c r="X327" s="9"/>
      <c r="Y327" s="21">
        <v>0.153809</v>
      </c>
      <c r="Z327" s="21">
        <v>189.363</v>
      </c>
      <c r="AA327" s="21">
        <v>-1.8069499999999999E-2</v>
      </c>
      <c r="AB327" s="21">
        <v>317</v>
      </c>
      <c r="AC327" s="21">
        <v>0.15359500000000001</v>
      </c>
      <c r="AD327">
        <f t="shared" si="52"/>
        <v>18.069499999999998</v>
      </c>
      <c r="AE327">
        <f t="shared" si="53"/>
        <v>2.7792517254999995</v>
      </c>
      <c r="AF327" s="9"/>
      <c r="AG327" s="21">
        <v>1.4962800000000001</v>
      </c>
      <c r="AH327" s="21">
        <v>255.90799999999999</v>
      </c>
      <c r="AI327" s="21">
        <v>-1.67969E-2</v>
      </c>
      <c r="AJ327" s="21">
        <v>317</v>
      </c>
      <c r="AK327" s="21">
        <v>1.4956700000000001</v>
      </c>
      <c r="AL327">
        <f t="shared" si="54"/>
        <v>16.796900000000001</v>
      </c>
      <c r="AM327">
        <f t="shared" si="55"/>
        <v>25.132865532000004</v>
      </c>
      <c r="AP327" s="9"/>
      <c r="AQ327" s="21">
        <v>0.153809</v>
      </c>
      <c r="AR327" s="21">
        <v>313.613</v>
      </c>
      <c r="AS327" s="21">
        <v>-1.8054199999999999E-2</v>
      </c>
      <c r="AT327" s="21">
        <v>317</v>
      </c>
      <c r="AU327" s="21">
        <v>0.153473</v>
      </c>
      <c r="AV327">
        <f t="shared" si="56"/>
        <v>18.054199999999998</v>
      </c>
      <c r="AW327">
        <f t="shared" si="57"/>
        <v>2.7768984477999998</v>
      </c>
      <c r="AX327" s="9"/>
      <c r="AY327" s="21">
        <v>1.4962800000000001</v>
      </c>
      <c r="AZ327" s="21">
        <v>384.04300000000001</v>
      </c>
      <c r="BA327" s="21">
        <v>-1.67542E-2</v>
      </c>
      <c r="BB327" s="21">
        <v>317</v>
      </c>
      <c r="BC327" s="21">
        <v>1.49597</v>
      </c>
      <c r="BD327">
        <f t="shared" si="58"/>
        <v>16.754200000000001</v>
      </c>
      <c r="BE327">
        <f t="shared" si="59"/>
        <v>25.068974376000003</v>
      </c>
    </row>
    <row r="328" spans="6:57" x14ac:dyDescent="0.25">
      <c r="F328" s="9"/>
      <c r="G328" s="21">
        <v>0.14877299999999999</v>
      </c>
      <c r="H328" s="21">
        <v>50.028300000000002</v>
      </c>
      <c r="I328" s="21">
        <v>-1.8096899999999999E-2</v>
      </c>
      <c r="J328" s="21">
        <v>318</v>
      </c>
      <c r="K328" s="21">
        <v>0.14846799999999999</v>
      </c>
      <c r="L328">
        <f t="shared" si="48"/>
        <v>18.096899999999998</v>
      </c>
      <c r="M328">
        <f t="shared" si="49"/>
        <v>2.6923301036999994</v>
      </c>
      <c r="N328" s="9"/>
      <c r="O328" s="21">
        <v>1.5013099999999999</v>
      </c>
      <c r="P328" s="21">
        <v>121.788</v>
      </c>
      <c r="Q328" s="21">
        <v>-1.6802999999999998E-2</v>
      </c>
      <c r="R328" s="21">
        <v>318</v>
      </c>
      <c r="S328" s="21">
        <v>1.50024</v>
      </c>
      <c r="T328">
        <f t="shared" si="50"/>
        <v>16.802999999999997</v>
      </c>
      <c r="U328">
        <f t="shared" si="51"/>
        <v>25.226511929999994</v>
      </c>
      <c r="X328" s="9"/>
      <c r="Y328" s="21">
        <v>0.14877299999999999</v>
      </c>
      <c r="Z328" s="21">
        <v>189.464</v>
      </c>
      <c r="AA328" s="21">
        <v>-1.8072499999999998E-2</v>
      </c>
      <c r="AB328" s="21">
        <v>318</v>
      </c>
      <c r="AC328" s="21">
        <v>0.148254</v>
      </c>
      <c r="AD328">
        <f t="shared" si="52"/>
        <v>18.072499999999998</v>
      </c>
      <c r="AE328">
        <f t="shared" si="53"/>
        <v>2.6887000424999994</v>
      </c>
      <c r="AF328" s="9"/>
      <c r="AG328" s="21">
        <v>1.5013099999999999</v>
      </c>
      <c r="AH328" s="21">
        <v>256.00900000000001</v>
      </c>
      <c r="AI328" s="21">
        <v>-1.6751100000000001E-2</v>
      </c>
      <c r="AJ328" s="21">
        <v>318</v>
      </c>
      <c r="AK328" s="21">
        <v>1.50085</v>
      </c>
      <c r="AL328">
        <f t="shared" si="54"/>
        <v>16.751100000000001</v>
      </c>
      <c r="AM328">
        <f t="shared" si="55"/>
        <v>25.148593941000001</v>
      </c>
      <c r="AP328" s="9"/>
      <c r="AQ328" s="21">
        <v>0.14877299999999999</v>
      </c>
      <c r="AR328" s="21">
        <v>313.714</v>
      </c>
      <c r="AS328" s="21">
        <v>-1.8054199999999999E-2</v>
      </c>
      <c r="AT328" s="21">
        <v>318</v>
      </c>
      <c r="AU328" s="21">
        <v>0.14868200000000001</v>
      </c>
      <c r="AV328">
        <f t="shared" si="56"/>
        <v>18.054199999999998</v>
      </c>
      <c r="AW328">
        <f t="shared" si="57"/>
        <v>2.6859774965999996</v>
      </c>
      <c r="AX328" s="9"/>
      <c r="AY328" s="21">
        <v>1.5013099999999999</v>
      </c>
      <c r="AZ328" s="21">
        <v>384.14400000000001</v>
      </c>
      <c r="BA328" s="21">
        <v>-1.67023E-2</v>
      </c>
      <c r="BB328" s="21">
        <v>318</v>
      </c>
      <c r="BC328" s="21">
        <v>1.50024</v>
      </c>
      <c r="BD328">
        <f t="shared" si="58"/>
        <v>16.702300000000001</v>
      </c>
      <c r="BE328">
        <f t="shared" si="59"/>
        <v>25.075330012999999</v>
      </c>
    </row>
    <row r="329" spans="6:57" x14ac:dyDescent="0.25">
      <c r="F329" s="9"/>
      <c r="G329" s="21">
        <v>0.143738</v>
      </c>
      <c r="H329" s="21">
        <v>50.128999999999998</v>
      </c>
      <c r="I329" s="21">
        <v>-1.8096899999999999E-2</v>
      </c>
      <c r="J329" s="21">
        <v>319</v>
      </c>
      <c r="K329" s="21">
        <v>0.14331099999999999</v>
      </c>
      <c r="L329">
        <f t="shared" si="48"/>
        <v>18.096899999999998</v>
      </c>
      <c r="M329">
        <f t="shared" si="49"/>
        <v>2.6012122121999997</v>
      </c>
      <c r="N329" s="9"/>
      <c r="O329" s="21">
        <v>1.5063500000000001</v>
      </c>
      <c r="P329" s="21">
        <v>121.889</v>
      </c>
      <c r="Q329" s="21">
        <v>-1.6751100000000001E-2</v>
      </c>
      <c r="R329" s="21">
        <v>319</v>
      </c>
      <c r="S329" s="21">
        <v>1.50604</v>
      </c>
      <c r="T329">
        <f t="shared" si="50"/>
        <v>16.751100000000001</v>
      </c>
      <c r="U329">
        <f t="shared" si="51"/>
        <v>25.233019485000003</v>
      </c>
      <c r="X329" s="9"/>
      <c r="Y329" s="21">
        <v>0.143738</v>
      </c>
      <c r="Z329" s="21">
        <v>189.56399999999999</v>
      </c>
      <c r="AA329" s="21">
        <v>-1.80786E-2</v>
      </c>
      <c r="AB329" s="21">
        <v>319</v>
      </c>
      <c r="AC329" s="21">
        <v>0.14352400000000001</v>
      </c>
      <c r="AD329">
        <f t="shared" si="52"/>
        <v>18.078600000000002</v>
      </c>
      <c r="AE329">
        <f t="shared" si="53"/>
        <v>2.5985818068000004</v>
      </c>
      <c r="AF329" s="9"/>
      <c r="AG329" s="21">
        <v>1.5063500000000001</v>
      </c>
      <c r="AH329" s="21">
        <v>256.10899999999998</v>
      </c>
      <c r="AI329" s="21">
        <v>-1.6690099999999999E-2</v>
      </c>
      <c r="AJ329" s="21">
        <v>319</v>
      </c>
      <c r="AK329" s="21">
        <v>1.50543</v>
      </c>
      <c r="AL329">
        <f t="shared" si="54"/>
        <v>16.690100000000001</v>
      </c>
      <c r="AM329">
        <f t="shared" si="55"/>
        <v>25.141132135000003</v>
      </c>
      <c r="AP329" s="9"/>
      <c r="AQ329" s="21">
        <v>0.143738</v>
      </c>
      <c r="AR329" s="21">
        <v>313.81400000000002</v>
      </c>
      <c r="AS329" s="21">
        <v>-1.8060300000000001E-2</v>
      </c>
      <c r="AT329" s="21">
        <v>319</v>
      </c>
      <c r="AU329" s="21">
        <v>0.14327999999999999</v>
      </c>
      <c r="AV329">
        <f t="shared" si="56"/>
        <v>18.060300000000002</v>
      </c>
      <c r="AW329">
        <f t="shared" si="57"/>
        <v>2.5959514014000002</v>
      </c>
      <c r="AX329" s="9"/>
      <c r="AY329" s="21">
        <v>1.5063500000000001</v>
      </c>
      <c r="AZ329" s="21">
        <v>384.24400000000003</v>
      </c>
      <c r="BA329" s="21">
        <v>-1.6650399999999999E-2</v>
      </c>
      <c r="BB329" s="21">
        <v>319</v>
      </c>
      <c r="BC329" s="21">
        <v>1.5057400000000001</v>
      </c>
      <c r="BD329">
        <f t="shared" si="58"/>
        <v>16.650399999999998</v>
      </c>
      <c r="BE329">
        <f t="shared" si="59"/>
        <v>25.081330039999997</v>
      </c>
    </row>
    <row r="330" spans="6:57" x14ac:dyDescent="0.25">
      <c r="F330" s="9"/>
      <c r="G330" s="21">
        <v>0.13870199999999999</v>
      </c>
      <c r="H330" s="21">
        <v>50.229799999999997</v>
      </c>
      <c r="I330" s="21">
        <v>-1.8103000000000001E-2</v>
      </c>
      <c r="J330" s="21">
        <v>320</v>
      </c>
      <c r="K330" s="21">
        <v>0.137878</v>
      </c>
      <c r="L330">
        <f t="shared" si="48"/>
        <v>18.103000000000002</v>
      </c>
      <c r="M330">
        <f t="shared" si="49"/>
        <v>2.5109223059999999</v>
      </c>
      <c r="N330" s="9"/>
      <c r="O330" s="21">
        <v>1.5113799999999999</v>
      </c>
      <c r="P330" s="21">
        <v>121.99</v>
      </c>
      <c r="Q330" s="21">
        <v>-1.6693099999999999E-2</v>
      </c>
      <c r="R330" s="21">
        <v>320</v>
      </c>
      <c r="S330" s="21">
        <v>1.5112300000000001</v>
      </c>
      <c r="T330">
        <f t="shared" si="50"/>
        <v>16.693099999999998</v>
      </c>
      <c r="U330">
        <f t="shared" si="51"/>
        <v>25.229617477999994</v>
      </c>
      <c r="X330" s="9"/>
      <c r="Y330" s="21">
        <v>0.13870199999999999</v>
      </c>
      <c r="Z330" s="21">
        <v>189.66499999999999</v>
      </c>
      <c r="AA330" s="21">
        <v>-1.8072499999999998E-2</v>
      </c>
      <c r="AB330" s="21">
        <v>320</v>
      </c>
      <c r="AC330" s="21">
        <v>0.138458</v>
      </c>
      <c r="AD330">
        <f t="shared" si="52"/>
        <v>18.072499999999998</v>
      </c>
      <c r="AE330">
        <f t="shared" si="53"/>
        <v>2.5066918949999994</v>
      </c>
      <c r="AF330" s="9"/>
      <c r="AG330" s="21">
        <v>1.5113799999999999</v>
      </c>
      <c r="AH330" s="21">
        <v>256.20999999999998</v>
      </c>
      <c r="AI330" s="21">
        <v>-1.6644300000000001E-2</v>
      </c>
      <c r="AJ330" s="21">
        <v>320</v>
      </c>
      <c r="AK330" s="21">
        <v>1.5109300000000001</v>
      </c>
      <c r="AL330">
        <f t="shared" si="54"/>
        <v>16.644300000000001</v>
      </c>
      <c r="AM330">
        <f t="shared" si="55"/>
        <v>25.155862133999999</v>
      </c>
      <c r="AP330" s="9"/>
      <c r="AQ330" s="21">
        <v>0.13870199999999999</v>
      </c>
      <c r="AR330" s="21">
        <v>313.91500000000002</v>
      </c>
      <c r="AS330" s="21">
        <v>-1.8069499999999999E-2</v>
      </c>
      <c r="AT330" s="21">
        <v>320</v>
      </c>
      <c r="AU330" s="21">
        <v>0.138184</v>
      </c>
      <c r="AV330">
        <f t="shared" si="56"/>
        <v>18.069499999999998</v>
      </c>
      <c r="AW330">
        <f t="shared" si="57"/>
        <v>2.5062757889999996</v>
      </c>
      <c r="AX330" s="9"/>
      <c r="AY330" s="21">
        <v>1.5113799999999999</v>
      </c>
      <c r="AZ330" s="21">
        <v>384.34500000000003</v>
      </c>
      <c r="BA330" s="21">
        <v>-1.6595499999999999E-2</v>
      </c>
      <c r="BB330" s="21">
        <v>320</v>
      </c>
      <c r="BC330" s="21">
        <v>1.5106200000000001</v>
      </c>
      <c r="BD330">
        <f t="shared" si="58"/>
        <v>16.595499999999998</v>
      </c>
      <c r="BE330">
        <f t="shared" si="59"/>
        <v>25.082106789999994</v>
      </c>
    </row>
    <row r="331" spans="6:57" x14ac:dyDescent="0.25">
      <c r="F331" s="9"/>
      <c r="G331" s="21">
        <v>0.13366700000000001</v>
      </c>
      <c r="H331" s="21">
        <v>50.330500000000001</v>
      </c>
      <c r="I331" s="21">
        <v>-1.81061E-2</v>
      </c>
      <c r="J331" s="21">
        <v>321</v>
      </c>
      <c r="K331" s="21">
        <v>0.133636</v>
      </c>
      <c r="L331">
        <f t="shared" si="48"/>
        <v>18.106100000000001</v>
      </c>
      <c r="M331">
        <f t="shared" si="49"/>
        <v>2.4201880687000004</v>
      </c>
      <c r="N331" s="9"/>
      <c r="O331" s="21">
        <v>1.5164200000000001</v>
      </c>
      <c r="P331" s="21">
        <v>122.09099999999999</v>
      </c>
      <c r="Q331" s="21">
        <v>-1.6629000000000001E-2</v>
      </c>
      <c r="R331" s="21">
        <v>321</v>
      </c>
      <c r="S331" s="21">
        <v>1.5155000000000001</v>
      </c>
      <c r="T331">
        <f t="shared" si="50"/>
        <v>16.629000000000001</v>
      </c>
      <c r="U331">
        <f t="shared" si="51"/>
        <v>25.216548180000004</v>
      </c>
      <c r="X331" s="9"/>
      <c r="Y331" s="21">
        <v>0.13366700000000001</v>
      </c>
      <c r="Z331" s="21">
        <v>189.76599999999999</v>
      </c>
      <c r="AA331" s="21">
        <v>-1.80786E-2</v>
      </c>
      <c r="AB331" s="21">
        <v>321</v>
      </c>
      <c r="AC331" s="21">
        <v>0.13302600000000001</v>
      </c>
      <c r="AD331">
        <f t="shared" si="52"/>
        <v>18.078600000000002</v>
      </c>
      <c r="AE331">
        <f t="shared" si="53"/>
        <v>2.4165122262000005</v>
      </c>
      <c r="AF331" s="9"/>
      <c r="AG331" s="21">
        <v>1.5164200000000001</v>
      </c>
      <c r="AH331" s="21">
        <v>256.31099999999998</v>
      </c>
      <c r="AI331" s="21">
        <v>-1.6583299999999999E-2</v>
      </c>
      <c r="AJ331" s="21">
        <v>321</v>
      </c>
      <c r="AK331" s="21">
        <v>1.5148900000000001</v>
      </c>
      <c r="AL331">
        <f t="shared" si="54"/>
        <v>16.583299999999998</v>
      </c>
      <c r="AM331">
        <f t="shared" si="55"/>
        <v>25.147247785999998</v>
      </c>
      <c r="AP331" s="9"/>
      <c r="AQ331" s="21">
        <v>0.13366700000000001</v>
      </c>
      <c r="AR331" s="21">
        <v>314.01600000000002</v>
      </c>
      <c r="AS331" s="21">
        <v>-1.80634E-2</v>
      </c>
      <c r="AT331" s="21">
        <v>321</v>
      </c>
      <c r="AU331" s="21">
        <v>0.13339200000000001</v>
      </c>
      <c r="AV331">
        <f t="shared" si="56"/>
        <v>18.063400000000001</v>
      </c>
      <c r="AW331">
        <f t="shared" si="57"/>
        <v>2.4144804878000001</v>
      </c>
      <c r="AX331" s="9"/>
      <c r="AY331" s="21">
        <v>1.5164200000000001</v>
      </c>
      <c r="AZ331" s="21">
        <v>384.44600000000003</v>
      </c>
      <c r="BA331" s="21">
        <v>-1.65253E-2</v>
      </c>
      <c r="BB331" s="21">
        <v>321</v>
      </c>
      <c r="BC331" s="21">
        <v>1.5155000000000001</v>
      </c>
      <c r="BD331">
        <f t="shared" si="58"/>
        <v>16.525300000000001</v>
      </c>
      <c r="BE331">
        <f t="shared" si="59"/>
        <v>25.059295426000006</v>
      </c>
    </row>
    <row r="332" spans="6:57" x14ac:dyDescent="0.25">
      <c r="F332" s="9"/>
      <c r="G332" s="21">
        <v>0.128632</v>
      </c>
      <c r="H332" s="21">
        <v>50.431199999999997</v>
      </c>
      <c r="I332" s="21">
        <v>-1.8112199999999998E-2</v>
      </c>
      <c r="J332" s="21">
        <v>322</v>
      </c>
      <c r="K332" s="21">
        <v>0.128357</v>
      </c>
      <c r="L332">
        <f t="shared" ref="L332:L378" si="60">-I332/$F$2*1000</f>
        <v>18.112199999999998</v>
      </c>
      <c r="M332">
        <f t="shared" ref="M332:M378" si="61">L332*G332</f>
        <v>2.3298085103999995</v>
      </c>
      <c r="N332" s="9"/>
      <c r="O332" s="21">
        <v>1.52145</v>
      </c>
      <c r="P332" s="21">
        <v>122.191</v>
      </c>
      <c r="Q332" s="21">
        <v>-1.65649E-2</v>
      </c>
      <c r="R332" s="21">
        <v>322</v>
      </c>
      <c r="S332" s="21">
        <v>1.5206900000000001</v>
      </c>
      <c r="T332">
        <f t="shared" ref="T332:T378" si="62">-Q332/$F$2*1000</f>
        <v>16.564900000000002</v>
      </c>
      <c r="U332">
        <f t="shared" ref="U332:U378" si="63">T332*O332</f>
        <v>25.202667105000003</v>
      </c>
      <c r="X332" s="9"/>
      <c r="Y332" s="21">
        <v>0.128632</v>
      </c>
      <c r="Z332" s="21">
        <v>189.86600000000001</v>
      </c>
      <c r="AA332" s="21">
        <v>-1.8081699999999999E-2</v>
      </c>
      <c r="AB332" s="21">
        <v>322</v>
      </c>
      <c r="AC332" s="21">
        <v>0.128326</v>
      </c>
      <c r="AD332">
        <f t="shared" ref="AD332:AD378" si="64">-AA332/$F$2*1000</f>
        <v>18.081699999999998</v>
      </c>
      <c r="AE332">
        <f t="shared" ref="AE332:AE378" si="65">AD332*Y332</f>
        <v>2.3258852343999998</v>
      </c>
      <c r="AF332" s="9"/>
      <c r="AG332" s="21">
        <v>1.52145</v>
      </c>
      <c r="AH332" s="21">
        <v>256.411</v>
      </c>
      <c r="AI332" s="21">
        <v>-1.6507000000000001E-2</v>
      </c>
      <c r="AJ332" s="21">
        <v>322</v>
      </c>
      <c r="AK332" s="21">
        <v>1.5213000000000001</v>
      </c>
      <c r="AL332">
        <f t="shared" ref="AL332:AL378" si="66">-AI332/$F$2*1000</f>
        <v>16.507000000000001</v>
      </c>
      <c r="AM332">
        <f t="shared" ref="AM332:AM378" si="67">AL332*AG332</f>
        <v>25.11457515</v>
      </c>
      <c r="AP332" s="9"/>
      <c r="AQ332" s="21">
        <v>0.128632</v>
      </c>
      <c r="AR332" s="21">
        <v>314.11599999999999</v>
      </c>
      <c r="AS332" s="21">
        <v>-1.80664E-2</v>
      </c>
      <c r="AT332" s="21">
        <v>322</v>
      </c>
      <c r="AU332" s="21">
        <v>0.12823499999999999</v>
      </c>
      <c r="AV332">
        <f t="shared" ref="AV332:AV378" si="68">-AS332/$F$2*1000</f>
        <v>18.066400000000002</v>
      </c>
      <c r="AW332">
        <f t="shared" ref="AW332:AW378" si="69">AV332*AQ332</f>
        <v>2.3239171648000001</v>
      </c>
      <c r="AX332" s="9"/>
      <c r="AY332" s="21">
        <v>1.52145</v>
      </c>
      <c r="AZ332" s="21">
        <v>384.54599999999999</v>
      </c>
      <c r="BA332" s="21">
        <v>-1.6452000000000001E-2</v>
      </c>
      <c r="BB332" s="21">
        <v>322</v>
      </c>
      <c r="BC332" s="21">
        <v>1.5203899999999999</v>
      </c>
      <c r="BD332">
        <f t="shared" ref="BD332:BD378" si="70">-BA332/$F$2*1000</f>
        <v>16.452000000000002</v>
      </c>
      <c r="BE332">
        <f t="shared" ref="BE332:BE378" si="71">BD332*AY332</f>
        <v>25.030895400000002</v>
      </c>
    </row>
    <row r="333" spans="6:57" x14ac:dyDescent="0.25">
      <c r="F333" s="9"/>
      <c r="G333" s="21">
        <v>0.123596</v>
      </c>
      <c r="H333" s="21">
        <v>50.5319</v>
      </c>
      <c r="I333" s="21">
        <v>-1.81091E-2</v>
      </c>
      <c r="J333" s="21">
        <v>323</v>
      </c>
      <c r="K333" s="21">
        <v>0.123108</v>
      </c>
      <c r="L333">
        <f t="shared" si="60"/>
        <v>18.109099999999998</v>
      </c>
      <c r="M333">
        <f t="shared" si="61"/>
        <v>2.2382123235999996</v>
      </c>
      <c r="N333" s="9"/>
      <c r="O333" s="21">
        <v>1.5264899999999999</v>
      </c>
      <c r="P333" s="21">
        <v>122.292</v>
      </c>
      <c r="Q333" s="21">
        <v>-1.6491700000000001E-2</v>
      </c>
      <c r="R333" s="21">
        <v>323</v>
      </c>
      <c r="S333" s="21">
        <v>1.5261800000000001</v>
      </c>
      <c r="T333">
        <f t="shared" si="62"/>
        <v>16.491700000000002</v>
      </c>
      <c r="U333">
        <f t="shared" si="63"/>
        <v>25.174415133</v>
      </c>
      <c r="X333" s="9"/>
      <c r="Y333" s="21">
        <v>0.123596</v>
      </c>
      <c r="Z333" s="21">
        <v>189.96700000000001</v>
      </c>
      <c r="AA333" s="21">
        <v>-1.8084699999999999E-2</v>
      </c>
      <c r="AB333" s="21">
        <v>323</v>
      </c>
      <c r="AC333" s="21">
        <v>0.122894</v>
      </c>
      <c r="AD333">
        <f t="shared" si="64"/>
        <v>18.084699999999998</v>
      </c>
      <c r="AE333">
        <f t="shared" si="65"/>
        <v>2.2351965811999999</v>
      </c>
      <c r="AF333" s="9"/>
      <c r="AG333" s="21">
        <v>1.5264899999999999</v>
      </c>
      <c r="AH333" s="21">
        <v>256.512</v>
      </c>
      <c r="AI333" s="21">
        <v>-1.6436800000000001E-2</v>
      </c>
      <c r="AJ333" s="21">
        <v>323</v>
      </c>
      <c r="AK333" s="21">
        <v>1.5258799999999999</v>
      </c>
      <c r="AL333">
        <f t="shared" si="66"/>
        <v>16.436800000000002</v>
      </c>
      <c r="AM333">
        <f t="shared" si="67"/>
        <v>25.090610831999999</v>
      </c>
      <c r="AP333" s="9"/>
      <c r="AQ333" s="21">
        <v>0.123596</v>
      </c>
      <c r="AR333" s="21">
        <v>314.21699999999998</v>
      </c>
      <c r="AS333" s="21">
        <v>-1.8072499999999998E-2</v>
      </c>
      <c r="AT333" s="21">
        <v>323</v>
      </c>
      <c r="AU333" s="21">
        <v>0.12265</v>
      </c>
      <c r="AV333">
        <f t="shared" si="68"/>
        <v>18.072499999999998</v>
      </c>
      <c r="AW333">
        <f t="shared" si="69"/>
        <v>2.2336887099999996</v>
      </c>
      <c r="AX333" s="9"/>
      <c r="AY333" s="21">
        <v>1.5264899999999999</v>
      </c>
      <c r="AZ333" s="21">
        <v>384.64699999999999</v>
      </c>
      <c r="BA333" s="21">
        <v>-1.63727E-2</v>
      </c>
      <c r="BB333" s="21">
        <v>323</v>
      </c>
      <c r="BC333" s="21">
        <v>1.5264899999999999</v>
      </c>
      <c r="BD333">
        <f t="shared" si="70"/>
        <v>16.372700000000002</v>
      </c>
      <c r="BE333">
        <f t="shared" si="71"/>
        <v>24.992762823</v>
      </c>
    </row>
    <row r="334" spans="6:57" x14ac:dyDescent="0.25">
      <c r="F334" s="9"/>
      <c r="G334" s="21">
        <v>0.118561</v>
      </c>
      <c r="H334" s="21">
        <v>50.632599999999996</v>
      </c>
      <c r="I334" s="21">
        <v>-1.81061E-2</v>
      </c>
      <c r="J334" s="21">
        <v>324</v>
      </c>
      <c r="K334" s="21">
        <v>0.118073</v>
      </c>
      <c r="L334">
        <f t="shared" si="60"/>
        <v>18.106100000000001</v>
      </c>
      <c r="M334">
        <f t="shared" si="61"/>
        <v>2.1466773221</v>
      </c>
      <c r="N334" s="9"/>
      <c r="O334" s="21">
        <v>1.53152</v>
      </c>
      <c r="P334" s="21">
        <v>122.393</v>
      </c>
      <c r="Q334" s="21">
        <v>-1.6424600000000001E-2</v>
      </c>
      <c r="R334" s="21">
        <v>324</v>
      </c>
      <c r="S334" s="21">
        <v>1.5304599999999999</v>
      </c>
      <c r="T334">
        <f t="shared" si="62"/>
        <v>16.424600000000002</v>
      </c>
      <c r="U334">
        <f t="shared" si="63"/>
        <v>25.154603392000002</v>
      </c>
      <c r="X334" s="9"/>
      <c r="Y334" s="21">
        <v>0.118561</v>
      </c>
      <c r="Z334" s="21">
        <v>190.06800000000001</v>
      </c>
      <c r="AA334" s="21">
        <v>-1.80939E-2</v>
      </c>
      <c r="AB334" s="21">
        <v>324</v>
      </c>
      <c r="AC334" s="21">
        <v>0.118591</v>
      </c>
      <c r="AD334">
        <f t="shared" si="64"/>
        <v>18.093899999999998</v>
      </c>
      <c r="AE334">
        <f t="shared" si="65"/>
        <v>2.1452308778999996</v>
      </c>
      <c r="AF334" s="9"/>
      <c r="AG334" s="21">
        <v>1.53152</v>
      </c>
      <c r="AH334" s="21">
        <v>256.613</v>
      </c>
      <c r="AI334" s="21">
        <v>-1.6342200000000001E-2</v>
      </c>
      <c r="AJ334" s="21">
        <v>324</v>
      </c>
      <c r="AK334" s="21">
        <v>1.5307599999999999</v>
      </c>
      <c r="AL334">
        <f t="shared" si="66"/>
        <v>16.342200000000002</v>
      </c>
      <c r="AM334">
        <f t="shared" si="67"/>
        <v>25.028406144000002</v>
      </c>
      <c r="AP334" s="9"/>
      <c r="AQ334" s="21">
        <v>0.118561</v>
      </c>
      <c r="AR334" s="21">
        <v>314.31799999999998</v>
      </c>
      <c r="AS334" s="21">
        <v>-1.80786E-2</v>
      </c>
      <c r="AT334" s="21">
        <v>324</v>
      </c>
      <c r="AU334" s="21">
        <v>0.11831700000000001</v>
      </c>
      <c r="AV334">
        <f t="shared" si="68"/>
        <v>18.078600000000002</v>
      </c>
      <c r="AW334">
        <f t="shared" si="69"/>
        <v>2.1434168946000001</v>
      </c>
      <c r="AX334" s="9"/>
      <c r="AY334" s="21">
        <v>1.53152</v>
      </c>
      <c r="AZ334" s="21">
        <v>384.74799999999999</v>
      </c>
      <c r="BA334" s="21">
        <v>-1.6305500000000001E-2</v>
      </c>
      <c r="BB334" s="21">
        <v>324</v>
      </c>
      <c r="BC334" s="21">
        <v>1.5307599999999999</v>
      </c>
      <c r="BD334">
        <f t="shared" si="70"/>
        <v>16.305500000000002</v>
      </c>
      <c r="BE334">
        <f t="shared" si="71"/>
        <v>24.972199360000005</v>
      </c>
    </row>
    <row r="335" spans="6:57" x14ac:dyDescent="0.25">
      <c r="F335" s="9"/>
      <c r="G335" s="21">
        <v>0.113525</v>
      </c>
      <c r="H335" s="21">
        <v>50.7333</v>
      </c>
      <c r="I335" s="21">
        <v>-1.8115200000000001E-2</v>
      </c>
      <c r="J335" s="21">
        <v>325</v>
      </c>
      <c r="K335" s="21">
        <v>0.113312</v>
      </c>
      <c r="L335">
        <f t="shared" si="60"/>
        <v>18.115200000000002</v>
      </c>
      <c r="M335">
        <f t="shared" si="61"/>
        <v>2.0565280800000001</v>
      </c>
      <c r="N335" s="9"/>
      <c r="O335" s="21">
        <v>1.5365599999999999</v>
      </c>
      <c r="P335" s="21">
        <v>122.49299999999999</v>
      </c>
      <c r="Q335" s="21">
        <v>-1.6342200000000001E-2</v>
      </c>
      <c r="R335" s="21">
        <v>325</v>
      </c>
      <c r="S335" s="21">
        <v>1.5362499999999999</v>
      </c>
      <c r="T335">
        <f t="shared" si="62"/>
        <v>16.342200000000002</v>
      </c>
      <c r="U335">
        <f t="shared" si="63"/>
        <v>25.110770832</v>
      </c>
      <c r="X335" s="9"/>
      <c r="Y335" s="21">
        <v>0.113525</v>
      </c>
      <c r="Z335" s="21">
        <v>190.16900000000001</v>
      </c>
      <c r="AA335" s="21">
        <v>-1.8096899999999999E-2</v>
      </c>
      <c r="AB335" s="21">
        <v>325</v>
      </c>
      <c r="AC335" s="21">
        <v>0.11319</v>
      </c>
      <c r="AD335">
        <f t="shared" si="64"/>
        <v>18.096899999999998</v>
      </c>
      <c r="AE335">
        <f t="shared" si="65"/>
        <v>2.0544505725</v>
      </c>
      <c r="AF335" s="9"/>
      <c r="AG335" s="21">
        <v>1.5365599999999999</v>
      </c>
      <c r="AH335" s="21">
        <v>256.714</v>
      </c>
      <c r="AI335" s="21">
        <v>-1.6256699999999999E-2</v>
      </c>
      <c r="AJ335" s="21">
        <v>325</v>
      </c>
      <c r="AK335" s="21">
        <v>1.5362499999999999</v>
      </c>
      <c r="AL335">
        <f t="shared" si="66"/>
        <v>16.256699999999999</v>
      </c>
      <c r="AM335">
        <f t="shared" si="67"/>
        <v>24.979394951999996</v>
      </c>
      <c r="AP335" s="9"/>
      <c r="AQ335" s="21">
        <v>0.113525</v>
      </c>
      <c r="AR335" s="21">
        <v>314.41800000000001</v>
      </c>
      <c r="AS335" s="21">
        <v>-1.80786E-2</v>
      </c>
      <c r="AT335" s="21">
        <v>325</v>
      </c>
      <c r="AU335" s="21">
        <v>0.113373</v>
      </c>
      <c r="AV335">
        <f t="shared" si="68"/>
        <v>18.078600000000002</v>
      </c>
      <c r="AW335">
        <f t="shared" si="69"/>
        <v>2.0523730650000003</v>
      </c>
      <c r="AX335" s="9"/>
      <c r="AY335" s="21">
        <v>1.5365599999999999</v>
      </c>
      <c r="AZ335" s="21">
        <v>384.84899999999999</v>
      </c>
      <c r="BA335" s="21">
        <v>-1.6220100000000001E-2</v>
      </c>
      <c r="BB335" s="21">
        <v>325</v>
      </c>
      <c r="BC335" s="21">
        <v>1.5356399999999999</v>
      </c>
      <c r="BD335">
        <f t="shared" si="70"/>
        <v>16.220100000000002</v>
      </c>
      <c r="BE335">
        <f t="shared" si="71"/>
        <v>24.923156856000002</v>
      </c>
    </row>
    <row r="336" spans="6:57" x14ac:dyDescent="0.25">
      <c r="F336" s="9"/>
      <c r="G336" s="21">
        <v>0.10849</v>
      </c>
      <c r="H336" s="21">
        <v>50.834000000000003</v>
      </c>
      <c r="I336" s="21">
        <v>-1.8124399999999999E-2</v>
      </c>
      <c r="J336" s="21">
        <v>326</v>
      </c>
      <c r="K336" s="21">
        <v>0.10791000000000001</v>
      </c>
      <c r="L336">
        <f t="shared" si="60"/>
        <v>18.124399999999998</v>
      </c>
      <c r="M336">
        <f t="shared" si="61"/>
        <v>1.9663161559999998</v>
      </c>
      <c r="N336" s="9"/>
      <c r="O336" s="21">
        <v>1.5416000000000001</v>
      </c>
      <c r="P336" s="21">
        <v>122.59399999999999</v>
      </c>
      <c r="Q336" s="21">
        <v>-1.6262800000000001E-2</v>
      </c>
      <c r="R336" s="21">
        <v>326</v>
      </c>
      <c r="S336" s="21">
        <v>1.5408299999999999</v>
      </c>
      <c r="T336">
        <f t="shared" si="62"/>
        <v>16.262800000000002</v>
      </c>
      <c r="U336">
        <f t="shared" si="63"/>
        <v>25.070732480000004</v>
      </c>
      <c r="X336" s="9"/>
      <c r="Y336" s="21">
        <v>0.10849</v>
      </c>
      <c r="Z336" s="21">
        <v>190.26900000000001</v>
      </c>
      <c r="AA336" s="21">
        <v>-1.8096899999999999E-2</v>
      </c>
      <c r="AB336" s="21">
        <v>326</v>
      </c>
      <c r="AC336" s="21">
        <v>0.10821500000000001</v>
      </c>
      <c r="AD336">
        <f t="shared" si="64"/>
        <v>18.096899999999998</v>
      </c>
      <c r="AE336">
        <f t="shared" si="65"/>
        <v>1.9633326809999998</v>
      </c>
      <c r="AF336" s="9"/>
      <c r="AG336" s="21">
        <v>1.5416000000000001</v>
      </c>
      <c r="AH336" s="21">
        <v>256.81400000000002</v>
      </c>
      <c r="AI336" s="21">
        <v>-1.61713E-2</v>
      </c>
      <c r="AJ336" s="21">
        <v>326</v>
      </c>
      <c r="AK336" s="21">
        <v>1.5414399999999999</v>
      </c>
      <c r="AL336">
        <f t="shared" si="66"/>
        <v>16.171299999999999</v>
      </c>
      <c r="AM336">
        <f t="shared" si="67"/>
        <v>24.92967608</v>
      </c>
      <c r="AP336" s="9"/>
      <c r="AQ336" s="21">
        <v>0.10849</v>
      </c>
      <c r="AR336" s="21">
        <v>314.51900000000001</v>
      </c>
      <c r="AS336" s="21">
        <v>-1.8084699999999999E-2</v>
      </c>
      <c r="AT336" s="21">
        <v>326</v>
      </c>
      <c r="AU336" s="21">
        <v>0.108124</v>
      </c>
      <c r="AV336">
        <f t="shared" si="68"/>
        <v>18.084699999999998</v>
      </c>
      <c r="AW336">
        <f t="shared" si="69"/>
        <v>1.9620091029999998</v>
      </c>
      <c r="AX336" s="9"/>
      <c r="AY336" s="21">
        <v>1.5416000000000001</v>
      </c>
      <c r="AZ336" s="21">
        <v>384.94900000000001</v>
      </c>
      <c r="BA336" s="21">
        <v>-1.61285E-2</v>
      </c>
      <c r="BB336" s="21">
        <v>326</v>
      </c>
      <c r="BC336" s="21">
        <v>1.54114</v>
      </c>
      <c r="BD336">
        <f t="shared" si="70"/>
        <v>16.128499999999999</v>
      </c>
      <c r="BE336">
        <f t="shared" si="71"/>
        <v>24.8636956</v>
      </c>
    </row>
    <row r="337" spans="6:57" x14ac:dyDescent="0.25">
      <c r="F337" s="9"/>
      <c r="G337" s="21">
        <v>0.10345500000000001</v>
      </c>
      <c r="H337" s="21">
        <v>50.934699999999999</v>
      </c>
      <c r="I337" s="21">
        <v>-1.8124399999999999E-2</v>
      </c>
      <c r="J337" s="21">
        <v>327</v>
      </c>
      <c r="K337" s="21">
        <v>0.102448</v>
      </c>
      <c r="L337">
        <f t="shared" si="60"/>
        <v>18.124399999999998</v>
      </c>
      <c r="M337">
        <f t="shared" si="61"/>
        <v>1.8750598019999998</v>
      </c>
      <c r="N337" s="9"/>
      <c r="O337" s="21">
        <v>1.5466299999999999</v>
      </c>
      <c r="P337" s="21">
        <v>122.69499999999999</v>
      </c>
      <c r="Q337" s="21">
        <v>-1.61713E-2</v>
      </c>
      <c r="R337" s="21">
        <v>327</v>
      </c>
      <c r="S337" s="21">
        <v>1.54633</v>
      </c>
      <c r="T337">
        <f t="shared" si="62"/>
        <v>16.171299999999999</v>
      </c>
      <c r="U337">
        <f t="shared" si="63"/>
        <v>25.011017718999998</v>
      </c>
      <c r="X337" s="9"/>
      <c r="Y337" s="21">
        <v>0.10345500000000001</v>
      </c>
      <c r="Z337" s="21">
        <v>190.37</v>
      </c>
      <c r="AA337" s="21">
        <v>-1.81061E-2</v>
      </c>
      <c r="AB337" s="21">
        <v>327</v>
      </c>
      <c r="AC337" s="21">
        <v>0.103241</v>
      </c>
      <c r="AD337">
        <f t="shared" si="64"/>
        <v>18.106100000000001</v>
      </c>
      <c r="AE337">
        <f t="shared" si="65"/>
        <v>1.8731665755000002</v>
      </c>
      <c r="AF337" s="9"/>
      <c r="AG337" s="21">
        <v>1.5466299999999999</v>
      </c>
      <c r="AH337" s="21">
        <v>256.91500000000002</v>
      </c>
      <c r="AI337" s="21">
        <v>-1.6085800000000001E-2</v>
      </c>
      <c r="AJ337" s="21">
        <v>327</v>
      </c>
      <c r="AK337" s="21">
        <v>1.5460199999999999</v>
      </c>
      <c r="AL337">
        <f t="shared" si="66"/>
        <v>16.085800000000003</v>
      </c>
      <c r="AM337">
        <f t="shared" si="67"/>
        <v>24.878780854000002</v>
      </c>
      <c r="AP337" s="9"/>
      <c r="AQ337" s="21">
        <v>0.10345500000000001</v>
      </c>
      <c r="AR337" s="21">
        <v>314.62</v>
      </c>
      <c r="AS337" s="21">
        <v>-1.80939E-2</v>
      </c>
      <c r="AT337" s="21">
        <v>327</v>
      </c>
      <c r="AU337" s="21">
        <v>0.103119</v>
      </c>
      <c r="AV337">
        <f t="shared" si="68"/>
        <v>18.093899999999998</v>
      </c>
      <c r="AW337">
        <f t="shared" si="69"/>
        <v>1.8719044244999998</v>
      </c>
      <c r="AX337" s="9"/>
      <c r="AY337" s="21">
        <v>1.5466299999999999</v>
      </c>
      <c r="AZ337" s="21">
        <v>385.05</v>
      </c>
      <c r="BA337" s="21">
        <v>-1.6024799999999999E-2</v>
      </c>
      <c r="BB337" s="21">
        <v>327</v>
      </c>
      <c r="BC337" s="21">
        <v>1.5460199999999999</v>
      </c>
      <c r="BD337">
        <f t="shared" si="70"/>
        <v>16.024799999999999</v>
      </c>
      <c r="BE337">
        <f t="shared" si="71"/>
        <v>24.784436423999999</v>
      </c>
    </row>
    <row r="338" spans="6:57" x14ac:dyDescent="0.25">
      <c r="F338" s="9"/>
      <c r="G338" s="21">
        <v>9.8419199999999998E-2</v>
      </c>
      <c r="H338" s="21">
        <v>51.035400000000003</v>
      </c>
      <c r="I338" s="21">
        <v>-1.8127399999999998E-2</v>
      </c>
      <c r="J338" s="21">
        <v>328</v>
      </c>
      <c r="K338" s="21">
        <v>9.8114000000000007E-2</v>
      </c>
      <c r="L338">
        <f t="shared" si="60"/>
        <v>18.127399999999998</v>
      </c>
      <c r="M338">
        <f t="shared" si="61"/>
        <v>1.7840842060799997</v>
      </c>
      <c r="N338" s="9"/>
      <c r="O338" s="21">
        <v>1.5516700000000001</v>
      </c>
      <c r="P338" s="21">
        <v>122.79600000000001</v>
      </c>
      <c r="Q338" s="21">
        <v>-1.6070600000000001E-2</v>
      </c>
      <c r="R338" s="21">
        <v>328</v>
      </c>
      <c r="S338" s="21">
        <v>1.5515099999999999</v>
      </c>
      <c r="T338">
        <f t="shared" si="62"/>
        <v>16.070600000000002</v>
      </c>
      <c r="U338">
        <f t="shared" si="63"/>
        <v>24.936267902000004</v>
      </c>
      <c r="X338" s="9"/>
      <c r="Y338" s="21">
        <v>9.8419199999999998E-2</v>
      </c>
      <c r="Z338" s="21">
        <v>190.471</v>
      </c>
      <c r="AA338" s="21">
        <v>-1.8103000000000001E-2</v>
      </c>
      <c r="AB338" s="21">
        <v>328</v>
      </c>
      <c r="AC338" s="21">
        <v>9.8083500000000004E-2</v>
      </c>
      <c r="AD338">
        <f t="shared" si="64"/>
        <v>18.103000000000002</v>
      </c>
      <c r="AE338">
        <f t="shared" si="65"/>
        <v>1.7816827776000002</v>
      </c>
      <c r="AF338" s="9"/>
      <c r="AG338" s="21">
        <v>1.5516700000000001</v>
      </c>
      <c r="AH338" s="21">
        <v>257.01600000000002</v>
      </c>
      <c r="AI338" s="21">
        <v>-1.5972900000000002E-2</v>
      </c>
      <c r="AJ338" s="21">
        <v>328</v>
      </c>
      <c r="AK338" s="21">
        <v>1.5508999999999999</v>
      </c>
      <c r="AL338">
        <f t="shared" si="66"/>
        <v>15.972900000000001</v>
      </c>
      <c r="AM338">
        <f t="shared" si="67"/>
        <v>24.784669743000002</v>
      </c>
      <c r="AP338" s="9"/>
      <c r="AQ338" s="21">
        <v>9.8419199999999998E-2</v>
      </c>
      <c r="AR338" s="21">
        <v>314.721</v>
      </c>
      <c r="AS338" s="21">
        <v>-1.8087800000000001E-2</v>
      </c>
      <c r="AT338" s="21">
        <v>328</v>
      </c>
      <c r="AU338" s="21">
        <v>9.7900399999999999E-2</v>
      </c>
      <c r="AV338">
        <f t="shared" si="68"/>
        <v>18.087800000000001</v>
      </c>
      <c r="AW338">
        <f t="shared" si="69"/>
        <v>1.7801868057600001</v>
      </c>
      <c r="AX338" s="9"/>
      <c r="AY338" s="21">
        <v>1.5516700000000001</v>
      </c>
      <c r="AZ338" s="21">
        <v>385.15100000000001</v>
      </c>
      <c r="BA338" s="21">
        <v>-1.5921000000000001E-2</v>
      </c>
      <c r="BB338" s="21">
        <v>328</v>
      </c>
      <c r="BC338" s="21">
        <v>1.5515099999999999</v>
      </c>
      <c r="BD338">
        <f t="shared" si="70"/>
        <v>15.921000000000001</v>
      </c>
      <c r="BE338">
        <f t="shared" si="71"/>
        <v>24.704138070000003</v>
      </c>
    </row>
    <row r="339" spans="6:57" x14ac:dyDescent="0.25">
      <c r="F339" s="9"/>
      <c r="G339" s="21">
        <v>9.3383800000000003E-2</v>
      </c>
      <c r="H339" s="21">
        <v>51.136099999999999</v>
      </c>
      <c r="I339" s="21">
        <v>-1.8130500000000001E-2</v>
      </c>
      <c r="J339" s="21">
        <v>329</v>
      </c>
      <c r="K339" s="21">
        <v>9.2956499999999997E-2</v>
      </c>
      <c r="L339">
        <f t="shared" si="60"/>
        <v>18.130500000000001</v>
      </c>
      <c r="M339">
        <f t="shared" si="61"/>
        <v>1.6930949859000002</v>
      </c>
      <c r="N339" s="9"/>
      <c r="O339" s="21">
        <v>1.5567</v>
      </c>
      <c r="P339" s="21">
        <v>122.896</v>
      </c>
      <c r="Q339" s="21">
        <v>-1.5969799999999999E-2</v>
      </c>
      <c r="R339" s="21">
        <v>329</v>
      </c>
      <c r="S339" s="21">
        <v>1.55609</v>
      </c>
      <c r="T339">
        <f t="shared" si="62"/>
        <v>15.969799999999999</v>
      </c>
      <c r="U339">
        <f t="shared" si="63"/>
        <v>24.860187659999998</v>
      </c>
      <c r="X339" s="9"/>
      <c r="Y339" s="21">
        <v>9.3383800000000003E-2</v>
      </c>
      <c r="Z339" s="21">
        <v>190.571</v>
      </c>
      <c r="AA339" s="21">
        <v>-1.81061E-2</v>
      </c>
      <c r="AB339" s="21">
        <v>329</v>
      </c>
      <c r="AC339" s="21">
        <v>9.2620800000000003E-2</v>
      </c>
      <c r="AD339">
        <f t="shared" si="64"/>
        <v>18.106100000000001</v>
      </c>
      <c r="AE339">
        <f t="shared" si="65"/>
        <v>1.6908164211800001</v>
      </c>
      <c r="AF339" s="9"/>
      <c r="AG339" s="21">
        <v>1.5567</v>
      </c>
      <c r="AH339" s="21">
        <v>257.11599999999999</v>
      </c>
      <c r="AI339" s="21">
        <v>-1.5853900000000001E-2</v>
      </c>
      <c r="AJ339" s="21">
        <v>329</v>
      </c>
      <c r="AK339" s="21">
        <v>1.55579</v>
      </c>
      <c r="AL339">
        <f t="shared" si="66"/>
        <v>15.853900000000001</v>
      </c>
      <c r="AM339">
        <f t="shared" si="67"/>
        <v>24.679766130000001</v>
      </c>
      <c r="AP339" s="9"/>
      <c r="AQ339" s="21">
        <v>9.3383800000000003E-2</v>
      </c>
      <c r="AR339" s="21">
        <v>314.82100000000003</v>
      </c>
      <c r="AS339" s="21">
        <v>-1.8090800000000001E-2</v>
      </c>
      <c r="AT339" s="21">
        <v>329</v>
      </c>
      <c r="AU339" s="21">
        <v>9.3078599999999997E-2</v>
      </c>
      <c r="AV339">
        <f t="shared" si="68"/>
        <v>18.090800000000002</v>
      </c>
      <c r="AW339">
        <f t="shared" si="69"/>
        <v>1.6893876490400002</v>
      </c>
      <c r="AX339" s="9"/>
      <c r="AY339" s="21">
        <v>1.5567</v>
      </c>
      <c r="AZ339" s="21">
        <v>385.25099999999998</v>
      </c>
      <c r="BA339" s="21">
        <v>-1.5820299999999999E-2</v>
      </c>
      <c r="BB339" s="21">
        <v>329</v>
      </c>
      <c r="BC339" s="21">
        <v>1.55579</v>
      </c>
      <c r="BD339">
        <f t="shared" si="70"/>
        <v>15.8203</v>
      </c>
      <c r="BE339">
        <f t="shared" si="71"/>
        <v>24.627461009999998</v>
      </c>
    </row>
    <row r="340" spans="6:57" x14ac:dyDescent="0.25">
      <c r="F340" s="9"/>
      <c r="G340" s="21">
        <v>8.8348399999999994E-2</v>
      </c>
      <c r="H340" s="21">
        <v>51.236800000000002</v>
      </c>
      <c r="I340" s="21">
        <v>-1.8130500000000001E-2</v>
      </c>
      <c r="J340" s="21">
        <v>330</v>
      </c>
      <c r="K340" s="21">
        <v>8.8043200000000002E-2</v>
      </c>
      <c r="L340">
        <f t="shared" si="60"/>
        <v>18.130500000000001</v>
      </c>
      <c r="M340">
        <f t="shared" si="61"/>
        <v>1.6018006661999999</v>
      </c>
      <c r="N340" s="9"/>
      <c r="O340" s="21">
        <v>1.5617399999999999</v>
      </c>
      <c r="P340" s="21">
        <v>122.997</v>
      </c>
      <c r="Q340" s="21">
        <v>-1.5850800000000002E-2</v>
      </c>
      <c r="R340" s="21">
        <v>330</v>
      </c>
      <c r="S340" s="21">
        <v>1.56128</v>
      </c>
      <c r="T340">
        <f t="shared" si="62"/>
        <v>15.850800000000001</v>
      </c>
      <c r="U340">
        <f t="shared" si="63"/>
        <v>24.754828392</v>
      </c>
      <c r="X340" s="9"/>
      <c r="Y340" s="21">
        <v>8.8348399999999994E-2</v>
      </c>
      <c r="Z340" s="21">
        <v>190.672</v>
      </c>
      <c r="AA340" s="21">
        <v>-1.8112199999999998E-2</v>
      </c>
      <c r="AB340" s="21">
        <v>330</v>
      </c>
      <c r="AC340" s="21">
        <v>8.7829599999999994E-2</v>
      </c>
      <c r="AD340">
        <f t="shared" si="64"/>
        <v>18.112199999999998</v>
      </c>
      <c r="AE340">
        <f t="shared" si="65"/>
        <v>1.6001838904799996</v>
      </c>
      <c r="AF340" s="9"/>
      <c r="AG340" s="21">
        <v>1.5617399999999999</v>
      </c>
      <c r="AH340" s="21">
        <v>257.21699999999998</v>
      </c>
      <c r="AI340" s="21">
        <v>-1.5728800000000001E-2</v>
      </c>
      <c r="AJ340" s="21">
        <v>330</v>
      </c>
      <c r="AK340" s="21">
        <v>1.56128</v>
      </c>
      <c r="AL340">
        <f t="shared" si="66"/>
        <v>15.728800000000001</v>
      </c>
      <c r="AM340">
        <f t="shared" si="67"/>
        <v>24.564296112000001</v>
      </c>
      <c r="AP340" s="9"/>
      <c r="AQ340" s="21">
        <v>8.8348399999999994E-2</v>
      </c>
      <c r="AR340" s="21">
        <v>314.92200000000003</v>
      </c>
      <c r="AS340" s="21">
        <v>-1.8090800000000001E-2</v>
      </c>
      <c r="AT340" s="21">
        <v>330</v>
      </c>
      <c r="AU340" s="21">
        <v>8.7829599999999994E-2</v>
      </c>
      <c r="AV340">
        <f t="shared" si="68"/>
        <v>18.090800000000002</v>
      </c>
      <c r="AW340">
        <f t="shared" si="69"/>
        <v>1.5982932347200001</v>
      </c>
      <c r="AX340" s="9"/>
      <c r="AY340" s="21">
        <v>1.5617399999999999</v>
      </c>
      <c r="AZ340" s="21">
        <v>385.35199999999998</v>
      </c>
      <c r="BA340" s="21">
        <v>-1.5698199999999999E-2</v>
      </c>
      <c r="BB340" s="21">
        <v>330</v>
      </c>
      <c r="BC340" s="21">
        <v>1.56128</v>
      </c>
      <c r="BD340">
        <f t="shared" si="70"/>
        <v>15.698199999999998</v>
      </c>
      <c r="BE340">
        <f t="shared" si="71"/>
        <v>24.516506867999997</v>
      </c>
    </row>
    <row r="341" spans="6:57" x14ac:dyDescent="0.25">
      <c r="F341" s="9"/>
      <c r="G341" s="21">
        <v>8.3312999999999998E-2</v>
      </c>
      <c r="H341" s="21">
        <v>51.337499999999999</v>
      </c>
      <c r="I341" s="21">
        <v>-1.8130500000000001E-2</v>
      </c>
      <c r="J341" s="21">
        <v>331</v>
      </c>
      <c r="K341" s="21">
        <v>8.3068799999999998E-2</v>
      </c>
      <c r="L341">
        <f t="shared" si="60"/>
        <v>18.130500000000001</v>
      </c>
      <c r="M341">
        <f t="shared" si="61"/>
        <v>1.5105063465000002</v>
      </c>
      <c r="N341" s="9"/>
      <c r="O341" s="21">
        <v>1.56677</v>
      </c>
      <c r="P341" s="21">
        <v>123.098</v>
      </c>
      <c r="Q341" s="21">
        <v>-1.5731800000000001E-2</v>
      </c>
      <c r="R341" s="21">
        <v>331</v>
      </c>
      <c r="S341" s="21">
        <v>1.56616</v>
      </c>
      <c r="T341">
        <f t="shared" si="62"/>
        <v>15.7318</v>
      </c>
      <c r="U341">
        <f t="shared" si="63"/>
        <v>24.648112286</v>
      </c>
      <c r="X341" s="9"/>
      <c r="Y341" s="21">
        <v>8.3312999999999998E-2</v>
      </c>
      <c r="Z341" s="21">
        <v>190.773</v>
      </c>
      <c r="AA341" s="21">
        <v>-1.8115200000000001E-2</v>
      </c>
      <c r="AB341" s="21">
        <v>331</v>
      </c>
      <c r="AC341" s="21">
        <v>8.2855200000000004E-2</v>
      </c>
      <c r="AD341">
        <f t="shared" si="64"/>
        <v>18.115200000000002</v>
      </c>
      <c r="AE341">
        <f t="shared" si="65"/>
        <v>1.5092316576</v>
      </c>
      <c r="AF341" s="9"/>
      <c r="AG341" s="21">
        <v>1.56677</v>
      </c>
      <c r="AH341" s="21">
        <v>257.31799999999998</v>
      </c>
      <c r="AI341" s="21">
        <v>-1.5594500000000001E-2</v>
      </c>
      <c r="AJ341" s="21">
        <v>331</v>
      </c>
      <c r="AK341" s="21">
        <v>1.56586</v>
      </c>
      <c r="AL341">
        <f t="shared" si="66"/>
        <v>15.5945</v>
      </c>
      <c r="AM341">
        <f t="shared" si="67"/>
        <v>24.432994765</v>
      </c>
      <c r="AP341" s="9"/>
      <c r="AQ341" s="21">
        <v>8.3312999999999998E-2</v>
      </c>
      <c r="AR341" s="21">
        <v>315.02300000000002</v>
      </c>
      <c r="AS341" s="21">
        <v>-1.8100000000000002E-2</v>
      </c>
      <c r="AT341" s="21">
        <v>331</v>
      </c>
      <c r="AU341" s="21">
        <v>8.2885700000000007E-2</v>
      </c>
      <c r="AV341">
        <f t="shared" si="68"/>
        <v>18.100000000000001</v>
      </c>
      <c r="AW341">
        <f t="shared" si="69"/>
        <v>1.5079653000000002</v>
      </c>
      <c r="AX341" s="9"/>
      <c r="AY341" s="21">
        <v>1.56677</v>
      </c>
      <c r="AZ341" s="21">
        <v>385.45299999999997</v>
      </c>
      <c r="BA341" s="21">
        <v>-1.5554800000000001E-2</v>
      </c>
      <c r="BB341" s="21">
        <v>331</v>
      </c>
      <c r="BC341" s="21">
        <v>1.56616</v>
      </c>
      <c r="BD341">
        <f t="shared" si="70"/>
        <v>15.5548</v>
      </c>
      <c r="BE341">
        <f t="shared" si="71"/>
        <v>24.370793996</v>
      </c>
    </row>
    <row r="342" spans="6:57" x14ac:dyDescent="0.25">
      <c r="F342" s="9"/>
      <c r="G342" s="21">
        <v>7.8277600000000003E-2</v>
      </c>
      <c r="H342" s="21">
        <v>51.438299999999998</v>
      </c>
      <c r="I342" s="21">
        <v>-1.8142700000000001E-2</v>
      </c>
      <c r="J342" s="21">
        <v>332</v>
      </c>
      <c r="K342" s="21">
        <v>7.7941899999999995E-2</v>
      </c>
      <c r="L342">
        <f t="shared" si="60"/>
        <v>18.142700000000001</v>
      </c>
      <c r="M342">
        <f t="shared" si="61"/>
        <v>1.4201670135200002</v>
      </c>
      <c r="N342" s="9"/>
      <c r="O342" s="21">
        <v>1.5718099999999999</v>
      </c>
      <c r="P342" s="21">
        <v>123.19799999999999</v>
      </c>
      <c r="Q342" s="21">
        <v>-1.55914E-2</v>
      </c>
      <c r="R342" s="21">
        <v>332</v>
      </c>
      <c r="S342" s="21">
        <v>1.57074</v>
      </c>
      <c r="T342">
        <f t="shared" si="62"/>
        <v>15.5914</v>
      </c>
      <c r="U342">
        <f t="shared" si="63"/>
        <v>24.506718434</v>
      </c>
      <c r="X342" s="9"/>
      <c r="Y342" s="21">
        <v>7.8277600000000003E-2</v>
      </c>
      <c r="Z342" s="21">
        <v>190.87299999999999</v>
      </c>
      <c r="AA342" s="21">
        <v>-1.8115200000000001E-2</v>
      </c>
      <c r="AB342" s="21">
        <v>332</v>
      </c>
      <c r="AC342" s="21">
        <v>7.8430200000000005E-2</v>
      </c>
      <c r="AD342">
        <f t="shared" si="64"/>
        <v>18.115200000000002</v>
      </c>
      <c r="AE342">
        <f t="shared" si="65"/>
        <v>1.4180143795200002</v>
      </c>
      <c r="AF342" s="9"/>
      <c r="AG342" s="21">
        <v>1.5718099999999999</v>
      </c>
      <c r="AH342" s="21">
        <v>257.41899999999998</v>
      </c>
      <c r="AI342" s="21">
        <v>-1.54602E-2</v>
      </c>
      <c r="AJ342" s="21">
        <v>332</v>
      </c>
      <c r="AK342" s="21">
        <v>1.57135</v>
      </c>
      <c r="AL342">
        <f t="shared" si="66"/>
        <v>15.4602</v>
      </c>
      <c r="AM342">
        <f t="shared" si="67"/>
        <v>24.300496962</v>
      </c>
      <c r="AP342" s="9"/>
      <c r="AQ342" s="21">
        <v>7.8277600000000003E-2</v>
      </c>
      <c r="AR342" s="21">
        <v>315.12299999999999</v>
      </c>
      <c r="AS342" s="21">
        <v>-1.8103000000000001E-2</v>
      </c>
      <c r="AT342" s="21">
        <v>332</v>
      </c>
      <c r="AU342" s="21">
        <v>7.7880900000000003E-2</v>
      </c>
      <c r="AV342">
        <f t="shared" si="68"/>
        <v>18.103000000000002</v>
      </c>
      <c r="AW342">
        <f t="shared" si="69"/>
        <v>1.4170593928000002</v>
      </c>
      <c r="AX342" s="9"/>
      <c r="AY342" s="21">
        <v>1.5718099999999999</v>
      </c>
      <c r="AZ342" s="21">
        <v>385.55399999999997</v>
      </c>
      <c r="BA342" s="21">
        <v>-1.54266E-2</v>
      </c>
      <c r="BB342" s="21">
        <v>332</v>
      </c>
      <c r="BC342" s="21">
        <v>1.57135</v>
      </c>
      <c r="BD342">
        <f t="shared" si="70"/>
        <v>15.426600000000001</v>
      </c>
      <c r="BE342">
        <f t="shared" si="71"/>
        <v>24.247684146000001</v>
      </c>
    </row>
    <row r="343" spans="6:57" x14ac:dyDescent="0.25">
      <c r="F343" s="9"/>
      <c r="G343" s="21">
        <v>7.3242199999999993E-2</v>
      </c>
      <c r="H343" s="21">
        <v>51.539000000000001</v>
      </c>
      <c r="I343" s="21">
        <v>-1.8142700000000001E-2</v>
      </c>
      <c r="J343" s="21">
        <v>333</v>
      </c>
      <c r="K343" s="21">
        <v>7.2601299999999994E-2</v>
      </c>
      <c r="L343">
        <f t="shared" si="60"/>
        <v>18.142700000000001</v>
      </c>
      <c r="M343">
        <f t="shared" si="61"/>
        <v>1.3288112619399999</v>
      </c>
      <c r="N343" s="9"/>
      <c r="O343" s="21">
        <v>1.57684</v>
      </c>
      <c r="P343" s="21">
        <v>123.29900000000001</v>
      </c>
      <c r="Q343" s="21">
        <v>-1.5450999999999999E-2</v>
      </c>
      <c r="R343" s="21">
        <v>333</v>
      </c>
      <c r="S343" s="21">
        <v>1.57623</v>
      </c>
      <c r="T343">
        <f t="shared" si="62"/>
        <v>15.450999999999999</v>
      </c>
      <c r="U343">
        <f t="shared" si="63"/>
        <v>24.363754839999999</v>
      </c>
      <c r="X343" s="9"/>
      <c r="Y343" s="21">
        <v>7.3242199999999993E-2</v>
      </c>
      <c r="Z343" s="21">
        <v>190.97399999999999</v>
      </c>
      <c r="AA343" s="21">
        <v>-1.81183E-2</v>
      </c>
      <c r="AB343" s="21">
        <v>333</v>
      </c>
      <c r="AC343" s="21">
        <v>7.2143600000000002E-2</v>
      </c>
      <c r="AD343">
        <f t="shared" si="64"/>
        <v>18.118300000000001</v>
      </c>
      <c r="AE343">
        <f t="shared" si="65"/>
        <v>1.3270241522599999</v>
      </c>
      <c r="AF343" s="9"/>
      <c r="AG343" s="21">
        <v>1.57684</v>
      </c>
      <c r="AH343" s="21">
        <v>257.51900000000001</v>
      </c>
      <c r="AI343" s="21">
        <v>-1.53107E-2</v>
      </c>
      <c r="AJ343" s="21">
        <v>333</v>
      </c>
      <c r="AK343" s="21">
        <v>1.57562</v>
      </c>
      <c r="AL343">
        <f t="shared" si="66"/>
        <v>15.310700000000001</v>
      </c>
      <c r="AM343">
        <f t="shared" si="67"/>
        <v>24.142524188000003</v>
      </c>
      <c r="AP343" s="9"/>
      <c r="AQ343" s="21">
        <v>7.3242199999999993E-2</v>
      </c>
      <c r="AR343" s="21">
        <v>315.22399999999999</v>
      </c>
      <c r="AS343" s="21">
        <v>-1.8103000000000001E-2</v>
      </c>
      <c r="AT343" s="21">
        <v>333</v>
      </c>
      <c r="AU343" s="21">
        <v>7.2906499999999999E-2</v>
      </c>
      <c r="AV343">
        <f t="shared" si="68"/>
        <v>18.103000000000002</v>
      </c>
      <c r="AW343">
        <f t="shared" si="69"/>
        <v>1.3259035466</v>
      </c>
      <c r="AX343" s="9"/>
      <c r="AY343" s="21">
        <v>1.57684</v>
      </c>
      <c r="AZ343" s="21">
        <v>385.654</v>
      </c>
      <c r="BA343" s="21">
        <v>-1.5255700000000001E-2</v>
      </c>
      <c r="BB343" s="21">
        <v>333</v>
      </c>
      <c r="BC343" s="21">
        <v>1.57623</v>
      </c>
      <c r="BD343">
        <f t="shared" si="70"/>
        <v>15.255700000000001</v>
      </c>
      <c r="BE343">
        <f t="shared" si="71"/>
        <v>24.055797988000002</v>
      </c>
    </row>
    <row r="344" spans="6:57" x14ac:dyDescent="0.25">
      <c r="F344" s="9"/>
      <c r="G344" s="21">
        <v>6.8206799999999998E-2</v>
      </c>
      <c r="H344" s="21">
        <v>51.639699999999998</v>
      </c>
      <c r="I344" s="21">
        <v>-1.8139599999999999E-2</v>
      </c>
      <c r="J344" s="21">
        <v>334</v>
      </c>
      <c r="K344" s="21">
        <v>6.7504900000000007E-2</v>
      </c>
      <c r="L344">
        <f t="shared" si="60"/>
        <v>18.139599999999998</v>
      </c>
      <c r="M344">
        <f t="shared" si="61"/>
        <v>1.2372440692799997</v>
      </c>
      <c r="N344" s="9"/>
      <c r="O344" s="21">
        <v>1.58188</v>
      </c>
      <c r="P344" s="21">
        <v>123.4</v>
      </c>
      <c r="Q344" s="21">
        <v>-1.53046E-2</v>
      </c>
      <c r="R344" s="21">
        <v>334</v>
      </c>
      <c r="S344" s="21">
        <v>1.5811200000000001</v>
      </c>
      <c r="T344">
        <f t="shared" si="62"/>
        <v>15.304600000000001</v>
      </c>
      <c r="U344">
        <f t="shared" si="63"/>
        <v>24.210040648</v>
      </c>
      <c r="X344" s="9"/>
      <c r="Y344" s="21">
        <v>6.8206799999999998E-2</v>
      </c>
      <c r="Z344" s="21">
        <v>191.07499999999999</v>
      </c>
      <c r="AA344" s="21">
        <v>-1.8115200000000001E-2</v>
      </c>
      <c r="AB344" s="21">
        <v>334</v>
      </c>
      <c r="AC344" s="21">
        <v>6.7901600000000006E-2</v>
      </c>
      <c r="AD344">
        <f t="shared" si="64"/>
        <v>18.115200000000002</v>
      </c>
      <c r="AE344">
        <f t="shared" si="65"/>
        <v>1.2355798233600002</v>
      </c>
      <c r="AF344" s="9"/>
      <c r="AG344" s="21">
        <v>1.58188</v>
      </c>
      <c r="AH344" s="21">
        <v>257.62</v>
      </c>
      <c r="AI344" s="21">
        <v>-1.5152000000000001E-2</v>
      </c>
      <c r="AJ344" s="21">
        <v>334</v>
      </c>
      <c r="AK344" s="21">
        <v>1.58081</v>
      </c>
      <c r="AL344">
        <f t="shared" si="66"/>
        <v>15.152000000000001</v>
      </c>
      <c r="AM344">
        <f t="shared" si="67"/>
        <v>23.968645760000001</v>
      </c>
      <c r="AP344" s="9"/>
      <c r="AQ344" s="21">
        <v>6.8206799999999998E-2</v>
      </c>
      <c r="AR344" s="21">
        <v>315.32499999999999</v>
      </c>
      <c r="AS344" s="21">
        <v>-1.8103000000000001E-2</v>
      </c>
      <c r="AT344" s="21">
        <v>334</v>
      </c>
      <c r="AU344" s="21">
        <v>6.7321800000000001E-2</v>
      </c>
      <c r="AV344">
        <f t="shared" si="68"/>
        <v>18.103000000000002</v>
      </c>
      <c r="AW344">
        <f t="shared" si="69"/>
        <v>1.2347477004</v>
      </c>
      <c r="AX344" s="9"/>
      <c r="AY344" s="21">
        <v>1.58188</v>
      </c>
      <c r="AZ344" s="21">
        <v>385.755</v>
      </c>
      <c r="BA344" s="21">
        <v>-1.51123E-2</v>
      </c>
      <c r="BB344" s="21">
        <v>334</v>
      </c>
      <c r="BC344" s="21">
        <v>1.58142</v>
      </c>
      <c r="BD344">
        <f t="shared" si="70"/>
        <v>15.112300000000001</v>
      </c>
      <c r="BE344">
        <f t="shared" si="71"/>
        <v>23.905845124000002</v>
      </c>
    </row>
    <row r="345" spans="6:57" x14ac:dyDescent="0.25">
      <c r="F345" s="9"/>
      <c r="G345" s="21">
        <v>6.3171400000000003E-2</v>
      </c>
      <c r="H345" s="21">
        <v>51.740400000000001</v>
      </c>
      <c r="I345" s="21">
        <v>-1.81458E-2</v>
      </c>
      <c r="J345" s="21">
        <v>335</v>
      </c>
      <c r="K345" s="21">
        <v>6.2744099999999997E-2</v>
      </c>
      <c r="L345">
        <f t="shared" si="60"/>
        <v>18.145800000000001</v>
      </c>
      <c r="M345">
        <f t="shared" si="61"/>
        <v>1.14629559012</v>
      </c>
      <c r="N345" s="9"/>
      <c r="O345" s="21">
        <v>1.58691</v>
      </c>
      <c r="P345" s="21">
        <v>123.501</v>
      </c>
      <c r="Q345" s="21">
        <v>-1.5136699999999999E-2</v>
      </c>
      <c r="R345" s="21">
        <v>335</v>
      </c>
      <c r="S345" s="21">
        <v>1.58569</v>
      </c>
      <c r="T345">
        <f t="shared" si="62"/>
        <v>15.136699999999999</v>
      </c>
      <c r="U345">
        <f t="shared" si="63"/>
        <v>24.020580596999999</v>
      </c>
      <c r="X345" s="9"/>
      <c r="Y345" s="21">
        <v>6.3171400000000003E-2</v>
      </c>
      <c r="Z345" s="21">
        <v>191.17599999999999</v>
      </c>
      <c r="AA345" s="21">
        <v>-1.81213E-2</v>
      </c>
      <c r="AB345" s="21">
        <v>335</v>
      </c>
      <c r="AC345" s="21">
        <v>6.3324000000000005E-2</v>
      </c>
      <c r="AD345">
        <f t="shared" si="64"/>
        <v>18.121300000000002</v>
      </c>
      <c r="AE345">
        <f t="shared" si="65"/>
        <v>1.1447478908200002</v>
      </c>
      <c r="AF345" s="9"/>
      <c r="AG345" s="21">
        <v>1.58691</v>
      </c>
      <c r="AH345" s="21">
        <v>257.721</v>
      </c>
      <c r="AI345" s="21">
        <v>-1.4978E-2</v>
      </c>
      <c r="AJ345" s="21">
        <v>335</v>
      </c>
      <c r="AK345" s="21">
        <v>1.5860000000000001</v>
      </c>
      <c r="AL345">
        <f t="shared" si="66"/>
        <v>14.978</v>
      </c>
      <c r="AM345">
        <f t="shared" si="67"/>
        <v>23.768737980000001</v>
      </c>
      <c r="AP345" s="9"/>
      <c r="AQ345" s="21">
        <v>6.3171400000000003E-2</v>
      </c>
      <c r="AR345" s="21">
        <v>315.42599999999999</v>
      </c>
      <c r="AS345" s="21">
        <v>-1.81091E-2</v>
      </c>
      <c r="AT345" s="21">
        <v>335</v>
      </c>
      <c r="AU345" s="21">
        <v>6.2713599999999994E-2</v>
      </c>
      <c r="AV345">
        <f t="shared" si="68"/>
        <v>18.109099999999998</v>
      </c>
      <c r="AW345">
        <f t="shared" si="69"/>
        <v>1.1439771997399999</v>
      </c>
      <c r="AX345" s="9"/>
      <c r="AY345" s="21">
        <v>1.58691</v>
      </c>
      <c r="AZ345" s="21">
        <v>385.85599999999999</v>
      </c>
      <c r="BA345" s="21">
        <v>-1.4917E-2</v>
      </c>
      <c r="BB345" s="21">
        <v>335</v>
      </c>
      <c r="BC345" s="21">
        <v>1.5860000000000001</v>
      </c>
      <c r="BD345">
        <f t="shared" si="70"/>
        <v>14.917</v>
      </c>
      <c r="BE345">
        <f t="shared" si="71"/>
        <v>23.671936470000002</v>
      </c>
    </row>
    <row r="346" spans="6:57" x14ac:dyDescent="0.25">
      <c r="F346" s="9"/>
      <c r="G346" s="21">
        <v>5.8136E-2</v>
      </c>
      <c r="H346" s="21">
        <v>51.841099999999997</v>
      </c>
      <c r="I346" s="21">
        <v>-1.8154900000000002E-2</v>
      </c>
      <c r="J346" s="21">
        <v>336</v>
      </c>
      <c r="K346" s="21">
        <v>5.76172E-2</v>
      </c>
      <c r="L346">
        <f t="shared" si="60"/>
        <v>18.154900000000001</v>
      </c>
      <c r="M346">
        <f t="shared" si="61"/>
        <v>1.0554532664</v>
      </c>
      <c r="N346" s="9"/>
      <c r="O346" s="21">
        <v>1.59195</v>
      </c>
      <c r="P346" s="21">
        <v>123.601</v>
      </c>
      <c r="Q346" s="21">
        <v>-1.4947500000000001E-2</v>
      </c>
      <c r="R346" s="21">
        <v>336</v>
      </c>
      <c r="S346" s="21">
        <v>1.5911900000000001</v>
      </c>
      <c r="T346">
        <f t="shared" si="62"/>
        <v>14.947500000000002</v>
      </c>
      <c r="U346">
        <f t="shared" si="63"/>
        <v>23.795672625000002</v>
      </c>
      <c r="X346" s="9"/>
      <c r="Y346" s="21">
        <v>5.8136E-2</v>
      </c>
      <c r="Z346" s="21">
        <v>191.27600000000001</v>
      </c>
      <c r="AA346" s="21">
        <v>-1.8124399999999999E-2</v>
      </c>
      <c r="AB346" s="21">
        <v>336</v>
      </c>
      <c r="AC346" s="21">
        <v>5.77393E-2</v>
      </c>
      <c r="AD346">
        <f t="shared" si="64"/>
        <v>18.124399999999998</v>
      </c>
      <c r="AE346">
        <f t="shared" si="65"/>
        <v>1.0536801184</v>
      </c>
      <c r="AF346" s="9"/>
      <c r="AG346" s="21">
        <v>1.59195</v>
      </c>
      <c r="AH346" s="21">
        <v>257.82100000000003</v>
      </c>
      <c r="AI346" s="21">
        <v>-1.4782699999999999E-2</v>
      </c>
      <c r="AJ346" s="21">
        <v>336</v>
      </c>
      <c r="AK346" s="21">
        <v>1.5918000000000001</v>
      </c>
      <c r="AL346">
        <f t="shared" si="66"/>
        <v>14.7827</v>
      </c>
      <c r="AM346">
        <f t="shared" si="67"/>
        <v>23.533319264999999</v>
      </c>
      <c r="AP346" s="9"/>
      <c r="AQ346" s="21">
        <v>5.8136E-2</v>
      </c>
      <c r="AR346" s="21">
        <v>315.52600000000001</v>
      </c>
      <c r="AS346" s="21">
        <v>-1.81091E-2</v>
      </c>
      <c r="AT346" s="21">
        <v>336</v>
      </c>
      <c r="AU346" s="21">
        <v>5.7312000000000002E-2</v>
      </c>
      <c r="AV346">
        <f t="shared" si="68"/>
        <v>18.109099999999998</v>
      </c>
      <c r="AW346">
        <f t="shared" si="69"/>
        <v>1.0527906375999998</v>
      </c>
      <c r="AX346" s="9"/>
      <c r="AY346" s="21">
        <v>1.59195</v>
      </c>
      <c r="AZ346" s="21">
        <v>385.95600000000002</v>
      </c>
      <c r="BA346" s="21">
        <v>-1.4733899999999999E-2</v>
      </c>
      <c r="BB346" s="21">
        <v>336</v>
      </c>
      <c r="BC346" s="21">
        <v>1.5911900000000001</v>
      </c>
      <c r="BD346">
        <f t="shared" si="70"/>
        <v>14.7339</v>
      </c>
      <c r="BE346">
        <f t="shared" si="71"/>
        <v>23.455632104999999</v>
      </c>
    </row>
    <row r="347" spans="6:57" x14ac:dyDescent="0.25">
      <c r="F347" s="9"/>
      <c r="G347" s="21">
        <v>5.3100599999999998E-2</v>
      </c>
      <c r="H347" s="21">
        <v>51.941800000000001</v>
      </c>
      <c r="I347" s="21">
        <v>-1.8151899999999999E-2</v>
      </c>
      <c r="J347" s="21">
        <v>337</v>
      </c>
      <c r="K347" s="21">
        <v>5.2764900000000003E-2</v>
      </c>
      <c r="L347">
        <f t="shared" si="60"/>
        <v>18.151899999999998</v>
      </c>
      <c r="M347">
        <f t="shared" si="61"/>
        <v>0.96387678113999986</v>
      </c>
      <c r="N347" s="9"/>
      <c r="O347" s="21">
        <v>1.5969800000000001</v>
      </c>
      <c r="P347" s="21">
        <v>123.702</v>
      </c>
      <c r="Q347" s="21">
        <v>-1.47552E-2</v>
      </c>
      <c r="R347" s="21">
        <v>337</v>
      </c>
      <c r="S347" s="21">
        <v>1.5957600000000001</v>
      </c>
      <c r="T347">
        <f t="shared" si="62"/>
        <v>14.7552</v>
      </c>
      <c r="U347">
        <f t="shared" si="63"/>
        <v>23.563759296000001</v>
      </c>
      <c r="X347" s="9"/>
      <c r="Y347" s="21">
        <v>5.3100599999999998E-2</v>
      </c>
      <c r="Z347" s="21">
        <v>191.37700000000001</v>
      </c>
      <c r="AA347" s="21">
        <v>-1.8130500000000001E-2</v>
      </c>
      <c r="AB347" s="21">
        <v>337</v>
      </c>
      <c r="AC347" s="21">
        <v>5.2642799999999997E-2</v>
      </c>
      <c r="AD347">
        <f t="shared" si="64"/>
        <v>18.130500000000001</v>
      </c>
      <c r="AE347">
        <f t="shared" si="65"/>
        <v>0.96274042830000006</v>
      </c>
      <c r="AF347" s="9"/>
      <c r="AG347" s="21">
        <v>1.5969800000000001</v>
      </c>
      <c r="AH347" s="21">
        <v>257.92200000000003</v>
      </c>
      <c r="AI347" s="21">
        <v>-1.4563E-2</v>
      </c>
      <c r="AJ347" s="21">
        <v>337</v>
      </c>
      <c r="AK347" s="21">
        <v>1.5963700000000001</v>
      </c>
      <c r="AL347">
        <f t="shared" si="66"/>
        <v>14.562999999999999</v>
      </c>
      <c r="AM347">
        <f t="shared" si="67"/>
        <v>23.256819739999997</v>
      </c>
      <c r="AP347" s="9"/>
      <c r="AQ347" s="21">
        <v>5.3100599999999998E-2</v>
      </c>
      <c r="AR347" s="21">
        <v>315.62700000000001</v>
      </c>
      <c r="AS347" s="21">
        <v>-1.8115200000000001E-2</v>
      </c>
      <c r="AT347" s="21">
        <v>337</v>
      </c>
      <c r="AU347" s="21">
        <v>5.2398699999999999E-2</v>
      </c>
      <c r="AV347">
        <f t="shared" si="68"/>
        <v>18.115200000000002</v>
      </c>
      <c r="AW347">
        <f t="shared" si="69"/>
        <v>0.96192798911999999</v>
      </c>
      <c r="AX347" s="9"/>
      <c r="AY347" s="21">
        <v>1.5969800000000001</v>
      </c>
      <c r="AZ347" s="21">
        <v>386.05700000000002</v>
      </c>
      <c r="BA347" s="21">
        <v>-1.45142E-2</v>
      </c>
      <c r="BB347" s="21">
        <v>337</v>
      </c>
      <c r="BC347" s="21">
        <v>1.5963700000000001</v>
      </c>
      <c r="BD347">
        <f t="shared" si="70"/>
        <v>14.514199999999999</v>
      </c>
      <c r="BE347">
        <f t="shared" si="71"/>
        <v>23.178887115999999</v>
      </c>
    </row>
    <row r="348" spans="6:57" x14ac:dyDescent="0.25">
      <c r="F348" s="9"/>
      <c r="G348" s="21">
        <v>4.8065200000000002E-2</v>
      </c>
      <c r="H348" s="21">
        <v>52.042499999999997</v>
      </c>
      <c r="I348" s="21">
        <v>-1.8154900000000002E-2</v>
      </c>
      <c r="J348" s="21">
        <v>338</v>
      </c>
      <c r="K348" s="21">
        <v>4.81964E-2</v>
      </c>
      <c r="L348">
        <f t="shared" si="60"/>
        <v>18.154900000000001</v>
      </c>
      <c r="M348">
        <f t="shared" si="61"/>
        <v>0.87261889948000015</v>
      </c>
      <c r="N348" s="9"/>
      <c r="O348" s="21">
        <v>1.60202</v>
      </c>
      <c r="P348" s="21">
        <v>123.803</v>
      </c>
      <c r="Q348" s="21">
        <v>-1.45355E-2</v>
      </c>
      <c r="R348" s="21">
        <v>338</v>
      </c>
      <c r="S348" s="21">
        <v>1.6012599999999999</v>
      </c>
      <c r="T348">
        <f t="shared" si="62"/>
        <v>14.535499999999999</v>
      </c>
      <c r="U348">
        <f t="shared" si="63"/>
        <v>23.286161709999998</v>
      </c>
      <c r="X348" s="9"/>
      <c r="Y348" s="21">
        <v>4.8065200000000002E-2</v>
      </c>
      <c r="Z348" s="21">
        <v>191.47800000000001</v>
      </c>
      <c r="AA348" s="21">
        <v>-1.8127399999999998E-2</v>
      </c>
      <c r="AB348" s="21">
        <v>338</v>
      </c>
      <c r="AC348" s="21">
        <v>4.8126200000000001E-2</v>
      </c>
      <c r="AD348">
        <f t="shared" si="64"/>
        <v>18.127399999999998</v>
      </c>
      <c r="AE348">
        <f t="shared" si="65"/>
        <v>0.87129710647999992</v>
      </c>
      <c r="AF348" s="9"/>
      <c r="AG348" s="21">
        <v>1.60202</v>
      </c>
      <c r="AH348" s="21">
        <v>258.02300000000002</v>
      </c>
      <c r="AI348" s="21">
        <v>-1.43219E-2</v>
      </c>
      <c r="AJ348" s="21">
        <v>338</v>
      </c>
      <c r="AK348" s="21">
        <v>1.6012599999999999</v>
      </c>
      <c r="AL348">
        <f t="shared" si="66"/>
        <v>14.321899999999999</v>
      </c>
      <c r="AM348">
        <f t="shared" si="67"/>
        <v>22.943970237999999</v>
      </c>
      <c r="AP348" s="9"/>
      <c r="AQ348" s="21">
        <v>4.8065200000000002E-2</v>
      </c>
      <c r="AR348" s="21">
        <v>315.72800000000001</v>
      </c>
      <c r="AS348" s="21">
        <v>-1.81183E-2</v>
      </c>
      <c r="AT348" s="21">
        <v>338</v>
      </c>
      <c r="AU348" s="21">
        <v>4.8080400000000002E-2</v>
      </c>
      <c r="AV348">
        <f t="shared" si="68"/>
        <v>18.118300000000001</v>
      </c>
      <c r="AW348">
        <f t="shared" si="69"/>
        <v>0.8708597131600001</v>
      </c>
      <c r="AX348" s="9"/>
      <c r="AY348" s="21">
        <v>1.60202</v>
      </c>
      <c r="AZ348" s="21">
        <v>386.15800000000002</v>
      </c>
      <c r="BA348" s="21">
        <v>-1.4285300000000001E-2</v>
      </c>
      <c r="BB348" s="21">
        <v>338</v>
      </c>
      <c r="BC348" s="21">
        <v>1.6009500000000001</v>
      </c>
      <c r="BD348">
        <f t="shared" si="70"/>
        <v>14.285300000000001</v>
      </c>
      <c r="BE348">
        <f t="shared" si="71"/>
        <v>22.885336306000003</v>
      </c>
    </row>
    <row r="349" spans="6:57" x14ac:dyDescent="0.25">
      <c r="F349" s="9"/>
      <c r="G349" s="21">
        <v>4.30298E-2</v>
      </c>
      <c r="H349" s="21">
        <v>52.1432</v>
      </c>
      <c r="I349" s="21">
        <v>-1.8161E-2</v>
      </c>
      <c r="J349" s="21">
        <v>339</v>
      </c>
      <c r="K349" s="21">
        <v>4.35486E-2</v>
      </c>
      <c r="L349">
        <f t="shared" si="60"/>
        <v>18.161000000000001</v>
      </c>
      <c r="M349">
        <f t="shared" si="61"/>
        <v>0.78146419780000009</v>
      </c>
      <c r="N349" s="9"/>
      <c r="O349" s="21">
        <v>1.6070599999999999</v>
      </c>
      <c r="P349" s="21">
        <v>123.90300000000001</v>
      </c>
      <c r="Q349" s="21">
        <v>-1.427E-2</v>
      </c>
      <c r="R349" s="21">
        <v>339</v>
      </c>
      <c r="S349" s="21">
        <v>1.6067499999999999</v>
      </c>
      <c r="T349">
        <f t="shared" si="62"/>
        <v>14.27</v>
      </c>
      <c r="U349">
        <f t="shared" si="63"/>
        <v>22.932746199999997</v>
      </c>
      <c r="X349" s="9"/>
      <c r="Y349" s="21">
        <v>4.30298E-2</v>
      </c>
      <c r="Z349" s="21">
        <v>191.578</v>
      </c>
      <c r="AA349" s="21">
        <v>-1.8136599999999999E-2</v>
      </c>
      <c r="AB349" s="21">
        <v>339</v>
      </c>
      <c r="AC349" s="21">
        <v>4.3283099999999998E-2</v>
      </c>
      <c r="AD349">
        <f t="shared" si="64"/>
        <v>18.136599999999998</v>
      </c>
      <c r="AE349">
        <f t="shared" si="65"/>
        <v>0.78041427067999991</v>
      </c>
      <c r="AF349" s="9"/>
      <c r="AG349" s="21">
        <v>1.6070599999999999</v>
      </c>
      <c r="AH349" s="21">
        <v>258.12400000000002</v>
      </c>
      <c r="AI349" s="21">
        <v>-1.4074700000000001E-2</v>
      </c>
      <c r="AJ349" s="21">
        <v>339</v>
      </c>
      <c r="AK349" s="21">
        <v>1.6070599999999999</v>
      </c>
      <c r="AL349">
        <f t="shared" si="66"/>
        <v>14.0747</v>
      </c>
      <c r="AM349">
        <f t="shared" si="67"/>
        <v>22.618887382</v>
      </c>
      <c r="AP349" s="9"/>
      <c r="AQ349" s="21">
        <v>4.30298E-2</v>
      </c>
      <c r="AR349" s="21">
        <v>315.82799999999997</v>
      </c>
      <c r="AS349" s="21">
        <v>-1.8115200000000001E-2</v>
      </c>
      <c r="AT349" s="21">
        <v>339</v>
      </c>
      <c r="AU349" s="21">
        <v>4.28925E-2</v>
      </c>
      <c r="AV349">
        <f t="shared" si="68"/>
        <v>18.115200000000002</v>
      </c>
      <c r="AW349">
        <f t="shared" si="69"/>
        <v>0.77949343296000007</v>
      </c>
      <c r="AX349" s="9"/>
      <c r="AY349" s="21">
        <v>1.6070599999999999</v>
      </c>
      <c r="AZ349" s="21">
        <v>386.25900000000001</v>
      </c>
      <c r="BA349" s="21">
        <v>-1.4035000000000001E-2</v>
      </c>
      <c r="BB349" s="21">
        <v>339</v>
      </c>
      <c r="BC349" s="21">
        <v>1.6064499999999999</v>
      </c>
      <c r="BD349">
        <f t="shared" si="70"/>
        <v>14.035</v>
      </c>
      <c r="BE349">
        <f t="shared" si="71"/>
        <v>22.555087099999998</v>
      </c>
    </row>
    <row r="350" spans="6:57" x14ac:dyDescent="0.25">
      <c r="F350" s="9"/>
      <c r="G350" s="21">
        <v>3.7994399999999998E-2</v>
      </c>
      <c r="H350" s="21">
        <v>52.243899999999996</v>
      </c>
      <c r="I350" s="21">
        <v>-1.8164099999999999E-2</v>
      </c>
      <c r="J350" s="21">
        <v>340</v>
      </c>
      <c r="K350" s="21">
        <v>3.8156099999999998E-2</v>
      </c>
      <c r="L350">
        <f t="shared" si="60"/>
        <v>18.164099999999998</v>
      </c>
      <c r="M350">
        <f t="shared" si="61"/>
        <v>0.69013408103999985</v>
      </c>
      <c r="N350" s="9"/>
      <c r="O350" s="21">
        <v>1.61209</v>
      </c>
      <c r="P350" s="21">
        <v>124.004</v>
      </c>
      <c r="Q350" s="21">
        <v>-1.40167E-2</v>
      </c>
      <c r="R350" s="21">
        <v>340</v>
      </c>
      <c r="S350" s="21">
        <v>1.6113299999999999</v>
      </c>
      <c r="T350">
        <f t="shared" si="62"/>
        <v>14.0167</v>
      </c>
      <c r="U350">
        <f t="shared" si="63"/>
        <v>22.596181903000002</v>
      </c>
      <c r="X350" s="9"/>
      <c r="Y350" s="21">
        <v>3.7994399999999998E-2</v>
      </c>
      <c r="Z350" s="21">
        <v>191.679</v>
      </c>
      <c r="AA350" s="21">
        <v>-1.8136599999999999E-2</v>
      </c>
      <c r="AB350" s="21">
        <v>340</v>
      </c>
      <c r="AC350" s="21">
        <v>3.8229399999999997E-2</v>
      </c>
      <c r="AD350">
        <f t="shared" si="64"/>
        <v>18.136599999999998</v>
      </c>
      <c r="AE350">
        <f t="shared" si="65"/>
        <v>0.68908923503999986</v>
      </c>
      <c r="AF350" s="9"/>
      <c r="AG350" s="21">
        <v>1.61209</v>
      </c>
      <c r="AH350" s="21">
        <v>258.22399999999999</v>
      </c>
      <c r="AI350" s="21">
        <v>-1.3809200000000001E-2</v>
      </c>
      <c r="AJ350" s="21">
        <v>340</v>
      </c>
      <c r="AK350" s="21">
        <v>1.6116299999999999</v>
      </c>
      <c r="AL350">
        <f t="shared" si="66"/>
        <v>13.809200000000001</v>
      </c>
      <c r="AM350">
        <f t="shared" si="67"/>
        <v>22.261673228000003</v>
      </c>
      <c r="AP350" s="9"/>
      <c r="AQ350" s="21">
        <v>3.7994399999999998E-2</v>
      </c>
      <c r="AR350" s="21">
        <v>315.92899999999997</v>
      </c>
      <c r="AS350" s="21">
        <v>-1.81183E-2</v>
      </c>
      <c r="AT350" s="21">
        <v>340</v>
      </c>
      <c r="AU350" s="21">
        <v>3.79028E-2</v>
      </c>
      <c r="AV350">
        <f t="shared" si="68"/>
        <v>18.118300000000001</v>
      </c>
      <c r="AW350">
        <f t="shared" si="69"/>
        <v>0.68839393752</v>
      </c>
      <c r="AX350" s="9"/>
      <c r="AY350" s="21">
        <v>1.61209</v>
      </c>
      <c r="AZ350" s="21">
        <v>386.35899999999998</v>
      </c>
      <c r="BA350" s="21">
        <v>-1.37695E-2</v>
      </c>
      <c r="BB350" s="21">
        <v>340</v>
      </c>
      <c r="BC350" s="21">
        <v>1.6116299999999999</v>
      </c>
      <c r="BD350">
        <f t="shared" si="70"/>
        <v>13.769500000000001</v>
      </c>
      <c r="BE350">
        <f t="shared" si="71"/>
        <v>22.197673255000002</v>
      </c>
    </row>
    <row r="351" spans="6:57" x14ac:dyDescent="0.25">
      <c r="F351" s="9"/>
      <c r="G351" s="21">
        <v>3.2959000000000002E-2</v>
      </c>
      <c r="H351" s="21">
        <v>52.3446</v>
      </c>
      <c r="I351" s="21">
        <v>-1.8164099999999999E-2</v>
      </c>
      <c r="J351" s="21">
        <v>341</v>
      </c>
      <c r="K351" s="21">
        <v>3.3044400000000002E-2</v>
      </c>
      <c r="L351">
        <f t="shared" si="60"/>
        <v>18.164099999999998</v>
      </c>
      <c r="M351">
        <f t="shared" si="61"/>
        <v>0.59867057189999995</v>
      </c>
      <c r="N351" s="9"/>
      <c r="O351" s="21">
        <v>1.61713</v>
      </c>
      <c r="P351" s="21">
        <v>124.105</v>
      </c>
      <c r="Q351" s="21">
        <v>-1.36963E-2</v>
      </c>
      <c r="R351" s="21">
        <v>341</v>
      </c>
      <c r="S351" s="21">
        <v>1.6162099999999999</v>
      </c>
      <c r="T351">
        <f t="shared" si="62"/>
        <v>13.696299999999999</v>
      </c>
      <c r="U351">
        <f t="shared" si="63"/>
        <v>22.148697618999996</v>
      </c>
      <c r="X351" s="9"/>
      <c r="Y351" s="21">
        <v>3.2959000000000002E-2</v>
      </c>
      <c r="Z351" s="21">
        <v>191.78</v>
      </c>
      <c r="AA351" s="21">
        <v>-1.81335E-2</v>
      </c>
      <c r="AB351" s="21">
        <v>341</v>
      </c>
      <c r="AC351" s="21">
        <v>3.3398400000000002E-2</v>
      </c>
      <c r="AD351">
        <f t="shared" si="64"/>
        <v>18.133500000000002</v>
      </c>
      <c r="AE351">
        <f t="shared" si="65"/>
        <v>0.59766202650000011</v>
      </c>
      <c r="AF351" s="9"/>
      <c r="AG351" s="21">
        <v>1.61713</v>
      </c>
      <c r="AH351" s="21">
        <v>258.32499999999999</v>
      </c>
      <c r="AI351" s="21">
        <v>-1.34918E-2</v>
      </c>
      <c r="AJ351" s="21">
        <v>341</v>
      </c>
      <c r="AK351" s="21">
        <v>1.6162099999999999</v>
      </c>
      <c r="AL351">
        <f t="shared" si="66"/>
        <v>13.4918</v>
      </c>
      <c r="AM351">
        <f t="shared" si="67"/>
        <v>21.817994534</v>
      </c>
      <c r="AP351" s="9"/>
      <c r="AQ351" s="21">
        <v>3.2959000000000002E-2</v>
      </c>
      <c r="AR351" s="21">
        <v>316.02999999999997</v>
      </c>
      <c r="AS351" s="21">
        <v>-1.8115200000000001E-2</v>
      </c>
      <c r="AT351" s="21">
        <v>341</v>
      </c>
      <c r="AU351" s="21">
        <v>3.3007799999999997E-2</v>
      </c>
      <c r="AV351">
        <f t="shared" si="68"/>
        <v>18.115200000000002</v>
      </c>
      <c r="AW351">
        <f t="shared" si="69"/>
        <v>0.59705887680000014</v>
      </c>
      <c r="AX351" s="9"/>
      <c r="AY351" s="21">
        <v>1.61713</v>
      </c>
      <c r="AZ351" s="21">
        <v>386.46</v>
      </c>
      <c r="BA351" s="21">
        <v>-1.3458299999999999E-2</v>
      </c>
      <c r="BB351" s="21">
        <v>341</v>
      </c>
      <c r="BC351" s="21">
        <v>1.61652</v>
      </c>
      <c r="BD351">
        <f t="shared" si="70"/>
        <v>13.458299999999999</v>
      </c>
      <c r="BE351">
        <f t="shared" si="71"/>
        <v>21.763820678999998</v>
      </c>
    </row>
    <row r="352" spans="6:57" x14ac:dyDescent="0.25">
      <c r="F352" s="9"/>
      <c r="G352" s="21">
        <v>2.79236E-2</v>
      </c>
      <c r="H352" s="21">
        <v>52.445300000000003</v>
      </c>
      <c r="I352" s="21">
        <v>-1.8170200000000001E-2</v>
      </c>
      <c r="J352" s="21">
        <v>342</v>
      </c>
      <c r="K352" s="21">
        <v>2.8131099999999999E-2</v>
      </c>
      <c r="L352">
        <f t="shared" si="60"/>
        <v>18.170200000000001</v>
      </c>
      <c r="M352">
        <f t="shared" si="61"/>
        <v>0.50737739672000004</v>
      </c>
      <c r="N352" s="9"/>
      <c r="O352" s="21">
        <v>1.62216</v>
      </c>
      <c r="P352" s="21">
        <v>124.205</v>
      </c>
      <c r="Q352" s="21">
        <v>-1.3382E-2</v>
      </c>
      <c r="R352" s="21">
        <v>342</v>
      </c>
      <c r="S352" s="21">
        <v>1.62201</v>
      </c>
      <c r="T352">
        <f t="shared" si="62"/>
        <v>13.382</v>
      </c>
      <c r="U352">
        <f t="shared" si="63"/>
        <v>21.707745119999998</v>
      </c>
      <c r="X352" s="9"/>
      <c r="Y352" s="21">
        <v>2.79236E-2</v>
      </c>
      <c r="Z352" s="21">
        <v>191.881</v>
      </c>
      <c r="AA352" s="21">
        <v>-1.8139599999999999E-2</v>
      </c>
      <c r="AB352" s="21">
        <v>342</v>
      </c>
      <c r="AC352" s="21">
        <v>2.8002900000000001E-2</v>
      </c>
      <c r="AD352">
        <f t="shared" si="64"/>
        <v>18.139599999999998</v>
      </c>
      <c r="AE352">
        <f t="shared" si="65"/>
        <v>0.50652293455999997</v>
      </c>
      <c r="AF352" s="9"/>
      <c r="AG352" s="21">
        <v>1.62216</v>
      </c>
      <c r="AH352" s="21">
        <v>258.42599999999999</v>
      </c>
      <c r="AI352" s="21">
        <v>-1.3147000000000001E-2</v>
      </c>
      <c r="AJ352" s="21">
        <v>342</v>
      </c>
      <c r="AK352" s="21">
        <v>1.6214</v>
      </c>
      <c r="AL352">
        <f t="shared" si="66"/>
        <v>13.147</v>
      </c>
      <c r="AM352">
        <f t="shared" si="67"/>
        <v>21.326537520000002</v>
      </c>
      <c r="AP352" s="9"/>
      <c r="AQ352" s="21">
        <v>2.79236E-2</v>
      </c>
      <c r="AR352" s="21">
        <v>316.13099999999997</v>
      </c>
      <c r="AS352" s="21">
        <v>-1.8124399999999999E-2</v>
      </c>
      <c r="AT352" s="21">
        <v>342</v>
      </c>
      <c r="AU352" s="21">
        <v>2.80579E-2</v>
      </c>
      <c r="AV352">
        <f t="shared" si="68"/>
        <v>18.124399999999998</v>
      </c>
      <c r="AW352">
        <f t="shared" si="69"/>
        <v>0.50609849583999988</v>
      </c>
      <c r="AX352" s="9"/>
      <c r="AY352" s="21">
        <v>1.62216</v>
      </c>
      <c r="AZ352" s="21">
        <v>386.56099999999998</v>
      </c>
      <c r="BA352" s="21">
        <v>-1.31317E-2</v>
      </c>
      <c r="BB352" s="21">
        <v>342</v>
      </c>
      <c r="BC352" s="21">
        <v>1.6214</v>
      </c>
      <c r="BD352">
        <f t="shared" si="70"/>
        <v>13.1317</v>
      </c>
      <c r="BE352">
        <f t="shared" si="71"/>
        <v>21.301718472000001</v>
      </c>
    </row>
    <row r="353" spans="6:57" x14ac:dyDescent="0.25">
      <c r="F353" s="9"/>
      <c r="G353" s="21">
        <v>2.2888200000000001E-2</v>
      </c>
      <c r="H353" s="21">
        <v>52.545999999999999</v>
      </c>
      <c r="I353" s="21">
        <v>-1.8170200000000001E-2</v>
      </c>
      <c r="J353" s="21">
        <v>343</v>
      </c>
      <c r="K353" s="21">
        <v>2.3199500000000001E-2</v>
      </c>
      <c r="L353">
        <f t="shared" si="60"/>
        <v>18.170200000000001</v>
      </c>
      <c r="M353">
        <f t="shared" si="61"/>
        <v>0.41588317164000005</v>
      </c>
      <c r="N353" s="9"/>
      <c r="O353" s="21">
        <v>1.6272</v>
      </c>
      <c r="P353" s="21">
        <v>124.306</v>
      </c>
      <c r="Q353" s="21">
        <v>-1.30341E-2</v>
      </c>
      <c r="R353" s="21">
        <v>343</v>
      </c>
      <c r="S353" s="21">
        <v>1.6268899999999999</v>
      </c>
      <c r="T353">
        <f t="shared" si="62"/>
        <v>13.0341</v>
      </c>
      <c r="U353">
        <f t="shared" si="63"/>
        <v>21.209087520000001</v>
      </c>
      <c r="X353" s="9"/>
      <c r="Y353" s="21">
        <v>2.2888200000000001E-2</v>
      </c>
      <c r="Z353" s="21">
        <v>191.98099999999999</v>
      </c>
      <c r="AA353" s="21">
        <v>-1.8142700000000001E-2</v>
      </c>
      <c r="AB353" s="21">
        <v>343</v>
      </c>
      <c r="AC353" s="21">
        <v>2.2921799999999999E-2</v>
      </c>
      <c r="AD353">
        <f t="shared" si="64"/>
        <v>18.142700000000001</v>
      </c>
      <c r="AE353">
        <f t="shared" si="65"/>
        <v>0.41525374614000005</v>
      </c>
      <c r="AF353" s="9"/>
      <c r="AG353" s="21">
        <v>1.6272</v>
      </c>
      <c r="AH353" s="21">
        <v>258.52600000000001</v>
      </c>
      <c r="AI353" s="21">
        <v>-1.2765500000000001E-2</v>
      </c>
      <c r="AJ353" s="21">
        <v>343</v>
      </c>
      <c r="AK353" s="21">
        <v>1.6268899999999999</v>
      </c>
      <c r="AL353">
        <f t="shared" si="66"/>
        <v>12.765500000000001</v>
      </c>
      <c r="AM353">
        <f t="shared" si="67"/>
        <v>20.772021600000002</v>
      </c>
      <c r="AP353" s="9"/>
      <c r="AQ353" s="21">
        <v>2.2888200000000001E-2</v>
      </c>
      <c r="AR353" s="21">
        <v>316.23099999999999</v>
      </c>
      <c r="AS353" s="21">
        <v>-1.8130500000000001E-2</v>
      </c>
      <c r="AT353" s="21">
        <v>343</v>
      </c>
      <c r="AU353" s="21">
        <v>2.2894299999999999E-2</v>
      </c>
      <c r="AV353">
        <f t="shared" si="68"/>
        <v>18.130500000000001</v>
      </c>
      <c r="AW353">
        <f t="shared" si="69"/>
        <v>0.41497451010000003</v>
      </c>
      <c r="AX353" s="9"/>
      <c r="AY353" s="21">
        <v>1.6272</v>
      </c>
      <c r="AZ353" s="21">
        <v>386.661</v>
      </c>
      <c r="BA353" s="21">
        <v>-1.2759400000000001E-2</v>
      </c>
      <c r="BB353" s="21">
        <v>343</v>
      </c>
      <c r="BC353" s="21">
        <v>1.6262799999999999</v>
      </c>
      <c r="BD353">
        <f t="shared" si="70"/>
        <v>12.759400000000001</v>
      </c>
      <c r="BE353">
        <f t="shared" si="71"/>
        <v>20.762095680000002</v>
      </c>
    </row>
    <row r="354" spans="6:57" x14ac:dyDescent="0.25">
      <c r="F354" s="9"/>
      <c r="G354" s="21">
        <v>1.7852799999999999E-2</v>
      </c>
      <c r="H354" s="21">
        <v>52.646700000000003</v>
      </c>
      <c r="I354" s="21">
        <v>-1.81732E-2</v>
      </c>
      <c r="J354" s="21">
        <v>344</v>
      </c>
      <c r="K354" s="21">
        <v>1.78864E-2</v>
      </c>
      <c r="L354">
        <f t="shared" si="60"/>
        <v>18.173200000000001</v>
      </c>
      <c r="M354">
        <f t="shared" si="61"/>
        <v>0.32444250495999999</v>
      </c>
      <c r="N354" s="9"/>
      <c r="O354" s="21">
        <v>1.6322300000000001</v>
      </c>
      <c r="P354" s="21">
        <v>124.407</v>
      </c>
      <c r="Q354" s="21">
        <v>-1.2628199999999999E-2</v>
      </c>
      <c r="R354" s="21">
        <v>344</v>
      </c>
      <c r="S354" s="21">
        <v>1.6317699999999999</v>
      </c>
      <c r="T354">
        <f t="shared" si="62"/>
        <v>12.6282</v>
      </c>
      <c r="U354">
        <f t="shared" si="63"/>
        <v>20.612126885999999</v>
      </c>
      <c r="X354" s="9"/>
      <c r="Y354" s="21">
        <v>1.7852799999999999E-2</v>
      </c>
      <c r="Z354" s="21">
        <v>192.08199999999999</v>
      </c>
      <c r="AA354" s="21">
        <v>-1.81458E-2</v>
      </c>
      <c r="AB354" s="21">
        <v>344</v>
      </c>
      <c r="AC354" s="21">
        <v>1.79718E-2</v>
      </c>
      <c r="AD354">
        <f t="shared" si="64"/>
        <v>18.145800000000001</v>
      </c>
      <c r="AE354">
        <f t="shared" si="65"/>
        <v>0.32395333824</v>
      </c>
      <c r="AF354" s="9"/>
      <c r="AG354" s="21">
        <v>1.6322300000000001</v>
      </c>
      <c r="AH354" s="21">
        <v>258.62700000000001</v>
      </c>
      <c r="AI354" s="21">
        <v>-1.23657E-2</v>
      </c>
      <c r="AJ354" s="21">
        <v>344</v>
      </c>
      <c r="AK354" s="21">
        <v>1.63086</v>
      </c>
      <c r="AL354">
        <f t="shared" si="66"/>
        <v>12.3657</v>
      </c>
      <c r="AM354">
        <f t="shared" si="67"/>
        <v>20.183666511000002</v>
      </c>
      <c r="AP354" s="9"/>
      <c r="AQ354" s="21">
        <v>1.7852799999999999E-2</v>
      </c>
      <c r="AR354" s="21">
        <v>316.33199999999999</v>
      </c>
      <c r="AS354" s="21">
        <v>-1.81335E-2</v>
      </c>
      <c r="AT354" s="21">
        <v>344</v>
      </c>
      <c r="AU354" s="21">
        <v>1.7984E-2</v>
      </c>
      <c r="AV354">
        <f t="shared" si="68"/>
        <v>18.133500000000002</v>
      </c>
      <c r="AW354">
        <f t="shared" si="69"/>
        <v>0.3237337488</v>
      </c>
      <c r="AX354" s="9"/>
      <c r="AY354" s="21">
        <v>1.6322300000000001</v>
      </c>
      <c r="AZ354" s="21">
        <v>386.762</v>
      </c>
      <c r="BA354" s="21">
        <v>-1.2326E-2</v>
      </c>
      <c r="BB354" s="21">
        <v>344</v>
      </c>
      <c r="BC354" s="21">
        <v>1.63208</v>
      </c>
      <c r="BD354">
        <f t="shared" si="70"/>
        <v>12.326000000000001</v>
      </c>
      <c r="BE354">
        <f t="shared" si="71"/>
        <v>20.11886698</v>
      </c>
    </row>
    <row r="355" spans="6:57" x14ac:dyDescent="0.25">
      <c r="F355" s="9"/>
      <c r="G355" s="21">
        <v>1.28174E-2</v>
      </c>
      <c r="H355" s="21">
        <v>52.747500000000002</v>
      </c>
      <c r="I355" s="21">
        <v>-1.8179299999999999E-2</v>
      </c>
      <c r="J355" s="21">
        <v>345</v>
      </c>
      <c r="K355" s="21">
        <v>1.26923E-2</v>
      </c>
      <c r="L355">
        <f t="shared" si="60"/>
        <v>18.179299999999998</v>
      </c>
      <c r="M355">
        <f t="shared" si="61"/>
        <v>0.23301135981999996</v>
      </c>
      <c r="N355" s="9"/>
      <c r="O355" s="21">
        <v>1.63727</v>
      </c>
      <c r="P355" s="21">
        <v>124.508</v>
      </c>
      <c r="Q355" s="21">
        <v>-1.21704E-2</v>
      </c>
      <c r="R355" s="21">
        <v>345</v>
      </c>
      <c r="S355" s="21">
        <v>1.63666</v>
      </c>
      <c r="T355">
        <f t="shared" si="62"/>
        <v>12.170399999999999</v>
      </c>
      <c r="U355">
        <f t="shared" si="63"/>
        <v>19.926230808</v>
      </c>
      <c r="X355" s="9"/>
      <c r="Y355" s="21">
        <v>1.28174E-2</v>
      </c>
      <c r="Z355" s="21">
        <v>192.18299999999999</v>
      </c>
      <c r="AA355" s="21">
        <v>-1.8151899999999999E-2</v>
      </c>
      <c r="AB355" s="21">
        <v>345</v>
      </c>
      <c r="AC355" s="21">
        <v>1.2997399999999999E-2</v>
      </c>
      <c r="AD355">
        <f t="shared" si="64"/>
        <v>18.151899999999998</v>
      </c>
      <c r="AE355">
        <f t="shared" si="65"/>
        <v>0.23266016305999995</v>
      </c>
      <c r="AF355" s="9"/>
      <c r="AG355" s="21">
        <v>1.63727</v>
      </c>
      <c r="AH355" s="21">
        <v>258.72800000000001</v>
      </c>
      <c r="AI355" s="21">
        <v>-1.1865199999999999E-2</v>
      </c>
      <c r="AJ355" s="21">
        <v>345</v>
      </c>
      <c r="AK355" s="21">
        <v>1.63605</v>
      </c>
      <c r="AL355">
        <f t="shared" si="66"/>
        <v>11.8652</v>
      </c>
      <c r="AM355">
        <f t="shared" si="67"/>
        <v>19.426536003999999</v>
      </c>
      <c r="AP355" s="9"/>
      <c r="AQ355" s="21">
        <v>1.28174E-2</v>
      </c>
      <c r="AR355" s="21">
        <v>316.43299999999999</v>
      </c>
      <c r="AS355" s="21">
        <v>-1.8130500000000001E-2</v>
      </c>
      <c r="AT355" s="21">
        <v>345</v>
      </c>
      <c r="AU355" s="21">
        <v>1.27502E-2</v>
      </c>
      <c r="AV355">
        <f t="shared" si="68"/>
        <v>18.130500000000001</v>
      </c>
      <c r="AW355">
        <f t="shared" si="69"/>
        <v>0.23238587070000002</v>
      </c>
      <c r="AX355" s="9"/>
      <c r="AY355" s="21">
        <v>1.63727</v>
      </c>
      <c r="AZ355" s="21">
        <v>386.863</v>
      </c>
      <c r="BA355" s="21">
        <v>-1.1837800000000001E-2</v>
      </c>
      <c r="BB355" s="21">
        <v>345</v>
      </c>
      <c r="BC355" s="21">
        <v>1.63635</v>
      </c>
      <c r="BD355">
        <f t="shared" si="70"/>
        <v>11.837800000000001</v>
      </c>
      <c r="BE355">
        <f t="shared" si="71"/>
        <v>19.381674806000003</v>
      </c>
    </row>
    <row r="356" spans="6:57" x14ac:dyDescent="0.25">
      <c r="F356" s="9"/>
      <c r="G356" s="21">
        <v>7.78198E-3</v>
      </c>
      <c r="H356" s="21">
        <v>52.848199999999999</v>
      </c>
      <c r="I356" s="21">
        <v>-1.8176299999999999E-2</v>
      </c>
      <c r="J356" s="21">
        <v>346</v>
      </c>
      <c r="K356" s="21">
        <v>7.5744599999999999E-3</v>
      </c>
      <c r="L356">
        <f t="shared" si="60"/>
        <v>18.176299999999998</v>
      </c>
      <c r="M356">
        <f t="shared" si="61"/>
        <v>0.14144760307399998</v>
      </c>
      <c r="N356" s="9"/>
      <c r="O356" s="21">
        <v>1.6423000000000001</v>
      </c>
      <c r="P356" s="21">
        <v>124.608</v>
      </c>
      <c r="Q356" s="21">
        <v>-1.1660800000000001E-2</v>
      </c>
      <c r="R356" s="21">
        <v>346</v>
      </c>
      <c r="S356" s="21">
        <v>1.64154</v>
      </c>
      <c r="T356">
        <f t="shared" si="62"/>
        <v>11.6608</v>
      </c>
      <c r="U356">
        <f t="shared" si="63"/>
        <v>19.150531840000003</v>
      </c>
      <c r="X356" s="9"/>
      <c r="Y356" s="21">
        <v>7.78198E-3</v>
      </c>
      <c r="Z356" s="21">
        <v>192.28299999999999</v>
      </c>
      <c r="AA356" s="21">
        <v>-1.8151899999999999E-2</v>
      </c>
      <c r="AB356" s="21">
        <v>346</v>
      </c>
      <c r="AC356" s="21">
        <v>8.1085199999999993E-3</v>
      </c>
      <c r="AD356">
        <f t="shared" si="64"/>
        <v>18.151899999999998</v>
      </c>
      <c r="AE356">
        <f t="shared" si="65"/>
        <v>0.14125772276199999</v>
      </c>
      <c r="AF356" s="9"/>
      <c r="AG356" s="21">
        <v>1.6423000000000001</v>
      </c>
      <c r="AH356" s="21">
        <v>258.82799999999997</v>
      </c>
      <c r="AI356" s="21">
        <v>-1.1328100000000001E-2</v>
      </c>
      <c r="AJ356" s="21">
        <v>346</v>
      </c>
      <c r="AK356" s="21">
        <v>1.64185</v>
      </c>
      <c r="AL356">
        <f t="shared" si="66"/>
        <v>11.328100000000001</v>
      </c>
      <c r="AM356">
        <f t="shared" si="67"/>
        <v>18.604138630000001</v>
      </c>
      <c r="AP356" s="9"/>
      <c r="AQ356" s="21">
        <v>7.78198E-3</v>
      </c>
      <c r="AR356" s="21">
        <v>316.53300000000002</v>
      </c>
      <c r="AS356" s="21">
        <v>-1.8136599999999999E-2</v>
      </c>
      <c r="AT356" s="21">
        <v>346</v>
      </c>
      <c r="AU356" s="21">
        <v>7.66602E-3</v>
      </c>
      <c r="AV356">
        <f t="shared" si="68"/>
        <v>18.136599999999998</v>
      </c>
      <c r="AW356">
        <f t="shared" si="69"/>
        <v>0.14113865846799997</v>
      </c>
      <c r="AX356" s="9"/>
      <c r="AY356" s="21">
        <v>1.6423000000000001</v>
      </c>
      <c r="AZ356" s="21">
        <v>386.96300000000002</v>
      </c>
      <c r="BA356" s="21">
        <v>-1.1291499999999999E-2</v>
      </c>
      <c r="BB356" s="21">
        <v>346</v>
      </c>
      <c r="BC356" s="21">
        <v>1.64154</v>
      </c>
      <c r="BD356">
        <f t="shared" si="70"/>
        <v>11.291499999999999</v>
      </c>
      <c r="BE356">
        <f t="shared" si="71"/>
        <v>18.544030450000001</v>
      </c>
    </row>
    <row r="357" spans="6:57" x14ac:dyDescent="0.25">
      <c r="F357" s="9"/>
      <c r="G357" s="21">
        <v>2.7465800000000002E-3</v>
      </c>
      <c r="H357" s="21">
        <v>52.948900000000002</v>
      </c>
      <c r="I357" s="21">
        <v>-1.8179299999999999E-2</v>
      </c>
      <c r="J357" s="21">
        <v>347</v>
      </c>
      <c r="K357" s="21">
        <v>2.9022200000000001E-3</v>
      </c>
      <c r="L357">
        <f t="shared" si="60"/>
        <v>18.179299999999998</v>
      </c>
      <c r="M357">
        <f t="shared" si="61"/>
        <v>4.9930901793999997E-2</v>
      </c>
      <c r="N357" s="9"/>
      <c r="O357" s="21">
        <v>1.64734</v>
      </c>
      <c r="P357" s="21">
        <v>124.709</v>
      </c>
      <c r="Q357" s="21">
        <v>-1.10382E-2</v>
      </c>
      <c r="R357" s="21">
        <v>347</v>
      </c>
      <c r="S357" s="21">
        <v>1.64734</v>
      </c>
      <c r="T357">
        <f t="shared" si="62"/>
        <v>11.0382</v>
      </c>
      <c r="U357">
        <f t="shared" si="63"/>
        <v>18.183668388000001</v>
      </c>
      <c r="X357" s="9"/>
      <c r="Y357" s="21">
        <v>2.7465800000000002E-3</v>
      </c>
      <c r="Z357" s="21">
        <v>192.38399999999999</v>
      </c>
      <c r="AA357" s="21">
        <v>-1.8158000000000001E-2</v>
      </c>
      <c r="AB357" s="21">
        <v>347</v>
      </c>
      <c r="AC357" s="21">
        <v>3.3111600000000001E-3</v>
      </c>
      <c r="AD357">
        <f t="shared" si="64"/>
        <v>18.158000000000001</v>
      </c>
      <c r="AE357">
        <f t="shared" si="65"/>
        <v>4.9872399640000009E-2</v>
      </c>
      <c r="AF357" s="9"/>
      <c r="AG357" s="21">
        <v>1.64734</v>
      </c>
      <c r="AH357" s="21">
        <v>258.92899999999997</v>
      </c>
      <c r="AI357" s="21">
        <v>-1.06903E-2</v>
      </c>
      <c r="AJ357" s="21">
        <v>347</v>
      </c>
      <c r="AK357" s="21">
        <v>1.64673</v>
      </c>
      <c r="AL357">
        <f t="shared" si="66"/>
        <v>10.690300000000001</v>
      </c>
      <c r="AM357">
        <f t="shared" si="67"/>
        <v>17.610558802</v>
      </c>
      <c r="AP357" s="9"/>
      <c r="AQ357" s="21">
        <v>2.7465800000000002E-3</v>
      </c>
      <c r="AR357" s="21">
        <v>316.63400000000001</v>
      </c>
      <c r="AS357" s="21">
        <v>-1.8136599999999999E-2</v>
      </c>
      <c r="AT357" s="21">
        <v>347</v>
      </c>
      <c r="AU357" s="21">
        <v>2.5390600000000001E-3</v>
      </c>
      <c r="AV357">
        <f t="shared" si="68"/>
        <v>18.136599999999998</v>
      </c>
      <c r="AW357">
        <f t="shared" si="69"/>
        <v>4.9813622827999997E-2</v>
      </c>
      <c r="AX357" s="9"/>
      <c r="AY357" s="21">
        <v>1.64734</v>
      </c>
      <c r="AZ357" s="21">
        <v>387.06400000000002</v>
      </c>
      <c r="BA357" s="21">
        <v>-1.06903E-2</v>
      </c>
      <c r="BB357" s="21">
        <v>347</v>
      </c>
      <c r="BC357" s="21">
        <v>1.64642</v>
      </c>
      <c r="BD357">
        <f t="shared" si="70"/>
        <v>10.690300000000001</v>
      </c>
      <c r="BE357">
        <f t="shared" si="71"/>
        <v>17.610558802</v>
      </c>
    </row>
    <row r="358" spans="6:57" x14ac:dyDescent="0.25">
      <c r="F358" s="9"/>
      <c r="G358" s="21">
        <v>-2.28882E-3</v>
      </c>
      <c r="H358" s="21">
        <v>53.049599999999998</v>
      </c>
      <c r="I358" s="21">
        <v>-1.8185400000000001E-2</v>
      </c>
      <c r="J358" s="21">
        <v>348</v>
      </c>
      <c r="K358" s="21">
        <v>-2.1697999999999999E-3</v>
      </c>
      <c r="L358">
        <f t="shared" si="60"/>
        <v>18.185400000000001</v>
      </c>
      <c r="M358">
        <f t="shared" si="61"/>
        <v>-4.1623107228E-2</v>
      </c>
      <c r="N358" s="9"/>
      <c r="O358" s="21">
        <v>1.6523699999999999</v>
      </c>
      <c r="P358" s="21">
        <v>124.81</v>
      </c>
      <c r="Q358" s="21">
        <v>-1.03088E-2</v>
      </c>
      <c r="R358" s="21">
        <v>348</v>
      </c>
      <c r="S358" s="21">
        <v>1.6519200000000001</v>
      </c>
      <c r="T358">
        <f t="shared" si="62"/>
        <v>10.3088</v>
      </c>
      <c r="U358">
        <f t="shared" si="63"/>
        <v>17.033951855999998</v>
      </c>
      <c r="X358" s="9"/>
      <c r="Y358" s="21">
        <v>-2.28882E-3</v>
      </c>
      <c r="Z358" s="21">
        <v>192.48500000000001</v>
      </c>
      <c r="AA358" s="21">
        <v>-1.8158000000000001E-2</v>
      </c>
      <c r="AB358" s="21">
        <v>348</v>
      </c>
      <c r="AC358" s="21">
        <v>-1.7822300000000001E-3</v>
      </c>
      <c r="AD358">
        <f t="shared" si="64"/>
        <v>18.158000000000001</v>
      </c>
      <c r="AE358">
        <f t="shared" si="65"/>
        <v>-4.1560393560000006E-2</v>
      </c>
      <c r="AF358" s="9"/>
      <c r="AG358" s="21">
        <v>1.6523699999999999</v>
      </c>
      <c r="AH358" s="21">
        <v>259.02999999999997</v>
      </c>
      <c r="AI358" s="21">
        <v>-9.9639900000000007E-3</v>
      </c>
      <c r="AJ358" s="21">
        <v>348</v>
      </c>
      <c r="AK358" s="21">
        <v>1.65161</v>
      </c>
      <c r="AL358">
        <f t="shared" si="66"/>
        <v>9.9639900000000008</v>
      </c>
      <c r="AM358">
        <f t="shared" si="67"/>
        <v>16.4641981563</v>
      </c>
      <c r="AP358" s="9"/>
      <c r="AQ358" s="21">
        <v>-2.28882E-3</v>
      </c>
      <c r="AR358" s="21">
        <v>316.73500000000001</v>
      </c>
      <c r="AS358" s="21">
        <v>-1.8142700000000001E-2</v>
      </c>
      <c r="AT358" s="21">
        <v>348</v>
      </c>
      <c r="AU358" s="21">
        <v>-2.8381299999999999E-3</v>
      </c>
      <c r="AV358">
        <f t="shared" si="68"/>
        <v>18.142700000000001</v>
      </c>
      <c r="AW358">
        <f t="shared" si="69"/>
        <v>-4.1525374614E-2</v>
      </c>
      <c r="AX358" s="9"/>
      <c r="AY358" s="21">
        <v>1.6523699999999999</v>
      </c>
      <c r="AZ358" s="21">
        <v>387.16500000000002</v>
      </c>
      <c r="BA358" s="21">
        <v>-9.9670399999999999E-3</v>
      </c>
      <c r="BB358" s="21">
        <v>348</v>
      </c>
      <c r="BC358" s="21">
        <v>1.6513100000000001</v>
      </c>
      <c r="BD358">
        <f t="shared" si="70"/>
        <v>9.9670400000000008</v>
      </c>
      <c r="BE358">
        <f t="shared" si="71"/>
        <v>16.469237884800002</v>
      </c>
    </row>
    <row r="359" spans="6:57" x14ac:dyDescent="0.25">
      <c r="F359" s="9"/>
      <c r="G359" s="21">
        <v>-7.3242200000000002E-3</v>
      </c>
      <c r="H359" s="21">
        <v>53.150300000000001</v>
      </c>
      <c r="I359" s="21">
        <v>-1.8179299999999999E-2</v>
      </c>
      <c r="J359" s="21">
        <v>349</v>
      </c>
      <c r="K359" s="21">
        <v>-7.2631800000000002E-3</v>
      </c>
      <c r="L359">
        <f t="shared" si="60"/>
        <v>18.179299999999998</v>
      </c>
      <c r="M359">
        <f t="shared" si="61"/>
        <v>-0.13314919264599998</v>
      </c>
      <c r="N359" s="9"/>
      <c r="O359" s="21">
        <v>1.65741</v>
      </c>
      <c r="P359" s="21">
        <v>124.91</v>
      </c>
      <c r="Q359" s="21">
        <v>-9.4970699999999998E-3</v>
      </c>
      <c r="R359" s="21">
        <v>349</v>
      </c>
      <c r="S359" s="21">
        <v>1.65649</v>
      </c>
      <c r="T359">
        <f t="shared" si="62"/>
        <v>9.497069999999999</v>
      </c>
      <c r="U359">
        <f t="shared" si="63"/>
        <v>15.740538788699999</v>
      </c>
      <c r="X359" s="9"/>
      <c r="Y359" s="21">
        <v>-7.3242200000000002E-3</v>
      </c>
      <c r="Z359" s="21">
        <v>192.58600000000001</v>
      </c>
      <c r="AA359" s="21">
        <v>-1.8161E-2</v>
      </c>
      <c r="AB359" s="21">
        <v>349</v>
      </c>
      <c r="AC359" s="21">
        <v>-7.0129399999999996E-3</v>
      </c>
      <c r="AD359">
        <f t="shared" si="64"/>
        <v>18.161000000000001</v>
      </c>
      <c r="AE359">
        <f t="shared" si="65"/>
        <v>-0.13301515942</v>
      </c>
      <c r="AF359" s="9"/>
      <c r="AG359" s="21">
        <v>1.65741</v>
      </c>
      <c r="AH359" s="21">
        <v>259.13099999999997</v>
      </c>
      <c r="AI359" s="21">
        <v>-9.1247600000000009E-3</v>
      </c>
      <c r="AJ359" s="21">
        <v>349</v>
      </c>
      <c r="AK359" s="21">
        <v>1.6568000000000001</v>
      </c>
      <c r="AL359">
        <f t="shared" si="66"/>
        <v>9.1247600000000002</v>
      </c>
      <c r="AM359">
        <f t="shared" si="67"/>
        <v>15.123468471600001</v>
      </c>
      <c r="AP359" s="9"/>
      <c r="AQ359" s="21">
        <v>-7.3242200000000002E-3</v>
      </c>
      <c r="AR359" s="21">
        <v>316.83499999999998</v>
      </c>
      <c r="AS359" s="21">
        <v>-1.8142700000000001E-2</v>
      </c>
      <c r="AT359" s="21">
        <v>349</v>
      </c>
      <c r="AU359" s="21">
        <v>-7.34558E-3</v>
      </c>
      <c r="AV359">
        <f t="shared" si="68"/>
        <v>18.142700000000001</v>
      </c>
      <c r="AW359">
        <f t="shared" si="69"/>
        <v>-0.13288112619400003</v>
      </c>
      <c r="AX359" s="9"/>
      <c r="AY359" s="21">
        <v>1.65741</v>
      </c>
      <c r="AZ359" s="21">
        <v>387.26600000000002</v>
      </c>
      <c r="BA359" s="21">
        <v>-9.1674800000000004E-3</v>
      </c>
      <c r="BB359" s="21">
        <v>349</v>
      </c>
      <c r="BC359" s="21">
        <v>1.6561900000000001</v>
      </c>
      <c r="BD359">
        <f t="shared" si="70"/>
        <v>9.1674800000000012</v>
      </c>
      <c r="BE359">
        <f t="shared" si="71"/>
        <v>15.194273026800003</v>
      </c>
    </row>
    <row r="360" spans="6:57" x14ac:dyDescent="0.25">
      <c r="F360" s="9"/>
      <c r="G360" s="21">
        <v>-1.23596E-2</v>
      </c>
      <c r="H360" s="21">
        <v>53.250999999999998</v>
      </c>
      <c r="I360" s="21">
        <v>-1.8185400000000001E-2</v>
      </c>
      <c r="J360" s="21">
        <v>350</v>
      </c>
      <c r="K360" s="21">
        <v>-1.22253E-2</v>
      </c>
      <c r="L360">
        <f t="shared" si="60"/>
        <v>18.185400000000001</v>
      </c>
      <c r="M360">
        <f t="shared" si="61"/>
        <v>-0.22476426984000003</v>
      </c>
      <c r="N360" s="9"/>
      <c r="O360" s="21">
        <v>1.66245</v>
      </c>
      <c r="P360" s="21">
        <v>125.011</v>
      </c>
      <c r="Q360" s="21">
        <v>-8.5144000000000001E-3</v>
      </c>
      <c r="R360" s="21">
        <v>350</v>
      </c>
      <c r="S360" s="21">
        <v>1.6613800000000001</v>
      </c>
      <c r="T360">
        <f t="shared" si="62"/>
        <v>8.5144000000000002</v>
      </c>
      <c r="U360">
        <f t="shared" si="63"/>
        <v>14.15476428</v>
      </c>
      <c r="X360" s="9"/>
      <c r="Y360" s="21">
        <v>-1.23596E-2</v>
      </c>
      <c r="Z360" s="21">
        <v>192.68600000000001</v>
      </c>
      <c r="AA360" s="21">
        <v>-1.8167099999999999E-2</v>
      </c>
      <c r="AB360" s="21">
        <v>350</v>
      </c>
      <c r="AC360" s="21">
        <v>-1.23138E-2</v>
      </c>
      <c r="AD360">
        <f t="shared" si="64"/>
        <v>18.167099999999998</v>
      </c>
      <c r="AE360">
        <f t="shared" si="65"/>
        <v>-0.22453808915999998</v>
      </c>
      <c r="AF360" s="9"/>
      <c r="AG360" s="21">
        <v>1.66245</v>
      </c>
      <c r="AH360" s="21">
        <v>259.23099999999999</v>
      </c>
      <c r="AI360" s="21">
        <v>-8.10547E-3</v>
      </c>
      <c r="AJ360" s="21">
        <v>350</v>
      </c>
      <c r="AK360" s="21">
        <v>1.66168</v>
      </c>
      <c r="AL360">
        <f t="shared" si="66"/>
        <v>8.1054700000000004</v>
      </c>
      <c r="AM360">
        <f t="shared" si="67"/>
        <v>13.4749386015</v>
      </c>
      <c r="AP360" s="9"/>
      <c r="AQ360" s="21">
        <v>-1.23596E-2</v>
      </c>
      <c r="AR360" s="21">
        <v>316.93599999999998</v>
      </c>
      <c r="AS360" s="21">
        <v>-1.8139599999999999E-2</v>
      </c>
      <c r="AT360" s="21">
        <v>350</v>
      </c>
      <c r="AU360" s="21">
        <v>-1.20941E-2</v>
      </c>
      <c r="AV360">
        <f t="shared" si="68"/>
        <v>18.139599999999998</v>
      </c>
      <c r="AW360">
        <f t="shared" si="69"/>
        <v>-0.22419820015999997</v>
      </c>
      <c r="AX360" s="9"/>
      <c r="AY360" s="21">
        <v>1.66245</v>
      </c>
      <c r="AZ360" s="21">
        <v>387.36599999999999</v>
      </c>
      <c r="BA360" s="21">
        <v>-8.2183800000000008E-3</v>
      </c>
      <c r="BB360" s="21">
        <v>350</v>
      </c>
      <c r="BC360" s="21">
        <v>1.66168</v>
      </c>
      <c r="BD360">
        <f t="shared" si="70"/>
        <v>8.2183800000000016</v>
      </c>
      <c r="BE360">
        <f t="shared" si="71"/>
        <v>13.662645831000003</v>
      </c>
    </row>
    <row r="361" spans="6:57" x14ac:dyDescent="0.25">
      <c r="F361" s="9"/>
      <c r="G361" s="21">
        <v>-1.7395000000000001E-2</v>
      </c>
      <c r="H361" s="21">
        <v>53.351700000000001</v>
      </c>
      <c r="I361" s="21">
        <v>-1.8191499999999999E-2</v>
      </c>
      <c r="J361" s="21">
        <v>351</v>
      </c>
      <c r="K361" s="21">
        <v>-1.73309E-2</v>
      </c>
      <c r="L361">
        <f t="shared" si="60"/>
        <v>18.191499999999998</v>
      </c>
      <c r="M361">
        <f t="shared" si="61"/>
        <v>-0.31644114249999999</v>
      </c>
      <c r="N361" s="9"/>
      <c r="O361" s="21">
        <v>1.6674800000000001</v>
      </c>
      <c r="P361" s="21">
        <v>125.11199999999999</v>
      </c>
      <c r="Q361" s="21">
        <v>-7.3730499999999999E-3</v>
      </c>
      <c r="R361" s="21">
        <v>351</v>
      </c>
      <c r="S361" s="21">
        <v>1.6668700000000001</v>
      </c>
      <c r="T361">
        <f t="shared" si="62"/>
        <v>7.3730500000000001</v>
      </c>
      <c r="U361">
        <f t="shared" si="63"/>
        <v>12.294413414000001</v>
      </c>
      <c r="X361" s="9"/>
      <c r="Y361" s="21">
        <v>-1.7395000000000001E-2</v>
      </c>
      <c r="Z361" s="21">
        <v>192.78700000000001</v>
      </c>
      <c r="AA361" s="21">
        <v>-1.8170200000000001E-2</v>
      </c>
      <c r="AB361" s="21">
        <v>351</v>
      </c>
      <c r="AC361" s="21">
        <v>-1.8158000000000001E-2</v>
      </c>
      <c r="AD361">
        <f t="shared" si="64"/>
        <v>18.170200000000001</v>
      </c>
      <c r="AE361">
        <f t="shared" si="65"/>
        <v>-0.31607062900000005</v>
      </c>
      <c r="AF361" s="9"/>
      <c r="AG361" s="21">
        <v>1.6674800000000001</v>
      </c>
      <c r="AH361" s="21">
        <v>259.33199999999999</v>
      </c>
      <c r="AI361" s="21">
        <v>-6.9427500000000001E-3</v>
      </c>
      <c r="AJ361" s="21">
        <v>351</v>
      </c>
      <c r="AK361" s="21">
        <v>1.66656</v>
      </c>
      <c r="AL361">
        <f t="shared" si="66"/>
        <v>6.9427500000000002</v>
      </c>
      <c r="AM361">
        <f t="shared" si="67"/>
        <v>11.576896770000001</v>
      </c>
      <c r="AP361" s="9"/>
      <c r="AQ361" s="21">
        <v>-1.7395000000000001E-2</v>
      </c>
      <c r="AR361" s="21">
        <v>317.03699999999998</v>
      </c>
      <c r="AS361" s="21">
        <v>-1.8142700000000001E-2</v>
      </c>
      <c r="AT361" s="21">
        <v>351</v>
      </c>
      <c r="AU361" s="21">
        <v>-1.7456099999999999E-2</v>
      </c>
      <c r="AV361">
        <f t="shared" si="68"/>
        <v>18.142700000000001</v>
      </c>
      <c r="AW361">
        <f t="shared" si="69"/>
        <v>-0.31559226650000005</v>
      </c>
      <c r="AX361" s="9"/>
      <c r="AY361" s="21">
        <v>1.6674800000000001</v>
      </c>
      <c r="AZ361" s="21">
        <v>387.46699999999998</v>
      </c>
      <c r="BA361" s="21">
        <v>-7.1746800000000001E-3</v>
      </c>
      <c r="BB361" s="21">
        <v>351</v>
      </c>
      <c r="BC361" s="21">
        <v>1.6674800000000001</v>
      </c>
      <c r="BD361">
        <f t="shared" si="70"/>
        <v>7.1746800000000004</v>
      </c>
      <c r="BE361">
        <f t="shared" si="71"/>
        <v>11.963635406400002</v>
      </c>
    </row>
    <row r="362" spans="6:57" x14ac:dyDescent="0.25">
      <c r="F362" s="9"/>
      <c r="G362" s="21">
        <v>-2.24304E-2</v>
      </c>
      <c r="H362" s="21">
        <v>53.452399999999997</v>
      </c>
      <c r="I362" s="21">
        <v>-1.8191499999999999E-2</v>
      </c>
      <c r="J362" s="21">
        <v>352</v>
      </c>
      <c r="K362" s="21">
        <v>-2.2695900000000001E-2</v>
      </c>
      <c r="L362">
        <f t="shared" si="60"/>
        <v>18.191499999999998</v>
      </c>
      <c r="M362">
        <f t="shared" si="61"/>
        <v>-0.40804262159999993</v>
      </c>
      <c r="N362" s="9"/>
      <c r="O362" s="21">
        <v>1.67252</v>
      </c>
      <c r="P362" s="21">
        <v>125.21299999999999</v>
      </c>
      <c r="Q362" s="21">
        <v>-6.0455300000000003E-3</v>
      </c>
      <c r="R362" s="21">
        <v>352</v>
      </c>
      <c r="S362" s="21">
        <v>1.6714500000000001</v>
      </c>
      <c r="T362">
        <f t="shared" si="62"/>
        <v>6.0455300000000003</v>
      </c>
      <c r="U362">
        <f t="shared" si="63"/>
        <v>10.1112698356</v>
      </c>
      <c r="X362" s="9"/>
      <c r="Y362" s="21">
        <v>-2.24304E-2</v>
      </c>
      <c r="Z362" s="21">
        <v>192.88800000000001</v>
      </c>
      <c r="AA362" s="21">
        <v>-1.8170200000000001E-2</v>
      </c>
      <c r="AB362" s="21">
        <v>352</v>
      </c>
      <c r="AC362" s="21">
        <v>-2.2723400000000001E-2</v>
      </c>
      <c r="AD362">
        <f t="shared" si="64"/>
        <v>18.170200000000001</v>
      </c>
      <c r="AE362">
        <f t="shared" si="65"/>
        <v>-0.40756485408000004</v>
      </c>
      <c r="AF362" s="9"/>
      <c r="AG362" s="21">
        <v>1.67252</v>
      </c>
      <c r="AH362" s="21">
        <v>259.43299999999999</v>
      </c>
      <c r="AI362" s="21">
        <v>-5.6121799999999996E-3</v>
      </c>
      <c r="AJ362" s="21">
        <v>352</v>
      </c>
      <c r="AK362" s="21">
        <v>1.6708400000000001</v>
      </c>
      <c r="AL362">
        <f t="shared" si="66"/>
        <v>5.6121799999999995</v>
      </c>
      <c r="AM362">
        <f t="shared" si="67"/>
        <v>9.3864832935999996</v>
      </c>
      <c r="AP362" s="9"/>
      <c r="AQ362" s="21">
        <v>-2.24304E-2</v>
      </c>
      <c r="AR362" s="21">
        <v>317.13799999999998</v>
      </c>
      <c r="AS362" s="21">
        <v>-1.81488E-2</v>
      </c>
      <c r="AT362" s="21">
        <v>352</v>
      </c>
      <c r="AU362" s="21">
        <v>-2.2579999999999999E-2</v>
      </c>
      <c r="AV362">
        <f t="shared" si="68"/>
        <v>18.148800000000001</v>
      </c>
      <c r="AW362">
        <f t="shared" si="69"/>
        <v>-0.40708484352000002</v>
      </c>
      <c r="AX362" s="9"/>
      <c r="AY362" s="21">
        <v>1.67252</v>
      </c>
      <c r="AZ362" s="21">
        <v>387.56799999999998</v>
      </c>
      <c r="BA362" s="21">
        <v>-5.9509300000000001E-3</v>
      </c>
      <c r="BB362" s="21">
        <v>352</v>
      </c>
      <c r="BC362" s="21">
        <v>1.6717500000000001</v>
      </c>
      <c r="BD362">
        <f t="shared" si="70"/>
        <v>5.9509300000000005</v>
      </c>
      <c r="BE362">
        <f t="shared" si="71"/>
        <v>9.9530494436000012</v>
      </c>
    </row>
    <row r="363" spans="6:57" x14ac:dyDescent="0.25">
      <c r="F363" s="9"/>
      <c r="G363" s="21">
        <v>-2.7465799999999999E-2</v>
      </c>
      <c r="H363" s="21">
        <v>53.553100000000001</v>
      </c>
      <c r="I363" s="21">
        <v>-1.8197600000000001E-2</v>
      </c>
      <c r="J363" s="21">
        <v>353</v>
      </c>
      <c r="K363" s="21">
        <v>-2.7401700000000001E-2</v>
      </c>
      <c r="L363">
        <f t="shared" si="60"/>
        <v>18.197600000000001</v>
      </c>
      <c r="M363">
        <f t="shared" si="61"/>
        <v>-0.49981164208000001</v>
      </c>
      <c r="N363" s="9"/>
      <c r="O363" s="21">
        <v>1.6775500000000001</v>
      </c>
      <c r="P363" s="21">
        <v>125.313</v>
      </c>
      <c r="Q363" s="21">
        <v>-4.49585E-3</v>
      </c>
      <c r="R363" s="21">
        <v>353</v>
      </c>
      <c r="S363" s="21">
        <v>1.6763300000000001</v>
      </c>
      <c r="T363">
        <f t="shared" si="62"/>
        <v>4.4958499999999999</v>
      </c>
      <c r="U363">
        <f t="shared" si="63"/>
        <v>7.5420131675000004</v>
      </c>
      <c r="X363" s="9"/>
      <c r="Y363" s="21">
        <v>-2.7465799999999999E-2</v>
      </c>
      <c r="Z363" s="21">
        <v>192.988</v>
      </c>
      <c r="AA363" s="21">
        <v>-1.8170200000000001E-2</v>
      </c>
      <c r="AB363" s="21">
        <v>353</v>
      </c>
      <c r="AC363" s="21">
        <v>-2.7877800000000001E-2</v>
      </c>
      <c r="AD363">
        <f t="shared" si="64"/>
        <v>18.170200000000001</v>
      </c>
      <c r="AE363">
        <f t="shared" si="65"/>
        <v>-0.49905907916000003</v>
      </c>
      <c r="AF363" s="9"/>
      <c r="AG363" s="21">
        <v>1.6775500000000001</v>
      </c>
      <c r="AH363" s="21">
        <v>259.53300000000002</v>
      </c>
      <c r="AI363" s="21">
        <v>-4.1503900000000003E-3</v>
      </c>
      <c r="AJ363" s="21">
        <v>353</v>
      </c>
      <c r="AK363" s="21">
        <v>1.6766399999999999</v>
      </c>
      <c r="AL363">
        <f t="shared" si="66"/>
        <v>4.1503900000000007</v>
      </c>
      <c r="AM363">
        <f t="shared" si="67"/>
        <v>6.9624867445000014</v>
      </c>
      <c r="AP363" s="9"/>
      <c r="AQ363" s="21">
        <v>-2.7465799999999999E-2</v>
      </c>
      <c r="AR363" s="21">
        <v>317.238</v>
      </c>
      <c r="AS363" s="21">
        <v>-1.8154900000000002E-2</v>
      </c>
      <c r="AT363" s="21">
        <v>353</v>
      </c>
      <c r="AU363" s="21">
        <v>-2.73254E-2</v>
      </c>
      <c r="AV363">
        <f t="shared" si="68"/>
        <v>18.154900000000001</v>
      </c>
      <c r="AW363">
        <f t="shared" si="69"/>
        <v>-0.49863885242</v>
      </c>
      <c r="AX363" s="9"/>
      <c r="AY363" s="21">
        <v>1.6775500000000001</v>
      </c>
      <c r="AZ363" s="21">
        <v>387.66800000000001</v>
      </c>
      <c r="BA363" s="21">
        <v>-4.6224999999999999E-3</v>
      </c>
      <c r="BB363" s="21">
        <v>353</v>
      </c>
      <c r="BC363" s="21">
        <v>1.6760299999999999</v>
      </c>
      <c r="BD363">
        <f t="shared" si="70"/>
        <v>4.6224999999999996</v>
      </c>
      <c r="BE363">
        <f t="shared" si="71"/>
        <v>7.7544748749999997</v>
      </c>
    </row>
    <row r="364" spans="6:57" x14ac:dyDescent="0.25">
      <c r="F364" s="9"/>
      <c r="G364" s="21">
        <v>-3.2501200000000001E-2</v>
      </c>
      <c r="H364" s="21">
        <v>53.653799999999997</v>
      </c>
      <c r="I364" s="21">
        <v>-1.82007E-2</v>
      </c>
      <c r="J364" s="21">
        <v>354</v>
      </c>
      <c r="K364" s="21">
        <v>-3.2772799999999998E-2</v>
      </c>
      <c r="L364">
        <f t="shared" si="60"/>
        <v>18.200700000000001</v>
      </c>
      <c r="M364">
        <f t="shared" si="61"/>
        <v>-0.59154459084000011</v>
      </c>
      <c r="N364" s="9"/>
      <c r="O364" s="21">
        <v>1.68259</v>
      </c>
      <c r="P364" s="21">
        <v>125.414</v>
      </c>
      <c r="Q364" s="21">
        <v>-2.7868699999999999E-3</v>
      </c>
      <c r="R364" s="21">
        <v>354</v>
      </c>
      <c r="S364" s="21">
        <v>1.6818200000000001</v>
      </c>
      <c r="T364">
        <f t="shared" si="62"/>
        <v>2.78687</v>
      </c>
      <c r="U364">
        <f t="shared" si="63"/>
        <v>4.6891595933000003</v>
      </c>
      <c r="X364" s="9"/>
      <c r="Y364" s="21">
        <v>-3.2501200000000001E-2</v>
      </c>
      <c r="Z364" s="21">
        <v>193.089</v>
      </c>
      <c r="AA364" s="21">
        <v>-1.81732E-2</v>
      </c>
      <c r="AB364" s="21">
        <v>354</v>
      </c>
      <c r="AC364" s="21">
        <v>-3.2611099999999997E-2</v>
      </c>
      <c r="AD364">
        <f t="shared" si="64"/>
        <v>18.173200000000001</v>
      </c>
      <c r="AE364">
        <f t="shared" si="65"/>
        <v>-0.59065080784000001</v>
      </c>
      <c r="AF364" s="9"/>
      <c r="AG364" s="21">
        <v>1.68259</v>
      </c>
      <c r="AH364" s="21">
        <v>259.63400000000001</v>
      </c>
      <c r="AI364" s="21">
        <v>-2.5372300000000001E-3</v>
      </c>
      <c r="AJ364" s="21">
        <v>354</v>
      </c>
      <c r="AK364" s="21">
        <v>1.6812100000000001</v>
      </c>
      <c r="AL364">
        <f t="shared" si="66"/>
        <v>2.5372300000000001</v>
      </c>
      <c r="AM364">
        <f t="shared" si="67"/>
        <v>4.2691178257000004</v>
      </c>
      <c r="AP364" s="9"/>
      <c r="AQ364" s="21">
        <v>-3.2501200000000001E-2</v>
      </c>
      <c r="AR364" s="21">
        <v>317.339</v>
      </c>
      <c r="AS364" s="21">
        <v>-1.8158000000000001E-2</v>
      </c>
      <c r="AT364" s="21">
        <v>354</v>
      </c>
      <c r="AU364" s="21">
        <v>-3.2611099999999997E-2</v>
      </c>
      <c r="AV364">
        <f t="shared" si="68"/>
        <v>18.158000000000001</v>
      </c>
      <c r="AW364">
        <f t="shared" si="69"/>
        <v>-0.59015678960000006</v>
      </c>
      <c r="AX364" s="9"/>
      <c r="AY364" s="21">
        <v>1.68259</v>
      </c>
      <c r="AZ364" s="21">
        <v>387.76900000000001</v>
      </c>
      <c r="BA364" s="21">
        <v>-3.17688E-3</v>
      </c>
      <c r="BB364" s="21">
        <v>354</v>
      </c>
      <c r="BC364" s="21">
        <v>1.6818200000000001</v>
      </c>
      <c r="BD364">
        <f t="shared" si="70"/>
        <v>3.1768800000000001</v>
      </c>
      <c r="BE364">
        <f t="shared" si="71"/>
        <v>5.3453865192000007</v>
      </c>
    </row>
    <row r="365" spans="6:57" x14ac:dyDescent="0.25">
      <c r="F365" s="9"/>
      <c r="G365" s="21">
        <v>-3.7536600000000003E-2</v>
      </c>
      <c r="H365" s="21">
        <v>53.7545</v>
      </c>
      <c r="I365" s="21">
        <v>-1.82007E-2</v>
      </c>
      <c r="J365" s="21">
        <v>355</v>
      </c>
      <c r="K365" s="21">
        <v>-3.77136E-2</v>
      </c>
      <c r="L365">
        <f t="shared" si="60"/>
        <v>18.200700000000001</v>
      </c>
      <c r="M365">
        <f t="shared" si="61"/>
        <v>-0.68319239562000011</v>
      </c>
      <c r="N365" s="9"/>
      <c r="O365" s="21">
        <v>1.6876199999999999</v>
      </c>
      <c r="P365" s="21">
        <v>125.515</v>
      </c>
      <c r="Q365" s="21">
        <v>-1.02844E-3</v>
      </c>
      <c r="R365" s="21">
        <v>355</v>
      </c>
      <c r="S365" s="21">
        <v>1.6870099999999999</v>
      </c>
      <c r="T365">
        <f t="shared" si="62"/>
        <v>1.02844</v>
      </c>
      <c r="U365">
        <f t="shared" si="63"/>
        <v>1.7356159127999999</v>
      </c>
      <c r="X365" s="9"/>
      <c r="Y365" s="21">
        <v>-3.7536600000000003E-2</v>
      </c>
      <c r="Z365" s="21">
        <v>193.19</v>
      </c>
      <c r="AA365" s="21">
        <v>-1.8182400000000001E-2</v>
      </c>
      <c r="AB365" s="21">
        <v>355</v>
      </c>
      <c r="AC365" s="21">
        <v>-3.7271100000000001E-2</v>
      </c>
      <c r="AD365">
        <f t="shared" si="64"/>
        <v>18.182400000000001</v>
      </c>
      <c r="AE365">
        <f t="shared" si="65"/>
        <v>-0.6825054758400001</v>
      </c>
      <c r="AF365" s="9"/>
      <c r="AG365" s="21">
        <v>1.6876199999999999</v>
      </c>
      <c r="AH365" s="21">
        <v>259.73500000000001</v>
      </c>
      <c r="AI365" s="21">
        <v>-9.4024699999999996E-4</v>
      </c>
      <c r="AJ365" s="21">
        <v>355</v>
      </c>
      <c r="AK365" s="21">
        <v>1.6867099999999999</v>
      </c>
      <c r="AL365">
        <f t="shared" si="66"/>
        <v>0.94024699999999994</v>
      </c>
      <c r="AM365">
        <f t="shared" si="67"/>
        <v>1.5867796421399998</v>
      </c>
      <c r="AP365" s="9"/>
      <c r="AQ365" s="21">
        <v>-3.7536600000000003E-2</v>
      </c>
      <c r="AR365" s="21">
        <v>317.44</v>
      </c>
      <c r="AS365" s="21">
        <v>-1.8161E-2</v>
      </c>
      <c r="AT365" s="21">
        <v>355</v>
      </c>
      <c r="AU365" s="21">
        <v>-3.7658700000000003E-2</v>
      </c>
      <c r="AV365">
        <f t="shared" si="68"/>
        <v>18.161000000000001</v>
      </c>
      <c r="AW365">
        <f t="shared" si="69"/>
        <v>-0.68170219260000009</v>
      </c>
      <c r="AX365" s="9"/>
      <c r="AY365" s="21">
        <v>1.6876199999999999</v>
      </c>
      <c r="AZ365" s="21">
        <v>387.87</v>
      </c>
      <c r="BA365" s="21">
        <v>-1.6732800000000001E-3</v>
      </c>
      <c r="BB365" s="21">
        <v>355</v>
      </c>
      <c r="BC365" s="21">
        <v>1.6870099999999999</v>
      </c>
      <c r="BD365">
        <f t="shared" si="70"/>
        <v>1.6732800000000001</v>
      </c>
      <c r="BE365">
        <f t="shared" si="71"/>
        <v>2.8238607936000002</v>
      </c>
    </row>
    <row r="366" spans="6:57" x14ac:dyDescent="0.25">
      <c r="F366" s="9"/>
      <c r="G366" s="21">
        <v>-4.2571999999999999E-2</v>
      </c>
      <c r="H366" s="21">
        <v>53.855200000000004</v>
      </c>
      <c r="I366" s="21">
        <v>-1.8206799999999999E-2</v>
      </c>
      <c r="J366" s="21">
        <v>356</v>
      </c>
      <c r="K366" s="21">
        <v>-4.2611700000000002E-2</v>
      </c>
      <c r="L366">
        <f t="shared" si="60"/>
        <v>18.206799999999998</v>
      </c>
      <c r="M366">
        <f t="shared" si="61"/>
        <v>-0.77509988959999987</v>
      </c>
      <c r="N366" s="9"/>
      <c r="O366" s="21">
        <v>1.6926600000000001</v>
      </c>
      <c r="P366" s="21">
        <v>125.61499999999999</v>
      </c>
      <c r="Q366" s="21">
        <v>8.8928200000000003E-4</v>
      </c>
      <c r="R366" s="21">
        <v>356</v>
      </c>
      <c r="S366" s="21">
        <v>1.6918899999999999</v>
      </c>
      <c r="T366">
        <f t="shared" si="62"/>
        <v>-0.88928200000000002</v>
      </c>
      <c r="U366">
        <f t="shared" si="63"/>
        <v>-1.5052520701200001</v>
      </c>
      <c r="X366" s="9"/>
      <c r="Y366" s="21">
        <v>-4.2571999999999999E-2</v>
      </c>
      <c r="Z366" s="21">
        <v>193.29</v>
      </c>
      <c r="AA366" s="21">
        <v>-1.8182400000000001E-2</v>
      </c>
      <c r="AB366" s="21">
        <v>356</v>
      </c>
      <c r="AC366" s="21">
        <v>-4.2578100000000001E-2</v>
      </c>
      <c r="AD366">
        <f t="shared" si="64"/>
        <v>18.182400000000001</v>
      </c>
      <c r="AE366">
        <f t="shared" si="65"/>
        <v>-0.7740611328</v>
      </c>
      <c r="AF366" s="9"/>
      <c r="AG366" s="21">
        <v>1.6926600000000001</v>
      </c>
      <c r="AH366" s="21">
        <v>259.83600000000001</v>
      </c>
      <c r="AI366" s="21">
        <v>7.4493400000000005E-4</v>
      </c>
      <c r="AJ366" s="21">
        <v>356</v>
      </c>
      <c r="AK366" s="21">
        <v>1.6918899999999999</v>
      </c>
      <c r="AL366">
        <f t="shared" si="66"/>
        <v>-0.7449340000000001</v>
      </c>
      <c r="AM366">
        <f t="shared" si="67"/>
        <v>-1.2609199844400003</v>
      </c>
      <c r="AP366" s="9"/>
      <c r="AQ366" s="21">
        <v>-4.2571999999999999E-2</v>
      </c>
      <c r="AR366" s="21">
        <v>317.54000000000002</v>
      </c>
      <c r="AS366" s="21">
        <v>-1.8164099999999999E-2</v>
      </c>
      <c r="AT366" s="21">
        <v>356</v>
      </c>
      <c r="AU366" s="21">
        <v>-4.2904699999999997E-2</v>
      </c>
      <c r="AV366">
        <f t="shared" si="68"/>
        <v>18.164099999999998</v>
      </c>
      <c r="AW366">
        <f t="shared" si="69"/>
        <v>-0.77328206519999987</v>
      </c>
      <c r="AX366" s="9"/>
      <c r="AY366" s="21">
        <v>1.6926600000000001</v>
      </c>
      <c r="AZ366" s="21">
        <v>387.971</v>
      </c>
      <c r="BA366" s="21">
        <v>-1.15936E-4</v>
      </c>
      <c r="BB366" s="21">
        <v>356</v>
      </c>
      <c r="BC366" s="21">
        <v>1.6915899999999999</v>
      </c>
      <c r="BD366">
        <f t="shared" si="70"/>
        <v>0.115936</v>
      </c>
      <c r="BE366">
        <f t="shared" si="71"/>
        <v>0.19624022976</v>
      </c>
    </row>
    <row r="367" spans="6:57" x14ac:dyDescent="0.25">
      <c r="F367" s="9"/>
      <c r="G367" s="21">
        <v>-4.7607400000000001E-2</v>
      </c>
      <c r="H367" s="21">
        <v>53.956000000000003</v>
      </c>
      <c r="I367" s="21">
        <v>-1.8209800000000002E-2</v>
      </c>
      <c r="J367" s="21">
        <v>357</v>
      </c>
      <c r="K367" s="21">
        <v>-4.7973599999999998E-2</v>
      </c>
      <c r="L367">
        <f t="shared" si="60"/>
        <v>18.209800000000001</v>
      </c>
      <c r="M367">
        <f t="shared" si="61"/>
        <v>-0.86692123252000008</v>
      </c>
      <c r="N367" s="9"/>
      <c r="O367" s="21">
        <v>1.6976899999999999</v>
      </c>
      <c r="P367" s="21">
        <v>125.71599999999999</v>
      </c>
      <c r="Q367" s="21">
        <v>2.9696700000000002E-3</v>
      </c>
      <c r="R367" s="21">
        <v>357</v>
      </c>
      <c r="S367" s="21">
        <v>1.69678</v>
      </c>
      <c r="T367">
        <f t="shared" si="62"/>
        <v>-2.9696700000000003</v>
      </c>
      <c r="U367">
        <f t="shared" si="63"/>
        <v>-5.0415790623000003</v>
      </c>
      <c r="X367" s="9"/>
      <c r="Y367" s="21">
        <v>-4.7607400000000001E-2</v>
      </c>
      <c r="Z367" s="21">
        <v>193.39099999999999</v>
      </c>
      <c r="AA367" s="21">
        <v>-1.8182400000000001E-2</v>
      </c>
      <c r="AB367" s="21">
        <v>357</v>
      </c>
      <c r="AC367" s="21">
        <v>-4.7839399999999997E-2</v>
      </c>
      <c r="AD367">
        <f t="shared" si="64"/>
        <v>18.182400000000001</v>
      </c>
      <c r="AE367">
        <f t="shared" si="65"/>
        <v>-0.86561678976000012</v>
      </c>
      <c r="AF367" s="9"/>
      <c r="AG367" s="21">
        <v>1.6976899999999999</v>
      </c>
      <c r="AH367" s="21">
        <v>259.93599999999998</v>
      </c>
      <c r="AI367" s="21">
        <v>2.4716199999999999E-3</v>
      </c>
      <c r="AJ367" s="21">
        <v>357</v>
      </c>
      <c r="AK367" s="21">
        <v>1.69678</v>
      </c>
      <c r="AL367">
        <f t="shared" si="66"/>
        <v>-2.4716199999999997</v>
      </c>
      <c r="AM367">
        <f t="shared" si="67"/>
        <v>-4.1960445577999996</v>
      </c>
      <c r="AP367" s="9"/>
      <c r="AQ367" s="21">
        <v>-4.7607400000000001E-2</v>
      </c>
      <c r="AR367" s="21">
        <v>317.64100000000002</v>
      </c>
      <c r="AS367" s="21">
        <v>-1.8164099999999999E-2</v>
      </c>
      <c r="AT367" s="21">
        <v>357</v>
      </c>
      <c r="AU367" s="21">
        <v>-4.7692900000000003E-2</v>
      </c>
      <c r="AV367">
        <f t="shared" si="68"/>
        <v>18.164099999999998</v>
      </c>
      <c r="AW367">
        <f t="shared" si="69"/>
        <v>-0.86474557433999988</v>
      </c>
      <c r="AX367" s="9"/>
      <c r="AY367" s="21">
        <v>1.6976899999999999</v>
      </c>
      <c r="AZ367" s="21">
        <v>388.07100000000003</v>
      </c>
      <c r="BA367" s="21">
        <v>1.5035999999999999E-3</v>
      </c>
      <c r="BB367" s="21">
        <v>357</v>
      </c>
      <c r="BC367" s="21">
        <v>1.6970799999999999</v>
      </c>
      <c r="BD367">
        <f t="shared" si="70"/>
        <v>-1.5035999999999998</v>
      </c>
      <c r="BE367">
        <f t="shared" si="71"/>
        <v>-2.5526466839999995</v>
      </c>
    </row>
    <row r="368" spans="6:57" x14ac:dyDescent="0.25">
      <c r="F368" s="9"/>
      <c r="G368" s="21">
        <v>-5.2642799999999997E-2</v>
      </c>
      <c r="H368" s="21">
        <v>54.056699999999999</v>
      </c>
      <c r="I368" s="21">
        <v>-1.8206799999999999E-2</v>
      </c>
      <c r="J368" s="21">
        <v>358</v>
      </c>
      <c r="K368" s="21">
        <v>-5.2673299999999999E-2</v>
      </c>
      <c r="L368">
        <f t="shared" si="60"/>
        <v>18.206799999999998</v>
      </c>
      <c r="M368">
        <f t="shared" si="61"/>
        <v>-0.95845693103999985</v>
      </c>
      <c r="N368" s="9"/>
      <c r="O368" s="21">
        <v>1.7027300000000001</v>
      </c>
      <c r="P368" s="21">
        <v>125.81699999999999</v>
      </c>
      <c r="Q368" s="21">
        <v>5.01404E-3</v>
      </c>
      <c r="R368" s="21">
        <v>358</v>
      </c>
      <c r="S368" s="21">
        <v>1.70197</v>
      </c>
      <c r="T368">
        <f t="shared" si="62"/>
        <v>-5.0140399999999996</v>
      </c>
      <c r="U368">
        <f t="shared" si="63"/>
        <v>-8.5375563291999992</v>
      </c>
      <c r="X368" s="9"/>
      <c r="Y368" s="21">
        <v>-5.2642799999999997E-2</v>
      </c>
      <c r="Z368" s="21">
        <v>193.49199999999999</v>
      </c>
      <c r="AA368" s="21">
        <v>-1.8185400000000001E-2</v>
      </c>
      <c r="AB368" s="21">
        <v>358</v>
      </c>
      <c r="AC368" s="21">
        <v>-5.2764900000000003E-2</v>
      </c>
      <c r="AD368">
        <f t="shared" si="64"/>
        <v>18.185400000000001</v>
      </c>
      <c r="AE368">
        <f t="shared" si="65"/>
        <v>-0.95733037511999997</v>
      </c>
      <c r="AF368" s="9"/>
      <c r="AG368" s="21">
        <v>1.7027300000000001</v>
      </c>
      <c r="AH368" s="21">
        <v>260.03699999999998</v>
      </c>
      <c r="AI368" s="21">
        <v>4.2990099999999998E-3</v>
      </c>
      <c r="AJ368" s="21">
        <v>358</v>
      </c>
      <c r="AK368" s="21">
        <v>1.7013499999999999</v>
      </c>
      <c r="AL368">
        <f t="shared" si="66"/>
        <v>-4.29901</v>
      </c>
      <c r="AM368">
        <f t="shared" si="67"/>
        <v>-7.3200532973000003</v>
      </c>
      <c r="AP368" s="9"/>
      <c r="AQ368" s="21">
        <v>-5.2642799999999997E-2</v>
      </c>
      <c r="AR368" s="21">
        <v>317.74200000000002</v>
      </c>
      <c r="AS368" s="21">
        <v>-1.8170200000000001E-2</v>
      </c>
      <c r="AT368" s="21">
        <v>358</v>
      </c>
      <c r="AU368" s="21">
        <v>-5.3009000000000001E-2</v>
      </c>
      <c r="AV368">
        <f t="shared" si="68"/>
        <v>18.170200000000001</v>
      </c>
      <c r="AW368">
        <f t="shared" si="69"/>
        <v>-0.95653020456000004</v>
      </c>
      <c r="AX368" s="9"/>
      <c r="AY368" s="21">
        <v>1.7027300000000001</v>
      </c>
      <c r="AZ368" s="21">
        <v>388.17200000000003</v>
      </c>
      <c r="BA368" s="21">
        <v>3.07465E-3</v>
      </c>
      <c r="BB368" s="21">
        <v>358</v>
      </c>
      <c r="BC368" s="21">
        <v>1.7022699999999999</v>
      </c>
      <c r="BD368">
        <f t="shared" si="70"/>
        <v>-3.0746500000000001</v>
      </c>
      <c r="BE368">
        <f t="shared" si="71"/>
        <v>-5.2352987945000002</v>
      </c>
    </row>
    <row r="369" spans="6:57" x14ac:dyDescent="0.25">
      <c r="F369" s="9"/>
      <c r="G369" s="21">
        <v>-5.7678199999999999E-2</v>
      </c>
      <c r="H369" s="21">
        <v>54.157400000000003</v>
      </c>
      <c r="I369" s="21">
        <v>-1.8209800000000002E-2</v>
      </c>
      <c r="J369" s="21">
        <v>359</v>
      </c>
      <c r="K369" s="21">
        <v>-5.7861299999999997E-2</v>
      </c>
      <c r="L369">
        <f t="shared" si="60"/>
        <v>18.209800000000001</v>
      </c>
      <c r="M369">
        <f t="shared" si="61"/>
        <v>-1.0503084863600001</v>
      </c>
      <c r="N369" s="9"/>
      <c r="O369" s="21">
        <v>1.7077599999999999</v>
      </c>
      <c r="P369" s="21">
        <v>125.91800000000001</v>
      </c>
      <c r="Q369" s="21">
        <v>7.0678700000000004E-3</v>
      </c>
      <c r="R369" s="21">
        <v>359</v>
      </c>
      <c r="S369" s="21">
        <v>1.7071499999999999</v>
      </c>
      <c r="T369">
        <f t="shared" si="62"/>
        <v>-7.0678700000000001</v>
      </c>
      <c r="U369">
        <f t="shared" si="63"/>
        <v>-12.070225671199999</v>
      </c>
      <c r="X369" s="9"/>
      <c r="Y369" s="21">
        <v>-5.7678199999999999E-2</v>
      </c>
      <c r="Z369" s="21">
        <v>193.59299999999999</v>
      </c>
      <c r="AA369" s="21">
        <v>-1.8191499999999999E-2</v>
      </c>
      <c r="AB369" s="21">
        <v>359</v>
      </c>
      <c r="AC369" s="21">
        <v>-5.7861299999999997E-2</v>
      </c>
      <c r="AD369">
        <f t="shared" si="64"/>
        <v>18.191499999999998</v>
      </c>
      <c r="AE369">
        <f t="shared" si="65"/>
        <v>-1.0492529752999999</v>
      </c>
      <c r="AF369" s="9"/>
      <c r="AG369" s="21">
        <v>1.7077599999999999</v>
      </c>
      <c r="AH369" s="21">
        <v>260.13799999999998</v>
      </c>
      <c r="AI369" s="21">
        <v>6.1309800000000003E-3</v>
      </c>
      <c r="AJ369" s="21">
        <v>359</v>
      </c>
      <c r="AK369" s="21">
        <v>1.7077599999999999</v>
      </c>
      <c r="AL369">
        <f t="shared" si="66"/>
        <v>-6.1309800000000001</v>
      </c>
      <c r="AM369">
        <f t="shared" si="67"/>
        <v>-10.4702424048</v>
      </c>
      <c r="AP369" s="9"/>
      <c r="AQ369" s="21">
        <v>-5.7678199999999999E-2</v>
      </c>
      <c r="AR369" s="21">
        <v>317.84300000000002</v>
      </c>
      <c r="AS369" s="21">
        <v>-1.8170200000000001E-2</v>
      </c>
      <c r="AT369" s="21">
        <v>359</v>
      </c>
      <c r="AU369" s="21">
        <v>-5.8196999999999999E-2</v>
      </c>
      <c r="AV369">
        <f t="shared" si="68"/>
        <v>18.170200000000001</v>
      </c>
      <c r="AW369">
        <f t="shared" si="69"/>
        <v>-1.0480244296400001</v>
      </c>
      <c r="AX369" s="9"/>
      <c r="AY369" s="21">
        <v>1.7077599999999999</v>
      </c>
      <c r="AZ369" s="21">
        <v>388.27300000000002</v>
      </c>
      <c r="BA369" s="21">
        <v>4.7509800000000001E-3</v>
      </c>
      <c r="BB369" s="21">
        <v>359</v>
      </c>
      <c r="BC369" s="21">
        <v>1.7065399999999999</v>
      </c>
      <c r="BD369">
        <f t="shared" si="70"/>
        <v>-4.7509800000000002</v>
      </c>
      <c r="BE369">
        <f t="shared" si="71"/>
        <v>-8.1135336048000006</v>
      </c>
    </row>
    <row r="370" spans="6:57" x14ac:dyDescent="0.25">
      <c r="F370" s="9"/>
      <c r="G370" s="21">
        <v>-6.2713599999999994E-2</v>
      </c>
      <c r="H370" s="21">
        <v>54.258099999999999</v>
      </c>
      <c r="I370" s="21">
        <v>-1.82159E-2</v>
      </c>
      <c r="J370" s="21">
        <v>360</v>
      </c>
      <c r="K370" s="21">
        <v>-6.2988299999999997E-2</v>
      </c>
      <c r="L370">
        <f t="shared" si="60"/>
        <v>18.215900000000001</v>
      </c>
      <c r="M370">
        <f t="shared" si="61"/>
        <v>-1.1423846662399999</v>
      </c>
      <c r="N370" s="9"/>
      <c r="O370" s="21">
        <v>1.7128000000000001</v>
      </c>
      <c r="P370" s="21">
        <v>126.018</v>
      </c>
      <c r="Q370" s="21">
        <v>9.0759299999999994E-3</v>
      </c>
      <c r="R370" s="21">
        <v>360</v>
      </c>
      <c r="S370" s="21">
        <v>1.71234</v>
      </c>
      <c r="T370">
        <f t="shared" si="62"/>
        <v>-9.0759299999999996</v>
      </c>
      <c r="U370">
        <f t="shared" si="63"/>
        <v>-15.545252904</v>
      </c>
      <c r="X370" s="9"/>
      <c r="Y370" s="21">
        <v>-6.2713599999999994E-2</v>
      </c>
      <c r="Z370" s="21">
        <v>193.69300000000001</v>
      </c>
      <c r="AA370" s="21">
        <v>-1.8191499999999999E-2</v>
      </c>
      <c r="AB370" s="21">
        <v>360</v>
      </c>
      <c r="AC370" s="21">
        <v>-6.28967E-2</v>
      </c>
      <c r="AD370">
        <f t="shared" si="64"/>
        <v>18.191499999999998</v>
      </c>
      <c r="AE370">
        <f t="shared" si="65"/>
        <v>-1.1408544543999997</v>
      </c>
      <c r="AF370" s="9"/>
      <c r="AG370" s="21">
        <v>1.7128000000000001</v>
      </c>
      <c r="AH370" s="21">
        <v>260.238</v>
      </c>
      <c r="AI370" s="21">
        <v>8.0902100000000005E-3</v>
      </c>
      <c r="AJ370" s="21">
        <v>360</v>
      </c>
      <c r="AK370" s="21">
        <v>1.71173</v>
      </c>
      <c r="AL370">
        <f t="shared" si="66"/>
        <v>-8.0902100000000008</v>
      </c>
      <c r="AM370">
        <f t="shared" si="67"/>
        <v>-13.856911688000002</v>
      </c>
      <c r="AP370" s="9"/>
      <c r="AQ370" s="21">
        <v>-6.2713599999999994E-2</v>
      </c>
      <c r="AR370" s="21">
        <v>317.94299999999998</v>
      </c>
      <c r="AS370" s="21">
        <v>-1.8170200000000001E-2</v>
      </c>
      <c r="AT370" s="21">
        <v>360</v>
      </c>
      <c r="AU370" s="21">
        <v>-6.3079800000000005E-2</v>
      </c>
      <c r="AV370">
        <f t="shared" si="68"/>
        <v>18.170200000000001</v>
      </c>
      <c r="AW370">
        <f t="shared" si="69"/>
        <v>-1.13951865472</v>
      </c>
      <c r="AX370" s="9"/>
      <c r="AY370" s="21">
        <v>1.7128000000000001</v>
      </c>
      <c r="AZ370" s="21">
        <v>388.37299999999999</v>
      </c>
      <c r="BA370" s="21">
        <v>6.4209000000000002E-3</v>
      </c>
      <c r="BB370" s="21">
        <v>360</v>
      </c>
      <c r="BC370" s="21">
        <v>1.71204</v>
      </c>
      <c r="BD370">
        <f t="shared" si="70"/>
        <v>-6.4209000000000005</v>
      </c>
      <c r="BE370">
        <f t="shared" si="71"/>
        <v>-10.997717520000002</v>
      </c>
    </row>
    <row r="371" spans="6:57" x14ac:dyDescent="0.25">
      <c r="F371" s="9"/>
      <c r="G371" s="21">
        <v>-6.7749000000000004E-2</v>
      </c>
      <c r="H371" s="21">
        <v>54.358800000000002</v>
      </c>
      <c r="I371" s="21">
        <v>-1.8218999999999999E-2</v>
      </c>
      <c r="J371" s="21">
        <v>361</v>
      </c>
      <c r="K371" s="21">
        <v>-6.8420400000000006E-2</v>
      </c>
      <c r="L371">
        <f t="shared" si="60"/>
        <v>18.218999999999998</v>
      </c>
      <c r="M371">
        <f t="shared" si="61"/>
        <v>-1.2343190309999998</v>
      </c>
      <c r="N371" s="9"/>
      <c r="O371" s="21">
        <v>1.71783</v>
      </c>
      <c r="P371" s="21">
        <v>126.119</v>
      </c>
      <c r="Q371" s="21">
        <v>1.1068700000000001E-2</v>
      </c>
      <c r="R371" s="21">
        <v>361</v>
      </c>
      <c r="S371" s="21">
        <v>1.71692</v>
      </c>
      <c r="T371">
        <f t="shared" si="62"/>
        <v>-11.068700000000002</v>
      </c>
      <c r="U371">
        <f t="shared" si="63"/>
        <v>-19.014144921000003</v>
      </c>
      <c r="X371" s="9"/>
      <c r="Y371" s="21">
        <v>-6.7749000000000004E-2</v>
      </c>
      <c r="Z371" s="21">
        <v>193.79400000000001</v>
      </c>
      <c r="AA371" s="21">
        <v>-1.82007E-2</v>
      </c>
      <c r="AB371" s="21">
        <v>361</v>
      </c>
      <c r="AC371" s="21">
        <v>-6.7840600000000001E-2</v>
      </c>
      <c r="AD371">
        <f t="shared" si="64"/>
        <v>18.200700000000001</v>
      </c>
      <c r="AE371">
        <f t="shared" si="65"/>
        <v>-1.2330792243000002</v>
      </c>
      <c r="AF371" s="9"/>
      <c r="AG371" s="21">
        <v>1.71783</v>
      </c>
      <c r="AH371" s="21">
        <v>260.339</v>
      </c>
      <c r="AI371" s="21">
        <v>1.0024999999999999E-2</v>
      </c>
      <c r="AJ371" s="21">
        <v>361</v>
      </c>
      <c r="AK371" s="21">
        <v>1.716</v>
      </c>
      <c r="AL371">
        <f t="shared" si="66"/>
        <v>-10.024999999999999</v>
      </c>
      <c r="AM371">
        <f t="shared" si="67"/>
        <v>-17.221245749999998</v>
      </c>
      <c r="AP371" s="9"/>
      <c r="AQ371" s="21">
        <v>-6.7749000000000004E-2</v>
      </c>
      <c r="AR371" s="21">
        <v>318.04399999999998</v>
      </c>
      <c r="AS371" s="21">
        <v>-1.81732E-2</v>
      </c>
      <c r="AT371" s="21">
        <v>361</v>
      </c>
      <c r="AU371" s="21">
        <v>-6.7993200000000004E-2</v>
      </c>
      <c r="AV371">
        <f t="shared" si="68"/>
        <v>18.173200000000001</v>
      </c>
      <c r="AW371">
        <f t="shared" si="69"/>
        <v>-1.2312161268000001</v>
      </c>
      <c r="AX371" s="9"/>
      <c r="AY371" s="21">
        <v>1.71783</v>
      </c>
      <c r="AZ371" s="21">
        <v>388.47399999999999</v>
      </c>
      <c r="BA371" s="21">
        <v>8.1542999999999997E-3</v>
      </c>
      <c r="BB371" s="21">
        <v>361</v>
      </c>
      <c r="BC371" s="21">
        <v>1.71722</v>
      </c>
      <c r="BD371">
        <f t="shared" si="70"/>
        <v>-8.1542999999999992</v>
      </c>
      <c r="BE371">
        <f t="shared" si="71"/>
        <v>-14.007701168999999</v>
      </c>
    </row>
    <row r="372" spans="6:57" x14ac:dyDescent="0.25">
      <c r="F372" s="9"/>
      <c r="G372" s="21">
        <v>-7.2784399999999999E-2</v>
      </c>
      <c r="H372" s="21">
        <v>54.459499999999998</v>
      </c>
      <c r="I372" s="21">
        <v>-1.8221999999999999E-2</v>
      </c>
      <c r="J372" s="21">
        <v>362</v>
      </c>
      <c r="K372" s="21">
        <v>-7.3059100000000002E-2</v>
      </c>
      <c r="L372">
        <f t="shared" si="60"/>
        <v>18.221999999999998</v>
      </c>
      <c r="M372">
        <f t="shared" si="61"/>
        <v>-1.3262773367999998</v>
      </c>
      <c r="N372" s="9"/>
      <c r="O372" s="21">
        <v>1.7228699999999999</v>
      </c>
      <c r="P372" s="21">
        <v>126.22</v>
      </c>
      <c r="Q372" s="21">
        <v>1.3085899999999999E-2</v>
      </c>
      <c r="R372" s="21">
        <v>362</v>
      </c>
      <c r="S372" s="21">
        <v>1.7215</v>
      </c>
      <c r="T372">
        <f t="shared" si="62"/>
        <v>-13.085899999999999</v>
      </c>
      <c r="U372">
        <f t="shared" si="63"/>
        <v>-22.545304532999996</v>
      </c>
      <c r="X372" s="9"/>
      <c r="Y372" s="21">
        <v>-7.2784399999999999E-2</v>
      </c>
      <c r="Z372" s="21">
        <v>193.89500000000001</v>
      </c>
      <c r="AA372" s="21">
        <v>-1.8197600000000001E-2</v>
      </c>
      <c r="AB372" s="21">
        <v>362</v>
      </c>
      <c r="AC372" s="21">
        <v>-7.3089600000000005E-2</v>
      </c>
      <c r="AD372">
        <f t="shared" si="64"/>
        <v>18.197600000000001</v>
      </c>
      <c r="AE372">
        <f t="shared" si="65"/>
        <v>-1.3245013974400002</v>
      </c>
      <c r="AF372" s="9"/>
      <c r="AG372" s="21">
        <v>1.7228699999999999</v>
      </c>
      <c r="AH372" s="21">
        <v>260.44</v>
      </c>
      <c r="AI372" s="21">
        <v>1.19171E-2</v>
      </c>
      <c r="AJ372" s="21">
        <v>362</v>
      </c>
      <c r="AK372" s="21">
        <v>1.72211</v>
      </c>
      <c r="AL372">
        <f t="shared" si="66"/>
        <v>-11.9171</v>
      </c>
      <c r="AM372">
        <f t="shared" si="67"/>
        <v>-20.531614076999997</v>
      </c>
      <c r="AP372" s="9"/>
      <c r="AQ372" s="21">
        <v>-7.2784399999999999E-2</v>
      </c>
      <c r="AR372" s="21">
        <v>318.14499999999998</v>
      </c>
      <c r="AS372" s="21">
        <v>-1.8182400000000001E-2</v>
      </c>
      <c r="AT372" s="21">
        <v>362</v>
      </c>
      <c r="AU372" s="21">
        <v>-7.3028599999999999E-2</v>
      </c>
      <c r="AV372">
        <f t="shared" si="68"/>
        <v>18.182400000000001</v>
      </c>
      <c r="AW372">
        <f t="shared" si="69"/>
        <v>-1.3233950745600001</v>
      </c>
      <c r="AX372" s="9"/>
      <c r="AY372" s="21">
        <v>1.7228699999999999</v>
      </c>
      <c r="AZ372" s="21">
        <v>388.57499999999999</v>
      </c>
      <c r="BA372" s="21">
        <v>9.7564699999999997E-3</v>
      </c>
      <c r="BB372" s="21">
        <v>362</v>
      </c>
      <c r="BC372" s="21">
        <v>1.72211</v>
      </c>
      <c r="BD372">
        <f t="shared" si="70"/>
        <v>-9.7564700000000002</v>
      </c>
      <c r="BE372">
        <f t="shared" si="71"/>
        <v>-16.8091294689</v>
      </c>
    </row>
    <row r="373" spans="6:57" x14ac:dyDescent="0.25">
      <c r="F373" s="9"/>
      <c r="G373" s="21">
        <v>-7.7819799999999995E-2</v>
      </c>
      <c r="H373" s="21">
        <v>54.560200000000002</v>
      </c>
      <c r="I373" s="21">
        <v>-1.8231199999999999E-2</v>
      </c>
      <c r="J373" s="21">
        <v>363</v>
      </c>
      <c r="K373" s="21">
        <v>-7.7941899999999995E-2</v>
      </c>
      <c r="L373">
        <f t="shared" si="60"/>
        <v>18.231200000000001</v>
      </c>
      <c r="M373">
        <f t="shared" si="61"/>
        <v>-1.4187483377600001</v>
      </c>
      <c r="N373" s="9"/>
      <c r="O373" s="21">
        <v>1.7279100000000001</v>
      </c>
      <c r="P373" s="21">
        <v>126.32</v>
      </c>
      <c r="Q373" s="21">
        <v>1.5048199999999999E-2</v>
      </c>
      <c r="R373" s="21">
        <v>363</v>
      </c>
      <c r="S373" s="21">
        <v>1.72699</v>
      </c>
      <c r="T373">
        <f t="shared" si="62"/>
        <v>-15.0482</v>
      </c>
      <c r="U373">
        <f t="shared" si="63"/>
        <v>-26.001935262</v>
      </c>
      <c r="X373" s="9"/>
      <c r="Y373" s="21">
        <v>-7.7819799999999995E-2</v>
      </c>
      <c r="Z373" s="21">
        <v>193.995</v>
      </c>
      <c r="AA373" s="21">
        <v>-1.8194599999999998E-2</v>
      </c>
      <c r="AB373" s="21">
        <v>363</v>
      </c>
      <c r="AC373" s="21">
        <v>-7.8216599999999997E-2</v>
      </c>
      <c r="AD373">
        <f t="shared" si="64"/>
        <v>18.194599999999998</v>
      </c>
      <c r="AE373">
        <f t="shared" si="65"/>
        <v>-1.4159001330799996</v>
      </c>
      <c r="AF373" s="9"/>
      <c r="AG373" s="21">
        <v>1.7279100000000001</v>
      </c>
      <c r="AH373" s="21">
        <v>260.54000000000002</v>
      </c>
      <c r="AI373" s="21">
        <v>1.38245E-2</v>
      </c>
      <c r="AJ373" s="21">
        <v>363</v>
      </c>
      <c r="AK373" s="21">
        <v>1.72668</v>
      </c>
      <c r="AL373">
        <f t="shared" si="66"/>
        <v>-13.8245</v>
      </c>
      <c r="AM373">
        <f t="shared" si="67"/>
        <v>-23.887491795000003</v>
      </c>
      <c r="AP373" s="9"/>
      <c r="AQ373" s="21">
        <v>-7.7819799999999995E-2</v>
      </c>
      <c r="AR373" s="21">
        <v>318.245</v>
      </c>
      <c r="AS373" s="21">
        <v>-1.8182400000000001E-2</v>
      </c>
      <c r="AT373" s="21">
        <v>363</v>
      </c>
      <c r="AU373" s="21">
        <v>-7.8186000000000005E-2</v>
      </c>
      <c r="AV373">
        <f t="shared" si="68"/>
        <v>18.182400000000001</v>
      </c>
      <c r="AW373">
        <f t="shared" si="69"/>
        <v>-1.4149507315200001</v>
      </c>
      <c r="AX373" s="9"/>
      <c r="AY373" s="21">
        <v>1.7279100000000001</v>
      </c>
      <c r="AZ373" s="21">
        <v>388.67599999999999</v>
      </c>
      <c r="BA373" s="21">
        <v>1.14471E-2</v>
      </c>
      <c r="BB373" s="21">
        <v>363</v>
      </c>
      <c r="BC373" s="21">
        <v>1.72729</v>
      </c>
      <c r="BD373">
        <f t="shared" si="70"/>
        <v>-11.447100000000001</v>
      </c>
      <c r="BE373">
        <f t="shared" si="71"/>
        <v>-19.779558561000002</v>
      </c>
    </row>
    <row r="374" spans="6:57" x14ac:dyDescent="0.25">
      <c r="F374" s="9"/>
      <c r="G374" s="21">
        <v>-8.2855200000000004E-2</v>
      </c>
      <c r="H374" s="21">
        <v>54.660899999999998</v>
      </c>
      <c r="I374" s="21">
        <v>-1.8228100000000001E-2</v>
      </c>
      <c r="J374" s="21">
        <v>364</v>
      </c>
      <c r="K374" s="21">
        <v>-8.3129900000000007E-2</v>
      </c>
      <c r="L374">
        <f t="shared" si="60"/>
        <v>18.228100000000001</v>
      </c>
      <c r="M374">
        <f t="shared" si="61"/>
        <v>-1.5102928711200001</v>
      </c>
      <c r="N374" s="9"/>
      <c r="O374" s="21">
        <v>1.7329399999999999</v>
      </c>
      <c r="P374" s="21">
        <v>126.42100000000001</v>
      </c>
      <c r="Q374" s="21">
        <v>1.7013500000000001E-2</v>
      </c>
      <c r="R374" s="21">
        <v>364</v>
      </c>
      <c r="S374" s="21">
        <v>1.73248</v>
      </c>
      <c r="T374">
        <f t="shared" si="62"/>
        <v>-17.013500000000001</v>
      </c>
      <c r="U374">
        <f t="shared" si="63"/>
        <v>-29.483374689999998</v>
      </c>
      <c r="X374" s="9"/>
      <c r="Y374" s="21">
        <v>-8.2855200000000004E-2</v>
      </c>
      <c r="Z374" s="21">
        <v>194.096</v>
      </c>
      <c r="AA374" s="21">
        <v>-1.82007E-2</v>
      </c>
      <c r="AB374" s="21">
        <v>364</v>
      </c>
      <c r="AC374" s="21">
        <v>-8.2977300000000004E-2</v>
      </c>
      <c r="AD374">
        <f t="shared" si="64"/>
        <v>18.200700000000001</v>
      </c>
      <c r="AE374">
        <f t="shared" si="65"/>
        <v>-1.5080226386400002</v>
      </c>
      <c r="AF374" s="9"/>
      <c r="AG374" s="21">
        <v>1.7329399999999999</v>
      </c>
      <c r="AH374" s="21">
        <v>260.64100000000002</v>
      </c>
      <c r="AI374" s="21">
        <v>1.5631099999999998E-2</v>
      </c>
      <c r="AJ374" s="21">
        <v>364</v>
      </c>
      <c r="AK374" s="21">
        <v>1.73248</v>
      </c>
      <c r="AL374">
        <f t="shared" si="66"/>
        <v>-15.631099999999998</v>
      </c>
      <c r="AM374">
        <f t="shared" si="67"/>
        <v>-27.087758433999994</v>
      </c>
      <c r="AP374" s="9"/>
      <c r="AQ374" s="21">
        <v>-8.2855200000000004E-2</v>
      </c>
      <c r="AR374" s="21">
        <v>318.346</v>
      </c>
      <c r="AS374" s="21">
        <v>-1.81885E-2</v>
      </c>
      <c r="AT374" s="21">
        <v>364</v>
      </c>
      <c r="AU374" s="21">
        <v>-8.3007800000000007E-2</v>
      </c>
      <c r="AV374">
        <f t="shared" si="68"/>
        <v>18.188500000000001</v>
      </c>
      <c r="AW374">
        <f t="shared" si="69"/>
        <v>-1.5070118052000001</v>
      </c>
      <c r="AX374" s="9"/>
      <c r="AY374" s="21">
        <v>1.7329399999999999</v>
      </c>
      <c r="AZ374" s="21">
        <v>388.77600000000001</v>
      </c>
      <c r="BA374" s="21">
        <v>1.31287E-2</v>
      </c>
      <c r="BB374" s="21">
        <v>364</v>
      </c>
      <c r="BC374" s="21">
        <v>1.7315700000000001</v>
      </c>
      <c r="BD374">
        <f t="shared" si="70"/>
        <v>-13.1287</v>
      </c>
      <c r="BE374">
        <f t="shared" si="71"/>
        <v>-22.751249378000001</v>
      </c>
    </row>
    <row r="375" spans="6:57" x14ac:dyDescent="0.25">
      <c r="F375" s="9"/>
      <c r="G375" s="21">
        <v>-8.7890599999999999E-2</v>
      </c>
      <c r="H375" s="21">
        <v>54.761600000000001</v>
      </c>
      <c r="I375" s="21">
        <v>-1.8228100000000001E-2</v>
      </c>
      <c r="J375" s="21">
        <v>365</v>
      </c>
      <c r="K375" s="21">
        <v>-8.8226299999999994E-2</v>
      </c>
      <c r="L375">
        <f t="shared" si="60"/>
        <v>18.228100000000001</v>
      </c>
      <c r="M375">
        <f t="shared" si="61"/>
        <v>-1.60207864586</v>
      </c>
      <c r="N375" s="9"/>
      <c r="O375" s="21">
        <v>1.7379800000000001</v>
      </c>
      <c r="P375" s="21">
        <v>126.52200000000001</v>
      </c>
      <c r="Q375" s="21">
        <v>1.9046E-2</v>
      </c>
      <c r="R375" s="21">
        <v>365</v>
      </c>
      <c r="S375" s="21">
        <v>1.7373700000000001</v>
      </c>
      <c r="T375">
        <f t="shared" si="62"/>
        <v>-19.045999999999999</v>
      </c>
      <c r="U375">
        <f t="shared" si="63"/>
        <v>-33.101567080000002</v>
      </c>
      <c r="X375" s="9"/>
      <c r="Y375" s="21">
        <v>-8.7890599999999999E-2</v>
      </c>
      <c r="Z375" s="21">
        <v>194.197</v>
      </c>
      <c r="AA375" s="21">
        <v>-1.82007E-2</v>
      </c>
      <c r="AB375" s="21">
        <v>365</v>
      </c>
      <c r="AC375" s="21">
        <v>-8.8195800000000005E-2</v>
      </c>
      <c r="AD375">
        <f t="shared" si="64"/>
        <v>18.200700000000001</v>
      </c>
      <c r="AE375">
        <f t="shared" si="65"/>
        <v>-1.5996704434200002</v>
      </c>
      <c r="AF375" s="9"/>
      <c r="AG375" s="21">
        <v>1.7379800000000001</v>
      </c>
      <c r="AH375" s="21">
        <v>260.74200000000002</v>
      </c>
      <c r="AI375" s="21">
        <v>1.7495699999999999E-2</v>
      </c>
      <c r="AJ375" s="21">
        <v>365</v>
      </c>
      <c r="AK375" s="21">
        <v>1.7373700000000001</v>
      </c>
      <c r="AL375">
        <f t="shared" si="66"/>
        <v>-17.495699999999999</v>
      </c>
      <c r="AM375">
        <f t="shared" si="67"/>
        <v>-30.407176686</v>
      </c>
      <c r="AP375" s="9"/>
      <c r="AQ375" s="21">
        <v>-8.7890599999999999E-2</v>
      </c>
      <c r="AR375" s="21">
        <v>318.447</v>
      </c>
      <c r="AS375" s="21">
        <v>-1.8185400000000001E-2</v>
      </c>
      <c r="AT375" s="21">
        <v>365</v>
      </c>
      <c r="AU375" s="21">
        <v>-8.8470499999999994E-2</v>
      </c>
      <c r="AV375">
        <f t="shared" si="68"/>
        <v>18.185400000000001</v>
      </c>
      <c r="AW375">
        <f t="shared" si="69"/>
        <v>-1.5983257172400001</v>
      </c>
      <c r="AX375" s="9"/>
      <c r="AY375" s="21">
        <v>1.7379800000000001</v>
      </c>
      <c r="AZ375" s="21">
        <v>388.87700000000001</v>
      </c>
      <c r="BA375" s="21">
        <v>1.4819300000000001E-2</v>
      </c>
      <c r="BB375" s="21">
        <v>365</v>
      </c>
      <c r="BC375" s="21">
        <v>1.73767</v>
      </c>
      <c r="BD375">
        <f t="shared" si="70"/>
        <v>-14.8193</v>
      </c>
      <c r="BE375">
        <f t="shared" si="71"/>
        <v>-25.755647014000001</v>
      </c>
    </row>
    <row r="376" spans="6:57" x14ac:dyDescent="0.25">
      <c r="F376" s="9"/>
      <c r="G376" s="21">
        <v>-9.2925999999999995E-2</v>
      </c>
      <c r="H376" s="21">
        <v>54.862299999999998</v>
      </c>
      <c r="I376" s="21">
        <v>-1.8237300000000001E-2</v>
      </c>
      <c r="J376" s="21">
        <v>366</v>
      </c>
      <c r="K376" s="21">
        <v>-9.2987100000000003E-2</v>
      </c>
      <c r="L376">
        <f t="shared" si="60"/>
        <v>18.237300000000001</v>
      </c>
      <c r="M376">
        <f t="shared" si="61"/>
        <v>-1.6947193398</v>
      </c>
      <c r="N376" s="9"/>
      <c r="O376" s="21">
        <v>1.7430099999999999</v>
      </c>
      <c r="P376" s="21">
        <v>126.622</v>
      </c>
      <c r="Q376" s="21">
        <v>2.11334E-2</v>
      </c>
      <c r="R376" s="21">
        <v>366</v>
      </c>
      <c r="S376" s="21">
        <v>1.7422500000000001</v>
      </c>
      <c r="T376">
        <f t="shared" si="62"/>
        <v>-21.133400000000002</v>
      </c>
      <c r="U376">
        <f t="shared" si="63"/>
        <v>-36.835727534</v>
      </c>
      <c r="X376" s="9"/>
      <c r="Y376" s="21">
        <v>-9.2925999999999995E-2</v>
      </c>
      <c r="Z376" s="21">
        <v>194.298</v>
      </c>
      <c r="AA376" s="21">
        <v>-1.8206799999999999E-2</v>
      </c>
      <c r="AB376" s="21">
        <v>366</v>
      </c>
      <c r="AC376" s="21">
        <v>-9.3200699999999997E-2</v>
      </c>
      <c r="AD376">
        <f t="shared" si="64"/>
        <v>18.206799999999998</v>
      </c>
      <c r="AE376">
        <f t="shared" si="65"/>
        <v>-1.6918850967999997</v>
      </c>
      <c r="AF376" s="9"/>
      <c r="AG376" s="21">
        <v>1.7430099999999999</v>
      </c>
      <c r="AH376" s="21">
        <v>260.84300000000002</v>
      </c>
      <c r="AI376" s="21">
        <v>1.9381700000000002E-2</v>
      </c>
      <c r="AJ376" s="21">
        <v>366</v>
      </c>
      <c r="AK376" s="21">
        <v>1.74255</v>
      </c>
      <c r="AL376">
        <f t="shared" si="66"/>
        <v>-19.381700000000002</v>
      </c>
      <c r="AM376">
        <f t="shared" si="67"/>
        <v>-33.782496917000003</v>
      </c>
      <c r="AP376" s="9"/>
      <c r="AQ376" s="21">
        <v>-9.2925999999999995E-2</v>
      </c>
      <c r="AR376" s="21">
        <v>318.548</v>
      </c>
      <c r="AS376" s="21">
        <v>-1.8182400000000001E-2</v>
      </c>
      <c r="AT376" s="21">
        <v>366</v>
      </c>
      <c r="AU376" s="21">
        <v>-9.3444799999999995E-2</v>
      </c>
      <c r="AV376">
        <f t="shared" si="68"/>
        <v>18.182400000000001</v>
      </c>
      <c r="AW376">
        <f t="shared" si="69"/>
        <v>-1.6896177024000001</v>
      </c>
      <c r="AX376" s="9"/>
      <c r="AY376" s="21">
        <v>1.7430099999999999</v>
      </c>
      <c r="AZ376" s="21">
        <v>388.97800000000001</v>
      </c>
      <c r="BA376" s="21">
        <v>1.6531400000000002E-2</v>
      </c>
      <c r="BB376" s="21">
        <v>366</v>
      </c>
      <c r="BC376" s="21">
        <v>1.7422500000000001</v>
      </c>
      <c r="BD376">
        <f t="shared" si="70"/>
        <v>-16.531400000000001</v>
      </c>
      <c r="BE376">
        <f t="shared" si="71"/>
        <v>-28.814395514000001</v>
      </c>
    </row>
    <row r="377" spans="6:57" x14ac:dyDescent="0.25">
      <c r="F377" s="9"/>
      <c r="G377" s="21">
        <v>-9.7961400000000004E-2</v>
      </c>
      <c r="H377" s="21">
        <v>54.963000000000001</v>
      </c>
      <c r="I377" s="21">
        <v>-1.82404E-2</v>
      </c>
      <c r="J377" s="21">
        <v>367</v>
      </c>
      <c r="K377" s="21">
        <v>-9.8236100000000007E-2</v>
      </c>
      <c r="L377">
        <f t="shared" si="60"/>
        <v>18.240400000000001</v>
      </c>
      <c r="M377">
        <f t="shared" si="61"/>
        <v>-1.7868551205600003</v>
      </c>
      <c r="N377" s="9"/>
      <c r="O377" s="21">
        <v>1.7480500000000001</v>
      </c>
      <c r="P377" s="21">
        <v>126.723</v>
      </c>
      <c r="Q377" s="21">
        <v>2.3211699999999998E-2</v>
      </c>
      <c r="R377" s="21">
        <v>367</v>
      </c>
      <c r="S377" s="21">
        <v>1.7474400000000001</v>
      </c>
      <c r="T377">
        <f t="shared" si="62"/>
        <v>-23.211699999999997</v>
      </c>
      <c r="U377">
        <f t="shared" si="63"/>
        <v>-40.575212184999998</v>
      </c>
      <c r="X377" s="9"/>
      <c r="Y377" s="21">
        <v>-9.7961400000000004E-2</v>
      </c>
      <c r="Z377" s="21">
        <v>194.398</v>
      </c>
      <c r="AA377" s="21">
        <v>-1.8209800000000002E-2</v>
      </c>
      <c r="AB377" s="21">
        <v>367</v>
      </c>
      <c r="AC377" s="21">
        <v>-9.8022499999999999E-2</v>
      </c>
      <c r="AD377">
        <f t="shared" si="64"/>
        <v>18.209800000000001</v>
      </c>
      <c r="AE377">
        <f t="shared" si="65"/>
        <v>-1.7838575017200002</v>
      </c>
      <c r="AF377" s="9"/>
      <c r="AG377" s="21">
        <v>1.7480500000000001</v>
      </c>
      <c r="AH377" s="21">
        <v>260.94299999999998</v>
      </c>
      <c r="AI377" s="21">
        <v>2.12982E-2</v>
      </c>
      <c r="AJ377" s="21">
        <v>367</v>
      </c>
      <c r="AK377" s="21">
        <v>1.7477400000000001</v>
      </c>
      <c r="AL377">
        <f t="shared" si="66"/>
        <v>-21.298200000000001</v>
      </c>
      <c r="AM377">
        <f t="shared" si="67"/>
        <v>-37.230318510000004</v>
      </c>
      <c r="AP377" s="9"/>
      <c r="AQ377" s="21">
        <v>-9.7961400000000004E-2</v>
      </c>
      <c r="AR377" s="21">
        <v>318.64800000000002</v>
      </c>
      <c r="AS377" s="21">
        <v>-1.81885E-2</v>
      </c>
      <c r="AT377" s="21">
        <v>367</v>
      </c>
      <c r="AU377" s="21">
        <v>-9.8297099999999998E-2</v>
      </c>
      <c r="AV377">
        <f t="shared" si="68"/>
        <v>18.188500000000001</v>
      </c>
      <c r="AW377">
        <f t="shared" si="69"/>
        <v>-1.7817709239000001</v>
      </c>
      <c r="AX377" s="9"/>
      <c r="AY377" s="21">
        <v>1.7480500000000001</v>
      </c>
      <c r="AZ377" s="21">
        <v>389.07799999999997</v>
      </c>
      <c r="BA377" s="21">
        <v>1.8182400000000001E-2</v>
      </c>
      <c r="BB377" s="21">
        <v>367</v>
      </c>
      <c r="BC377" s="21">
        <v>1.7474400000000001</v>
      </c>
      <c r="BD377">
        <f t="shared" si="70"/>
        <v>-18.182400000000001</v>
      </c>
      <c r="BE377">
        <f t="shared" si="71"/>
        <v>-31.783744320000004</v>
      </c>
    </row>
    <row r="378" spans="6:57" x14ac:dyDescent="0.25">
      <c r="F378" s="9"/>
      <c r="G378" s="21">
        <v>-0.10299700000000001</v>
      </c>
      <c r="H378" s="21">
        <v>55.063699999999997</v>
      </c>
      <c r="I378" s="21">
        <v>-1.8237300000000001E-2</v>
      </c>
      <c r="J378" s="21">
        <v>368</v>
      </c>
      <c r="K378" s="21">
        <v>-0.102814</v>
      </c>
      <c r="L378">
        <f t="shared" si="60"/>
        <v>18.237300000000001</v>
      </c>
      <c r="M378">
        <f t="shared" si="61"/>
        <v>-1.8783871881000003</v>
      </c>
      <c r="N378" s="9"/>
      <c r="O378" s="21">
        <v>1.75308</v>
      </c>
      <c r="P378" s="21">
        <v>126.824</v>
      </c>
      <c r="Q378" s="21">
        <v>2.5329600000000001E-2</v>
      </c>
      <c r="R378" s="21">
        <v>368</v>
      </c>
      <c r="S378" s="21">
        <v>1.7529300000000001</v>
      </c>
      <c r="T378">
        <f t="shared" si="62"/>
        <v>-25.329599999999999</v>
      </c>
      <c r="U378">
        <f t="shared" si="63"/>
        <v>-44.404815167999999</v>
      </c>
      <c r="X378" s="9"/>
      <c r="Y378" s="21">
        <v>-0.10299700000000001</v>
      </c>
      <c r="Z378" s="21">
        <v>194.499</v>
      </c>
      <c r="AA378" s="21">
        <v>-1.8212900000000001E-2</v>
      </c>
      <c r="AB378" s="21">
        <v>368</v>
      </c>
      <c r="AC378" s="21">
        <v>-0.103149</v>
      </c>
      <c r="AD378">
        <f t="shared" si="64"/>
        <v>18.212900000000001</v>
      </c>
      <c r="AE378">
        <f t="shared" si="65"/>
        <v>-1.8758740613000002</v>
      </c>
      <c r="AF378" s="9"/>
      <c r="AG378" s="21">
        <v>1.75308</v>
      </c>
      <c r="AH378" s="21">
        <v>261.04399999999998</v>
      </c>
      <c r="AI378" s="21">
        <v>2.3175000000000001E-2</v>
      </c>
      <c r="AJ378" s="21">
        <v>368</v>
      </c>
      <c r="AK378" s="21">
        <v>1.7523200000000001</v>
      </c>
      <c r="AL378">
        <f t="shared" si="66"/>
        <v>-23.175000000000001</v>
      </c>
      <c r="AM378">
        <f t="shared" si="67"/>
        <v>-40.627628999999999</v>
      </c>
      <c r="AP378" s="9"/>
      <c r="AQ378" s="21">
        <v>-0.10299700000000001</v>
      </c>
      <c r="AR378" s="21">
        <v>318.74900000000002</v>
      </c>
      <c r="AS378" s="21">
        <v>-1.8194599999999998E-2</v>
      </c>
      <c r="AT378" s="21">
        <v>368</v>
      </c>
      <c r="AU378" s="21">
        <v>-0.103088</v>
      </c>
      <c r="AV378">
        <f t="shared" si="68"/>
        <v>18.194599999999998</v>
      </c>
      <c r="AW378">
        <f t="shared" si="69"/>
        <v>-1.8739892161999998</v>
      </c>
      <c r="AX378" s="9"/>
      <c r="AY378" s="21">
        <v>1.75308</v>
      </c>
      <c r="AZ378" s="21">
        <v>389.17899999999997</v>
      </c>
      <c r="BA378" s="21">
        <v>1.9830299999999999E-2</v>
      </c>
      <c r="BB378" s="21">
        <v>368</v>
      </c>
      <c r="BC378" s="21">
        <v>1.7526200000000001</v>
      </c>
      <c r="BD378">
        <f t="shared" si="70"/>
        <v>-19.830299999999998</v>
      </c>
      <c r="BE378">
        <f t="shared" si="71"/>
        <v>-34.764102323999992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L4"/>
  <sheetViews>
    <sheetView workbookViewId="0">
      <selection activeCell="E6" sqref="E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20230205T210000</v>
      </c>
      <c r="B3">
        <f ca="1">INDEX(INDIRECT(A3&amp;"!A11"):INDIRECT(A3&amp;"!A21"),MATCH(E3,INDIRECT(A3&amp;"!D11"):INDIRECT(A3&amp;"!D21"),0))</f>
        <v>1.7446605262810542</v>
      </c>
      <c r="C3">
        <f ca="1">INDEX(INDIRECT(A3&amp;"!B11"):INDIRECT(A3&amp;"!B21"),MATCH(E3,INDIRECT(A3&amp;"!D11"):INDIRECT(A3&amp;"!D21"),0))</f>
        <v>12.849425851701026</v>
      </c>
      <c r="D3">
        <f ca="1">INDEX(INDIRECT(A3&amp;"!C11"):INDIRECT(A3&amp;"!C21"),MATCH(E3,INDIRECT(A3&amp;"!D11"):INDIRECT(A3&amp;"!D21"),0))</f>
        <v>0.81883277212816208</v>
      </c>
      <c r="E3">
        <f t="shared" ref="E3" ca="1" si="0">MAX(INDIRECT(A3&amp; "!D11"),INDIRECT(A3 &amp; "!D13"),INDIRECT(A3 &amp; "!D15"),INDIRECT(A3 &amp; "!D17"),INDIRECT(A3 &amp; "!D19"),INDIRECT(A3 &amp; "!D21"))</f>
        <v>18.356499795000005</v>
      </c>
      <c r="G3">
        <f ca="1">INDEX(INDIRECT(A3&amp;"!A12"):INDIRECT(A3&amp;"!A22"),MATCH(J3,INDIRECT(A3&amp;"!D12"):INDIRECT(A3&amp;"!D22"),0))</f>
        <v>1.7506059849022979</v>
      </c>
      <c r="H3">
        <f ca="1">INDEX(INDIRECT(A3&amp;"!B12"):INDIRECT(A3&amp;"!B22"),MATCH(J3,INDIRECT(A3&amp;"!D12"):INDIRECT(A3&amp;"!D22"),0))</f>
        <v>13.074376832069905</v>
      </c>
      <c r="I3">
        <f ca="1">INDEX(INDIRECT(A3&amp;"!C12"):INDIRECT(A3&amp;"!C22"),MATCH(J3,INDIRECT(A3&amp;"!D12"):INDIRECT(A3&amp;"!D22"),0))</f>
        <v>0.802324461890637</v>
      </c>
      <c r="J3">
        <f t="shared" ref="J3" ca="1" si="1">MAX(INDIRECT(A3&amp; "!D12"),INDIRECT(A3 &amp; "!D14"),INDIRECT(A3 &amp; "!D16"),INDIRECT(A3 &amp; "!D18"),INDIRECT(A3 &amp; "!D20"),,INDIRECT(A3 &amp; "!D22"))</f>
        <v>18.36366834</v>
      </c>
      <c r="L3">
        <f ca="1">INDEX(INDIRECT(A3&amp;"!E11"):INDIRECT(A3&amp;"!E21"),MATCH(E3,INDIRECT(A3&amp;"!D11"):INDIRECT(A3&amp;"!D21"),0))</f>
        <v>4.640552384785428</v>
      </c>
    </row>
    <row r="4" spans="1:12" x14ac:dyDescent="0.25">
      <c r="A4" t="str" cm="1">
        <f t="array" aca="1" ref="A4" ca="1">IFERROR(INDEX(MID(sheetnames,FIND("]",sheetnames)+1,255),ROWS($A$2:A4)),"")</f>
        <v>20230206t210000</v>
      </c>
      <c r="B4">
        <f ca="1">INDEX(INDIRECT(A4&amp;"!A11"):INDIRECT(A4&amp;"!A21"),MATCH(E4,INDIRECT(A4&amp;"!D11"):INDIRECT(A4&amp;"!D21"),0))</f>
        <v>1.6951911502121504</v>
      </c>
      <c r="C4">
        <f ca="1">INDEX(INDIRECT(A4&amp;"!B11"):INDIRECT(A4&amp;"!B21"),MATCH(E4,INDIRECT(A4&amp;"!D11"):INDIRECT(A4&amp;"!D21"),0))</f>
        <v>18.182407162407294</v>
      </c>
      <c r="D4">
        <f ca="1">INDEX(INDIRECT(A4&amp;"!C11"):INDIRECT(A4&amp;"!C21"),MATCH(E4,INDIRECT(A4&amp;"!D11"):INDIRECT(A4&amp;"!D21"),0))</f>
        <v>0.82340837855586768</v>
      </c>
      <c r="E4">
        <f t="shared" ref="E4" ca="1" si="2">MAX(INDIRECT(A4&amp; "!D11"),INDIRECT(A4 &amp; "!D13"),INDIRECT(A4 &amp; "!D15"),INDIRECT(A4 &amp; "!D17"),INDIRECT(A4 &amp; "!D19"),INDIRECT(A4 &amp; "!D21"))</f>
        <v>25.379632962000002</v>
      </c>
      <c r="G4">
        <f ca="1">INDEX(INDIRECT(A4&amp;"!A12"):INDIRECT(A4&amp;"!A22"),MATCH(J4,INDIRECT(A4&amp;"!D12"):INDIRECT(A4&amp;"!D22"),0))</f>
        <v>1.6896270566953917</v>
      </c>
      <c r="H4">
        <f ca="1">INDEX(INDIRECT(A4&amp;"!B12"):INDIRECT(A4&amp;"!B22"),MATCH(J4,INDIRECT(A4&amp;"!D12"):INDIRECT(A4&amp;"!D22"),0))</f>
        <v>18.066548466338975</v>
      </c>
      <c r="I4">
        <f ca="1">INDEX(INDIRECT(A4&amp;"!C12"):INDIRECT(A4&amp;"!C22"),MATCH(J4,INDIRECT(A4&amp;"!D12"):INDIRECT(A4&amp;"!D22"),0))</f>
        <v>0.82661480072161619</v>
      </c>
      <c r="J4">
        <f t="shared" ref="J4" ca="1" si="3">MAX(INDIRECT(A4&amp; "!D12"),INDIRECT(A4 &amp; "!D14"),INDIRECT(A4 &amp; "!D16"),INDIRECT(A4 &amp; "!D18"),INDIRECT(A4 &amp; "!D20"),,INDIRECT(A4 &amp; "!D22"))</f>
        <v>25.233019485000003</v>
      </c>
      <c r="L4">
        <f ca="1">INDEX(INDIRECT(A4&amp;"!E11"):INDIRECT(A4&amp;"!E21"),MATCH(E4,INDIRECT(A4&amp;"!D11"):INDIRECT(A4&amp;"!D21"),0))</f>
        <v>0.57768162849131011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NEW</vt:lpstr>
      <vt:lpstr>20230205T210000</vt:lpstr>
      <vt:lpstr>20230206t210000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2023-02-06T13:04:58Z</dcterms:modified>
</cp:coreProperties>
</file>